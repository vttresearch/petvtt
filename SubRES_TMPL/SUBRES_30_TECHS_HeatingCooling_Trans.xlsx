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Default Extension="vml" ContentType="application/vnd.openxmlformats-officedocument.vmlDrawing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1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1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REPOW\JRC\FIXES\"/>
    </mc:Choice>
  </mc:AlternateContent>
  <bookViews>
    <workbookView xWindow="750" yWindow="225" windowWidth="26610" windowHeight="16590" tabRatio="909" firstSheet="1" activeTab="9"/>
  </bookViews>
  <sheets>
    <sheet name="Fill Data" sheetId="25" r:id="rId3"/>
    <sheet name="RES_SpHeat" sheetId="27" r:id="rId4"/>
    <sheet name="RES_WatHeat" sheetId="30" r:id="rId5"/>
    <sheet name="RES_SpCool" sheetId="32" r:id="rId6"/>
    <sheet name="RES_Others" sheetId="33" r:id="rId7"/>
    <sheet name="RSD_HeatCAPEX" sheetId="39" r:id="rId8"/>
    <sheet name="RSD_DistrictHCAPEX_OPEX" sheetId="47" r:id="rId9"/>
    <sheet name="RSD_HeatOPEX" sheetId="40" r:id="rId10"/>
    <sheet name="RSDTechsCE" sheetId="41" r:id="rId11"/>
    <sheet name="RSD_HP" sheetId="44" r:id="rId12"/>
    <sheet name="RSD_SpaceHeat" sheetId="45" r:id="rId13"/>
    <sheet name="RSD_WaterHeat" sheetId="43" r:id="rId14"/>
    <sheet name="RSD_SpCool" sheetId="46" r:id="rId15"/>
    <sheet name="Country aggregations" sheetId="42" r:id="rId16"/>
    <sheet name="RES_Share" sheetId="37" r:id="rId17"/>
    <sheet name="COM_All" sheetId="35" r:id="rId18"/>
    <sheet name="INS-UPD Heat" sheetId="28" r:id="rId19"/>
    <sheet name="INS-UPD WaterHeat" sheetId="29" r:id="rId20"/>
    <sheet name="INS-UPD SpCool" sheetId="31" r:id="rId21"/>
    <sheet name="INS-UPD Others" sheetId="34" r:id="rId22"/>
  </sheets>
  <externalReferences>
    <externalReference r:id="rId24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1" l="1"/>
</calcChain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L13" authorId="0" shapeId="0" xr:uid="{00000000-0006-0000-0800-000001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M13" authorId="0" shapeId="0" xr:uid="{00000000-0006-0000-0800-000002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N13" authorId="0" shapeId="0" xr:uid="{00000000-0006-0000-0800-000003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O13" authorId="0" shapeId="0" xr:uid="{00000000-0006-0000-0800-000004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P13" authorId="0" shapeId="0" xr:uid="{00000000-0006-0000-0800-000005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Q13" authorId="0" shapeId="0" xr:uid="{00000000-0006-0000-0800-000006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L14" authorId="0" shapeId="0" xr:uid="{00000000-0006-0000-0800-000007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>based on assumption for combined techs</t>
        </r>
      </text>
    </comment>
    <comment ref="Q14" authorId="0" shapeId="0" xr:uid="{00000000-0006-0000-0800-000008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>based on assumption for combined techs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</authors>
  <commentList>
    <comment ref="L8" authorId="0" shapeId="0" xr:uid="{00000000-0006-0000-0E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</t>
        </r>
      </text>
    </comment>
    <comment ref="Y8" authorId="0" shapeId="0" xr:uid="{00000000-0006-0000-0E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NO
</t>
        </r>
      </text>
    </comment>
    <comment ref="L16" authorId="0" shapeId="0" xr:uid="{00000000-0006-0000-0E00-000003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</t>
        </r>
      </text>
    </comment>
    <comment ref="Y16" authorId="0" shapeId="0" xr:uid="{00000000-0006-0000-0E00-000004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NO
</t>
        </r>
      </text>
    </comment>
  </commentList>
</comments>
</file>

<file path=xl/sharedStrings.xml><?xml version="1.0" encoding="utf-8"?>
<sst xmlns="http://schemas.openxmlformats.org/spreadsheetml/2006/main" count="8274" uniqueCount="914">
  <si>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</si>
  <si>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</si>
  <si>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</si>
  <si>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</si>
  <si>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</si>
  <si>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</si>
  <si>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</si>
  <si>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</si>
  <si>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</si>
  <si>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</si>
  <si>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</si>
  <si>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</si>
  <si>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</si>
  <si>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</si>
  <si>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</si>
  <si>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</si>
  <si>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</si>
  <si>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</si>
  <si>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</si>
  <si>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</si>
  <si>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</si>
  <si>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</si>
  <si>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</si>
  <si>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</si>
  <si>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</si>
  <si>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</si>
  <si>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</si>
  <si>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</si>
  <si>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ACTFLO</t>
  </si>
  <si>
    <t>EFF</t>
  </si>
  <si>
    <t>BG</t>
  </si>
  <si>
    <t>HR</t>
  </si>
  <si>
    <t>MK</t>
  </si>
  <si>
    <t>TimeSlice</t>
  </si>
  <si>
    <t>LimType</t>
  </si>
  <si>
    <t>Attribute</t>
  </si>
  <si>
    <t>Year</t>
  </si>
  <si>
    <t>Pset_PN</t>
  </si>
  <si>
    <t>Pset_CI</t>
  </si>
  <si>
    <t>Cset_CN</t>
  </si>
  <si>
    <t>AL</t>
  </si>
  <si>
    <t>ME</t>
  </si>
  <si>
    <t>RS</t>
  </si>
  <si>
    <t>Pset_CO</t>
  </si>
  <si>
    <t>BA</t>
  </si>
  <si>
    <t>KS</t>
  </si>
  <si>
    <t>AllRegions</t>
  </si>
  <si>
    <t>EL</t>
  </si>
  <si>
    <t>PSET_PN</t>
  </si>
  <si>
    <t>Other_Indexes</t>
  </si>
  <si>
    <t>~TFM_INS</t>
  </si>
  <si>
    <t>~TFM_UPD</t>
  </si>
  <si>
    <t>AFA</t>
  </si>
  <si>
    <t>R_ES-SH*</t>
  </si>
  <si>
    <t>R_ES-FL-SpHeat</t>
  </si>
  <si>
    <t>R_ES-*SpHeat</t>
  </si>
  <si>
    <t>~TFM_Fill-R: w=RES_SpHeat; Hcol=Region</t>
  </si>
  <si>
    <t>~TFM_Fill-R: w=RES_WatHeat; Hcol=Region</t>
  </si>
  <si>
    <t>R_ES-DH-SpHeat</t>
  </si>
  <si>
    <t>R_ES-SD-SpHeat</t>
  </si>
  <si>
    <t>CEFF</t>
  </si>
  <si>
    <t>R_ES-WH-FL_*</t>
  </si>
  <si>
    <t>R_ES-WH-SD_*</t>
  </si>
  <si>
    <t>R_ES-WH-DH_*</t>
  </si>
  <si>
    <t>R_ES-WH-FL_EL*</t>
  </si>
  <si>
    <t>R_ES-WH-FL_GA*</t>
  </si>
  <si>
    <t>R_ES-WH-FL_HE*</t>
  </si>
  <si>
    <t>R_ES-WH-FL_OI*</t>
  </si>
  <si>
    <t>R_ES-WH-FL_B*</t>
  </si>
  <si>
    <t>R_ES-WH-FL_CO*</t>
  </si>
  <si>
    <t>R_ES-WH-FL_LP*</t>
  </si>
  <si>
    <t>R_ES-WH-FL_GE*</t>
  </si>
  <si>
    <t>R_ES-WH-DH_EL*</t>
  </si>
  <si>
    <t>R_ES-WH-DH_GA*</t>
  </si>
  <si>
    <t>R_ES-WH-DH_HE*</t>
  </si>
  <si>
    <t>R_ES-WH-DH_OI*</t>
  </si>
  <si>
    <t>R_ES-WH-DH_B*</t>
  </si>
  <si>
    <t>R_ES-WH-DH_CO*</t>
  </si>
  <si>
    <t>R_ES-WH-DH_LP*</t>
  </si>
  <si>
    <t>R_ES-WH-DH_GE*</t>
  </si>
  <si>
    <t>R_ES-WH-SD_EL*</t>
  </si>
  <si>
    <t>R_ES-WH-SD_GA*</t>
  </si>
  <si>
    <t>R_ES-WH-SD_HE*</t>
  </si>
  <si>
    <t>R_ES-WH-SD_OI*</t>
  </si>
  <si>
    <t>R_ES-WH-SD_B*</t>
  </si>
  <si>
    <t>R_ES-WH-SD_CO*</t>
  </si>
  <si>
    <t>R_ES-WH-SD_LP*</t>
  </si>
  <si>
    <t>R_ES-WH-SD_GE*</t>
  </si>
  <si>
    <t>R_ES-WH*</t>
  </si>
  <si>
    <t>R_ES-DH-WatHeat</t>
  </si>
  <si>
    <t>R_ES-FL-WatHeat</t>
  </si>
  <si>
    <t>R_ES-SD-WatHeat</t>
  </si>
  <si>
    <t>~TFM_Fill-R: w=RES_SpCool; Hcol=Region</t>
  </si>
  <si>
    <t>R_ES-SC*</t>
  </si>
  <si>
    <t>RDM: CEFF for heat pump (dual?)</t>
  </si>
  <si>
    <t>~TFM_Fill-R: w=RES_Others; Hcol=Region</t>
  </si>
  <si>
    <t>R_ES-CK-*</t>
  </si>
  <si>
    <t>RLIGELC00</t>
  </si>
  <si>
    <t>RREFELC00</t>
  </si>
  <si>
    <t>RCWAELC00</t>
  </si>
  <si>
    <t>RCDRELC00</t>
  </si>
  <si>
    <t>RDWAELC00</t>
  </si>
  <si>
    <t>ROELELC00</t>
  </si>
  <si>
    <t>INPUT</t>
  </si>
  <si>
    <t>R_ES-CK-*ELC*</t>
  </si>
  <si>
    <t>R_ES-CK-*GAS*</t>
  </si>
  <si>
    <t>R_ES-CK-*LPG*</t>
  </si>
  <si>
    <t>RLIGELC*</t>
  </si>
  <si>
    <t>RREFELC*</t>
  </si>
  <si>
    <t>RCWAELC*</t>
  </si>
  <si>
    <t>RCDRELC*</t>
  </si>
  <si>
    <t>RDWAELC*</t>
  </si>
  <si>
    <t>ROELELC*</t>
  </si>
  <si>
    <t>R_ES-SC-*</t>
  </si>
  <si>
    <t>PRC_CAPACT</t>
  </si>
  <si>
    <t>C_ES-SH*</t>
  </si>
  <si>
    <t>NR_ES-HO-SpHeat</t>
  </si>
  <si>
    <t>NR_ES-HR-SpHeat</t>
  </si>
  <si>
    <t>NR_ES-SR-SpHeat</t>
  </si>
  <si>
    <t>NR_ES-SL-SpHeat</t>
  </si>
  <si>
    <t>NR_ES-SS-SpHeat</t>
  </si>
  <si>
    <t>NR_ES-OF-SpHeat</t>
  </si>
  <si>
    <t>C_ES-SH-HO_BI*</t>
  </si>
  <si>
    <t>C_ES-SH-HO_HE*</t>
  </si>
  <si>
    <t>C_ES-SH-HO_EL*</t>
  </si>
  <si>
    <t>C_ES-SH-HO_GA*</t>
  </si>
  <si>
    <t>C_ES-SH-HO_OI*</t>
  </si>
  <si>
    <t>C_ES-SH-HO_GE*</t>
  </si>
  <si>
    <t>C_ES-SH-HO_LP*</t>
  </si>
  <si>
    <t>C_ES-SH-HO_CO*</t>
  </si>
  <si>
    <t>C_ES-SH-HR_BI*</t>
  </si>
  <si>
    <t>C_ES-SH-HR_HE*</t>
  </si>
  <si>
    <t>C_ES-SH-HR_EL*</t>
  </si>
  <si>
    <t>C_ES-SH-HR_GA*</t>
  </si>
  <si>
    <t>C_ES-SH-HR_OI*</t>
  </si>
  <si>
    <t>C_ES-SH-HR_GE*</t>
  </si>
  <si>
    <t>C_ES-SH-HR_LP*</t>
  </si>
  <si>
    <t>C_ES-SH-HR_CO*</t>
  </si>
  <si>
    <t>C_ES-SH-SR_BI*</t>
  </si>
  <si>
    <t>C_ES-SH-SR_HE*</t>
  </si>
  <si>
    <t>C_ES-SH-SR_EL*</t>
  </si>
  <si>
    <t>C_ES-SH-SR_GA*</t>
  </si>
  <si>
    <t>C_ES-SH-SR_OI*</t>
  </si>
  <si>
    <t>C_ES-SH-SR_GE*</t>
  </si>
  <si>
    <t>C_ES-SH-SR_LP*</t>
  </si>
  <si>
    <t>C_ES-SH-SR_CO*</t>
  </si>
  <si>
    <t>C_ES-SH-SL_BI*</t>
  </si>
  <si>
    <t>C_ES-SH-SL_HE*</t>
  </si>
  <si>
    <t>C_ES-SH-SL_EL*</t>
  </si>
  <si>
    <t>C_ES-SH-SL_GA*</t>
  </si>
  <si>
    <t>C_ES-SH-SL_OI*</t>
  </si>
  <si>
    <t>C_ES-SH-SL_GE*</t>
  </si>
  <si>
    <t>C_ES-SH-SL_LP*</t>
  </si>
  <si>
    <t>C_ES-SH-SL_CO*</t>
  </si>
  <si>
    <t>C_ES-SH-SS_BI*</t>
  </si>
  <si>
    <t>C_ES-SH-SS_HE*</t>
  </si>
  <si>
    <t>C_ES-SH-SS_EL*</t>
  </si>
  <si>
    <t>C_ES-SH-SS_GA*</t>
  </si>
  <si>
    <t>C_ES-SH-SS_OI*</t>
  </si>
  <si>
    <t>C_ES-SH-SS_GE*</t>
  </si>
  <si>
    <t>C_ES-SH-SS_LP*</t>
  </si>
  <si>
    <t>C_ES-SH-SS_CO*</t>
  </si>
  <si>
    <t>C_ES-SH-OF_BI*</t>
  </si>
  <si>
    <t>C_ES-SH-OF_HE*</t>
  </si>
  <si>
    <t>C_ES-SH-OF_EL*</t>
  </si>
  <si>
    <t>C_ES-SH-OF_GA*</t>
  </si>
  <si>
    <t>C_ES-SH-OF_OI*</t>
  </si>
  <si>
    <t>C_ES-SH-OF_GE*</t>
  </si>
  <si>
    <t>C_ES-SH-OF_LP*</t>
  </si>
  <si>
    <t>C_ES-SH-OF_CO*</t>
  </si>
  <si>
    <t>NR_ES-HO-WatHeat</t>
  </si>
  <si>
    <t>NR_ES-HR-WatHeat</t>
  </si>
  <si>
    <t>NR_ES-SR-WatHeat</t>
  </si>
  <si>
    <t>NR_ES-SL-WatHeat</t>
  </si>
  <si>
    <t>NR_ES-SS-WatHeat</t>
  </si>
  <si>
    <t>NR_ES-OF-WatHeat</t>
  </si>
  <si>
    <t>C_ES-WH*</t>
  </si>
  <si>
    <t>~TFM_Fill-R: w=COM_All; Hcol=Region</t>
  </si>
  <si>
    <t>C_ES-SC*</t>
  </si>
  <si>
    <t>C_ES-SC-*ELC*</t>
  </si>
  <si>
    <t>C_ES-SC-*GAS*</t>
  </si>
  <si>
    <t>C_ES-CK-*</t>
  </si>
  <si>
    <t>C_ES-CK-*_BI*</t>
  </si>
  <si>
    <t>C_ES-CK-*_EL*</t>
  </si>
  <si>
    <t>C_ES-CK-*_GA*</t>
  </si>
  <si>
    <t>C_ES-CK-*_LP*</t>
  </si>
  <si>
    <t>RDM: DE is the ref</t>
  </si>
  <si>
    <t>RDM: same factors of the pure heat techs</t>
  </si>
  <si>
    <t>RDM: regional specific adjustment factors. The same as for the heat techs</t>
  </si>
  <si>
    <t>NRbldg_BuildLight</t>
  </si>
  <si>
    <t>NRbldg_BuildTech</t>
  </si>
  <si>
    <t>NRbldg_ICTM</t>
  </si>
  <si>
    <t>NRbldg_Refrig</t>
  </si>
  <si>
    <t>NRbldg_StLight</t>
  </si>
  <si>
    <t>NRbldg_Vent</t>
  </si>
  <si>
    <t>NRbldg_BuildLight*</t>
  </si>
  <si>
    <t>NRbldg_BuildTech*</t>
  </si>
  <si>
    <t>NRbldg_ICTM*</t>
  </si>
  <si>
    <t>NRbldg_Refrig*</t>
  </si>
  <si>
    <t>NRbldg_StLight*</t>
  </si>
  <si>
    <t>NRbldg_Vent*</t>
  </si>
  <si>
    <t>BASE</t>
  </si>
  <si>
    <t>R_ES-SH-DH_BIO</t>
  </si>
  <si>
    <t>-</t>
  </si>
  <si>
    <t>R_ES-SH-DH_COA</t>
  </si>
  <si>
    <t>R_ES-SH-DH_GAS</t>
  </si>
  <si>
    <t>R_ES-SH-DH_GEO</t>
  </si>
  <si>
    <t>R_ES-SH-DH_HET</t>
  </si>
  <si>
    <t>R_ES-SH-DH_LPG</t>
  </si>
  <si>
    <t>R_ES-SH-DH_OIL</t>
  </si>
  <si>
    <t>R_ES-SH-FL_BIO</t>
  </si>
  <si>
    <t>R_ES-SH-FL_COA</t>
  </si>
  <si>
    <t>R_ES-SH-FL_GAS</t>
  </si>
  <si>
    <t>R_ES-SH-FL_GEO</t>
  </si>
  <si>
    <t>R_ES-SH-FL_HET</t>
  </si>
  <si>
    <t>R_ES-SH-FL_LPG</t>
  </si>
  <si>
    <t>R_ES-SH-FL_OIL</t>
  </si>
  <si>
    <t>R_ES-SH-SD_BIO</t>
  </si>
  <si>
    <t>R_ES-SH-SD_COA</t>
  </si>
  <si>
    <t>R_ES-SH-SD_GAS</t>
  </si>
  <si>
    <t>R_ES-SH-SD_GEO</t>
  </si>
  <si>
    <t>R_ES-SH-SD_HET</t>
  </si>
  <si>
    <t>UP</t>
  </si>
  <si>
    <t>ANNUAL</t>
  </si>
  <si>
    <t>R_ES-WH-DH_BIO</t>
  </si>
  <si>
    <t>R_ES-WH-DH_COA</t>
  </si>
  <si>
    <t>R_ES-WH-DH_ELC</t>
  </si>
  <si>
    <t>R_ES-WH-DH_GAS</t>
  </si>
  <si>
    <t>R_ES-WH-DH_HET</t>
  </si>
  <si>
    <t>R_ES-WH-DH_LPG</t>
  </si>
  <si>
    <t>R_ES-WH-DH_OIL</t>
  </si>
  <si>
    <t>R_ES-WH-FL_BIO</t>
  </si>
  <si>
    <t>R_ES-WH-FL_COA</t>
  </si>
  <si>
    <t>R_ES-WH-FL_ELC</t>
  </si>
  <si>
    <t>R_ES-WH-FL_GAS</t>
  </si>
  <si>
    <t>R_ES-WH-FL_HET</t>
  </si>
  <si>
    <t>R_ES-WH-FL_LPG</t>
  </si>
  <si>
    <t>R_ES-WH-FL_OIL</t>
  </si>
  <si>
    <t>R_ES-WH-SD_BIO</t>
  </si>
  <si>
    <t>R_ES-WH-SD_COA</t>
  </si>
  <si>
    <t>R_ES-WH-SD_ELC</t>
  </si>
  <si>
    <t>R_ES-WH-SD_GAS</t>
  </si>
  <si>
    <t>R_ES-WH-SD_HET</t>
  </si>
  <si>
    <t>R_ES-WH-SD_LPG</t>
  </si>
  <si>
    <t>R_ES-WH-SD_OIL</t>
  </si>
  <si>
    <t>R_ES-SC-DH_ELC</t>
  </si>
  <si>
    <t>R_ES-SC-FL_ELC</t>
  </si>
  <si>
    <t>R_ES-SC-SD_ELC</t>
  </si>
  <si>
    <t>R_ES-CK-SD_LPG</t>
  </si>
  <si>
    <t>R_ES-CK-SD_GAS</t>
  </si>
  <si>
    <t>R_ES-CK-SD_ELC</t>
  </si>
  <si>
    <t>R_ES-CK-SD_COA</t>
  </si>
  <si>
    <t>R_ES-CK-SD_BIO</t>
  </si>
  <si>
    <t>R_ES-CK-FL_LPG</t>
  </si>
  <si>
    <t>R_ES-CK-FL_GAS</t>
  </si>
  <si>
    <t>R_ES-CK-FL_ELC</t>
  </si>
  <si>
    <t>R_ES-CK-FL_COA</t>
  </si>
  <si>
    <t>R_ES-CK-FL_BIO</t>
  </si>
  <si>
    <t>R_ES-CK-DH_LPG</t>
  </si>
  <si>
    <t>R_ES-CK-DH_GAS</t>
  </si>
  <si>
    <t>R_ES-CK-DH_ELC</t>
  </si>
  <si>
    <t>R_ES-CK-DH_COA</t>
  </si>
  <si>
    <t>R_ES-CK-DH_BIO</t>
  </si>
  <si>
    <t>C_ES-CK-HO_BIO</t>
  </si>
  <si>
    <t>C_ES-CK-HO_ELC</t>
  </si>
  <si>
    <t>C_ES-CK-HO_GAS</t>
  </si>
  <si>
    <t>C_ES-CK-HO_LPG</t>
  </si>
  <si>
    <t>C_ES-CK-HR_BIO</t>
  </si>
  <si>
    <t>C_ES-CK-HR_ELC</t>
  </si>
  <si>
    <t>C_ES-CK-HR_GAS</t>
  </si>
  <si>
    <t>C_ES-CK-HR_LPG</t>
  </si>
  <si>
    <t>C_ES-CK-OF_BIO</t>
  </si>
  <si>
    <t>C_ES-CK-OF_ELC</t>
  </si>
  <si>
    <t>C_ES-CK-OF_GAS</t>
  </si>
  <si>
    <t>C_ES-CK-OF_LPG</t>
  </si>
  <si>
    <t>C_ES-CK-SL_BIO</t>
  </si>
  <si>
    <t>C_ES-CK-SL_ELC</t>
  </si>
  <si>
    <t>C_ES-CK-SL_GAS</t>
  </si>
  <si>
    <t>C_ES-CK-SL_LPG</t>
  </si>
  <si>
    <t>C_ES-CK-SR_BIO</t>
  </si>
  <si>
    <t>C_ES-CK-SR_ELC</t>
  </si>
  <si>
    <t>C_ES-CK-SR_GAS</t>
  </si>
  <si>
    <t>C_ES-CK-SR_LPG</t>
  </si>
  <si>
    <t>C_ES-CK-SS_BIO</t>
  </si>
  <si>
    <t>C_ES-CK-SS_ELC</t>
  </si>
  <si>
    <t>C_ES-CK-SS_GAS</t>
  </si>
  <si>
    <t>C_ES-CK-SS_LPG</t>
  </si>
  <si>
    <t>C_ES-SC-HO_ELC</t>
  </si>
  <si>
    <t>C_ES-SC-HO_GAS</t>
  </si>
  <si>
    <t>C_ES-SC-HR_ELC</t>
  </si>
  <si>
    <t>C_ES-SC-HR_GAS</t>
  </si>
  <si>
    <t>C_ES-SC-OF_ELC</t>
  </si>
  <si>
    <t>C_ES-SC-OF_GAS</t>
  </si>
  <si>
    <t>C_ES-SC-SL_ELC</t>
  </si>
  <si>
    <t>C_ES-SC-SL_GAS</t>
  </si>
  <si>
    <t>C_ES-SC-SR_ELC</t>
  </si>
  <si>
    <t>C_ES-SC-SR_GAS</t>
  </si>
  <si>
    <t>C_ES-SC-SS_ELC</t>
  </si>
  <si>
    <t>C_ES-SC-SS_GAS</t>
  </si>
  <si>
    <t>C_ES-SH-HO_BIO</t>
  </si>
  <si>
    <t>C_ES-SH-HO_COA</t>
  </si>
  <si>
    <t>C_ES-SH-HO_ELC</t>
  </si>
  <si>
    <t>C_ES-SH-HO_GAS</t>
  </si>
  <si>
    <t>C_ES-SH-HO_GEO</t>
  </si>
  <si>
    <t>C_ES-SH-HO_HET</t>
  </si>
  <si>
    <t>C_ES-SH-HO_LPG</t>
  </si>
  <si>
    <t>C_ES-SH-HO_OIL</t>
  </si>
  <si>
    <t>C_ES-SH-HR_BIO</t>
  </si>
  <si>
    <t>C_ES-SH-HR_COA</t>
  </si>
  <si>
    <t>C_ES-SH-HR_ELC</t>
  </si>
  <si>
    <t>C_ES-SH-HR_GAS</t>
  </si>
  <si>
    <t>C_ES-SH-HR_GEO</t>
  </si>
  <si>
    <t>C_ES-SH-HR_HET</t>
  </si>
  <si>
    <t>C_ES-SH-HR_LPG</t>
  </si>
  <si>
    <t>C_ES-SH-HR_OIL</t>
  </si>
  <si>
    <t>C_ES-SH-OF_BIO</t>
  </si>
  <si>
    <t>C_ES-SH-OF_COA</t>
  </si>
  <si>
    <t>C_ES-SH-OF_ELC</t>
  </si>
  <si>
    <t>C_ES-SH-OF_GAS</t>
  </si>
  <si>
    <t>C_ES-SH-OF_GEO</t>
  </si>
  <si>
    <t>C_ES-SH-OF_HET</t>
  </si>
  <si>
    <t>C_ES-SH-OF_LPG</t>
  </si>
  <si>
    <t>C_ES-SH-OF_OIL</t>
  </si>
  <si>
    <t>C_ES-SH-SL_BIO</t>
  </si>
  <si>
    <t>C_ES-SH-SL_COA</t>
  </si>
  <si>
    <t>C_ES-SH-SL_ELC</t>
  </si>
  <si>
    <t>C_ES-SH-SL_GAS</t>
  </si>
  <si>
    <t>C_ES-SH-SL_GEO</t>
  </si>
  <si>
    <t>C_ES-SH-SL_HET</t>
  </si>
  <si>
    <t>C_ES-SH-SL_LPG</t>
  </si>
  <si>
    <t>C_ES-SH-SL_OIL</t>
  </si>
  <si>
    <t>C_ES-SH-SR_BIO</t>
  </si>
  <si>
    <t>C_ES-SH-SR_COA</t>
  </si>
  <si>
    <t>C_ES-SH-SR_ELC</t>
  </si>
  <si>
    <t>C_ES-SH-SR_GAS</t>
  </si>
  <si>
    <t>C_ES-SH-SR_GEO</t>
  </si>
  <si>
    <t>C_ES-SH-SR_HET</t>
  </si>
  <si>
    <t>C_ES-SH-SR_LPG</t>
  </si>
  <si>
    <t>C_ES-SH-SR_OIL</t>
  </si>
  <si>
    <t>C_ES-SH-SS_BIO</t>
  </si>
  <si>
    <t>C_ES-SH-SS_COA</t>
  </si>
  <si>
    <t>C_ES-SH-SS_ELC</t>
  </si>
  <si>
    <t>C_ES-SH-SS_GAS</t>
  </si>
  <si>
    <t>C_ES-SH-SS_GEO</t>
  </si>
  <si>
    <t>C_ES-SH-SS_HET</t>
  </si>
  <si>
    <t>C_ES-SH-SS_LPG</t>
  </si>
  <si>
    <t>C_ES-SH-SS_OIL</t>
  </si>
  <si>
    <t>C_ES-WH-HO_BIO</t>
  </si>
  <si>
    <t>C_ES-WH-HO_COA</t>
  </si>
  <si>
    <t>C_ES-WH-HO_ELC</t>
  </si>
  <si>
    <t>C_ES-WH-HO_GAS</t>
  </si>
  <si>
    <t>C_ES-WH-HO_HET</t>
  </si>
  <si>
    <t>C_ES-WH-HO_LPG</t>
  </si>
  <si>
    <t>C_ES-WH-HO_OIL</t>
  </si>
  <si>
    <t>C_ES-WH-HO_SOL</t>
  </si>
  <si>
    <t>C_ES-WH-HR_BIO</t>
  </si>
  <si>
    <t>C_ES-WH-HR_COA</t>
  </si>
  <si>
    <t>C_ES-WH-HR_ELC</t>
  </si>
  <si>
    <t>C_ES-WH-HR_GAS</t>
  </si>
  <si>
    <t>C_ES-WH-HR_HET</t>
  </si>
  <si>
    <t>C_ES-WH-HR_LPG</t>
  </si>
  <si>
    <t>C_ES-WH-HR_OIL</t>
  </si>
  <si>
    <t>C_ES-WH-HR_SOL</t>
  </si>
  <si>
    <t>C_ES-WH-OF_BIO</t>
  </si>
  <si>
    <t>C_ES-WH-OF_COA</t>
  </si>
  <si>
    <t>C_ES-WH-OF_ELC</t>
  </si>
  <si>
    <t>C_ES-WH-OF_GAS</t>
  </si>
  <si>
    <t>C_ES-WH-OF_HET</t>
  </si>
  <si>
    <t>C_ES-WH-OF_LPG</t>
  </si>
  <si>
    <t>C_ES-WH-OF_OIL</t>
  </si>
  <si>
    <t>C_ES-WH-OF_SOL</t>
  </si>
  <si>
    <t>C_ES-WH-SL_BIO</t>
  </si>
  <si>
    <t>C_ES-WH-SL_COA</t>
  </si>
  <si>
    <t>C_ES-WH-SL_ELC</t>
  </si>
  <si>
    <t>C_ES-WH-SL_GAS</t>
  </si>
  <si>
    <t>C_ES-WH-SL_HET</t>
  </si>
  <si>
    <t>C_ES-WH-SL_LPG</t>
  </si>
  <si>
    <t>C_ES-WH-SL_OIL</t>
  </si>
  <si>
    <t>C_ES-WH-SL_SOL</t>
  </si>
  <si>
    <t>C_ES-WH-SR_BIO</t>
  </si>
  <si>
    <t>C_ES-WH-SR_COA</t>
  </si>
  <si>
    <t>C_ES-WH-SR_ELC</t>
  </si>
  <si>
    <t>C_ES-WH-SR_GAS</t>
  </si>
  <si>
    <t>C_ES-WH-SR_HET</t>
  </si>
  <si>
    <t>C_ES-WH-SR_LPG</t>
  </si>
  <si>
    <t>C_ES-WH-SR_OIL</t>
  </si>
  <si>
    <t>C_ES-WH-SR_SOL</t>
  </si>
  <si>
    <t>C_ES-WH-SS_BIO</t>
  </si>
  <si>
    <t>C_ES-WH-SS_COA</t>
  </si>
  <si>
    <t>C_ES-WH-SS_ELC</t>
  </si>
  <si>
    <t>C_ES-WH-SS_GAS</t>
  </si>
  <si>
    <t>C_ES-WH-SS_HET</t>
  </si>
  <si>
    <t>C_ES-WH-SS_LPG</t>
  </si>
  <si>
    <t>C_ES-WH-SS_OIL</t>
  </si>
  <si>
    <t>C_ES-WH-SS_SOL</t>
  </si>
  <si>
    <t>R</t>
  </si>
  <si>
    <t>F</t>
  </si>
  <si>
    <t>PSet_PN</t>
  </si>
  <si>
    <t>RSDAHT</t>
  </si>
  <si>
    <t>RSDGHT</t>
  </si>
  <si>
    <t>Flow shares of space heating and water heating of dual technologies:</t>
  </si>
  <si>
    <t>SHARE</t>
  </si>
  <si>
    <t>NR_*SpHeat</t>
  </si>
  <si>
    <t>R_ES-SH*ELC06</t>
  </si>
  <si>
    <t>R_ES-SH*ELC07</t>
  </si>
  <si>
    <t>2011,2050</t>
  </si>
  <si>
    <t>NR_*WatHeat</t>
  </si>
  <si>
    <t>NRGO</t>
  </si>
  <si>
    <t>\I:CEFF</t>
  </si>
  <si>
    <t>C_ES-SH-HO_ELC01,C_ES-SH-HO_ELC02</t>
  </si>
  <si>
    <t>C_ES-SH-HR_ELC01,C_ES-SH-HR_ELC02</t>
  </si>
  <si>
    <t>C_ES-SH-SR_ELC01,C_ES-SH-SR_ELC02</t>
  </si>
  <si>
    <t>C_ES-SH-SL_ELC01,C_ES-SH-SL_ELC02</t>
  </si>
  <si>
    <t>C_ES-SH-SS_ELC01,C_ES-SH-SS_ELC02</t>
  </si>
  <si>
    <t>C_ES-SH-OF_ELC01,C_ES-SH-OF_ELC02</t>
  </si>
  <si>
    <t>\I:EFF</t>
  </si>
  <si>
    <t>RREFELC501</t>
  </si>
  <si>
    <t>RREFELC601</t>
  </si>
  <si>
    <t>SubRes data</t>
  </si>
  <si>
    <t>RLIGELC201</t>
  </si>
  <si>
    <t>RLIGELC301</t>
  </si>
  <si>
    <t>RLIGELC401</t>
  </si>
  <si>
    <t>Top_Check</t>
  </si>
  <si>
    <t>O</t>
  </si>
  <si>
    <t>R_ES-SH*ELC05</t>
  </si>
  <si>
    <t>RSDELC</t>
  </si>
  <si>
    <t>COMELC</t>
  </si>
  <si>
    <t>LO</t>
  </si>
  <si>
    <t>Relaxation 2050</t>
  </si>
  <si>
    <t>R_ES-SH-DH_BIO01</t>
  </si>
  <si>
    <t>R_ES-SH-DH_BIO02</t>
  </si>
  <si>
    <t>R_ES-SH-DH_ELC01</t>
  </si>
  <si>
    <t>R_ES-SH-DH_ELC02</t>
  </si>
  <si>
    <t>R_ES-SH-DH_ELC08</t>
  </si>
  <si>
    <t>R_ES-SH-DH_GAS01</t>
  </si>
  <si>
    <t>R_ES-SH-DH_GAS02</t>
  </si>
  <si>
    <t>R_ES-SH-DH_GAS03</t>
  </si>
  <si>
    <t>R_ES-SH-DH_GAS04</t>
  </si>
  <si>
    <t>R_ES-SH-DH_GAS05</t>
  </si>
  <si>
    <t>R_ES-SH-DH_GAS08</t>
  </si>
  <si>
    <t>R_ES-SH-DH_OIL01</t>
  </si>
  <si>
    <t>R_ES-SH-DH_OIL02</t>
  </si>
  <si>
    <t>R_ES-SH-DH_OIL04</t>
  </si>
  <si>
    <t>R_ES-SH-DH_OIL05</t>
  </si>
  <si>
    <t>R_ES-SH-FL_BIO01</t>
  </si>
  <si>
    <t>R_ES-SH-FL_ELC01</t>
  </si>
  <si>
    <t>R_ES-SH-FL_ELC02</t>
  </si>
  <si>
    <t>R_ES-SH-FL_ELC08</t>
  </si>
  <si>
    <t>R_ES-SH-FL_GAS01</t>
  </si>
  <si>
    <t>R_ES-SH-FL_GAS02</t>
  </si>
  <si>
    <t>R_ES-SH-FL_GAS03</t>
  </si>
  <si>
    <t>R_ES-SH-FL_GAS04</t>
  </si>
  <si>
    <t>R_ES-SH-FL_GAS05</t>
  </si>
  <si>
    <t>R_ES-SH-FL_GAS08</t>
  </si>
  <si>
    <t>R_ES-SH-FL_OIL01</t>
  </si>
  <si>
    <t>R_ES-SH-FL_OIL02</t>
  </si>
  <si>
    <t>R_ES-SH-SD_BIO01</t>
  </si>
  <si>
    <t>R_ES-SH-SD_ELC01</t>
  </si>
  <si>
    <t>R_ES-SH-SD_ELC02</t>
  </si>
  <si>
    <t>R_ES-SH-SD_ELC08</t>
  </si>
  <si>
    <t>R_ES-SH-SD_GAS01</t>
  </si>
  <si>
    <t>R_ES-SH-SD_GAS02</t>
  </si>
  <si>
    <t>R_ES-SH-SD_GAS03</t>
  </si>
  <si>
    <t>R_ES-SH-SD_GAS04</t>
  </si>
  <si>
    <t>R_ES-SH-SD_GAS05</t>
  </si>
  <si>
    <t>R_ES-SH-SD_GAS08</t>
  </si>
  <si>
    <t>R_ES-SH-SD_OIL01</t>
  </si>
  <si>
    <t>R_ES-SH-SD_OIL02</t>
  </si>
  <si>
    <t>R_ES-DH-70-SpHeat</t>
  </si>
  <si>
    <t>R_ES-DH-SpCool</t>
  </si>
  <si>
    <t>NCAP_AFC</t>
  </si>
  <si>
    <t>SD</t>
  </si>
  <si>
    <t>Central EU</t>
  </si>
  <si>
    <t>South EU</t>
  </si>
  <si>
    <t>East EU</t>
  </si>
  <si>
    <t>North EU</t>
  </si>
  <si>
    <t>~TFM_INS-TS</t>
  </si>
  <si>
    <t>Region</t>
  </si>
  <si>
    <t>*units</t>
  </si>
  <si>
    <t>INVCOST</t>
  </si>
  <si>
    <t>k€/unit</t>
  </si>
  <si>
    <t>FIXOM</t>
  </si>
  <si>
    <t>k€/unit-y</t>
  </si>
  <si>
    <t>Residential</t>
  </si>
  <si>
    <t>Type</t>
  </si>
  <si>
    <t>JET Code</t>
  </si>
  <si>
    <t>JET Description</t>
  </si>
  <si>
    <t>Building type</t>
  </si>
  <si>
    <t>Database tech</t>
  </si>
  <si>
    <t>Input</t>
  </si>
  <si>
    <t>Input-A</t>
  </si>
  <si>
    <t>Output</t>
  </si>
  <si>
    <t>Former tech</t>
  </si>
  <si>
    <t>Former desc</t>
  </si>
  <si>
    <t>Life</t>
  </si>
  <si>
    <t>INVCOST (€/unit)</t>
  </si>
  <si>
    <t>INVCOST~2020</t>
  </si>
  <si>
    <t>INVCOST~2030</t>
  </si>
  <si>
    <t>INVCOST~2040</t>
  </si>
  <si>
    <t>INVCOST~2050</t>
  </si>
  <si>
    <t>FIXOM (€/unit-y)</t>
  </si>
  <si>
    <t>VAROM (€/GJ)</t>
  </si>
  <si>
    <t>EFF~2020</t>
  </si>
  <si>
    <t>EFF~2030</t>
  </si>
  <si>
    <t>EFF~2040</t>
  </si>
  <si>
    <t>EFF~2050</t>
  </si>
  <si>
    <t>CEFF-Heat</t>
  </si>
  <si>
    <t>CEFF-Cool</t>
  </si>
  <si>
    <t>CEFF-Cool~2020</t>
  </si>
  <si>
    <t>CEFF-Cool~2030</t>
  </si>
  <si>
    <t>CEFF-Cool~2040</t>
  </si>
  <si>
    <t>CEFF-Cool~2050</t>
  </si>
  <si>
    <t>Cap2Act</t>
  </si>
  <si>
    <t>Share-O~SpHeat</t>
  </si>
  <si>
    <t>Share-O~WatHeat</t>
  </si>
  <si>
    <t>Share-O~SpCool</t>
  </si>
  <si>
    <t>CHPR</t>
  </si>
  <si>
    <t>CHPR~2020</t>
  </si>
  <si>
    <t>CHPR~2030</t>
  </si>
  <si>
    <t>Total EFF</t>
  </si>
  <si>
    <t>Total EFF~2020</t>
  </si>
  <si>
    <t>Total EFF~2030</t>
  </si>
  <si>
    <t>Corr factor</t>
  </si>
  <si>
    <t>Incl add costs?</t>
  </si>
  <si>
    <t>n of dwellings</t>
  </si>
  <si>
    <t>Notes</t>
  </si>
  <si>
    <t>Range Check~LO</t>
  </si>
  <si>
    <t>Range Check~UP</t>
  </si>
  <si>
    <t>*Detached pre70 (DH)</t>
  </si>
  <si>
    <t>Boiler</t>
  </si>
  <si>
    <t>Oil/Biodiesel boiler condensing_SH-WH</t>
  </si>
  <si>
    <t>DH</t>
  </si>
  <si>
    <t>HOB-oil</t>
  </si>
  <si>
    <t>RSDOIL, RSDBDL</t>
  </si>
  <si>
    <t>R_ES-DH-SpHeat, R_ES-DH-WatHeat</t>
  </si>
  <si>
    <t xml:space="preserve">Oil boiler condensing.HeatHotwater </t>
  </si>
  <si>
    <t xml:space="preserve">Oil/Biodiesel boiler condensing + wt other techs_SH-WH </t>
  </si>
  <si>
    <t xml:space="preserve">Solar collector with diesel backup.HeatHotwater  </t>
  </si>
  <si>
    <t>suppl.</t>
  </si>
  <si>
    <t xml:space="preserve">Backup for Oil boiler - Solar thermal_SH-WH </t>
  </si>
  <si>
    <t>Solar heating and hot tap water</t>
  </si>
  <si>
    <t>RSDSOL</t>
  </si>
  <si>
    <t>Y</t>
  </si>
  <si>
    <t>Solar share 10-20 % (used 15%) as Gas+Solar</t>
  </si>
  <si>
    <t>Backup for Oil boiler - Wood stove_SH</t>
  </si>
  <si>
    <t>HOB-wood</t>
  </si>
  <si>
    <t>RSDBIO</t>
  </si>
  <si>
    <t>Added Storage costs (add. inv.)</t>
  </si>
  <si>
    <t xml:space="preserve">Gas/LPG/Biogas boiler condensing_SH-WH </t>
  </si>
  <si>
    <t>HOB-gas</t>
  </si>
  <si>
    <t>RSDGAS, RSDLPG, RSDBGS</t>
  </si>
  <si>
    <t xml:space="preserve">Natural gas boiler condensing.HeatHotwater  </t>
  </si>
  <si>
    <t>Gas/LPG/Biogas boiler condensing + wt other techs_SH-WH</t>
  </si>
  <si>
    <t xml:space="preserve">Backup for Gas boiler - Solar thermal_SH-WH </t>
  </si>
  <si>
    <t xml:space="preserve">Solar share 10-20 % (used 15%). AddInv: Control unit that facilitates the operation </t>
  </si>
  <si>
    <t>Backup for Gas boiler - Wood stove_SH</t>
  </si>
  <si>
    <t>Biomass boiler_SH-WH</t>
  </si>
  <si>
    <t>HOB-biomass</t>
  </si>
  <si>
    <t xml:space="preserve">Biomass stove </t>
  </si>
  <si>
    <t>Electric boiler_SH-WH</t>
  </si>
  <si>
    <t>Electric_electric boiler</t>
  </si>
  <si>
    <t xml:space="preserve">Electric radiators  </t>
  </si>
  <si>
    <t>Include both room heaters and hot tap water preparation</t>
  </si>
  <si>
    <t>Electric HP</t>
  </si>
  <si>
    <t>Heat Pump Air-to-Air_SH</t>
  </si>
  <si>
    <t>HP-e-air-to-air</t>
  </si>
  <si>
    <t>AHET</t>
  </si>
  <si>
    <t>R_ES-DH-SpHeat, R_ES-DH-SpCool</t>
  </si>
  <si>
    <t xml:space="preserve">Air heat pump Electric </t>
  </si>
  <si>
    <t>HP covers between 60 % and 80 % of the total space heating demand of a building</t>
  </si>
  <si>
    <t xml:space="preserve">Backup for Heat Pump Air-to-Air - Electric_SH-WH </t>
  </si>
  <si>
    <t xml:space="preserve">AddInv: shunt-valve. </t>
  </si>
  <si>
    <t xml:space="preserve">Backup for Heat Pump Air-to-Air - Natural Gas boiler_SH-WH </t>
  </si>
  <si>
    <t>RSDLPG, RSDBGS, RSDGAS</t>
  </si>
  <si>
    <t xml:space="preserve">Backup for Heat Pump Air-to-Air - Biomass boiler_SH-WH </t>
  </si>
  <si>
    <t xml:space="preserve">Backup for Heat Pump Air-to-Air - Solar thermal_SH-WH </t>
  </si>
  <si>
    <t>R_ES-SH-DH_ELC04</t>
  </si>
  <si>
    <t>Heat Pump Air-to-Water_SH-WH</t>
  </si>
  <si>
    <t>HP-e-air-to-water</t>
  </si>
  <si>
    <t>R_ES-SH-DH_ELC05</t>
  </si>
  <si>
    <t>Heat Pump Air-to-Water_SH-WH-SC</t>
  </si>
  <si>
    <t>R_ES-DH-SpHeat, R_ES-DH-WatHeat, R_ES-DH-SpCool</t>
  </si>
  <si>
    <t>R_ES-SH-DH_ELC06</t>
  </si>
  <si>
    <t>Heat Pump Ground Source Horizontal_SH-WH</t>
  </si>
  <si>
    <t>Heat pump, ground source</t>
  </si>
  <si>
    <t>GHET</t>
  </si>
  <si>
    <t>R_ES-SH-DH_ELC07</t>
  </si>
  <si>
    <t>Heat Pump Ground Source Horizontal_SH-WH-SC</t>
  </si>
  <si>
    <t>Ground heat pump Hor Electric HeatCool</t>
  </si>
  <si>
    <t>Heat Pump Ground Source Vertical_SH-WH</t>
  </si>
  <si>
    <t>Dominated tech by horizontal tech</t>
  </si>
  <si>
    <t>R_ES-SH-DH_ELC09</t>
  </si>
  <si>
    <t>Heat Pump Ground Source Vertical_SH-WH-SC</t>
  </si>
  <si>
    <t xml:space="preserve">Ground heat pump Ver Electric HeatCool </t>
  </si>
  <si>
    <t>R_ES-SH-DH_ELC10</t>
  </si>
  <si>
    <t>Heat Pump Groundwater_SH-WH</t>
  </si>
  <si>
    <t>HP-e-groundwater</t>
  </si>
  <si>
    <t>Drilling costs &amp; heat exchanger</t>
  </si>
  <si>
    <t>R_ES-SH-DH_ELC11</t>
  </si>
  <si>
    <t>Heat Pump Groundwater_SH-WH-SC</t>
  </si>
  <si>
    <t xml:space="preserve">Groundwater heat pump Electric Heat Cool </t>
  </si>
  <si>
    <t>GHP</t>
  </si>
  <si>
    <t>Gas/LPG-driven Heat Pump absorption Air-to-Water_SH-WH</t>
  </si>
  <si>
    <t>GHP – direct-fired absorption heat pump air/brine to water</t>
  </si>
  <si>
    <t>R_ES-SH-DH_GAS06</t>
  </si>
  <si>
    <t xml:space="preserve">Air heat pump with natural gas HeatCool </t>
  </si>
  <si>
    <t>Gas/LPG-driven Heat Pump absorption Air-to-Water_SH-WH-SC</t>
  </si>
  <si>
    <t>Gas/LPG-driven Heat Pump absorption brine to water + Solar th collectors_SH-WH</t>
  </si>
  <si>
    <t>GHP – adsorption heat pump brine to water + Solar thermal collectors</t>
  </si>
  <si>
    <t>Gas/LPG-driven Heat Pump absorption brine to water + Solar th collectors_SH-WH-SC</t>
  </si>
  <si>
    <t>R_ES-SH-DH_GAS07</t>
  </si>
  <si>
    <t>Gas/LPG-driven Heat Pump engine Air-to-Water_SH-WH</t>
  </si>
  <si>
    <t>GHP – gas engine driven heat pump air/brine to water</t>
  </si>
  <si>
    <t>Data missing. NE data used</t>
  </si>
  <si>
    <t>Gas/LPG-driven Heat Pump engine Air-to-Water_SH-WH-SC</t>
  </si>
  <si>
    <t>CHP</t>
  </si>
  <si>
    <t>R_ES-CHP-DH_GAS01</t>
  </si>
  <si>
    <t xml:space="preserve">CHP engines – Natural Gas micro turbine </t>
  </si>
  <si>
    <t>CHP engines – micro turbine</t>
  </si>
  <si>
    <t>RSDELC, R_ES-DH-SpHeat</t>
  </si>
  <si>
    <t>n/a</t>
  </si>
  <si>
    <t>R_ES-CHP-DH_OIL01</t>
  </si>
  <si>
    <t>CHP engines – Diesel micro turbine</t>
  </si>
  <si>
    <t>R_ES-CHP-DH_GAS02</t>
  </si>
  <si>
    <t>CHP engines – Natural Gas internal combustion engine</t>
  </si>
  <si>
    <t>CHP engines – internal combustion engine, natural gas</t>
  </si>
  <si>
    <t>The mechanical (or electrical) efficiency of a gas engine is around 20 % as annual average for micro-CHP units and 28-36 % for mini CHP units. The combined efficiency (electricity and heat) is on the level of 80-90 %.</t>
  </si>
  <si>
    <t>R_ES-CHP-DH_OIL02</t>
  </si>
  <si>
    <t xml:space="preserve">CHP engines – Diesel internal combustion engine </t>
  </si>
  <si>
    <t>CHP engines – internal combustion engine, diesel</t>
  </si>
  <si>
    <t>R_ES-CHP-DH_GAS03</t>
  </si>
  <si>
    <t>CHP engines – Stirling engine</t>
  </si>
  <si>
    <t>typically combined with a condensing natural gas boiler for peak loads</t>
  </si>
  <si>
    <t>R_ES-CHP-DH_GAS04</t>
  </si>
  <si>
    <t>CHP fuel cells – Natural Gas fuel cell</t>
  </si>
  <si>
    <t>CHP fuel cells – natural gas fuel cell</t>
  </si>
  <si>
    <t>RSDGAS</t>
  </si>
  <si>
    <t>Includes auxiliary boiler and storage (also for tap water). The micro CHP unit will cover approx. 50-70 % of the total heat demand (from NE)</t>
  </si>
  <si>
    <t>R_ES-CHP-DH_HH201</t>
  </si>
  <si>
    <t>CHP fuel cells – Hydrogen fuel cell</t>
  </si>
  <si>
    <t>CHP fuel cells – hydrogen fuel cell</t>
  </si>
  <si>
    <t>RSDHH2</t>
  </si>
  <si>
    <t>The micro CHP unit will cover approx. 50-70 % of the total heat demand. The remaining part should be supplied from a supplementary heater/burner. Electroliser EFF not included (from NE)</t>
  </si>
  <si>
    <t>R_ES-CHP-DH-GASspl</t>
  </si>
  <si>
    <t>Backup for CHPs - Natural Gas boiler</t>
  </si>
  <si>
    <t>R_ES-CHP-DH-OILspl</t>
  </si>
  <si>
    <t>Backup for CHPs - Oil boiler</t>
  </si>
  <si>
    <t>RSDBDL, RSDOIL</t>
  </si>
  <si>
    <t>*Detached post70 (DH-70)</t>
  </si>
  <si>
    <t>R_ES-SH-DH-70_OIL01</t>
  </si>
  <si>
    <t>DH-70</t>
  </si>
  <si>
    <t>R_ES-DH-70-SpHeat, R_ES-DH-70-WatHeat</t>
  </si>
  <si>
    <t>R_ES-SH-DH-70_OIL02</t>
  </si>
  <si>
    <t>R_ES-SH-DH-70_GAS01</t>
  </si>
  <si>
    <t>R_ES-SH-DH-70_GAS02</t>
  </si>
  <si>
    <t>R_ES-SH-DH-70_BIO01</t>
  </si>
  <si>
    <t>R_ES-SH-DH-70_ELC01</t>
  </si>
  <si>
    <t>R_ES-SH-DH-70_ELC02</t>
  </si>
  <si>
    <t>R_ES-DH-70-SpHeat, R_ES-DH-70-SpCool</t>
  </si>
  <si>
    <t>R_ES-SH-DH-70_ELC04</t>
  </si>
  <si>
    <t>R_ES-SH-DH-70_ELC05</t>
  </si>
  <si>
    <t>R_ES-DH-70-SpHeat, R_ES-DH-70-WatHeat, R_ES-DH-70-SpCool</t>
  </si>
  <si>
    <t>R_ES-SH-DH-70_ELC06</t>
  </si>
  <si>
    <t>R_ES-SH-DH-70_ELC07</t>
  </si>
  <si>
    <t>R_ES-SH-DH-70_ELC08</t>
  </si>
  <si>
    <t>R_ES-SH-DH-70_ELC09</t>
  </si>
  <si>
    <t>R_ES-SH-DH-70_ELC10</t>
  </si>
  <si>
    <t>R_ES-SH-DH-70_ELC11</t>
  </si>
  <si>
    <t>R_ES-SH-DH-70_GAS03</t>
  </si>
  <si>
    <t>R_ES-SH-DH-70_GAS04</t>
  </si>
  <si>
    <t>R_ES-SH-DH-70_GAS05</t>
  </si>
  <si>
    <t>R_ES-SH-DH-70_GAS06</t>
  </si>
  <si>
    <t>R_ES-SH-DH-70_GAS07</t>
  </si>
  <si>
    <t>R_ES-SH-DH-70_GAS08</t>
  </si>
  <si>
    <t>R_ES-CHP-DH-70_GAS01</t>
  </si>
  <si>
    <t>RSDELC, R_ES-DH-70-SpHeat</t>
  </si>
  <si>
    <t>R_ES-CHP-DH-70_OIL01</t>
  </si>
  <si>
    <t xml:space="preserve">CHP engines – Diesel micro turbine </t>
  </si>
  <si>
    <t>R_ES-CHP-DH-70_GAS02</t>
  </si>
  <si>
    <t>R_ES-CHP-DH-70_OIL02</t>
  </si>
  <si>
    <t>R_ES-CHP-DH-70_GAS03</t>
  </si>
  <si>
    <t>R_ES-CHP-DH-70_GAS04</t>
  </si>
  <si>
    <t>R_ES-CHP-DH-70_HH201</t>
  </si>
  <si>
    <t>R_ES-CHP-DH-70-GASspl</t>
  </si>
  <si>
    <t>R_ES-CHP-DH-70-OILspl</t>
  </si>
  <si>
    <t>*Semidetached dwellings (SD)</t>
  </si>
  <si>
    <t>R_ES-SD-SpHeat, R_ES-SD-WatHeat</t>
  </si>
  <si>
    <t>R_ES-SD-SpHeat, R_ES-SD-SpCool</t>
  </si>
  <si>
    <t>R_ES-SH-SD_ELC04</t>
  </si>
  <si>
    <t>R_ES-SH-SD_ELC05</t>
  </si>
  <si>
    <t>R_ES-SD-SpHeat, R_ES-SD-WatHeat, R_ES-SD-SpCool</t>
  </si>
  <si>
    <t>R_ES-SH-SD_ELC06</t>
  </si>
  <si>
    <t>R_ES-SH-SD_ELC07</t>
  </si>
  <si>
    <t>R_ES-SH-SD_ELC09</t>
  </si>
  <si>
    <t>R_ES-SH-SD_ELC10</t>
  </si>
  <si>
    <t>R_ES-SH-SD_ELC11</t>
  </si>
  <si>
    <t>R_ES-SH-SD_GAS06</t>
  </si>
  <si>
    <t>R_ES-SH-SD_GAS07</t>
  </si>
  <si>
    <t>R_ES-CHP-SD_GAS01</t>
  </si>
  <si>
    <t>RSDELC, R_ES-SD-SpHeat</t>
  </si>
  <si>
    <t>R_ES-CHP-SD_OIL01</t>
  </si>
  <si>
    <t>R_ES-CHP-SD_GAS02</t>
  </si>
  <si>
    <t>R_ES-CHP-SD_OIL02</t>
  </si>
  <si>
    <t>R_ES-CHP-SD_GAS03</t>
  </si>
  <si>
    <t>R_ES-CHP-SD_GAS04</t>
  </si>
  <si>
    <t>R_ES-CHP-SD_HH201</t>
  </si>
  <si>
    <t>*Flats (FL)</t>
  </si>
  <si>
    <t>FL</t>
  </si>
  <si>
    <t>HOB oil_large</t>
  </si>
  <si>
    <t>R_ES-FL-SpHeat, R_ES-FL-WatHeat</t>
  </si>
  <si>
    <t>Solar heating and hot tap water_large</t>
  </si>
  <si>
    <t>*suppl.</t>
  </si>
  <si>
    <t>HOB-gas_large</t>
  </si>
  <si>
    <t>HOB-biomass_large</t>
  </si>
  <si>
    <t>Electric_electric boiler_large</t>
  </si>
  <si>
    <t>HP-e-air-to-air_large</t>
  </si>
  <si>
    <t>R_ES-FL-SpHeat, R_ES-FL-SpCool</t>
  </si>
  <si>
    <t>R_ES-SH-FL_ELC04</t>
  </si>
  <si>
    <t>HP-e-air-to-water_large</t>
  </si>
  <si>
    <t>R_ES-SH-FL_ELC05</t>
  </si>
  <si>
    <t>R_ES-FL-SpHeat, R_ES-FL-WatHeat, R_ES-FL-SpCool</t>
  </si>
  <si>
    <t>R_ES-SH-FL_ELC06</t>
  </si>
  <si>
    <t>Heat pump, ground source_large</t>
  </si>
  <si>
    <t>R_ES-SH-FL_ELC07</t>
  </si>
  <si>
    <t>R_ES-SH-FL_ELC09</t>
  </si>
  <si>
    <t>R_ES-SH-FL_ELC10</t>
  </si>
  <si>
    <t>HP-e-groundwater_large</t>
  </si>
  <si>
    <t>R_ES-SH-FL_ELC11</t>
  </si>
  <si>
    <t>GHP – absorption heat pump air/brine to water_large</t>
  </si>
  <si>
    <t>R_ES-SH-FL_GAS06</t>
  </si>
  <si>
    <t>R_ES-SH-FL_GAS07</t>
  </si>
  <si>
    <t>R_ES-CHP-FL_GAS01</t>
  </si>
  <si>
    <t>CHP engines – micro turbine_large</t>
  </si>
  <si>
    <t>RSDELC, R_ES-FL-SpHeat</t>
  </si>
  <si>
    <t>R_ES-CHP-FL_OIL01</t>
  </si>
  <si>
    <t>R_ES-CHP-FL_GAS02</t>
  </si>
  <si>
    <t>CHP engines – internal combustion engine, natural gas_large</t>
  </si>
  <si>
    <t>R_ES-CHP-FL_OIL02</t>
  </si>
  <si>
    <t>R_ES-CHP-FL_GAS03</t>
  </si>
  <si>
    <t>CHP engines – Stirling engine_large</t>
  </si>
  <si>
    <t>R_ES-CHP-FL_GAS04</t>
  </si>
  <si>
    <t>R_ES-CHP-FL_HH201</t>
  </si>
  <si>
    <t>R_ES-CHP-FL-GASspl</t>
  </si>
  <si>
    <t>R_ES-CHP-FL-OILspl</t>
  </si>
  <si>
    <t>Country Code</t>
  </si>
  <si>
    <t>Country</t>
  </si>
  <si>
    <t>Area Code</t>
  </si>
  <si>
    <t>Area</t>
  </si>
  <si>
    <t>CE</t>
  </si>
  <si>
    <t>NE</t>
  </si>
  <si>
    <t>Albania</t>
  </si>
  <si>
    <t>&lt;-&gt;</t>
  </si>
  <si>
    <t>=</t>
  </si>
  <si>
    <t>Austria</t>
  </si>
  <si>
    <t>Bosnia</t>
  </si>
  <si>
    <t>Belgium</t>
  </si>
  <si>
    <t>Bulgaria</t>
  </si>
  <si>
    <t>Switzerland</t>
  </si>
  <si>
    <t>Cyprus</t>
  </si>
  <si>
    <t>Czech Rep.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</si>
  <si>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</si>
  <si>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</si>
  <si>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</si>
  <si>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</si>
  <si>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</si>
  <si>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</si>
  <si>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</si>
  <si>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</si>
  <si>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</si>
  <si>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</si>
  <si>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Iceland</t>
  </si>
  <si>
    <t>Italy</t>
  </si>
  <si>
    <t>Kosovo</t>
  </si>
  <si>
    <t>Lithuania</t>
  </si>
  <si>
    <t>Luxembourg</t>
  </si>
  <si>
    <t>Latvia</t>
  </si>
  <si>
    <t>Montenegro</t>
  </si>
  <si>
    <t>Macedonia</t>
  </si>
  <si>
    <t>Malta</t>
  </si>
  <si>
    <t>Netherlands</t>
  </si>
  <si>
    <t>Norway</t>
  </si>
  <si>
    <t>Poland</t>
  </si>
  <si>
    <t>Portugal</t>
  </si>
  <si>
    <t>Romania</t>
  </si>
  <si>
    <t>Serbia</t>
  </si>
  <si>
    <t>Sweden</t>
  </si>
  <si>
    <t>Slovenia</t>
  </si>
  <si>
    <t>Slovakia</t>
  </si>
  <si>
    <t>United Kingdom</t>
  </si>
  <si>
    <t>R_*SpHeat</t>
  </si>
  <si>
    <t>Allregions</t>
  </si>
  <si>
    <t>R_ES-SD-SpCool</t>
  </si>
  <si>
    <t>R_ES-FL-SpCool</t>
  </si>
  <si>
    <t>2010</t>
  </si>
  <si>
    <t>R_ES-SH-DH-70_COA</t>
  </si>
  <si>
    <t>R_ES-SH-DH-70_GAS</t>
  </si>
  <si>
    <t>R_ES-SH-DH-70_GEO</t>
  </si>
  <si>
    <t>R_ES-SH-DH-70_HET</t>
  </si>
  <si>
    <t>R_ES-SH-DH-70_LPG</t>
  </si>
  <si>
    <t>R_ES-SH-DH-70_OIL</t>
  </si>
  <si>
    <t>ACT</t>
  </si>
  <si>
    <t>This TFM_INS works for all type of buildings</t>
  </si>
  <si>
    <t>~TFM_INS-TS: Region=AT,BE,BG,CY,CZ,DE,DK,EE,ES,FI,FR,EL,HU,IE,IT,LT,LU,LV,MT,NL,PL,PT,RO,SE,SI,SK,UK,CH,IS,NO,AL,BA,HR,KS,ME,MK,RS</t>
  </si>
  <si>
    <t>Timeslice</t>
  </si>
  <si>
    <t>R_ES-SH*ELC02</t>
  </si>
  <si>
    <t>W,R,S,F</t>
  </si>
  <si>
    <t>R_ES*SpHeat</t>
  </si>
  <si>
    <t>R_ES-SH*ELC04</t>
  </si>
  <si>
    <t>W,S</t>
  </si>
  <si>
    <t>as in old SUBRES_B-NewTechs-RCA</t>
  </si>
  <si>
    <t>R_ES-SH*ELC08</t>
  </si>
  <si>
    <t>R_ES-SH*ELC09</t>
  </si>
  <si>
    <t>R_ES-SH*ELC10</t>
  </si>
  <si>
    <t>R_ES-SH*ELC11</t>
  </si>
  <si>
    <t>R_ES-SH*GAS03</t>
  </si>
  <si>
    <t>R_ES-SH*GAS04</t>
  </si>
  <si>
    <t>R_ES-SH*GAS05</t>
  </si>
  <si>
    <t>R_ES-SH*GAS06</t>
  </si>
  <si>
    <t>R_ES-SH*GAS07</t>
  </si>
  <si>
    <t>R_ES-SH*GAS08</t>
  </si>
  <si>
    <t>Data from SubRes - IDEES.</t>
  </si>
  <si>
    <t>Same for all dwellings.</t>
  </si>
  <si>
    <t>R_ES_SH*</t>
  </si>
  <si>
    <t>Lower bound</t>
  </si>
  <si>
    <t>R_ES-SH-DH_OIL02-SOLspl</t>
  </si>
  <si>
    <t>R_ES-SH-DH_OIL02-BIOspl</t>
  </si>
  <si>
    <t>R_ES-SH-DH_GAS02-SOLspl</t>
  </si>
  <si>
    <t>R_ES-SH-DH_GAS02-BIOspl</t>
  </si>
  <si>
    <t>R_ES-SH-DH_ELC02-ELCspl</t>
  </si>
  <si>
    <t>R_ES-SH-DH_ELC02-GASspl</t>
  </si>
  <si>
    <t>R_ES-SH-DH_ELC02-BIOspl</t>
  </si>
  <si>
    <t>R_ES-SH-DH_ELC02-SOLspl</t>
  </si>
  <si>
    <t>R_ES-SH-FL_OIL02-SOLspl</t>
  </si>
  <si>
    <t>R_ES-SH-FL_OIL02-BIOspl</t>
  </si>
  <si>
    <t>R_ES-SH-FL_GAS01-SOLspl</t>
  </si>
  <si>
    <t>R_ES-SH-FL_GAS01-BIOspl</t>
  </si>
  <si>
    <t>R_ES-SH-FL_ELC02-ELCspl</t>
  </si>
  <si>
    <t>R_ES-SH-FL_ELC02-GASspl</t>
  </si>
  <si>
    <t>R_ES-SH-FL_ELC02-BIOspl</t>
  </si>
  <si>
    <t>R_ES-SH-FL_ELC02-SOLspl</t>
  </si>
  <si>
    <t>R_ES-SH-DH-70_OIL02-SOLspl</t>
  </si>
  <si>
    <t>R_ES-SH-DH-70_OIL02-BIOspl</t>
  </si>
  <si>
    <t>R_ES-SH-DH-70_GAS02-SOLspl</t>
  </si>
  <si>
    <t>R_ES-SH-DH-70_GAS02-BIOspl</t>
  </si>
  <si>
    <t>R_ES-SH-DH-70_ELC02-ELCspl</t>
  </si>
  <si>
    <t>R_ES-SH-DH-70_ELC02-GASspl</t>
  </si>
  <si>
    <t>R_ES-SH-DH-70_ELC02-BIOspl</t>
  </si>
  <si>
    <t>R_ES-SH-DH-70_ELC02-SOLspl</t>
  </si>
  <si>
    <t>R_ES-SH-SD_OIL02-SOLspl</t>
  </si>
  <si>
    <t>R_ES-SH-SD_OIL02-BIOspl</t>
  </si>
  <si>
    <t>R_ES-SH-SD_GAS02-SOLspl</t>
  </si>
  <si>
    <t>R_ES-SH-SD_GAS02-BIOspl</t>
  </si>
  <si>
    <t>R_ES-SH-SD_ELC02-ELCspl</t>
  </si>
  <si>
    <t>R_ES-SH-SD_ELC02-GASspl</t>
  </si>
  <si>
    <t>R_ES-SH-SD_ELC02-BIOspl</t>
  </si>
  <si>
    <t>R_ES-SH-SD_ELC02-SOLspl</t>
  </si>
  <si>
    <t>R_ES-WH-DH_SOL</t>
  </si>
  <si>
    <t>R_ES-WH-FL_SOL</t>
  </si>
  <si>
    <t>R_ES-WH-SD_SOL</t>
  </si>
  <si>
    <t>FLO_SHAR</t>
  </si>
  <si>
    <t>R_ES_SH*,R_ES_CHP*</t>
  </si>
  <si>
    <t>R_ES-SH-FL*,R_ES-CHP-FL*</t>
  </si>
  <si>
    <t>R_ES-SH-DH*,R_ES-CHP-DH*</t>
  </si>
  <si>
    <t>R_ES-SH-SD*,R_ES-CHP-SD*</t>
  </si>
  <si>
    <t>R_ES-SH*,R_ES-CHP*</t>
  </si>
  <si>
    <t>~TFM_INS-TS: EUR17</t>
  </si>
  <si>
    <t>NCAP_AFA</t>
  </si>
  <si>
    <t>R_ES-SH-DH-70*,R_ES-CHP-DH-70*</t>
  </si>
  <si>
    <t>R_ES-SH-DH_HET01</t>
  </si>
  <si>
    <t>R_ES-SH-DH-70_HET01</t>
  </si>
  <si>
    <t>R_ES-SH-SD_HET01</t>
  </si>
  <si>
    <t>R_ES-SH-FL_HET01</t>
  </si>
  <si>
    <t>No</t>
  </si>
  <si>
    <t>R_ES-SH-DH_ELC-HPA</t>
  </si>
  <si>
    <t>R_ES-SH-DH_ELC-HPG</t>
  </si>
  <si>
    <t>R_ES-SH-DH_ELC-R</t>
  </si>
  <si>
    <t>R_ES-SH-DH-70_ELC-HPA</t>
  </si>
  <si>
    <t>R_ES-SH-DH-70_ELC-HPG</t>
  </si>
  <si>
    <t>R_ES-SH-DH-70_ELC-R</t>
  </si>
  <si>
    <t>R_ES-SH-FL_ELC-HPA</t>
  </si>
  <si>
    <t>R_ES-SH-FL_ELC-HPG</t>
  </si>
  <si>
    <t>R_ES-SH-FL_ELC-R</t>
  </si>
  <si>
    <t>R_ES-SH-SD_ELC-HPA</t>
  </si>
  <si>
    <t>R_ES-SH-SD_ELC-HPG</t>
  </si>
  <si>
    <t>R_ES-SH-SD_ELC-R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</si>
  <si>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</si>
  <si>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</si>
  <si>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</si>
  <si>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</si>
  <si>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</si>
  <si>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</si>
  <si>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</si>
  <si>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</si>
  <si>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</si>
  <si>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</si>
  <si>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</si>
  <si>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NRG</t>
  </si>
  <si>
    <t>CHANGES</t>
  </si>
  <si>
    <t>RSD_HP</t>
  </si>
  <si>
    <t>Change FLO_SHAR to electricity</t>
  </si>
  <si>
    <t>RSD_SpCool</t>
  </si>
  <si>
    <t>INS-UPD SpCool</t>
  </si>
  <si>
    <t>Increased cooling shares</t>
  </si>
  <si>
    <t>WAS</t>
  </si>
  <si>
    <t xml:space="preserve">WAS: </t>
  </si>
  <si>
    <t>R_ES-SH-DH-70_BIO</t>
  </si>
  <si>
    <t>year2</t>
  </si>
  <si>
    <t>R_ES-SH-SD_LPG</t>
  </si>
  <si>
    <t>R_ES-SH-SD_OIL</t>
  </si>
  <si>
    <t>RSDELC-heating</t>
  </si>
  <si>
    <t>R_ES_SH-DH_HET*</t>
  </si>
  <si>
    <t>R_ES_SH-SD_HET*</t>
  </si>
  <si>
    <t>R_ES_SH-FL_HET*</t>
  </si>
  <si>
    <t>RSDELC-other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</si>
</sst>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&quot;€&quot;* #,##0.00_);_(&quot;€&quot;* \(#,##0.00\);_(&quot;€&quot;* &quot;-&quot;??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&quot;$&quot;#,##0_);\(&quot;$&quot;#,##0\)"/>
    <numFmt numFmtId="169" formatCode="_(&quot;$&quot;* #,##0.00_);_(&quot;$&quot;* \(#,##0.00\);_(&quot;$&quot;* &quot;-&quot;??_);_(@_)"/>
    <numFmt numFmtId="170" formatCode="0.0%"/>
    <numFmt numFmtId="171" formatCode="_-[$€-2]\ * #,##0.00_-;\-[$€-2]\ * #,##0.00_-;_-[$€-2]\ * &quot;-&quot;??_-"/>
    <numFmt numFmtId="172" formatCode="#,##0;\-\ #,##0;_-\ &quot;- &quot;"/>
    <numFmt numFmtId="173" formatCode="0.0"/>
    <numFmt numFmtId="174" formatCode="_([$€]* #,##0.00_);_([$€]* \(#,##0.00\);_([$€]* &quot;-&quot;??_);_(@_)"/>
    <numFmt numFmtId="175" formatCode="_ &quot;kr&quot;\ * #,##0_ ;_ &quot;kr&quot;\ * \-#,##0_ ;_ &quot;kr&quot;\ * &quot;-&quot;_ ;_ @_ "/>
    <numFmt numFmtId="176" formatCode="_ &quot;kr&quot;\ * #,##0.00_ ;_ &quot;kr&quot;\ * \-#,##0.00_ ;_ &quot;kr&quot;\ * &quot;-&quot;??_ ;_ @_ "/>
    <numFmt numFmtId="177" formatCode="_([$€-2]* #,##0.00_);_([$€-2]* \(#,##0.00\);_([$€-2]* &quot;-&quot;??_)"/>
    <numFmt numFmtId="178" formatCode="\(##\);\(##\)"/>
    <numFmt numFmtId="179" formatCode="#,##0.0"/>
    <numFmt numFmtId="180" formatCode="\Te\x\t"/>
    <numFmt numFmtId="181" formatCode="0.000"/>
    <numFmt numFmtId="182" formatCode="#,##0.0_i"/>
    <numFmt numFmtId="183" formatCode="_-&quot;€&quot;\ * #,##0.00_-;\-&quot;€&quot;\ * #,##0.00_-;_-&quot;€&quot;\ * &quot;-&quot;??_-;_-@_-"/>
    <numFmt numFmtId="184" formatCode="_-[$€]* #,##0.00_-;\-[$€]* #,##0.00_-;_-[$€]* &quot;-&quot;??_-;_-@_-"/>
    <numFmt numFmtId="185" formatCode="_-* #,##0.00\ _€_-;\-* #,##0.00\ _€_-;_-* &quot;-&quot;??\ _€_-;_-@_-"/>
    <numFmt numFmtId="186" formatCode="_-[$€-2]* #,##0.00_-;\-[$€-2]* #,##0.00_-;_-[$€-2]* &quot;-&quot;??_-"/>
    <numFmt numFmtId="187" formatCode="_-&quot;$&quot;* #,##0.00_-;\-&quot;$&quot;* #,##0.00_-;_-&quot;$&quot;* &quot;-&quot;??_-;_-@_-"/>
    <numFmt numFmtId="188" formatCode="General_)"/>
    <numFmt numFmtId="189" formatCode="0.000000"/>
    <numFmt numFmtId="190" formatCode="0.0000"/>
  </numFmts>
  <fonts count="8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sz val="8"/>
      <color indexed="9"/>
      <name val="Arial"/>
      <family val="2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70C0"/>
      <name val="Arial"/>
      <family val="2"/>
    </font>
    <font>
      <b/>
      <sz val="11"/>
      <color rgb="FF9C6500"/>
      <name val="Calibri"/>
      <family val="2"/>
      <scheme val="minor"/>
    </font>
    <font>
      <sz val="10"/>
      <color rgb="FFFF0000"/>
      <name val="Arial"/>
      <family val="2"/>
    </font>
    <font>
      <u val="single"/>
      <sz val="8"/>
      <color indexed="12"/>
      <name val="Arial"/>
      <family val="2"/>
    </font>
    <font>
      <b/>
      <sz val="16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mbria"/>
      <family val="1"/>
    </font>
    <font>
      <i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name val="Cambria"/>
      <family val="1"/>
    </font>
    <font>
      <b/>
      <sz val="9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Arial"/>
      <family val="2"/>
    </font>
    <font>
      <b/>
      <sz val="8"/>
      <name val="Arial"/>
      <family val="2"/>
      <charset val="161"/>
    </font>
    <font>
      <sz val="10"/>
      <color indexed="8"/>
      <name val="Arial"/>
      <family val="2"/>
    </font>
    <font>
      <u val="single"/>
      <sz val="10"/>
      <color indexed="12"/>
      <name val="Arial"/>
      <family val="2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family val="2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 val="single"/>
      <sz val="10"/>
      <color indexed="12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u val="single"/>
      <sz val="11"/>
      <color theme="1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b/>
      <sz val="10"/>
      <color rgb="FF3333FF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299883842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rgb="FFFFFFCC"/>
        <bgColor indexed="64"/>
      </patternFill>
    </fill>
    <fill>
      <patternFill patternType="solid">
        <fgColor theme="9" tint="0.79992002248764"/>
        <bgColor indexed="64"/>
      </patternFill>
    </fill>
    <fill>
      <patternFill patternType="solid">
        <fgColor rgb="FFFFC7CE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9" tint="0.599929988384247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theme="3" tint="0.599929988384247"/>
        <bgColor indexed="64"/>
      </patternFill>
    </fill>
    <fill>
      <patternFill patternType="solid">
        <fgColor theme="6" tint="0.5999299883842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2002248764"/>
        <bgColor indexed="64"/>
      </patternFill>
    </fill>
    <fill>
      <patternFill patternType="solid">
        <fgColor theme="3" tint="0.79992002248764"/>
        <bgColor indexed="64"/>
      </patternFill>
    </fill>
    <fill>
      <patternFill patternType="solid">
        <fgColor theme="7" tint="0.79992002248764"/>
        <bgColor indexed="64"/>
      </patternFill>
    </fill>
    <fill>
      <patternFill patternType="solid">
        <fgColor theme="5" tint="0.79992002248764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10"/>
      </bottom>
    </border>
    <border>
      <left/>
      <right/>
      <top style="thin">
        <color indexed="56"/>
      </top>
      <bottom style="double">
        <color indexed="56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324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2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49" fontId="0" fillId="6" borderId="3">
      <alignment vertical="top" wrapText="1"/>
      <protection/>
    </xf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6" fillId="0" borderId="4">
      <alignment horizontal="left" vertical="center" wrapText="1" indent="2"/>
      <protection/>
    </xf>
    <xf numFmtId="3" fontId="29" fillId="0" borderId="3">
      <alignment horizontal="right" vertical="top"/>
      <protection/>
    </xf>
    <xf numFmtId="0" fontId="3" fillId="15" borderId="5">
      <alignment horizontal="centerContinuous" vertical="top" wrapText="1"/>
      <protection/>
    </xf>
    <xf numFmtId="0" fontId="30" fillId="0" borderId="0">
      <alignment vertical="top" wrapText="1"/>
      <protection/>
    </xf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43" fillId="24" borderId="9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4" fontId="6" fillId="0" borderId="0" applyBorder="0">
      <alignment horizontal="right" vertical="center"/>
      <protection/>
    </xf>
    <xf numFmtId="0" fontId="31" fillId="0" borderId="0">
      <alignment/>
      <protection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4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37" fillId="0" borderId="0" applyNumberFormat="0" applyFill="0" applyBorder="0" applyAlignment="0" applyProtection="0"/>
    <xf numFmtId="0" fontId="0" fillId="0" borderId="0">
      <alignment/>
      <protection/>
    </xf>
    <xf numFmtId="0" fontId="8" fillId="0" borderId="0" applyFill="0" applyProtection="0">
      <alignment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45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4" fontId="6" fillId="0" borderId="5" applyFill="0" applyBorder="0" applyProtection="0">
      <alignment horizontal="right" vertical="center"/>
    </xf>
    <xf numFmtId="0" fontId="7" fillId="0" borderId="0" applyNumberFormat="0" applyFill="0" applyBorder="0" applyProtection="0">
      <alignment horizontal="left" vertical="center"/>
    </xf>
    <xf numFmtId="0" fontId="0" fillId="22" borderId="0" applyNumberFormat="0" applyFont="0" applyBorder="0" applyAlignment="0" applyProtection="0"/>
    <xf numFmtId="0" fontId="25" fillId="0" borderId="0">
      <alignment/>
      <protection/>
    </xf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178" fontId="32" fillId="0" borderId="0">
      <alignment horizontal="right"/>
      <protection/>
    </xf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0" fontId="30" fillId="0" borderId="0">
      <alignment vertical="top" wrapText="1"/>
      <protection/>
    </xf>
    <xf numFmtId="0" fontId="30" fillId="0" borderId="0">
      <alignment vertical="top" wrapText="1"/>
      <protection/>
    </xf>
    <xf numFmtId="0" fontId="30" fillId="0" borderId="0">
      <alignment vertical="top" wrapText="1"/>
      <protection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179" fontId="33" fillId="29" borderId="13">
      <alignment vertical="center"/>
      <protection/>
    </xf>
    <xf numFmtId="170" fontId="34" fillId="29" borderId="13">
      <alignment vertical="center"/>
      <protection/>
    </xf>
    <xf numFmtId="179" fontId="35" fillId="30" borderId="13">
      <alignment vertical="center"/>
      <protection/>
    </xf>
    <xf numFmtId="0" fontId="0" fillId="19" borderId="14" applyBorder="0">
      <alignment horizontal="left" vertical="center"/>
      <protection/>
    </xf>
    <xf numFmtId="49" fontId="0" fillId="31" borderId="5">
      <alignment vertical="center" wrapText="1"/>
      <protection/>
    </xf>
    <xf numFmtId="0" fontId="0" fillId="32" borderId="15">
      <alignment horizontal="left" vertical="center" wrapText="1"/>
      <protection/>
    </xf>
    <xf numFmtId="0" fontId="36" fillId="33" borderId="5">
      <alignment horizontal="left" vertical="center" wrapText="1"/>
      <protection/>
    </xf>
    <xf numFmtId="0" fontId="0" fillId="16" borderId="5">
      <alignment horizontal="left" vertical="center" wrapText="1"/>
      <protection/>
    </xf>
    <xf numFmtId="0" fontId="0" fillId="34" borderId="5">
      <alignment horizontal="left" vertical="center" wrapText="1"/>
      <protection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176" fontId="2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8" fillId="0" borderId="0" applyNumberFormat="0" applyFill="0" applyBorder="0" applyProtection="0">
      <alignment/>
    </xf>
    <xf numFmtId="0" fontId="0" fillId="0" borderId="0" applyNumberFormat="0" applyFont="0" applyFill="0" applyBorder="0" applyProtection="0">
      <alignment horizontal="left" vertical="center" indent="5"/>
    </xf>
    <xf numFmtId="174" fontId="0" fillId="0" borderId="0" applyFont="0" applyFill="0" applyBorder="0" applyAlignment="0" applyProtection="0"/>
    <xf numFmtId="0" fontId="49" fillId="0" borderId="0" applyNumberFormat="0" applyFill="0" applyBorder="0">
      <alignment/>
      <protection locked="0"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22" borderId="0" applyNumberFormat="0" applyFont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  <xf numFmtId="0" fontId="2" fillId="0" borderId="0">
      <alignment/>
      <protection/>
    </xf>
    <xf numFmtId="0" fontId="2" fillId="35" borderId="17" applyNumberFormat="0" applyFont="0" applyAlignment="0" applyProtection="0"/>
    <xf numFmtId="0" fontId="8" fillId="0" borderId="0" applyFill="0" applyProtection="0">
      <alignment/>
    </xf>
    <xf numFmtId="0" fontId="65" fillId="0" borderId="0">
      <alignment/>
      <protection/>
    </xf>
    <xf numFmtId="182" fontId="37" fillId="0" borderId="0" applyFill="0" applyBorder="0" applyProtection="0">
      <alignment horizontal="right"/>
    </xf>
    <xf numFmtId="18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49" fontId="0" fillId="6" borderId="3">
      <alignment vertical="top" wrapText="1"/>
      <protection/>
    </xf>
    <xf numFmtId="0" fontId="0" fillId="27" borderId="11" applyNumberFormat="0" applyFont="0" applyAlignment="0" applyProtection="0"/>
    <xf numFmtId="0" fontId="0" fillId="19" borderId="14" applyBorder="0">
      <alignment horizontal="left" vertical="center"/>
      <protection/>
    </xf>
    <xf numFmtId="49" fontId="0" fillId="31" borderId="5">
      <alignment vertical="center" wrapText="1"/>
      <protection/>
    </xf>
    <xf numFmtId="0" fontId="0" fillId="32" borderId="15">
      <alignment horizontal="left" vertical="center" wrapText="1"/>
      <protection/>
    </xf>
    <xf numFmtId="0" fontId="0" fillId="16" borderId="5">
      <alignment horizontal="left" vertical="center" wrapText="1"/>
      <protection/>
    </xf>
    <xf numFmtId="0" fontId="0" fillId="34" borderId="5">
      <alignment horizontal="left" vertical="center" wrapText="1"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  <xf numFmtId="0" fontId="2" fillId="0" borderId="0">
      <alignment/>
      <protection/>
    </xf>
    <xf numFmtId="9" fontId="2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27" borderId="11" applyNumberFormat="0" applyFont="0" applyAlignment="0" applyProtection="0"/>
    <xf numFmtId="172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76" fillId="0" borderId="0" applyNumberFormat="0" applyFill="0" applyBorder="0" applyProtection="0">
      <alignment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2" fillId="3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6" fillId="0" borderId="5" applyNumberFormat="0" applyFont="0" applyFill="0" applyBorder="0" applyProtection="0">
      <alignment horizontal="left" vertical="center" indent="2"/>
    </xf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7" fillId="6" borderId="0" applyBorder="0" applyAlignment="0">
      <protection/>
    </xf>
    <xf numFmtId="0" fontId="6" fillId="6" borderId="0" applyBorder="0">
      <alignment horizontal="right" vertical="center"/>
      <protection/>
    </xf>
    <xf numFmtId="0" fontId="6" fillId="4" borderId="0" applyBorder="0">
      <alignment horizontal="right" vertical="center"/>
      <protection/>
    </xf>
    <xf numFmtId="0" fontId="6" fillId="4" borderId="0" applyBorder="0">
      <alignment horizontal="right" vertical="center"/>
      <protection/>
    </xf>
    <xf numFmtId="0" fontId="5" fillId="4" borderId="5">
      <alignment horizontal="right" vertical="center"/>
      <protection/>
    </xf>
    <xf numFmtId="0" fontId="69" fillId="4" borderId="5">
      <alignment horizontal="right" vertical="center"/>
      <protection/>
    </xf>
    <xf numFmtId="0" fontId="5" fillId="7" borderId="5">
      <alignment horizontal="right" vertical="center"/>
      <protection/>
    </xf>
    <xf numFmtId="0" fontId="5" fillId="7" borderId="5">
      <alignment horizontal="right" vertical="center"/>
      <protection/>
    </xf>
    <xf numFmtId="0" fontId="5" fillId="7" borderId="18">
      <alignment horizontal="right" vertical="center"/>
      <protection/>
    </xf>
    <xf numFmtId="0" fontId="5" fillId="7" borderId="19">
      <alignment horizontal="right" vertical="center"/>
      <protection/>
    </xf>
    <xf numFmtId="0" fontId="5" fillId="7" borderId="20">
      <alignment horizontal="right" vertical="center"/>
      <protection/>
    </xf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21" fillId="21" borderId="12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4" fillId="37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1" borderId="1" applyNumberFormat="0" applyAlignment="0" applyProtection="0"/>
    <xf numFmtId="4" fontId="7" fillId="0" borderId="21" applyFill="0" applyBorder="0" applyProtection="0">
      <alignment horizontal="right" vertical="center"/>
    </xf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18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0" fontId="5" fillId="0" borderId="0" applyNumberFormat="0">
      <alignment horizontal="right"/>
      <protection/>
    </xf>
    <xf numFmtId="169" fontId="0" fillId="0" borderId="0" applyFont="0" applyFill="0" applyBorder="0" applyAlignment="0" applyProtection="0"/>
    <xf numFmtId="0" fontId="6" fillId="7" borderId="4">
      <alignment horizontal="left" vertical="center" wrapText="1" indent="2"/>
      <protection/>
    </xf>
    <xf numFmtId="0" fontId="6" fillId="4" borderId="19">
      <alignment horizontal="left" vertical="center"/>
      <protection/>
    </xf>
    <xf numFmtId="0" fontId="5" fillId="0" borderId="22">
      <alignment horizontal="left" vertical="top" wrapText="1"/>
      <protection/>
    </xf>
    <xf numFmtId="0" fontId="18" fillId="7" borderId="1" applyNumberFormat="0" applyAlignment="0" applyProtection="0"/>
    <xf numFmtId="0" fontId="71" fillId="0" borderId="23">
      <alignment/>
      <protection/>
    </xf>
    <xf numFmtId="0" fontId="2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67" fillId="0" borderId="0">
      <alignment vertical="top"/>
      <protection/>
    </xf>
    <xf numFmtId="186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8" fillId="0" borderId="0" applyNumberFormat="0" applyFill="0" applyBorder="0">
      <alignment/>
      <protection locked="0"/>
    </xf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43" fillId="24" borderId="9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6" fillId="0" borderId="5">
      <alignment horizontal="right" vertical="center"/>
      <protection/>
    </xf>
    <xf numFmtId="1" fontId="72" fillId="4" borderId="0" applyBorder="0">
      <alignment horizontal="right" vertical="center"/>
      <protection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4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65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3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3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4" fillId="0" borderId="0">
      <alignment/>
      <protection/>
    </xf>
    <xf numFmtId="0" fontId="8" fillId="0" borderId="0">
      <alignment/>
      <protection/>
    </xf>
    <xf numFmtId="0" fontId="74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65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65" fillId="0" borderId="0">
      <alignment/>
      <protection/>
    </xf>
    <xf numFmtId="0" fontId="6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70" fillId="0" borderId="0">
      <alignment/>
      <protection/>
    </xf>
    <xf numFmtId="0" fontId="7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65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65" fillId="0" borderId="0">
      <alignment/>
      <protection/>
    </xf>
    <xf numFmtId="0" fontId="65" fillId="0" borderId="0">
      <alignment/>
      <protection/>
    </xf>
    <xf numFmtId="0" fontId="6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7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6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4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6" fillId="0" borderId="5" applyNumberFormat="0" applyFill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6" fillId="38" borderId="5" applyNumberFormat="0" applyFont="0" applyBorder="0" applyProtection="0">
      <alignment/>
    </xf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10" fillId="3" borderId="0" applyNumberFormat="0" applyBorder="0" applyAlignment="0" applyProtection="0"/>
    <xf numFmtId="0" fontId="6" fillId="22" borderId="5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67" fillId="0" borderId="0">
      <alignment vertical="top"/>
      <protection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0" fillId="0" borderId="5" applyNumberFormat="0" applyFill="0" applyProtection="0">
      <alignment horizontal="right"/>
    </xf>
    <xf numFmtId="49" fontId="0" fillId="0" borderId="5" applyFill="0" applyProtection="0">
      <alignment horizontal="right"/>
    </xf>
    <xf numFmtId="0" fontId="0" fillId="0" borderId="5" applyNumberFormat="0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66" fillId="39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2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2" fillId="22" borderId="2" applyNumberFormat="0" applyAlignment="0" applyProtection="0"/>
    <xf numFmtId="0" fontId="75" fillId="0" borderId="0" applyNumberFormat="0" applyFill="0" applyBorder="0" applyAlignment="0" applyProtection="0"/>
    <xf numFmtId="0" fontId="6" fillId="0" borderId="0">
      <alignment/>
      <protection/>
    </xf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79" fillId="42" borderId="1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0" fontId="73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0" fontId="73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0" fontId="24" fillId="0" borderId="27" applyNumberFormat="0" applyFill="0" applyAlignment="0" applyProtection="0"/>
    <xf numFmtId="185" fontId="0" fillId="0" borderId="0" applyFont="0" applyFill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8" fontId="84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8" fontId="84" fillId="0" borderId="0">
      <alignment vertical="center"/>
      <protection/>
    </xf>
    <xf numFmtId="168" fontId="84" fillId="0" borderId="0">
      <alignment vertical="center"/>
      <protection/>
    </xf>
    <xf numFmtId="168" fontId="84" fillId="0" borderId="0">
      <alignment vertical="center"/>
      <protection/>
    </xf>
    <xf numFmtId="168" fontId="84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8" fontId="84" fillId="0" borderId="0">
      <alignment vertical="center"/>
      <protection/>
    </xf>
    <xf numFmtId="168" fontId="84" fillId="0" borderId="0">
      <alignment vertical="center"/>
      <protection/>
    </xf>
    <xf numFmtId="168" fontId="84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8" fontId="84" fillId="0" borderId="0">
      <alignment vertical="center"/>
      <protection/>
    </xf>
    <xf numFmtId="168" fontId="84" fillId="0" borderId="0">
      <alignment vertical="center"/>
      <protection/>
    </xf>
    <xf numFmtId="168" fontId="84" fillId="0" borderId="0">
      <alignment vertical="center"/>
      <protection/>
    </xf>
    <xf numFmtId="168" fontId="84" fillId="0" borderId="0">
      <alignment vertical="center"/>
      <protection/>
    </xf>
    <xf numFmtId="0" fontId="2" fillId="0" borderId="0">
      <alignment/>
      <protection/>
    </xf>
    <xf numFmtId="170" fontId="84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70" fontId="84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188" fontId="84" fillId="0" borderId="0">
      <alignment vertical="center"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0" fontId="21" fillId="42" borderId="12" applyNumberForma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3" fillId="0" borderId="2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>
      <alignment/>
      <protection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27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27" borderId="0" applyNumberFormat="0" applyBorder="0" applyAlignment="0" applyProtection="0"/>
    <xf numFmtId="0" fontId="2" fillId="3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26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27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2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4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4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1" borderId="1" applyNumberFormat="0" applyAlignment="0" applyProtection="0"/>
    <xf numFmtId="0" fontId="79" fillId="42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80" fillId="0" borderId="24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81" fillId="0" borderId="25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82" fillId="0" borderId="26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8" fillId="7" borderId="1" applyNumberFormat="0" applyAlignment="0" applyProtection="0"/>
    <xf numFmtId="0" fontId="43" fillId="24" borderId="9" applyNumberFormat="0" applyAlignment="0" applyProtection="0"/>
    <xf numFmtId="0" fontId="18" fillId="7" borderId="1" applyNumberFormat="0" applyAlignment="0" applyProtection="0"/>
    <xf numFmtId="0" fontId="18" fillId="26" borderId="1" applyNumberFormat="0" applyAlignment="0" applyProtection="0"/>
    <xf numFmtId="0" fontId="18" fillId="7" borderId="1" applyNumberFormat="0" applyAlignment="0" applyProtection="0"/>
    <xf numFmtId="0" fontId="19" fillId="0" borderId="10" applyNumberFormat="0" applyFill="0" applyAlignment="0" applyProtection="0"/>
    <xf numFmtId="0" fontId="24" fillId="0" borderId="27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26" borderId="0" applyNumberFormat="0" applyBorder="0" applyAlignment="0" applyProtection="0"/>
    <xf numFmtId="0" fontId="83" fillId="26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70" fillId="0" borderId="0">
      <alignment/>
      <protection/>
    </xf>
    <xf numFmtId="0" fontId="70" fillId="0" borderId="0">
      <alignment/>
      <protection/>
    </xf>
    <xf numFmtId="0" fontId="2" fillId="0" borderId="0">
      <alignment/>
      <protection/>
    </xf>
    <xf numFmtId="0" fontId="70" fillId="0" borderId="0">
      <alignment/>
      <protection/>
    </xf>
    <xf numFmtId="0" fontId="2" fillId="0" borderId="0">
      <alignment/>
      <protection/>
    </xf>
    <xf numFmtId="0" fontId="70" fillId="0" borderId="0">
      <alignment/>
      <protection/>
    </xf>
    <xf numFmtId="0" fontId="70" fillId="0" borderId="0">
      <alignment/>
      <protection/>
    </xf>
    <xf numFmtId="0" fontId="70" fillId="0" borderId="0">
      <alignment/>
      <protection/>
    </xf>
    <xf numFmtId="0" fontId="70" fillId="0" borderId="0">
      <alignment/>
      <protection/>
    </xf>
    <xf numFmtId="0" fontId="7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 applyNumberFormat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0" fontId="21" fillId="21" borderId="12" applyNumberFormat="0" applyAlignment="0" applyProtection="0"/>
    <xf numFmtId="0" fontId="21" fillId="42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27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27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26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27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20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40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4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64" fillId="37" borderId="0" applyNumberFormat="0" applyBorder="0" applyAlignment="0" applyProtection="0"/>
    <xf numFmtId="0" fontId="10" fillId="3" borderId="0" applyNumberFormat="0" applyBorder="0" applyAlignment="0" applyProtection="0"/>
    <xf numFmtId="0" fontId="11" fillId="21" borderId="1" applyNumberFormat="0" applyAlignment="0" applyProtection="0"/>
    <xf numFmtId="0" fontId="79" fillId="42" borderId="1" applyNumberFormat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66" fontId="8" fillId="0" borderId="0" applyFont="0" applyFill="0" applyBorder="0" applyAlignment="0" applyProtection="0"/>
    <xf numFmtId="177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87" fillId="23" borderId="0" applyNumberFormat="0" applyBorder="0" applyAlignment="0" applyProtection="0"/>
    <xf numFmtId="0" fontId="87" fillId="23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5" fillId="0" borderId="6" applyNumberFormat="0" applyFill="0" applyAlignment="0" applyProtection="0"/>
    <xf numFmtId="0" fontId="80" fillId="0" borderId="24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81" fillId="0" borderId="25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82" fillId="0" borderId="26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3" fillId="26" borderId="9" applyNumberFormat="0" applyAlignment="0" applyProtection="0"/>
    <xf numFmtId="0" fontId="43" fillId="26" borderId="9" applyNumberFormat="0" applyAlignment="0" applyProtection="0"/>
    <xf numFmtId="0" fontId="18" fillId="26" borderId="1" applyNumberFormat="0" applyAlignment="0" applyProtection="0"/>
    <xf numFmtId="0" fontId="18" fillId="7" borderId="1" applyNumberFormat="0" applyAlignment="0" applyProtection="0"/>
    <xf numFmtId="0" fontId="43" fillId="24" borderId="9" applyNumberFormat="0" applyAlignment="0" applyProtection="0"/>
    <xf numFmtId="0" fontId="18" fillId="7" borderId="1" applyNumberFormat="0" applyAlignment="0" applyProtection="0"/>
    <xf numFmtId="0" fontId="18" fillId="26" borderId="1" applyNumberFormat="0" applyAlignment="0" applyProtection="0"/>
    <xf numFmtId="0" fontId="43" fillId="24" borderId="9" applyNumberFormat="0" applyAlignment="0" applyProtection="0"/>
    <xf numFmtId="0" fontId="19" fillId="0" borderId="10" applyNumberFormat="0" applyFill="0" applyAlignment="0" applyProtection="0"/>
    <xf numFmtId="0" fontId="24" fillId="0" borderId="27" applyNumberFormat="0" applyFill="0" applyAlignment="0" applyProtection="0"/>
    <xf numFmtId="0" fontId="19" fillId="0" borderId="10" applyNumberFormat="0" applyFill="0" applyAlignment="0" applyProtection="0"/>
    <xf numFmtId="0" fontId="20" fillId="26" borderId="0" applyNumberFormat="0" applyBorder="0" applyAlignment="0" applyProtection="0"/>
    <xf numFmtId="0" fontId="44" fillId="25" borderId="0" applyNumberFormat="0" applyBorder="0" applyAlignment="0" applyProtection="0"/>
    <xf numFmtId="0" fontId="20" fillId="26" borderId="0" applyNumberFormat="0" applyBorder="0" applyAlignment="0" applyProtection="0"/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73" fillId="0" borderId="0">
      <alignment/>
      <protection/>
    </xf>
    <xf numFmtId="0" fontId="8" fillId="0" borderId="0">
      <alignment/>
      <protection/>
    </xf>
    <xf numFmtId="0" fontId="73" fillId="0" borderId="0">
      <alignment/>
      <protection/>
    </xf>
    <xf numFmtId="0" fontId="0" fillId="0" borderId="0">
      <alignment/>
      <protection/>
    </xf>
    <xf numFmtId="0" fontId="73" fillId="0" borderId="0">
      <alignment/>
      <protection/>
    </xf>
    <xf numFmtId="0" fontId="73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65" fillId="0" borderId="0">
      <alignment/>
      <protection/>
    </xf>
    <xf numFmtId="0" fontId="0" fillId="0" borderId="0">
      <alignment/>
      <protection/>
    </xf>
    <xf numFmtId="0" fontId="6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7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70" fillId="0" borderId="0">
      <alignment/>
      <protection/>
    </xf>
    <xf numFmtId="0" fontId="7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65" fillId="0" borderId="0">
      <alignment/>
      <protection/>
    </xf>
    <xf numFmtId="0" fontId="0" fillId="0" borderId="0">
      <alignment/>
      <protection/>
    </xf>
    <xf numFmtId="0" fontId="6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65" fillId="0" borderId="0">
      <alignment/>
      <protection/>
    </xf>
    <xf numFmtId="0" fontId="6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78" fillId="0" borderId="0">
      <alignment/>
      <protection/>
    </xf>
    <xf numFmtId="0" fontId="7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6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</cellStyleXfs>
  <cellXfs count="219">
    <xf numFmtId="0" fontId="0" fillId="0" borderId="0" xfId="0"/>
    <xf numFmtId="0" fontId="3" fillId="43" borderId="15" xfId="0" applyFont="1" applyFill="1" applyBorder="1"/>
    <xf numFmtId="2" fontId="0" fillId="0" borderId="0" xfId="0" applyNumberFormat="1"/>
    <xf numFmtId="0" fontId="44" fillId="25" borderId="0" xfId="191"/>
    <xf numFmtId="0" fontId="46" fillId="0" borderId="0" xfId="0" applyFont="1"/>
    <xf numFmtId="0" fontId="44" fillId="25" borderId="29" xfId="191" applyBorder="1"/>
    <xf numFmtId="0" fontId="47" fillId="25" borderId="0" xfId="191" applyFont="1"/>
    <xf numFmtId="2" fontId="0" fillId="44" borderId="30" xfId="0" applyNumberFormat="1" applyFill="1" applyBorder="1"/>
    <xf numFmtId="2" fontId="0" fillId="44" borderId="31" xfId="0" applyNumberFormat="1" applyFill="1" applyBorder="1"/>
    <xf numFmtId="2" fontId="0" fillId="44" borderId="32" xfId="0" applyNumberFormat="1" applyFill="1" applyBorder="1"/>
    <xf numFmtId="2" fontId="0" fillId="44" borderId="33" xfId="0" applyNumberFormat="1" applyFill="1" applyBorder="1"/>
    <xf numFmtId="2" fontId="0" fillId="44" borderId="0" xfId="0" applyNumberFormat="1" applyFill="1"/>
    <xf numFmtId="2" fontId="0" fillId="44" borderId="34" xfId="0" applyNumberFormat="1" applyFill="1" applyBorder="1"/>
    <xf numFmtId="2" fontId="0" fillId="44" borderId="35" xfId="0" applyNumberFormat="1" applyFill="1" applyBorder="1"/>
    <xf numFmtId="2" fontId="0" fillId="44" borderId="29" xfId="0" applyNumberFormat="1" applyFill="1" applyBorder="1"/>
    <xf numFmtId="2" fontId="0" fillId="44" borderId="36" xfId="0" applyNumberFormat="1" applyFill="1" applyBorder="1"/>
    <xf numFmtId="0" fontId="0" fillId="45" borderId="0" xfId="0" applyFill="1"/>
    <xf numFmtId="0" fontId="0" fillId="46" borderId="0" xfId="0" applyFill="1"/>
    <xf numFmtId="0" fontId="0" fillId="47" borderId="0" xfId="0" applyFill="1"/>
    <xf numFmtId="2" fontId="0" fillId="48" borderId="15" xfId="0" applyNumberFormat="1" applyFill="1" applyBorder="1"/>
    <xf numFmtId="2" fontId="0" fillId="48" borderId="37" xfId="0" applyNumberFormat="1" applyFill="1" applyBorder="1"/>
    <xf numFmtId="2" fontId="0" fillId="48" borderId="38" xfId="0" applyNumberFormat="1" applyFill="1" applyBorder="1"/>
    <xf numFmtId="2" fontId="0" fillId="48" borderId="30" xfId="0" applyNumberFormat="1" applyFill="1" applyBorder="1"/>
    <xf numFmtId="2" fontId="0" fillId="48" borderId="31" xfId="0" applyNumberFormat="1" applyFill="1" applyBorder="1"/>
    <xf numFmtId="2" fontId="0" fillId="48" borderId="32" xfId="0" applyNumberFormat="1" applyFill="1" applyBorder="1"/>
    <xf numFmtId="2" fontId="0" fillId="48" borderId="35" xfId="0" applyNumberFormat="1" applyFill="1" applyBorder="1"/>
    <xf numFmtId="2" fontId="0" fillId="48" borderId="29" xfId="0" applyNumberFormat="1" applyFill="1" applyBorder="1"/>
    <xf numFmtId="2" fontId="0" fillId="48" borderId="36" xfId="0" applyNumberFormat="1" applyFill="1" applyBorder="1"/>
    <xf numFmtId="2" fontId="44" fillId="25" borderId="30" xfId="191" applyNumberFormat="1" applyBorder="1"/>
    <xf numFmtId="2" fontId="44" fillId="25" borderId="31" xfId="191" applyNumberFormat="1" applyBorder="1"/>
    <xf numFmtId="2" fontId="44" fillId="25" borderId="32" xfId="191" applyNumberFormat="1" applyBorder="1"/>
    <xf numFmtId="2" fontId="44" fillId="25" borderId="33" xfId="191" applyNumberFormat="1" applyBorder="1"/>
    <xf numFmtId="2" fontId="44" fillId="25" borderId="0" xfId="191" applyNumberFormat="1" applyBorder="1"/>
    <xf numFmtId="2" fontId="44" fillId="25" borderId="34" xfId="191" applyNumberFormat="1" applyBorder="1"/>
    <xf numFmtId="2" fontId="44" fillId="25" borderId="35" xfId="191" applyNumberFormat="1" applyBorder="1"/>
    <xf numFmtId="2" fontId="44" fillId="25" borderId="29" xfId="191" applyNumberFormat="1" applyBorder="1"/>
    <xf numFmtId="2" fontId="44" fillId="25" borderId="36" xfId="191" applyNumberFormat="1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35" xfId="0" applyNumberFormat="1" applyBorder="1"/>
    <xf numFmtId="2" fontId="0" fillId="0" borderId="29" xfId="0" applyNumberFormat="1" applyBorder="1"/>
    <xf numFmtId="2" fontId="0" fillId="0" borderId="36" xfId="0" applyNumberFormat="1" applyBorder="1"/>
    <xf numFmtId="0" fontId="0" fillId="0" borderId="31" xfId="0" applyBorder="1"/>
    <xf numFmtId="0" fontId="0" fillId="49" borderId="31" xfId="0" applyFill="1" applyBorder="1"/>
    <xf numFmtId="0" fontId="0" fillId="0" borderId="32" xfId="0" applyBorder="1"/>
    <xf numFmtId="0" fontId="0" fillId="49" borderId="0" xfId="0" applyFill="1"/>
    <xf numFmtId="0" fontId="0" fillId="0" borderId="34" xfId="0" applyBorder="1"/>
    <xf numFmtId="0" fontId="0" fillId="0" borderId="29" xfId="0" applyBorder="1"/>
    <xf numFmtId="0" fontId="0" fillId="49" borderId="29" xfId="0" applyFill="1" applyBorder="1"/>
    <xf numFmtId="0" fontId="0" fillId="0" borderId="36" xfId="0" applyBorder="1"/>
    <xf numFmtId="0" fontId="0" fillId="0" borderId="30" xfId="0" applyBorder="1"/>
    <xf numFmtId="0" fontId="0" fillId="0" borderId="33" xfId="0" applyBorder="1"/>
    <xf numFmtId="0" fontId="0" fillId="0" borderId="35" xfId="0" applyBorder="1"/>
    <xf numFmtId="2" fontId="0" fillId="0" borderId="15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0" fontId="0" fillId="0" borderId="37" xfId="0" applyBorder="1"/>
    <xf numFmtId="0" fontId="0" fillId="48" borderId="37" xfId="0" applyFill="1" applyBorder="1"/>
    <xf numFmtId="0" fontId="0" fillId="0" borderId="38" xfId="0" applyBorder="1"/>
    <xf numFmtId="0" fontId="0" fillId="48" borderId="31" xfId="0" applyFill="1" applyBorder="1"/>
    <xf numFmtId="0" fontId="0" fillId="48" borderId="29" xfId="0" applyFill="1" applyBorder="1"/>
    <xf numFmtId="0" fontId="0" fillId="44" borderId="31" xfId="0" applyFill="1" applyBorder="1"/>
    <xf numFmtId="0" fontId="0" fillId="44" borderId="0" xfId="0" applyFill="1"/>
    <xf numFmtId="0" fontId="0" fillId="44" borderId="29" xfId="0" applyFill="1" applyBorder="1"/>
    <xf numFmtId="0" fontId="0" fillId="0" borderId="0" xfId="0"/>
    <xf numFmtId="0" fontId="38" fillId="0" borderId="0" xfId="0" applyFont="1"/>
    <xf numFmtId="0" fontId="39" fillId="0" borderId="0" xfId="0" applyFont="1"/>
    <xf numFmtId="2" fontId="0" fillId="0" borderId="0" xfId="0" applyNumberFormat="1"/>
    <xf numFmtId="2" fontId="48" fillId="0" borderId="0" xfId="0" applyNumberFormat="1" applyFont="1"/>
    <xf numFmtId="0" fontId="0" fillId="0" borderId="0" xfId="0" quotePrefix="1"/>
    <xf numFmtId="0" fontId="3" fillId="36" borderId="15" xfId="0" applyFont="1" applyFill="1" applyBorder="1"/>
    <xf numFmtId="0" fontId="48" fillId="0" borderId="0" xfId="0" applyFont="1"/>
    <xf numFmtId="0" fontId="0" fillId="0" borderId="0" xfId="0" applyAlignment="1">
      <alignment wrapText="1"/>
    </xf>
    <xf numFmtId="0" fontId="47" fillId="0" borderId="0" xfId="191" applyFont="1" applyFill="1"/>
    <xf numFmtId="173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/>
    <xf numFmtId="173" fontId="0" fillId="0" borderId="0" xfId="0" applyNumberFormat="1" applyAlignment="1">
      <alignment horizontal="right"/>
    </xf>
    <xf numFmtId="0" fontId="48" fillId="0" borderId="0" xfId="0" applyFont="1"/>
    <xf numFmtId="9" fontId="48" fillId="0" borderId="0" xfId="0" applyNumberFormat="1" applyFont="1"/>
    <xf numFmtId="2" fontId="0" fillId="0" borderId="31" xfId="0" applyNumberFormat="1" applyBorder="1"/>
    <xf numFmtId="0" fontId="50" fillId="50" borderId="0" xfId="0" applyFont="1" applyFill="1" applyAlignment="1">
      <alignment vertical="center"/>
    </xf>
    <xf numFmtId="0" fontId="0" fillId="0" borderId="0" xfId="0" applyAlignment="1">
      <alignment vertical="center"/>
    </xf>
    <xf numFmtId="180" fontId="51" fillId="0" borderId="0" xfId="0" applyNumberFormat="1" applyFont="1"/>
    <xf numFmtId="0" fontId="52" fillId="0" borderId="0" xfId="0" applyFont="1"/>
    <xf numFmtId="0" fontId="53" fillId="35" borderId="39" xfId="0" applyFont="1" applyFill="1" applyBorder="1" applyAlignment="1">
      <alignment vertical="center"/>
    </xf>
    <xf numFmtId="0" fontId="53" fillId="51" borderId="39" xfId="0" applyFont="1" applyFill="1" applyBorder="1" applyAlignment="1">
      <alignment vertical="center"/>
    </xf>
    <xf numFmtId="181" fontId="0" fillId="0" borderId="0" xfId="0" applyNumberFormat="1"/>
    <xf numFmtId="0" fontId="53" fillId="0" borderId="0" xfId="0" applyFont="1" applyAlignment="1">
      <alignment vertical="center"/>
    </xf>
    <xf numFmtId="0" fontId="54" fillId="50" borderId="0" xfId="361" applyFont="1" applyFill="1">
      <alignment/>
      <protection/>
    </xf>
    <xf numFmtId="0" fontId="55" fillId="0" borderId="0" xfId="361" applyFont="1">
      <alignment/>
      <protection/>
    </xf>
    <xf numFmtId="0" fontId="2" fillId="0" borderId="0" xfId="361">
      <alignment/>
      <protection/>
    </xf>
    <xf numFmtId="3" fontId="55" fillId="0" borderId="0" xfId="361" applyNumberFormat="1" applyFont="1">
      <alignment/>
      <protection/>
    </xf>
    <xf numFmtId="0" fontId="56" fillId="52" borderId="0" xfId="361" applyFont="1" applyFill="1" applyAlignment="1">
      <alignment vertical="center"/>
      <protection/>
    </xf>
    <xf numFmtId="0" fontId="56" fillId="53" borderId="0" xfId="0" applyFont="1" applyFill="1" applyAlignment="1">
      <alignment vertical="center"/>
    </xf>
    <xf numFmtId="0" fontId="56" fillId="53" borderId="0" xfId="0" applyFont="1" applyFill="1" applyAlignment="1">
      <alignment vertical="center" wrapText="1"/>
    </xf>
    <xf numFmtId="0" fontId="56" fillId="53" borderId="0" xfId="0" applyFont="1" applyFill="1" applyAlignment="1">
      <alignment wrapText="1"/>
    </xf>
    <xf numFmtId="0" fontId="56" fillId="52" borderId="0" xfId="0" applyFont="1" applyFill="1" applyAlignment="1">
      <alignment vertical="center" wrapText="1"/>
    </xf>
    <xf numFmtId="0" fontId="56" fillId="52" borderId="0" xfId="0" applyFont="1" applyFill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361" applyFont="1" applyAlignment="1">
      <alignment vertical="center"/>
      <protection/>
    </xf>
    <xf numFmtId="0" fontId="56" fillId="36" borderId="0" xfId="0" applyFont="1" applyFill="1"/>
    <xf numFmtId="0" fontId="56" fillId="36" borderId="0" xfId="361" applyFont="1" applyFill="1">
      <alignment/>
      <protection/>
    </xf>
    <xf numFmtId="0" fontId="55" fillId="0" borderId="0" xfId="0" applyFont="1"/>
    <xf numFmtId="1" fontId="55" fillId="0" borderId="0" xfId="361" applyNumberFormat="1" applyFont="1">
      <alignment/>
      <protection/>
    </xf>
    <xf numFmtId="1" fontId="55" fillId="0" borderId="0" xfId="0" applyNumberFormat="1" applyFont="1"/>
    <xf numFmtId="3" fontId="55" fillId="0" borderId="0" xfId="0" applyNumberFormat="1" applyFont="1"/>
    <xf numFmtId="9" fontId="55" fillId="0" borderId="0" xfId="0" applyNumberFormat="1" applyFont="1"/>
    <xf numFmtId="9" fontId="55" fillId="0" borderId="0" xfId="362" applyFont="1" applyFill="1"/>
    <xf numFmtId="1" fontId="57" fillId="0" borderId="0" xfId="0" applyNumberFormat="1" applyFont="1" applyAlignment="1">
      <alignment vertical="center"/>
    </xf>
    <xf numFmtId="3" fontId="55" fillId="0" borderId="0" xfId="0" applyNumberFormat="1" applyFont="1" applyAlignment="1">
      <alignment vertical="center"/>
    </xf>
    <xf numFmtId="0" fontId="58" fillId="0" borderId="0" xfId="0" applyFont="1" applyAlignment="1">
      <alignment horizontal="right"/>
    </xf>
    <xf numFmtId="9" fontId="55" fillId="0" borderId="0" xfId="362" applyFont="1"/>
    <xf numFmtId="0" fontId="55" fillId="0" borderId="0" xfId="0" applyFont="1" applyAlignment="1">
      <alignment wrapText="1"/>
    </xf>
    <xf numFmtId="9" fontId="55" fillId="0" borderId="0" xfId="362" applyFont="1" applyFill="1" applyBorder="1"/>
    <xf numFmtId="0" fontId="55" fillId="0" borderId="29" xfId="0" applyFont="1" applyBorder="1"/>
    <xf numFmtId="1" fontId="55" fillId="0" borderId="29" xfId="361" applyNumberFormat="1" applyFont="1" applyBorder="1">
      <alignment/>
      <protection/>
    </xf>
    <xf numFmtId="1" fontId="57" fillId="0" borderId="29" xfId="0" applyNumberFormat="1" applyFont="1" applyBorder="1"/>
    <xf numFmtId="3" fontId="57" fillId="0" borderId="29" xfId="0" applyNumberFormat="1" applyFont="1" applyBorder="1"/>
    <xf numFmtId="9" fontId="55" fillId="0" borderId="29" xfId="0" applyNumberFormat="1" applyFont="1" applyBorder="1"/>
    <xf numFmtId="9" fontId="55" fillId="0" borderId="29" xfId="362" applyFont="1" applyFill="1" applyBorder="1"/>
    <xf numFmtId="9" fontId="55" fillId="0" borderId="29" xfId="362" applyFont="1" applyBorder="1"/>
    <xf numFmtId="0" fontId="55" fillId="0" borderId="29" xfId="361" applyFont="1" applyBorder="1">
      <alignment/>
      <protection/>
    </xf>
    <xf numFmtId="3" fontId="57" fillId="0" borderId="0" xfId="0" applyNumberFormat="1" applyFont="1"/>
    <xf numFmtId="2" fontId="55" fillId="0" borderId="0" xfId="0" applyNumberFormat="1" applyFont="1"/>
    <xf numFmtId="0" fontId="59" fillId="0" borderId="0" xfId="0" applyFont="1"/>
    <xf numFmtId="1" fontId="57" fillId="0" borderId="0" xfId="0" applyNumberFormat="1" applyFont="1"/>
    <xf numFmtId="2" fontId="55" fillId="0" borderId="0" xfId="0" applyNumberFormat="1" applyFont="1" applyAlignment="1">
      <alignment vertical="center"/>
    </xf>
    <xf numFmtId="2" fontId="55" fillId="0" borderId="0" xfId="362" applyNumberFormat="1" applyFont="1"/>
    <xf numFmtId="2" fontId="55" fillId="0" borderId="0" xfId="362" applyNumberFormat="1" applyFont="1" applyFill="1"/>
    <xf numFmtId="1" fontId="55" fillId="0" borderId="29" xfId="0" applyNumberFormat="1" applyFont="1" applyBorder="1"/>
    <xf numFmtId="3" fontId="55" fillId="0" borderId="29" xfId="0" applyNumberFormat="1" applyFont="1" applyBorder="1"/>
    <xf numFmtId="2" fontId="55" fillId="0" borderId="29" xfId="0" applyNumberFormat="1" applyFont="1" applyBorder="1"/>
    <xf numFmtId="2" fontId="55" fillId="0" borderId="29" xfId="362" applyNumberFormat="1" applyFont="1" applyBorder="1"/>
    <xf numFmtId="1" fontId="60" fillId="0" borderId="0" xfId="0" applyNumberFormat="1" applyFont="1"/>
    <xf numFmtId="2" fontId="60" fillId="0" borderId="0" xfId="0" applyNumberFormat="1" applyFont="1"/>
    <xf numFmtId="9" fontId="60" fillId="0" borderId="0" xfId="362" applyFont="1" applyFill="1"/>
    <xf numFmtId="9" fontId="60" fillId="0" borderId="0" xfId="0" applyNumberFormat="1" applyFont="1"/>
    <xf numFmtId="3" fontId="60" fillId="0" borderId="0" xfId="0" applyNumberFormat="1" applyFont="1"/>
    <xf numFmtId="0" fontId="60" fillId="0" borderId="0" xfId="0" applyFont="1"/>
    <xf numFmtId="0" fontId="60" fillId="0" borderId="0" xfId="0" applyFont="1" applyAlignment="1">
      <alignment vertical="center"/>
    </xf>
    <xf numFmtId="0" fontId="57" fillId="0" borderId="0" xfId="0" applyFont="1"/>
    <xf numFmtId="9" fontId="60" fillId="0" borderId="29" xfId="362" applyFont="1" applyFill="1" applyBorder="1"/>
    <xf numFmtId="9" fontId="60" fillId="0" borderId="29" xfId="0" applyNumberFormat="1" applyFont="1" applyBorder="1"/>
    <xf numFmtId="9" fontId="60" fillId="0" borderId="0" xfId="362" applyFont="1" applyBorder="1"/>
    <xf numFmtId="2" fontId="60" fillId="0" borderId="0" xfId="0" applyNumberFormat="1" applyFont="1" applyAlignment="1">
      <alignment vertical="center"/>
    </xf>
    <xf numFmtId="2" fontId="55" fillId="0" borderId="0" xfId="362" applyNumberFormat="1" applyFont="1" applyBorder="1"/>
    <xf numFmtId="9" fontId="60" fillId="0" borderId="0" xfId="362" applyFont="1"/>
    <xf numFmtId="9" fontId="60" fillId="0" borderId="0" xfId="362" applyFont="1" applyAlignment="1">
      <alignment vertical="center"/>
    </xf>
    <xf numFmtId="2" fontId="60" fillId="0" borderId="0" xfId="362" applyNumberFormat="1" applyFont="1"/>
    <xf numFmtId="9" fontId="57" fillId="0" borderId="0" xfId="362" applyFont="1" applyBorder="1"/>
    <xf numFmtId="9" fontId="57" fillId="0" borderId="0" xfId="362" applyFont="1" applyBorder="1" applyAlignment="1">
      <alignment vertical="center"/>
    </xf>
    <xf numFmtId="0" fontId="58" fillId="0" borderId="29" xfId="0" applyFont="1" applyBorder="1" applyAlignment="1">
      <alignment horizontal="right"/>
    </xf>
    <xf numFmtId="9" fontId="57" fillId="0" borderId="29" xfId="362" applyFont="1" applyBorder="1"/>
    <xf numFmtId="2" fontId="60" fillId="0" borderId="29" xfId="0" applyNumberFormat="1" applyFont="1" applyBorder="1" applyAlignment="1">
      <alignment vertical="center"/>
    </xf>
    <xf numFmtId="9" fontId="57" fillId="0" borderId="29" xfId="362" applyFont="1" applyBorder="1" applyAlignment="1">
      <alignment vertical="center"/>
    </xf>
    <xf numFmtId="1" fontId="55" fillId="53" borderId="0" xfId="361" applyNumberFormat="1" applyFont="1" applyFill="1">
      <alignment/>
      <protection/>
    </xf>
    <xf numFmtId="1" fontId="55" fillId="53" borderId="0" xfId="0" applyNumberFormat="1" applyFont="1" applyFill="1"/>
    <xf numFmtId="3" fontId="55" fillId="53" borderId="0" xfId="0" applyNumberFormat="1" applyFont="1" applyFill="1"/>
    <xf numFmtId="9" fontId="55" fillId="53" borderId="0" xfId="362" applyFont="1" applyFill="1" applyBorder="1"/>
    <xf numFmtId="9" fontId="55" fillId="53" borderId="0" xfId="15" applyFont="1" applyFill="1" applyBorder="1"/>
    <xf numFmtId="1" fontId="55" fillId="53" borderId="29" xfId="361" applyNumberFormat="1" applyFont="1" applyFill="1" applyBorder="1">
      <alignment/>
      <protection/>
    </xf>
    <xf numFmtId="1" fontId="55" fillId="53" borderId="29" xfId="0" applyNumberFormat="1" applyFont="1" applyFill="1" applyBorder="1"/>
    <xf numFmtId="3" fontId="55" fillId="53" borderId="29" xfId="0" applyNumberFormat="1" applyFont="1" applyFill="1" applyBorder="1"/>
    <xf numFmtId="9" fontId="55" fillId="53" borderId="29" xfId="362" applyFont="1" applyFill="1" applyBorder="1"/>
    <xf numFmtId="9" fontId="55" fillId="53" borderId="29" xfId="15" applyFont="1" applyFill="1" applyBorder="1"/>
    <xf numFmtId="173" fontId="55" fillId="53" borderId="0" xfId="0" applyNumberFormat="1" applyFont="1" applyFill="1"/>
    <xf numFmtId="173" fontId="55" fillId="53" borderId="29" xfId="0" applyNumberFormat="1" applyFont="1" applyFill="1" applyBorder="1"/>
    <xf numFmtId="1" fontId="60" fillId="0" borderId="0" xfId="361" applyNumberFormat="1" applyFont="1">
      <alignment/>
      <protection/>
    </xf>
    <xf numFmtId="0" fontId="60" fillId="0" borderId="0" xfId="361" applyFont="1">
      <alignment/>
      <protection/>
    </xf>
    <xf numFmtId="9" fontId="55" fillId="0" borderId="0" xfId="15" applyFont="1"/>
    <xf numFmtId="0" fontId="55" fillId="54" borderId="0" xfId="0" applyFont="1" applyFill="1"/>
    <xf numFmtId="1" fontId="60" fillId="0" borderId="0" xfId="0" applyNumberFormat="1" applyFont="1" applyAlignment="1">
      <alignment vertical="center"/>
    </xf>
    <xf numFmtId="9" fontId="55" fillId="0" borderId="0" xfId="15" applyFont="1" applyAlignment="1">
      <alignment vertical="center"/>
    </xf>
    <xf numFmtId="1" fontId="57" fillId="0" borderId="0" xfId="361" applyNumberFormat="1" applyFont="1">
      <alignment/>
      <protection/>
    </xf>
    <xf numFmtId="9" fontId="55" fillId="0" borderId="0" xfId="15" applyFont="1" applyFill="1" applyAlignment="1">
      <alignment vertical="center"/>
    </xf>
    <xf numFmtId="9" fontId="55" fillId="0" borderId="0" xfId="15" applyFont="1" applyFill="1"/>
    <xf numFmtId="9" fontId="55" fillId="0" borderId="0" xfId="15" applyFont="1" applyBorder="1"/>
    <xf numFmtId="3" fontId="60" fillId="0" borderId="29" xfId="0" applyNumberFormat="1" applyFont="1" applyBorder="1"/>
    <xf numFmtId="9" fontId="55" fillId="0" borderId="29" xfId="15" applyFont="1" applyFill="1" applyBorder="1"/>
    <xf numFmtId="0" fontId="55" fillId="54" borderId="29" xfId="0" applyFont="1" applyFill="1" applyBorder="1"/>
    <xf numFmtId="173" fontId="60" fillId="0" borderId="0" xfId="0" applyNumberFormat="1" applyFont="1"/>
    <xf numFmtId="9" fontId="60" fillId="0" borderId="0" xfId="15" applyFont="1" applyFill="1"/>
    <xf numFmtId="9" fontId="55" fillId="0" borderId="29" xfId="15" applyFont="1" applyBorder="1"/>
    <xf numFmtId="1" fontId="57" fillId="0" borderId="29" xfId="361" applyNumberFormat="1" applyFont="1" applyBorder="1">
      <alignment/>
      <protection/>
    </xf>
    <xf numFmtId="0" fontId="53" fillId="35" borderId="39" xfId="361" applyFont="1" applyFill="1" applyBorder="1" applyAlignment="1">
      <alignment vertical="center"/>
      <protection/>
    </xf>
    <xf numFmtId="0" fontId="53" fillId="0" borderId="0" xfId="361" applyFont="1" applyAlignment="1">
      <alignment vertical="center"/>
      <protection/>
    </xf>
    <xf numFmtId="0" fontId="53" fillId="51" borderId="39" xfId="361" applyFont="1" applyFill="1" applyBorder="1" applyAlignment="1">
      <alignment vertical="center"/>
      <protection/>
    </xf>
    <xf numFmtId="0" fontId="2" fillId="0" borderId="0" xfId="361" applyAlignment="1">
      <alignment vertical="center"/>
      <protection/>
    </xf>
    <xf numFmtId="0" fontId="2" fillId="0" borderId="0" xfId="361" applyAlignment="1">
      <alignment horizontal="center" vertical="center"/>
      <protection/>
    </xf>
    <xf numFmtId="0" fontId="63" fillId="0" borderId="0" xfId="361" applyFont="1" applyAlignment="1">
      <alignment vertical="center"/>
      <protection/>
    </xf>
    <xf numFmtId="0" fontId="2" fillId="53" borderId="0" xfId="361" applyFill="1" applyAlignment="1">
      <alignment vertical="center"/>
      <protection/>
    </xf>
    <xf numFmtId="0" fontId="2" fillId="51" borderId="0" xfId="361" applyFill="1" applyAlignment="1">
      <alignment vertical="center"/>
      <protection/>
    </xf>
    <xf numFmtId="0" fontId="2" fillId="0" borderId="29" xfId="361" applyBorder="1" applyAlignment="1">
      <alignment vertical="center"/>
      <protection/>
    </xf>
    <xf numFmtId="0" fontId="63" fillId="0" borderId="29" xfId="361" applyFont="1" applyBorder="1" applyAlignment="1">
      <alignment vertical="center"/>
      <protection/>
    </xf>
    <xf numFmtId="0" fontId="2" fillId="51" borderId="29" xfId="361" applyFill="1" applyBorder="1" applyAlignment="1">
      <alignment vertical="center"/>
      <protection/>
    </xf>
    <xf numFmtId="0" fontId="2" fillId="0" borderId="0" xfId="368">
      <alignment/>
      <protection/>
    </xf>
    <xf numFmtId="173" fontId="2" fillId="0" borderId="0" xfId="368" applyNumberFormat="1">
      <alignment/>
      <protection/>
    </xf>
    <xf numFmtId="0" fontId="2" fillId="0" borderId="0" xfId="370">
      <alignment/>
      <protection/>
    </xf>
    <xf numFmtId="0" fontId="53" fillId="35" borderId="39" xfId="370" applyFont="1" applyFill="1" applyBorder="1" applyAlignment="1">
      <alignment vertical="center"/>
      <protection/>
    </xf>
    <xf numFmtId="1" fontId="53" fillId="51" borderId="39" xfId="370" applyNumberFormat="1" applyFont="1" applyFill="1" applyBorder="1" applyAlignment="1">
      <alignment vertical="center"/>
      <protection/>
    </xf>
    <xf numFmtId="181" fontId="2" fillId="0" borderId="0" xfId="370" applyNumberFormat="1">
      <alignment/>
      <protection/>
    </xf>
    <xf numFmtId="189" fontId="0" fillId="0" borderId="0" xfId="0" applyNumberFormat="1"/>
    <xf numFmtId="0" fontId="0" fillId="55" borderId="0" xfId="0" applyFill="1"/>
    <xf numFmtId="190" fontId="0" fillId="0" borderId="37" xfId="0" applyNumberFormat="1" applyBorder="1"/>
    <xf numFmtId="181" fontId="0" fillId="0" borderId="15" xfId="0" applyNumberFormat="1" applyBorder="1"/>
    <xf numFmtId="2" fontId="2" fillId="36" borderId="0" xfId="368" applyNumberFormat="1" applyFill="1">
      <alignment/>
      <protection/>
    </xf>
    <xf numFmtId="0" fontId="2" fillId="36" borderId="0" xfId="368" applyFill="1" applyAlignment="1">
      <alignment horizontal="center"/>
      <protection/>
    </xf>
    <xf numFmtId="0" fontId="2" fillId="55" borderId="0" xfId="368" applyFill="1" applyAlignment="1">
      <alignment horizontal="center"/>
      <protection/>
    </xf>
    <xf numFmtId="2" fontId="2" fillId="55" borderId="0" xfId="368" applyNumberFormat="1" applyFill="1">
      <alignment/>
      <protection/>
    </xf>
    <xf numFmtId="0" fontId="88" fillId="0" borderId="0" xfId="0" applyFont="1"/>
    <xf numFmtId="0" fontId="3" fillId="0" borderId="0" xfId="0" applyFont="1" applyAlignment="1">
      <alignment horizontal="right"/>
    </xf>
    <xf numFmtId="0" fontId="2" fillId="55" borderId="0" xfId="370" applyFill="1">
      <alignment/>
      <protection/>
    </xf>
    <xf numFmtId="181" fontId="2" fillId="55" borderId="0" xfId="370" applyNumberFormat="1" applyFill="1">
      <alignment/>
      <protection/>
    </xf>
    <xf numFmtId="0" fontId="0" fillId="55" borderId="0" xfId="0" applyFill="1" applyAlignment="1">
      <alignment horizontal="center"/>
    </xf>
    <xf numFmtId="0" fontId="3" fillId="55" borderId="0" xfId="0" applyFont="1" applyFill="1" applyAlignment="1">
      <alignment horizontal="center"/>
    </xf>
  </cellXfs>
  <cellStyles count="324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2" xfId="20"/>
    <cellStyle name="20% - Accent1 3" xfId="21"/>
    <cellStyle name="20% - Accent1 4" xfId="22"/>
    <cellStyle name="20% - Accent1 5" xfId="23"/>
    <cellStyle name="20% - Accent2 2" xfId="24"/>
    <cellStyle name="20% - Accent2 3" xfId="25"/>
    <cellStyle name="20% - Accent2 4" xfId="26"/>
    <cellStyle name="20% - Accent2 5" xfId="27"/>
    <cellStyle name="20% - Accent3 2" xfId="28"/>
    <cellStyle name="20% - Accent3 3" xfId="29"/>
    <cellStyle name="20% - Accent3 4" xfId="30"/>
    <cellStyle name="20% - Accent3 5" xfId="31"/>
    <cellStyle name="20% - Accent4 2" xfId="32"/>
    <cellStyle name="20% - Accent4 3" xfId="33"/>
    <cellStyle name="20% - Accent4 4" xfId="34"/>
    <cellStyle name="20% - Accent4 5" xfId="35"/>
    <cellStyle name="20% - Accent5 2" xfId="36"/>
    <cellStyle name="20% - Accent5 3" xfId="37"/>
    <cellStyle name="20% - Accent5 4" xfId="38"/>
    <cellStyle name="20% - Accent5 5" xfId="39"/>
    <cellStyle name="20% - Accent6 2" xfId="40"/>
    <cellStyle name="20% - Accent6 3" xfId="41"/>
    <cellStyle name="20% - Accent6 4" xfId="42"/>
    <cellStyle name="20% - Accent6 5" xfId="43"/>
    <cellStyle name="40% - Accent1 2" xfId="44"/>
    <cellStyle name="40% - Accent1 3" xfId="45"/>
    <cellStyle name="40% - Accent1 4" xfId="46"/>
    <cellStyle name="40% - Accent1 5" xfId="47"/>
    <cellStyle name="40% - Accent2 2" xfId="48"/>
    <cellStyle name="40% - Accent2 2 2" xfId="49"/>
    <cellStyle name="40% - Accent2 3" xfId="50"/>
    <cellStyle name="40% - Accent2 4" xfId="51"/>
    <cellStyle name="40% - Accent2 5" xfId="52"/>
    <cellStyle name="40% - Accent3 2" xfId="53"/>
    <cellStyle name="40% - Accent3 3" xfId="54"/>
    <cellStyle name="40% - Accent3 4" xfId="55"/>
    <cellStyle name="40% - Accent3 5" xfId="56"/>
    <cellStyle name="40% - Accent4 2" xfId="57"/>
    <cellStyle name="40% - Accent4 3" xfId="58"/>
    <cellStyle name="40% - Accent4 4" xfId="59"/>
    <cellStyle name="40% - Accent4 5" xfId="60"/>
    <cellStyle name="40% - Accent5 2" xfId="61"/>
    <cellStyle name="40% - Accent5 3" xfId="62"/>
    <cellStyle name="40% - Accent5 4" xfId="63"/>
    <cellStyle name="40% - Accent5 5" xfId="64"/>
    <cellStyle name="40% - Accent6 2" xfId="65"/>
    <cellStyle name="40% - Accent6 3" xfId="66"/>
    <cellStyle name="40% - Accent6 4" xfId="67"/>
    <cellStyle name="40% - Accent6 5" xfId="68"/>
    <cellStyle name="5x indented GHG Textfiels" xfId="69"/>
    <cellStyle name="60% - Accent1 2" xfId="70"/>
    <cellStyle name="60% - Accent1 3" xfId="71"/>
    <cellStyle name="60% - Accent1 4" xfId="72"/>
    <cellStyle name="60% - Accent1 5" xfId="73"/>
    <cellStyle name="60% - Accent2 2" xfId="74"/>
    <cellStyle name="60% - Accent2 3" xfId="75"/>
    <cellStyle name="60% - Accent2 4" xfId="76"/>
    <cellStyle name="60% - Accent2 5" xfId="77"/>
    <cellStyle name="60% - Accent3 2" xfId="78"/>
    <cellStyle name="60% - Accent3 3" xfId="79"/>
    <cellStyle name="60% - Accent3 4" xfId="80"/>
    <cellStyle name="60% - Accent3 5" xfId="81"/>
    <cellStyle name="60% - Accent4 2" xfId="82"/>
    <cellStyle name="60% - Accent4 3" xfId="83"/>
    <cellStyle name="60% - Accent4 4" xfId="84"/>
    <cellStyle name="60% - Accent4 5" xfId="85"/>
    <cellStyle name="60% - Accent5 2" xfId="86"/>
    <cellStyle name="60% - Accent5 3" xfId="87"/>
    <cellStyle name="60% - Accent5 4" xfId="88"/>
    <cellStyle name="60% - Accent5 5" xfId="89"/>
    <cellStyle name="60% - Accent6 2" xfId="90"/>
    <cellStyle name="60% - Accent6 3" xfId="91"/>
    <cellStyle name="60% - Accent6 4" xfId="92"/>
    <cellStyle name="60% - Accent6 5" xfId="93"/>
    <cellStyle name="Accent1 2" xfId="94"/>
    <cellStyle name="Accent1 3" xfId="95"/>
    <cellStyle name="Accent1 4" xfId="96"/>
    <cellStyle name="Accent1 5" xfId="97"/>
    <cellStyle name="Accent2 2" xfId="98"/>
    <cellStyle name="Accent2 3" xfId="99"/>
    <cellStyle name="Accent2 4" xfId="100"/>
    <cellStyle name="Accent2 5" xfId="101"/>
    <cellStyle name="Accent3 2" xfId="102"/>
    <cellStyle name="Accent3 3" xfId="103"/>
    <cellStyle name="Accent3 4" xfId="104"/>
    <cellStyle name="Accent3 5" xfId="105"/>
    <cellStyle name="Accent4 2" xfId="106"/>
    <cellStyle name="Accent4 3" xfId="107"/>
    <cellStyle name="Accent4 4" xfId="108"/>
    <cellStyle name="Accent4 5" xfId="109"/>
    <cellStyle name="Accent5 2" xfId="110"/>
    <cellStyle name="Accent5 3" xfId="111"/>
    <cellStyle name="Accent5 4" xfId="112"/>
    <cellStyle name="Accent5 5" xfId="113"/>
    <cellStyle name="Accent6 2" xfId="114"/>
    <cellStyle name="Accent6 3" xfId="115"/>
    <cellStyle name="Accent6 4" xfId="116"/>
    <cellStyle name="Accent6 5" xfId="117"/>
    <cellStyle name="Bad 2" xfId="118"/>
    <cellStyle name="Bad 3" xfId="119"/>
    <cellStyle name="Bad 4" xfId="120"/>
    <cellStyle name="Bad 5" xfId="121"/>
    <cellStyle name="Calculation 2" xfId="122"/>
    <cellStyle name="Calculation 3" xfId="123"/>
    <cellStyle name="Calculation 4" xfId="124"/>
    <cellStyle name="Calculation 5" xfId="125"/>
    <cellStyle name="Check Cell 2" xfId="126"/>
    <cellStyle name="Check Cell 3" xfId="127"/>
    <cellStyle name="Check Cell 4" xfId="128"/>
    <cellStyle name="Check Cell 5" xfId="129"/>
    <cellStyle name="coin" xfId="130"/>
    <cellStyle name="Comma 2" xfId="131"/>
    <cellStyle name="Comma 2 2" xfId="132"/>
    <cellStyle name="Comma 2 3" xfId="133"/>
    <cellStyle name="Comma 2 3 2" xfId="134"/>
    <cellStyle name="Comma 2 4" xfId="135"/>
    <cellStyle name="Comma 2 4 2" xfId="136"/>
    <cellStyle name="Comma 2 4 3" xfId="137"/>
    <cellStyle name="Currency 2" xfId="138"/>
    <cellStyle name="CustomizationCells" xfId="139"/>
    <cellStyle name="donn_normal" xfId="140"/>
    <cellStyle name="ent_col_ser" xfId="141"/>
    <cellStyle name="entete_source" xfId="142"/>
    <cellStyle name="Euro" xfId="143"/>
    <cellStyle name="Euro 2" xfId="144"/>
    <cellStyle name="Euro 2 2" xfId="145"/>
    <cellStyle name="Euro 2 2 2" xfId="146"/>
    <cellStyle name="Euro 3" xfId="147"/>
    <cellStyle name="Euro 4" xfId="148"/>
    <cellStyle name="Euro 5" xfId="149"/>
    <cellStyle name="Euro 5 2" xfId="150"/>
    <cellStyle name="Euro 5 3" xfId="151"/>
    <cellStyle name="Euro 6" xfId="152"/>
    <cellStyle name="Explanatory Text 2" xfId="153"/>
    <cellStyle name="Explanatory Text 3" xfId="154"/>
    <cellStyle name="Explanatory Text 4" xfId="155"/>
    <cellStyle name="Explanatory Text 5" xfId="156"/>
    <cellStyle name="Float" xfId="157"/>
    <cellStyle name="Float 2" xfId="158"/>
    <cellStyle name="Good 2" xfId="159"/>
    <cellStyle name="Good 3" xfId="160"/>
    <cellStyle name="Good 4" xfId="161"/>
    <cellStyle name="Good 5" xfId="162"/>
    <cellStyle name="Good 6" xfId="163"/>
    <cellStyle name="Heading 1 2" xfId="164"/>
    <cellStyle name="Heading 1 3" xfId="165"/>
    <cellStyle name="Heading 1 4" xfId="166"/>
    <cellStyle name="Heading 1 5" xfId="167"/>
    <cellStyle name="Heading 2 2" xfId="168"/>
    <cellStyle name="Heading 2 3" xfId="169"/>
    <cellStyle name="Heading 2 4" xfId="170"/>
    <cellStyle name="Heading 2 5" xfId="171"/>
    <cellStyle name="Heading 3 2" xfId="172"/>
    <cellStyle name="Heading 3 3" xfId="173"/>
    <cellStyle name="Heading 3 4" xfId="174"/>
    <cellStyle name="Heading 3 5" xfId="175"/>
    <cellStyle name="Heading 4 2" xfId="176"/>
    <cellStyle name="Heading 4 3" xfId="177"/>
    <cellStyle name="Heading 4 4" xfId="178"/>
    <cellStyle name="Heading 4 5" xfId="179"/>
    <cellStyle name="Input 2" xfId="180"/>
    <cellStyle name="Input 3" xfId="181"/>
    <cellStyle name="Input 3 2" xfId="182"/>
    <cellStyle name="Input 4" xfId="183"/>
    <cellStyle name="Input 5" xfId="184"/>
    <cellStyle name="InputCells" xfId="185"/>
    <cellStyle name="ligne_titre_0" xfId="186"/>
    <cellStyle name="Linked Cell 2" xfId="187"/>
    <cellStyle name="Linked Cell 3" xfId="188"/>
    <cellStyle name="Linked Cell 4" xfId="189"/>
    <cellStyle name="Linked Cell 5" xfId="190"/>
    <cellStyle name="Neutral" xfId="191" builtinId="28"/>
    <cellStyle name="Neutral 2" xfId="192"/>
    <cellStyle name="Neutral 3" xfId="193"/>
    <cellStyle name="Neutral 4" xfId="194"/>
    <cellStyle name="Neutral 5" xfId="195"/>
    <cellStyle name="Normal 11" xfId="196"/>
    <cellStyle name="Normal 13 10" xfId="197"/>
    <cellStyle name="Normal 2 2" xfId="198"/>
    <cellStyle name="Normal 2 2 2" xfId="199"/>
    <cellStyle name="Normal 2 2 3" xfId="200"/>
    <cellStyle name="Normal 2 3" xfId="201"/>
    <cellStyle name="Normal 2 3 2" xfId="202"/>
    <cellStyle name="Normal 2 3 3" xfId="203"/>
    <cellStyle name="Normal 2 4" xfId="204"/>
    <cellStyle name="Normal 2 5" xfId="205"/>
    <cellStyle name="Normal 2 6" xfId="206"/>
    <cellStyle name="Normal 2 7" xfId="207"/>
    <cellStyle name="Normal 3" xfId="208"/>
    <cellStyle name="Normal 3 2" xfId="209"/>
    <cellStyle name="Normal 3 2 2" xfId="210"/>
    <cellStyle name="Normal 3 2 3" xfId="211"/>
    <cellStyle name="Normal 3 3" xfId="212"/>
    <cellStyle name="Normal 3 3 2" xfId="213"/>
    <cellStyle name="Normal 3 4" xfId="214"/>
    <cellStyle name="Normal 3 4 2" xfId="215"/>
    <cellStyle name="Normal 3 5" xfId="216"/>
    <cellStyle name="Normal 3 6" xfId="217"/>
    <cellStyle name="Normal 4" xfId="218"/>
    <cellStyle name="Normal 4 2" xfId="219"/>
    <cellStyle name="Normal 4 2 2" xfId="220"/>
    <cellStyle name="Normal 4 3" xfId="221"/>
    <cellStyle name="Normal 4 4" xfId="222"/>
    <cellStyle name="Normal 4 5" xfId="223"/>
    <cellStyle name="Normal 5" xfId="224"/>
    <cellStyle name="Normal 5 2" xfId="225"/>
    <cellStyle name="Normal 5 3" xfId="226"/>
    <cellStyle name="Normal 5 4" xfId="227"/>
    <cellStyle name="Normal 5 5" xfId="228"/>
    <cellStyle name="Normal 5 6" xfId="229"/>
    <cellStyle name="Normal 6" xfId="230"/>
    <cellStyle name="Normal 6 2" xfId="231"/>
    <cellStyle name="Normal 6 2 2" xfId="232"/>
    <cellStyle name="Normal 6 3" xfId="233"/>
    <cellStyle name="Normal 6 4" xfId="234"/>
    <cellStyle name="Normal 7" xfId="235"/>
    <cellStyle name="Normal 7 2" xfId="236"/>
    <cellStyle name="Normal 8" xfId="237"/>
    <cellStyle name="Normal 8 2" xfId="238"/>
    <cellStyle name="Normal 9" xfId="239"/>
    <cellStyle name="Normal GHG Numbers (0.00)" xfId="240"/>
    <cellStyle name="Normal GHG Textfiels Bold" xfId="241"/>
    <cellStyle name="Normal GHG-Shade" xfId="242"/>
    <cellStyle name="Normale_B2020" xfId="243"/>
    <cellStyle name="Note 2" xfId="244"/>
    <cellStyle name="Note 2 2" xfId="245"/>
    <cellStyle name="Note 3" xfId="246"/>
    <cellStyle name="Note 3 2" xfId="247"/>
    <cellStyle name="Note 4" xfId="248"/>
    <cellStyle name="Note 4 2" xfId="249"/>
    <cellStyle name="Note 4 3" xfId="250"/>
    <cellStyle name="Note 5" xfId="251"/>
    <cellStyle name="Note 6" xfId="252"/>
    <cellStyle name="num_note" xfId="253"/>
    <cellStyle name="Nuovo" xfId="254"/>
    <cellStyle name="Nuovo 2" xfId="255"/>
    <cellStyle name="Nuovo 2 2" xfId="256"/>
    <cellStyle name="Nuovo 2 3" xfId="257"/>
    <cellStyle name="Nuovo 3" xfId="258"/>
    <cellStyle name="Output 2" xfId="259"/>
    <cellStyle name="Output 3" xfId="260"/>
    <cellStyle name="Output 4" xfId="261"/>
    <cellStyle name="Output 5" xfId="262"/>
    <cellStyle name="Percent 2" xfId="263"/>
    <cellStyle name="Percent 2 2" xfId="264"/>
    <cellStyle name="Percent 2 2 2" xfId="265"/>
    <cellStyle name="Percent 2 2 3" xfId="266"/>
    <cellStyle name="Percent 2 2 3 2" xfId="267"/>
    <cellStyle name="Percent 2 3" xfId="268"/>
    <cellStyle name="Percent 2 3 2" xfId="269"/>
    <cellStyle name="Percent 2 3 3" xfId="270"/>
    <cellStyle name="Percent 2 3 3 2" xfId="271"/>
    <cellStyle name="Percent 2 4" xfId="272"/>
    <cellStyle name="Percent 2 5" xfId="273"/>
    <cellStyle name="Percent 2 5 2" xfId="274"/>
    <cellStyle name="Percent 2 5 3" xfId="275"/>
    <cellStyle name="Percent 3" xfId="276"/>
    <cellStyle name="Percent 3 2" xfId="277"/>
    <cellStyle name="Percent 3 2 2" xfId="278"/>
    <cellStyle name="Percent 3 2 3" xfId="279"/>
    <cellStyle name="Percent 3 3" xfId="280"/>
    <cellStyle name="Percent 3 3 2" xfId="281"/>
    <cellStyle name="Percent 3 3 3" xfId="282"/>
    <cellStyle name="Percent 3 3 3 2" xfId="283"/>
    <cellStyle name="Percent 3 4" xfId="284"/>
    <cellStyle name="Percent 3 4 2" xfId="285"/>
    <cellStyle name="Percent 3 5" xfId="286"/>
    <cellStyle name="Percent 3 6" xfId="287"/>
    <cellStyle name="Percent 3 6 2" xfId="288"/>
    <cellStyle name="Percent 3 6 3" xfId="289"/>
    <cellStyle name="Percent 4" xfId="290"/>
    <cellStyle name="Percent 4 2" xfId="291"/>
    <cellStyle name="Percent 4 2 2" xfId="292"/>
    <cellStyle name="Percent 4 3" xfId="293"/>
    <cellStyle name="Percent 4 4" xfId="294"/>
    <cellStyle name="Percent 4 5" xfId="295"/>
    <cellStyle name="Percent 4 5 2" xfId="296"/>
    <cellStyle name="Percent 5" xfId="297"/>
    <cellStyle name="Percent 5 2" xfId="298"/>
    <cellStyle name="Percent 6" xfId="299"/>
    <cellStyle name="Pilkku_Layo9704" xfId="300"/>
    <cellStyle name="Pyör. luku_Layo9704" xfId="301"/>
    <cellStyle name="Pyör. valuutta_Layo9704" xfId="302"/>
    <cellStyle name="source" xfId="303"/>
    <cellStyle name="source 2" xfId="304"/>
    <cellStyle name="source 3" xfId="305"/>
    <cellStyle name="Style 21" xfId="306"/>
    <cellStyle name="Style 21 2" xfId="307"/>
    <cellStyle name="Style 22" xfId="308"/>
    <cellStyle name="Style 23" xfId="309"/>
    <cellStyle name="Style 24" xfId="310"/>
    <cellStyle name="Style 25" xfId="311"/>
    <cellStyle name="Style 25 2" xfId="312"/>
    <cellStyle name="Style 26" xfId="313"/>
    <cellStyle name="tableau | cellule | normal | decimal 1" xfId="314"/>
    <cellStyle name="tableau | cellule | normal | pourcentage | decimal 1" xfId="315"/>
    <cellStyle name="tableau | cellule | total | decimal 1" xfId="316"/>
    <cellStyle name="tableau | coin superieur gauche" xfId="317"/>
    <cellStyle name="tableau | entete-colonne | series" xfId="318"/>
    <cellStyle name="tableau | entete-ligne | normal" xfId="319"/>
    <cellStyle name="tableau | entete-ligne | total" xfId="320"/>
    <cellStyle name="tableau | ligne-titre | niveau1" xfId="321"/>
    <cellStyle name="tableau | ligne-titre | niveau2" xfId="322"/>
    <cellStyle name="Title 2" xfId="323"/>
    <cellStyle name="Title 3" xfId="324"/>
    <cellStyle name="Title 4" xfId="325"/>
    <cellStyle name="Title 5" xfId="326"/>
    <cellStyle name="Total 2" xfId="327"/>
    <cellStyle name="Total 3" xfId="328"/>
    <cellStyle name="Total 4" xfId="329"/>
    <cellStyle name="Total 5" xfId="330"/>
    <cellStyle name="Valuutta_Layo9704" xfId="331"/>
    <cellStyle name="Warning Text 2" xfId="332"/>
    <cellStyle name="Warning Text 3" xfId="333"/>
    <cellStyle name="Warning Text 4" xfId="334"/>
    <cellStyle name="Warning Text 5" xfId="335"/>
    <cellStyle name="已访问的超链接" xfId="336"/>
    <cellStyle name="5x indented GHG Textfiels 2" xfId="337"/>
    <cellStyle name="Euro 7" xfId="338"/>
    <cellStyle name="Hyperlink 2" xfId="339"/>
    <cellStyle name="Normal 2" xfId="340"/>
    <cellStyle name="Normal 2 2 4" xfId="341"/>
    <cellStyle name="Normal 2 3 4" xfId="342"/>
    <cellStyle name="Normal 3 7" xfId="343"/>
    <cellStyle name="Normal 3 2 4" xfId="344"/>
    <cellStyle name="Normal 3 3 3" xfId="345"/>
    <cellStyle name="Normal 4 6" xfId="346"/>
    <cellStyle name="Normal 4 2 3" xfId="347"/>
    <cellStyle name="Normal 5 7" xfId="348"/>
    <cellStyle name="Normal 6 5" xfId="349"/>
    <cellStyle name="Normal 6 2 3" xfId="350"/>
    <cellStyle name="Normal 6 3 2" xfId="351"/>
    <cellStyle name="Normal 7 3" xfId="352"/>
    <cellStyle name="Normal GHG-Shade 2" xfId="353"/>
    <cellStyle name="Percent 3 7" xfId="354"/>
    <cellStyle name="Normal 2 3 5" xfId="355"/>
    <cellStyle name="Normal 3 3 4" xfId="356"/>
    <cellStyle name="Normal 4 7" xfId="357"/>
    <cellStyle name="Normal 4 2 4" xfId="358"/>
    <cellStyle name="Normal 7 4" xfId="359"/>
    <cellStyle name="Normal 13" xfId="360"/>
    <cellStyle name="Normal 8 3" xfId="361"/>
    <cellStyle name="Percent 4 6" xfId="362"/>
    <cellStyle name="Normal 2 3 6" xfId="363"/>
    <cellStyle name="Normal 3 3 5" xfId="364"/>
    <cellStyle name="Normal 4 8" xfId="365"/>
    <cellStyle name="Normal 4 2 5" xfId="366"/>
    <cellStyle name="Normal 7 5" xfId="367"/>
    <cellStyle name="Normal 8 4" xfId="368"/>
    <cellStyle name="Percent 4 7" xfId="369"/>
    <cellStyle name="Normal 41" xfId="370"/>
    <cellStyle name="Note 43" xfId="371"/>
    <cellStyle name="Normal 2 48" xfId="372"/>
    <cellStyle name="Normal 2 2 17" xfId="373"/>
    <cellStyle name="NumberCellStyle" xfId="374"/>
    <cellStyle name="Currency 2 5" xfId="375"/>
    <cellStyle name="Percent 29" xfId="376"/>
    <cellStyle name="Normale 2" xfId="377"/>
    <cellStyle name="Normal 39" xfId="378"/>
    <cellStyle name="Percent 28" xfId="379"/>
    <cellStyle name="Normal 2 47" xfId="380"/>
    <cellStyle name="Normal 3 37" xfId="381"/>
    <cellStyle name="Comma 2 22" xfId="382"/>
    <cellStyle name="Comma 2 2 9" xfId="383"/>
    <cellStyle name="Comma 2 2 2" xfId="384"/>
    <cellStyle name="Comma 2 2 2 2" xfId="385"/>
    <cellStyle name="Comma 2 2 2 3" xfId="386"/>
    <cellStyle name="Comma 2 2 3" xfId="387"/>
    <cellStyle name="Comma 2 2 3 2" xfId="388"/>
    <cellStyle name="Comma 2 2 3 3" xfId="389"/>
    <cellStyle name="Comma 2 2 4" xfId="390"/>
    <cellStyle name="Comma 2 2 5" xfId="391"/>
    <cellStyle name="Comma 2 3 8" xfId="392"/>
    <cellStyle name="Comma 2 3 2 7" xfId="393"/>
    <cellStyle name="Comma 2 3 2 2" xfId="394"/>
    <cellStyle name="Comma 2 3 2 3" xfId="395"/>
    <cellStyle name="Comma 2 3 3" xfId="396"/>
    <cellStyle name="Comma 2 3 3 2" xfId="397"/>
    <cellStyle name="Comma 2 3 3 3" xfId="398"/>
    <cellStyle name="Comma 2 3 4" xfId="399"/>
    <cellStyle name="Comma 2 3 5" xfId="400"/>
    <cellStyle name="Comma 2 4 7" xfId="401"/>
    <cellStyle name="Comma 2 4 2 3" xfId="402"/>
    <cellStyle name="Comma 2 4 3 3" xfId="403"/>
    <cellStyle name="Comma 2 5" xfId="404"/>
    <cellStyle name="Comma 2 5 2" xfId="405"/>
    <cellStyle name="Comma 2 5 3" xfId="406"/>
    <cellStyle name="Comma 2 6" xfId="407"/>
    <cellStyle name="Comma 2 7" xfId="408"/>
    <cellStyle name="Euro 2 8" xfId="409"/>
    <cellStyle name="Euro 2 2 7" xfId="410"/>
    <cellStyle name="Euro 2 2 2 3" xfId="411"/>
    <cellStyle name="Euro 2 2 3" xfId="412"/>
    <cellStyle name="Euro 3 10" xfId="413"/>
    <cellStyle name="Euro 3 2" xfId="414"/>
    <cellStyle name="Euro 3 3" xfId="415"/>
    <cellStyle name="Euro 3 3 2" xfId="416"/>
    <cellStyle name="Euro 3 3 3" xfId="417"/>
    <cellStyle name="Euro 3 4" xfId="418"/>
    <cellStyle name="Euro 4 6" xfId="419"/>
    <cellStyle name="Euro 4 2" xfId="420"/>
    <cellStyle name="Euro 4 3" xfId="421"/>
    <cellStyle name="Euro 4 3 2" xfId="422"/>
    <cellStyle name="Euro 4 3 3" xfId="423"/>
    <cellStyle name="Euro 4 4" xfId="424"/>
    <cellStyle name="Euro 5 5" xfId="425"/>
    <cellStyle name="Euro 5 2 3" xfId="426"/>
    <cellStyle name="Euro 5 3 3" xfId="427"/>
    <cellStyle name="Euro 6 5" xfId="428"/>
    <cellStyle name="Float 5" xfId="429"/>
    <cellStyle name="Float 2 3" xfId="430"/>
    <cellStyle name="Normal 10 2 6" xfId="431"/>
    <cellStyle name="Normal 11 9" xfId="432"/>
    <cellStyle name="Normal 11 2" xfId="433"/>
    <cellStyle name="Normal 11 3" xfId="434"/>
    <cellStyle name="Normal 2 2 16" xfId="435"/>
    <cellStyle name="Normal 2 2 2 7" xfId="436"/>
    <cellStyle name="Normal 2 2 2 2" xfId="437"/>
    <cellStyle name="Normal 2 2 5" xfId="438"/>
    <cellStyle name="Normal 2 3 15" xfId="439"/>
    <cellStyle name="Normal 2 3 2 7" xfId="440"/>
    <cellStyle name="Normal 2 3 3 3" xfId="441"/>
    <cellStyle name="Normal 2 3 4 6" xfId="442"/>
    <cellStyle name="Normal 2 4 14" xfId="443"/>
    <cellStyle name="Normal 2 4 2" xfId="444"/>
    <cellStyle name="Normal 2 4 3" xfId="445"/>
    <cellStyle name="Normal 2 5 2" xfId="446"/>
    <cellStyle name="Normal 2 6 19" xfId="447"/>
    <cellStyle name="Normal 2 7 3" xfId="448"/>
    <cellStyle name="Normal 2 8" xfId="449"/>
    <cellStyle name="Normal 2 8 2" xfId="450"/>
    <cellStyle name="Normal 2 8 3" xfId="451"/>
    <cellStyle name="Normal 3 2 2 5" xfId="452"/>
    <cellStyle name="Normal 3 3 10" xfId="453"/>
    <cellStyle name="Normal 3 3 2 3" xfId="454"/>
    <cellStyle name="Normal 3 4 9" xfId="455"/>
    <cellStyle name="Normal 3 4 2 2" xfId="456"/>
    <cellStyle name="Normal 3 4 3" xfId="457"/>
    <cellStyle name="Normal 3 6 4" xfId="458"/>
    <cellStyle name="Normal 4 14" xfId="459"/>
    <cellStyle name="Normal 4 3 10" xfId="460"/>
    <cellStyle name="Normal 4 3 2 3" xfId="461"/>
    <cellStyle name="Normal 4 5 10" xfId="462"/>
    <cellStyle name="Normal 4 6 6" xfId="463"/>
    <cellStyle name="Normal 5 2 11" xfId="464"/>
    <cellStyle name="Normal 5 2 2" xfId="465"/>
    <cellStyle name="Normal 5 4 9" xfId="466"/>
    <cellStyle name="Normal 5 5 10" xfId="467"/>
    <cellStyle name="Normal 5 6 3" xfId="468"/>
    <cellStyle name="Normal 6 2 2 14" xfId="469"/>
    <cellStyle name="Normal 6 4 9" xfId="470"/>
    <cellStyle name="Normal 7 14" xfId="471"/>
    <cellStyle name="Normal 7 2 10" xfId="472"/>
    <cellStyle name="Normal 8 14" xfId="473"/>
    <cellStyle name="Normal 8 2 10" xfId="474"/>
    <cellStyle name="Normal 9 12" xfId="475"/>
    <cellStyle name="Normal 9 2" xfId="476"/>
    <cellStyle name="Note 3 8" xfId="477"/>
    <cellStyle name="Note 3 2 3" xfId="478"/>
    <cellStyle name="Note 3 3" xfId="479"/>
    <cellStyle name="Nuovo 2 4" xfId="480"/>
    <cellStyle name="Nuovo 3 2" xfId="481"/>
    <cellStyle name="Percent 2 2 10" xfId="482"/>
    <cellStyle name="Percent 2 2 2 2" xfId="483"/>
    <cellStyle name="Percent 2 2 3 5" xfId="484"/>
    <cellStyle name="Percent 2 2 3 2 2" xfId="485"/>
    <cellStyle name="Percent 2 2 3 3" xfId="486"/>
    <cellStyle name="Percent 2 2 4" xfId="487"/>
    <cellStyle name="Percent 2 3 17" xfId="488"/>
    <cellStyle name="Percent 2 3 2 2" xfId="489"/>
    <cellStyle name="Percent 2 3 3 4" xfId="490"/>
    <cellStyle name="Percent 2 3 3 2 2" xfId="491"/>
    <cellStyle name="Percent 2 3 3 3" xfId="492"/>
    <cellStyle name="Percent 2 3 3 3 2" xfId="493"/>
    <cellStyle name="Percent 2 3 3 3 3" xfId="494"/>
    <cellStyle name="Percent 2 3 4" xfId="495"/>
    <cellStyle name="Percent 2 5 17" xfId="496"/>
    <cellStyle name="Percent 3 2 2 8" xfId="497"/>
    <cellStyle name="Percent 3 2 4" xfId="498"/>
    <cellStyle name="Percent 3 3 21" xfId="499"/>
    <cellStyle name="Percent 3 3 2 7" xfId="500"/>
    <cellStyle name="Percent 3 3 3 7" xfId="501"/>
    <cellStyle name="Percent 3 3 3 2 5" xfId="502"/>
    <cellStyle name="Percent 3 3 3 3" xfId="503"/>
    <cellStyle name="Percent 3 3 3 3 2" xfId="504"/>
    <cellStyle name="Percent 3 3 3 3 3" xfId="505"/>
    <cellStyle name="Percent 3 3 4" xfId="506"/>
    <cellStyle name="Percent 3 3 5" xfId="507"/>
    <cellStyle name="Percent 3 4 23" xfId="508"/>
    <cellStyle name="Percent 3 4 2 10" xfId="509"/>
    <cellStyle name="Percent 3 4 3" xfId="510"/>
    <cellStyle name="Percent 3 6 27" xfId="511"/>
    <cellStyle name="Percent 4 2 20" xfId="512"/>
    <cellStyle name="Percent 4 2 2 12" xfId="513"/>
    <cellStyle name="Percent 4 2 3" xfId="514"/>
    <cellStyle name="Percent 4 3 20" xfId="515"/>
    <cellStyle name="Percent 5 21" xfId="516"/>
    <cellStyle name="Percent 5 2 12" xfId="517"/>
    <cellStyle name="Percent 5 3" xfId="518"/>
    <cellStyle name="Style 21 14" xfId="519"/>
    <cellStyle name="Style 21 2 13" xfId="520"/>
    <cellStyle name="Style 25 14" xfId="521"/>
    <cellStyle name="Style 25 2 13" xfId="522"/>
    <cellStyle name="Normal 2 9" xfId="523"/>
    <cellStyle name="Normal 10 3" xfId="524"/>
    <cellStyle name="Normal 2 10" xfId="525"/>
    <cellStyle name="coin 2" xfId="526"/>
    <cellStyle name="Note 2 2 3" xfId="527"/>
    <cellStyle name="tableau | coin superieur gauche 13" xfId="528"/>
    <cellStyle name="tableau | entete-colonne | series 13" xfId="529"/>
    <cellStyle name="tableau | entete-ligne | normal 13" xfId="530"/>
    <cellStyle name="tableau | ligne-titre | niveau1 13" xfId="531"/>
    <cellStyle name="tableau | ligne-titre | niveau2 13" xfId="532"/>
    <cellStyle name="Normal 13 39" xfId="533"/>
    <cellStyle name="Percent 6 21" xfId="534"/>
    <cellStyle name="Normal 14" xfId="535"/>
    <cellStyle name="Percent 7" xfId="536"/>
    <cellStyle name="Comma 2 8" xfId="537"/>
    <cellStyle name="Comma 2 2 6" xfId="538"/>
    <cellStyle name="Comma 2 2 3 4" xfId="539"/>
    <cellStyle name="Comma 2 3 6" xfId="540"/>
    <cellStyle name="Comma 2 3 2 4" xfId="541"/>
    <cellStyle name="Comma 2 3 3 4" xfId="542"/>
    <cellStyle name="Comma 2 4 4" xfId="543"/>
    <cellStyle name="Comma 2 5 4" xfId="544"/>
    <cellStyle name="Comma 2 6 2" xfId="545"/>
    <cellStyle name="Comma 2 7 2" xfId="546"/>
    <cellStyle name="Euro 2 2 4" xfId="547"/>
    <cellStyle name="Euro 3 3 4" xfId="548"/>
    <cellStyle name="Euro 4 3 4" xfId="549"/>
    <cellStyle name="Euro 5 4" xfId="550"/>
    <cellStyle name="Normal 10 2 2" xfId="551"/>
    <cellStyle name="Normal 11 4" xfId="552"/>
    <cellStyle name="Normal 2 3 6 4" xfId="553"/>
    <cellStyle name="Normal 2 3 2 3" xfId="554"/>
    <cellStyle name="Normal 2 3 2 2" xfId="555"/>
    <cellStyle name="Normal 2 3 4 2" xfId="556"/>
    <cellStyle name="Normal 2 3 5 5" xfId="557"/>
    <cellStyle name="Normal 2 5 2 2" xfId="558"/>
    <cellStyle name="Normal 2 6 3" xfId="559"/>
    <cellStyle name="Normal 2 6 2" xfId="560"/>
    <cellStyle name="Normal 2 8 4" xfId="561"/>
    <cellStyle name="Normal 2 9 2" xfId="562"/>
    <cellStyle name="Normal 3 4 4" xfId="563"/>
    <cellStyle name="Normal 4 8 5" xfId="564"/>
    <cellStyle name="Normal 4 3 4" xfId="565"/>
    <cellStyle name="Normal 4 3 3" xfId="566"/>
    <cellStyle name="Normal 4 5 2" xfId="567"/>
    <cellStyle name="Normal 4 6 2" xfId="568"/>
    <cellStyle name="Normal 4 7 5" xfId="569"/>
    <cellStyle name="Normal 5 5 3" xfId="570"/>
    <cellStyle name="Normal 5 5 2" xfId="571"/>
    <cellStyle name="Normal 6 2 4" xfId="572"/>
    <cellStyle name="Normal 9 3" xfId="573"/>
    <cellStyle name="Normal 9 2 2" xfId="574"/>
    <cellStyle name="Note 3 4" xfId="575"/>
    <cellStyle name="Nuovo 4" xfId="576"/>
    <cellStyle name="Percent 2 2 3 4" xfId="577"/>
    <cellStyle name="Percent 2 3 5" xfId="578"/>
    <cellStyle name="Percent 2 3 3 3 4" xfId="579"/>
    <cellStyle name="Percent 3 3 6" xfId="580"/>
    <cellStyle name="Percent 3 3 3 3 4" xfId="581"/>
    <cellStyle name="Percent 3 4 4" xfId="582"/>
    <cellStyle name="Percent 4 2 4" xfId="583"/>
    <cellStyle name="Percent 5 4" xfId="584"/>
    <cellStyle name="???????" xfId="585"/>
    <cellStyle name="20% - Accent1 10" xfId="586"/>
    <cellStyle name="20% - Accent1 11" xfId="587"/>
    <cellStyle name="20% - Accent1 12" xfId="588"/>
    <cellStyle name="20% - Accent1 13" xfId="589"/>
    <cellStyle name="20% - Accent1 14" xfId="590"/>
    <cellStyle name="20% - Accent1 15" xfId="591"/>
    <cellStyle name="20% - Accent1 16" xfId="592"/>
    <cellStyle name="20% - Accent1 17" xfId="593"/>
    <cellStyle name="20% - Accent1 18" xfId="594"/>
    <cellStyle name="20% - Accent1 19" xfId="595"/>
    <cellStyle name="20% - Accent1 20" xfId="596"/>
    <cellStyle name="20% - Accent1 21" xfId="597"/>
    <cellStyle name="20% - Accent1 22" xfId="598"/>
    <cellStyle name="20% - Accent1 23" xfId="599"/>
    <cellStyle name="20% - Accent1 24" xfId="600"/>
    <cellStyle name="20% - Accent1 25" xfId="601"/>
    <cellStyle name="20% - Accent1 26" xfId="602"/>
    <cellStyle name="20% - Accent1 27" xfId="603"/>
    <cellStyle name="20% - Accent1 28" xfId="604"/>
    <cellStyle name="20% - Accent1 29" xfId="605"/>
    <cellStyle name="20% - Accent1 3 2" xfId="606"/>
    <cellStyle name="20% - Accent1 30" xfId="607"/>
    <cellStyle name="20% - Accent1 31" xfId="608"/>
    <cellStyle name="20% - Accent1 32" xfId="609"/>
    <cellStyle name="20% - Accent1 33" xfId="610"/>
    <cellStyle name="20% - Accent1 34" xfId="611"/>
    <cellStyle name="20% - Accent1 35" xfId="612"/>
    <cellStyle name="20% - Accent1 36" xfId="613"/>
    <cellStyle name="20% - Accent1 37" xfId="614"/>
    <cellStyle name="20% - Accent1 38" xfId="615"/>
    <cellStyle name="20% - Accent1 39" xfId="616"/>
    <cellStyle name="20% - Accent1 40" xfId="617"/>
    <cellStyle name="20% - Accent1 41" xfId="618"/>
    <cellStyle name="20% - Accent1 42" xfId="619"/>
    <cellStyle name="20% - Accent1 43" xfId="620"/>
    <cellStyle name="20% - Accent1 6" xfId="621"/>
    <cellStyle name="20% - Accent1 7" xfId="622"/>
    <cellStyle name="20% - Accent1 8" xfId="623"/>
    <cellStyle name="20% - Accent1 9" xfId="624"/>
    <cellStyle name="20% - Accent2 10" xfId="625"/>
    <cellStyle name="20% - Accent2 11" xfId="626"/>
    <cellStyle name="20% - Accent2 12" xfId="627"/>
    <cellStyle name="20% - Accent2 13" xfId="628"/>
    <cellStyle name="20% - Accent2 14" xfId="629"/>
    <cellStyle name="20% - Accent2 15" xfId="630"/>
    <cellStyle name="20% - Accent2 16" xfId="631"/>
    <cellStyle name="20% - Accent2 17" xfId="632"/>
    <cellStyle name="20% - Accent2 18" xfId="633"/>
    <cellStyle name="20% - Accent2 19" xfId="634"/>
    <cellStyle name="20% - Accent2 20" xfId="635"/>
    <cellStyle name="20% - Accent2 21" xfId="636"/>
    <cellStyle name="20% - Accent2 22" xfId="637"/>
    <cellStyle name="20% - Accent2 23" xfId="638"/>
    <cellStyle name="20% - Accent2 24" xfId="639"/>
    <cellStyle name="20% - Accent2 25" xfId="640"/>
    <cellStyle name="20% - Accent2 26" xfId="641"/>
    <cellStyle name="20% - Accent2 27" xfId="642"/>
    <cellStyle name="20% - Accent2 28" xfId="643"/>
    <cellStyle name="20% - Accent2 29" xfId="644"/>
    <cellStyle name="20% - Accent2 3 2" xfId="645"/>
    <cellStyle name="20% - Accent2 30" xfId="646"/>
    <cellStyle name="20% - Accent2 31" xfId="647"/>
    <cellStyle name="20% - Accent2 32" xfId="648"/>
    <cellStyle name="20% - Accent2 33" xfId="649"/>
    <cellStyle name="20% - Accent2 34" xfId="650"/>
    <cellStyle name="20% - Accent2 35" xfId="651"/>
    <cellStyle name="20% - Accent2 36" xfId="652"/>
    <cellStyle name="20% - Accent2 37" xfId="653"/>
    <cellStyle name="20% - Accent2 38" xfId="654"/>
    <cellStyle name="20% - Accent2 39" xfId="655"/>
    <cellStyle name="20% - Accent2 40" xfId="656"/>
    <cellStyle name="20% - Accent2 41" xfId="657"/>
    <cellStyle name="20% - Accent2 42" xfId="658"/>
    <cellStyle name="20% - Accent2 43" xfId="659"/>
    <cellStyle name="20% - Accent2 6" xfId="660"/>
    <cellStyle name="20% - Accent2 7" xfId="661"/>
    <cellStyle name="20% - Accent2 8" xfId="662"/>
    <cellStyle name="20% - Accent2 9" xfId="663"/>
    <cellStyle name="20% - Accent3 10" xfId="664"/>
    <cellStyle name="20% - Accent3 11" xfId="665"/>
    <cellStyle name="20% - Accent3 12" xfId="666"/>
    <cellStyle name="20% - Accent3 13" xfId="667"/>
    <cellStyle name="20% - Accent3 14" xfId="668"/>
    <cellStyle name="20% - Accent3 15" xfId="669"/>
    <cellStyle name="20% - Accent3 16" xfId="670"/>
    <cellStyle name="20% - Accent3 17" xfId="671"/>
    <cellStyle name="20% - Accent3 18" xfId="672"/>
    <cellStyle name="20% - Accent3 19" xfId="673"/>
    <cellStyle name="20% - Accent3 20" xfId="674"/>
    <cellStyle name="20% - Accent3 21" xfId="675"/>
    <cellStyle name="20% - Accent3 22" xfId="676"/>
    <cellStyle name="20% - Accent3 23" xfId="677"/>
    <cellStyle name="20% - Accent3 24" xfId="678"/>
    <cellStyle name="20% - Accent3 25" xfId="679"/>
    <cellStyle name="20% - Accent3 26" xfId="680"/>
    <cellStyle name="20% - Accent3 27" xfId="681"/>
    <cellStyle name="20% - Accent3 28" xfId="682"/>
    <cellStyle name="20% - Accent3 29" xfId="683"/>
    <cellStyle name="20% - Accent3 3 2" xfId="684"/>
    <cellStyle name="20% - Accent3 30" xfId="685"/>
    <cellStyle name="20% - Accent3 31" xfId="686"/>
    <cellStyle name="20% - Accent3 32" xfId="687"/>
    <cellStyle name="20% - Accent3 33" xfId="688"/>
    <cellStyle name="20% - Accent3 34" xfId="689"/>
    <cellStyle name="20% - Accent3 35" xfId="690"/>
    <cellStyle name="20% - Accent3 36" xfId="691"/>
    <cellStyle name="20% - Accent3 37" xfId="692"/>
    <cellStyle name="20% - Accent3 38" xfId="693"/>
    <cellStyle name="20% - Accent3 39" xfId="694"/>
    <cellStyle name="20% - Accent3 40" xfId="695"/>
    <cellStyle name="20% - Accent3 41" xfId="696"/>
    <cellStyle name="20% - Accent3 42" xfId="697"/>
    <cellStyle name="20% - Accent3 43" xfId="698"/>
    <cellStyle name="20% - Accent3 6" xfId="699"/>
    <cellStyle name="20% - Accent3 7" xfId="700"/>
    <cellStyle name="20% - Accent3 8" xfId="701"/>
    <cellStyle name="20% - Accent3 9" xfId="702"/>
    <cellStyle name="20% - Accent4 10" xfId="703"/>
    <cellStyle name="20% - Accent4 11" xfId="704"/>
    <cellStyle name="20% - Accent4 12" xfId="705"/>
    <cellStyle name="20% - Accent4 13" xfId="706"/>
    <cellStyle name="20% - Accent4 14" xfId="707"/>
    <cellStyle name="20% - Accent4 15" xfId="708"/>
    <cellStyle name="20% - Accent4 16" xfId="709"/>
    <cellStyle name="20% - Accent4 17" xfId="710"/>
    <cellStyle name="20% - Accent4 18" xfId="711"/>
    <cellStyle name="20% - Accent4 19" xfId="712"/>
    <cellStyle name="20% - Accent4 20" xfId="713"/>
    <cellStyle name="20% - Accent4 21" xfId="714"/>
    <cellStyle name="20% - Accent4 22" xfId="715"/>
    <cellStyle name="20% - Accent4 23" xfId="716"/>
    <cellStyle name="20% - Accent4 24" xfId="717"/>
    <cellStyle name="20% - Accent4 25" xfId="718"/>
    <cellStyle name="20% - Accent4 26" xfId="719"/>
    <cellStyle name="20% - Accent4 27" xfId="720"/>
    <cellStyle name="20% - Accent4 28" xfId="721"/>
    <cellStyle name="20% - Accent4 29" xfId="722"/>
    <cellStyle name="20% - Accent4 3 2" xfId="723"/>
    <cellStyle name="20% - Accent4 30" xfId="724"/>
    <cellStyle name="20% - Accent4 31" xfId="725"/>
    <cellStyle name="20% - Accent4 32" xfId="726"/>
    <cellStyle name="20% - Accent4 33" xfId="727"/>
    <cellStyle name="20% - Accent4 34" xfId="728"/>
    <cellStyle name="20% - Accent4 35" xfId="729"/>
    <cellStyle name="20% - Accent4 36" xfId="730"/>
    <cellStyle name="20% - Accent4 37" xfId="731"/>
    <cellStyle name="20% - Accent4 38" xfId="732"/>
    <cellStyle name="20% - Accent4 39" xfId="733"/>
    <cellStyle name="20% - Accent4 40" xfId="734"/>
    <cellStyle name="20% - Accent4 41" xfId="735"/>
    <cellStyle name="20% - Accent4 42" xfId="736"/>
    <cellStyle name="20% - Accent4 43" xfId="737"/>
    <cellStyle name="20% - Accent4 6" xfId="738"/>
    <cellStyle name="20% - Accent4 7" xfId="739"/>
    <cellStyle name="20% - Accent4 8" xfId="740"/>
    <cellStyle name="20% - Accent4 9" xfId="741"/>
    <cellStyle name="20% - Accent5 10" xfId="742"/>
    <cellStyle name="20% - Accent5 11" xfId="743"/>
    <cellStyle name="20% - Accent5 12" xfId="744"/>
    <cellStyle name="20% - Accent5 13" xfId="745"/>
    <cellStyle name="20% - Accent5 14" xfId="746"/>
    <cellStyle name="20% - Accent5 15" xfId="747"/>
    <cellStyle name="20% - Accent5 16" xfId="748"/>
    <cellStyle name="20% - Accent5 17" xfId="749"/>
    <cellStyle name="20% - Accent5 18" xfId="750"/>
    <cellStyle name="20% - Accent5 19" xfId="751"/>
    <cellStyle name="20% - Accent5 20" xfId="752"/>
    <cellStyle name="20% - Accent5 21" xfId="753"/>
    <cellStyle name="20% - Accent5 22" xfId="754"/>
    <cellStyle name="20% - Accent5 23" xfId="755"/>
    <cellStyle name="20% - Accent5 24" xfId="756"/>
    <cellStyle name="20% - Accent5 25" xfId="757"/>
    <cellStyle name="20% - Accent5 26" xfId="758"/>
    <cellStyle name="20% - Accent5 27" xfId="759"/>
    <cellStyle name="20% - Accent5 28" xfId="760"/>
    <cellStyle name="20% - Accent5 29" xfId="761"/>
    <cellStyle name="20% - Accent5 3 2" xfId="762"/>
    <cellStyle name="20% - Accent5 30" xfId="763"/>
    <cellStyle name="20% - Accent5 31" xfId="764"/>
    <cellStyle name="20% - Accent5 32" xfId="765"/>
    <cellStyle name="20% - Accent5 33" xfId="766"/>
    <cellStyle name="20% - Accent5 34" xfId="767"/>
    <cellStyle name="20% - Accent5 35" xfId="768"/>
    <cellStyle name="20% - Accent5 36" xfId="769"/>
    <cellStyle name="20% - Accent5 37" xfId="770"/>
    <cellStyle name="20% - Accent5 38" xfId="771"/>
    <cellStyle name="20% - Accent5 39" xfId="772"/>
    <cellStyle name="20% - Accent5 40" xfId="773"/>
    <cellStyle name="20% - Accent5 41" xfId="774"/>
    <cellStyle name="20% - Accent5 42" xfId="775"/>
    <cellStyle name="20% - Accent5 43" xfId="776"/>
    <cellStyle name="20% - Accent5 6" xfId="777"/>
    <cellStyle name="20% - Accent5 7" xfId="778"/>
    <cellStyle name="20% - Accent5 8" xfId="779"/>
    <cellStyle name="20% - Accent5 9" xfId="780"/>
    <cellStyle name="20% - Accent6 10" xfId="781"/>
    <cellStyle name="20% - Accent6 11" xfId="782"/>
    <cellStyle name="20% - Accent6 12" xfId="783"/>
    <cellStyle name="20% - Accent6 13" xfId="784"/>
    <cellStyle name="20% - Accent6 14" xfId="785"/>
    <cellStyle name="20% - Accent6 15" xfId="786"/>
    <cellStyle name="20% - Accent6 16" xfId="787"/>
    <cellStyle name="20% - Accent6 17" xfId="788"/>
    <cellStyle name="20% - Accent6 18" xfId="789"/>
    <cellStyle name="20% - Accent6 19" xfId="790"/>
    <cellStyle name="20% - Accent6 20" xfId="791"/>
    <cellStyle name="20% - Accent6 21" xfId="792"/>
    <cellStyle name="20% - Accent6 22" xfId="793"/>
    <cellStyle name="20% - Accent6 23" xfId="794"/>
    <cellStyle name="20% - Accent6 24" xfId="795"/>
    <cellStyle name="20% - Accent6 25" xfId="796"/>
    <cellStyle name="20% - Accent6 26" xfId="797"/>
    <cellStyle name="20% - Accent6 27" xfId="798"/>
    <cellStyle name="20% - Accent6 28" xfId="799"/>
    <cellStyle name="20% - Accent6 29" xfId="800"/>
    <cellStyle name="20% - Accent6 3 2" xfId="801"/>
    <cellStyle name="20% - Accent6 30" xfId="802"/>
    <cellStyle name="20% - Accent6 31" xfId="803"/>
    <cellStyle name="20% - Accent6 32" xfId="804"/>
    <cellStyle name="20% - Accent6 33" xfId="805"/>
    <cellStyle name="20% - Accent6 34" xfId="806"/>
    <cellStyle name="20% - Accent6 35" xfId="807"/>
    <cellStyle name="20% - Accent6 36" xfId="808"/>
    <cellStyle name="20% - Accent6 37" xfId="809"/>
    <cellStyle name="20% - Accent6 38" xfId="810"/>
    <cellStyle name="20% - Accent6 39" xfId="811"/>
    <cellStyle name="20% - Accent6 40" xfId="812"/>
    <cellStyle name="20% - Accent6 41" xfId="813"/>
    <cellStyle name="20% - Accent6 42" xfId="814"/>
    <cellStyle name="20% - Accent6 43" xfId="815"/>
    <cellStyle name="20% - Accent6 44" xfId="816"/>
    <cellStyle name="20% - Accent6 6" xfId="817"/>
    <cellStyle name="20% - Accent6 7" xfId="818"/>
    <cellStyle name="20% - Accent6 8" xfId="819"/>
    <cellStyle name="20% - Accent6 9" xfId="820"/>
    <cellStyle name="20% - Akzent1" xfId="821"/>
    <cellStyle name="20% - Akzent2" xfId="822"/>
    <cellStyle name="20% - Akzent3" xfId="823"/>
    <cellStyle name="20% - Akzent4" xfId="824"/>
    <cellStyle name="20% - Akzent5" xfId="825"/>
    <cellStyle name="20% - Akzent6" xfId="826"/>
    <cellStyle name="2x indented GHG Textfiels" xfId="827"/>
    <cellStyle name="40% - Accent1 10" xfId="828"/>
    <cellStyle name="40% - Accent1 11" xfId="829"/>
    <cellStyle name="40% - Accent1 12" xfId="830"/>
    <cellStyle name="40% - Accent1 13" xfId="831"/>
    <cellStyle name="40% - Accent1 14" xfId="832"/>
    <cellStyle name="40% - Accent1 15" xfId="833"/>
    <cellStyle name="40% - Accent1 16" xfId="834"/>
    <cellStyle name="40% - Accent1 17" xfId="835"/>
    <cellStyle name="40% - Accent1 18" xfId="836"/>
    <cellStyle name="40% - Accent1 19" xfId="837"/>
    <cellStyle name="40% - Accent1 20" xfId="838"/>
    <cellStyle name="40% - Accent1 21" xfId="839"/>
    <cellStyle name="40% - Accent1 22" xfId="840"/>
    <cellStyle name="40% - Accent1 23" xfId="841"/>
    <cellStyle name="40% - Accent1 24" xfId="842"/>
    <cellStyle name="40% - Accent1 25" xfId="843"/>
    <cellStyle name="40% - Accent1 26" xfId="844"/>
    <cellStyle name="40% - Accent1 27" xfId="845"/>
    <cellStyle name="40% - Accent1 28" xfId="846"/>
    <cellStyle name="40% - Accent1 29" xfId="847"/>
    <cellStyle name="40% - Accent1 3 2" xfId="848"/>
    <cellStyle name="40% - Accent1 30" xfId="849"/>
    <cellStyle name="40% - Accent1 31" xfId="850"/>
    <cellStyle name="40% - Accent1 32" xfId="851"/>
    <cellStyle name="40% - Accent1 33" xfId="852"/>
    <cellStyle name="40% - Accent1 34" xfId="853"/>
    <cellStyle name="40% - Accent1 35" xfId="854"/>
    <cellStyle name="40% - Accent1 36" xfId="855"/>
    <cellStyle name="40% - Accent1 37" xfId="856"/>
    <cellStyle name="40% - Accent1 38" xfId="857"/>
    <cellStyle name="40% - Accent1 39" xfId="858"/>
    <cellStyle name="40% - Accent1 40" xfId="859"/>
    <cellStyle name="40% - Accent1 41" xfId="860"/>
    <cellStyle name="40% - Accent1 42" xfId="861"/>
    <cellStyle name="40% - Accent1 43" xfId="862"/>
    <cellStyle name="40% - Accent1 6" xfId="863"/>
    <cellStyle name="40% - Accent1 7" xfId="864"/>
    <cellStyle name="40% - Accent1 8" xfId="865"/>
    <cellStyle name="40% - Accent1 9" xfId="866"/>
    <cellStyle name="40% - Accent2 10" xfId="867"/>
    <cellStyle name="40% - Accent2 11" xfId="868"/>
    <cellStyle name="40% - Accent2 12" xfId="869"/>
    <cellStyle name="40% - Accent2 13" xfId="870"/>
    <cellStyle name="40% - Accent2 14" xfId="871"/>
    <cellStyle name="40% - Accent2 15" xfId="872"/>
    <cellStyle name="40% - Accent2 16" xfId="873"/>
    <cellStyle name="40% - Accent2 17" xfId="874"/>
    <cellStyle name="40% - Accent2 18" xfId="875"/>
    <cellStyle name="40% - Accent2 19" xfId="876"/>
    <cellStyle name="40% - Accent2 20" xfId="877"/>
    <cellStyle name="40% - Accent2 21" xfId="878"/>
    <cellStyle name="40% - Accent2 22" xfId="879"/>
    <cellStyle name="40% - Accent2 23" xfId="880"/>
    <cellStyle name="40% - Accent2 24" xfId="881"/>
    <cellStyle name="40% - Accent2 25" xfId="882"/>
    <cellStyle name="40% - Accent2 26" xfId="883"/>
    <cellStyle name="40% - Accent2 27" xfId="884"/>
    <cellStyle name="40% - Accent2 28" xfId="885"/>
    <cellStyle name="40% - Accent2 29" xfId="886"/>
    <cellStyle name="40% - Accent2 3 2" xfId="887"/>
    <cellStyle name="40% - Accent2 30" xfId="888"/>
    <cellStyle name="40% - Accent2 31" xfId="889"/>
    <cellStyle name="40% - Accent2 32" xfId="890"/>
    <cellStyle name="40% - Accent2 33" xfId="891"/>
    <cellStyle name="40% - Accent2 34" xfId="892"/>
    <cellStyle name="40% - Accent2 35" xfId="893"/>
    <cellStyle name="40% - Accent2 36" xfId="894"/>
    <cellStyle name="40% - Accent2 37" xfId="895"/>
    <cellStyle name="40% - Accent2 38" xfId="896"/>
    <cellStyle name="40% - Accent2 39" xfId="897"/>
    <cellStyle name="40% - Accent2 40" xfId="898"/>
    <cellStyle name="40% - Accent2 41" xfId="899"/>
    <cellStyle name="40% - Accent2 42" xfId="900"/>
    <cellStyle name="40% - Accent2 43" xfId="901"/>
    <cellStyle name="40% - Accent2 6" xfId="902"/>
    <cellStyle name="40% - Accent2 7" xfId="903"/>
    <cellStyle name="40% - Accent2 8" xfId="904"/>
    <cellStyle name="40% - Accent2 9" xfId="905"/>
    <cellStyle name="40% - Accent3 10" xfId="906"/>
    <cellStyle name="40% - Accent3 11" xfId="907"/>
    <cellStyle name="40% - Accent3 12" xfId="908"/>
    <cellStyle name="40% - Accent3 13" xfId="909"/>
    <cellStyle name="40% - Accent3 14" xfId="910"/>
    <cellStyle name="40% - Accent3 15" xfId="911"/>
    <cellStyle name="40% - Accent3 16" xfId="912"/>
    <cellStyle name="40% - Accent3 17" xfId="913"/>
    <cellStyle name="40% - Accent3 18" xfId="914"/>
    <cellStyle name="40% - Accent3 19" xfId="915"/>
    <cellStyle name="40% - Accent3 20" xfId="916"/>
    <cellStyle name="40% - Accent3 21" xfId="917"/>
    <cellStyle name="40% - Accent3 22" xfId="918"/>
    <cellStyle name="40% - Accent3 23" xfId="919"/>
    <cellStyle name="40% - Accent3 24" xfId="920"/>
    <cellStyle name="40% - Accent3 25" xfId="921"/>
    <cellStyle name="40% - Accent3 26" xfId="922"/>
    <cellStyle name="40% - Accent3 27" xfId="923"/>
    <cellStyle name="40% - Accent3 28" xfId="924"/>
    <cellStyle name="40% - Accent3 29" xfId="925"/>
    <cellStyle name="40% - Accent3 3 2" xfId="926"/>
    <cellStyle name="40% - Accent3 30" xfId="927"/>
    <cellStyle name="40% - Accent3 31" xfId="928"/>
    <cellStyle name="40% - Accent3 32" xfId="929"/>
    <cellStyle name="40% - Accent3 33" xfId="930"/>
    <cellStyle name="40% - Accent3 34" xfId="931"/>
    <cellStyle name="40% - Accent3 35" xfId="932"/>
    <cellStyle name="40% - Accent3 36" xfId="933"/>
    <cellStyle name="40% - Accent3 37" xfId="934"/>
    <cellStyle name="40% - Accent3 38" xfId="935"/>
    <cellStyle name="40% - Accent3 39" xfId="936"/>
    <cellStyle name="40% - Accent3 40" xfId="937"/>
    <cellStyle name="40% - Accent3 41" xfId="938"/>
    <cellStyle name="40% - Accent3 42" xfId="939"/>
    <cellStyle name="40% - Accent3 43" xfId="940"/>
    <cellStyle name="40% - Accent3 6" xfId="941"/>
    <cellStyle name="40% - Accent3 7" xfId="942"/>
    <cellStyle name="40% - Accent3 8" xfId="943"/>
    <cellStyle name="40% - Accent3 9" xfId="944"/>
    <cellStyle name="40% - Accent4 10" xfId="945"/>
    <cellStyle name="40% - Accent4 11" xfId="946"/>
    <cellStyle name="40% - Accent4 12" xfId="947"/>
    <cellStyle name="40% - Accent4 13" xfId="948"/>
    <cellStyle name="40% - Accent4 14" xfId="949"/>
    <cellStyle name="40% - Accent4 15" xfId="950"/>
    <cellStyle name="40% - Accent4 16" xfId="951"/>
    <cellStyle name="40% - Accent4 17" xfId="952"/>
    <cellStyle name="40% - Accent4 18" xfId="953"/>
    <cellStyle name="40% - Accent4 19" xfId="954"/>
    <cellStyle name="40% - Accent4 20" xfId="955"/>
    <cellStyle name="40% - Accent4 21" xfId="956"/>
    <cellStyle name="40% - Accent4 22" xfId="957"/>
    <cellStyle name="40% - Accent4 23" xfId="958"/>
    <cellStyle name="40% - Accent4 24" xfId="959"/>
    <cellStyle name="40% - Accent4 25" xfId="960"/>
    <cellStyle name="40% - Accent4 26" xfId="961"/>
    <cellStyle name="40% - Accent4 27" xfId="962"/>
    <cellStyle name="40% - Accent4 28" xfId="963"/>
    <cellStyle name="40% - Accent4 29" xfId="964"/>
    <cellStyle name="40% - Accent4 3 2" xfId="965"/>
    <cellStyle name="40% - Accent4 30" xfId="966"/>
    <cellStyle name="40% - Accent4 31" xfId="967"/>
    <cellStyle name="40% - Accent4 32" xfId="968"/>
    <cellStyle name="40% - Accent4 33" xfId="969"/>
    <cellStyle name="40% - Accent4 34" xfId="970"/>
    <cellStyle name="40% - Accent4 35" xfId="971"/>
    <cellStyle name="40% - Accent4 36" xfId="972"/>
    <cellStyle name="40% - Accent4 37" xfId="973"/>
    <cellStyle name="40% - Accent4 38" xfId="974"/>
    <cellStyle name="40% - Accent4 39" xfId="975"/>
    <cellStyle name="40% - Accent4 40" xfId="976"/>
    <cellStyle name="40% - Accent4 41" xfId="977"/>
    <cellStyle name="40% - Accent4 42" xfId="978"/>
    <cellStyle name="40% - Accent4 43" xfId="979"/>
    <cellStyle name="40% - Accent4 6" xfId="980"/>
    <cellStyle name="40% - Accent4 7" xfId="981"/>
    <cellStyle name="40% - Accent4 8" xfId="982"/>
    <cellStyle name="40% - Accent4 9" xfId="983"/>
    <cellStyle name="40% - Accent5 10" xfId="984"/>
    <cellStyle name="40% - Accent5 11" xfId="985"/>
    <cellStyle name="40% - Accent5 12" xfId="986"/>
    <cellStyle name="40% - Accent5 13" xfId="987"/>
    <cellStyle name="40% - Accent5 14" xfId="988"/>
    <cellStyle name="40% - Accent5 15" xfId="989"/>
    <cellStyle name="40% - Accent5 16" xfId="990"/>
    <cellStyle name="40% - Accent5 17" xfId="991"/>
    <cellStyle name="40% - Accent5 18" xfId="992"/>
    <cellStyle name="40% - Accent5 19" xfId="993"/>
    <cellStyle name="40% - Accent5 20" xfId="994"/>
    <cellStyle name="40% - Accent5 21" xfId="995"/>
    <cellStyle name="40% - Accent5 22" xfId="996"/>
    <cellStyle name="40% - Accent5 23" xfId="997"/>
    <cellStyle name="40% - Accent5 24" xfId="998"/>
    <cellStyle name="40% - Accent5 25" xfId="999"/>
    <cellStyle name="40% - Accent5 26" xfId="1000"/>
    <cellStyle name="40% - Accent5 27" xfId="1001"/>
    <cellStyle name="40% - Accent5 28" xfId="1002"/>
    <cellStyle name="40% - Accent5 29" xfId="1003"/>
    <cellStyle name="40% - Accent5 3 2" xfId="1004"/>
    <cellStyle name="40% - Accent5 30" xfId="1005"/>
    <cellStyle name="40% - Accent5 31" xfId="1006"/>
    <cellStyle name="40% - Accent5 32" xfId="1007"/>
    <cellStyle name="40% - Accent5 33" xfId="1008"/>
    <cellStyle name="40% - Accent5 34" xfId="1009"/>
    <cellStyle name="40% - Accent5 35" xfId="1010"/>
    <cellStyle name="40% - Accent5 36" xfId="1011"/>
    <cellStyle name="40% - Accent5 37" xfId="1012"/>
    <cellStyle name="40% - Accent5 38" xfId="1013"/>
    <cellStyle name="40% - Accent5 39" xfId="1014"/>
    <cellStyle name="40% - Accent5 40" xfId="1015"/>
    <cellStyle name="40% - Accent5 41" xfId="1016"/>
    <cellStyle name="40% - Accent5 42" xfId="1017"/>
    <cellStyle name="40% - Accent5 43" xfId="1018"/>
    <cellStyle name="40% - Accent5 6" xfId="1019"/>
    <cellStyle name="40% - Accent5 7" xfId="1020"/>
    <cellStyle name="40% - Accent5 8" xfId="1021"/>
    <cellStyle name="40% - Accent5 9" xfId="1022"/>
    <cellStyle name="40% - Accent6 10" xfId="1023"/>
    <cellStyle name="40% - Accent6 11" xfId="1024"/>
    <cellStyle name="40% - Accent6 12" xfId="1025"/>
    <cellStyle name="40% - Accent6 13" xfId="1026"/>
    <cellStyle name="40% - Accent6 14" xfId="1027"/>
    <cellStyle name="40% - Accent6 15" xfId="1028"/>
    <cellStyle name="40% - Accent6 16" xfId="1029"/>
    <cellStyle name="40% - Accent6 17" xfId="1030"/>
    <cellStyle name="40% - Accent6 18" xfId="1031"/>
    <cellStyle name="40% - Accent6 19" xfId="1032"/>
    <cellStyle name="40% - Accent6 20" xfId="1033"/>
    <cellStyle name="40% - Accent6 21" xfId="1034"/>
    <cellStyle name="40% - Accent6 22" xfId="1035"/>
    <cellStyle name="40% - Accent6 23" xfId="1036"/>
    <cellStyle name="40% - Accent6 24" xfId="1037"/>
    <cellStyle name="40% - Accent6 25" xfId="1038"/>
    <cellStyle name="40% - Accent6 26" xfId="1039"/>
    <cellStyle name="40% - Accent6 27" xfId="1040"/>
    <cellStyle name="40% - Accent6 28" xfId="1041"/>
    <cellStyle name="40% - Accent6 29" xfId="1042"/>
    <cellStyle name="40% - Accent6 3 2" xfId="1043"/>
    <cellStyle name="40% - Accent6 30" xfId="1044"/>
    <cellStyle name="40% - Accent6 31" xfId="1045"/>
    <cellStyle name="40% - Accent6 32" xfId="1046"/>
    <cellStyle name="40% - Accent6 33" xfId="1047"/>
    <cellStyle name="40% - Accent6 34" xfId="1048"/>
    <cellStyle name="40% - Accent6 35" xfId="1049"/>
    <cellStyle name="40% - Accent6 36" xfId="1050"/>
    <cellStyle name="40% - Accent6 37" xfId="1051"/>
    <cellStyle name="40% - Accent6 38" xfId="1052"/>
    <cellStyle name="40% - Accent6 39" xfId="1053"/>
    <cellStyle name="40% - Accent6 40" xfId="1054"/>
    <cellStyle name="40% - Accent6 41" xfId="1055"/>
    <cellStyle name="40% - Accent6 42" xfId="1056"/>
    <cellStyle name="40% - Accent6 43" xfId="1057"/>
    <cellStyle name="40% - Accent6 6" xfId="1058"/>
    <cellStyle name="40% - Accent6 7" xfId="1059"/>
    <cellStyle name="40% - Accent6 8" xfId="1060"/>
    <cellStyle name="40% - Accent6 9" xfId="1061"/>
    <cellStyle name="40% - Akzent1" xfId="1062"/>
    <cellStyle name="40% - Akzent2" xfId="1063"/>
    <cellStyle name="40% - Akzent3" xfId="1064"/>
    <cellStyle name="40% - Akzent4" xfId="1065"/>
    <cellStyle name="40% - Akzent5" xfId="1066"/>
    <cellStyle name="40% - Akzent6" xfId="1067"/>
    <cellStyle name="60% - Accent1 10" xfId="1068"/>
    <cellStyle name="60% - Accent1 11" xfId="1069"/>
    <cellStyle name="60% - Accent1 12" xfId="1070"/>
    <cellStyle name="60% - Accent1 13" xfId="1071"/>
    <cellStyle name="60% - Accent1 14" xfId="1072"/>
    <cellStyle name="60% - Accent1 15" xfId="1073"/>
    <cellStyle name="60% - Accent1 16" xfId="1074"/>
    <cellStyle name="60% - Accent1 17" xfId="1075"/>
    <cellStyle name="60% - Accent1 18" xfId="1076"/>
    <cellStyle name="60% - Accent1 19" xfId="1077"/>
    <cellStyle name="60% - Accent1 20" xfId="1078"/>
    <cellStyle name="60% - Accent1 21" xfId="1079"/>
    <cellStyle name="60% - Accent1 22" xfId="1080"/>
    <cellStyle name="60% - Accent1 23" xfId="1081"/>
    <cellStyle name="60% - Accent1 24" xfId="1082"/>
    <cellStyle name="60% - Accent1 25" xfId="1083"/>
    <cellStyle name="60% - Accent1 26" xfId="1084"/>
    <cellStyle name="60% - Accent1 27" xfId="1085"/>
    <cellStyle name="60% - Accent1 28" xfId="1086"/>
    <cellStyle name="60% - Accent1 29" xfId="1087"/>
    <cellStyle name="60% - Accent1 3 2" xfId="1088"/>
    <cellStyle name="60% - Accent1 30" xfId="1089"/>
    <cellStyle name="60% - Accent1 31" xfId="1090"/>
    <cellStyle name="60% - Accent1 32" xfId="1091"/>
    <cellStyle name="60% - Accent1 33" xfId="1092"/>
    <cellStyle name="60% - Accent1 34" xfId="1093"/>
    <cellStyle name="60% - Accent1 35" xfId="1094"/>
    <cellStyle name="60% - Accent1 36" xfId="1095"/>
    <cellStyle name="60% - Accent1 37" xfId="1096"/>
    <cellStyle name="60% - Accent1 38" xfId="1097"/>
    <cellStyle name="60% - Accent1 39" xfId="1098"/>
    <cellStyle name="60% - Accent1 40" xfId="1099"/>
    <cellStyle name="60% - Accent1 41" xfId="1100"/>
    <cellStyle name="60% - Accent1 42" xfId="1101"/>
    <cellStyle name="60% - Accent1 43" xfId="1102"/>
    <cellStyle name="60% - Accent1 6" xfId="1103"/>
    <cellStyle name="60% - Accent1 7" xfId="1104"/>
    <cellStyle name="60% - Accent1 8" xfId="1105"/>
    <cellStyle name="60% - Accent1 9" xfId="1106"/>
    <cellStyle name="60% - Accent2 10" xfId="1107"/>
    <cellStyle name="60% - Accent2 11" xfId="1108"/>
    <cellStyle name="60% - Accent2 12" xfId="1109"/>
    <cellStyle name="60% - Accent2 13" xfId="1110"/>
    <cellStyle name="60% - Accent2 14" xfId="1111"/>
    <cellStyle name="60% - Accent2 15" xfId="1112"/>
    <cellStyle name="60% - Accent2 16" xfId="1113"/>
    <cellStyle name="60% - Accent2 17" xfId="1114"/>
    <cellStyle name="60% - Accent2 18" xfId="1115"/>
    <cellStyle name="60% - Accent2 19" xfId="1116"/>
    <cellStyle name="60% - Accent2 20" xfId="1117"/>
    <cellStyle name="60% - Accent2 21" xfId="1118"/>
    <cellStyle name="60% - Accent2 22" xfId="1119"/>
    <cellStyle name="60% - Accent2 23" xfId="1120"/>
    <cellStyle name="60% - Accent2 24" xfId="1121"/>
    <cellStyle name="60% - Accent2 25" xfId="1122"/>
    <cellStyle name="60% - Accent2 26" xfId="1123"/>
    <cellStyle name="60% - Accent2 27" xfId="1124"/>
    <cellStyle name="60% - Accent2 28" xfId="1125"/>
    <cellStyle name="60% - Accent2 29" xfId="1126"/>
    <cellStyle name="60% - Accent2 3 2" xfId="1127"/>
    <cellStyle name="60% - Accent2 30" xfId="1128"/>
    <cellStyle name="60% - Accent2 31" xfId="1129"/>
    <cellStyle name="60% - Accent2 32" xfId="1130"/>
    <cellStyle name="60% - Accent2 33" xfId="1131"/>
    <cellStyle name="60% - Accent2 34" xfId="1132"/>
    <cellStyle name="60% - Accent2 35" xfId="1133"/>
    <cellStyle name="60% - Accent2 36" xfId="1134"/>
    <cellStyle name="60% - Accent2 37" xfId="1135"/>
    <cellStyle name="60% - Accent2 38" xfId="1136"/>
    <cellStyle name="60% - Accent2 39" xfId="1137"/>
    <cellStyle name="60% - Accent2 40" xfId="1138"/>
    <cellStyle name="60% - Accent2 41" xfId="1139"/>
    <cellStyle name="60% - Accent2 42" xfId="1140"/>
    <cellStyle name="60% - Accent2 43" xfId="1141"/>
    <cellStyle name="60% - Accent2 6" xfId="1142"/>
    <cellStyle name="60% - Accent2 7" xfId="1143"/>
    <cellStyle name="60% - Accent2 8" xfId="1144"/>
    <cellStyle name="60% - Accent2 9" xfId="1145"/>
    <cellStyle name="60% - Accent3 10" xfId="1146"/>
    <cellStyle name="60% - Accent3 11" xfId="1147"/>
    <cellStyle name="60% - Accent3 12" xfId="1148"/>
    <cellStyle name="60% - Accent3 13" xfId="1149"/>
    <cellStyle name="60% - Accent3 14" xfId="1150"/>
    <cellStyle name="60% - Accent3 15" xfId="1151"/>
    <cellStyle name="60% - Accent3 16" xfId="1152"/>
    <cellStyle name="60% - Accent3 17" xfId="1153"/>
    <cellStyle name="60% - Accent3 18" xfId="1154"/>
    <cellStyle name="60% - Accent3 19" xfId="1155"/>
    <cellStyle name="60% - Accent3 20" xfId="1156"/>
    <cellStyle name="60% - Accent3 21" xfId="1157"/>
    <cellStyle name="60% - Accent3 22" xfId="1158"/>
    <cellStyle name="60% - Accent3 23" xfId="1159"/>
    <cellStyle name="60% - Accent3 24" xfId="1160"/>
    <cellStyle name="60% - Accent3 25" xfId="1161"/>
    <cellStyle name="60% - Accent3 26" xfId="1162"/>
    <cellStyle name="60% - Accent3 27" xfId="1163"/>
    <cellStyle name="60% - Accent3 28" xfId="1164"/>
    <cellStyle name="60% - Accent3 29" xfId="1165"/>
    <cellStyle name="60% - Accent3 3 2" xfId="1166"/>
    <cellStyle name="60% - Accent3 30" xfId="1167"/>
    <cellStyle name="60% - Accent3 31" xfId="1168"/>
    <cellStyle name="60% - Accent3 32" xfId="1169"/>
    <cellStyle name="60% - Accent3 33" xfId="1170"/>
    <cellStyle name="60% - Accent3 34" xfId="1171"/>
    <cellStyle name="60% - Accent3 35" xfId="1172"/>
    <cellStyle name="60% - Accent3 36" xfId="1173"/>
    <cellStyle name="60% - Accent3 37" xfId="1174"/>
    <cellStyle name="60% - Accent3 38" xfId="1175"/>
    <cellStyle name="60% - Accent3 39" xfId="1176"/>
    <cellStyle name="60% - Accent3 40" xfId="1177"/>
    <cellStyle name="60% - Accent3 41" xfId="1178"/>
    <cellStyle name="60% - Accent3 42" xfId="1179"/>
    <cellStyle name="60% - Accent3 43" xfId="1180"/>
    <cellStyle name="60% - Accent3 6" xfId="1181"/>
    <cellStyle name="60% - Accent3 7" xfId="1182"/>
    <cellStyle name="60% - Accent3 8" xfId="1183"/>
    <cellStyle name="60% - Accent3 9" xfId="1184"/>
    <cellStyle name="60% - Accent4 10" xfId="1185"/>
    <cellStyle name="60% - Accent4 11" xfId="1186"/>
    <cellStyle name="60% - Accent4 12" xfId="1187"/>
    <cellStyle name="60% - Accent4 13" xfId="1188"/>
    <cellStyle name="60% - Accent4 14" xfId="1189"/>
    <cellStyle name="60% - Accent4 15" xfId="1190"/>
    <cellStyle name="60% - Accent4 16" xfId="1191"/>
    <cellStyle name="60% - Accent4 17" xfId="1192"/>
    <cellStyle name="60% - Accent4 18" xfId="1193"/>
    <cellStyle name="60% - Accent4 19" xfId="1194"/>
    <cellStyle name="60% - Accent4 20" xfId="1195"/>
    <cellStyle name="60% - Accent4 21" xfId="1196"/>
    <cellStyle name="60% - Accent4 22" xfId="1197"/>
    <cellStyle name="60% - Accent4 23" xfId="1198"/>
    <cellStyle name="60% - Accent4 24" xfId="1199"/>
    <cellStyle name="60% - Accent4 25" xfId="1200"/>
    <cellStyle name="60% - Accent4 26" xfId="1201"/>
    <cellStyle name="60% - Accent4 27" xfId="1202"/>
    <cellStyle name="60% - Accent4 28" xfId="1203"/>
    <cellStyle name="60% - Accent4 29" xfId="1204"/>
    <cellStyle name="60% - Accent4 3 2" xfId="1205"/>
    <cellStyle name="60% - Accent4 30" xfId="1206"/>
    <cellStyle name="60% - Accent4 31" xfId="1207"/>
    <cellStyle name="60% - Accent4 32" xfId="1208"/>
    <cellStyle name="60% - Accent4 33" xfId="1209"/>
    <cellStyle name="60% - Accent4 34" xfId="1210"/>
    <cellStyle name="60% - Accent4 35" xfId="1211"/>
    <cellStyle name="60% - Accent4 36" xfId="1212"/>
    <cellStyle name="60% - Accent4 37" xfId="1213"/>
    <cellStyle name="60% - Accent4 38" xfId="1214"/>
    <cellStyle name="60% - Accent4 39" xfId="1215"/>
    <cellStyle name="60% - Accent4 40" xfId="1216"/>
    <cellStyle name="60% - Accent4 41" xfId="1217"/>
    <cellStyle name="60% - Accent4 42" xfId="1218"/>
    <cellStyle name="60% - Accent4 43" xfId="1219"/>
    <cellStyle name="60% - Accent4 6" xfId="1220"/>
    <cellStyle name="60% - Accent4 7" xfId="1221"/>
    <cellStyle name="60% - Accent4 8" xfId="1222"/>
    <cellStyle name="60% - Accent4 9" xfId="1223"/>
    <cellStyle name="60% - Accent5 10" xfId="1224"/>
    <cellStyle name="60% - Accent5 11" xfId="1225"/>
    <cellStyle name="60% - Accent5 12" xfId="1226"/>
    <cellStyle name="60% - Accent5 13" xfId="1227"/>
    <cellStyle name="60% - Accent5 14" xfId="1228"/>
    <cellStyle name="60% - Accent5 15" xfId="1229"/>
    <cellStyle name="60% - Accent5 16" xfId="1230"/>
    <cellStyle name="60% - Accent5 17" xfId="1231"/>
    <cellStyle name="60% - Accent5 18" xfId="1232"/>
    <cellStyle name="60% - Accent5 19" xfId="1233"/>
    <cellStyle name="60% - Accent5 20" xfId="1234"/>
    <cellStyle name="60% - Accent5 21" xfId="1235"/>
    <cellStyle name="60% - Accent5 22" xfId="1236"/>
    <cellStyle name="60% - Accent5 23" xfId="1237"/>
    <cellStyle name="60% - Accent5 24" xfId="1238"/>
    <cellStyle name="60% - Accent5 25" xfId="1239"/>
    <cellStyle name="60% - Accent5 26" xfId="1240"/>
    <cellStyle name="60% - Accent5 27" xfId="1241"/>
    <cellStyle name="60% - Accent5 28" xfId="1242"/>
    <cellStyle name="60% - Accent5 29" xfId="1243"/>
    <cellStyle name="60% - Accent5 3 2" xfId="1244"/>
    <cellStyle name="60% - Accent5 30" xfId="1245"/>
    <cellStyle name="60% - Accent5 31" xfId="1246"/>
    <cellStyle name="60% - Accent5 32" xfId="1247"/>
    <cellStyle name="60% - Accent5 33" xfId="1248"/>
    <cellStyle name="60% - Accent5 34" xfId="1249"/>
    <cellStyle name="60% - Accent5 35" xfId="1250"/>
    <cellStyle name="60% - Accent5 36" xfId="1251"/>
    <cellStyle name="60% - Accent5 37" xfId="1252"/>
    <cellStyle name="60% - Accent5 38" xfId="1253"/>
    <cellStyle name="60% - Accent5 39" xfId="1254"/>
    <cellStyle name="60% - Accent5 40" xfId="1255"/>
    <cellStyle name="60% - Accent5 41" xfId="1256"/>
    <cellStyle name="60% - Accent5 42" xfId="1257"/>
    <cellStyle name="60% - Accent5 43" xfId="1258"/>
    <cellStyle name="60% - Accent5 6" xfId="1259"/>
    <cellStyle name="60% - Accent5 7" xfId="1260"/>
    <cellStyle name="60% - Accent5 8" xfId="1261"/>
    <cellStyle name="60% - Accent5 9" xfId="1262"/>
    <cellStyle name="60% - Accent6 10" xfId="1263"/>
    <cellStyle name="60% - Accent6 11" xfId="1264"/>
    <cellStyle name="60% - Accent6 12" xfId="1265"/>
    <cellStyle name="60% - Accent6 13" xfId="1266"/>
    <cellStyle name="60% - Accent6 14" xfId="1267"/>
    <cellStyle name="60% - Accent6 15" xfId="1268"/>
    <cellStyle name="60% - Accent6 16" xfId="1269"/>
    <cellStyle name="60% - Accent6 17" xfId="1270"/>
    <cellStyle name="60% - Accent6 18" xfId="1271"/>
    <cellStyle name="60% - Accent6 19" xfId="1272"/>
    <cellStyle name="60% - Accent6 20" xfId="1273"/>
    <cellStyle name="60% - Accent6 21" xfId="1274"/>
    <cellStyle name="60% - Accent6 22" xfId="1275"/>
    <cellStyle name="60% - Accent6 23" xfId="1276"/>
    <cellStyle name="60% - Accent6 24" xfId="1277"/>
    <cellStyle name="60% - Accent6 25" xfId="1278"/>
    <cellStyle name="60% - Accent6 26" xfId="1279"/>
    <cellStyle name="60% - Accent6 27" xfId="1280"/>
    <cellStyle name="60% - Accent6 28" xfId="1281"/>
    <cellStyle name="60% - Accent6 29" xfId="1282"/>
    <cellStyle name="60% - Accent6 3 2" xfId="1283"/>
    <cellStyle name="60% - Accent6 30" xfId="1284"/>
    <cellStyle name="60% - Accent6 31" xfId="1285"/>
    <cellStyle name="60% - Accent6 32" xfId="1286"/>
    <cellStyle name="60% - Accent6 33" xfId="1287"/>
    <cellStyle name="60% - Accent6 34" xfId="1288"/>
    <cellStyle name="60% - Accent6 35" xfId="1289"/>
    <cellStyle name="60% - Accent6 36" xfId="1290"/>
    <cellStyle name="60% - Accent6 37" xfId="1291"/>
    <cellStyle name="60% - Accent6 38" xfId="1292"/>
    <cellStyle name="60% - Accent6 39" xfId="1293"/>
    <cellStyle name="60% - Accent6 40" xfId="1294"/>
    <cellStyle name="60% - Accent6 41" xfId="1295"/>
    <cellStyle name="60% - Accent6 42" xfId="1296"/>
    <cellStyle name="60% - Accent6 43" xfId="1297"/>
    <cellStyle name="60% - Accent6 6" xfId="1298"/>
    <cellStyle name="60% - Accent6 7" xfId="1299"/>
    <cellStyle name="60% - Accent6 8" xfId="1300"/>
    <cellStyle name="60% - Accent6 9" xfId="1301"/>
    <cellStyle name="60% - Akzent1" xfId="1302"/>
    <cellStyle name="60% - Akzent2" xfId="1303"/>
    <cellStyle name="60% - Akzent3" xfId="1304"/>
    <cellStyle name="60% - Akzent4" xfId="1305"/>
    <cellStyle name="60% - Akzent5" xfId="1306"/>
    <cellStyle name="60% - Akzent6" xfId="1307"/>
    <cellStyle name="60% - Cor4 2" xfId="1308"/>
    <cellStyle name="Accent1 10" xfId="1309"/>
    <cellStyle name="Accent1 11" xfId="1310"/>
    <cellStyle name="Accent1 12" xfId="1311"/>
    <cellStyle name="Accent1 13" xfId="1312"/>
    <cellStyle name="Accent1 14" xfId="1313"/>
    <cellStyle name="Accent1 15" xfId="1314"/>
    <cellStyle name="Accent1 16" xfId="1315"/>
    <cellStyle name="Accent1 17" xfId="1316"/>
    <cellStyle name="Accent1 18" xfId="1317"/>
    <cellStyle name="Accent1 19" xfId="1318"/>
    <cellStyle name="Accent1 20" xfId="1319"/>
    <cellStyle name="Accent1 21" xfId="1320"/>
    <cellStyle name="Accent1 22" xfId="1321"/>
    <cellStyle name="Accent1 23" xfId="1322"/>
    <cellStyle name="Accent1 24" xfId="1323"/>
    <cellStyle name="Accent1 25" xfId="1324"/>
    <cellStyle name="Accent1 26" xfId="1325"/>
    <cellStyle name="Accent1 27" xfId="1326"/>
    <cellStyle name="Accent1 28" xfId="1327"/>
    <cellStyle name="Accent1 29" xfId="1328"/>
    <cellStyle name="Accent1 3 2" xfId="1329"/>
    <cellStyle name="Accent1 30" xfId="1330"/>
    <cellStyle name="Accent1 31" xfId="1331"/>
    <cellStyle name="Accent1 32" xfId="1332"/>
    <cellStyle name="Accent1 33" xfId="1333"/>
    <cellStyle name="Accent1 34" xfId="1334"/>
    <cellStyle name="Accent1 35" xfId="1335"/>
    <cellStyle name="Accent1 36" xfId="1336"/>
    <cellStyle name="Accent1 37" xfId="1337"/>
    <cellStyle name="Accent1 38" xfId="1338"/>
    <cellStyle name="Accent1 39" xfId="1339"/>
    <cellStyle name="Accent1 40" xfId="1340"/>
    <cellStyle name="Accent1 41" xfId="1341"/>
    <cellStyle name="Accent1 42" xfId="1342"/>
    <cellStyle name="Accent1 43" xfId="1343"/>
    <cellStyle name="Accent1 6" xfId="1344"/>
    <cellStyle name="Accent1 7" xfId="1345"/>
    <cellStyle name="Accent1 8" xfId="1346"/>
    <cellStyle name="Accent1 9" xfId="1347"/>
    <cellStyle name="Accent2 10" xfId="1348"/>
    <cellStyle name="Accent2 11" xfId="1349"/>
    <cellStyle name="Accent2 12" xfId="1350"/>
    <cellStyle name="Accent2 13" xfId="1351"/>
    <cellStyle name="Accent2 14" xfId="1352"/>
    <cellStyle name="Accent2 15" xfId="1353"/>
    <cellStyle name="Accent2 16" xfId="1354"/>
    <cellStyle name="Accent2 17" xfId="1355"/>
    <cellStyle name="Accent2 18" xfId="1356"/>
    <cellStyle name="Accent2 19" xfId="1357"/>
    <cellStyle name="Accent2 20" xfId="1358"/>
    <cellStyle name="Accent2 21" xfId="1359"/>
    <cellStyle name="Accent2 22" xfId="1360"/>
    <cellStyle name="Accent2 23" xfId="1361"/>
    <cellStyle name="Accent2 24" xfId="1362"/>
    <cellStyle name="Accent2 25" xfId="1363"/>
    <cellStyle name="Accent2 26" xfId="1364"/>
    <cellStyle name="Accent2 27" xfId="1365"/>
    <cellStyle name="Accent2 28" xfId="1366"/>
    <cellStyle name="Accent2 29" xfId="1367"/>
    <cellStyle name="Accent2 3 2" xfId="1368"/>
    <cellStyle name="Accent2 30" xfId="1369"/>
    <cellStyle name="Accent2 31" xfId="1370"/>
    <cellStyle name="Accent2 32" xfId="1371"/>
    <cellStyle name="Accent2 33" xfId="1372"/>
    <cellStyle name="Accent2 34" xfId="1373"/>
    <cellStyle name="Accent2 35" xfId="1374"/>
    <cellStyle name="Accent2 36" xfId="1375"/>
    <cellStyle name="Accent2 37" xfId="1376"/>
    <cellStyle name="Accent2 38" xfId="1377"/>
    <cellStyle name="Accent2 39" xfId="1378"/>
    <cellStyle name="Accent2 40" xfId="1379"/>
    <cellStyle name="Accent2 41" xfId="1380"/>
    <cellStyle name="Accent2 42" xfId="1381"/>
    <cellStyle name="Accent2 43" xfId="1382"/>
    <cellStyle name="Accent2 6" xfId="1383"/>
    <cellStyle name="Accent2 7" xfId="1384"/>
    <cellStyle name="Accent2 8" xfId="1385"/>
    <cellStyle name="Accent2 9" xfId="1386"/>
    <cellStyle name="Accent3 10" xfId="1387"/>
    <cellStyle name="Accent3 11" xfId="1388"/>
    <cellStyle name="Accent3 12" xfId="1389"/>
    <cellStyle name="Accent3 13" xfId="1390"/>
    <cellStyle name="Accent3 14" xfId="1391"/>
    <cellStyle name="Accent3 15" xfId="1392"/>
    <cellStyle name="Accent3 16" xfId="1393"/>
    <cellStyle name="Accent3 17" xfId="1394"/>
    <cellStyle name="Accent3 18" xfId="1395"/>
    <cellStyle name="Accent3 19" xfId="1396"/>
    <cellStyle name="Accent3 20" xfId="1397"/>
    <cellStyle name="Accent3 21" xfId="1398"/>
    <cellStyle name="Accent3 22" xfId="1399"/>
    <cellStyle name="Accent3 23" xfId="1400"/>
    <cellStyle name="Accent3 24" xfId="1401"/>
    <cellStyle name="Accent3 25" xfId="1402"/>
    <cellStyle name="Accent3 26" xfId="1403"/>
    <cellStyle name="Accent3 27" xfId="1404"/>
    <cellStyle name="Accent3 28" xfId="1405"/>
    <cellStyle name="Accent3 29" xfId="1406"/>
    <cellStyle name="Accent3 3 2" xfId="1407"/>
    <cellStyle name="Accent3 30" xfId="1408"/>
    <cellStyle name="Accent3 31" xfId="1409"/>
    <cellStyle name="Accent3 32" xfId="1410"/>
    <cellStyle name="Accent3 33" xfId="1411"/>
    <cellStyle name="Accent3 34" xfId="1412"/>
    <cellStyle name="Accent3 35" xfId="1413"/>
    <cellStyle name="Accent3 36" xfId="1414"/>
    <cellStyle name="Accent3 37" xfId="1415"/>
    <cellStyle name="Accent3 38" xfId="1416"/>
    <cellStyle name="Accent3 39" xfId="1417"/>
    <cellStyle name="Accent3 40" xfId="1418"/>
    <cellStyle name="Accent3 41" xfId="1419"/>
    <cellStyle name="Accent3 42" xfId="1420"/>
    <cellStyle name="Accent3 43" xfId="1421"/>
    <cellStyle name="Accent3 6" xfId="1422"/>
    <cellStyle name="Accent3 7" xfId="1423"/>
    <cellStyle name="Accent3 8" xfId="1424"/>
    <cellStyle name="Accent3 9" xfId="1425"/>
    <cellStyle name="Accent4 10" xfId="1426"/>
    <cellStyle name="Accent4 11" xfId="1427"/>
    <cellStyle name="Accent4 12" xfId="1428"/>
    <cellStyle name="Accent4 13" xfId="1429"/>
    <cellStyle name="Accent4 14" xfId="1430"/>
    <cellStyle name="Accent4 15" xfId="1431"/>
    <cellStyle name="Accent4 16" xfId="1432"/>
    <cellStyle name="Accent4 17" xfId="1433"/>
    <cellStyle name="Accent4 18" xfId="1434"/>
    <cellStyle name="Accent4 19" xfId="1435"/>
    <cellStyle name="Accent4 20" xfId="1436"/>
    <cellStyle name="Accent4 21" xfId="1437"/>
    <cellStyle name="Accent4 22" xfId="1438"/>
    <cellStyle name="Accent4 23" xfId="1439"/>
    <cellStyle name="Accent4 24" xfId="1440"/>
    <cellStyle name="Accent4 25" xfId="1441"/>
    <cellStyle name="Accent4 26" xfId="1442"/>
    <cellStyle name="Accent4 27" xfId="1443"/>
    <cellStyle name="Accent4 28" xfId="1444"/>
    <cellStyle name="Accent4 29" xfId="1445"/>
    <cellStyle name="Accent4 3 2" xfId="1446"/>
    <cellStyle name="Accent4 30" xfId="1447"/>
    <cellStyle name="Accent4 31" xfId="1448"/>
    <cellStyle name="Accent4 32" xfId="1449"/>
    <cellStyle name="Accent4 33" xfId="1450"/>
    <cellStyle name="Accent4 34" xfId="1451"/>
    <cellStyle name="Accent4 35" xfId="1452"/>
    <cellStyle name="Accent4 36" xfId="1453"/>
    <cellStyle name="Accent4 37" xfId="1454"/>
    <cellStyle name="Accent4 38" xfId="1455"/>
    <cellStyle name="Accent4 39" xfId="1456"/>
    <cellStyle name="Accent4 40" xfId="1457"/>
    <cellStyle name="Accent4 41" xfId="1458"/>
    <cellStyle name="Accent4 42" xfId="1459"/>
    <cellStyle name="Accent4 43" xfId="1460"/>
    <cellStyle name="Accent4 6" xfId="1461"/>
    <cellStyle name="Accent4 7" xfId="1462"/>
    <cellStyle name="Accent4 8" xfId="1463"/>
    <cellStyle name="Accent4 9" xfId="1464"/>
    <cellStyle name="Accent5 10" xfId="1465"/>
    <cellStyle name="Accent5 11" xfId="1466"/>
    <cellStyle name="Accent5 12" xfId="1467"/>
    <cellStyle name="Accent5 13" xfId="1468"/>
    <cellStyle name="Accent5 14" xfId="1469"/>
    <cellStyle name="Accent5 15" xfId="1470"/>
    <cellStyle name="Accent5 16" xfId="1471"/>
    <cellStyle name="Accent5 17" xfId="1472"/>
    <cellStyle name="Accent5 18" xfId="1473"/>
    <cellStyle name="Accent5 19" xfId="1474"/>
    <cellStyle name="Accent5 20" xfId="1475"/>
    <cellStyle name="Accent5 21" xfId="1476"/>
    <cellStyle name="Accent5 22" xfId="1477"/>
    <cellStyle name="Accent5 23" xfId="1478"/>
    <cellStyle name="Accent5 24" xfId="1479"/>
    <cellStyle name="Accent5 25" xfId="1480"/>
    <cellStyle name="Accent5 26" xfId="1481"/>
    <cellStyle name="Accent5 27" xfId="1482"/>
    <cellStyle name="Accent5 28" xfId="1483"/>
    <cellStyle name="Accent5 29" xfId="1484"/>
    <cellStyle name="Accent5 3 2" xfId="1485"/>
    <cellStyle name="Accent5 30" xfId="1486"/>
    <cellStyle name="Accent5 31" xfId="1487"/>
    <cellStyle name="Accent5 32" xfId="1488"/>
    <cellStyle name="Accent5 33" xfId="1489"/>
    <cellStyle name="Accent5 34" xfId="1490"/>
    <cellStyle name="Accent5 35" xfId="1491"/>
    <cellStyle name="Accent5 36" xfId="1492"/>
    <cellStyle name="Accent5 37" xfId="1493"/>
    <cellStyle name="Accent5 38" xfId="1494"/>
    <cellStyle name="Accent5 39" xfId="1495"/>
    <cellStyle name="Accent5 40" xfId="1496"/>
    <cellStyle name="Accent5 41" xfId="1497"/>
    <cellStyle name="Accent5 42" xfId="1498"/>
    <cellStyle name="Accent5 43" xfId="1499"/>
    <cellStyle name="Accent5 6" xfId="1500"/>
    <cellStyle name="Accent5 7" xfId="1501"/>
    <cellStyle name="Accent5 8" xfId="1502"/>
    <cellStyle name="Accent5 9" xfId="1503"/>
    <cellStyle name="Accent6 10" xfId="1504"/>
    <cellStyle name="Accent6 11" xfId="1505"/>
    <cellStyle name="Accent6 12" xfId="1506"/>
    <cellStyle name="Accent6 13" xfId="1507"/>
    <cellStyle name="Accent6 14" xfId="1508"/>
    <cellStyle name="Accent6 15" xfId="1509"/>
    <cellStyle name="Accent6 16" xfId="1510"/>
    <cellStyle name="Accent6 17" xfId="1511"/>
    <cellStyle name="Accent6 18" xfId="1512"/>
    <cellStyle name="Accent6 19" xfId="1513"/>
    <cellStyle name="Accent6 20" xfId="1514"/>
    <cellStyle name="Accent6 21" xfId="1515"/>
    <cellStyle name="Accent6 22" xfId="1516"/>
    <cellStyle name="Accent6 23" xfId="1517"/>
    <cellStyle name="Accent6 24" xfId="1518"/>
    <cellStyle name="Accent6 25" xfId="1519"/>
    <cellStyle name="Accent6 26" xfId="1520"/>
    <cellStyle name="Accent6 27" xfId="1521"/>
    <cellStyle name="Accent6 28" xfId="1522"/>
    <cellStyle name="Accent6 29" xfId="1523"/>
    <cellStyle name="Accent6 3 2" xfId="1524"/>
    <cellStyle name="Accent6 30" xfId="1525"/>
    <cellStyle name="Accent6 31" xfId="1526"/>
    <cellStyle name="Accent6 32" xfId="1527"/>
    <cellStyle name="Accent6 33" xfId="1528"/>
    <cellStyle name="Accent6 34" xfId="1529"/>
    <cellStyle name="Accent6 35" xfId="1530"/>
    <cellStyle name="Accent6 36" xfId="1531"/>
    <cellStyle name="Accent6 37" xfId="1532"/>
    <cellStyle name="Accent6 38" xfId="1533"/>
    <cellStyle name="Accent6 39" xfId="1534"/>
    <cellStyle name="Accent6 40" xfId="1535"/>
    <cellStyle name="Accent6 41" xfId="1536"/>
    <cellStyle name="Accent6 42" xfId="1537"/>
    <cellStyle name="Accent6 43" xfId="1538"/>
    <cellStyle name="Accent6 6" xfId="1539"/>
    <cellStyle name="Accent6 7" xfId="1540"/>
    <cellStyle name="Accent6 8" xfId="1541"/>
    <cellStyle name="Accent6 9" xfId="1542"/>
    <cellStyle name="AggblueBoldCels" xfId="1543"/>
    <cellStyle name="AggblueCels" xfId="1544"/>
    <cellStyle name="AggBoldCells" xfId="1545"/>
    <cellStyle name="AggCels" xfId="1546"/>
    <cellStyle name="AggGreen" xfId="1547"/>
    <cellStyle name="AggGreen12" xfId="1548"/>
    <cellStyle name="AggOrange" xfId="1549"/>
    <cellStyle name="AggOrange9" xfId="1550"/>
    <cellStyle name="AggOrangeLB_2x" xfId="1551"/>
    <cellStyle name="AggOrangeLBorder" xfId="1552"/>
    <cellStyle name="AggOrangeRBorder" xfId="1553"/>
    <cellStyle name="Akzent1" xfId="1554"/>
    <cellStyle name="Akzent2" xfId="1555"/>
    <cellStyle name="Akzent3" xfId="1556"/>
    <cellStyle name="Akzent4" xfId="1557"/>
    <cellStyle name="Akzent5" xfId="1558"/>
    <cellStyle name="Akzent6" xfId="1559"/>
    <cellStyle name="Ausgabe" xfId="1560"/>
    <cellStyle name="Bad 10" xfId="1561"/>
    <cellStyle name="Bad 11" xfId="1562"/>
    <cellStyle name="Bad 12" xfId="1563"/>
    <cellStyle name="Bad 13" xfId="1564"/>
    <cellStyle name="Bad 14" xfId="1565"/>
    <cellStyle name="Bad 15" xfId="1566"/>
    <cellStyle name="Bad 16" xfId="1567"/>
    <cellStyle name="Bad 17" xfId="1568"/>
    <cellStyle name="Bad 18" xfId="1569"/>
    <cellStyle name="Bad 19" xfId="1570"/>
    <cellStyle name="Bad 20" xfId="1571"/>
    <cellStyle name="Bad 21" xfId="1572"/>
    <cellStyle name="Bad 22" xfId="1573"/>
    <cellStyle name="Bad 23" xfId="1574"/>
    <cellStyle name="Bad 24" xfId="1575"/>
    <cellStyle name="Bad 25" xfId="1576"/>
    <cellStyle name="Bad 26" xfId="1577"/>
    <cellStyle name="Bad 27" xfId="1578"/>
    <cellStyle name="Bad 28" xfId="1579"/>
    <cellStyle name="Bad 29" xfId="1580"/>
    <cellStyle name="Bad 3 2" xfId="1581"/>
    <cellStyle name="Bad 30" xfId="1582"/>
    <cellStyle name="Bad 31" xfId="1583"/>
    <cellStyle name="Bad 32" xfId="1584"/>
    <cellStyle name="Bad 33" xfId="1585"/>
    <cellStyle name="Bad 34" xfId="1586"/>
    <cellStyle name="Bad 35" xfId="1587"/>
    <cellStyle name="Bad 36" xfId="1588"/>
    <cellStyle name="Bad 37" xfId="1589"/>
    <cellStyle name="Bad 38" xfId="1590"/>
    <cellStyle name="Bad 39" xfId="1591"/>
    <cellStyle name="Bad 40" xfId="1592"/>
    <cellStyle name="Bad 41" xfId="1593"/>
    <cellStyle name="Bad 42" xfId="1594"/>
    <cellStyle name="Bad 43" xfId="1595"/>
    <cellStyle name="Bad 44" xfId="1596"/>
    <cellStyle name="Bad 6" xfId="1597"/>
    <cellStyle name="Bad 7" xfId="1598"/>
    <cellStyle name="Bad 8" xfId="1599"/>
    <cellStyle name="Bad 9" xfId="1600"/>
    <cellStyle name="Berechnung" xfId="1601"/>
    <cellStyle name="Bold GHG Numbers (0.00)" xfId="1602"/>
    <cellStyle name="Calculation 10" xfId="1603"/>
    <cellStyle name="Calculation 11" xfId="1604"/>
    <cellStyle name="Calculation 12" xfId="1605"/>
    <cellStyle name="Calculation 13" xfId="1606"/>
    <cellStyle name="Calculation 14" xfId="1607"/>
    <cellStyle name="Calculation 15" xfId="1608"/>
    <cellStyle name="Calculation 16" xfId="1609"/>
    <cellStyle name="Calculation 17" xfId="1610"/>
    <cellStyle name="Calculation 18" xfId="1611"/>
    <cellStyle name="Calculation 19" xfId="1612"/>
    <cellStyle name="Calculation 20" xfId="1613"/>
    <cellStyle name="Calculation 21" xfId="1614"/>
    <cellStyle name="Calculation 22" xfId="1615"/>
    <cellStyle name="Calculation 23" xfId="1616"/>
    <cellStyle name="Calculation 24" xfId="1617"/>
    <cellStyle name="Calculation 25" xfId="1618"/>
    <cellStyle name="Calculation 26" xfId="1619"/>
    <cellStyle name="Calculation 27" xfId="1620"/>
    <cellStyle name="Calculation 28" xfId="1621"/>
    <cellStyle name="Calculation 29" xfId="1622"/>
    <cellStyle name="Calculation 3 2" xfId="1623"/>
    <cellStyle name="Calculation 30" xfId="1624"/>
    <cellStyle name="Calculation 31" xfId="1625"/>
    <cellStyle name="Calculation 32" xfId="1626"/>
    <cellStyle name="Calculation 33" xfId="1627"/>
    <cellStyle name="Calculation 34" xfId="1628"/>
    <cellStyle name="Calculation 35" xfId="1629"/>
    <cellStyle name="Calculation 36" xfId="1630"/>
    <cellStyle name="Calculation 37" xfId="1631"/>
    <cellStyle name="Calculation 38" xfId="1632"/>
    <cellStyle name="Calculation 39" xfId="1633"/>
    <cellStyle name="Calculation 40" xfId="1634"/>
    <cellStyle name="Calculation 41" xfId="1635"/>
    <cellStyle name="Calculation 42" xfId="1636"/>
    <cellStyle name="Calculation 43" xfId="1637"/>
    <cellStyle name="Calculation 6" xfId="1638"/>
    <cellStyle name="Calculation 7" xfId="1639"/>
    <cellStyle name="Calculation 8" xfId="1640"/>
    <cellStyle name="Calculation 9" xfId="1641"/>
    <cellStyle name="Check Cell 10" xfId="1642"/>
    <cellStyle name="Check Cell 11" xfId="1643"/>
    <cellStyle name="Check Cell 12" xfId="1644"/>
    <cellStyle name="Check Cell 13" xfId="1645"/>
    <cellStyle name="Check Cell 14" xfId="1646"/>
    <cellStyle name="Check Cell 15" xfId="1647"/>
    <cellStyle name="Check Cell 16" xfId="1648"/>
    <cellStyle name="Check Cell 17" xfId="1649"/>
    <cellStyle name="Check Cell 18" xfId="1650"/>
    <cellStyle name="Check Cell 19" xfId="1651"/>
    <cellStyle name="Check Cell 20" xfId="1652"/>
    <cellStyle name="Check Cell 21" xfId="1653"/>
    <cellStyle name="Check Cell 22" xfId="1654"/>
    <cellStyle name="Check Cell 23" xfId="1655"/>
    <cellStyle name="Check Cell 24" xfId="1656"/>
    <cellStyle name="Check Cell 25" xfId="1657"/>
    <cellStyle name="Check Cell 26" xfId="1658"/>
    <cellStyle name="Check Cell 27" xfId="1659"/>
    <cellStyle name="Check Cell 28" xfId="1660"/>
    <cellStyle name="Check Cell 29" xfId="1661"/>
    <cellStyle name="Check Cell 3 2" xfId="1662"/>
    <cellStyle name="Check Cell 30" xfId="1663"/>
    <cellStyle name="Check Cell 31" xfId="1664"/>
    <cellStyle name="Check Cell 32" xfId="1665"/>
    <cellStyle name="Check Cell 33" xfId="1666"/>
    <cellStyle name="Check Cell 34" xfId="1667"/>
    <cellStyle name="Check Cell 35" xfId="1668"/>
    <cellStyle name="Check Cell 36" xfId="1669"/>
    <cellStyle name="Check Cell 37" xfId="1670"/>
    <cellStyle name="Check Cell 38" xfId="1671"/>
    <cellStyle name="Check Cell 39" xfId="1672"/>
    <cellStyle name="Check Cell 40" xfId="1673"/>
    <cellStyle name="Check Cell 41" xfId="1674"/>
    <cellStyle name="Check Cell 42" xfId="1675"/>
    <cellStyle name="Check Cell 43" xfId="1676"/>
    <cellStyle name="Check Cell 6" xfId="1677"/>
    <cellStyle name="Check Cell 7" xfId="1678"/>
    <cellStyle name="Check Cell 8" xfId="1679"/>
    <cellStyle name="Check Cell 9" xfId="1680"/>
    <cellStyle name="Comma 14" xfId="1681"/>
    <cellStyle name="Comma 2 10" xfId="1682"/>
    <cellStyle name="Comma 2 11" xfId="1683"/>
    <cellStyle name="Comma 2 12" xfId="1684"/>
    <cellStyle name="Comma 2 13" xfId="1685"/>
    <cellStyle name="Comma 2 2 2 4" xfId="1686"/>
    <cellStyle name="Comma 2 2 2 4 2" xfId="1687"/>
    <cellStyle name="Comma 2 2 2 4 3" xfId="1688"/>
    <cellStyle name="Comma 2 2 2 5" xfId="1689"/>
    <cellStyle name="Comma 2 2 3 4 2" xfId="1690"/>
    <cellStyle name="Comma 2 2 4 2" xfId="1691"/>
    <cellStyle name="Comma 2 2 6 2" xfId="1692"/>
    <cellStyle name="Comma 2 2 6 3" xfId="1693"/>
    <cellStyle name="Comma 2 2 7" xfId="1694"/>
    <cellStyle name="Comma 2 3 2 4 4" xfId="1695"/>
    <cellStyle name="Comma 2 3 2 4 2" xfId="1696"/>
    <cellStyle name="Comma 2 3 2 4 3" xfId="1697"/>
    <cellStyle name="Comma 2 3 2 5" xfId="1698"/>
    <cellStyle name="Comma 2 3 3 4 2" xfId="1699"/>
    <cellStyle name="Comma 2 3 4 2" xfId="1700"/>
    <cellStyle name="Comma 2 3 6 2" xfId="1701"/>
    <cellStyle name="Comma 2 4 4 4" xfId="1702"/>
    <cellStyle name="Comma 2 4 4 2" xfId="1703"/>
    <cellStyle name="Comma 2 4 4 3" xfId="1704"/>
    <cellStyle name="Comma 2 4 5" xfId="1705"/>
    <cellStyle name="Comma 2 5 4 2" xfId="1706"/>
    <cellStyle name="Comma 2 6 2 2" xfId="1707"/>
    <cellStyle name="Comma 2 7 2 2" xfId="1708"/>
    <cellStyle name="Comma 2 8 4" xfId="1709"/>
    <cellStyle name="Comma 2 8 2" xfId="1710"/>
    <cellStyle name="Comma 2 8 3" xfId="1711"/>
    <cellStyle name="Comma 2 9" xfId="1712"/>
    <cellStyle name="Comma 3" xfId="1713"/>
    <cellStyle name="Comma 3 2" xfId="1714"/>
    <cellStyle name="Comma 3 2 2" xfId="1715"/>
    <cellStyle name="Comma 3 3" xfId="1716"/>
    <cellStyle name="Comma 3 4" xfId="1717"/>
    <cellStyle name="Comma 4" xfId="1718"/>
    <cellStyle name="Comma 4 2" xfId="1719"/>
    <cellStyle name="Comma 5 2" xfId="1720"/>
    <cellStyle name="Comma 5 3" xfId="1721"/>
    <cellStyle name="Comma 5 3 2" xfId="1722"/>
    <cellStyle name="Comma 8 2" xfId="1723"/>
    <cellStyle name="Comma 8 2 2" xfId="1724"/>
    <cellStyle name="Constants" xfId="1725"/>
    <cellStyle name="Currency 2 4" xfId="1726"/>
    <cellStyle name="CustomCellsOrange" xfId="1727"/>
    <cellStyle name="CustomizationGreenCells" xfId="1728"/>
    <cellStyle name="DocBox_EmptyRow" xfId="1729"/>
    <cellStyle name="Eingabe" xfId="1730"/>
    <cellStyle name="Empty_B_border" xfId="1731"/>
    <cellStyle name="Ergebnis" xfId="1732"/>
    <cellStyle name="Erklärender Text" xfId="1733"/>
    <cellStyle name="Estilo 1" xfId="1734"/>
    <cellStyle name="Euro 60" xfId="1735"/>
    <cellStyle name="Euro 10" xfId="1736"/>
    <cellStyle name="Euro 10 2" xfId="1737"/>
    <cellStyle name="Euro 11" xfId="1738"/>
    <cellStyle name="Euro 11 2" xfId="1739"/>
    <cellStyle name="Euro 12" xfId="1740"/>
    <cellStyle name="Euro 13" xfId="1741"/>
    <cellStyle name="Euro 14" xfId="1742"/>
    <cellStyle name="Euro 15" xfId="1743"/>
    <cellStyle name="Euro 16" xfId="1744"/>
    <cellStyle name="Euro 17" xfId="1745"/>
    <cellStyle name="Euro 18" xfId="1746"/>
    <cellStyle name="Euro 19" xfId="1747"/>
    <cellStyle name="Euro 2 7" xfId="1748"/>
    <cellStyle name="Euro 2 2 6" xfId="1749"/>
    <cellStyle name="Euro 2 2 4 2" xfId="1750"/>
    <cellStyle name="Euro 2 2 5" xfId="1751"/>
    <cellStyle name="Euro 2 3" xfId="1752"/>
    <cellStyle name="Euro 2 4" xfId="1753"/>
    <cellStyle name="Euro 2 5" xfId="1754"/>
    <cellStyle name="Euro 2 6" xfId="1755"/>
    <cellStyle name="Euro 20" xfId="1756"/>
    <cellStyle name="Euro 21" xfId="1757"/>
    <cellStyle name="Euro 22" xfId="1758"/>
    <cellStyle name="Euro 23" xfId="1759"/>
    <cellStyle name="Euro 24" xfId="1760"/>
    <cellStyle name="Euro 25" xfId="1761"/>
    <cellStyle name="Euro 26" xfId="1762"/>
    <cellStyle name="Euro 27" xfId="1763"/>
    <cellStyle name="Euro 28" xfId="1764"/>
    <cellStyle name="Euro 29" xfId="1765"/>
    <cellStyle name="Euro 3 8" xfId="1766"/>
    <cellStyle name="Euro 3 2 2" xfId="1767"/>
    <cellStyle name="Euro 3 3 4 2" xfId="1768"/>
    <cellStyle name="Euro 3 5" xfId="1769"/>
    <cellStyle name="Euro 3 6" xfId="1770"/>
    <cellStyle name="Euro 3 7" xfId="1771"/>
    <cellStyle name="Euro 3_PrimaryEnergyPrices_TIMES" xfId="1772"/>
    <cellStyle name="Euro 30" xfId="1773"/>
    <cellStyle name="Euro 31" xfId="1774"/>
    <cellStyle name="Euro 32" xfId="1775"/>
    <cellStyle name="Euro 33" xfId="1776"/>
    <cellStyle name="Euro 34" xfId="1777"/>
    <cellStyle name="Euro 35" xfId="1778"/>
    <cellStyle name="Euro 36" xfId="1779"/>
    <cellStyle name="Euro 37" xfId="1780"/>
    <cellStyle name="Euro 38" xfId="1781"/>
    <cellStyle name="Euro 39" xfId="1782"/>
    <cellStyle name="Euro 4 2 2" xfId="1783"/>
    <cellStyle name="Euro 4 3 4 2" xfId="1784"/>
    <cellStyle name="Euro 4 5" xfId="1785"/>
    <cellStyle name="Euro 40" xfId="1786"/>
    <cellStyle name="Euro 41" xfId="1787"/>
    <cellStyle name="Euro 42" xfId="1788"/>
    <cellStyle name="Euro 43" xfId="1789"/>
    <cellStyle name="Euro 44" xfId="1790"/>
    <cellStyle name="Euro 45" xfId="1791"/>
    <cellStyle name="Euro 46" xfId="1792"/>
    <cellStyle name="Euro 47" xfId="1793"/>
    <cellStyle name="Euro 48" xfId="1794"/>
    <cellStyle name="Euro 48 2" xfId="1795"/>
    <cellStyle name="Euro 49" xfId="1796"/>
    <cellStyle name="Euro 49 2" xfId="1797"/>
    <cellStyle name="Euro 5 4 2" xfId="1798"/>
    <cellStyle name="Euro 50" xfId="1799"/>
    <cellStyle name="Euro 50 2" xfId="1800"/>
    <cellStyle name="Euro 51" xfId="1801"/>
    <cellStyle name="Euro 51 2" xfId="1802"/>
    <cellStyle name="Euro 52" xfId="1803"/>
    <cellStyle name="Euro 52 2" xfId="1804"/>
    <cellStyle name="Euro 53" xfId="1805"/>
    <cellStyle name="Euro 53 2" xfId="1806"/>
    <cellStyle name="Euro 54" xfId="1807"/>
    <cellStyle name="Euro 54 2" xfId="1808"/>
    <cellStyle name="Euro 55" xfId="1809"/>
    <cellStyle name="Euro 55 2" xfId="1810"/>
    <cellStyle name="Euro 56" xfId="1811"/>
    <cellStyle name="Euro 56 2" xfId="1812"/>
    <cellStyle name="Euro 57" xfId="1813"/>
    <cellStyle name="Euro 58" xfId="1814"/>
    <cellStyle name="Euro 59" xfId="1815"/>
    <cellStyle name="Euro 6 2" xfId="1816"/>
    <cellStyle name="Euro 6 3" xfId="1817"/>
    <cellStyle name="Euro 7 2" xfId="1818"/>
    <cellStyle name="Euro 7 3" xfId="1819"/>
    <cellStyle name="Euro 8" xfId="1820"/>
    <cellStyle name="Euro 8 2" xfId="1821"/>
    <cellStyle name="Euro 9" xfId="1822"/>
    <cellStyle name="Euro 9 2" xfId="1823"/>
    <cellStyle name="Euro_Potentials in TIMES" xfId="1824"/>
    <cellStyle name="Explanatory Text 10" xfId="1825"/>
    <cellStyle name="Explanatory Text 11" xfId="1826"/>
    <cellStyle name="Explanatory Text 12" xfId="1827"/>
    <cellStyle name="Explanatory Text 13" xfId="1828"/>
    <cellStyle name="Explanatory Text 14" xfId="1829"/>
    <cellStyle name="Explanatory Text 15" xfId="1830"/>
    <cellStyle name="Explanatory Text 16" xfId="1831"/>
    <cellStyle name="Explanatory Text 17" xfId="1832"/>
    <cellStyle name="Explanatory Text 18" xfId="1833"/>
    <cellStyle name="Explanatory Text 19" xfId="1834"/>
    <cellStyle name="Explanatory Text 20" xfId="1835"/>
    <cellStyle name="Explanatory Text 21" xfId="1836"/>
    <cellStyle name="Explanatory Text 22" xfId="1837"/>
    <cellStyle name="Explanatory Text 23" xfId="1838"/>
    <cellStyle name="Explanatory Text 24" xfId="1839"/>
    <cellStyle name="Explanatory Text 25" xfId="1840"/>
    <cellStyle name="Explanatory Text 26" xfId="1841"/>
    <cellStyle name="Explanatory Text 27" xfId="1842"/>
    <cellStyle name="Explanatory Text 28" xfId="1843"/>
    <cellStyle name="Explanatory Text 29" xfId="1844"/>
    <cellStyle name="Explanatory Text 3 2" xfId="1845"/>
    <cellStyle name="Explanatory Text 30" xfId="1846"/>
    <cellStyle name="Explanatory Text 31" xfId="1847"/>
    <cellStyle name="Explanatory Text 32" xfId="1848"/>
    <cellStyle name="Explanatory Text 33" xfId="1849"/>
    <cellStyle name="Explanatory Text 34" xfId="1850"/>
    <cellStyle name="Explanatory Text 35" xfId="1851"/>
    <cellStyle name="Explanatory Text 36" xfId="1852"/>
    <cellStyle name="Explanatory Text 37" xfId="1853"/>
    <cellStyle name="Explanatory Text 38" xfId="1854"/>
    <cellStyle name="Explanatory Text 39" xfId="1855"/>
    <cellStyle name="Explanatory Text 40" xfId="1856"/>
    <cellStyle name="Explanatory Text 41" xfId="1857"/>
    <cellStyle name="Explanatory Text 42" xfId="1858"/>
    <cellStyle name="Explanatory Text 43" xfId="1859"/>
    <cellStyle name="Explanatory Text 6" xfId="1860"/>
    <cellStyle name="Explanatory Text 7" xfId="1861"/>
    <cellStyle name="Explanatory Text 8" xfId="1862"/>
    <cellStyle name="Explanatory Text 9" xfId="1863"/>
    <cellStyle name="Float 4" xfId="1864"/>
    <cellStyle name="Float 3" xfId="1865"/>
    <cellStyle name="Good 10" xfId="1866"/>
    <cellStyle name="Good 11" xfId="1867"/>
    <cellStyle name="Good 12" xfId="1868"/>
    <cellStyle name="Good 13" xfId="1869"/>
    <cellStyle name="Good 14" xfId="1870"/>
    <cellStyle name="Good 15" xfId="1871"/>
    <cellStyle name="Good 16" xfId="1872"/>
    <cellStyle name="Good 17" xfId="1873"/>
    <cellStyle name="Good 18" xfId="1874"/>
    <cellStyle name="Good 19" xfId="1875"/>
    <cellStyle name="Good 2 2" xfId="1876"/>
    <cellStyle name="Good 2 3" xfId="1877"/>
    <cellStyle name="Good 20" xfId="1878"/>
    <cellStyle name="Good 21" xfId="1879"/>
    <cellStyle name="Good 22" xfId="1880"/>
    <cellStyle name="Good 23" xfId="1881"/>
    <cellStyle name="Good 24" xfId="1882"/>
    <cellStyle name="Good 25" xfId="1883"/>
    <cellStyle name="Good 26" xfId="1884"/>
    <cellStyle name="Good 27" xfId="1885"/>
    <cellStyle name="Good 28" xfId="1886"/>
    <cellStyle name="Good 29" xfId="1887"/>
    <cellStyle name="Good 3 2" xfId="1888"/>
    <cellStyle name="Good 30" xfId="1889"/>
    <cellStyle name="Good 31" xfId="1890"/>
    <cellStyle name="Good 32" xfId="1891"/>
    <cellStyle name="Good 33" xfId="1892"/>
    <cellStyle name="Good 34" xfId="1893"/>
    <cellStyle name="Good 35" xfId="1894"/>
    <cellStyle name="Good 36" xfId="1895"/>
    <cellStyle name="Good 37" xfId="1896"/>
    <cellStyle name="Good 38" xfId="1897"/>
    <cellStyle name="Good 39" xfId="1898"/>
    <cellStyle name="Good 40" xfId="1899"/>
    <cellStyle name="Good 41" xfId="1900"/>
    <cellStyle name="Good 42" xfId="1901"/>
    <cellStyle name="Good 5 3" xfId="1902"/>
    <cellStyle name="Good 7" xfId="1903"/>
    <cellStyle name="Good 8" xfId="1904"/>
    <cellStyle name="Good 9" xfId="1905"/>
    <cellStyle name="Gut" xfId="1906"/>
    <cellStyle name="Heading 1 10" xfId="1907"/>
    <cellStyle name="Heading 1 11" xfId="1908"/>
    <cellStyle name="Heading 1 12" xfId="1909"/>
    <cellStyle name="Heading 1 13" xfId="1910"/>
    <cellStyle name="Heading 1 14" xfId="1911"/>
    <cellStyle name="Heading 1 15" xfId="1912"/>
    <cellStyle name="Heading 1 16" xfId="1913"/>
    <cellStyle name="Heading 1 17" xfId="1914"/>
    <cellStyle name="Heading 1 18" xfId="1915"/>
    <cellStyle name="Heading 1 19" xfId="1916"/>
    <cellStyle name="Heading 1 20" xfId="1917"/>
    <cellStyle name="Heading 1 21" xfId="1918"/>
    <cellStyle name="Heading 1 22" xfId="1919"/>
    <cellStyle name="Heading 1 23" xfId="1920"/>
    <cellStyle name="Heading 1 24" xfId="1921"/>
    <cellStyle name="Heading 1 25" xfId="1922"/>
    <cellStyle name="Heading 1 26" xfId="1923"/>
    <cellStyle name="Heading 1 27" xfId="1924"/>
    <cellStyle name="Heading 1 28" xfId="1925"/>
    <cellStyle name="Heading 1 29" xfId="1926"/>
    <cellStyle name="Heading 1 3 2" xfId="1927"/>
    <cellStyle name="Heading 1 30" xfId="1928"/>
    <cellStyle name="Heading 1 31" xfId="1929"/>
    <cellStyle name="Heading 1 32" xfId="1930"/>
    <cellStyle name="Heading 1 33" xfId="1931"/>
    <cellStyle name="Heading 1 34" xfId="1932"/>
    <cellStyle name="Heading 1 35" xfId="1933"/>
    <cellStyle name="Heading 1 36" xfId="1934"/>
    <cellStyle name="Heading 1 37" xfId="1935"/>
    <cellStyle name="Heading 1 38" xfId="1936"/>
    <cellStyle name="Heading 1 39" xfId="1937"/>
    <cellStyle name="Heading 1 40" xfId="1938"/>
    <cellStyle name="Heading 1 41" xfId="1939"/>
    <cellStyle name="Heading 1 6" xfId="1940"/>
    <cellStyle name="Heading 1 7" xfId="1941"/>
    <cellStyle name="Heading 1 8" xfId="1942"/>
    <cellStyle name="Heading 1 9" xfId="1943"/>
    <cellStyle name="Heading 2 10" xfId="1944"/>
    <cellStyle name="Heading 2 11" xfId="1945"/>
    <cellStyle name="Heading 2 12" xfId="1946"/>
    <cellStyle name="Heading 2 13" xfId="1947"/>
    <cellStyle name="Heading 2 14" xfId="1948"/>
    <cellStyle name="Heading 2 15" xfId="1949"/>
    <cellStyle name="Heading 2 16" xfId="1950"/>
    <cellStyle name="Heading 2 17" xfId="1951"/>
    <cellStyle name="Heading 2 18" xfId="1952"/>
    <cellStyle name="Heading 2 19" xfId="1953"/>
    <cellStyle name="Heading 2 20" xfId="1954"/>
    <cellStyle name="Heading 2 21" xfId="1955"/>
    <cellStyle name="Heading 2 22" xfId="1956"/>
    <cellStyle name="Heading 2 23" xfId="1957"/>
    <cellStyle name="Heading 2 24" xfId="1958"/>
    <cellStyle name="Heading 2 25" xfId="1959"/>
    <cellStyle name="Heading 2 26" xfId="1960"/>
    <cellStyle name="Heading 2 27" xfId="1961"/>
    <cellStyle name="Heading 2 28" xfId="1962"/>
    <cellStyle name="Heading 2 29" xfId="1963"/>
    <cellStyle name="Heading 2 3 2" xfId="1964"/>
    <cellStyle name="Heading 2 30" xfId="1965"/>
    <cellStyle name="Heading 2 31" xfId="1966"/>
    <cellStyle name="Heading 2 32" xfId="1967"/>
    <cellStyle name="Heading 2 33" xfId="1968"/>
    <cellStyle name="Heading 2 34" xfId="1969"/>
    <cellStyle name="Heading 2 35" xfId="1970"/>
    <cellStyle name="Heading 2 36" xfId="1971"/>
    <cellStyle name="Heading 2 37" xfId="1972"/>
    <cellStyle name="Heading 2 38" xfId="1973"/>
    <cellStyle name="Heading 2 39" xfId="1974"/>
    <cellStyle name="Heading 2 40" xfId="1975"/>
    <cellStyle name="Heading 2 41" xfId="1976"/>
    <cellStyle name="Heading 2 6" xfId="1977"/>
    <cellStyle name="Heading 2 7" xfId="1978"/>
    <cellStyle name="Heading 2 8" xfId="1979"/>
    <cellStyle name="Heading 2 9" xfId="1980"/>
    <cellStyle name="Heading 3 10" xfId="1981"/>
    <cellStyle name="Heading 3 11" xfId="1982"/>
    <cellStyle name="Heading 3 12" xfId="1983"/>
    <cellStyle name="Heading 3 13" xfId="1984"/>
    <cellStyle name="Heading 3 14" xfId="1985"/>
    <cellStyle name="Heading 3 15" xfId="1986"/>
    <cellStyle name="Heading 3 16" xfId="1987"/>
    <cellStyle name="Heading 3 17" xfId="1988"/>
    <cellStyle name="Heading 3 18" xfId="1989"/>
    <cellStyle name="Heading 3 19" xfId="1990"/>
    <cellStyle name="Heading 3 20" xfId="1991"/>
    <cellStyle name="Heading 3 21" xfId="1992"/>
    <cellStyle name="Heading 3 22" xfId="1993"/>
    <cellStyle name="Heading 3 23" xfId="1994"/>
    <cellStyle name="Heading 3 24" xfId="1995"/>
    <cellStyle name="Heading 3 25" xfId="1996"/>
    <cellStyle name="Heading 3 26" xfId="1997"/>
    <cellStyle name="Heading 3 27" xfId="1998"/>
    <cellStyle name="Heading 3 28" xfId="1999"/>
    <cellStyle name="Heading 3 29" xfId="2000"/>
    <cellStyle name="Heading 3 3 2" xfId="2001"/>
    <cellStyle name="Heading 3 30" xfId="2002"/>
    <cellStyle name="Heading 3 31" xfId="2003"/>
    <cellStyle name="Heading 3 32" xfId="2004"/>
    <cellStyle name="Heading 3 33" xfId="2005"/>
    <cellStyle name="Heading 3 34" xfId="2006"/>
    <cellStyle name="Heading 3 35" xfId="2007"/>
    <cellStyle name="Heading 3 36" xfId="2008"/>
    <cellStyle name="Heading 3 37" xfId="2009"/>
    <cellStyle name="Heading 3 38" xfId="2010"/>
    <cellStyle name="Heading 3 39" xfId="2011"/>
    <cellStyle name="Heading 3 40" xfId="2012"/>
    <cellStyle name="Heading 3 41" xfId="2013"/>
    <cellStyle name="Heading 3 6" xfId="2014"/>
    <cellStyle name="Heading 3 7" xfId="2015"/>
    <cellStyle name="Heading 3 8" xfId="2016"/>
    <cellStyle name="Heading 3 9" xfId="2017"/>
    <cellStyle name="Heading 4 10" xfId="2018"/>
    <cellStyle name="Heading 4 11" xfId="2019"/>
    <cellStyle name="Heading 4 12" xfId="2020"/>
    <cellStyle name="Heading 4 13" xfId="2021"/>
    <cellStyle name="Heading 4 14" xfId="2022"/>
    <cellStyle name="Heading 4 15" xfId="2023"/>
    <cellStyle name="Heading 4 16" xfId="2024"/>
    <cellStyle name="Heading 4 17" xfId="2025"/>
    <cellStyle name="Heading 4 18" xfId="2026"/>
    <cellStyle name="Heading 4 19" xfId="2027"/>
    <cellStyle name="Heading 4 20" xfId="2028"/>
    <cellStyle name="Heading 4 21" xfId="2029"/>
    <cellStyle name="Heading 4 22" xfId="2030"/>
    <cellStyle name="Heading 4 23" xfId="2031"/>
    <cellStyle name="Heading 4 24" xfId="2032"/>
    <cellStyle name="Heading 4 25" xfId="2033"/>
    <cellStyle name="Heading 4 26" xfId="2034"/>
    <cellStyle name="Heading 4 27" xfId="2035"/>
    <cellStyle name="Heading 4 28" xfId="2036"/>
    <cellStyle name="Heading 4 29" xfId="2037"/>
    <cellStyle name="Heading 4 3 2" xfId="2038"/>
    <cellStyle name="Heading 4 30" xfId="2039"/>
    <cellStyle name="Heading 4 31" xfId="2040"/>
    <cellStyle name="Heading 4 32" xfId="2041"/>
    <cellStyle name="Heading 4 33" xfId="2042"/>
    <cellStyle name="Heading 4 34" xfId="2043"/>
    <cellStyle name="Heading 4 35" xfId="2044"/>
    <cellStyle name="Heading 4 36" xfId="2045"/>
    <cellStyle name="Heading 4 37" xfId="2046"/>
    <cellStyle name="Heading 4 38" xfId="2047"/>
    <cellStyle name="Heading 4 39" xfId="2048"/>
    <cellStyle name="Heading 4 40" xfId="2049"/>
    <cellStyle name="Heading 4 41" xfId="2050"/>
    <cellStyle name="Heading 4 6" xfId="2051"/>
    <cellStyle name="Heading 4 7" xfId="2052"/>
    <cellStyle name="Heading 4 8" xfId="2053"/>
    <cellStyle name="Heading 4 9" xfId="2054"/>
    <cellStyle name="Headline" xfId="2055"/>
    <cellStyle name="Hyperlink 2 2" xfId="2056"/>
    <cellStyle name="Input 10 2" xfId="2057"/>
    <cellStyle name="Input 11 2" xfId="2058"/>
    <cellStyle name="Input 12 2" xfId="2059"/>
    <cellStyle name="Input 13 2" xfId="2060"/>
    <cellStyle name="Input 14 2" xfId="2061"/>
    <cellStyle name="Input 15 2" xfId="2062"/>
    <cellStyle name="Input 16 2" xfId="2063"/>
    <cellStyle name="Input 17 2" xfId="2064"/>
    <cellStyle name="Input 18 2" xfId="2065"/>
    <cellStyle name="Input 19 2" xfId="2066"/>
    <cellStyle name="Input 2 2" xfId="2067"/>
    <cellStyle name="Input 2 3" xfId="2068"/>
    <cellStyle name="Input 2_PrimaryEnergyPrices_TIMES" xfId="2069"/>
    <cellStyle name="Input 20 2" xfId="2070"/>
    <cellStyle name="Input 21 2" xfId="2071"/>
    <cellStyle name="Input 22 2" xfId="2072"/>
    <cellStyle name="Input 23 2" xfId="2073"/>
    <cellStyle name="Input 24 2" xfId="2074"/>
    <cellStyle name="Input 25 2" xfId="2075"/>
    <cellStyle name="Input 26 2" xfId="2076"/>
    <cellStyle name="Input 27 2" xfId="2077"/>
    <cellStyle name="Input 28 2" xfId="2078"/>
    <cellStyle name="Input 29 2" xfId="2079"/>
    <cellStyle name="Input 3 3" xfId="2080"/>
    <cellStyle name="Input 30 2" xfId="2081"/>
    <cellStyle name="Input 31 2" xfId="2082"/>
    <cellStyle name="Input 32 2" xfId="2083"/>
    <cellStyle name="Input 33 2" xfId="2084"/>
    <cellStyle name="Input 34" xfId="2085"/>
    <cellStyle name="Input 34 2" xfId="2086"/>
    <cellStyle name="Input 34_ELC_final" xfId="2087"/>
    <cellStyle name="Input 35" xfId="2088"/>
    <cellStyle name="Input 36" xfId="2089"/>
    <cellStyle name="Input 37" xfId="2090"/>
    <cellStyle name="Input 38" xfId="2091"/>
    <cellStyle name="Input 39" xfId="2092"/>
    <cellStyle name="Input 4 2" xfId="2093"/>
    <cellStyle name="Input 40" xfId="2094"/>
    <cellStyle name="Input 5 2" xfId="2095"/>
    <cellStyle name="Input 6 2" xfId="2096"/>
    <cellStyle name="Input 7 2" xfId="2097"/>
    <cellStyle name="Input 8 2" xfId="2098"/>
    <cellStyle name="Input 9 2" xfId="2099"/>
    <cellStyle name="InputCells12" xfId="2100"/>
    <cellStyle name="IntCells" xfId="2101"/>
    <cellStyle name="Linked Cell 10" xfId="2102"/>
    <cellStyle name="Linked Cell 11" xfId="2103"/>
    <cellStyle name="Linked Cell 12" xfId="2104"/>
    <cellStyle name="Linked Cell 13" xfId="2105"/>
    <cellStyle name="Linked Cell 14" xfId="2106"/>
    <cellStyle name="Linked Cell 15" xfId="2107"/>
    <cellStyle name="Linked Cell 16" xfId="2108"/>
    <cellStyle name="Linked Cell 17" xfId="2109"/>
    <cellStyle name="Linked Cell 18" xfId="2110"/>
    <cellStyle name="Linked Cell 19" xfId="2111"/>
    <cellStyle name="Linked Cell 20" xfId="2112"/>
    <cellStyle name="Linked Cell 21" xfId="2113"/>
    <cellStyle name="Linked Cell 22" xfId="2114"/>
    <cellStyle name="Linked Cell 23" xfId="2115"/>
    <cellStyle name="Linked Cell 24" xfId="2116"/>
    <cellStyle name="Linked Cell 25" xfId="2117"/>
    <cellStyle name="Linked Cell 26" xfId="2118"/>
    <cellStyle name="Linked Cell 27" xfId="2119"/>
    <cellStyle name="Linked Cell 28" xfId="2120"/>
    <cellStyle name="Linked Cell 29" xfId="2121"/>
    <cellStyle name="Linked Cell 3 2" xfId="2122"/>
    <cellStyle name="Linked Cell 30" xfId="2123"/>
    <cellStyle name="Linked Cell 31" xfId="2124"/>
    <cellStyle name="Linked Cell 32" xfId="2125"/>
    <cellStyle name="Linked Cell 33" xfId="2126"/>
    <cellStyle name="Linked Cell 34" xfId="2127"/>
    <cellStyle name="Linked Cell 35" xfId="2128"/>
    <cellStyle name="Linked Cell 36" xfId="2129"/>
    <cellStyle name="Linked Cell 37" xfId="2130"/>
    <cellStyle name="Linked Cell 38" xfId="2131"/>
    <cellStyle name="Linked Cell 39" xfId="2132"/>
    <cellStyle name="Linked Cell 40" xfId="2133"/>
    <cellStyle name="Linked Cell 41" xfId="2134"/>
    <cellStyle name="Linked Cell 6" xfId="2135"/>
    <cellStyle name="Linked Cell 7" xfId="2136"/>
    <cellStyle name="Linked Cell 8" xfId="2137"/>
    <cellStyle name="Linked Cell 9" xfId="2138"/>
    <cellStyle name="Neutral 10" xfId="2139"/>
    <cellStyle name="Neutral 11" xfId="2140"/>
    <cellStyle name="Neutral 12" xfId="2141"/>
    <cellStyle name="Neutral 13" xfId="2142"/>
    <cellStyle name="Neutral 14" xfId="2143"/>
    <cellStyle name="Neutral 15" xfId="2144"/>
    <cellStyle name="Neutral 16" xfId="2145"/>
    <cellStyle name="Neutral 17" xfId="2146"/>
    <cellStyle name="Neutral 18" xfId="2147"/>
    <cellStyle name="Neutral 19" xfId="2148"/>
    <cellStyle name="Neutral 20" xfId="2149"/>
    <cellStyle name="Neutral 21" xfId="2150"/>
    <cellStyle name="Neutral 22" xfId="2151"/>
    <cellStyle name="Neutral 23" xfId="2152"/>
    <cellStyle name="Neutral 24" xfId="2153"/>
    <cellStyle name="Neutral 25" xfId="2154"/>
    <cellStyle name="Neutral 26" xfId="2155"/>
    <cellStyle name="Neutral 27" xfId="2156"/>
    <cellStyle name="Neutral 28" xfId="2157"/>
    <cellStyle name="Neutral 29" xfId="2158"/>
    <cellStyle name="Neutral 3 5" xfId="2159"/>
    <cellStyle name="Neutral 3 2" xfId="2160"/>
    <cellStyle name="Neutral 3 3" xfId="2161"/>
    <cellStyle name="Neutral 3 4" xfId="2162"/>
    <cellStyle name="Neutral 30" xfId="2163"/>
    <cellStyle name="Neutral 31" xfId="2164"/>
    <cellStyle name="Neutral 32" xfId="2165"/>
    <cellStyle name="Neutral 33" xfId="2166"/>
    <cellStyle name="Neutral 34" xfId="2167"/>
    <cellStyle name="Neutral 35" xfId="2168"/>
    <cellStyle name="Neutral 36" xfId="2169"/>
    <cellStyle name="Neutral 37" xfId="2170"/>
    <cellStyle name="Neutral 38" xfId="2171"/>
    <cellStyle name="Neutral 39" xfId="2172"/>
    <cellStyle name="Neutral 4 4" xfId="2173"/>
    <cellStyle name="Neutral 4 2" xfId="2174"/>
    <cellStyle name="Neutral 40" xfId="2175"/>
    <cellStyle name="Neutral 41" xfId="2176"/>
    <cellStyle name="Neutral 42" xfId="2177"/>
    <cellStyle name="Neutral 43" xfId="2178"/>
    <cellStyle name="Neutral 6" xfId="2179"/>
    <cellStyle name="Neutral 7" xfId="2180"/>
    <cellStyle name="Neutral 8" xfId="2181"/>
    <cellStyle name="Neutral 9" xfId="2182"/>
    <cellStyle name="Normal 10 2 3" xfId="2183"/>
    <cellStyle name="Normal 10 2 2 2" xfId="2184"/>
    <cellStyle name="Normal 11 2 2" xfId="2185"/>
    <cellStyle name="Normal 11 4 2" xfId="2186"/>
    <cellStyle name="Normal 11 5" xfId="2187"/>
    <cellStyle name="Normal 13 4" xfId="2188"/>
    <cellStyle name="Normal 13 2" xfId="2189"/>
    <cellStyle name="Normal 13 3" xfId="2190"/>
    <cellStyle name="Normal 14 3" xfId="2191"/>
    <cellStyle name="Normal 14 2" xfId="2192"/>
    <cellStyle name="Normal 15" xfId="2193"/>
    <cellStyle name="Normal 15 2" xfId="2194"/>
    <cellStyle name="Normal 16" xfId="2195"/>
    <cellStyle name="Normal 16 2" xfId="2196"/>
    <cellStyle name="Normal 17" xfId="2197"/>
    <cellStyle name="Normal 17 2" xfId="2198"/>
    <cellStyle name="Normal 18" xfId="2199"/>
    <cellStyle name="Normal 18 2" xfId="2200"/>
    <cellStyle name="Normal 19" xfId="2201"/>
    <cellStyle name="Normal 2 46" xfId="2202"/>
    <cellStyle name="Normal 2 10 2" xfId="2203"/>
    <cellStyle name="Normal 2 11" xfId="2204"/>
    <cellStyle name="Normal 2 12" xfId="2205"/>
    <cellStyle name="Normal 2 13" xfId="2206"/>
    <cellStyle name="Normal 2 14" xfId="2207"/>
    <cellStyle name="Normal 2 15" xfId="2208"/>
    <cellStyle name="Normal 2 16" xfId="2209"/>
    <cellStyle name="Normal 2 17" xfId="2210"/>
    <cellStyle name="Normal 2 18" xfId="2211"/>
    <cellStyle name="Normal 2 19" xfId="2212"/>
    <cellStyle name="Normal 2 2 2 5" xfId="2213"/>
    <cellStyle name="Normal 2 2 2 2 2" xfId="2214"/>
    <cellStyle name="Normal 2 2 2 3" xfId="2215"/>
    <cellStyle name="Normal 2 2 2 4" xfId="2216"/>
    <cellStyle name="Normal 2 2 4 2" xfId="2217"/>
    <cellStyle name="Normal 2 2 5 2" xfId="2218"/>
    <cellStyle name="Normal 2 2 6" xfId="2219"/>
    <cellStyle name="Normal 2 2 7" xfId="2220"/>
    <cellStyle name="Normal 2 2 8" xfId="2221"/>
    <cellStyle name="Normal 2 2_ELC" xfId="2222"/>
    <cellStyle name="Normal 2 20" xfId="2223"/>
    <cellStyle name="Normal 2 21" xfId="2224"/>
    <cellStyle name="Normal 2 22" xfId="2225"/>
    <cellStyle name="Normal 2 23" xfId="2226"/>
    <cellStyle name="Normal 2 24" xfId="2227"/>
    <cellStyle name="Normal 2 25" xfId="2228"/>
    <cellStyle name="Normal 2 26" xfId="2229"/>
    <cellStyle name="Normal 2 27" xfId="2230"/>
    <cellStyle name="Normal 2 28" xfId="2231"/>
    <cellStyle name="Normal 2 29" xfId="2232"/>
    <cellStyle name="Normal 2 3 2 4" xfId="2233"/>
    <cellStyle name="Normal 2 3 2 2 2" xfId="2234"/>
    <cellStyle name="Normal 2 3 4 3" xfId="2235"/>
    <cellStyle name="Normal 2 3 5 2" xfId="2236"/>
    <cellStyle name="Normal 2 3 6 2" xfId="2237"/>
    <cellStyle name="Normal 2 30" xfId="2238"/>
    <cellStyle name="Normal 2 31" xfId="2239"/>
    <cellStyle name="Normal 2 32" xfId="2240"/>
    <cellStyle name="Normal 2 33" xfId="2241"/>
    <cellStyle name="Normal 2 34" xfId="2242"/>
    <cellStyle name="Normal 2 35" xfId="2243"/>
    <cellStyle name="Normal 2 36" xfId="2244"/>
    <cellStyle name="Normal 2 37" xfId="2245"/>
    <cellStyle name="Normal 2 38" xfId="2246"/>
    <cellStyle name="Normal 2 39" xfId="2247"/>
    <cellStyle name="Normal 2 4 4" xfId="2248"/>
    <cellStyle name="Normal 2 4 5" xfId="2249"/>
    <cellStyle name="Normal 2 40" xfId="2250"/>
    <cellStyle name="Normal 2 41" xfId="2251"/>
    <cellStyle name="Normal 2 42" xfId="2252"/>
    <cellStyle name="Normal 2 43" xfId="2253"/>
    <cellStyle name="Normal 2 44" xfId="2254"/>
    <cellStyle name="Normal 2 45" xfId="2255"/>
    <cellStyle name="Normal 2 5 10" xfId="2256"/>
    <cellStyle name="Normal 2 5 11" xfId="2257"/>
    <cellStyle name="Normal 2 5 12" xfId="2258"/>
    <cellStyle name="Normal 2 5 13" xfId="2259"/>
    <cellStyle name="Normal 2 5 14" xfId="2260"/>
    <cellStyle name="Normal 2 5 15" xfId="2261"/>
    <cellStyle name="Normal 2 5 16" xfId="2262"/>
    <cellStyle name="Normal 2 5 2 3" xfId="2263"/>
    <cellStyle name="Normal 2 5 2 2 2" xfId="2264"/>
    <cellStyle name="Normal 2 5 3" xfId="2265"/>
    <cellStyle name="Normal 2 5 4" xfId="2266"/>
    <cellStyle name="Normal 2 5 5" xfId="2267"/>
    <cellStyle name="Normal 2 5 6" xfId="2268"/>
    <cellStyle name="Normal 2 5 7" xfId="2269"/>
    <cellStyle name="Normal 2 5 8" xfId="2270"/>
    <cellStyle name="Normal 2 5 9" xfId="2271"/>
    <cellStyle name="Normal 2 6 17" xfId="2272"/>
    <cellStyle name="Normal 2 6 10" xfId="2273"/>
    <cellStyle name="Normal 2 6 11" xfId="2274"/>
    <cellStyle name="Normal 2 6 12" xfId="2275"/>
    <cellStyle name="Normal 2 6 13" xfId="2276"/>
    <cellStyle name="Normal 2 6 14" xfId="2277"/>
    <cellStyle name="Normal 2 6 15" xfId="2278"/>
    <cellStyle name="Normal 2 6 16" xfId="2279"/>
    <cellStyle name="Normal 2 6 2 3" xfId="2280"/>
    <cellStyle name="Normal 2 6 2 2" xfId="2281"/>
    <cellStyle name="Normal 2 6 3 2" xfId="2282"/>
    <cellStyle name="Normal 2 6 4" xfId="2283"/>
    <cellStyle name="Normal 2 6 5" xfId="2284"/>
    <cellStyle name="Normal 2 6 6" xfId="2285"/>
    <cellStyle name="Normal 2 6 7" xfId="2286"/>
    <cellStyle name="Normal 2 6 8" xfId="2287"/>
    <cellStyle name="Normal 2 6 9" xfId="2288"/>
    <cellStyle name="Normal 2 8 4 2" xfId="2289"/>
    <cellStyle name="Normal 2 9 3" xfId="2290"/>
    <cellStyle name="Normal 2 9 2 2" xfId="2291"/>
    <cellStyle name="Normal 20" xfId="2292"/>
    <cellStyle name="Normal 20 2" xfId="2293"/>
    <cellStyle name="Normal 21" xfId="2294"/>
    <cellStyle name="Normal 21 2" xfId="2295"/>
    <cellStyle name="Normal 21_Scen_XBase" xfId="2296"/>
    <cellStyle name="Normal 22" xfId="2297"/>
    <cellStyle name="Normal 23" xfId="2298"/>
    <cellStyle name="Normal 23 2" xfId="2299"/>
    <cellStyle name="Normal 23 3" xfId="2300"/>
    <cellStyle name="Normal 24" xfId="2301"/>
    <cellStyle name="Normal 24 10" xfId="2302"/>
    <cellStyle name="Normal 24 11" xfId="2303"/>
    <cellStyle name="Normal 24 12" xfId="2304"/>
    <cellStyle name="Normal 24 13" xfId="2305"/>
    <cellStyle name="Normal 24 14" xfId="2306"/>
    <cellStyle name="Normal 24 15" xfId="2307"/>
    <cellStyle name="Normal 24 16" xfId="2308"/>
    <cellStyle name="Normal 24 17" xfId="2309"/>
    <cellStyle name="Normal 24 18" xfId="2310"/>
    <cellStyle name="Normal 24 19" xfId="2311"/>
    <cellStyle name="Normal 24 2" xfId="2312"/>
    <cellStyle name="Normal 24 20" xfId="2313"/>
    <cellStyle name="Normal 24 3" xfId="2314"/>
    <cellStyle name="Normal 24 4" xfId="2315"/>
    <cellStyle name="Normal 24 5" xfId="2316"/>
    <cellStyle name="Normal 24 6" xfId="2317"/>
    <cellStyle name="Normal 24 7" xfId="2318"/>
    <cellStyle name="Normal 24 8" xfId="2319"/>
    <cellStyle name="Normal 24 9" xfId="2320"/>
    <cellStyle name="Normal 25" xfId="2321"/>
    <cellStyle name="Normal 26" xfId="2322"/>
    <cellStyle name="Normal 26 2" xfId="2323"/>
    <cellStyle name="Normal 27" xfId="2324"/>
    <cellStyle name="Normal 27 2" xfId="2325"/>
    <cellStyle name="Normal 28" xfId="2326"/>
    <cellStyle name="Normal 29" xfId="2327"/>
    <cellStyle name="Normal 3 10" xfId="2328"/>
    <cellStyle name="Normal 3 11" xfId="2329"/>
    <cellStyle name="Normal 3 12" xfId="2330"/>
    <cellStyle name="Normal 3 13" xfId="2331"/>
    <cellStyle name="Normal 3 14" xfId="2332"/>
    <cellStyle name="Normal 3 15" xfId="2333"/>
    <cellStyle name="Normal 3 16" xfId="2334"/>
    <cellStyle name="Normal 3 17" xfId="2335"/>
    <cellStyle name="Normal 3 18" xfId="2336"/>
    <cellStyle name="Normal 3 19" xfId="2337"/>
    <cellStyle name="Normal 3 2 2 4" xfId="2338"/>
    <cellStyle name="Normal 3 2 2 2" xfId="2339"/>
    <cellStyle name="Normal 3 2 2 3" xfId="2340"/>
    <cellStyle name="Normal 3 2 3 4" xfId="2341"/>
    <cellStyle name="Normal 3 2 4 3" xfId="2342"/>
    <cellStyle name="Normal 3 2_ELC" xfId="2343"/>
    <cellStyle name="Normal 3 20" xfId="2344"/>
    <cellStyle name="Normal 3 21" xfId="2345"/>
    <cellStyle name="Normal 3 22" xfId="2346"/>
    <cellStyle name="Normal 3 23" xfId="2347"/>
    <cellStyle name="Normal 3 24" xfId="2348"/>
    <cellStyle name="Normal 3 25" xfId="2349"/>
    <cellStyle name="Normal 3 26" xfId="2350"/>
    <cellStyle name="Normal 3 27" xfId="2351"/>
    <cellStyle name="Normal 3 28" xfId="2352"/>
    <cellStyle name="Normal 3 29" xfId="2353"/>
    <cellStyle name="Normal 3 4 4 2" xfId="2354"/>
    <cellStyle name="Normal 3 5 4" xfId="2355"/>
    <cellStyle name="Normal 3 5 2" xfId="2356"/>
    <cellStyle name="Normal 3 5 3" xfId="2357"/>
    <cellStyle name="Normal 3 6 3" xfId="2358"/>
    <cellStyle name="Normal 3 6 2" xfId="2359"/>
    <cellStyle name="Normal 3 7 5" xfId="2360"/>
    <cellStyle name="Normal 3 7 2" xfId="2361"/>
    <cellStyle name="Normal 3 8" xfId="2362"/>
    <cellStyle name="Normal 3 9" xfId="2363"/>
    <cellStyle name="Normal 30" xfId="2364"/>
    <cellStyle name="Normal 31" xfId="2365"/>
    <cellStyle name="Normal 31 2" xfId="2366"/>
    <cellStyle name="Normal 32" xfId="2367"/>
    <cellStyle name="Normal 32 2" xfId="2368"/>
    <cellStyle name="Normal 33" xfId="2369"/>
    <cellStyle name="Normal 33 10" xfId="2370"/>
    <cellStyle name="Normal 33 11" xfId="2371"/>
    <cellStyle name="Normal 33 12" xfId="2372"/>
    <cellStyle name="Normal 33 13" xfId="2373"/>
    <cellStyle name="Normal 33 2" xfId="2374"/>
    <cellStyle name="Normal 33 3" xfId="2375"/>
    <cellStyle name="Normal 33 4" xfId="2376"/>
    <cellStyle name="Normal 33 5" xfId="2377"/>
    <cellStyle name="Normal 33 6" xfId="2378"/>
    <cellStyle name="Normal 33 7" xfId="2379"/>
    <cellStyle name="Normal 33 8" xfId="2380"/>
    <cellStyle name="Normal 33 9" xfId="2381"/>
    <cellStyle name="Normal 33_Scen_XBase" xfId="2382"/>
    <cellStyle name="Normal 34" xfId="2383"/>
    <cellStyle name="Normal 4 11" xfId="2384"/>
    <cellStyle name="Normal 4 10" xfId="2385"/>
    <cellStyle name="Normal 4 2 4 2" xfId="2386"/>
    <cellStyle name="Normal 4 2 2 14" xfId="2387"/>
    <cellStyle name="Normal 4 2 2 2" xfId="2388"/>
    <cellStyle name="Normal 4 2 3 5" xfId="2389"/>
    <cellStyle name="Normal 4 2 3 2" xfId="2390"/>
    <cellStyle name="Normal 4 2_Scen_XBase" xfId="2391"/>
    <cellStyle name="Normal 4 3 6" xfId="2392"/>
    <cellStyle name="Normal 4 3 2 2" xfId="2393"/>
    <cellStyle name="Normal 4 3 3 2" xfId="2394"/>
    <cellStyle name="Normal 4 3 4 2" xfId="2395"/>
    <cellStyle name="Normal 4 3 5" xfId="2396"/>
    <cellStyle name="Normal 4 3_Scen_XBase" xfId="2397"/>
    <cellStyle name="Normal 4 4 4" xfId="2398"/>
    <cellStyle name="Normal 4 4 2" xfId="2399"/>
    <cellStyle name="Normal 4 4 3" xfId="2400"/>
    <cellStyle name="Normal 4 5 3" xfId="2401"/>
    <cellStyle name="Normal 4 5 2 2" xfId="2402"/>
    <cellStyle name="Normal 4 6 4" xfId="2403"/>
    <cellStyle name="Normal 4 6 2 2" xfId="2404"/>
    <cellStyle name="Normal 4 6 3" xfId="2405"/>
    <cellStyle name="Normal 4 7 2" xfId="2406"/>
    <cellStyle name="Normal 4 8 2" xfId="2407"/>
    <cellStyle name="Normal 4 9" xfId="2408"/>
    <cellStyle name="Normal 40" xfId="2409"/>
    <cellStyle name="Normal 5 13" xfId="2410"/>
    <cellStyle name="Normal 5 10" xfId="2411"/>
    <cellStyle name="Normal 5 11" xfId="2412"/>
    <cellStyle name="Normal 5 12" xfId="2413"/>
    <cellStyle name="Normal 5 2 2 3" xfId="2414"/>
    <cellStyle name="Normal 5 2 2 2" xfId="2415"/>
    <cellStyle name="Normal 5 2 3" xfId="2416"/>
    <cellStyle name="Normal 5 3 2" xfId="2417"/>
    <cellStyle name="Normal 5 3 3" xfId="2418"/>
    <cellStyle name="Normal 5 5 4" xfId="2419"/>
    <cellStyle name="Normal 5 5 2 2" xfId="2420"/>
    <cellStyle name="Normal 5 5 3 2" xfId="2421"/>
    <cellStyle name="Normal 5 6 2" xfId="2422"/>
    <cellStyle name="Normal 5 8" xfId="2423"/>
    <cellStyle name="Normal 5 9" xfId="2424"/>
    <cellStyle name="Normal 50" xfId="2425"/>
    <cellStyle name="Normal 51" xfId="2426"/>
    <cellStyle name="Normal 52" xfId="2427"/>
    <cellStyle name="Normal 53" xfId="2428"/>
    <cellStyle name="Normal 54" xfId="2429"/>
    <cellStyle name="Normal 55" xfId="2430"/>
    <cellStyle name="Normal 6 10" xfId="2431"/>
    <cellStyle name="Normal 6 11" xfId="2432"/>
    <cellStyle name="Normal 6 12" xfId="2433"/>
    <cellStyle name="Normal 6 2 10" xfId="2434"/>
    <cellStyle name="Normal 6 2 11" xfId="2435"/>
    <cellStyle name="Normal 6 2 12" xfId="2436"/>
    <cellStyle name="Normal 6 2 13" xfId="2437"/>
    <cellStyle name="Normal 6 2 14" xfId="2438"/>
    <cellStyle name="Normal 6 2 4 2" xfId="2439"/>
    <cellStyle name="Normal 6 2 5" xfId="2440"/>
    <cellStyle name="Normal 6 2 6" xfId="2441"/>
    <cellStyle name="Normal 6 2 7" xfId="2442"/>
    <cellStyle name="Normal 6 2 8" xfId="2443"/>
    <cellStyle name="Normal 6 2 9" xfId="2444"/>
    <cellStyle name="Normal 6 3 17" xfId="2445"/>
    <cellStyle name="Normal 6 3 10" xfId="2446"/>
    <cellStyle name="Normal 6 3 11" xfId="2447"/>
    <cellStyle name="Normal 6 3 12" xfId="2448"/>
    <cellStyle name="Normal 6 3 13" xfId="2449"/>
    <cellStyle name="Normal 6 3 14" xfId="2450"/>
    <cellStyle name="Normal 6 3 15" xfId="2451"/>
    <cellStyle name="Normal 6 3 16" xfId="2452"/>
    <cellStyle name="Normal 6 3 3" xfId="2453"/>
    <cellStyle name="Normal 6 3 4" xfId="2454"/>
    <cellStyle name="Normal 6 3 5" xfId="2455"/>
    <cellStyle name="Normal 6 3 6" xfId="2456"/>
    <cellStyle name="Normal 6 3 7" xfId="2457"/>
    <cellStyle name="Normal 6 3 8" xfId="2458"/>
    <cellStyle name="Normal 6 3 9" xfId="2459"/>
    <cellStyle name="Normal 6 6" xfId="2460"/>
    <cellStyle name="Normal 6 7" xfId="2461"/>
    <cellStyle name="Normal 6 8" xfId="2462"/>
    <cellStyle name="Normal 6 9" xfId="2463"/>
    <cellStyle name="Normal 6_ELC" xfId="2464"/>
    <cellStyle name="Normal 7 2 2" xfId="2465"/>
    <cellStyle name="Normal 7 2 3" xfId="2466"/>
    <cellStyle name="Normal 7 2_Scen_XBase" xfId="2467"/>
    <cellStyle name="Normal 7 3 11" xfId="2468"/>
    <cellStyle name="Normal 7 4 11" xfId="2469"/>
    <cellStyle name="Normal 8 10" xfId="2470"/>
    <cellStyle name="Normal 8 11" xfId="2471"/>
    <cellStyle name="Normal 8 3 9" xfId="2472"/>
    <cellStyle name="Normal 8 4 9" xfId="2473"/>
    <cellStyle name="Normal 8 5" xfId="2474"/>
    <cellStyle name="Normal 8 6" xfId="2475"/>
    <cellStyle name="Normal 8 7" xfId="2476"/>
    <cellStyle name="Normal 8 8" xfId="2477"/>
    <cellStyle name="Normal 8 9" xfId="2478"/>
    <cellStyle name="Normal 9 10" xfId="2479"/>
    <cellStyle name="Normal 9 2 3" xfId="2480"/>
    <cellStyle name="Normal 9 2 2 2" xfId="2481"/>
    <cellStyle name="Normal 9 3 2" xfId="2482"/>
    <cellStyle name="Normal 9 4" xfId="2483"/>
    <cellStyle name="Normal 9 5" xfId="2484"/>
    <cellStyle name="Normal 9 6" xfId="2485"/>
    <cellStyle name="Normal 9 7" xfId="2486"/>
    <cellStyle name="Normal 9 8" xfId="2487"/>
    <cellStyle name="Normal 9 9" xfId="2488"/>
    <cellStyle name="Normal GHG whole table" xfId="2489"/>
    <cellStyle name="Note 10" xfId="2490"/>
    <cellStyle name="Note 10 2" xfId="2491"/>
    <cellStyle name="Note 10 3" xfId="2492"/>
    <cellStyle name="Note 10 3 2" xfId="2493"/>
    <cellStyle name="Note 10 3_ELC_final" xfId="2494"/>
    <cellStyle name="Note 10_ELC_final" xfId="2495"/>
    <cellStyle name="Note 11" xfId="2496"/>
    <cellStyle name="Note 11 2" xfId="2497"/>
    <cellStyle name="Note 11_ELC_final" xfId="2498"/>
    <cellStyle name="Note 12" xfId="2499"/>
    <cellStyle name="Note 12 2" xfId="2500"/>
    <cellStyle name="Note 12_ELC_final" xfId="2501"/>
    <cellStyle name="Note 13" xfId="2502"/>
    <cellStyle name="Note 13 2" xfId="2503"/>
    <cellStyle name="Note 13_ELC_final" xfId="2504"/>
    <cellStyle name="Note 14" xfId="2505"/>
    <cellStyle name="Note 14 2" xfId="2506"/>
    <cellStyle name="Note 14_ELC_final" xfId="2507"/>
    <cellStyle name="Note 15" xfId="2508"/>
    <cellStyle name="Note 15 2" xfId="2509"/>
    <cellStyle name="Note 15_ELC_final" xfId="2510"/>
    <cellStyle name="Note 16" xfId="2511"/>
    <cellStyle name="Note 16 2" xfId="2512"/>
    <cellStyle name="Note 16_ELC_final" xfId="2513"/>
    <cellStyle name="Note 17" xfId="2514"/>
    <cellStyle name="Note 17 2" xfId="2515"/>
    <cellStyle name="Note 17_ELC_final" xfId="2516"/>
    <cellStyle name="Note 18" xfId="2517"/>
    <cellStyle name="Note 18 2" xfId="2518"/>
    <cellStyle name="Note 18_ELC_final" xfId="2519"/>
    <cellStyle name="Note 19" xfId="2520"/>
    <cellStyle name="Note 2 2 2" xfId="2521"/>
    <cellStyle name="Note 2 3" xfId="2522"/>
    <cellStyle name="Note 2 4" xfId="2523"/>
    <cellStyle name="Note 2_PrimaryEnergyPrices_TIMES" xfId="2524"/>
    <cellStyle name="Note 20" xfId="2525"/>
    <cellStyle name="Note 21" xfId="2526"/>
    <cellStyle name="Note 22" xfId="2527"/>
    <cellStyle name="Note 23" xfId="2528"/>
    <cellStyle name="Note 24" xfId="2529"/>
    <cellStyle name="Note 25" xfId="2530"/>
    <cellStyle name="Note 26" xfId="2531"/>
    <cellStyle name="Note 27" xfId="2532"/>
    <cellStyle name="Note 28" xfId="2533"/>
    <cellStyle name="Note 29" xfId="2534"/>
    <cellStyle name="Note 3 7" xfId="2535"/>
    <cellStyle name="Note 3 2 2" xfId="2536"/>
    <cellStyle name="Note 3 4 2" xfId="2537"/>
    <cellStyle name="Note 3 5" xfId="2538"/>
    <cellStyle name="Note 3 6" xfId="2539"/>
    <cellStyle name="Note 30" xfId="2540"/>
    <cellStyle name="Note 31" xfId="2541"/>
    <cellStyle name="Note 32" xfId="2542"/>
    <cellStyle name="Note 33" xfId="2543"/>
    <cellStyle name="Note 34" xfId="2544"/>
    <cellStyle name="Note 35" xfId="2545"/>
    <cellStyle name="Note 36" xfId="2546"/>
    <cellStyle name="Note 37" xfId="2547"/>
    <cellStyle name="Note 38" xfId="2548"/>
    <cellStyle name="Note 39" xfId="2549"/>
    <cellStyle name="Note 4 5" xfId="2550"/>
    <cellStyle name="Note 4 2 2" xfId="2551"/>
    <cellStyle name="Note 4 3 3" xfId="2552"/>
    <cellStyle name="Note 4 3 2" xfId="2553"/>
    <cellStyle name="Note 4 3_ELC_final" xfId="2554"/>
    <cellStyle name="Note 4 4" xfId="2555"/>
    <cellStyle name="Note 4_ELC_final" xfId="2556"/>
    <cellStyle name="Note 40" xfId="2557"/>
    <cellStyle name="Note 41" xfId="2558"/>
    <cellStyle name="Note 5 5" xfId="2559"/>
    <cellStyle name="Note 5 2" xfId="2560"/>
    <cellStyle name="Note 5 3" xfId="2561"/>
    <cellStyle name="Note 5 3 2" xfId="2562"/>
    <cellStyle name="Note 5 3_ELC_final" xfId="2563"/>
    <cellStyle name="Note 5 4" xfId="2564"/>
    <cellStyle name="Note 5_ELC_final" xfId="2565"/>
    <cellStyle name="Note 6 5" xfId="2566"/>
    <cellStyle name="Note 6 2" xfId="2567"/>
    <cellStyle name="Note 6 3" xfId="2568"/>
    <cellStyle name="Note 6 3 2" xfId="2569"/>
    <cellStyle name="Note 6 3_ELC_final" xfId="2570"/>
    <cellStyle name="Note 6 4" xfId="2571"/>
    <cellStyle name="Note 6_ELC_final" xfId="2572"/>
    <cellStyle name="Note 7" xfId="2573"/>
    <cellStyle name="Note 7 2" xfId="2574"/>
    <cellStyle name="Note 7 3" xfId="2575"/>
    <cellStyle name="Note 7 3 2" xfId="2576"/>
    <cellStyle name="Note 7 3_ELC_final" xfId="2577"/>
    <cellStyle name="Note 7 4" xfId="2578"/>
    <cellStyle name="Note 7_ELC_final" xfId="2579"/>
    <cellStyle name="Note 8" xfId="2580"/>
    <cellStyle name="Note 8 2" xfId="2581"/>
    <cellStyle name="Note 8 3" xfId="2582"/>
    <cellStyle name="Note 8 3 2" xfId="2583"/>
    <cellStyle name="Note 8 3_ELC_final" xfId="2584"/>
    <cellStyle name="Note 8 4" xfId="2585"/>
    <cellStyle name="Note 8_ELC_final" xfId="2586"/>
    <cellStyle name="Note 9" xfId="2587"/>
    <cellStyle name="Note 9 2" xfId="2588"/>
    <cellStyle name="Note 9 3" xfId="2589"/>
    <cellStyle name="Note 9 3 2" xfId="2590"/>
    <cellStyle name="Note 9 3_ELC_final" xfId="2591"/>
    <cellStyle name="Note 9 4" xfId="2592"/>
    <cellStyle name="Note 9_ELC_final" xfId="2593"/>
    <cellStyle name="Notiz" xfId="2594"/>
    <cellStyle name="Notiz 2" xfId="2595"/>
    <cellStyle name="Notiz 3" xfId="2596"/>
    <cellStyle name="Nuovo 10" xfId="2597"/>
    <cellStyle name="Nuovo 11" xfId="2598"/>
    <cellStyle name="Nuovo 12" xfId="2599"/>
    <cellStyle name="Nuovo 13" xfId="2600"/>
    <cellStyle name="Nuovo 14" xfId="2601"/>
    <cellStyle name="Nuovo 15" xfId="2602"/>
    <cellStyle name="Nuovo 16" xfId="2603"/>
    <cellStyle name="Nuovo 17" xfId="2604"/>
    <cellStyle name="Nuovo 18" xfId="2605"/>
    <cellStyle name="Nuovo 19" xfId="2606"/>
    <cellStyle name="Nuovo 20" xfId="2607"/>
    <cellStyle name="Nuovo 21" xfId="2608"/>
    <cellStyle name="Nuovo 22" xfId="2609"/>
    <cellStyle name="Nuovo 23" xfId="2610"/>
    <cellStyle name="Nuovo 24" xfId="2611"/>
    <cellStyle name="Nuovo 25" xfId="2612"/>
    <cellStyle name="Nuovo 26" xfId="2613"/>
    <cellStyle name="Nuovo 27" xfId="2614"/>
    <cellStyle name="Nuovo 28" xfId="2615"/>
    <cellStyle name="Nuovo 29" xfId="2616"/>
    <cellStyle name="Nuovo 30" xfId="2617"/>
    <cellStyle name="Nuovo 31" xfId="2618"/>
    <cellStyle name="Nuovo 32" xfId="2619"/>
    <cellStyle name="Nuovo 33" xfId="2620"/>
    <cellStyle name="Nuovo 34" xfId="2621"/>
    <cellStyle name="Nuovo 35" xfId="2622"/>
    <cellStyle name="Nuovo 36" xfId="2623"/>
    <cellStyle name="Nuovo 37" xfId="2624"/>
    <cellStyle name="Nuovo 38" xfId="2625"/>
    <cellStyle name="Nuovo 4 2" xfId="2626"/>
    <cellStyle name="Nuovo 5" xfId="2627"/>
    <cellStyle name="Nuovo 6" xfId="2628"/>
    <cellStyle name="Nuovo 7" xfId="2629"/>
    <cellStyle name="Nuovo 8" xfId="2630"/>
    <cellStyle name="Nuovo 9" xfId="2631"/>
    <cellStyle name="Output 10" xfId="2632"/>
    <cellStyle name="Output 11" xfId="2633"/>
    <cellStyle name="Output 12" xfId="2634"/>
    <cellStyle name="Output 13" xfId="2635"/>
    <cellStyle name="Output 14" xfId="2636"/>
    <cellStyle name="Output 15" xfId="2637"/>
    <cellStyle name="Output 16" xfId="2638"/>
    <cellStyle name="Output 17" xfId="2639"/>
    <cellStyle name="Output 18" xfId="2640"/>
    <cellStyle name="Output 19" xfId="2641"/>
    <cellStyle name="Output 20" xfId="2642"/>
    <cellStyle name="Output 21" xfId="2643"/>
    <cellStyle name="Output 22" xfId="2644"/>
    <cellStyle name="Output 23" xfId="2645"/>
    <cellStyle name="Output 24" xfId="2646"/>
    <cellStyle name="Output 25" xfId="2647"/>
    <cellStyle name="Output 26" xfId="2648"/>
    <cellStyle name="Output 27" xfId="2649"/>
    <cellStyle name="Output 28" xfId="2650"/>
    <cellStyle name="Output 29" xfId="2651"/>
    <cellStyle name="Output 3 2" xfId="2652"/>
    <cellStyle name="Output 30" xfId="2653"/>
    <cellStyle name="Output 31" xfId="2654"/>
    <cellStyle name="Output 32" xfId="2655"/>
    <cellStyle name="Output 33" xfId="2656"/>
    <cellStyle name="Output 34" xfId="2657"/>
    <cellStyle name="Output 35" xfId="2658"/>
    <cellStyle name="Output 36" xfId="2659"/>
    <cellStyle name="Output 37" xfId="2660"/>
    <cellStyle name="Output 38" xfId="2661"/>
    <cellStyle name="Output 39" xfId="2662"/>
    <cellStyle name="Output 40" xfId="2663"/>
    <cellStyle name="Output 41" xfId="2664"/>
    <cellStyle name="Output 42" xfId="2665"/>
    <cellStyle name="Output 43" xfId="2666"/>
    <cellStyle name="Output 6" xfId="2667"/>
    <cellStyle name="Output 7" xfId="2668"/>
    <cellStyle name="Output 8" xfId="2669"/>
    <cellStyle name="Output 9" xfId="2670"/>
    <cellStyle name="Pattern" xfId="2671"/>
    <cellStyle name="Percent 9" xfId="2672"/>
    <cellStyle name="Percent 10 10" xfId="2673"/>
    <cellStyle name="Percent 10 11" xfId="2674"/>
    <cellStyle name="Percent 10 12" xfId="2675"/>
    <cellStyle name="Percent 10 13" xfId="2676"/>
    <cellStyle name="Percent 10 14" xfId="2677"/>
    <cellStyle name="Percent 10 15" xfId="2678"/>
    <cellStyle name="Percent 10 16" xfId="2679"/>
    <cellStyle name="Percent 10 17" xfId="2680"/>
    <cellStyle name="Percent 10 18" xfId="2681"/>
    <cellStyle name="Percent 10 19" xfId="2682"/>
    <cellStyle name="Percent 10 2" xfId="2683"/>
    <cellStyle name="Percent 10 20" xfId="2684"/>
    <cellStyle name="Percent 10 3" xfId="2685"/>
    <cellStyle name="Percent 10 4" xfId="2686"/>
    <cellStyle name="Percent 10 5" xfId="2687"/>
    <cellStyle name="Percent 10 6" xfId="2688"/>
    <cellStyle name="Percent 10 7" xfId="2689"/>
    <cellStyle name="Percent 10 7 2" xfId="2690"/>
    <cellStyle name="Percent 10 7 3" xfId="2691"/>
    <cellStyle name="Percent 10 8" xfId="2692"/>
    <cellStyle name="Percent 10 9" xfId="2693"/>
    <cellStyle name="Percent 11 10" xfId="2694"/>
    <cellStyle name="Percent 11 2" xfId="2695"/>
    <cellStyle name="Percent 11 3" xfId="2696"/>
    <cellStyle name="Percent 11 4" xfId="2697"/>
    <cellStyle name="Percent 11 5" xfId="2698"/>
    <cellStyle name="Percent 11 6" xfId="2699"/>
    <cellStyle name="Percent 11 7" xfId="2700"/>
    <cellStyle name="Percent 11 7 2" xfId="2701"/>
    <cellStyle name="Percent 11 7 3" xfId="2702"/>
    <cellStyle name="Percent 11 8" xfId="2703"/>
    <cellStyle name="Percent 11 9" xfId="2704"/>
    <cellStyle name="Percent 12 10" xfId="2705"/>
    <cellStyle name="Percent 12 2" xfId="2706"/>
    <cellStyle name="Percent 12 3" xfId="2707"/>
    <cellStyle name="Percent 12 4" xfId="2708"/>
    <cellStyle name="Percent 12 5" xfId="2709"/>
    <cellStyle name="Percent 12 6" xfId="2710"/>
    <cellStyle name="Percent 12 7" xfId="2711"/>
    <cellStyle name="Percent 12 7 2" xfId="2712"/>
    <cellStyle name="Percent 12 7 3" xfId="2713"/>
    <cellStyle name="Percent 12 8" xfId="2714"/>
    <cellStyle name="Percent 12 9" xfId="2715"/>
    <cellStyle name="Percent 13 10" xfId="2716"/>
    <cellStyle name="Percent 13 2" xfId="2717"/>
    <cellStyle name="Percent 13 3" xfId="2718"/>
    <cellStyle name="Percent 13 4" xfId="2719"/>
    <cellStyle name="Percent 13 5" xfId="2720"/>
    <cellStyle name="Percent 13 6" xfId="2721"/>
    <cellStyle name="Percent 13 7" xfId="2722"/>
    <cellStyle name="Percent 13 7 2" xfId="2723"/>
    <cellStyle name="Percent 13 7 3" xfId="2724"/>
    <cellStyle name="Percent 13 8" xfId="2725"/>
    <cellStyle name="Percent 13 9" xfId="2726"/>
    <cellStyle name="Percent 14 10" xfId="2727"/>
    <cellStyle name="Percent 14 2" xfId="2728"/>
    <cellStyle name="Percent 14 3" xfId="2729"/>
    <cellStyle name="Percent 14 4" xfId="2730"/>
    <cellStyle name="Percent 14 5" xfId="2731"/>
    <cellStyle name="Percent 14 6" xfId="2732"/>
    <cellStyle name="Percent 14 7" xfId="2733"/>
    <cellStyle name="Percent 14 7 2" xfId="2734"/>
    <cellStyle name="Percent 14 7 3" xfId="2735"/>
    <cellStyle name="Percent 14 8" xfId="2736"/>
    <cellStyle name="Percent 14 9" xfId="2737"/>
    <cellStyle name="Percent 15" xfId="2738"/>
    <cellStyle name="Percent 15 2" xfId="2739"/>
    <cellStyle name="Percent 15 3" xfId="2740"/>
    <cellStyle name="Percent 15 4" xfId="2741"/>
    <cellStyle name="Percent 15 5" xfId="2742"/>
    <cellStyle name="Percent 15 6" xfId="2743"/>
    <cellStyle name="Percent 15 7" xfId="2744"/>
    <cellStyle name="Percent 15 7 2" xfId="2745"/>
    <cellStyle name="Percent 15 7 3" xfId="2746"/>
    <cellStyle name="Percent 16 2" xfId="2747"/>
    <cellStyle name="Percent 16 3" xfId="2748"/>
    <cellStyle name="Percent 16 4" xfId="2749"/>
    <cellStyle name="Percent 16 5" xfId="2750"/>
    <cellStyle name="Percent 16 6" xfId="2751"/>
    <cellStyle name="Percent 16 7" xfId="2752"/>
    <cellStyle name="Percent 16 7 2" xfId="2753"/>
    <cellStyle name="Percent 16 7 3" xfId="2754"/>
    <cellStyle name="Percent 17" xfId="2755"/>
    <cellStyle name="Percent 17 2" xfId="2756"/>
    <cellStyle name="Percent 17 3" xfId="2757"/>
    <cellStyle name="Percent 17 4" xfId="2758"/>
    <cellStyle name="Percent 17 5" xfId="2759"/>
    <cellStyle name="Percent 17 6" xfId="2760"/>
    <cellStyle name="Percent 17 7" xfId="2761"/>
    <cellStyle name="Percent 17 7 2" xfId="2762"/>
    <cellStyle name="Percent 17 7 3" xfId="2763"/>
    <cellStyle name="Percent 17 8" xfId="2764"/>
    <cellStyle name="Percent 17 8 2" xfId="2765"/>
    <cellStyle name="Percent 2 10" xfId="2766"/>
    <cellStyle name="Percent 2 10 2" xfId="2767"/>
    <cellStyle name="Percent 2 11" xfId="2768"/>
    <cellStyle name="Percent 2 11 2" xfId="2769"/>
    <cellStyle name="Percent 2 12" xfId="2770"/>
    <cellStyle name="Percent 2 13" xfId="2771"/>
    <cellStyle name="Percent 2 14" xfId="2772"/>
    <cellStyle name="Percent 2 15" xfId="2773"/>
    <cellStyle name="Percent 2 16" xfId="2774"/>
    <cellStyle name="Percent 2 17" xfId="2775"/>
    <cellStyle name="Percent 2 18" xfId="2776"/>
    <cellStyle name="Percent 2 19" xfId="2777"/>
    <cellStyle name="Percent 2 2 7" xfId="2778"/>
    <cellStyle name="Percent 2 2 4 2" xfId="2779"/>
    <cellStyle name="Percent 2 2 5" xfId="2780"/>
    <cellStyle name="Percent 2 2 6" xfId="2781"/>
    <cellStyle name="Percent 2 20" xfId="2782"/>
    <cellStyle name="Percent 2 21" xfId="2783"/>
    <cellStyle name="Percent 2 22" xfId="2784"/>
    <cellStyle name="Percent 2 23" xfId="2785"/>
    <cellStyle name="Percent 2 24" xfId="2786"/>
    <cellStyle name="Percent 2 25" xfId="2787"/>
    <cellStyle name="Percent 2 26" xfId="2788"/>
    <cellStyle name="Percent 2 27" xfId="2789"/>
    <cellStyle name="Percent 2 28" xfId="2790"/>
    <cellStyle name="Percent 2 29" xfId="2791"/>
    <cellStyle name="Percent 2 3 10" xfId="2792"/>
    <cellStyle name="Percent 2 3 11" xfId="2793"/>
    <cellStyle name="Percent 2 3 12" xfId="2794"/>
    <cellStyle name="Percent 2 3 13" xfId="2795"/>
    <cellStyle name="Percent 2 3 14" xfId="2796"/>
    <cellStyle name="Percent 2 3 15" xfId="2797"/>
    <cellStyle name="Percent 2 3 16" xfId="2798"/>
    <cellStyle name="Percent 2 3 3 3 4 2" xfId="2799"/>
    <cellStyle name="Percent 2 3 5 2" xfId="2800"/>
    <cellStyle name="Percent 2 3 6" xfId="2801"/>
    <cellStyle name="Percent 2 3 7" xfId="2802"/>
    <cellStyle name="Percent 2 3 8" xfId="2803"/>
    <cellStyle name="Percent 2 3 9" xfId="2804"/>
    <cellStyle name="Percent 2 30" xfId="2805"/>
    <cellStyle name="Percent 2 31" xfId="2806"/>
    <cellStyle name="Percent 2 32" xfId="2807"/>
    <cellStyle name="Percent 2 33" xfId="2808"/>
    <cellStyle name="Percent 2 34" xfId="2809"/>
    <cellStyle name="Percent 2 35" xfId="2810"/>
    <cellStyle name="Percent 2 36" xfId="2811"/>
    <cellStyle name="Percent 2 37" xfId="2812"/>
    <cellStyle name="Percent 2 38" xfId="2813"/>
    <cellStyle name="Percent 2 39" xfId="2814"/>
    <cellStyle name="Percent 2 4 10" xfId="2815"/>
    <cellStyle name="Percent 2 4 11" xfId="2816"/>
    <cellStyle name="Percent 2 4 12" xfId="2817"/>
    <cellStyle name="Percent 2 4 13" xfId="2818"/>
    <cellStyle name="Percent 2 4 14" xfId="2819"/>
    <cellStyle name="Percent 2 4 15" xfId="2820"/>
    <cellStyle name="Percent 2 4 16" xfId="2821"/>
    <cellStyle name="Percent 2 4 2" xfId="2822"/>
    <cellStyle name="Percent 2 4 3" xfId="2823"/>
    <cellStyle name="Percent 2 4 4" xfId="2824"/>
    <cellStyle name="Percent 2 4 5" xfId="2825"/>
    <cellStyle name="Percent 2 4 6" xfId="2826"/>
    <cellStyle name="Percent 2 4 7" xfId="2827"/>
    <cellStyle name="Percent 2 4 8" xfId="2828"/>
    <cellStyle name="Percent 2 4 9" xfId="2829"/>
    <cellStyle name="Percent 2 40" xfId="2830"/>
    <cellStyle name="Percent 2 41" xfId="2831"/>
    <cellStyle name="Percent 2 42" xfId="2832"/>
    <cellStyle name="Percent 2 43" xfId="2833"/>
    <cellStyle name="Percent 2 44" xfId="2834"/>
    <cellStyle name="Percent 2 45" xfId="2835"/>
    <cellStyle name="Percent 2 46" xfId="2836"/>
    <cellStyle name="Percent 2 47" xfId="2837"/>
    <cellStyle name="Percent 2 48" xfId="2838"/>
    <cellStyle name="Percent 2 48 2" xfId="2839"/>
    <cellStyle name="Percent 2 49" xfId="2840"/>
    <cellStyle name="Percent 2 5 10" xfId="2841"/>
    <cellStyle name="Percent 2 5 11" xfId="2842"/>
    <cellStyle name="Percent 2 5 12" xfId="2843"/>
    <cellStyle name="Percent 2 5 13" xfId="2844"/>
    <cellStyle name="Percent 2 5 14" xfId="2845"/>
    <cellStyle name="Percent 2 5 15" xfId="2846"/>
    <cellStyle name="Percent 2 5 2 3" xfId="2847"/>
    <cellStyle name="Percent 2 5 3 3" xfId="2848"/>
    <cellStyle name="Percent 2 5 4" xfId="2849"/>
    <cellStyle name="Percent 2 5 5" xfId="2850"/>
    <cellStyle name="Percent 2 5 6" xfId="2851"/>
    <cellStyle name="Percent 2 5 7" xfId="2852"/>
    <cellStyle name="Percent 2 5 8" xfId="2853"/>
    <cellStyle name="Percent 2 5 9" xfId="2854"/>
    <cellStyle name="Percent 2 6 10" xfId="2855"/>
    <cellStyle name="Percent 2 6 11" xfId="2856"/>
    <cellStyle name="Percent 2 6 12" xfId="2857"/>
    <cellStyle name="Percent 2 6 13" xfId="2858"/>
    <cellStyle name="Percent 2 6 14" xfId="2859"/>
    <cellStyle name="Percent 2 6 15" xfId="2860"/>
    <cellStyle name="Percent 2 6 2" xfId="2861"/>
    <cellStyle name="Percent 2 6 3" xfId="2862"/>
    <cellStyle name="Percent 2 6 4" xfId="2863"/>
    <cellStyle name="Percent 2 6 5" xfId="2864"/>
    <cellStyle name="Percent 2 6 6" xfId="2865"/>
    <cellStyle name="Percent 2 6 7" xfId="2866"/>
    <cellStyle name="Percent 2 6 8" xfId="2867"/>
    <cellStyle name="Percent 2 6 9" xfId="2868"/>
    <cellStyle name="Percent 2 7" xfId="2869"/>
    <cellStyle name="Percent 2 7 2" xfId="2870"/>
    <cellStyle name="Percent 2 8" xfId="2871"/>
    <cellStyle name="Percent 2 8 2" xfId="2872"/>
    <cellStyle name="Percent 2 9" xfId="2873"/>
    <cellStyle name="Percent 2 9 2" xfId="2874"/>
    <cellStyle name="Percent 20" xfId="2875"/>
    <cellStyle name="Percent 20 2" xfId="2876"/>
    <cellStyle name="Percent 20 3" xfId="2877"/>
    <cellStyle name="Percent 20 4" xfId="2878"/>
    <cellStyle name="Percent 20 5" xfId="2879"/>
    <cellStyle name="Percent 20 6" xfId="2880"/>
    <cellStyle name="Percent 20 7" xfId="2881"/>
    <cellStyle name="Percent 20 7 2" xfId="2882"/>
    <cellStyle name="Percent 20 7 3" xfId="2883"/>
    <cellStyle name="Percent 21" xfId="2884"/>
    <cellStyle name="Percent 21 2" xfId="2885"/>
    <cellStyle name="Percent 21 3" xfId="2886"/>
    <cellStyle name="Percent 21 4" xfId="2887"/>
    <cellStyle name="Percent 21 5" xfId="2888"/>
    <cellStyle name="Percent 21 6" xfId="2889"/>
    <cellStyle name="Percent 21 7" xfId="2890"/>
    <cellStyle name="Percent 21 7 2" xfId="2891"/>
    <cellStyle name="Percent 21 7 3" xfId="2892"/>
    <cellStyle name="Percent 22" xfId="2893"/>
    <cellStyle name="Percent 22 2" xfId="2894"/>
    <cellStyle name="Percent 22 3" xfId="2895"/>
    <cellStyle name="Percent 22 4" xfId="2896"/>
    <cellStyle name="Percent 22 5" xfId="2897"/>
    <cellStyle name="Percent 22 6" xfId="2898"/>
    <cellStyle name="Percent 22 7" xfId="2899"/>
    <cellStyle name="Percent 22 7 2" xfId="2900"/>
    <cellStyle name="Percent 22 7 3" xfId="2901"/>
    <cellStyle name="Percent 23" xfId="2902"/>
    <cellStyle name="Percent 23 2" xfId="2903"/>
    <cellStyle name="Percent 23 3" xfId="2904"/>
    <cellStyle name="Percent 23 4" xfId="2905"/>
    <cellStyle name="Percent 23 5" xfId="2906"/>
    <cellStyle name="Percent 23 6" xfId="2907"/>
    <cellStyle name="Percent 23 7" xfId="2908"/>
    <cellStyle name="Percent 23 7 2" xfId="2909"/>
    <cellStyle name="Percent 23 7 3" xfId="2910"/>
    <cellStyle name="Percent 24 2" xfId="2911"/>
    <cellStyle name="Percent 24 3" xfId="2912"/>
    <cellStyle name="Percent 24 4" xfId="2913"/>
    <cellStyle name="Percent 24 5" xfId="2914"/>
    <cellStyle name="Percent 24 6" xfId="2915"/>
    <cellStyle name="Percent 24 7" xfId="2916"/>
    <cellStyle name="Percent 24 7 2" xfId="2917"/>
    <cellStyle name="Percent 24 7 3" xfId="2918"/>
    <cellStyle name="Percent 25" xfId="2919"/>
    <cellStyle name="Percent 25 2" xfId="2920"/>
    <cellStyle name="Percent 25 3" xfId="2921"/>
    <cellStyle name="Percent 25 4" xfId="2922"/>
    <cellStyle name="Percent 25 5" xfId="2923"/>
    <cellStyle name="Percent 25 6" xfId="2924"/>
    <cellStyle name="Percent 25 7" xfId="2925"/>
    <cellStyle name="Percent 25 7 2" xfId="2926"/>
    <cellStyle name="Percent 25 7 3" xfId="2927"/>
    <cellStyle name="Percent 26" xfId="2928"/>
    <cellStyle name="Percent 26 2" xfId="2929"/>
    <cellStyle name="Percent 26 3" xfId="2930"/>
    <cellStyle name="Percent 26 4" xfId="2931"/>
    <cellStyle name="Percent 26 5" xfId="2932"/>
    <cellStyle name="Percent 26 6" xfId="2933"/>
    <cellStyle name="Percent 26 7" xfId="2934"/>
    <cellStyle name="Percent 26 7 2" xfId="2935"/>
    <cellStyle name="Percent 26 7 3" xfId="2936"/>
    <cellStyle name="Percent 27" xfId="2937"/>
    <cellStyle name="Percent 3 30" xfId="2938"/>
    <cellStyle name="Percent 3 10" xfId="2939"/>
    <cellStyle name="Percent 3 10 10" xfId="2940"/>
    <cellStyle name="Percent 3 10 11" xfId="2941"/>
    <cellStyle name="Percent 3 10 12" xfId="2942"/>
    <cellStyle name="Percent 3 10 13" xfId="2943"/>
    <cellStyle name="Percent 3 10 14" xfId="2944"/>
    <cellStyle name="Percent 3 10 15" xfId="2945"/>
    <cellStyle name="Percent 3 10 2" xfId="2946"/>
    <cellStyle name="Percent 3 10 3" xfId="2947"/>
    <cellStyle name="Percent 3 10 4" xfId="2948"/>
    <cellStyle name="Percent 3 10 5" xfId="2949"/>
    <cellStyle name="Percent 3 10 6" xfId="2950"/>
    <cellStyle name="Percent 3 10 7" xfId="2951"/>
    <cellStyle name="Percent 3 10 8" xfId="2952"/>
    <cellStyle name="Percent 3 10 9" xfId="2953"/>
    <cellStyle name="Percent 3 11" xfId="2954"/>
    <cellStyle name="Percent 3 12" xfId="2955"/>
    <cellStyle name="Percent 3 13" xfId="2956"/>
    <cellStyle name="Percent 3 14" xfId="2957"/>
    <cellStyle name="Percent 3 15" xfId="2958"/>
    <cellStyle name="Percent 3 16" xfId="2959"/>
    <cellStyle name="Percent 3 17" xfId="2960"/>
    <cellStyle name="Percent 3 18" xfId="2961"/>
    <cellStyle name="Percent 3 19" xfId="2962"/>
    <cellStyle name="Percent 3 2 17" xfId="2963"/>
    <cellStyle name="Percent 3 2 10" xfId="2964"/>
    <cellStyle name="Percent 3 2 11" xfId="2965"/>
    <cellStyle name="Percent 3 2 12" xfId="2966"/>
    <cellStyle name="Percent 3 2 13" xfId="2967"/>
    <cellStyle name="Percent 3 2 14" xfId="2968"/>
    <cellStyle name="Percent 3 2 15" xfId="2969"/>
    <cellStyle name="Percent 3 2 16" xfId="2970"/>
    <cellStyle name="Percent 3 2 2 3" xfId="2971"/>
    <cellStyle name="Percent 3 2 2 2" xfId="2972"/>
    <cellStyle name="Percent 3 2 3 2" xfId="2973"/>
    <cellStyle name="Percent 3 2 5" xfId="2974"/>
    <cellStyle name="Percent 3 2 6" xfId="2975"/>
    <cellStyle name="Percent 3 2 7" xfId="2976"/>
    <cellStyle name="Percent 3 2 8" xfId="2977"/>
    <cellStyle name="Percent 3 2 9" xfId="2978"/>
    <cellStyle name="Percent 3 20" xfId="2979"/>
    <cellStyle name="Percent 3 21" xfId="2980"/>
    <cellStyle name="Percent 3 22" xfId="2981"/>
    <cellStyle name="Percent 3 23" xfId="2982"/>
    <cellStyle name="Percent 3 24" xfId="2983"/>
    <cellStyle name="Percent 3 25" xfId="2984"/>
    <cellStyle name="Percent 3 26" xfId="2985"/>
    <cellStyle name="Percent 3 27" xfId="2986"/>
    <cellStyle name="Percent 3 28" xfId="2987"/>
    <cellStyle name="Percent 3 29" xfId="2988"/>
    <cellStyle name="Percent 3 3 10" xfId="2989"/>
    <cellStyle name="Percent 3 3 11" xfId="2990"/>
    <cellStyle name="Percent 3 3 12" xfId="2991"/>
    <cellStyle name="Percent 3 3 13" xfId="2992"/>
    <cellStyle name="Percent 3 3 14" xfId="2993"/>
    <cellStyle name="Percent 3 3 15" xfId="2994"/>
    <cellStyle name="Percent 3 3 3 3 4 2" xfId="2995"/>
    <cellStyle name="Percent 3 3 4 2" xfId="2996"/>
    <cellStyle name="Percent 3 3 6 2" xfId="2997"/>
    <cellStyle name="Percent 3 3 7" xfId="2998"/>
    <cellStyle name="Percent 3 3 8" xfId="2999"/>
    <cellStyle name="Percent 3 3 9" xfId="3000"/>
    <cellStyle name="Percent 3 4 10" xfId="3001"/>
    <cellStyle name="Percent 3 4 11" xfId="3002"/>
    <cellStyle name="Percent 3 4 12" xfId="3003"/>
    <cellStyle name="Percent 3 4 13" xfId="3004"/>
    <cellStyle name="Percent 3 4 14" xfId="3005"/>
    <cellStyle name="Percent 3 4 15" xfId="3006"/>
    <cellStyle name="Percent 3 4 4 2" xfId="3007"/>
    <cellStyle name="Percent 3 4 5" xfId="3008"/>
    <cellStyle name="Percent 3 4 6" xfId="3009"/>
    <cellStyle name="Percent 3 4 7" xfId="3010"/>
    <cellStyle name="Percent 3 4 8" xfId="3011"/>
    <cellStyle name="Percent 3 4 9" xfId="3012"/>
    <cellStyle name="Percent 3 5 10" xfId="3013"/>
    <cellStyle name="Percent 3 5 11" xfId="3014"/>
    <cellStyle name="Percent 3 5 12" xfId="3015"/>
    <cellStyle name="Percent 3 5 13" xfId="3016"/>
    <cellStyle name="Percent 3 5 14" xfId="3017"/>
    <cellStyle name="Percent 3 5 15" xfId="3018"/>
    <cellStyle name="Percent 3 5 16" xfId="3019"/>
    <cellStyle name="Percent 3 5 2" xfId="3020"/>
    <cellStyle name="Percent 3 5 3" xfId="3021"/>
    <cellStyle name="Percent 3 5 4" xfId="3022"/>
    <cellStyle name="Percent 3 5 5" xfId="3023"/>
    <cellStyle name="Percent 3 5 6" xfId="3024"/>
    <cellStyle name="Percent 3 5 7" xfId="3025"/>
    <cellStyle name="Percent 3 5 8" xfId="3026"/>
    <cellStyle name="Percent 3 5 9" xfId="3027"/>
    <cellStyle name="Percent 3 6 10" xfId="3028"/>
    <cellStyle name="Percent 3 6 11" xfId="3029"/>
    <cellStyle name="Percent 3 6 12" xfId="3030"/>
    <cellStyle name="Percent 3 6 13" xfId="3031"/>
    <cellStyle name="Percent 3 6 14" xfId="3032"/>
    <cellStyle name="Percent 3 6 15" xfId="3033"/>
    <cellStyle name="Percent 3 6 2 13" xfId="3034"/>
    <cellStyle name="Percent 3 6 3 13" xfId="3035"/>
    <cellStyle name="Percent 3 6 4" xfId="3036"/>
    <cellStyle name="Percent 3 6 5" xfId="3037"/>
    <cellStyle name="Percent 3 6 6" xfId="3038"/>
    <cellStyle name="Percent 3 6 7" xfId="3039"/>
    <cellStyle name="Percent 3 6 8" xfId="3040"/>
    <cellStyle name="Percent 3 6 9" xfId="3041"/>
    <cellStyle name="Percent 3 7 10" xfId="3042"/>
    <cellStyle name="Percent 3 7 11" xfId="3043"/>
    <cellStyle name="Percent 3 7 12" xfId="3044"/>
    <cellStyle name="Percent 3 7 13" xfId="3045"/>
    <cellStyle name="Percent 3 7 14" xfId="3046"/>
    <cellStyle name="Percent 3 7 15" xfId="3047"/>
    <cellStyle name="Percent 3 7 2" xfId="3048"/>
    <cellStyle name="Percent 3 7 3" xfId="3049"/>
    <cellStyle name="Percent 3 7 4" xfId="3050"/>
    <cellStyle name="Percent 3 7 5" xfId="3051"/>
    <cellStyle name="Percent 3 7 6" xfId="3052"/>
    <cellStyle name="Percent 3 7 7" xfId="3053"/>
    <cellStyle name="Percent 3 7 8" xfId="3054"/>
    <cellStyle name="Percent 3 7 9" xfId="3055"/>
    <cellStyle name="Percent 3 8" xfId="3056"/>
    <cellStyle name="Percent 3 8 10" xfId="3057"/>
    <cellStyle name="Percent 3 8 11" xfId="3058"/>
    <cellStyle name="Percent 3 8 12" xfId="3059"/>
    <cellStyle name="Percent 3 8 13" xfId="3060"/>
    <cellStyle name="Percent 3 8 14" xfId="3061"/>
    <cellStyle name="Percent 3 8 15" xfId="3062"/>
    <cellStyle name="Percent 3 8 2" xfId="3063"/>
    <cellStyle name="Percent 3 8 3" xfId="3064"/>
    <cellStyle name="Percent 3 8 4" xfId="3065"/>
    <cellStyle name="Percent 3 8 5" xfId="3066"/>
    <cellStyle name="Percent 3 8 6" xfId="3067"/>
    <cellStyle name="Percent 3 8 7" xfId="3068"/>
    <cellStyle name="Percent 3 8 8" xfId="3069"/>
    <cellStyle name="Percent 3 8 9" xfId="3070"/>
    <cellStyle name="Percent 3 9" xfId="3071"/>
    <cellStyle name="Percent 3 9 10" xfId="3072"/>
    <cellStyle name="Percent 3 9 11" xfId="3073"/>
    <cellStyle name="Percent 3 9 12" xfId="3074"/>
    <cellStyle name="Percent 3 9 13" xfId="3075"/>
    <cellStyle name="Percent 3 9 14" xfId="3076"/>
    <cellStyle name="Percent 3 9 15" xfId="3077"/>
    <cellStyle name="Percent 3 9 2" xfId="3078"/>
    <cellStyle name="Percent 3 9 3" xfId="3079"/>
    <cellStyle name="Percent 3 9 4" xfId="3080"/>
    <cellStyle name="Percent 3 9 5" xfId="3081"/>
    <cellStyle name="Percent 3 9 6" xfId="3082"/>
    <cellStyle name="Percent 3 9 7" xfId="3083"/>
    <cellStyle name="Percent 3 9 8" xfId="3084"/>
    <cellStyle name="Percent 3 9 9" xfId="3085"/>
    <cellStyle name="Percent 31" xfId="3086"/>
    <cellStyle name="Percent 4 30" xfId="3087"/>
    <cellStyle name="Percent 4 10" xfId="3088"/>
    <cellStyle name="Percent 4 11" xfId="3089"/>
    <cellStyle name="Percent 4 12" xfId="3090"/>
    <cellStyle name="Percent 4 13" xfId="3091"/>
    <cellStyle name="Percent 4 14" xfId="3092"/>
    <cellStyle name="Percent 4 15" xfId="3093"/>
    <cellStyle name="Percent 4 16" xfId="3094"/>
    <cellStyle name="Percent 4 17" xfId="3095"/>
    <cellStyle name="Percent 4 18" xfId="3096"/>
    <cellStyle name="Percent 4 19" xfId="3097"/>
    <cellStyle name="Percent 4 2 6" xfId="3098"/>
    <cellStyle name="Percent 4 2 4 2" xfId="3099"/>
    <cellStyle name="Percent 4 2 5" xfId="3100"/>
    <cellStyle name="Percent 4 20" xfId="3101"/>
    <cellStyle name="Percent 4 21" xfId="3102"/>
    <cellStyle name="Percent 4 22" xfId="3103"/>
    <cellStyle name="Percent 4 23" xfId="3104"/>
    <cellStyle name="Percent 4 24" xfId="3105"/>
    <cellStyle name="Percent 4 25" xfId="3106"/>
    <cellStyle name="Percent 4 26" xfId="3107"/>
    <cellStyle name="Percent 4 27" xfId="3108"/>
    <cellStyle name="Percent 4 28" xfId="3109"/>
    <cellStyle name="Percent 4 29" xfId="3110"/>
    <cellStyle name="Percent 4 29 2" xfId="3111"/>
    <cellStyle name="Percent 4 4 2" xfId="3112"/>
    <cellStyle name="Percent 4 5 20" xfId="3113"/>
    <cellStyle name="Percent 4 5 2 12" xfId="3114"/>
    <cellStyle name="Percent 4 6 20" xfId="3115"/>
    <cellStyle name="Percent 4 7 13" xfId="3116"/>
    <cellStyle name="Percent 4 8" xfId="3117"/>
    <cellStyle name="Percent 4 9" xfId="3118"/>
    <cellStyle name="Percent 5 5" xfId="3119"/>
    <cellStyle name="Percent 5 3 2" xfId="3120"/>
    <cellStyle name="Percent 5 4 2" xfId="3121"/>
    <cellStyle name="Percent 6 3" xfId="3122"/>
    <cellStyle name="Percent 6 2" xfId="3123"/>
    <cellStyle name="Percent 7 2" xfId="3124"/>
    <cellStyle name="Percent 8" xfId="3125"/>
    <cellStyle name="Percent 9 10" xfId="3126"/>
    <cellStyle name="Percent 9 11" xfId="3127"/>
    <cellStyle name="Percent 9 12" xfId="3128"/>
    <cellStyle name="Percent 9 13" xfId="3129"/>
    <cellStyle name="Percent 9 14" xfId="3130"/>
    <cellStyle name="Percent 9 15" xfId="3131"/>
    <cellStyle name="Percent 9 16" xfId="3132"/>
    <cellStyle name="Percent 9 17" xfId="3133"/>
    <cellStyle name="Percent 9 18" xfId="3134"/>
    <cellStyle name="Percent 9 19" xfId="3135"/>
    <cellStyle name="Percent 9 2" xfId="3136"/>
    <cellStyle name="Percent 9 20" xfId="3137"/>
    <cellStyle name="Percent 9 3" xfId="3138"/>
    <cellStyle name="Percent 9 4" xfId="3139"/>
    <cellStyle name="Percent 9 5" xfId="3140"/>
    <cellStyle name="Percent 9 6" xfId="3141"/>
    <cellStyle name="Percent 9 7" xfId="3142"/>
    <cellStyle name="Percent 9 7 2" xfId="3143"/>
    <cellStyle name="Percent 9 7 3" xfId="3144"/>
    <cellStyle name="Percent 9 8" xfId="3145"/>
    <cellStyle name="Percent 9 9" xfId="3146"/>
    <cellStyle name="Percentagem 2 2" xfId="3147"/>
    <cellStyle name="Percentagem 2 3" xfId="3148"/>
    <cellStyle name="Schlecht" xfId="3149"/>
    <cellStyle name="Shade" xfId="3150"/>
    <cellStyle name="Standaard_Blad1" xfId="3151"/>
    <cellStyle name="Standard 2" xfId="3152"/>
    <cellStyle name="Standard 3" xfId="3153"/>
    <cellStyle name="Standard_Sce_D_Extraction" xfId="3154"/>
    <cellStyle name="Style 1" xfId="3155"/>
    <cellStyle name="Style 103" xfId="3156"/>
    <cellStyle name="Style 103 2" xfId="3157"/>
    <cellStyle name="Style 103 3" xfId="3158"/>
    <cellStyle name="Style 104" xfId="3159"/>
    <cellStyle name="Style 104 2" xfId="3160"/>
    <cellStyle name="Style 104 3" xfId="3161"/>
    <cellStyle name="Style 105" xfId="3162"/>
    <cellStyle name="Style 105 2" xfId="3163"/>
    <cellStyle name="Style 106" xfId="3164"/>
    <cellStyle name="Style 106 2" xfId="3165"/>
    <cellStyle name="Style 107" xfId="3166"/>
    <cellStyle name="Style 107 2" xfId="3167"/>
    <cellStyle name="Style 108" xfId="3168"/>
    <cellStyle name="Style 108 2" xfId="3169"/>
    <cellStyle name="Style 108 3" xfId="3170"/>
    <cellStyle name="Style 109" xfId="3171"/>
    <cellStyle name="Style 109 2" xfId="3172"/>
    <cellStyle name="Style 110" xfId="3173"/>
    <cellStyle name="Style 110 2" xfId="3174"/>
    <cellStyle name="Style 114" xfId="3175"/>
    <cellStyle name="Style 114 2" xfId="3176"/>
    <cellStyle name="Style 114 3" xfId="3177"/>
    <cellStyle name="Style 115" xfId="3178"/>
    <cellStyle name="Style 115 2" xfId="3179"/>
    <cellStyle name="Style 115 3" xfId="3180"/>
    <cellStyle name="Style 116" xfId="3181"/>
    <cellStyle name="Style 116 2" xfId="3182"/>
    <cellStyle name="Style 117" xfId="3183"/>
    <cellStyle name="Style 117 2" xfId="3184"/>
    <cellStyle name="Style 118" xfId="3185"/>
    <cellStyle name="Style 118 2" xfId="3186"/>
    <cellStyle name="Style 119" xfId="3187"/>
    <cellStyle name="Style 119 2" xfId="3188"/>
    <cellStyle name="Style 119 3" xfId="3189"/>
    <cellStyle name="Style 120" xfId="3190"/>
    <cellStyle name="Style 120 2" xfId="3191"/>
    <cellStyle name="Style 121" xfId="3192"/>
    <cellStyle name="Style 121 2" xfId="3193"/>
    <cellStyle name="Style 126" xfId="3194"/>
    <cellStyle name="Style 126 2" xfId="3195"/>
    <cellStyle name="Style 126 3" xfId="3196"/>
    <cellStyle name="Style 127" xfId="3197"/>
    <cellStyle name="Style 127 2" xfId="3198"/>
    <cellStyle name="Style 128" xfId="3199"/>
    <cellStyle name="Style 128 2" xfId="3200"/>
    <cellStyle name="Style 129" xfId="3201"/>
    <cellStyle name="Style 129 2" xfId="3202"/>
    <cellStyle name="Style 130" xfId="3203"/>
    <cellStyle name="Style 130 2" xfId="3204"/>
    <cellStyle name="Style 130 3" xfId="3205"/>
    <cellStyle name="Style 131" xfId="3206"/>
    <cellStyle name="Style 131 2" xfId="3207"/>
    <cellStyle name="Style 132" xfId="3208"/>
    <cellStyle name="Style 132 2" xfId="3209"/>
    <cellStyle name="Style 137" xfId="3210"/>
    <cellStyle name="Style 137 2" xfId="3211"/>
    <cellStyle name="Style 137 3" xfId="3212"/>
    <cellStyle name="Style 138" xfId="3213"/>
    <cellStyle name="Style 138 2" xfId="3214"/>
    <cellStyle name="Style 139" xfId="3215"/>
    <cellStyle name="Style 139 2" xfId="3216"/>
    <cellStyle name="Style 140" xfId="3217"/>
    <cellStyle name="Style 140 2" xfId="3218"/>
    <cellStyle name="Style 141" xfId="3219"/>
    <cellStyle name="Style 141 2" xfId="3220"/>
    <cellStyle name="Style 141 3" xfId="3221"/>
    <cellStyle name="Style 142" xfId="3222"/>
    <cellStyle name="Style 142 2" xfId="3223"/>
    <cellStyle name="Style 143" xfId="3224"/>
    <cellStyle name="Style 143 2" xfId="3225"/>
    <cellStyle name="Style 148" xfId="3226"/>
    <cellStyle name="Style 148 2" xfId="3227"/>
    <cellStyle name="Style 148 3" xfId="3228"/>
    <cellStyle name="Style 149" xfId="3229"/>
    <cellStyle name="Style 149 2" xfId="3230"/>
    <cellStyle name="Style 150" xfId="3231"/>
    <cellStyle name="Style 150 2" xfId="3232"/>
    <cellStyle name="Style 151" xfId="3233"/>
    <cellStyle name="Style 151 2" xfId="3234"/>
    <cellStyle name="Style 152" xfId="3235"/>
    <cellStyle name="Style 152 2" xfId="3236"/>
    <cellStyle name="Style 152 3" xfId="3237"/>
    <cellStyle name="Style 153" xfId="3238"/>
    <cellStyle name="Style 153 2" xfId="3239"/>
    <cellStyle name="Style 154" xfId="3240"/>
    <cellStyle name="Style 154 2" xfId="3241"/>
    <cellStyle name="Style 159" xfId="3242"/>
    <cellStyle name="Style 159 2" xfId="3243"/>
    <cellStyle name="Style 159 3" xfId="3244"/>
    <cellStyle name="Style 160" xfId="3245"/>
    <cellStyle name="Style 160 2" xfId="3246"/>
    <cellStyle name="Style 161" xfId="3247"/>
    <cellStyle name="Style 161 2" xfId="3248"/>
    <cellStyle name="Style 162" xfId="3249"/>
    <cellStyle name="Style 162 2" xfId="3250"/>
    <cellStyle name="Style 163" xfId="3251"/>
    <cellStyle name="Style 163 2" xfId="3252"/>
    <cellStyle name="Style 163 3" xfId="3253"/>
    <cellStyle name="Style 164" xfId="3254"/>
    <cellStyle name="Style 164 2" xfId="3255"/>
    <cellStyle name="Style 165" xfId="3256"/>
    <cellStyle name="Style 165 2" xfId="3257"/>
    <cellStyle name="Style 21 5" xfId="3258"/>
    <cellStyle name="Style 21 2 3" xfId="3259"/>
    <cellStyle name="Style 21 2 2" xfId="3260"/>
    <cellStyle name="Style 21 3" xfId="3261"/>
    <cellStyle name="Style 21 4" xfId="3262"/>
    <cellStyle name="Style 22 3" xfId="3263"/>
    <cellStyle name="Style 22 2" xfId="3264"/>
    <cellStyle name="Style 23 3" xfId="3265"/>
    <cellStyle name="Style 23 2" xfId="3266"/>
    <cellStyle name="Style 24 3" xfId="3267"/>
    <cellStyle name="Style 24 2" xfId="3268"/>
    <cellStyle name="Style 25 4" xfId="3269"/>
    <cellStyle name="Style 25 3" xfId="3270"/>
    <cellStyle name="Style 26 3" xfId="3271"/>
    <cellStyle name="Style 26 2" xfId="3272"/>
    <cellStyle name="Style 27" xfId="3273"/>
    <cellStyle name="Style 27 2" xfId="3274"/>
    <cellStyle name="Style 35" xfId="3275"/>
    <cellStyle name="Style 35 2" xfId="3276"/>
    <cellStyle name="Style 35 3" xfId="3277"/>
    <cellStyle name="Style 36" xfId="3278"/>
    <cellStyle name="Style 36 2" xfId="3279"/>
    <cellStyle name="Style 37" xfId="3280"/>
    <cellStyle name="Style 37 2" xfId="3281"/>
    <cellStyle name="Style 38" xfId="3282"/>
    <cellStyle name="Style 38 2" xfId="3283"/>
    <cellStyle name="Style 39" xfId="3284"/>
    <cellStyle name="Style 39 2" xfId="3285"/>
    <cellStyle name="Style 39 3" xfId="3286"/>
    <cellStyle name="Style 40" xfId="3287"/>
    <cellStyle name="Style 40 2" xfId="3288"/>
    <cellStyle name="Style 41" xfId="3289"/>
    <cellStyle name="Style 41 2" xfId="3290"/>
    <cellStyle name="Style 46" xfId="3291"/>
    <cellStyle name="Style 46 2" xfId="3292"/>
    <cellStyle name="Style 46 3" xfId="3293"/>
    <cellStyle name="Style 47" xfId="3294"/>
    <cellStyle name="Style 47 2" xfId="3295"/>
    <cellStyle name="Style 48" xfId="3296"/>
    <cellStyle name="Style 48 2" xfId="3297"/>
    <cellStyle name="Style 49" xfId="3298"/>
    <cellStyle name="Style 49 2" xfId="3299"/>
    <cellStyle name="Style 50" xfId="3300"/>
    <cellStyle name="Style 50 2" xfId="3301"/>
    <cellStyle name="Style 50 3" xfId="3302"/>
    <cellStyle name="Style 51" xfId="3303"/>
    <cellStyle name="Style 51 2" xfId="3304"/>
    <cellStyle name="Style 52" xfId="3305"/>
    <cellStyle name="Style 52 2" xfId="3306"/>
    <cellStyle name="Style 58" xfId="3307"/>
    <cellStyle name="Style 58 2" xfId="3308"/>
    <cellStyle name="Style 58 3" xfId="3309"/>
    <cellStyle name="Style 59" xfId="3310"/>
    <cellStyle name="Style 59 2" xfId="3311"/>
    <cellStyle name="Style 60" xfId="3312"/>
    <cellStyle name="Style 60 2" xfId="3313"/>
    <cellStyle name="Style 61" xfId="3314"/>
    <cellStyle name="Style 61 2" xfId="3315"/>
    <cellStyle name="Style 62" xfId="3316"/>
    <cellStyle name="Style 62 2" xfId="3317"/>
    <cellStyle name="Style 62 3" xfId="3318"/>
    <cellStyle name="Style 63" xfId="3319"/>
    <cellStyle name="Style 63 2" xfId="3320"/>
    <cellStyle name="Style 64" xfId="3321"/>
    <cellStyle name="Style 64 2" xfId="3322"/>
    <cellStyle name="Style 69" xfId="3323"/>
    <cellStyle name="Style 69 2" xfId="3324"/>
    <cellStyle name="Style 69 3" xfId="3325"/>
    <cellStyle name="Style 70" xfId="3326"/>
    <cellStyle name="Style 70 2" xfId="3327"/>
    <cellStyle name="Style 71" xfId="3328"/>
    <cellStyle name="Style 71 2" xfId="3329"/>
    <cellStyle name="Style 72" xfId="3330"/>
    <cellStyle name="Style 72 2" xfId="3331"/>
    <cellStyle name="Style 73" xfId="3332"/>
    <cellStyle name="Style 73 2" xfId="3333"/>
    <cellStyle name="Style 73 3" xfId="3334"/>
    <cellStyle name="Style 74" xfId="3335"/>
    <cellStyle name="Style 74 2" xfId="3336"/>
    <cellStyle name="Style 75" xfId="3337"/>
    <cellStyle name="Style 75 2" xfId="3338"/>
    <cellStyle name="Style 80" xfId="3339"/>
    <cellStyle name="Style 80 2" xfId="3340"/>
    <cellStyle name="Style 80 3" xfId="3341"/>
    <cellStyle name="Style 81" xfId="3342"/>
    <cellStyle name="Style 81 2" xfId="3343"/>
    <cellStyle name="Style 81 3" xfId="3344"/>
    <cellStyle name="Style 82" xfId="3345"/>
    <cellStyle name="Style 82 2" xfId="3346"/>
    <cellStyle name="Style 83" xfId="3347"/>
    <cellStyle name="Style 83 2" xfId="3348"/>
    <cellStyle name="Style 84" xfId="3349"/>
    <cellStyle name="Style 84 2" xfId="3350"/>
    <cellStyle name="Style 85" xfId="3351"/>
    <cellStyle name="Style 85 2" xfId="3352"/>
    <cellStyle name="Style 85 3" xfId="3353"/>
    <cellStyle name="Style 86" xfId="3354"/>
    <cellStyle name="Style 86 2" xfId="3355"/>
    <cellStyle name="Style 87" xfId="3356"/>
    <cellStyle name="Style 87 2" xfId="3357"/>
    <cellStyle name="Style 93" xfId="3358"/>
    <cellStyle name="Style 93 2" xfId="3359"/>
    <cellStyle name="Style 93 3" xfId="3360"/>
    <cellStyle name="Style 94" xfId="3361"/>
    <cellStyle name="Style 94 2" xfId="3362"/>
    <cellStyle name="Style 95" xfId="3363"/>
    <cellStyle name="Style 95 2" xfId="3364"/>
    <cellStyle name="Style 96" xfId="3365"/>
    <cellStyle name="Style 96 2" xfId="3366"/>
    <cellStyle name="Style 97" xfId="3367"/>
    <cellStyle name="Style 97 2" xfId="3368"/>
    <cellStyle name="Style 97 3" xfId="3369"/>
    <cellStyle name="Style 98" xfId="3370"/>
    <cellStyle name="Style 98 2" xfId="3371"/>
    <cellStyle name="Style 99" xfId="3372"/>
    <cellStyle name="Style 99 2" xfId="3373"/>
    <cellStyle name="Title 10" xfId="3374"/>
    <cellStyle name="Title 11" xfId="3375"/>
    <cellStyle name="Title 12" xfId="3376"/>
    <cellStyle name="Title 13" xfId="3377"/>
    <cellStyle name="Title 14" xfId="3378"/>
    <cellStyle name="Title 15" xfId="3379"/>
    <cellStyle name="Title 16" xfId="3380"/>
    <cellStyle name="Title 17" xfId="3381"/>
    <cellStyle name="Title 18" xfId="3382"/>
    <cellStyle name="Title 19" xfId="3383"/>
    <cellStyle name="Title 20" xfId="3384"/>
    <cellStyle name="Title 21" xfId="3385"/>
    <cellStyle name="Title 22" xfId="3386"/>
    <cellStyle name="Title 23" xfId="3387"/>
    <cellStyle name="Title 24" xfId="3388"/>
    <cellStyle name="Title 25" xfId="3389"/>
    <cellStyle name="Title 26" xfId="3390"/>
    <cellStyle name="Title 27" xfId="3391"/>
    <cellStyle name="Title 28" xfId="3392"/>
    <cellStyle name="Title 29" xfId="3393"/>
    <cellStyle name="Title 3 2" xfId="3394"/>
    <cellStyle name="Title 30" xfId="3395"/>
    <cellStyle name="Title 31" xfId="3396"/>
    <cellStyle name="Title 32" xfId="3397"/>
    <cellStyle name="Title 33" xfId="3398"/>
    <cellStyle name="Title 34" xfId="3399"/>
    <cellStyle name="Title 35" xfId="3400"/>
    <cellStyle name="Title 36" xfId="3401"/>
    <cellStyle name="Title 37" xfId="3402"/>
    <cellStyle name="Title 38" xfId="3403"/>
    <cellStyle name="Title 39" xfId="3404"/>
    <cellStyle name="Title 40" xfId="3405"/>
    <cellStyle name="Title 41" xfId="3406"/>
    <cellStyle name="Title 42" xfId="3407"/>
    <cellStyle name="Title 43" xfId="3408"/>
    <cellStyle name="Title 6" xfId="3409"/>
    <cellStyle name="Title 7" xfId="3410"/>
    <cellStyle name="Title 8" xfId="3411"/>
    <cellStyle name="Title 9" xfId="3412"/>
    <cellStyle name="Total 10" xfId="3413"/>
    <cellStyle name="Total 11" xfId="3414"/>
    <cellStyle name="Total 12" xfId="3415"/>
    <cellStyle name="Total 13" xfId="3416"/>
    <cellStyle name="Total 14" xfId="3417"/>
    <cellStyle name="Total 15" xfId="3418"/>
    <cellStyle name="Total 16" xfId="3419"/>
    <cellStyle name="Total 17" xfId="3420"/>
    <cellStyle name="Total 18" xfId="3421"/>
    <cellStyle name="Total 19" xfId="3422"/>
    <cellStyle name="Total 20" xfId="3423"/>
    <cellStyle name="Total 21" xfId="3424"/>
    <cellStyle name="Total 22" xfId="3425"/>
    <cellStyle name="Total 23" xfId="3426"/>
    <cellStyle name="Total 24" xfId="3427"/>
    <cellStyle name="Total 25" xfId="3428"/>
    <cellStyle name="Total 26" xfId="3429"/>
    <cellStyle name="Total 27" xfId="3430"/>
    <cellStyle name="Total 28" xfId="3431"/>
    <cellStyle name="Total 29" xfId="3432"/>
    <cellStyle name="Total 3 2" xfId="3433"/>
    <cellStyle name="Total 30" xfId="3434"/>
    <cellStyle name="Total 31" xfId="3435"/>
    <cellStyle name="Total 32" xfId="3436"/>
    <cellStyle name="Total 33" xfId="3437"/>
    <cellStyle name="Total 34" xfId="3438"/>
    <cellStyle name="Total 35" xfId="3439"/>
    <cellStyle name="Total 36" xfId="3440"/>
    <cellStyle name="Total 37" xfId="3441"/>
    <cellStyle name="Total 38" xfId="3442"/>
    <cellStyle name="Total 39" xfId="3443"/>
    <cellStyle name="Total 40" xfId="3444"/>
    <cellStyle name="Total 41" xfId="3445"/>
    <cellStyle name="Total 42" xfId="3446"/>
    <cellStyle name="Total 6" xfId="3447"/>
    <cellStyle name="Total 7" xfId="3448"/>
    <cellStyle name="Total 8" xfId="3449"/>
    <cellStyle name="Total 9" xfId="3450"/>
    <cellStyle name="Überschrift" xfId="3451"/>
    <cellStyle name="Überschrift 1" xfId="3452"/>
    <cellStyle name="Überschrift 2" xfId="3453"/>
    <cellStyle name="Überschrift 3" xfId="3454"/>
    <cellStyle name="Überschrift 4" xfId="3455"/>
    <cellStyle name="Verknüpfte Zelle" xfId="3456"/>
    <cellStyle name="Warnender Text" xfId="3457"/>
    <cellStyle name="Warning Text 10" xfId="3458"/>
    <cellStyle name="Warning Text 11" xfId="3459"/>
    <cellStyle name="Warning Text 12" xfId="3460"/>
    <cellStyle name="Warning Text 13" xfId="3461"/>
    <cellStyle name="Warning Text 14" xfId="3462"/>
    <cellStyle name="Warning Text 15" xfId="3463"/>
    <cellStyle name="Warning Text 16" xfId="3464"/>
    <cellStyle name="Warning Text 17" xfId="3465"/>
    <cellStyle name="Warning Text 18" xfId="3466"/>
    <cellStyle name="Warning Text 19" xfId="3467"/>
    <cellStyle name="Warning Text 20" xfId="3468"/>
    <cellStyle name="Warning Text 21" xfId="3469"/>
    <cellStyle name="Warning Text 22" xfId="3470"/>
    <cellStyle name="Warning Text 23" xfId="3471"/>
    <cellStyle name="Warning Text 24" xfId="3472"/>
    <cellStyle name="Warning Text 25" xfId="3473"/>
    <cellStyle name="Warning Text 26" xfId="3474"/>
    <cellStyle name="Warning Text 27" xfId="3475"/>
    <cellStyle name="Warning Text 28" xfId="3476"/>
    <cellStyle name="Warning Text 29" xfId="3477"/>
    <cellStyle name="Warning Text 3 2" xfId="3478"/>
    <cellStyle name="Warning Text 30" xfId="3479"/>
    <cellStyle name="Warning Text 31" xfId="3480"/>
    <cellStyle name="Warning Text 32" xfId="3481"/>
    <cellStyle name="Warning Text 33" xfId="3482"/>
    <cellStyle name="Warning Text 34" xfId="3483"/>
    <cellStyle name="Warning Text 35" xfId="3484"/>
    <cellStyle name="Warning Text 36" xfId="3485"/>
    <cellStyle name="Warning Text 37" xfId="3486"/>
    <cellStyle name="Warning Text 38" xfId="3487"/>
    <cellStyle name="Warning Text 39" xfId="3488"/>
    <cellStyle name="Warning Text 40" xfId="3489"/>
    <cellStyle name="Warning Text 41" xfId="3490"/>
    <cellStyle name="Warning Text 6" xfId="3491"/>
    <cellStyle name="Warning Text 7" xfId="3492"/>
    <cellStyle name="Warning Text 8" xfId="3493"/>
    <cellStyle name="Warning Text 9" xfId="3494"/>
    <cellStyle name="Zelle überprüfen" xfId="3495"/>
    <cellStyle name="Гиперссылка" xfId="3496"/>
    <cellStyle name="Обычный_2++" xfId="3497"/>
    <cellStyle name="20% - Accent1 2 10" xfId="3498"/>
    <cellStyle name="20% - Accent1 2 11" xfId="3499"/>
    <cellStyle name="20% - Accent1 2 12" xfId="3500"/>
    <cellStyle name="20% - Accent1 2 13" xfId="3501"/>
    <cellStyle name="20% - Accent1 2 14" xfId="3502"/>
    <cellStyle name="20% - Accent1 2 15" xfId="3503"/>
    <cellStyle name="20% - Accent1 2 2" xfId="3504"/>
    <cellStyle name="20% - Accent1 2 3" xfId="3505"/>
    <cellStyle name="20% - Accent1 2 4" xfId="3506"/>
    <cellStyle name="20% - Accent1 2 5" xfId="3507"/>
    <cellStyle name="20% - Accent1 2 6" xfId="3508"/>
    <cellStyle name="20% - Accent1 2 7" xfId="3509"/>
    <cellStyle name="20% - Accent1 2 8" xfId="3510"/>
    <cellStyle name="20% - Accent1 2 9" xfId="3511"/>
    <cellStyle name="20% - Accent1 3 3" xfId="3512"/>
    <cellStyle name="20% - Accent1 4 2" xfId="3513"/>
    <cellStyle name="20% - Accent1 5 2" xfId="3514"/>
    <cellStyle name="20% - Accent1 6 2" xfId="3515"/>
    <cellStyle name="20% - Accent1 7 2" xfId="3516"/>
    <cellStyle name="20% - Accent1 8 2" xfId="3517"/>
    <cellStyle name="20% - Accent2 2 10" xfId="3518"/>
    <cellStyle name="20% - Accent2 2 11" xfId="3519"/>
    <cellStyle name="20% - Accent2 2 12" xfId="3520"/>
    <cellStyle name="20% - Accent2 2 13" xfId="3521"/>
    <cellStyle name="20% - Accent2 2 14" xfId="3522"/>
    <cellStyle name="20% - Accent2 2 15" xfId="3523"/>
    <cellStyle name="20% - Accent2 2 2" xfId="3524"/>
    <cellStyle name="20% - Accent2 2 3" xfId="3525"/>
    <cellStyle name="20% - Accent2 2 4" xfId="3526"/>
    <cellStyle name="20% - Accent2 2 5" xfId="3527"/>
    <cellStyle name="20% - Accent2 2 6" xfId="3528"/>
    <cellStyle name="20% - Accent2 2 7" xfId="3529"/>
    <cellStyle name="20% - Accent2 2 8" xfId="3530"/>
    <cellStyle name="20% - Accent2 2 9" xfId="3531"/>
    <cellStyle name="20% - Accent2 3 3" xfId="3532"/>
    <cellStyle name="20% - Accent2 4 2" xfId="3533"/>
    <cellStyle name="20% - Accent2 5 2" xfId="3534"/>
    <cellStyle name="20% - Accent2 6 2" xfId="3535"/>
    <cellStyle name="20% - Accent2 7 2" xfId="3536"/>
    <cellStyle name="20% - Accent2 8 2" xfId="3537"/>
    <cellStyle name="20% - Accent3 2 10" xfId="3538"/>
    <cellStyle name="20% - Accent3 2 11" xfId="3539"/>
    <cellStyle name="20% - Accent3 2 12" xfId="3540"/>
    <cellStyle name="20% - Accent3 2 13" xfId="3541"/>
    <cellStyle name="20% - Accent3 2 14" xfId="3542"/>
    <cellStyle name="20% - Accent3 2 15" xfId="3543"/>
    <cellStyle name="20% - Accent3 2 2" xfId="3544"/>
    <cellStyle name="20% - Accent3 2 3" xfId="3545"/>
    <cellStyle name="20% - Accent3 2 4" xfId="3546"/>
    <cellStyle name="20% - Accent3 2 5" xfId="3547"/>
    <cellStyle name="20% - Accent3 2 6" xfId="3548"/>
    <cellStyle name="20% - Accent3 2 7" xfId="3549"/>
    <cellStyle name="20% - Accent3 2 8" xfId="3550"/>
    <cellStyle name="20% - Accent3 2 9" xfId="3551"/>
    <cellStyle name="20% - Accent3 3 3" xfId="3552"/>
    <cellStyle name="20% - Accent3 4 2" xfId="3553"/>
    <cellStyle name="20% - Accent3 5 2" xfId="3554"/>
    <cellStyle name="20% - Accent3 6 2" xfId="3555"/>
    <cellStyle name="20% - Accent3 7 2" xfId="3556"/>
    <cellStyle name="20% - Accent3 8 2" xfId="3557"/>
    <cellStyle name="20% - Accent4 2 10" xfId="3558"/>
    <cellStyle name="20% - Accent4 2 11" xfId="3559"/>
    <cellStyle name="20% - Accent4 2 12" xfId="3560"/>
    <cellStyle name="20% - Accent4 2 13" xfId="3561"/>
    <cellStyle name="20% - Accent4 2 14" xfId="3562"/>
    <cellStyle name="20% - Accent4 2 15" xfId="3563"/>
    <cellStyle name="20% - Accent4 2 2" xfId="3564"/>
    <cellStyle name="20% - Accent4 2 3" xfId="3565"/>
    <cellStyle name="20% - Accent4 2 4" xfId="3566"/>
    <cellStyle name="20% - Accent4 2 5" xfId="3567"/>
    <cellStyle name="20% - Accent4 2 6" xfId="3568"/>
    <cellStyle name="20% - Accent4 2 7" xfId="3569"/>
    <cellStyle name="20% - Accent4 2 8" xfId="3570"/>
    <cellStyle name="20% - Accent4 2 9" xfId="3571"/>
    <cellStyle name="20% - Accent4 3 3" xfId="3572"/>
    <cellStyle name="20% - Accent4 4 2" xfId="3573"/>
    <cellStyle name="20% - Accent4 5 2" xfId="3574"/>
    <cellStyle name="20% - Accent4 6 2" xfId="3575"/>
    <cellStyle name="20% - Accent4 7 2" xfId="3576"/>
    <cellStyle name="20% - Accent4 8 2" xfId="3577"/>
    <cellStyle name="20% - Accent5 2 10" xfId="3578"/>
    <cellStyle name="20% - Accent5 2 11" xfId="3579"/>
    <cellStyle name="20% - Accent5 2 12" xfId="3580"/>
    <cellStyle name="20% - Accent5 2 13" xfId="3581"/>
    <cellStyle name="20% - Accent5 2 14" xfId="3582"/>
    <cellStyle name="20% - Accent5 2 15" xfId="3583"/>
    <cellStyle name="20% - Accent5 2 2" xfId="3584"/>
    <cellStyle name="20% - Accent5 2 3" xfId="3585"/>
    <cellStyle name="20% - Accent5 2 4" xfId="3586"/>
    <cellStyle name="20% - Accent5 2 5" xfId="3587"/>
    <cellStyle name="20% - Accent5 2 6" xfId="3588"/>
    <cellStyle name="20% - Accent5 2 7" xfId="3589"/>
    <cellStyle name="20% - Accent5 2 8" xfId="3590"/>
    <cellStyle name="20% - Accent5 2 9" xfId="3591"/>
    <cellStyle name="20% - Accent6 2 10" xfId="3592"/>
    <cellStyle name="20% - Accent6 2 11" xfId="3593"/>
    <cellStyle name="20% - Accent6 2 12" xfId="3594"/>
    <cellStyle name="20% - Accent6 2 13" xfId="3595"/>
    <cellStyle name="20% - Accent6 2 14" xfId="3596"/>
    <cellStyle name="20% - Accent6 2 15" xfId="3597"/>
    <cellStyle name="20% - Accent6 2 2" xfId="3598"/>
    <cellStyle name="20% - Accent6 2 3" xfId="3599"/>
    <cellStyle name="20% - Accent6 2 4" xfId="3600"/>
    <cellStyle name="20% - Accent6 2 5" xfId="3601"/>
    <cellStyle name="20% - Accent6 2 6" xfId="3602"/>
    <cellStyle name="20% - Accent6 2 7" xfId="3603"/>
    <cellStyle name="20% - Accent6 2 8" xfId="3604"/>
    <cellStyle name="20% - Accent6 2 9" xfId="3605"/>
    <cellStyle name="20% - Accent6 3 3" xfId="3606"/>
    <cellStyle name="20% - Accent6 4 2" xfId="3607"/>
    <cellStyle name="20% - Accent6 5 2" xfId="3608"/>
    <cellStyle name="20% - Accent6 6 2" xfId="3609"/>
    <cellStyle name="20% - Accent6 7 2" xfId="3610"/>
    <cellStyle name="20% - Accent6 8 2" xfId="3611"/>
    <cellStyle name="40% - Accent1 2 10" xfId="3612"/>
    <cellStyle name="40% - Accent1 2 11" xfId="3613"/>
    <cellStyle name="40% - Accent1 2 12" xfId="3614"/>
    <cellStyle name="40% - Accent1 2 13" xfId="3615"/>
    <cellStyle name="40% - Accent1 2 14" xfId="3616"/>
    <cellStyle name="40% - Accent1 2 15" xfId="3617"/>
    <cellStyle name="40% - Accent1 2 2" xfId="3618"/>
    <cellStyle name="40% - Accent1 2 3" xfId="3619"/>
    <cellStyle name="40% - Accent1 2 4" xfId="3620"/>
    <cellStyle name="40% - Accent1 2 5" xfId="3621"/>
    <cellStyle name="40% - Accent1 2 6" xfId="3622"/>
    <cellStyle name="40% - Accent1 2 7" xfId="3623"/>
    <cellStyle name="40% - Accent1 2 8" xfId="3624"/>
    <cellStyle name="40% - Accent1 2 9" xfId="3625"/>
    <cellStyle name="40% - Accent1 3 3" xfId="3626"/>
    <cellStyle name="40% - Accent1 4 2" xfId="3627"/>
    <cellStyle name="40% - Accent1 5 2" xfId="3628"/>
    <cellStyle name="40% - Accent1 6 2" xfId="3629"/>
    <cellStyle name="40% - Accent1 7 2" xfId="3630"/>
    <cellStyle name="40% - Accent1 8 2" xfId="3631"/>
    <cellStyle name="40% - Accent2 2 10" xfId="3632"/>
    <cellStyle name="40% - Accent2 2 11" xfId="3633"/>
    <cellStyle name="40% - Accent2 2 12" xfId="3634"/>
    <cellStyle name="40% - Accent2 2 13" xfId="3635"/>
    <cellStyle name="40% - Accent2 2 14" xfId="3636"/>
    <cellStyle name="40% - Accent2 2 15" xfId="3637"/>
    <cellStyle name="40% - Accent2 2 2 2" xfId="3638"/>
    <cellStyle name="40% - Accent2 2 3" xfId="3639"/>
    <cellStyle name="40% - Accent2 2 4" xfId="3640"/>
    <cellStyle name="40% - Accent2 2 5" xfId="3641"/>
    <cellStyle name="40% - Accent2 2 6" xfId="3642"/>
    <cellStyle name="40% - Accent2 2 7" xfId="3643"/>
    <cellStyle name="40% - Accent2 2 8" xfId="3644"/>
    <cellStyle name="40% - Accent2 2 9" xfId="3645"/>
    <cellStyle name="40% - Accent3 2 10" xfId="3646"/>
    <cellStyle name="40% - Accent3 2 11" xfId="3647"/>
    <cellStyle name="40% - Accent3 2 12" xfId="3648"/>
    <cellStyle name="40% - Accent3 2 13" xfId="3649"/>
    <cellStyle name="40% - Accent3 2 14" xfId="3650"/>
    <cellStyle name="40% - Accent3 2 15" xfId="3651"/>
    <cellStyle name="40% - Accent3 2 2" xfId="3652"/>
    <cellStyle name="40% - Accent3 2 3" xfId="3653"/>
    <cellStyle name="40% - Accent3 2 4" xfId="3654"/>
    <cellStyle name="40% - Accent3 2 5" xfId="3655"/>
    <cellStyle name="40% - Accent3 2 6" xfId="3656"/>
    <cellStyle name="40% - Accent3 2 7" xfId="3657"/>
    <cellStyle name="40% - Accent3 2 8" xfId="3658"/>
    <cellStyle name="40% - Accent3 2 9" xfId="3659"/>
    <cellStyle name="40% - Accent3 3 3" xfId="3660"/>
    <cellStyle name="40% - Accent3 4 2" xfId="3661"/>
    <cellStyle name="40% - Accent3 5 2" xfId="3662"/>
    <cellStyle name="40% - Accent3 6 2" xfId="3663"/>
    <cellStyle name="40% - Accent3 7 2" xfId="3664"/>
    <cellStyle name="40% - Accent3 8 2" xfId="3665"/>
    <cellStyle name="40% - Accent4 2 10" xfId="3666"/>
    <cellStyle name="40% - Accent4 2 11" xfId="3667"/>
    <cellStyle name="40% - Accent4 2 12" xfId="3668"/>
    <cellStyle name="40% - Accent4 2 13" xfId="3669"/>
    <cellStyle name="40% - Accent4 2 14" xfId="3670"/>
    <cellStyle name="40% - Accent4 2 15" xfId="3671"/>
    <cellStyle name="40% - Accent4 2 2" xfId="3672"/>
    <cellStyle name="40% - Accent4 2 3" xfId="3673"/>
    <cellStyle name="40% - Accent4 2 4" xfId="3674"/>
    <cellStyle name="40% - Accent4 2 5" xfId="3675"/>
    <cellStyle name="40% - Accent4 2 6" xfId="3676"/>
    <cellStyle name="40% - Accent4 2 7" xfId="3677"/>
    <cellStyle name="40% - Accent4 2 8" xfId="3678"/>
    <cellStyle name="40% - Accent4 2 9" xfId="3679"/>
    <cellStyle name="40% - Accent4 3 3" xfId="3680"/>
    <cellStyle name="40% - Accent4 4 2" xfId="3681"/>
    <cellStyle name="40% - Accent4 5 2" xfId="3682"/>
    <cellStyle name="40% - Accent4 6 2" xfId="3683"/>
    <cellStyle name="40% - Accent4 7 2" xfId="3684"/>
    <cellStyle name="40% - Accent4 8 2" xfId="3685"/>
    <cellStyle name="40% - Accent5 2 10" xfId="3686"/>
    <cellStyle name="40% - Accent5 2 11" xfId="3687"/>
    <cellStyle name="40% - Accent5 2 12" xfId="3688"/>
    <cellStyle name="40% - Accent5 2 13" xfId="3689"/>
    <cellStyle name="40% - Accent5 2 14" xfId="3690"/>
    <cellStyle name="40% - Accent5 2 15" xfId="3691"/>
    <cellStyle name="40% - Accent5 2 2" xfId="3692"/>
    <cellStyle name="40% - Accent5 2 3" xfId="3693"/>
    <cellStyle name="40% - Accent5 2 4" xfId="3694"/>
    <cellStyle name="40% - Accent5 2 5" xfId="3695"/>
    <cellStyle name="40% - Accent5 2 6" xfId="3696"/>
    <cellStyle name="40% - Accent5 2 7" xfId="3697"/>
    <cellStyle name="40% - Accent5 2 8" xfId="3698"/>
    <cellStyle name="40% - Accent5 2 9" xfId="3699"/>
    <cellStyle name="40% - Accent5 3 3" xfId="3700"/>
    <cellStyle name="40% - Accent5 4 2" xfId="3701"/>
    <cellStyle name="40% - Accent5 5 2" xfId="3702"/>
    <cellStyle name="40% - Accent5 6 2" xfId="3703"/>
    <cellStyle name="40% - Accent5 7 2" xfId="3704"/>
    <cellStyle name="40% - Accent5 8 2" xfId="3705"/>
    <cellStyle name="40% - Accent6 2 10" xfId="3706"/>
    <cellStyle name="40% - Accent6 2 11" xfId="3707"/>
    <cellStyle name="40% - Accent6 2 12" xfId="3708"/>
    <cellStyle name="40% - Accent6 2 13" xfId="3709"/>
    <cellStyle name="40% - Accent6 2 14" xfId="3710"/>
    <cellStyle name="40% - Accent6 2 15" xfId="3711"/>
    <cellStyle name="40% - Accent6 2 2" xfId="3712"/>
    <cellStyle name="40% - Accent6 2 3" xfId="3713"/>
    <cellStyle name="40% - Accent6 2 4" xfId="3714"/>
    <cellStyle name="40% - Accent6 2 5" xfId="3715"/>
    <cellStyle name="40% - Accent6 2 6" xfId="3716"/>
    <cellStyle name="40% - Accent6 2 7" xfId="3717"/>
    <cellStyle name="40% - Accent6 2 8" xfId="3718"/>
    <cellStyle name="40% - Accent6 2 9" xfId="3719"/>
    <cellStyle name="40% - Accent6 3 3" xfId="3720"/>
    <cellStyle name="40% - Accent6 4 2" xfId="3721"/>
    <cellStyle name="40% - Accent6 5 2" xfId="3722"/>
    <cellStyle name="40% - Accent6 6 2" xfId="3723"/>
    <cellStyle name="40% - Accent6 7 2" xfId="3724"/>
    <cellStyle name="40% - Accent6 8 2" xfId="3725"/>
    <cellStyle name="60% - Accent1 2 10" xfId="3726"/>
    <cellStyle name="60% - Accent1 2 2" xfId="3727"/>
    <cellStyle name="60% - Accent1 2 3" xfId="3728"/>
    <cellStyle name="60% - Accent1 2 4" xfId="3729"/>
    <cellStyle name="60% - Accent1 2 5" xfId="3730"/>
    <cellStyle name="60% - Accent1 2 6" xfId="3731"/>
    <cellStyle name="60% - Accent1 2 7" xfId="3732"/>
    <cellStyle name="60% - Accent1 2 8" xfId="3733"/>
    <cellStyle name="60% - Accent1 2 9" xfId="3734"/>
    <cellStyle name="60% - Accent1 3 3" xfId="3735"/>
    <cellStyle name="60% - Accent2 2 10" xfId="3736"/>
    <cellStyle name="60% - Accent2 2 2" xfId="3737"/>
    <cellStyle name="60% - Accent2 2 3" xfId="3738"/>
    <cellStyle name="60% - Accent2 2 4" xfId="3739"/>
    <cellStyle name="60% - Accent2 2 5" xfId="3740"/>
    <cellStyle name="60% - Accent2 2 6" xfId="3741"/>
    <cellStyle name="60% - Accent2 2 7" xfId="3742"/>
    <cellStyle name="60% - Accent2 2 8" xfId="3743"/>
    <cellStyle name="60% - Accent2 2 9" xfId="3744"/>
    <cellStyle name="60% - Accent2 3 3" xfId="3745"/>
    <cellStyle name="60% - Accent3 2 10" xfId="3746"/>
    <cellStyle name="60% - Accent3 2 2" xfId="3747"/>
    <cellStyle name="60% - Accent3 2 3" xfId="3748"/>
    <cellStyle name="60% - Accent3 2 4" xfId="3749"/>
    <cellStyle name="60% - Accent3 2 5" xfId="3750"/>
    <cellStyle name="60% - Accent3 2 6" xfId="3751"/>
    <cellStyle name="60% - Accent3 2 7" xfId="3752"/>
    <cellStyle name="60% - Accent3 2 8" xfId="3753"/>
    <cellStyle name="60% - Accent3 2 9" xfId="3754"/>
    <cellStyle name="60% - Accent3 3 3" xfId="3755"/>
    <cellStyle name="60% - Accent4 2 10" xfId="3756"/>
    <cellStyle name="60% - Accent4 2 2" xfId="3757"/>
    <cellStyle name="60% - Accent4 2 3" xfId="3758"/>
    <cellStyle name="60% - Accent4 2 4" xfId="3759"/>
    <cellStyle name="60% - Accent4 2 5" xfId="3760"/>
    <cellStyle name="60% - Accent4 2 6" xfId="3761"/>
    <cellStyle name="60% - Accent4 2 7" xfId="3762"/>
    <cellStyle name="60% - Accent4 2 8" xfId="3763"/>
    <cellStyle name="60% - Accent4 2 9" xfId="3764"/>
    <cellStyle name="60% - Accent4 3 3" xfId="3765"/>
    <cellStyle name="60% - Accent5 2 10" xfId="3766"/>
    <cellStyle name="60% - Accent5 2 2" xfId="3767"/>
    <cellStyle name="60% - Accent5 2 3" xfId="3768"/>
    <cellStyle name="60% - Accent5 2 4" xfId="3769"/>
    <cellStyle name="60% - Accent5 2 5" xfId="3770"/>
    <cellStyle name="60% - Accent5 2 6" xfId="3771"/>
    <cellStyle name="60% - Accent5 2 7" xfId="3772"/>
    <cellStyle name="60% - Accent5 2 8" xfId="3773"/>
    <cellStyle name="60% - Accent5 2 9" xfId="3774"/>
    <cellStyle name="60% - Accent5 3 3" xfId="3775"/>
    <cellStyle name="60% - Accent6 2 10" xfId="3776"/>
    <cellStyle name="60% - Accent6 2 2" xfId="3777"/>
    <cellStyle name="60% - Accent6 2 3" xfId="3778"/>
    <cellStyle name="60% - Accent6 2 4" xfId="3779"/>
    <cellStyle name="60% - Accent6 2 5" xfId="3780"/>
    <cellStyle name="60% - Accent6 2 6" xfId="3781"/>
    <cellStyle name="60% - Accent6 2 7" xfId="3782"/>
    <cellStyle name="60% - Accent6 2 8" xfId="3783"/>
    <cellStyle name="60% - Accent6 2 9" xfId="3784"/>
    <cellStyle name="60% - Accent6 3 3" xfId="3785"/>
    <cellStyle name="Accent1 2 10" xfId="3786"/>
    <cellStyle name="Accent1 2 2" xfId="3787"/>
    <cellStyle name="Accent1 2 3" xfId="3788"/>
    <cellStyle name="Accent1 2 4" xfId="3789"/>
    <cellStyle name="Accent1 2 5" xfId="3790"/>
    <cellStyle name="Accent1 2 6" xfId="3791"/>
    <cellStyle name="Accent1 2 7" xfId="3792"/>
    <cellStyle name="Accent1 2 8" xfId="3793"/>
    <cellStyle name="Accent1 2 9" xfId="3794"/>
    <cellStyle name="Accent1 3 3" xfId="3795"/>
    <cellStyle name="Accent2 2 10" xfId="3796"/>
    <cellStyle name="Accent2 2 2" xfId="3797"/>
    <cellStyle name="Accent2 2 3" xfId="3798"/>
    <cellStyle name="Accent2 2 4" xfId="3799"/>
    <cellStyle name="Accent2 2 5" xfId="3800"/>
    <cellStyle name="Accent2 2 6" xfId="3801"/>
    <cellStyle name="Accent2 2 7" xfId="3802"/>
    <cellStyle name="Accent2 2 8" xfId="3803"/>
    <cellStyle name="Accent2 2 9" xfId="3804"/>
    <cellStyle name="Accent2 3 3" xfId="3805"/>
    <cellStyle name="Accent3 2 10" xfId="3806"/>
    <cellStyle name="Accent3 2 2" xfId="3807"/>
    <cellStyle name="Accent3 2 3" xfId="3808"/>
    <cellStyle name="Accent3 2 4" xfId="3809"/>
    <cellStyle name="Accent3 2 5" xfId="3810"/>
    <cellStyle name="Accent3 2 6" xfId="3811"/>
    <cellStyle name="Accent3 2 7" xfId="3812"/>
    <cellStyle name="Accent3 2 8" xfId="3813"/>
    <cellStyle name="Accent3 2 9" xfId="3814"/>
    <cellStyle name="Accent3 3 3" xfId="3815"/>
    <cellStyle name="Accent4 2 10" xfId="3816"/>
    <cellStyle name="Accent4 2 2" xfId="3817"/>
    <cellStyle name="Accent4 2 3" xfId="3818"/>
    <cellStyle name="Accent4 2 4" xfId="3819"/>
    <cellStyle name="Accent4 2 5" xfId="3820"/>
    <cellStyle name="Accent4 2 6" xfId="3821"/>
    <cellStyle name="Accent4 2 7" xfId="3822"/>
    <cellStyle name="Accent4 2 8" xfId="3823"/>
    <cellStyle name="Accent4 2 9" xfId="3824"/>
    <cellStyle name="Accent4 3 3" xfId="3825"/>
    <cellStyle name="Accent5 2 10" xfId="3826"/>
    <cellStyle name="Accent5 2 2" xfId="3827"/>
    <cellStyle name="Accent5 2 3" xfId="3828"/>
    <cellStyle name="Accent5 2 4" xfId="3829"/>
    <cellStyle name="Accent5 2 5" xfId="3830"/>
    <cellStyle name="Accent5 2 6" xfId="3831"/>
    <cellStyle name="Accent5 2 7" xfId="3832"/>
    <cellStyle name="Accent5 2 8" xfId="3833"/>
    <cellStyle name="Accent5 2 9" xfId="3834"/>
    <cellStyle name="Accent6 2 10" xfId="3835"/>
    <cellStyle name="Accent6 2 2" xfId="3836"/>
    <cellStyle name="Accent6 2 3" xfId="3837"/>
    <cellStyle name="Accent6 2 4" xfId="3838"/>
    <cellStyle name="Accent6 2 5" xfId="3839"/>
    <cellStyle name="Accent6 2 6" xfId="3840"/>
    <cellStyle name="Accent6 2 7" xfId="3841"/>
    <cellStyle name="Accent6 2 8" xfId="3842"/>
    <cellStyle name="Accent6 2 9" xfId="3843"/>
    <cellStyle name="Accent6 3 3" xfId="3844"/>
    <cellStyle name="Bad 2 10" xfId="3845"/>
    <cellStyle name="Bad 2 2" xfId="3846"/>
    <cellStyle name="Bad 2 3" xfId="3847"/>
    <cellStyle name="Bad 2 4" xfId="3848"/>
    <cellStyle name="Bad 2 5" xfId="3849"/>
    <cellStyle name="Bad 2 6" xfId="3850"/>
    <cellStyle name="Bad 2 7" xfId="3851"/>
    <cellStyle name="Bad 2 8" xfId="3852"/>
    <cellStyle name="Bad 2 9" xfId="3853"/>
    <cellStyle name="Bad 3 3" xfId="3854"/>
    <cellStyle name="Calculation 2 10" xfId="3855"/>
    <cellStyle name="Calculation 2 2" xfId="3856"/>
    <cellStyle name="Calculation 2 3" xfId="3857"/>
    <cellStyle name="Calculation 2 4" xfId="3858"/>
    <cellStyle name="Calculation 2 5" xfId="3859"/>
    <cellStyle name="Calculation 2 6" xfId="3860"/>
    <cellStyle name="Calculation 2 7" xfId="3861"/>
    <cellStyle name="Calculation 2 8" xfId="3862"/>
    <cellStyle name="Calculation 2 9" xfId="3863"/>
    <cellStyle name="Calculation 3 3" xfId="3864"/>
    <cellStyle name="Check Cell 2 10" xfId="3865"/>
    <cellStyle name="Check Cell 2 2" xfId="3866"/>
    <cellStyle name="Check Cell 2 3" xfId="3867"/>
    <cellStyle name="Check Cell 2 4" xfId="3868"/>
    <cellStyle name="Check Cell 2 5" xfId="3869"/>
    <cellStyle name="Check Cell 2 6" xfId="3870"/>
    <cellStyle name="Check Cell 2 7" xfId="3871"/>
    <cellStyle name="Check Cell 2 8" xfId="3872"/>
    <cellStyle name="Check Cell 2 9" xfId="3873"/>
    <cellStyle name="Comma [0] 2 10" xfId="3874"/>
    <cellStyle name="Comma [0] 2 2" xfId="3875"/>
    <cellStyle name="Comma [0] 2 3" xfId="3876"/>
    <cellStyle name="Comma [0] 2 4" xfId="3877"/>
    <cellStyle name="Comma [0] 2 5" xfId="3878"/>
    <cellStyle name="Comma [0] 2 6" xfId="3879"/>
    <cellStyle name="Comma [0] 2 7" xfId="3880"/>
    <cellStyle name="Comma [0] 2 8" xfId="3881"/>
    <cellStyle name="Comma [0] 2 9" xfId="3882"/>
    <cellStyle name="Comma 10" xfId="3883"/>
    <cellStyle name="Comma 10 2" xfId="3884"/>
    <cellStyle name="Comma 10 2 10" xfId="3885"/>
    <cellStyle name="Comma 10 2 11" xfId="3886"/>
    <cellStyle name="Comma 10 2 12" xfId="3887"/>
    <cellStyle name="Comma 10 2 13" xfId="3888"/>
    <cellStyle name="Comma 10 2 14" xfId="3889"/>
    <cellStyle name="Comma 10 2 15" xfId="3890"/>
    <cellStyle name="Comma 10 2 16" xfId="3891"/>
    <cellStyle name="Comma 10 2 17" xfId="3892"/>
    <cellStyle name="Comma 10 2 2" xfId="3893"/>
    <cellStyle name="Comma 10 2 3" xfId="3894"/>
    <cellStyle name="Comma 10 2 4" xfId="3895"/>
    <cellStyle name="Comma 10 2 5" xfId="3896"/>
    <cellStyle name="Comma 10 2 6" xfId="3897"/>
    <cellStyle name="Comma 10 2 7" xfId="3898"/>
    <cellStyle name="Comma 10 2 8" xfId="3899"/>
    <cellStyle name="Comma 10 2 9" xfId="3900"/>
    <cellStyle name="Comma 10 3" xfId="3901"/>
    <cellStyle name="Comma 10 3 10" xfId="3902"/>
    <cellStyle name="Comma 10 3 11" xfId="3903"/>
    <cellStyle name="Comma 10 3 12" xfId="3904"/>
    <cellStyle name="Comma 10 3 13" xfId="3905"/>
    <cellStyle name="Comma 10 3 14" xfId="3906"/>
    <cellStyle name="Comma 10 3 15" xfId="3907"/>
    <cellStyle name="Comma 10 3 16" xfId="3908"/>
    <cellStyle name="Comma 10 3 17" xfId="3909"/>
    <cellStyle name="Comma 10 3 2" xfId="3910"/>
    <cellStyle name="Comma 10 3 3" xfId="3911"/>
    <cellStyle name="Comma 10 3 4" xfId="3912"/>
    <cellStyle name="Comma 10 3 5" xfId="3913"/>
    <cellStyle name="Comma 10 3 6" xfId="3914"/>
    <cellStyle name="Comma 10 3 7" xfId="3915"/>
    <cellStyle name="Comma 10 3 8" xfId="3916"/>
    <cellStyle name="Comma 10 3 9" xfId="3917"/>
    <cellStyle name="Comma 10 4" xfId="3918"/>
    <cellStyle name="Comma 10 4 10" xfId="3919"/>
    <cellStyle name="Comma 10 4 11" xfId="3920"/>
    <cellStyle name="Comma 10 4 12" xfId="3921"/>
    <cellStyle name="Comma 10 4 13" xfId="3922"/>
    <cellStyle name="Comma 10 4 14" xfId="3923"/>
    <cellStyle name="Comma 10 4 15" xfId="3924"/>
    <cellStyle name="Comma 10 4 16" xfId="3925"/>
    <cellStyle name="Comma 10 4 17" xfId="3926"/>
    <cellStyle name="Comma 10 4 2" xfId="3927"/>
    <cellStyle name="Comma 10 4 3" xfId="3928"/>
    <cellStyle name="Comma 10 4 4" xfId="3929"/>
    <cellStyle name="Comma 10 4 5" xfId="3930"/>
    <cellStyle name="Comma 10 4 6" xfId="3931"/>
    <cellStyle name="Comma 10 4 7" xfId="3932"/>
    <cellStyle name="Comma 10 4 8" xfId="3933"/>
    <cellStyle name="Comma 10 4 9" xfId="3934"/>
    <cellStyle name="Comma 10 5" xfId="3935"/>
    <cellStyle name="Comma 10 5 10" xfId="3936"/>
    <cellStyle name="Comma 10 5 11" xfId="3937"/>
    <cellStyle name="Comma 10 5 12" xfId="3938"/>
    <cellStyle name="Comma 10 5 13" xfId="3939"/>
    <cellStyle name="Comma 10 5 14" xfId="3940"/>
    <cellStyle name="Comma 10 5 15" xfId="3941"/>
    <cellStyle name="Comma 10 5 16" xfId="3942"/>
    <cellStyle name="Comma 10 5 17" xfId="3943"/>
    <cellStyle name="Comma 10 5 2" xfId="3944"/>
    <cellStyle name="Comma 10 5 3" xfId="3945"/>
    <cellStyle name="Comma 10 5 4" xfId="3946"/>
    <cellStyle name="Comma 10 5 5" xfId="3947"/>
    <cellStyle name="Comma 10 5 6" xfId="3948"/>
    <cellStyle name="Comma 10 5 7" xfId="3949"/>
    <cellStyle name="Comma 10 5 8" xfId="3950"/>
    <cellStyle name="Comma 10 5 9" xfId="3951"/>
    <cellStyle name="Comma 10 6" xfId="3952"/>
    <cellStyle name="Comma 10 6 10" xfId="3953"/>
    <cellStyle name="Comma 10 6 11" xfId="3954"/>
    <cellStyle name="Comma 10 6 12" xfId="3955"/>
    <cellStyle name="Comma 10 6 13" xfId="3956"/>
    <cellStyle name="Comma 10 6 14" xfId="3957"/>
    <cellStyle name="Comma 10 6 15" xfId="3958"/>
    <cellStyle name="Comma 10 6 16" xfId="3959"/>
    <cellStyle name="Comma 10 6 17" xfId="3960"/>
    <cellStyle name="Comma 10 6 2" xfId="3961"/>
    <cellStyle name="Comma 10 6 3" xfId="3962"/>
    <cellStyle name="Comma 10 6 4" xfId="3963"/>
    <cellStyle name="Comma 10 6 5" xfId="3964"/>
    <cellStyle name="Comma 10 6 6" xfId="3965"/>
    <cellStyle name="Comma 10 6 7" xfId="3966"/>
    <cellStyle name="Comma 10 6 8" xfId="3967"/>
    <cellStyle name="Comma 10 6 9" xfId="3968"/>
    <cellStyle name="Comma 10 7" xfId="3969"/>
    <cellStyle name="Comma 10 7 10" xfId="3970"/>
    <cellStyle name="Comma 10 7 11" xfId="3971"/>
    <cellStyle name="Comma 10 7 12" xfId="3972"/>
    <cellStyle name="Comma 10 7 13" xfId="3973"/>
    <cellStyle name="Comma 10 7 14" xfId="3974"/>
    <cellStyle name="Comma 10 7 15" xfId="3975"/>
    <cellStyle name="Comma 10 7 16" xfId="3976"/>
    <cellStyle name="Comma 10 7 17" xfId="3977"/>
    <cellStyle name="Comma 10 7 2" xfId="3978"/>
    <cellStyle name="Comma 10 7 3" xfId="3979"/>
    <cellStyle name="Comma 10 7 4" xfId="3980"/>
    <cellStyle name="Comma 10 7 5" xfId="3981"/>
    <cellStyle name="Comma 10 7 6" xfId="3982"/>
    <cellStyle name="Comma 10 7 7" xfId="3983"/>
    <cellStyle name="Comma 10 7 8" xfId="3984"/>
    <cellStyle name="Comma 10 7 9" xfId="3985"/>
    <cellStyle name="Comma 10 8" xfId="3986"/>
    <cellStyle name="Comma 10 8 10" xfId="3987"/>
    <cellStyle name="Comma 10 8 11" xfId="3988"/>
    <cellStyle name="Comma 10 8 12" xfId="3989"/>
    <cellStyle name="Comma 10 8 13" xfId="3990"/>
    <cellStyle name="Comma 10 8 14" xfId="3991"/>
    <cellStyle name="Comma 10 8 15" xfId="3992"/>
    <cellStyle name="Comma 10 8 16" xfId="3993"/>
    <cellStyle name="Comma 10 8 17" xfId="3994"/>
    <cellStyle name="Comma 10 8 2" xfId="3995"/>
    <cellStyle name="Comma 10 8 3" xfId="3996"/>
    <cellStyle name="Comma 10 8 4" xfId="3997"/>
    <cellStyle name="Comma 10 8 5" xfId="3998"/>
    <cellStyle name="Comma 10 8 6" xfId="3999"/>
    <cellStyle name="Comma 10 8 7" xfId="4000"/>
    <cellStyle name="Comma 10 8 8" xfId="4001"/>
    <cellStyle name="Comma 10 8 9" xfId="4002"/>
    <cellStyle name="Comma 11" xfId="4003"/>
    <cellStyle name="Comma 12" xfId="4004"/>
    <cellStyle name="Comma 13" xfId="4005"/>
    <cellStyle name="Comma 14 2" xfId="4006"/>
    <cellStyle name="Comma 15" xfId="4007"/>
    <cellStyle name="Comma 16" xfId="4008"/>
    <cellStyle name="Comma 17" xfId="4009"/>
    <cellStyle name="Comma 18" xfId="4010"/>
    <cellStyle name="Comma 19" xfId="4011"/>
    <cellStyle name="Comma 2 10 2" xfId="4012"/>
    <cellStyle name="Comma 2 11 2" xfId="4013"/>
    <cellStyle name="Comma 2 12 2" xfId="4014"/>
    <cellStyle name="Comma 2 13 2" xfId="4015"/>
    <cellStyle name="Comma 2 14" xfId="4016"/>
    <cellStyle name="Comma 2 15" xfId="4017"/>
    <cellStyle name="Comma 2 16" xfId="4018"/>
    <cellStyle name="Comma 2 17" xfId="4019"/>
    <cellStyle name="Comma 2 18" xfId="4020"/>
    <cellStyle name="Comma 2 19" xfId="4021"/>
    <cellStyle name="Comma 2 19 2" xfId="4022"/>
    <cellStyle name="Comma 2 2 8" xfId="4023"/>
    <cellStyle name="Comma 2 2 2 6" xfId="4024"/>
    <cellStyle name="Comma 2 2 3 5" xfId="4025"/>
    <cellStyle name="Comma 2 20" xfId="4026"/>
    <cellStyle name="Comma 2 21" xfId="4027"/>
    <cellStyle name="Comma 2 3 7" xfId="4028"/>
    <cellStyle name="Comma 2 4 6" xfId="4029"/>
    <cellStyle name="Comma 2 5 5" xfId="4030"/>
    <cellStyle name="Comma 2 6 3" xfId="4031"/>
    <cellStyle name="Comma 2 7 3" xfId="4032"/>
    <cellStyle name="Comma 2 8 5" xfId="4033"/>
    <cellStyle name="Comma 2 9 2" xfId="4034"/>
    <cellStyle name="Comma 3 11" xfId="4035"/>
    <cellStyle name="Comma 3 10" xfId="4036"/>
    <cellStyle name="Comma 3 2 3" xfId="4037"/>
    <cellStyle name="Comma 3 3 2" xfId="4038"/>
    <cellStyle name="Comma 3 4 2" xfId="4039"/>
    <cellStyle name="Comma 3 5" xfId="4040"/>
    <cellStyle name="Comma 3 6" xfId="4041"/>
    <cellStyle name="Comma 3 7" xfId="4042"/>
    <cellStyle name="Comma 3 8" xfId="4043"/>
    <cellStyle name="Comma 3 9" xfId="4044"/>
    <cellStyle name="Comma 4 9" xfId="4045"/>
    <cellStyle name="Comma 4 2 2" xfId="4046"/>
    <cellStyle name="Comma 4 3" xfId="4047"/>
    <cellStyle name="Comma 4 4" xfId="4048"/>
    <cellStyle name="Comma 4 5" xfId="4049"/>
    <cellStyle name="Comma 4 6" xfId="4050"/>
    <cellStyle name="Comma 4 7" xfId="4051"/>
    <cellStyle name="Comma 4 8" xfId="4052"/>
    <cellStyle name="Comma 5" xfId="4053"/>
    <cellStyle name="Comma 5 4" xfId="4054"/>
    <cellStyle name="Comma 5 5" xfId="4055"/>
    <cellStyle name="Comma 5 6" xfId="4056"/>
    <cellStyle name="Comma 5 7" xfId="4057"/>
    <cellStyle name="Comma 5 8" xfId="4058"/>
    <cellStyle name="Comma 6" xfId="4059"/>
    <cellStyle name="Comma 6 2" xfId="4060"/>
    <cellStyle name="Comma 6 3" xfId="4061"/>
    <cellStyle name="Comma 6 4" xfId="4062"/>
    <cellStyle name="Comma 6 5" xfId="4063"/>
    <cellStyle name="Comma 6 6" xfId="4064"/>
    <cellStyle name="Comma 6 7" xfId="4065"/>
    <cellStyle name="Comma 6 8" xfId="4066"/>
    <cellStyle name="Comma 7" xfId="4067"/>
    <cellStyle name="Comma 7 10" xfId="4068"/>
    <cellStyle name="Comma 7 11" xfId="4069"/>
    <cellStyle name="Comma 7 12" xfId="4070"/>
    <cellStyle name="Comma 7 13" xfId="4071"/>
    <cellStyle name="Comma 7 14" xfId="4072"/>
    <cellStyle name="Comma 7 15" xfId="4073"/>
    <cellStyle name="Comma 7 16" xfId="4074"/>
    <cellStyle name="Comma 7 17" xfId="4075"/>
    <cellStyle name="Comma 7 18" xfId="4076"/>
    <cellStyle name="Comma 7 19" xfId="4077"/>
    <cellStyle name="Comma 7 2" xfId="4078"/>
    <cellStyle name="Comma 7 20" xfId="4079"/>
    <cellStyle name="Comma 7 21" xfId="4080"/>
    <cellStyle name="Comma 7 3" xfId="4081"/>
    <cellStyle name="Comma 7 3 10" xfId="4082"/>
    <cellStyle name="Comma 7 3 11" xfId="4083"/>
    <cellStyle name="Comma 7 3 12" xfId="4084"/>
    <cellStyle name="Comma 7 3 13" xfId="4085"/>
    <cellStyle name="Comma 7 3 14" xfId="4086"/>
    <cellStyle name="Comma 7 3 15" xfId="4087"/>
    <cellStyle name="Comma 7 3 2" xfId="4088"/>
    <cellStyle name="Comma 7 3 3" xfId="4089"/>
    <cellStyle name="Comma 7 3 4" xfId="4090"/>
    <cellStyle name="Comma 7 3 5" xfId="4091"/>
    <cellStyle name="Comma 7 3 6" xfId="4092"/>
    <cellStyle name="Comma 7 3 7" xfId="4093"/>
    <cellStyle name="Comma 7 3 8" xfId="4094"/>
    <cellStyle name="Comma 7 3 9" xfId="4095"/>
    <cellStyle name="Comma 7 4" xfId="4096"/>
    <cellStyle name="Comma 7 5" xfId="4097"/>
    <cellStyle name="Comma 7 6" xfId="4098"/>
    <cellStyle name="Comma 7 7" xfId="4099"/>
    <cellStyle name="Comma 7 8" xfId="4100"/>
    <cellStyle name="Comma 7 9" xfId="4101"/>
    <cellStyle name="Comma 8" xfId="4102"/>
    <cellStyle name="Comma 8 3" xfId="4103"/>
    <cellStyle name="Comma 8 4" xfId="4104"/>
    <cellStyle name="Comma 8 5" xfId="4105"/>
    <cellStyle name="Comma 8 6" xfId="4106"/>
    <cellStyle name="Comma 8 7" xfId="4107"/>
    <cellStyle name="Comma 8 8" xfId="4108"/>
    <cellStyle name="Comma 9" xfId="4109"/>
    <cellStyle name="Comma 9 2" xfId="4110"/>
    <cellStyle name="Comma 9 3" xfId="4111"/>
    <cellStyle name="Comma 9 4" xfId="4112"/>
    <cellStyle name="Comma 9 5" xfId="4113"/>
    <cellStyle name="Comma 9 6" xfId="4114"/>
    <cellStyle name="Comma 9 7" xfId="4115"/>
    <cellStyle name="Comma 9 8" xfId="4116"/>
    <cellStyle name="Comma 9 9" xfId="4117"/>
    <cellStyle name="Currency 2 2" xfId="4118"/>
    <cellStyle name="Euro 3 9" xfId="4119"/>
    <cellStyle name="Euro 4 4 2" xfId="4120"/>
    <cellStyle name="Euro 6 4" xfId="4121"/>
    <cellStyle name="Explanatory Text 2 10" xfId="4122"/>
    <cellStyle name="Explanatory Text 2 2" xfId="4123"/>
    <cellStyle name="Explanatory Text 2 3" xfId="4124"/>
    <cellStyle name="Explanatory Text 2 4" xfId="4125"/>
    <cellStyle name="Explanatory Text 2 5" xfId="4126"/>
    <cellStyle name="Explanatory Text 2 6" xfId="4127"/>
    <cellStyle name="Explanatory Text 2 7" xfId="4128"/>
    <cellStyle name="Explanatory Text 2 8" xfId="4129"/>
    <cellStyle name="Explanatory Text 2 9" xfId="4130"/>
    <cellStyle name="Float 2 2" xfId="4131"/>
    <cellStyle name="Float 3 2" xfId="4132"/>
    <cellStyle name="Good 2 10" xfId="4133"/>
    <cellStyle name="Good 2 2 2" xfId="4134"/>
    <cellStyle name="Good 2 3 2" xfId="4135"/>
    <cellStyle name="Good 2 4" xfId="4136"/>
    <cellStyle name="Good 2 5" xfId="4137"/>
    <cellStyle name="Good 2 6" xfId="4138"/>
    <cellStyle name="Good 2 7" xfId="4139"/>
    <cellStyle name="Good 2 8" xfId="4140"/>
    <cellStyle name="Good 2 9" xfId="4141"/>
    <cellStyle name="Good 3 3" xfId="4142"/>
    <cellStyle name="Heading 1 2 10" xfId="4143"/>
    <cellStyle name="Heading 1 2 2" xfId="4144"/>
    <cellStyle name="Heading 1 2 3" xfId="4145"/>
    <cellStyle name="Heading 1 2 4" xfId="4146"/>
    <cellStyle name="Heading 1 2 5" xfId="4147"/>
    <cellStyle name="Heading 1 2 6" xfId="4148"/>
    <cellStyle name="Heading 1 2 7" xfId="4149"/>
    <cellStyle name="Heading 1 2 8" xfId="4150"/>
    <cellStyle name="Heading 1 2 9" xfId="4151"/>
    <cellStyle name="Heading 1 3 3" xfId="4152"/>
    <cellStyle name="Heading 2 2 10" xfId="4153"/>
    <cellStyle name="Heading 2 2 2" xfId="4154"/>
    <cellStyle name="Heading 2 2 3" xfId="4155"/>
    <cellStyle name="Heading 2 2 4" xfId="4156"/>
    <cellStyle name="Heading 2 2 5" xfId="4157"/>
    <cellStyle name="Heading 2 2 6" xfId="4158"/>
    <cellStyle name="Heading 2 2 7" xfId="4159"/>
    <cellStyle name="Heading 2 2 8" xfId="4160"/>
    <cellStyle name="Heading 2 2 9" xfId="4161"/>
    <cellStyle name="Heading 2 3 3" xfId="4162"/>
    <cellStyle name="Heading 3 2 10" xfId="4163"/>
    <cellStyle name="Heading 3 2 2" xfId="4164"/>
    <cellStyle name="Heading 3 2 3" xfId="4165"/>
    <cellStyle name="Heading 3 2 4" xfId="4166"/>
    <cellStyle name="Heading 3 2 5" xfId="4167"/>
    <cellStyle name="Heading 3 2 6" xfId="4168"/>
    <cellStyle name="Heading 3 2 7" xfId="4169"/>
    <cellStyle name="Heading 3 2 8" xfId="4170"/>
    <cellStyle name="Heading 3 2 9" xfId="4171"/>
    <cellStyle name="Heading 3 3 3" xfId="4172"/>
    <cellStyle name="Heading 4 2 10" xfId="4173"/>
    <cellStyle name="Heading 4 2 2" xfId="4174"/>
    <cellStyle name="Heading 4 2 3" xfId="4175"/>
    <cellStyle name="Heading 4 2 4" xfId="4176"/>
    <cellStyle name="Heading 4 2 5" xfId="4177"/>
    <cellStyle name="Heading 4 2 6" xfId="4178"/>
    <cellStyle name="Heading 4 2 7" xfId="4179"/>
    <cellStyle name="Heading 4 2 8" xfId="4180"/>
    <cellStyle name="Heading 4 2 9" xfId="4181"/>
    <cellStyle name="Heading 4 3 3" xfId="4182"/>
    <cellStyle name="Input 2 10" xfId="4183"/>
    <cellStyle name="Input 2 2 2" xfId="4184"/>
    <cellStyle name="Input 2 3 2" xfId="4185"/>
    <cellStyle name="Input 2 4" xfId="4186"/>
    <cellStyle name="Input 2 5" xfId="4187"/>
    <cellStyle name="Input 2 6" xfId="4188"/>
    <cellStyle name="Input 2 7" xfId="4189"/>
    <cellStyle name="Input 2 8" xfId="4190"/>
    <cellStyle name="Input 2 9" xfId="4191"/>
    <cellStyle name="Input 3 4" xfId="4192"/>
    <cellStyle name="Linked Cell 2 10" xfId="4193"/>
    <cellStyle name="Linked Cell 2 2" xfId="4194"/>
    <cellStyle name="Linked Cell 2 3" xfId="4195"/>
    <cellStyle name="Linked Cell 2 4" xfId="4196"/>
    <cellStyle name="Linked Cell 2 5" xfId="4197"/>
    <cellStyle name="Linked Cell 2 6" xfId="4198"/>
    <cellStyle name="Linked Cell 2 7" xfId="4199"/>
    <cellStyle name="Linked Cell 2 8" xfId="4200"/>
    <cellStyle name="Linked Cell 2 9" xfId="4201"/>
    <cellStyle name="Linked Cell 3 3" xfId="4202"/>
    <cellStyle name="Migliaia_Oil&amp;Gas IFE ARC POLITO" xfId="4203"/>
    <cellStyle name="Neutral 2 10" xfId="4204"/>
    <cellStyle name="Neutral 2 2" xfId="4205"/>
    <cellStyle name="Neutral 2 3" xfId="4206"/>
    <cellStyle name="Neutral 2 4" xfId="4207"/>
    <cellStyle name="Neutral 2 5" xfId="4208"/>
    <cellStyle name="Neutral 2 6" xfId="4209"/>
    <cellStyle name="Neutral 2 7" xfId="4210"/>
    <cellStyle name="Neutral 2 8" xfId="4211"/>
    <cellStyle name="Neutral 2 9" xfId="4212"/>
    <cellStyle name="Neutral 3 6" xfId="4213"/>
    <cellStyle name="Normal 10 2 4" xfId="4214"/>
    <cellStyle name="Normal 10 4" xfId="4215"/>
    <cellStyle name="Normal 10 5" xfId="4216"/>
    <cellStyle name="Normal 10 6" xfId="4217"/>
    <cellStyle name="Normal 10 7" xfId="4218"/>
    <cellStyle name="Normal 10 8" xfId="4219"/>
    <cellStyle name="Normal 10 9" xfId="4220"/>
    <cellStyle name="Normal 11 5 2" xfId="4221"/>
    <cellStyle name="Normal 11 6" xfId="4222"/>
    <cellStyle name="Normal 11 7" xfId="4223"/>
    <cellStyle name="Normal 11 8" xfId="4224"/>
    <cellStyle name="Normal 12 2" xfId="4225"/>
    <cellStyle name="Normal 12 3" xfId="4226"/>
    <cellStyle name="Normal 12 4" xfId="4227"/>
    <cellStyle name="Normal 12 5" xfId="4228"/>
    <cellStyle name="Normal 12 6" xfId="4229"/>
    <cellStyle name="Normal 12 7" xfId="4230"/>
    <cellStyle name="Normal 12 8" xfId="4231"/>
    <cellStyle name="Normal 13 10 3" xfId="4232"/>
    <cellStyle name="Normal 13 11" xfId="4233"/>
    <cellStyle name="Normal 13 12" xfId="4234"/>
    <cellStyle name="Normal 13 13" xfId="4235"/>
    <cellStyle name="Normal 13 14" xfId="4236"/>
    <cellStyle name="Normal 13 15" xfId="4237"/>
    <cellStyle name="Normal 13 16" xfId="4238"/>
    <cellStyle name="Normal 13 17" xfId="4239"/>
    <cellStyle name="Normal 13 18" xfId="4240"/>
    <cellStyle name="Normal 13 19" xfId="4241"/>
    <cellStyle name="Normal 13 2 9" xfId="4242"/>
    <cellStyle name="Normal 13 2 2" xfId="4243"/>
    <cellStyle name="Normal 13 2 3" xfId="4244"/>
    <cellStyle name="Normal 13 2 4" xfId="4245"/>
    <cellStyle name="Normal 13 2 5" xfId="4246"/>
    <cellStyle name="Normal 13 2 6" xfId="4247"/>
    <cellStyle name="Normal 13 2 7" xfId="4248"/>
    <cellStyle name="Normal 13 2 8" xfId="4249"/>
    <cellStyle name="Normal 13 20" xfId="4250"/>
    <cellStyle name="Normal 13 21" xfId="4251"/>
    <cellStyle name="Normal 13 22" xfId="4252"/>
    <cellStyle name="Normal 13 23" xfId="4253"/>
    <cellStyle name="Normal 13 24" xfId="4254"/>
    <cellStyle name="Normal 13 25" xfId="4255"/>
    <cellStyle name="Normal 13 26" xfId="4256"/>
    <cellStyle name="Normal 13 27" xfId="4257"/>
    <cellStyle name="Normal 13 28" xfId="4258"/>
    <cellStyle name="Normal 13 29" xfId="4259"/>
    <cellStyle name="Normal 13 3 2" xfId="4260"/>
    <cellStyle name="Normal 13 30" xfId="4261"/>
    <cellStyle name="Normal 13 31" xfId="4262"/>
    <cellStyle name="Normal 13 32" xfId="4263"/>
    <cellStyle name="Normal 13 33" xfId="4264"/>
    <cellStyle name="Normal 13 34" xfId="4265"/>
    <cellStyle name="Normal 13 35" xfId="4266"/>
    <cellStyle name="Normal 13 36" xfId="4267"/>
    <cellStyle name="Normal 13 37" xfId="4268"/>
    <cellStyle name="Normal 13 38" xfId="4269"/>
    <cellStyle name="Normal 13 4 2" xfId="4270"/>
    <cellStyle name="Normal 13 5" xfId="4271"/>
    <cellStyle name="Normal 13 6" xfId="4272"/>
    <cellStyle name="Normal 13 7" xfId="4273"/>
    <cellStyle name="Normal 13 8" xfId="4274"/>
    <cellStyle name="Normal 13 9" xfId="4275"/>
    <cellStyle name="Normal 14 16" xfId="4276"/>
    <cellStyle name="Normal 14 10" xfId="4277"/>
    <cellStyle name="Normal 14 11" xfId="4278"/>
    <cellStyle name="Normal 14 12" xfId="4279"/>
    <cellStyle name="Normal 14 13" xfId="4280"/>
    <cellStyle name="Normal 14 14" xfId="4281"/>
    <cellStyle name="Normal 14 15" xfId="4282"/>
    <cellStyle name="Normal 14 2 8" xfId="4283"/>
    <cellStyle name="Normal 14 2 2" xfId="4284"/>
    <cellStyle name="Normal 14 2 3" xfId="4285"/>
    <cellStyle name="Normal 14 2 4" xfId="4286"/>
    <cellStyle name="Normal 14 2 5" xfId="4287"/>
    <cellStyle name="Normal 14 2 6" xfId="4288"/>
    <cellStyle name="Normal 14 2 7" xfId="4289"/>
    <cellStyle name="Normal 14 4" xfId="4290"/>
    <cellStyle name="Normal 14 5" xfId="4291"/>
    <cellStyle name="Normal 14 6" xfId="4292"/>
    <cellStyle name="Normal 14 7" xfId="4293"/>
    <cellStyle name="Normal 14 8" xfId="4294"/>
    <cellStyle name="Normal 14 9" xfId="4295"/>
    <cellStyle name="Normal 15 7" xfId="4296"/>
    <cellStyle name="Normal 15 2 2" xfId="4297"/>
    <cellStyle name="Normal 15 3" xfId="4298"/>
    <cellStyle name="Normal 15 4" xfId="4299"/>
    <cellStyle name="Normal 15 5" xfId="4300"/>
    <cellStyle name="Normal 15 6" xfId="4301"/>
    <cellStyle name="Normal 16 7" xfId="4302"/>
    <cellStyle name="Normal 16 2 2" xfId="4303"/>
    <cellStyle name="Normal 16 3" xfId="4304"/>
    <cellStyle name="Normal 16 4" xfId="4305"/>
    <cellStyle name="Normal 16 5" xfId="4306"/>
    <cellStyle name="Normal 16 6" xfId="4307"/>
    <cellStyle name="Normal 17 14" xfId="4308"/>
    <cellStyle name="Normal 17 10" xfId="4309"/>
    <cellStyle name="Normal 17 11" xfId="4310"/>
    <cellStyle name="Normal 17 12" xfId="4311"/>
    <cellStyle name="Normal 17 13" xfId="4312"/>
    <cellStyle name="Normal 17 2 2" xfId="4313"/>
    <cellStyle name="Normal 17 3" xfId="4314"/>
    <cellStyle name="Normal 17 4" xfId="4315"/>
    <cellStyle name="Normal 17 5" xfId="4316"/>
    <cellStyle name="Normal 17 6" xfId="4317"/>
    <cellStyle name="Normal 17 7" xfId="4318"/>
    <cellStyle name="Normal 17 8" xfId="4319"/>
    <cellStyle name="Normal 17 9" xfId="4320"/>
    <cellStyle name="Normal 18 3" xfId="4321"/>
    <cellStyle name="Normal 2 18 2" xfId="4322"/>
    <cellStyle name="Normal 2 2 15" xfId="4323"/>
    <cellStyle name="Normal 2 2 10" xfId="4324"/>
    <cellStyle name="Normal 2 2 11" xfId="4325"/>
    <cellStyle name="Normal 2 2 12" xfId="4326"/>
    <cellStyle name="Normal 2 2 13" xfId="4327"/>
    <cellStyle name="Normal 2 2 14" xfId="4328"/>
    <cellStyle name="Normal 2 2 2 6" xfId="4329"/>
    <cellStyle name="Normal 2 2 3 2" xfId="4330"/>
    <cellStyle name="Normal 2 2 4 3" xfId="4331"/>
    <cellStyle name="Normal 2 2 5 3" xfId="4332"/>
    <cellStyle name="Normal 2 2 6 2" xfId="4333"/>
    <cellStyle name="Normal 2 2 7 2" xfId="4334"/>
    <cellStyle name="Normal 2 2 8 2" xfId="4335"/>
    <cellStyle name="Normal 2 2 9" xfId="4336"/>
    <cellStyle name="Normal 2 3 10" xfId="4337"/>
    <cellStyle name="Normal 2 3 11" xfId="4338"/>
    <cellStyle name="Normal 2 3 12" xfId="4339"/>
    <cellStyle name="Normal 2 3 13" xfId="4340"/>
    <cellStyle name="Normal 2 3 14" xfId="4341"/>
    <cellStyle name="Normal 2 3 2 5" xfId="4342"/>
    <cellStyle name="Normal 2 3 2 2 3" xfId="4343"/>
    <cellStyle name="Normal 2 3 3 2" xfId="4344"/>
    <cellStyle name="Normal 2 3 4 4" xfId="4345"/>
    <cellStyle name="Normal 2 3 4 2 2" xfId="4346"/>
    <cellStyle name="Normal 2 3 5 3" xfId="4347"/>
    <cellStyle name="Normal 2 3 6 3" xfId="4348"/>
    <cellStyle name="Normal 2 3 7" xfId="4349"/>
    <cellStyle name="Normal 2 3 8" xfId="4350"/>
    <cellStyle name="Normal 2 3 9" xfId="4351"/>
    <cellStyle name="Normal 2 4 10" xfId="4352"/>
    <cellStyle name="Normal 2 4 11" xfId="4353"/>
    <cellStyle name="Normal 2 4 12" xfId="4354"/>
    <cellStyle name="Normal 2 4 13" xfId="4355"/>
    <cellStyle name="Normal 2 4 2 2" xfId="4356"/>
    <cellStyle name="Normal 2 4 3 2" xfId="4357"/>
    <cellStyle name="Normal 2 4 4 2" xfId="4358"/>
    <cellStyle name="Normal 2 4 5 2" xfId="4359"/>
    <cellStyle name="Normal 2 4 6" xfId="4360"/>
    <cellStyle name="Normal 2 4 7" xfId="4361"/>
    <cellStyle name="Normal 2 4 8" xfId="4362"/>
    <cellStyle name="Normal 2 4 9" xfId="4363"/>
    <cellStyle name="Normal 2 5 2 4" xfId="4364"/>
    <cellStyle name="Normal 2 6 2 4" xfId="4365"/>
    <cellStyle name="Normal 2 7 2" xfId="4366"/>
    <cellStyle name="Normal 20 3" xfId="4367"/>
    <cellStyle name="Normal 21 3" xfId="4368"/>
    <cellStyle name="Normal 3 2 11" xfId="4369"/>
    <cellStyle name="Normal 3 2 10" xfId="4370"/>
    <cellStyle name="Normal 3 2 3 2" xfId="4371"/>
    <cellStyle name="Normal 3 2 4 2" xfId="4372"/>
    <cellStyle name="Normal 3 2 5" xfId="4373"/>
    <cellStyle name="Normal 3 2 6" xfId="4374"/>
    <cellStyle name="Normal 3 2 7" xfId="4375"/>
    <cellStyle name="Normal 3 2 8" xfId="4376"/>
    <cellStyle name="Normal 3 2 9" xfId="4377"/>
    <cellStyle name="Normal 3 2 9 2" xfId="4378"/>
    <cellStyle name="Normal 3 3 2 2" xfId="4379"/>
    <cellStyle name="Normal 3 3 3 2" xfId="4380"/>
    <cellStyle name="Normal 3 3 4 2" xfId="4381"/>
    <cellStyle name="Normal 3 3 5 2" xfId="4382"/>
    <cellStyle name="Normal 3 3 6" xfId="4383"/>
    <cellStyle name="Normal 3 3 7" xfId="4384"/>
    <cellStyle name="Normal 3 3 8" xfId="4385"/>
    <cellStyle name="Normal 3 3 9" xfId="4386"/>
    <cellStyle name="Normal 3 4 4 3" xfId="4387"/>
    <cellStyle name="Normal 3 4 5" xfId="4388"/>
    <cellStyle name="Normal 3 4 6" xfId="4389"/>
    <cellStyle name="Normal 3 4 7" xfId="4390"/>
    <cellStyle name="Normal 3 4 8" xfId="4391"/>
    <cellStyle name="Normal 3 5 3 2" xfId="4392"/>
    <cellStyle name="Normal 3 5 4 2" xfId="4393"/>
    <cellStyle name="Normal 3 5 5" xfId="4394"/>
    <cellStyle name="Normal 3 5 6" xfId="4395"/>
    <cellStyle name="Normal 3 5 7" xfId="4396"/>
    <cellStyle name="Normal 3 5 8" xfId="4397"/>
    <cellStyle name="Normal 4 10 2" xfId="4398"/>
    <cellStyle name="Normal 4 11 2" xfId="4399"/>
    <cellStyle name="Normal 4 12" xfId="4400"/>
    <cellStyle name="Normal 4 2 10" xfId="4401"/>
    <cellStyle name="Normal 4 2 2 10" xfId="4402"/>
    <cellStyle name="Normal 4 2 2 11" xfId="4403"/>
    <cellStyle name="Normal 4 2 2 12" xfId="4404"/>
    <cellStyle name="Normal 4 2 2 13" xfId="4405"/>
    <cellStyle name="Normal 4 2 2 2 14" xfId="4406"/>
    <cellStyle name="Normal 4 2 2 2 10" xfId="4407"/>
    <cellStyle name="Normal 4 2 2 2 11" xfId="4408"/>
    <cellStyle name="Normal 4 2 2 2 12" xfId="4409"/>
    <cellStyle name="Normal 4 2 2 2 13" xfId="4410"/>
    <cellStyle name="Normal 4 2 2 2 2" xfId="4411"/>
    <cellStyle name="Normal 4 2 2 2 3" xfId="4412"/>
    <cellStyle name="Normal 4 2 2 2 4" xfId="4413"/>
    <cellStyle name="Normal 4 2 2 2 5" xfId="4414"/>
    <cellStyle name="Normal 4 2 2 2 6" xfId="4415"/>
    <cellStyle name="Normal 4 2 2 2 7" xfId="4416"/>
    <cellStyle name="Normal 4 2 2 2 8" xfId="4417"/>
    <cellStyle name="Normal 4 2 2 2 9" xfId="4418"/>
    <cellStyle name="Normal 4 2 2 3" xfId="4419"/>
    <cellStyle name="Normal 4 2 2 4" xfId="4420"/>
    <cellStyle name="Normal 4 2 2 5" xfId="4421"/>
    <cellStyle name="Normal 4 2 2 6" xfId="4422"/>
    <cellStyle name="Normal 4 2 2 7" xfId="4423"/>
    <cellStyle name="Normal 4 2 2 8" xfId="4424"/>
    <cellStyle name="Normal 4 2 2 9" xfId="4425"/>
    <cellStyle name="Normal 4 2 3 3" xfId="4426"/>
    <cellStyle name="Normal 4 2 5 2" xfId="4427"/>
    <cellStyle name="Normal 4 2 6" xfId="4428"/>
    <cellStyle name="Normal 4 2 7" xfId="4429"/>
    <cellStyle name="Normal 4 2 8" xfId="4430"/>
    <cellStyle name="Normal 4 2 9" xfId="4431"/>
    <cellStyle name="Normal 4 3 3 3" xfId="4432"/>
    <cellStyle name="Normal 4 3 4 3" xfId="4433"/>
    <cellStyle name="Normal 4 3 5 2" xfId="4434"/>
    <cellStyle name="Normal 4 3 7" xfId="4435"/>
    <cellStyle name="Normal 4 3 8" xfId="4436"/>
    <cellStyle name="Normal 4 4 3 2" xfId="4437"/>
    <cellStyle name="Normal 4 4 5" xfId="4438"/>
    <cellStyle name="Normal 4 4 6" xfId="4439"/>
    <cellStyle name="Normal 4 4 7" xfId="4440"/>
    <cellStyle name="Normal 4 4 8" xfId="4441"/>
    <cellStyle name="Normal 4 5 3 2" xfId="4442"/>
    <cellStyle name="Normal 4 5 4" xfId="4443"/>
    <cellStyle name="Normal 4 5 5" xfId="4444"/>
    <cellStyle name="Normal 4 5 6" xfId="4445"/>
    <cellStyle name="Normal 4 5 7" xfId="4446"/>
    <cellStyle name="Normal 4 5 8" xfId="4447"/>
    <cellStyle name="Normal 4 7 3" xfId="4448"/>
    <cellStyle name="Normal 4 8 3" xfId="4449"/>
    <cellStyle name="Normal 4 9 2" xfId="4450"/>
    <cellStyle name="Normal 5 10 2" xfId="4451"/>
    <cellStyle name="Normal 5 11 2" xfId="4452"/>
    <cellStyle name="Normal 5 12 2" xfId="4453"/>
    <cellStyle name="Normal 5 2 2 14" xfId="4454"/>
    <cellStyle name="Normal 5 2 2 10" xfId="4455"/>
    <cellStyle name="Normal 5 2 2 11" xfId="4456"/>
    <cellStyle name="Normal 5 2 2 12" xfId="4457"/>
    <cellStyle name="Normal 5 2 2 13" xfId="4458"/>
    <cellStyle name="Normal 5 2 2 2 14" xfId="4459"/>
    <cellStyle name="Normal 5 2 2 2 10" xfId="4460"/>
    <cellStyle name="Normal 5 2 2 2 11" xfId="4461"/>
    <cellStyle name="Normal 5 2 2 2 12" xfId="4462"/>
    <cellStyle name="Normal 5 2 2 2 13" xfId="4463"/>
    <cellStyle name="Normal 5 2 2 2 2" xfId="4464"/>
    <cellStyle name="Normal 5 2 2 2 3" xfId="4465"/>
    <cellStyle name="Normal 5 2 2 2 4" xfId="4466"/>
    <cellStyle name="Normal 5 2 2 2 5" xfId="4467"/>
    <cellStyle name="Normal 5 2 2 2 6" xfId="4468"/>
    <cellStyle name="Normal 5 2 2 2 7" xfId="4469"/>
    <cellStyle name="Normal 5 2 2 2 8" xfId="4470"/>
    <cellStyle name="Normal 5 2 2 2 9" xfId="4471"/>
    <cellStyle name="Normal 5 2 2 3 2" xfId="4472"/>
    <cellStyle name="Normal 5 2 2 4" xfId="4473"/>
    <cellStyle name="Normal 5 2 2 5" xfId="4474"/>
    <cellStyle name="Normal 5 2 2 6" xfId="4475"/>
    <cellStyle name="Normal 5 2 2 7" xfId="4476"/>
    <cellStyle name="Normal 5 2 2 8" xfId="4477"/>
    <cellStyle name="Normal 5 2 2 9" xfId="4478"/>
    <cellStyle name="Normal 5 2 3 2" xfId="4479"/>
    <cellStyle name="Normal 5 2 4" xfId="4480"/>
    <cellStyle name="Normal 5 2 5" xfId="4481"/>
    <cellStyle name="Normal 5 2 6" xfId="4482"/>
    <cellStyle name="Normal 5 2 7" xfId="4483"/>
    <cellStyle name="Normal 5 2 8" xfId="4484"/>
    <cellStyle name="Normal 5 3 9" xfId="4485"/>
    <cellStyle name="Normal 5 3 2 2" xfId="4486"/>
    <cellStyle name="Normal 5 3 3 2" xfId="4487"/>
    <cellStyle name="Normal 5 3 4" xfId="4488"/>
    <cellStyle name="Normal 5 3 5" xfId="4489"/>
    <cellStyle name="Normal 5 3 6" xfId="4490"/>
    <cellStyle name="Normal 5 3 7" xfId="4491"/>
    <cellStyle name="Normal 5 3 8" xfId="4492"/>
    <cellStyle name="Normal 5 4 2" xfId="4493"/>
    <cellStyle name="Normal 5 4 3" xfId="4494"/>
    <cellStyle name="Normal 5 4 4" xfId="4495"/>
    <cellStyle name="Normal 5 4 5" xfId="4496"/>
    <cellStyle name="Normal 5 4 6" xfId="4497"/>
    <cellStyle name="Normal 5 4 7" xfId="4498"/>
    <cellStyle name="Normal 5 4 8" xfId="4499"/>
    <cellStyle name="Normal 5 5 2 3" xfId="4500"/>
    <cellStyle name="Normal 5 5 4 2" xfId="4501"/>
    <cellStyle name="Normal 5 5 5" xfId="4502"/>
    <cellStyle name="Normal 5 5 6" xfId="4503"/>
    <cellStyle name="Normal 5 5 7" xfId="4504"/>
    <cellStyle name="Normal 5 5 8" xfId="4505"/>
    <cellStyle name="Normal 6 10 2" xfId="4506"/>
    <cellStyle name="Normal 6 12 2" xfId="4507"/>
    <cellStyle name="Normal 6 2 2 10" xfId="4508"/>
    <cellStyle name="Normal 6 2 2 11" xfId="4509"/>
    <cellStyle name="Normal 6 2 2 12" xfId="4510"/>
    <cellStyle name="Normal 6 2 2 13" xfId="4511"/>
    <cellStyle name="Normal 6 2 2 2" xfId="4512"/>
    <cellStyle name="Normal 6 2 2 3" xfId="4513"/>
    <cellStyle name="Normal 6 2 2 4" xfId="4514"/>
    <cellStyle name="Normal 6 2 2 5" xfId="4515"/>
    <cellStyle name="Normal 6 2 2 6" xfId="4516"/>
    <cellStyle name="Normal 6 2 2 7" xfId="4517"/>
    <cellStyle name="Normal 6 2 2 8" xfId="4518"/>
    <cellStyle name="Normal 6 2 2 9" xfId="4519"/>
    <cellStyle name="Normal 6 4 2" xfId="4520"/>
    <cellStyle name="Normal 6 4 3" xfId="4521"/>
    <cellStyle name="Normal 6 4 4" xfId="4522"/>
    <cellStyle name="Normal 6 4 5" xfId="4523"/>
    <cellStyle name="Normal 6 4 6" xfId="4524"/>
    <cellStyle name="Normal 6 4 7" xfId="4525"/>
    <cellStyle name="Normal 6 4 8" xfId="4526"/>
    <cellStyle name="Normal 6 5 2" xfId="4527"/>
    <cellStyle name="Normal 6 5 3" xfId="4528"/>
    <cellStyle name="Normal 6 5 4" xfId="4529"/>
    <cellStyle name="Normal 6 5 5" xfId="4530"/>
    <cellStyle name="Normal 6 5 6" xfId="4531"/>
    <cellStyle name="Normal 6 5 7" xfId="4532"/>
    <cellStyle name="Normal 6 5 8" xfId="4533"/>
    <cellStyle name="Normal 7 10" xfId="4534"/>
    <cellStyle name="Normal 7 11" xfId="4535"/>
    <cellStyle name="Normal 7 12" xfId="4536"/>
    <cellStyle name="Normal 7 13" xfId="4537"/>
    <cellStyle name="Normal 7 2 3 2" xfId="4538"/>
    <cellStyle name="Normal 7 2 4" xfId="4539"/>
    <cellStyle name="Normal 7 2 5" xfId="4540"/>
    <cellStyle name="Normal 7 2 6" xfId="4541"/>
    <cellStyle name="Normal 7 2 7" xfId="4542"/>
    <cellStyle name="Normal 7 2 8" xfId="4543"/>
    <cellStyle name="Normal 7 2 9" xfId="4544"/>
    <cellStyle name="Normal 7 3 9" xfId="4545"/>
    <cellStyle name="Normal 7 3 2" xfId="4546"/>
    <cellStyle name="Normal 7 3 3" xfId="4547"/>
    <cellStyle name="Normal 7 3 4" xfId="4548"/>
    <cellStyle name="Normal 7 3 5" xfId="4549"/>
    <cellStyle name="Normal 7 3 6" xfId="4550"/>
    <cellStyle name="Normal 7 3 7" xfId="4551"/>
    <cellStyle name="Normal 7 3 8" xfId="4552"/>
    <cellStyle name="Normal 7 4 2" xfId="4553"/>
    <cellStyle name="Normal 7 4 3" xfId="4554"/>
    <cellStyle name="Normal 7 4 4" xfId="4555"/>
    <cellStyle name="Normal 7 4 5" xfId="4556"/>
    <cellStyle name="Normal 7 4 6" xfId="4557"/>
    <cellStyle name="Normal 7 4 7" xfId="4558"/>
    <cellStyle name="Normal 7 4 8" xfId="4559"/>
    <cellStyle name="Normal 7 5 11" xfId="4560"/>
    <cellStyle name="Normal 7 5 2" xfId="4561"/>
    <cellStyle name="Normal 7 5 3" xfId="4562"/>
    <cellStyle name="Normal 7 5 4" xfId="4563"/>
    <cellStyle name="Normal 7 5 5" xfId="4564"/>
    <cellStyle name="Normal 7 5 6" xfId="4565"/>
    <cellStyle name="Normal 7 5 7" xfId="4566"/>
    <cellStyle name="Normal 7 5 8" xfId="4567"/>
    <cellStyle name="Normal 7 6" xfId="4568"/>
    <cellStyle name="Normal 7 7" xfId="4569"/>
    <cellStyle name="Normal 7 8" xfId="4570"/>
    <cellStyle name="Normal 7 9" xfId="4571"/>
    <cellStyle name="Normal 8 10 2" xfId="4572"/>
    <cellStyle name="Normal 8 11 2" xfId="4573"/>
    <cellStyle name="Normal 8 12" xfId="4574"/>
    <cellStyle name="Normal 8 13" xfId="4575"/>
    <cellStyle name="Normal 8 2 2" xfId="4576"/>
    <cellStyle name="Normal 8 2 3" xfId="4577"/>
    <cellStyle name="Normal 8 2 4" xfId="4578"/>
    <cellStyle name="Normal 8 2 5" xfId="4579"/>
    <cellStyle name="Normal 8 2 6" xfId="4580"/>
    <cellStyle name="Normal 8 2 7" xfId="4581"/>
    <cellStyle name="Normal 8 2 8" xfId="4582"/>
    <cellStyle name="Normal 8 2 9" xfId="4583"/>
    <cellStyle name="Normal 8 3 2" xfId="4584"/>
    <cellStyle name="Normal 8 3 3" xfId="4585"/>
    <cellStyle name="Normal 8 3 4" xfId="4586"/>
    <cellStyle name="Normal 8 3 5" xfId="4587"/>
    <cellStyle name="Normal 8 3 6" xfId="4588"/>
    <cellStyle name="Normal 8 3 7" xfId="4589"/>
    <cellStyle name="Normal 8 3 8" xfId="4590"/>
    <cellStyle name="Normal 8 4 2" xfId="4591"/>
    <cellStyle name="Normal 8 4 3" xfId="4592"/>
    <cellStyle name="Normal 8 4 4" xfId="4593"/>
    <cellStyle name="Normal 8 4 5" xfId="4594"/>
    <cellStyle name="Normal 8 4 6" xfId="4595"/>
    <cellStyle name="Normal 8 4 7" xfId="4596"/>
    <cellStyle name="Normal 8 4 8" xfId="4597"/>
    <cellStyle name="Normal 8 5 2" xfId="4598"/>
    <cellStyle name="Normal 8 5 3" xfId="4599"/>
    <cellStyle name="Normal 8 5 4" xfId="4600"/>
    <cellStyle name="Normal 8 5 5" xfId="4601"/>
    <cellStyle name="Normal 8 5 6" xfId="4602"/>
    <cellStyle name="Normal 8 5 7" xfId="4603"/>
    <cellStyle name="Normal 8 5 8" xfId="4604"/>
    <cellStyle name="Note 2 10" xfId="4605"/>
    <cellStyle name="Note 2 11" xfId="4606"/>
    <cellStyle name="Note 2 12" xfId="4607"/>
    <cellStyle name="Note 2 13" xfId="4608"/>
    <cellStyle name="Note 2 14" xfId="4609"/>
    <cellStyle name="Note 2 15" xfId="4610"/>
    <cellStyle name="Note 2 5" xfId="4611"/>
    <cellStyle name="Note 2 6" xfId="4612"/>
    <cellStyle name="Note 2 7" xfId="4613"/>
    <cellStyle name="Note 2 8" xfId="4614"/>
    <cellStyle name="Note 2 9" xfId="4615"/>
    <cellStyle name="Output 2 10" xfId="4616"/>
    <cellStyle name="Output 2 2" xfId="4617"/>
    <cellStyle name="Output 2 3" xfId="4618"/>
    <cellStyle name="Output 2 4" xfId="4619"/>
    <cellStyle name="Output 2 5" xfId="4620"/>
    <cellStyle name="Output 2 6" xfId="4621"/>
    <cellStyle name="Output 2 7" xfId="4622"/>
    <cellStyle name="Output 2 8" xfId="4623"/>
    <cellStyle name="Output 2 9" xfId="4624"/>
    <cellStyle name="Output 3 3" xfId="4625"/>
    <cellStyle name="Percent 19" xfId="4626"/>
    <cellStyle name="Percent 10" xfId="4627"/>
    <cellStyle name="Percent 10 2 2" xfId="4628"/>
    <cellStyle name="Percent 10 3 2" xfId="4629"/>
    <cellStyle name="Percent 10 4 2" xfId="4630"/>
    <cellStyle name="Percent 10 5 2" xfId="4631"/>
    <cellStyle name="Percent 10 6 2" xfId="4632"/>
    <cellStyle name="Percent 10 7 4" xfId="4633"/>
    <cellStyle name="Percent 10 8 2" xfId="4634"/>
    <cellStyle name="Percent 11" xfId="4635"/>
    <cellStyle name="Percent 11 2 2" xfId="4636"/>
    <cellStyle name="Percent 11 3 2" xfId="4637"/>
    <cellStyle name="Percent 11 4 2" xfId="4638"/>
    <cellStyle name="Percent 11 5 2" xfId="4639"/>
    <cellStyle name="Percent 11 6 2" xfId="4640"/>
    <cellStyle name="Percent 11 7 4" xfId="4641"/>
    <cellStyle name="Percent 11 8 2" xfId="4642"/>
    <cellStyle name="Percent 12" xfId="4643"/>
    <cellStyle name="Percent 12 2 2" xfId="4644"/>
    <cellStyle name="Percent 12 3 2" xfId="4645"/>
    <cellStyle name="Percent 12 4 2" xfId="4646"/>
    <cellStyle name="Percent 12 5 2" xfId="4647"/>
    <cellStyle name="Percent 12 6 2" xfId="4648"/>
    <cellStyle name="Percent 12 7 4" xfId="4649"/>
    <cellStyle name="Percent 12 8 2" xfId="4650"/>
    <cellStyle name="Percent 13" xfId="4651"/>
    <cellStyle name="Percent 13 2 2" xfId="4652"/>
    <cellStyle name="Percent 13 3 2" xfId="4653"/>
    <cellStyle name="Percent 13 4 2" xfId="4654"/>
    <cellStyle name="Percent 13 5 2" xfId="4655"/>
    <cellStyle name="Percent 13 6 2" xfId="4656"/>
    <cellStyle name="Percent 13 7 4" xfId="4657"/>
    <cellStyle name="Percent 13 8 2" xfId="4658"/>
    <cellStyle name="Percent 14" xfId="4659"/>
    <cellStyle name="Percent 14 2 2" xfId="4660"/>
    <cellStyle name="Percent 14 3 2" xfId="4661"/>
    <cellStyle name="Percent 14 4 2" xfId="4662"/>
    <cellStyle name="Percent 14 5 2" xfId="4663"/>
    <cellStyle name="Percent 14 6 2" xfId="4664"/>
    <cellStyle name="Percent 14 7 4" xfId="4665"/>
    <cellStyle name="Percent 14 8 2" xfId="4666"/>
    <cellStyle name="Percent 15 15" xfId="4667"/>
    <cellStyle name="Percent 15 10" xfId="4668"/>
    <cellStyle name="Percent 15 11" xfId="4669"/>
    <cellStyle name="Percent 15 12" xfId="4670"/>
    <cellStyle name="Percent 15 13" xfId="4671"/>
    <cellStyle name="Percent 15 14" xfId="4672"/>
    <cellStyle name="Percent 15 2 8" xfId="4673"/>
    <cellStyle name="Percent 15 2 2" xfId="4674"/>
    <cellStyle name="Percent 15 2 3" xfId="4675"/>
    <cellStyle name="Percent 15 2 4" xfId="4676"/>
    <cellStyle name="Percent 15 2 5" xfId="4677"/>
    <cellStyle name="Percent 15 2 6" xfId="4678"/>
    <cellStyle name="Percent 15 2 7" xfId="4679"/>
    <cellStyle name="Percent 15 4 2" xfId="4680"/>
    <cellStyle name="Percent 15 8" xfId="4681"/>
    <cellStyle name="Percent 15 9" xfId="4682"/>
    <cellStyle name="Percent 16" xfId="4683"/>
    <cellStyle name="Percent 16 2 2" xfId="4684"/>
    <cellStyle name="Percent 16 3 18" xfId="4685"/>
    <cellStyle name="Percent 16 3 10" xfId="4686"/>
    <cellStyle name="Percent 16 3 11" xfId="4687"/>
    <cellStyle name="Percent 16 3 12" xfId="4688"/>
    <cellStyle name="Percent 16 3 13" xfId="4689"/>
    <cellStyle name="Percent 16 3 14" xfId="4690"/>
    <cellStyle name="Percent 16 3 15" xfId="4691"/>
    <cellStyle name="Percent 16 3 16" xfId="4692"/>
    <cellStyle name="Percent 16 3 17" xfId="4693"/>
    <cellStyle name="Percent 16 3 2" xfId="4694"/>
    <cellStyle name="Percent 16 3 3" xfId="4695"/>
    <cellStyle name="Percent 16 3 4" xfId="4696"/>
    <cellStyle name="Percent 16 3 5" xfId="4697"/>
    <cellStyle name="Percent 16 3 6" xfId="4698"/>
    <cellStyle name="Percent 16 3 7" xfId="4699"/>
    <cellStyle name="Percent 16 3 8" xfId="4700"/>
    <cellStyle name="Percent 16 3 9" xfId="4701"/>
    <cellStyle name="Percent 16 4 18" xfId="4702"/>
    <cellStyle name="Percent 16 4 10" xfId="4703"/>
    <cellStyle name="Percent 16 4 11" xfId="4704"/>
    <cellStyle name="Percent 16 4 12" xfId="4705"/>
    <cellStyle name="Percent 16 4 13" xfId="4706"/>
    <cellStyle name="Percent 16 4 14" xfId="4707"/>
    <cellStyle name="Percent 16 4 15" xfId="4708"/>
    <cellStyle name="Percent 16 4 16" xfId="4709"/>
    <cellStyle name="Percent 16 4 17" xfId="4710"/>
    <cellStyle name="Percent 16 4 2" xfId="4711"/>
    <cellStyle name="Percent 16 4 3" xfId="4712"/>
    <cellStyle name="Percent 16 4 4" xfId="4713"/>
    <cellStyle name="Percent 16 4 5" xfId="4714"/>
    <cellStyle name="Percent 16 4 6" xfId="4715"/>
    <cellStyle name="Percent 16 4 7" xfId="4716"/>
    <cellStyle name="Percent 16 4 8" xfId="4717"/>
    <cellStyle name="Percent 16 4 9" xfId="4718"/>
    <cellStyle name="Percent 16 5 18" xfId="4719"/>
    <cellStyle name="Percent 16 5 10" xfId="4720"/>
    <cellStyle name="Percent 16 5 11" xfId="4721"/>
    <cellStyle name="Percent 16 5 12" xfId="4722"/>
    <cellStyle name="Percent 16 5 13" xfId="4723"/>
    <cellStyle name="Percent 16 5 14" xfId="4724"/>
    <cellStyle name="Percent 16 5 15" xfId="4725"/>
    <cellStyle name="Percent 16 5 16" xfId="4726"/>
    <cellStyle name="Percent 16 5 17" xfId="4727"/>
    <cellStyle name="Percent 16 5 2" xfId="4728"/>
    <cellStyle name="Percent 16 5 3" xfId="4729"/>
    <cellStyle name="Percent 16 5 4" xfId="4730"/>
    <cellStyle name="Percent 16 5 5" xfId="4731"/>
    <cellStyle name="Percent 16 5 6" xfId="4732"/>
    <cellStyle name="Percent 16 5 7" xfId="4733"/>
    <cellStyle name="Percent 16 5 8" xfId="4734"/>
    <cellStyle name="Percent 16 5 9" xfId="4735"/>
    <cellStyle name="Percent 16 6 18" xfId="4736"/>
    <cellStyle name="Percent 16 6 10" xfId="4737"/>
    <cellStyle name="Percent 16 6 11" xfId="4738"/>
    <cellStyle name="Percent 16 6 12" xfId="4739"/>
    <cellStyle name="Percent 16 6 13" xfId="4740"/>
    <cellStyle name="Percent 16 6 14" xfId="4741"/>
    <cellStyle name="Percent 16 6 15" xfId="4742"/>
    <cellStyle name="Percent 16 6 16" xfId="4743"/>
    <cellStyle name="Percent 16 6 17" xfId="4744"/>
    <cellStyle name="Percent 16 6 2" xfId="4745"/>
    <cellStyle name="Percent 16 6 3" xfId="4746"/>
    <cellStyle name="Percent 16 6 4" xfId="4747"/>
    <cellStyle name="Percent 16 6 5" xfId="4748"/>
    <cellStyle name="Percent 16 6 6" xfId="4749"/>
    <cellStyle name="Percent 16 6 7" xfId="4750"/>
    <cellStyle name="Percent 16 6 8" xfId="4751"/>
    <cellStyle name="Percent 16 6 9" xfId="4752"/>
    <cellStyle name="Percent 16 7 18" xfId="4753"/>
    <cellStyle name="Percent 16 7 10" xfId="4754"/>
    <cellStyle name="Percent 16 7 11" xfId="4755"/>
    <cellStyle name="Percent 16 7 12" xfId="4756"/>
    <cellStyle name="Percent 16 7 13" xfId="4757"/>
    <cellStyle name="Percent 16 7 14" xfId="4758"/>
    <cellStyle name="Percent 16 7 15" xfId="4759"/>
    <cellStyle name="Percent 16 7 16" xfId="4760"/>
    <cellStyle name="Percent 16 7 17" xfId="4761"/>
    <cellStyle name="Percent 16 7 2 2" xfId="4762"/>
    <cellStyle name="Percent 16 7 3 2" xfId="4763"/>
    <cellStyle name="Percent 16 7 4" xfId="4764"/>
    <cellStyle name="Percent 16 7 5" xfId="4765"/>
    <cellStyle name="Percent 16 7 6" xfId="4766"/>
    <cellStyle name="Percent 16 7 7" xfId="4767"/>
    <cellStyle name="Percent 16 7 8" xfId="4768"/>
    <cellStyle name="Percent 16 7 9" xfId="4769"/>
    <cellStyle name="Percent 16 8" xfId="4770"/>
    <cellStyle name="Percent 16 8 10" xfId="4771"/>
    <cellStyle name="Percent 16 8 11" xfId="4772"/>
    <cellStyle name="Percent 16 8 12" xfId="4773"/>
    <cellStyle name="Percent 16 8 13" xfId="4774"/>
    <cellStyle name="Percent 16 8 14" xfId="4775"/>
    <cellStyle name="Percent 16 8 15" xfId="4776"/>
    <cellStyle name="Percent 16 8 16" xfId="4777"/>
    <cellStyle name="Percent 16 8 17" xfId="4778"/>
    <cellStyle name="Percent 16 8 2" xfId="4779"/>
    <cellStyle name="Percent 16 8 3" xfId="4780"/>
    <cellStyle name="Percent 16 8 4" xfId="4781"/>
    <cellStyle name="Percent 16 8 5" xfId="4782"/>
    <cellStyle name="Percent 16 8 6" xfId="4783"/>
    <cellStyle name="Percent 16 8 7" xfId="4784"/>
    <cellStyle name="Percent 16 8 8" xfId="4785"/>
    <cellStyle name="Percent 16 8 9" xfId="4786"/>
    <cellStyle name="Percent 16 9" xfId="4787"/>
    <cellStyle name="Percent 16 9 10" xfId="4788"/>
    <cellStyle name="Percent 16 9 11" xfId="4789"/>
    <cellStyle name="Percent 16 9 12" xfId="4790"/>
    <cellStyle name="Percent 16 9 13" xfId="4791"/>
    <cellStyle name="Percent 16 9 14" xfId="4792"/>
    <cellStyle name="Percent 16 9 15" xfId="4793"/>
    <cellStyle name="Percent 16 9 16" xfId="4794"/>
    <cellStyle name="Percent 16 9 17" xfId="4795"/>
    <cellStyle name="Percent 16 9 2" xfId="4796"/>
    <cellStyle name="Percent 16 9 3" xfId="4797"/>
    <cellStyle name="Percent 16 9 4" xfId="4798"/>
    <cellStyle name="Percent 16 9 5" xfId="4799"/>
    <cellStyle name="Percent 16 9 6" xfId="4800"/>
    <cellStyle name="Percent 16 9 7" xfId="4801"/>
    <cellStyle name="Percent 16 9 8" xfId="4802"/>
    <cellStyle name="Percent 16 9 9" xfId="4803"/>
    <cellStyle name="Percent 18" xfId="4804"/>
    <cellStyle name="Percent 2 10 3" xfId="4805"/>
    <cellStyle name="Percent 2 10 4" xfId="4806"/>
    <cellStyle name="Percent 2 10 5" xfId="4807"/>
    <cellStyle name="Percent 2 10 6" xfId="4808"/>
    <cellStyle name="Percent 2 10 7" xfId="4809"/>
    <cellStyle name="Percent 2 10 8" xfId="4810"/>
    <cellStyle name="Percent 2 11 3" xfId="4811"/>
    <cellStyle name="Percent 2 11 4" xfId="4812"/>
    <cellStyle name="Percent 2 11 5" xfId="4813"/>
    <cellStyle name="Percent 2 11 6" xfId="4814"/>
    <cellStyle name="Percent 2 11 7" xfId="4815"/>
    <cellStyle name="Percent 2 11 8" xfId="4816"/>
    <cellStyle name="Percent 2 2 6 2" xfId="4817"/>
    <cellStyle name="Percent 2 2 7 2" xfId="4818"/>
    <cellStyle name="Percent 2 2 8" xfId="4819"/>
    <cellStyle name="Percent 2 2 9" xfId="4820"/>
    <cellStyle name="Percent 2 7 3" xfId="4821"/>
    <cellStyle name="Percent 2 7 4" xfId="4822"/>
    <cellStyle name="Percent 2 7 5" xfId="4823"/>
    <cellStyle name="Percent 2 7 6" xfId="4824"/>
    <cellStyle name="Percent 2 7 7" xfId="4825"/>
    <cellStyle name="Percent 2 7 8" xfId="4826"/>
    <cellStyle name="Percent 2 8 3" xfId="4827"/>
    <cellStyle name="Percent 2 8 4" xfId="4828"/>
    <cellStyle name="Percent 2 8 5" xfId="4829"/>
    <cellStyle name="Percent 2 8 6" xfId="4830"/>
    <cellStyle name="Percent 2 8 7" xfId="4831"/>
    <cellStyle name="Percent 2 8 8" xfId="4832"/>
    <cellStyle name="Percent 2 9 3" xfId="4833"/>
    <cellStyle name="Percent 2 9 4" xfId="4834"/>
    <cellStyle name="Percent 2 9 5" xfId="4835"/>
    <cellStyle name="Percent 2 9 6" xfId="4836"/>
    <cellStyle name="Percent 2 9 7" xfId="4837"/>
    <cellStyle name="Percent 2 9 8" xfId="4838"/>
    <cellStyle name="Percent 3 2 2 2 2" xfId="4839"/>
    <cellStyle name="Percent 4 16 2" xfId="4840"/>
    <cellStyle name="Percent 4 2 4 3" xfId="4841"/>
    <cellStyle name="Percent 4 2 6 2" xfId="4842"/>
    <cellStyle name="Percent 4 2 7" xfId="4843"/>
    <cellStyle name="Percent 4 2 8" xfId="4844"/>
    <cellStyle name="Percent 4 2 9" xfId="4845"/>
    <cellStyle name="Percent 4 3 2" xfId="4846"/>
    <cellStyle name="Percent 4 3 3" xfId="4847"/>
    <cellStyle name="Percent 4 3 4" xfId="4848"/>
    <cellStyle name="Percent 4 3 5" xfId="4849"/>
    <cellStyle name="Percent 4 3 6" xfId="4850"/>
    <cellStyle name="Percent 4 3 7" xfId="4851"/>
    <cellStyle name="Percent 4 3 8" xfId="4852"/>
    <cellStyle name="Percent 4 4 3" xfId="4853"/>
    <cellStyle name="Percent 4 4 4" xfId="4854"/>
    <cellStyle name="Percent 4 4 5" xfId="4855"/>
    <cellStyle name="Percent 4 4 6" xfId="4856"/>
    <cellStyle name="Percent 4 4 7" xfId="4857"/>
    <cellStyle name="Percent 4 4 8" xfId="4858"/>
    <cellStyle name="Percent 4 5 3" xfId="4859"/>
    <cellStyle name="Percent 4 5 4" xfId="4860"/>
    <cellStyle name="Percent 4 5 5" xfId="4861"/>
    <cellStyle name="Percent 4 5 6" xfId="4862"/>
    <cellStyle name="Percent 4 5 7" xfId="4863"/>
    <cellStyle name="Percent 4 5 8" xfId="4864"/>
    <cellStyle name="Percent 4 6 2" xfId="4865"/>
    <cellStyle name="Percent 4 6 3" xfId="4866"/>
    <cellStyle name="Percent 4 6 4" xfId="4867"/>
    <cellStyle name="Percent 4 6 5" xfId="4868"/>
    <cellStyle name="Percent 4 6 6" xfId="4869"/>
    <cellStyle name="Percent 4 6 7" xfId="4870"/>
    <cellStyle name="Percent 4 6 8" xfId="4871"/>
    <cellStyle name="Percent 5 10" xfId="4872"/>
    <cellStyle name="Percent 5 11" xfId="4873"/>
    <cellStyle name="Percent 5 5 2" xfId="4874"/>
    <cellStyle name="Percent 5 6" xfId="4875"/>
    <cellStyle name="Percent 5 7" xfId="4876"/>
    <cellStyle name="Percent 5 8" xfId="4877"/>
    <cellStyle name="Percent 5 9" xfId="4878"/>
    <cellStyle name="Percent 5 9 2" xfId="4879"/>
    <cellStyle name="Percent 6 3 2" xfId="4880"/>
    <cellStyle name="Percent 6 4" xfId="4881"/>
    <cellStyle name="Percent 6 5" xfId="4882"/>
    <cellStyle name="Percent 6 6" xfId="4883"/>
    <cellStyle name="Percent 6 7" xfId="4884"/>
    <cellStyle name="Percent 6 8" xfId="4885"/>
    <cellStyle name="Percent 7 3" xfId="4886"/>
    <cellStyle name="Percent 7 4" xfId="4887"/>
    <cellStyle name="Percent 7 5" xfId="4888"/>
    <cellStyle name="Percent 7 6" xfId="4889"/>
    <cellStyle name="Percent 7 7" xfId="4890"/>
    <cellStyle name="Percent 7 8" xfId="4891"/>
    <cellStyle name="Percent 8 2" xfId="4892"/>
    <cellStyle name="Percent 8 3" xfId="4893"/>
    <cellStyle name="Percent 8 4" xfId="4894"/>
    <cellStyle name="Percent 8 5" xfId="4895"/>
    <cellStyle name="Percent 8 6" xfId="4896"/>
    <cellStyle name="Percent 8 7" xfId="4897"/>
    <cellStyle name="Percent 8 8" xfId="4898"/>
    <cellStyle name="Percent 9 21" xfId="4899"/>
    <cellStyle name="Percent 9 2 2" xfId="4900"/>
    <cellStyle name="Percent 9 3 2" xfId="4901"/>
    <cellStyle name="Percent 9 4 2" xfId="4902"/>
    <cellStyle name="Percent 9 5 2" xfId="4903"/>
    <cellStyle name="Percent 9 6 2" xfId="4904"/>
    <cellStyle name="Percent 9 7 4" xfId="4905"/>
    <cellStyle name="Percent 9 8 2" xfId="4906"/>
    <cellStyle name="Style 21 3 2" xfId="4907"/>
    <cellStyle name="Style 25 2 2" xfId="4908"/>
    <cellStyle name="Style 25 3 2" xfId="4909"/>
    <cellStyle name="Title 2 10" xfId="4910"/>
    <cellStyle name="Title 2 2" xfId="4911"/>
    <cellStyle name="Title 2 3" xfId="4912"/>
    <cellStyle name="Title 2 4" xfId="4913"/>
    <cellStyle name="Title 2 5" xfId="4914"/>
    <cellStyle name="Title 2 6" xfId="4915"/>
    <cellStyle name="Title 2 7" xfId="4916"/>
    <cellStyle name="Title 2 8" xfId="4917"/>
    <cellStyle name="Title 2 9" xfId="4918"/>
    <cellStyle name="Title 3 3" xfId="4919"/>
    <cellStyle name="Total 2 10" xfId="4920"/>
    <cellStyle name="Total 2 2" xfId="4921"/>
    <cellStyle name="Total 2 3" xfId="4922"/>
    <cellStyle name="Total 2 4" xfId="4923"/>
    <cellStyle name="Total 2 5" xfId="4924"/>
    <cellStyle name="Total 2 6" xfId="4925"/>
    <cellStyle name="Total 2 7" xfId="4926"/>
    <cellStyle name="Total 2 8" xfId="4927"/>
    <cellStyle name="Total 2 9" xfId="4928"/>
    <cellStyle name="Total 3 3" xfId="4929"/>
    <cellStyle name="Warning Text 2 10" xfId="4930"/>
    <cellStyle name="Warning Text 2 2" xfId="4931"/>
    <cellStyle name="Warning Text 2 3" xfId="4932"/>
    <cellStyle name="Warning Text 2 4" xfId="4933"/>
    <cellStyle name="Warning Text 2 5" xfId="4934"/>
    <cellStyle name="Warning Text 2 6" xfId="4935"/>
    <cellStyle name="Warning Text 2 7" xfId="4936"/>
    <cellStyle name="Warning Text 2 8" xfId="4937"/>
    <cellStyle name="Warning Text 2 9" xfId="4938"/>
    <cellStyle name="Normal 38" xfId="4939"/>
    <cellStyle name="20% - Accent1 10 2" xfId="4940"/>
    <cellStyle name="20% - Accent1 11 2" xfId="4941"/>
    <cellStyle name="20% - Accent1 2 16" xfId="4942"/>
    <cellStyle name="20% - Accent1 3 2 2" xfId="4943"/>
    <cellStyle name="20% - Accent1 9 2" xfId="4944"/>
    <cellStyle name="20% - Accent2 10 2" xfId="4945"/>
    <cellStyle name="20% - Accent2 11 2" xfId="4946"/>
    <cellStyle name="20% - Accent2 2 16" xfId="4947"/>
    <cellStyle name="20% - Accent2 3 2 2" xfId="4948"/>
    <cellStyle name="20% - Accent2 9 2" xfId="4949"/>
    <cellStyle name="20% - Accent3 10 2" xfId="4950"/>
    <cellStyle name="20% - Accent3 11 2" xfId="4951"/>
    <cellStyle name="20% - Accent3 2 16" xfId="4952"/>
    <cellStyle name="20% - Accent3 3 2 2" xfId="4953"/>
    <cellStyle name="20% - Accent3 9 2" xfId="4954"/>
    <cellStyle name="20% - Accent4 10 2" xfId="4955"/>
    <cellStyle name="20% - Accent4 11 2" xfId="4956"/>
    <cellStyle name="20% - Accent4 2 16" xfId="4957"/>
    <cellStyle name="20% - Accent4 3 2 2" xfId="4958"/>
    <cellStyle name="20% - Accent4 9 2" xfId="4959"/>
    <cellStyle name="20% - Accent5 10 2" xfId="4960"/>
    <cellStyle name="20% - Accent5 11 2" xfId="4961"/>
    <cellStyle name="20% - Accent5 9 2" xfId="4962"/>
    <cellStyle name="20% - Accent6 10 2" xfId="4963"/>
    <cellStyle name="20% - Accent6 11 2" xfId="4964"/>
    <cellStyle name="20% - Accent6 2 16" xfId="4965"/>
    <cellStyle name="20% - Accent6 3 2 2" xfId="4966"/>
    <cellStyle name="20% - Accent6 44 2" xfId="4967"/>
    <cellStyle name="20% - Accent6 9 2" xfId="4968"/>
    <cellStyle name="40% - Accent1 10 2" xfId="4969"/>
    <cellStyle name="40% - Accent1 11 2" xfId="4970"/>
    <cellStyle name="40% - Accent1 2 16" xfId="4971"/>
    <cellStyle name="40% - Accent1 3 2 2" xfId="4972"/>
    <cellStyle name="40% - Accent1 9 2" xfId="4973"/>
    <cellStyle name="40% - Accent2 10 2" xfId="4974"/>
    <cellStyle name="40% - Accent2 11 2" xfId="4975"/>
    <cellStyle name="40% - Accent2 9 2" xfId="4976"/>
    <cellStyle name="40% - Accent3 10 2" xfId="4977"/>
    <cellStyle name="40% - Accent3 11 2" xfId="4978"/>
    <cellStyle name="40% - Accent3 2 16" xfId="4979"/>
    <cellStyle name="40% - Accent3 3 2 2" xfId="4980"/>
    <cellStyle name="40% - Accent3 9 2" xfId="4981"/>
    <cellStyle name="40% - Accent4 10 2" xfId="4982"/>
    <cellStyle name="40% - Accent4 11 2" xfId="4983"/>
    <cellStyle name="40% - Accent4 2 16" xfId="4984"/>
    <cellStyle name="40% - Accent4 3 2 2" xfId="4985"/>
    <cellStyle name="40% - Accent4 9 2" xfId="4986"/>
    <cellStyle name="40% - Accent5 10 2" xfId="4987"/>
    <cellStyle name="40% - Accent5 11 2" xfId="4988"/>
    <cellStyle name="40% - Accent5 2 16" xfId="4989"/>
    <cellStyle name="40% - Accent5 3 2 2" xfId="4990"/>
    <cellStyle name="40% - Accent5 9 2" xfId="4991"/>
    <cellStyle name="40% - Accent6 10 2" xfId="4992"/>
    <cellStyle name="40% - Accent6 11 2" xfId="4993"/>
    <cellStyle name="40% - Accent6 2 16" xfId="4994"/>
    <cellStyle name="40% - Accent6 3 2 2" xfId="4995"/>
    <cellStyle name="40% - Accent6 9 2" xfId="4996"/>
    <cellStyle name="60% - Accent1 2 11" xfId="4997"/>
    <cellStyle name="60% - Accent1 3 2 2" xfId="4998"/>
    <cellStyle name="60% - Accent1 4 2" xfId="4999"/>
    <cellStyle name="60% - Accent1 5 2" xfId="5000"/>
    <cellStyle name="60% - Accent1 6 2" xfId="5001"/>
    <cellStyle name="60% - Accent2 2 11" xfId="5002"/>
    <cellStyle name="60% - Accent2 3 2 2" xfId="5003"/>
    <cellStyle name="60% - Accent2 4 2" xfId="5004"/>
    <cellStyle name="60% - Accent2 5 2" xfId="5005"/>
    <cellStyle name="60% - Accent2 6 2" xfId="5006"/>
    <cellStyle name="60% - Accent3 2 11" xfId="5007"/>
    <cellStyle name="60% - Accent3 3 2 2" xfId="5008"/>
    <cellStyle name="60% - Accent3 4 2" xfId="5009"/>
    <cellStyle name="60% - Accent3 5 2" xfId="5010"/>
    <cellStyle name="60% - Accent3 6 2" xfId="5011"/>
    <cellStyle name="60% - Accent4 2 11" xfId="5012"/>
    <cellStyle name="60% - Accent4 3 2 2" xfId="5013"/>
    <cellStyle name="60% - Accent4 4 2" xfId="5014"/>
    <cellStyle name="60% - Accent4 5 2" xfId="5015"/>
    <cellStyle name="60% - Accent4 6 2" xfId="5016"/>
    <cellStyle name="60% - Accent5 2 11" xfId="5017"/>
    <cellStyle name="60% - Accent5 3 2 2" xfId="5018"/>
    <cellStyle name="60% - Accent5 4 2" xfId="5019"/>
    <cellStyle name="60% - Accent5 5 2" xfId="5020"/>
    <cellStyle name="60% - Accent5 6 2" xfId="5021"/>
    <cellStyle name="60% - Accent6 2 11" xfId="5022"/>
    <cellStyle name="60% - Accent6 3 2 2" xfId="5023"/>
    <cellStyle name="60% - Accent6 4 2" xfId="5024"/>
    <cellStyle name="60% - Accent6 5 2" xfId="5025"/>
    <cellStyle name="60% - Accent6 6 2" xfId="5026"/>
    <cellStyle name="Accent1 2 11" xfId="5027"/>
    <cellStyle name="Accent1 3 2 2" xfId="5028"/>
    <cellStyle name="Accent1 4 2" xfId="5029"/>
    <cellStyle name="Accent1 5 2" xfId="5030"/>
    <cellStyle name="Accent1 6 2" xfId="5031"/>
    <cellStyle name="Accent2 2 11" xfId="5032"/>
    <cellStyle name="Accent2 3 2 2" xfId="5033"/>
    <cellStyle name="Accent2 4 2" xfId="5034"/>
    <cellStyle name="Accent2 5 2" xfId="5035"/>
    <cellStyle name="Accent2 6 2" xfId="5036"/>
    <cellStyle name="Accent3 2 11" xfId="5037"/>
    <cellStyle name="Accent3 3 2 2" xfId="5038"/>
    <cellStyle name="Accent3 4 2" xfId="5039"/>
    <cellStyle name="Accent3 5 2" xfId="5040"/>
    <cellStyle name="Accent3 6 2" xfId="5041"/>
    <cellStyle name="Accent4 2 11" xfId="5042"/>
    <cellStyle name="Accent4 3 2 2" xfId="5043"/>
    <cellStyle name="Accent4 4 2" xfId="5044"/>
    <cellStyle name="Accent4 5 2" xfId="5045"/>
    <cellStyle name="Accent4 6 2" xfId="5046"/>
    <cellStyle name="Accent5 4 2" xfId="5047"/>
    <cellStyle name="Accent5 5 2" xfId="5048"/>
    <cellStyle name="Accent5 6 2" xfId="5049"/>
    <cellStyle name="Accent6 2 11" xfId="5050"/>
    <cellStyle name="Accent6 3 2 2" xfId="5051"/>
    <cellStyle name="Accent6 4 2" xfId="5052"/>
    <cellStyle name="Accent6 5 2" xfId="5053"/>
    <cellStyle name="Accent6 6 2" xfId="5054"/>
    <cellStyle name="Bad 2 11" xfId="5055"/>
    <cellStyle name="Bad 3 2 2" xfId="5056"/>
    <cellStyle name="Bad 4 2" xfId="5057"/>
    <cellStyle name="Bad 5 2" xfId="5058"/>
    <cellStyle name="Bad 6 2" xfId="5059"/>
    <cellStyle name="Calculation 2 11" xfId="5060"/>
    <cellStyle name="Calculation 3 2 2" xfId="5061"/>
    <cellStyle name="Calculation 4 2" xfId="5062"/>
    <cellStyle name="Calculation 5 2" xfId="5063"/>
    <cellStyle name="Calculation 6 2" xfId="5064"/>
    <cellStyle name="Check Cell 4 2" xfId="5065"/>
    <cellStyle name="Check Cell 5 2" xfId="5066"/>
    <cellStyle name="Check Cell 6 2" xfId="5067"/>
    <cellStyle name="Comma 10 10" xfId="5068"/>
    <cellStyle name="Comma 10 10 2" xfId="5069"/>
    <cellStyle name="Comma 10 10 3" xfId="5070"/>
    <cellStyle name="Comma 10 11" xfId="5071"/>
    <cellStyle name="Comma 10 12" xfId="5072"/>
    <cellStyle name="Comma 10 9" xfId="5073"/>
    <cellStyle name="Comma 2 19 3" xfId="5074"/>
    <cellStyle name="Comma 2 19 3 2" xfId="5075"/>
    <cellStyle name="Comma 2 19 3 3" xfId="5076"/>
    <cellStyle name="Comma 2 19 4" xfId="5077"/>
    <cellStyle name="Comma 2 19 5" xfId="5078"/>
    <cellStyle name="Comma 2 3 2 6" xfId="5079"/>
    <cellStyle name="Comma 2 4 2 2" xfId="5080"/>
    <cellStyle name="Comma 2 4 3 2" xfId="5081"/>
    <cellStyle name="Comma 2 4 6 2" xfId="5082"/>
    <cellStyle name="Comma 2 8 4 2" xfId="5083"/>
    <cellStyle name="Comma 2 9 4" xfId="5084"/>
    <cellStyle name="Comma 2 9 2 2" xfId="5085"/>
    <cellStyle name="Comma 2 9 3" xfId="5086"/>
    <cellStyle name="Comma 2_PrimaryEnergyPrices_TIMES" xfId="5087"/>
    <cellStyle name="Comma 3 2 2 2" xfId="5088"/>
    <cellStyle name="Comma 3 3 4" xfId="5089"/>
    <cellStyle name="Comma 3 3 2 2" xfId="5090"/>
    <cellStyle name="Comma 3 3 3" xfId="5091"/>
    <cellStyle name="Comma 9 10" xfId="5092"/>
    <cellStyle name="Currency 2 3" xfId="5093"/>
    <cellStyle name="Euro 2 2 2 2" xfId="5094"/>
    <cellStyle name="Euro 2 3 2" xfId="5095"/>
    <cellStyle name="Euro 2 4 2" xfId="5096"/>
    <cellStyle name="Euro 2 4 2 2" xfId="5097"/>
    <cellStyle name="Euro 2 4 3" xfId="5098"/>
    <cellStyle name="Euro 2 4 3 2" xfId="5099"/>
    <cellStyle name="Euro 2 4 3 3" xfId="5100"/>
    <cellStyle name="Euro 2 4 4" xfId="5101"/>
    <cellStyle name="Euro 3 2 2 2" xfId="5102"/>
    <cellStyle name="Euro 3 3 5" xfId="5103"/>
    <cellStyle name="Euro 3 4 2" xfId="5104"/>
    <cellStyle name="Euro 3 5 3" xfId="5105"/>
    <cellStyle name="Euro 3 5 2" xfId="5106"/>
    <cellStyle name="Euro 4 2 2 2" xfId="5107"/>
    <cellStyle name="Euro 4 3 5" xfId="5108"/>
    <cellStyle name="Euro 4 4 2 2" xfId="5109"/>
    <cellStyle name="Euro 5 2 2" xfId="5110"/>
    <cellStyle name="Euro 5 3 2" xfId="5111"/>
    <cellStyle name="Euro 58 2" xfId="5112"/>
    <cellStyle name="Euro 58 2 2" xfId="5113"/>
    <cellStyle name="Euro 58 3" xfId="5114"/>
    <cellStyle name="Euro 58 3 2" xfId="5115"/>
    <cellStyle name="Euro 58 3 3" xfId="5116"/>
    <cellStyle name="Euro 58 4" xfId="5117"/>
    <cellStyle name="Euro 58 5" xfId="5118"/>
    <cellStyle name="Euro 6 2 2" xfId="5119"/>
    <cellStyle name="Euro 6 3 2" xfId="5120"/>
    <cellStyle name="Euro 7 3 2" xfId="5121"/>
    <cellStyle name="Euro 7 4" xfId="5122"/>
    <cellStyle name="Explanatory Text 4 2" xfId="5123"/>
    <cellStyle name="Explanatory Text 5 2" xfId="5124"/>
    <cellStyle name="Explanatory Text 6 2" xfId="5125"/>
    <cellStyle name="Good 2 11" xfId="5126"/>
    <cellStyle name="Good 2 12" xfId="5127"/>
    <cellStyle name="Good 2 2 2 2" xfId="5128"/>
    <cellStyle name="Good 3 2 2" xfId="5129"/>
    <cellStyle name="Good 4 2" xfId="5130"/>
    <cellStyle name="Good 5 2" xfId="5131"/>
    <cellStyle name="Good 6 2" xfId="5132"/>
    <cellStyle name="Heading 1 2 11" xfId="5133"/>
    <cellStyle name="Heading 1 3 2 2" xfId="5134"/>
    <cellStyle name="Heading 1 4 2" xfId="5135"/>
    <cellStyle name="Heading 1 5 2" xfId="5136"/>
    <cellStyle name="Heading 1 6 2" xfId="5137"/>
    <cellStyle name="Heading 2 2 11" xfId="5138"/>
    <cellStyle name="Heading 2 3 2 2" xfId="5139"/>
    <cellStyle name="Heading 2 4 2" xfId="5140"/>
    <cellStyle name="Heading 2 5 2" xfId="5141"/>
    <cellStyle name="Heading 2 6 2" xfId="5142"/>
    <cellStyle name="Heading 3 2 11" xfId="5143"/>
    <cellStyle name="Heading 3 3 2 2" xfId="5144"/>
    <cellStyle name="Heading 3 4 2" xfId="5145"/>
    <cellStyle name="Heading 3 5 2" xfId="5146"/>
    <cellStyle name="Heading 3 6 2" xfId="5147"/>
    <cellStyle name="Heading 4 2 11" xfId="5148"/>
    <cellStyle name="Heading 4 3 2 2" xfId="5149"/>
    <cellStyle name="Heading 4 4 2" xfId="5150"/>
    <cellStyle name="Heading 4 5 2" xfId="5151"/>
    <cellStyle name="Heading 4 6 2" xfId="5152"/>
    <cellStyle name="Hyperlink 3" xfId="5153"/>
    <cellStyle name="Input 2 11" xfId="5154"/>
    <cellStyle name="Input 2 12" xfId="5155"/>
    <cellStyle name="Input 2 3 2 2" xfId="5156"/>
    <cellStyle name="Input 3 3 2" xfId="5157"/>
    <cellStyle name="Input 6" xfId="5158"/>
    <cellStyle name="Linked Cell 2 11" xfId="5159"/>
    <cellStyle name="Linked Cell 3 2 2" xfId="5160"/>
    <cellStyle name="Linked Cell 4 2" xfId="5161"/>
    <cellStyle name="Linked Cell 5 2" xfId="5162"/>
    <cellStyle name="Linked Cell 6 2" xfId="5163"/>
    <cellStyle name="Neutral 2 11" xfId="5164"/>
    <cellStyle name="Neutral 3 2 2" xfId="5165"/>
    <cellStyle name="Neutral 3 3 2" xfId="5166"/>
    <cellStyle name="Neutral 4 3" xfId="5167"/>
    <cellStyle name="Neutral 5 2" xfId="5168"/>
    <cellStyle name="Neutral 6 2" xfId="5169"/>
    <cellStyle name="Normal 10 2 5" xfId="5170"/>
    <cellStyle name="Normal 10 2 2 2 2" xfId="5171"/>
    <cellStyle name="Normal 11 2 2 2" xfId="5172"/>
    <cellStyle name="Normal 11 5 3" xfId="5173"/>
    <cellStyle name="Normal 13 10 2" xfId="5174"/>
    <cellStyle name="Normal 13 11 2" xfId="5175"/>
    <cellStyle name="Normal 13 13 2" xfId="5176"/>
    <cellStyle name="Normal 13 14 2" xfId="5177"/>
    <cellStyle name="Normal 13 15 2" xfId="5178"/>
    <cellStyle name="Normal 13 16 2" xfId="5179"/>
    <cellStyle name="Normal 13 2 2 2" xfId="5180"/>
    <cellStyle name="Normal 13 2 3 2" xfId="5181"/>
    <cellStyle name="Normal 13 2 4 2" xfId="5182"/>
    <cellStyle name="Normal 13 2 5 2" xfId="5183"/>
    <cellStyle name="Normal 13 2 6 2" xfId="5184"/>
    <cellStyle name="Normal 13 2 7 2" xfId="5185"/>
    <cellStyle name="Normal 13 2 8 2" xfId="5186"/>
    <cellStyle name="Normal 13 3 2 2" xfId="5187"/>
    <cellStyle name="Normal 13 4 3" xfId="5188"/>
    <cellStyle name="Normal 13 9 2" xfId="5189"/>
    <cellStyle name="Normal 14 10 2" xfId="5190"/>
    <cellStyle name="Normal 14 11 2" xfId="5191"/>
    <cellStyle name="Normal 14 12 2" xfId="5192"/>
    <cellStyle name="Normal 14 13 2" xfId="5193"/>
    <cellStyle name="Normal 14 14 2" xfId="5194"/>
    <cellStyle name="Normal 14 15 2" xfId="5195"/>
    <cellStyle name="Normal 14 2 8 2" xfId="5196"/>
    <cellStyle name="Normal 14 4 2" xfId="5197"/>
    <cellStyle name="Normal 14 5 2" xfId="5198"/>
    <cellStyle name="Normal 16 7 2" xfId="5199"/>
    <cellStyle name="Normal 17 14 2" xfId="5200"/>
    <cellStyle name="Normal 18 3 2" xfId="5201"/>
    <cellStyle name="Normal 19 2" xfId="5202"/>
    <cellStyle name="Normal 2 18 2 2" xfId="5203"/>
    <cellStyle name="Normal 2 18 3" xfId="5204"/>
    <cellStyle name="Normal 2 19 2" xfId="5205"/>
    <cellStyle name="Normal 2 2 10 2" xfId="5206"/>
    <cellStyle name="Normal 2 2 11 2" xfId="5207"/>
    <cellStyle name="Normal 2 2 12 2" xfId="5208"/>
    <cellStyle name="Normal 2 2 13 2" xfId="5209"/>
    <cellStyle name="Normal 2 2 2 3 2" xfId="5210"/>
    <cellStyle name="Normal 2 2 3 2 2" xfId="5211"/>
    <cellStyle name="Normal 2 2 4 2 2" xfId="5212"/>
    <cellStyle name="Normal 2 2 5 2 2" xfId="5213"/>
    <cellStyle name="Normal 2 2 6 3" xfId="5214"/>
    <cellStyle name="Normal 2 2 6 2 2" xfId="5215"/>
    <cellStyle name="Normal 2 2 7 3" xfId="5216"/>
    <cellStyle name="Normal 2 2 8 3" xfId="5217"/>
    <cellStyle name="Normal 2 2 9 2" xfId="5218"/>
    <cellStyle name="Normal 2 3 10 2" xfId="5219"/>
    <cellStyle name="Normal 2 3 11 2" xfId="5220"/>
    <cellStyle name="Normal 2 3 12 2" xfId="5221"/>
    <cellStyle name="Normal 2 3 13 2" xfId="5222"/>
    <cellStyle name="Normal 2 3 2 6" xfId="5223"/>
    <cellStyle name="Normal 2 3 2 2 4" xfId="5224"/>
    <cellStyle name="Normal 2 3 3 2 2" xfId="5225"/>
    <cellStyle name="Normal 2 3 4 5" xfId="5226"/>
    <cellStyle name="Normal 2 3 5 4" xfId="5227"/>
    <cellStyle name="Normal 2 3 6 2 2" xfId="5228"/>
    <cellStyle name="Normal 2 3 7 2" xfId="5229"/>
    <cellStyle name="Normal 2 3 8 2" xfId="5230"/>
    <cellStyle name="Normal 2 3 9 2" xfId="5231"/>
    <cellStyle name="Normal 2 4 10 2" xfId="5232"/>
    <cellStyle name="Normal 2 4 11 2" xfId="5233"/>
    <cellStyle name="Normal 2 4 12 2" xfId="5234"/>
    <cellStyle name="Normal 2 4 13 2" xfId="5235"/>
    <cellStyle name="Normal 2 4 2 2 2" xfId="5236"/>
    <cellStyle name="Normal 2 4 3 2 2" xfId="5237"/>
    <cellStyle name="Normal 2 4 4 2 2" xfId="5238"/>
    <cellStyle name="Normal 2 4 5 3" xfId="5239"/>
    <cellStyle name="Normal 2 4 6 2" xfId="5240"/>
    <cellStyle name="Normal 2 4 7 2" xfId="5241"/>
    <cellStyle name="Normal 2 4 8 2" xfId="5242"/>
    <cellStyle name="Normal 2 4 9 2" xfId="5243"/>
    <cellStyle name="Normal 2 45 2" xfId="5244"/>
    <cellStyle name="Normal 2 5 2 5" xfId="5245"/>
    <cellStyle name="Normal 2 6 18" xfId="5246"/>
    <cellStyle name="Normal 2 6 2 5" xfId="5247"/>
    <cellStyle name="Normal 2 9 4" xfId="5248"/>
    <cellStyle name="Normal 2_ELC" xfId="5249"/>
    <cellStyle name="Normal 21 2 2" xfId="5250"/>
    <cellStyle name="Normal 22 2" xfId="5251"/>
    <cellStyle name="Normal 24 21" xfId="5252"/>
    <cellStyle name="Normal 24 22" xfId="5253"/>
    <cellStyle name="Normal 25 4" xfId="5254"/>
    <cellStyle name="Normal 25 2" xfId="5255"/>
    <cellStyle name="Normal 25 3" xfId="5256"/>
    <cellStyle name="Normal 3 2 2 2 2" xfId="5257"/>
    <cellStyle name="Normal 3 2 3 3" xfId="5258"/>
    <cellStyle name="Normal 3 2 9 2 2" xfId="5259"/>
    <cellStyle name="Normal 3 29 2" xfId="5260"/>
    <cellStyle name="Normal 3 30" xfId="5261"/>
    <cellStyle name="Normal 3 30 2" xfId="5262"/>
    <cellStyle name="Normal 3 31" xfId="5263"/>
    <cellStyle name="Normal 3 31 2" xfId="5264"/>
    <cellStyle name="Normal 3 32" xfId="5265"/>
    <cellStyle name="Normal 3 33" xfId="5266"/>
    <cellStyle name="Normal 3 34" xfId="5267"/>
    <cellStyle name="Normal 3 35" xfId="5268"/>
    <cellStyle name="Normal 3 36" xfId="5269"/>
    <cellStyle name="Normal 3 4 4 2 2" xfId="5270"/>
    <cellStyle name="Normal 3 7 4" xfId="5271"/>
    <cellStyle name="Normal 3 7 3" xfId="5272"/>
    <cellStyle name="Normal 3_PrimaryEnergyPrices_TIMES" xfId="5273"/>
    <cellStyle name="Normal 31 6" xfId="5274"/>
    <cellStyle name="Normal 31 3" xfId="5275"/>
    <cellStyle name="Normal 31 4" xfId="5276"/>
    <cellStyle name="Normal 31 5" xfId="5277"/>
    <cellStyle name="Normal 34 2" xfId="5278"/>
    <cellStyle name="Normal 35" xfId="5279"/>
    <cellStyle name="Normal 36" xfId="5280"/>
    <cellStyle name="Normal 37" xfId="5281"/>
    <cellStyle name="Normal 4 13" xfId="5282"/>
    <cellStyle name="Normal 4 13 2" xfId="5283"/>
    <cellStyle name="Normal 4 13 2 2" xfId="5284"/>
    <cellStyle name="Normal 4 13 2 3" xfId="5285"/>
    <cellStyle name="Normal 4 13 2 3 2" xfId="5286"/>
    <cellStyle name="Normal 4 13 2 3 3" xfId="5287"/>
    <cellStyle name="Normal 4 13 2 4" xfId="5288"/>
    <cellStyle name="Normal 4 13 2 5" xfId="5289"/>
    <cellStyle name="Normal 4 2 2 10 2" xfId="5290"/>
    <cellStyle name="Normal 4 2 2 11 2" xfId="5291"/>
    <cellStyle name="Normal 4 2 2 12 2" xfId="5292"/>
    <cellStyle name="Normal 4 2 2 13 2" xfId="5293"/>
    <cellStyle name="Normal 4 2 2 2 15" xfId="5294"/>
    <cellStyle name="Normal 4 2 2 3 2" xfId="5295"/>
    <cellStyle name="Normal 4 2 2 4 2" xfId="5296"/>
    <cellStyle name="Normal 4 2 2 5 2" xfId="5297"/>
    <cellStyle name="Normal 4 2 2 6 2" xfId="5298"/>
    <cellStyle name="Normal 4 2 2 7 2" xfId="5299"/>
    <cellStyle name="Normal 4 2 2 8 2" xfId="5300"/>
    <cellStyle name="Normal 4 2 2 9 2" xfId="5301"/>
    <cellStyle name="Normal 4 2 3 4" xfId="5302"/>
    <cellStyle name="Normal 4 2 3 2 2" xfId="5303"/>
    <cellStyle name="Normal 4 3 9" xfId="5304"/>
    <cellStyle name="Normal 4 3 3 4" xfId="5305"/>
    <cellStyle name="Normal 4 3 3 2 2" xfId="5306"/>
    <cellStyle name="Normal 4 3 4 2 2" xfId="5307"/>
    <cellStyle name="Normal 4 5 9" xfId="5308"/>
    <cellStyle name="Normal 4 6 5" xfId="5309"/>
    <cellStyle name="Normal 4 7 4" xfId="5310"/>
    <cellStyle name="Normal 4 7 2 2" xfId="5311"/>
    <cellStyle name="Normal 4 8 4" xfId="5312"/>
    <cellStyle name="Normal 4 8 2 2" xfId="5313"/>
    <cellStyle name="Normal 4 9 3" xfId="5314"/>
    <cellStyle name="Normal 4_ELC" xfId="5315"/>
    <cellStyle name="Normal 5 13 2" xfId="5316"/>
    <cellStyle name="Normal 5 14" xfId="5317"/>
    <cellStyle name="Normal 5 2 10" xfId="5318"/>
    <cellStyle name="Normal 5 2 2 10 2" xfId="5319"/>
    <cellStyle name="Normal 5 2 2 11 2" xfId="5320"/>
    <cellStyle name="Normal 5 2 2 12 2" xfId="5321"/>
    <cellStyle name="Normal 5 2 2 13 2" xfId="5322"/>
    <cellStyle name="Normal 5 2 2 2 15" xfId="5323"/>
    <cellStyle name="Normal 5 2 2 3 3" xfId="5324"/>
    <cellStyle name="Normal 5 2 2 4 2" xfId="5325"/>
    <cellStyle name="Normal 5 2 2 5 2" xfId="5326"/>
    <cellStyle name="Normal 5 2 2 6 2" xfId="5327"/>
    <cellStyle name="Normal 5 2 2 7 2" xfId="5328"/>
    <cellStyle name="Normal 5 2 2 8 2" xfId="5329"/>
    <cellStyle name="Normal 5 2 2 9 2" xfId="5330"/>
    <cellStyle name="Normal 5 2 3 3" xfId="5331"/>
    <cellStyle name="Normal 5 2 9" xfId="5332"/>
    <cellStyle name="Normal 5 3 10" xfId="5333"/>
    <cellStyle name="Normal 5 3 3 3" xfId="5334"/>
    <cellStyle name="Normal 5 5 9" xfId="5335"/>
    <cellStyle name="Normal 5 5 2 4" xfId="5336"/>
    <cellStyle name="Normal 5 5 2 2 2" xfId="5337"/>
    <cellStyle name="Normal 5_ELC" xfId="5338"/>
    <cellStyle name="Normal 6 2 2 10 2" xfId="5339"/>
    <cellStyle name="Normal 6 2 2 11 2" xfId="5340"/>
    <cellStyle name="Normal 6 2 2 12 2" xfId="5341"/>
    <cellStyle name="Normal 6 2 2 13 2" xfId="5342"/>
    <cellStyle name="Normal 6 2 2 2 2" xfId="5343"/>
    <cellStyle name="Normal 6 2 2 3 2" xfId="5344"/>
    <cellStyle name="Normal 6 2 2 4 2" xfId="5345"/>
    <cellStyle name="Normal 6 2 2 5 2" xfId="5346"/>
    <cellStyle name="Normal 6 2 2 6 2" xfId="5347"/>
    <cellStyle name="Normal 6 2 2 7 2" xfId="5348"/>
    <cellStyle name="Normal 6 2 2 8 2" xfId="5349"/>
    <cellStyle name="Normal 6 2 2 9 2" xfId="5350"/>
    <cellStyle name="Normal 7 3 10" xfId="5351"/>
    <cellStyle name="Normal 7 4 10" xfId="5352"/>
    <cellStyle name="Normal 7 4 9" xfId="5353"/>
    <cellStyle name="Normal 7 5 10" xfId="5354"/>
    <cellStyle name="Normal 7 5 9" xfId="5355"/>
    <cellStyle name="Normal 8 11 3" xfId="5356"/>
    <cellStyle name="Normal 9 11" xfId="5357"/>
    <cellStyle name="Normal 9 10 2" xfId="5358"/>
    <cellStyle name="Normal 9 2 4" xfId="5359"/>
    <cellStyle name="Note 2 16" xfId="5360"/>
    <cellStyle name="Note 2 2 2 2" xfId="5361"/>
    <cellStyle name="Note 3_PrimaryEnergyPrices_TIMES" xfId="5362"/>
    <cellStyle name="Note 42" xfId="5363"/>
    <cellStyle name="Nuovo 38 2" xfId="5364"/>
    <cellStyle name="Nuovo 38 2 2" xfId="5365"/>
    <cellStyle name="Nuovo 38 3" xfId="5366"/>
    <cellStyle name="Nuovo 38 3 2" xfId="5367"/>
    <cellStyle name="Nuovo 38 3 3" xfId="5368"/>
    <cellStyle name="Nuovo 38 4" xfId="5369"/>
    <cellStyle name="Output 2 11" xfId="5370"/>
    <cellStyle name="Output 3 2 2" xfId="5371"/>
    <cellStyle name="Output 4 2" xfId="5372"/>
    <cellStyle name="Output 5 2" xfId="5373"/>
    <cellStyle name="Output 6 2" xfId="5374"/>
    <cellStyle name="Percent 15 2 2 2" xfId="5375"/>
    <cellStyle name="Percent 15 2 3 2" xfId="5376"/>
    <cellStyle name="Percent 15 2 4 2" xfId="5377"/>
    <cellStyle name="Percent 15 2 5 2" xfId="5378"/>
    <cellStyle name="Percent 15 2 6 2" xfId="5379"/>
    <cellStyle name="Percent 15 2 7 2" xfId="5380"/>
    <cellStyle name="Percent 15 3 2" xfId="5381"/>
    <cellStyle name="Percent 15 3 3" xfId="5382"/>
    <cellStyle name="Percent 15 3 3 2" xfId="5383"/>
    <cellStyle name="Percent 15 5 2" xfId="5384"/>
    <cellStyle name="Percent 15 5 3" xfId="5385"/>
    <cellStyle name="Percent 15 5 3 2" xfId="5386"/>
    <cellStyle name="Percent 15 6 2" xfId="5387"/>
    <cellStyle name="Percent 15 6 3" xfId="5388"/>
    <cellStyle name="Percent 15 6 3 2" xfId="5389"/>
    <cellStyle name="Percent 15 7 4" xfId="5390"/>
    <cellStyle name="Percent 15 7 4 2" xfId="5391"/>
    <cellStyle name="Percent 15 8 2" xfId="5392"/>
    <cellStyle name="Percent 17 2 2" xfId="5393"/>
    <cellStyle name="Percent 17 9" xfId="5394"/>
    <cellStyle name="Percent 17 9 2" xfId="5395"/>
    <cellStyle name="Percent 17 9 3" xfId="5396"/>
    <cellStyle name="Percent 17 9 3 2" xfId="5397"/>
    <cellStyle name="Percent 17 9 3 3" xfId="5398"/>
    <cellStyle name="Percent 17 9 4" xfId="5399"/>
    <cellStyle name="Percent 17 9 5" xfId="5400"/>
    <cellStyle name="Percent 18 3" xfId="5401"/>
    <cellStyle name="Percent 18 2" xfId="5402"/>
    <cellStyle name="Percent 2 20 2" xfId="5403"/>
    <cellStyle name="Percent 2 20 2 2" xfId="5404"/>
    <cellStyle name="Percent 2 20 2 3" xfId="5405"/>
    <cellStyle name="Percent 2 20 2 3 2" xfId="5406"/>
    <cellStyle name="Percent 2 20 2 3 3" xfId="5407"/>
    <cellStyle name="Percent 2 20 2 4" xfId="5408"/>
    <cellStyle name="Percent 2 20 2 5" xfId="5409"/>
    <cellStyle name="Percent 2 33 2" xfId="5410"/>
    <cellStyle name="Percent 2 34 2" xfId="5411"/>
    <cellStyle name="Percent 2 35 2" xfId="5412"/>
    <cellStyle name="Percent 2 36 2" xfId="5413"/>
    <cellStyle name="Percent 2 37 2" xfId="5414"/>
    <cellStyle name="Percent 2 38 2" xfId="5415"/>
    <cellStyle name="Percent 2 39 2" xfId="5416"/>
    <cellStyle name="Percent 2 4 17" xfId="5417"/>
    <cellStyle name="Percent 2 4 10 2" xfId="5418"/>
    <cellStyle name="Percent 2 4 11 2" xfId="5419"/>
    <cellStyle name="Percent 2 4 12 2" xfId="5420"/>
    <cellStyle name="Percent 2 4 13 2" xfId="5421"/>
    <cellStyle name="Percent 2 4 14 2" xfId="5422"/>
    <cellStyle name="Percent 2 4 15 2" xfId="5423"/>
    <cellStyle name="Percent 2 4 16 2" xfId="5424"/>
    <cellStyle name="Percent 2 4 2 2" xfId="5425"/>
    <cellStyle name="Percent 2 4 3 2" xfId="5426"/>
    <cellStyle name="Percent 2 4 4 2" xfId="5427"/>
    <cellStyle name="Percent 2 4 5 2" xfId="5428"/>
    <cellStyle name="Percent 2 4 6 2" xfId="5429"/>
    <cellStyle name="Percent 2 4 7 2" xfId="5430"/>
    <cellStyle name="Percent 2 4 8 2" xfId="5431"/>
    <cellStyle name="Percent 2 4 9 2" xfId="5432"/>
    <cellStyle name="Percent 2 40 2" xfId="5433"/>
    <cellStyle name="Percent 2 41 2" xfId="5434"/>
    <cellStyle name="Percent 2 42 2" xfId="5435"/>
    <cellStyle name="Percent 2 43 2" xfId="5436"/>
    <cellStyle name="Percent 2 44 2" xfId="5437"/>
    <cellStyle name="Percent 2 45 2" xfId="5438"/>
    <cellStyle name="Percent 2 46 2" xfId="5439"/>
    <cellStyle name="Percent 2 47 2" xfId="5440"/>
    <cellStyle name="Percent 2 48 4" xfId="5441"/>
    <cellStyle name="Percent 2 48 2 2" xfId="5442"/>
    <cellStyle name="Percent 2 48 3" xfId="5443"/>
    <cellStyle name="Percent 2 49 3" xfId="5444"/>
    <cellStyle name="Percent 2 49 2" xfId="5445"/>
    <cellStyle name="Percent 2 5 16" xfId="5446"/>
    <cellStyle name="Percent 2 5 10 2" xfId="5447"/>
    <cellStyle name="Percent 2 5 11 2" xfId="5448"/>
    <cellStyle name="Percent 2 5 12 2" xfId="5449"/>
    <cellStyle name="Percent 2 5 13 2" xfId="5450"/>
    <cellStyle name="Percent 2 5 14 2" xfId="5451"/>
    <cellStyle name="Percent 2 5 15 2" xfId="5452"/>
    <cellStyle name="Percent 2 5 2 2" xfId="5453"/>
    <cellStyle name="Percent 2 5 3 2" xfId="5454"/>
    <cellStyle name="Percent 2 5 4 2" xfId="5455"/>
    <cellStyle name="Percent 2 5 5 2" xfId="5456"/>
    <cellStyle name="Percent 2 5 6 2" xfId="5457"/>
    <cellStyle name="Percent 2 5 7 2" xfId="5458"/>
    <cellStyle name="Percent 2 5 8 2" xfId="5459"/>
    <cellStyle name="Percent 2 5 9 2" xfId="5460"/>
    <cellStyle name="Percent 2 6 16" xfId="5461"/>
    <cellStyle name="Percent 2 6 10 2" xfId="5462"/>
    <cellStyle name="Percent 2 6 11 2" xfId="5463"/>
    <cellStyle name="Percent 2 6 12 2" xfId="5464"/>
    <cellStyle name="Percent 2 6 13 2" xfId="5465"/>
    <cellStyle name="Percent 2 6 14 2" xfId="5466"/>
    <cellStyle name="Percent 2 6 15 2" xfId="5467"/>
    <cellStyle name="Percent 2 6 2 2" xfId="5468"/>
    <cellStyle name="Percent 2 6 3 2" xfId="5469"/>
    <cellStyle name="Percent 2 6 4 2" xfId="5470"/>
    <cellStyle name="Percent 2 6 5 2" xfId="5471"/>
    <cellStyle name="Percent 2 6 6 2" xfId="5472"/>
    <cellStyle name="Percent 2 6 7 2" xfId="5473"/>
    <cellStyle name="Percent 2 6 8 2" xfId="5474"/>
    <cellStyle name="Percent 2 6 9 2" xfId="5475"/>
    <cellStyle name="Percent 2 7 9" xfId="5476"/>
    <cellStyle name="Percent 2 7 2 2" xfId="5477"/>
    <cellStyle name="Percent 2 7 3 2" xfId="5478"/>
    <cellStyle name="Percent 2 7 4 2" xfId="5479"/>
    <cellStyle name="Percent 2 7 5 2" xfId="5480"/>
    <cellStyle name="Percent 2 7 6 2" xfId="5481"/>
    <cellStyle name="Percent 2 7 7 2" xfId="5482"/>
    <cellStyle name="Percent 2 7 8 2" xfId="5483"/>
    <cellStyle name="Percent 2 8 10" xfId="5484"/>
    <cellStyle name="Percent 2 8 2 3" xfId="5485"/>
    <cellStyle name="Percent 2 8 2 2" xfId="5486"/>
    <cellStyle name="Percent 2 8 3 3" xfId="5487"/>
    <cellStyle name="Percent 2 8 3 2" xfId="5488"/>
    <cellStyle name="Percent 2 8 4 3" xfId="5489"/>
    <cellStyle name="Percent 2 8 4 2" xfId="5490"/>
    <cellStyle name="Percent 2 8 5 3" xfId="5491"/>
    <cellStyle name="Percent 2 8 5 2" xfId="5492"/>
    <cellStyle name="Percent 2 8 6 3" xfId="5493"/>
    <cellStyle name="Percent 2 8 6 2" xfId="5494"/>
    <cellStyle name="Percent 2 8 7 3" xfId="5495"/>
    <cellStyle name="Percent 2 8 7 2" xfId="5496"/>
    <cellStyle name="Percent 2 8 8 3" xfId="5497"/>
    <cellStyle name="Percent 2 8 8 2" xfId="5498"/>
    <cellStyle name="Percent 2 8 9" xfId="5499"/>
    <cellStyle name="Percent 2 9 10" xfId="5500"/>
    <cellStyle name="Percent 2 9 2 3" xfId="5501"/>
    <cellStyle name="Percent 2 9 2 2" xfId="5502"/>
    <cellStyle name="Percent 2 9 3 3" xfId="5503"/>
    <cellStyle name="Percent 2 9 3 2" xfId="5504"/>
    <cellStyle name="Percent 2 9 4 3" xfId="5505"/>
    <cellStyle name="Percent 2 9 4 2" xfId="5506"/>
    <cellStyle name="Percent 2 9 5 3" xfId="5507"/>
    <cellStyle name="Percent 2 9 5 2" xfId="5508"/>
    <cellStyle name="Percent 2 9 6 3" xfId="5509"/>
    <cellStyle name="Percent 2 9 6 2" xfId="5510"/>
    <cellStyle name="Percent 2 9 7 3" xfId="5511"/>
    <cellStyle name="Percent 2 9 7 2" xfId="5512"/>
    <cellStyle name="Percent 2 9 8 3" xfId="5513"/>
    <cellStyle name="Percent 2 9 8 2" xfId="5514"/>
    <cellStyle name="Percent 2 9 9" xfId="5515"/>
    <cellStyle name="Percent 20 10" xfId="5516"/>
    <cellStyle name="Percent 20 2 4" xfId="5517"/>
    <cellStyle name="Percent 20 2 2" xfId="5518"/>
    <cellStyle name="Percent 20 2 2 2" xfId="5519"/>
    <cellStyle name="Percent 20 2 3" xfId="5520"/>
    <cellStyle name="Percent 20 3 3" xfId="5521"/>
    <cellStyle name="Percent 20 3 2" xfId="5522"/>
    <cellStyle name="Percent 20 4 3" xfId="5523"/>
    <cellStyle name="Percent 20 4 2" xfId="5524"/>
    <cellStyle name="Percent 20 5 3" xfId="5525"/>
    <cellStyle name="Percent 20 5 2" xfId="5526"/>
    <cellStyle name="Percent 20 6 3" xfId="5527"/>
    <cellStyle name="Percent 20 6 2" xfId="5528"/>
    <cellStyle name="Percent 20 7 5" xfId="5529"/>
    <cellStyle name="Percent 20 7 2 3" xfId="5530"/>
    <cellStyle name="Percent 20 7 2 2" xfId="5531"/>
    <cellStyle name="Percent 20 7 3 3" xfId="5532"/>
    <cellStyle name="Percent 20 7 3 2" xfId="5533"/>
    <cellStyle name="Percent 20 7 4" xfId="5534"/>
    <cellStyle name="Percent 20 8" xfId="5535"/>
    <cellStyle name="Percent 20 8 2" xfId="5536"/>
    <cellStyle name="Percent 20 9" xfId="5537"/>
    <cellStyle name="Percent 21 9" xfId="5538"/>
    <cellStyle name="Percent 21 2 3" xfId="5539"/>
    <cellStyle name="Percent 21 2 2" xfId="5540"/>
    <cellStyle name="Percent 21 3 3" xfId="5541"/>
    <cellStyle name="Percent 21 3 2" xfId="5542"/>
    <cellStyle name="Percent 21 4 3" xfId="5543"/>
    <cellStyle name="Percent 21 4 2" xfId="5544"/>
    <cellStyle name="Percent 21 5 3" xfId="5545"/>
    <cellStyle name="Percent 21 5 2" xfId="5546"/>
    <cellStyle name="Percent 21 6 3" xfId="5547"/>
    <cellStyle name="Percent 21 6 2" xfId="5548"/>
    <cellStyle name="Percent 21 7 5" xfId="5549"/>
    <cellStyle name="Percent 21 7 2 3" xfId="5550"/>
    <cellStyle name="Percent 21 7 2 2" xfId="5551"/>
    <cellStyle name="Percent 21 7 3 3" xfId="5552"/>
    <cellStyle name="Percent 21 7 3 2" xfId="5553"/>
    <cellStyle name="Percent 21 7 4" xfId="5554"/>
    <cellStyle name="Percent 21 8" xfId="5555"/>
    <cellStyle name="Percent 22 9" xfId="5556"/>
    <cellStyle name="Percent 22 2 3" xfId="5557"/>
    <cellStyle name="Percent 22 2 2" xfId="5558"/>
    <cellStyle name="Percent 22 3 3" xfId="5559"/>
    <cellStyle name="Percent 22 3 2" xfId="5560"/>
    <cellStyle name="Percent 22 4 3" xfId="5561"/>
    <cellStyle name="Percent 22 4 2" xfId="5562"/>
    <cellStyle name="Percent 22 5 3" xfId="5563"/>
    <cellStyle name="Percent 22 5 2" xfId="5564"/>
    <cellStyle name="Percent 22 6 3" xfId="5565"/>
    <cellStyle name="Percent 22 6 2" xfId="5566"/>
    <cellStyle name="Percent 22 7 5" xfId="5567"/>
    <cellStyle name="Percent 22 7 2 3" xfId="5568"/>
    <cellStyle name="Percent 22 7 2 2" xfId="5569"/>
    <cellStyle name="Percent 22 7 3 3" xfId="5570"/>
    <cellStyle name="Percent 22 7 3 2" xfId="5571"/>
    <cellStyle name="Percent 22 7 4" xfId="5572"/>
    <cellStyle name="Percent 22 8" xfId="5573"/>
    <cellStyle name="Percent 23 9" xfId="5574"/>
    <cellStyle name="Percent 23 2 3" xfId="5575"/>
    <cellStyle name="Percent 23 2 2" xfId="5576"/>
    <cellStyle name="Percent 23 3 3" xfId="5577"/>
    <cellStyle name="Percent 23 3 2" xfId="5578"/>
    <cellStyle name="Percent 23 4 3" xfId="5579"/>
    <cellStyle name="Percent 23 4 2" xfId="5580"/>
    <cellStyle name="Percent 23 5 3" xfId="5581"/>
    <cellStyle name="Percent 23 5 2" xfId="5582"/>
    <cellStyle name="Percent 23 6 3" xfId="5583"/>
    <cellStyle name="Percent 23 6 2" xfId="5584"/>
    <cellStyle name="Percent 23 7 5" xfId="5585"/>
    <cellStyle name="Percent 23 7 2 3" xfId="5586"/>
    <cellStyle name="Percent 23 7 2 2" xfId="5587"/>
    <cellStyle name="Percent 23 7 3 3" xfId="5588"/>
    <cellStyle name="Percent 23 7 3 2" xfId="5589"/>
    <cellStyle name="Percent 23 7 4" xfId="5590"/>
    <cellStyle name="Percent 23 8" xfId="5591"/>
    <cellStyle name="Percent 24 2 3" xfId="5592"/>
    <cellStyle name="Percent 24 2 2" xfId="5593"/>
    <cellStyle name="Percent 24 3 3" xfId="5594"/>
    <cellStyle name="Percent 24 3 2" xfId="5595"/>
    <cellStyle name="Percent 24 4 3" xfId="5596"/>
    <cellStyle name="Percent 24 4 2" xfId="5597"/>
    <cellStyle name="Percent 24 5 3" xfId="5598"/>
    <cellStyle name="Percent 24 5 2" xfId="5599"/>
    <cellStyle name="Percent 24 6 3" xfId="5600"/>
    <cellStyle name="Percent 24 6 2" xfId="5601"/>
    <cellStyle name="Percent 24 7 5" xfId="5602"/>
    <cellStyle name="Percent 24 7 2 3" xfId="5603"/>
    <cellStyle name="Percent 24 7 2 2" xfId="5604"/>
    <cellStyle name="Percent 24 7 3 3" xfId="5605"/>
    <cellStyle name="Percent 24 7 3 2" xfId="5606"/>
    <cellStyle name="Percent 24 7 4" xfId="5607"/>
    <cellStyle name="Percent 25 9" xfId="5608"/>
    <cellStyle name="Percent 25 2 3" xfId="5609"/>
    <cellStyle name="Percent 25 2 2" xfId="5610"/>
    <cellStyle name="Percent 25 3 3" xfId="5611"/>
    <cellStyle name="Percent 25 3 2" xfId="5612"/>
    <cellStyle name="Percent 25 4 3" xfId="5613"/>
    <cellStyle name="Percent 25 4 2" xfId="5614"/>
    <cellStyle name="Percent 25 5 3" xfId="5615"/>
    <cellStyle name="Percent 25 5 2" xfId="5616"/>
    <cellStyle name="Percent 25 6 3" xfId="5617"/>
    <cellStyle name="Percent 25 6 2" xfId="5618"/>
    <cellStyle name="Percent 25 7 5" xfId="5619"/>
    <cellStyle name="Percent 25 7 2 3" xfId="5620"/>
    <cellStyle name="Percent 25 7 2 2" xfId="5621"/>
    <cellStyle name="Percent 25 7 3 3" xfId="5622"/>
    <cellStyle name="Percent 25 7 3 2" xfId="5623"/>
    <cellStyle name="Percent 25 7 4" xfId="5624"/>
    <cellStyle name="Percent 25 8" xfId="5625"/>
    <cellStyle name="Percent 26 9" xfId="5626"/>
    <cellStyle name="Percent 26 2 3" xfId="5627"/>
    <cellStyle name="Percent 26 2 2" xfId="5628"/>
    <cellStyle name="Percent 26 3 3" xfId="5629"/>
    <cellStyle name="Percent 26 3 2" xfId="5630"/>
    <cellStyle name="Percent 26 4 3" xfId="5631"/>
    <cellStyle name="Percent 26 4 2" xfId="5632"/>
    <cellStyle name="Percent 26 5 3" xfId="5633"/>
    <cellStyle name="Percent 26 5 2" xfId="5634"/>
    <cellStyle name="Percent 26 6 3" xfId="5635"/>
    <cellStyle name="Percent 26 6 2" xfId="5636"/>
    <cellStyle name="Percent 26 7 5" xfId="5637"/>
    <cellStyle name="Percent 26 7 2 3" xfId="5638"/>
    <cellStyle name="Percent 26 7 2 2" xfId="5639"/>
    <cellStyle name="Percent 26 7 3 3" xfId="5640"/>
    <cellStyle name="Percent 26 7 3 2" xfId="5641"/>
    <cellStyle name="Percent 26 7 4" xfId="5642"/>
    <cellStyle name="Percent 26 8" xfId="5643"/>
    <cellStyle name="Percent 27 3" xfId="5644"/>
    <cellStyle name="Percent 27 2" xfId="5645"/>
    <cellStyle name="Percent 3 31" xfId="5646"/>
    <cellStyle name="Percent 3 10 17" xfId="5647"/>
    <cellStyle name="Percent 3 10 10 3" xfId="5648"/>
    <cellStyle name="Percent 3 10 10 2" xfId="5649"/>
    <cellStyle name="Percent 3 10 11 3" xfId="5650"/>
    <cellStyle name="Percent 3 10 11 2" xfId="5651"/>
    <cellStyle name="Percent 3 10 12 3" xfId="5652"/>
    <cellStyle name="Percent 3 10 12 2" xfId="5653"/>
    <cellStyle name="Percent 3 10 13 3" xfId="5654"/>
    <cellStyle name="Percent 3 10 13 2" xfId="5655"/>
    <cellStyle name="Percent 3 10 14 3" xfId="5656"/>
    <cellStyle name="Percent 3 10 14 2" xfId="5657"/>
    <cellStyle name="Percent 3 10 15 3" xfId="5658"/>
    <cellStyle name="Percent 3 10 15 2" xfId="5659"/>
    <cellStyle name="Percent 3 10 16" xfId="5660"/>
    <cellStyle name="Percent 3 10 2 3" xfId="5661"/>
    <cellStyle name="Percent 3 10 2 2" xfId="5662"/>
    <cellStyle name="Percent 3 10 3 4" xfId="5663"/>
    <cellStyle name="Percent 3 10 3 2" xfId="5664"/>
    <cellStyle name="Percent 3 10 3 3" xfId="5665"/>
    <cellStyle name="Percent 3 10 4 4" xfId="5666"/>
    <cellStyle name="Percent 3 10 4 2" xfId="5667"/>
    <cellStyle name="Percent 3 10 4 3" xfId="5668"/>
    <cellStyle name="Percent 3 10 5 4" xfId="5669"/>
    <cellStyle name="Percent 3 10 5 2" xfId="5670"/>
    <cellStyle name="Percent 3 10 5 3" xfId="5671"/>
    <cellStyle name="Percent 3 10 6 4" xfId="5672"/>
    <cellStyle name="Percent 3 10 6 2" xfId="5673"/>
    <cellStyle name="Percent 3 10 6 3" xfId="5674"/>
    <cellStyle name="Percent 3 10 7 4" xfId="5675"/>
    <cellStyle name="Percent 3 10 7 2" xfId="5676"/>
    <cellStyle name="Percent 3 10 7 3" xfId="5677"/>
    <cellStyle name="Percent 3 10 8 4" xfId="5678"/>
    <cellStyle name="Percent 3 10 8 2" xfId="5679"/>
    <cellStyle name="Percent 3 10 8 3" xfId="5680"/>
    <cellStyle name="Percent 3 10 9 4" xfId="5681"/>
    <cellStyle name="Percent 3 10 9 2" xfId="5682"/>
    <cellStyle name="Percent 3 10 9 3" xfId="5683"/>
    <cellStyle name="Percent 3 11 4" xfId="5684"/>
    <cellStyle name="Percent 3 11 2" xfId="5685"/>
    <cellStyle name="Percent 3 11 3" xfId="5686"/>
    <cellStyle name="Percent 3 12 4" xfId="5687"/>
    <cellStyle name="Percent 3 12 2" xfId="5688"/>
    <cellStyle name="Percent 3 12 3" xfId="5689"/>
    <cellStyle name="Percent 3 13 4" xfId="5690"/>
    <cellStyle name="Percent 3 13 2" xfId="5691"/>
    <cellStyle name="Percent 3 13 3" xfId="5692"/>
    <cellStyle name="Percent 3 14 4" xfId="5693"/>
    <cellStyle name="Percent 3 14 2" xfId="5694"/>
    <cellStyle name="Percent 3 14 3" xfId="5695"/>
    <cellStyle name="Percent 3 15 4" xfId="5696"/>
    <cellStyle name="Percent 3 15 2" xfId="5697"/>
    <cellStyle name="Percent 3 15 3" xfId="5698"/>
    <cellStyle name="Percent 3 16 4" xfId="5699"/>
    <cellStyle name="Percent 3 16 2" xfId="5700"/>
    <cellStyle name="Percent 3 16 3" xfId="5701"/>
    <cellStyle name="Percent 3 17 4" xfId="5702"/>
    <cellStyle name="Percent 3 17 2" xfId="5703"/>
    <cellStyle name="Percent 3 17 3" xfId="5704"/>
    <cellStyle name="Percent 3 18 4" xfId="5705"/>
    <cellStyle name="Percent 3 18 2" xfId="5706"/>
    <cellStyle name="Percent 3 18 3" xfId="5707"/>
    <cellStyle name="Percent 3 19 5" xfId="5708"/>
    <cellStyle name="Percent 3 19 2" xfId="5709"/>
    <cellStyle name="Percent 3 19 2 2" xfId="5710"/>
    <cellStyle name="Percent 3 19 3" xfId="5711"/>
    <cellStyle name="Percent 3 19 4" xfId="5712"/>
    <cellStyle name="Percent 3 2 20" xfId="5713"/>
    <cellStyle name="Percent 3 2 10 6" xfId="5714"/>
    <cellStyle name="Percent 3 2 10 2" xfId="5715"/>
    <cellStyle name="Percent 3 2 10 2 2" xfId="5716"/>
    <cellStyle name="Percent 3 2 10 3" xfId="5717"/>
    <cellStyle name="Percent 3 2 10 3 2" xfId="5718"/>
    <cellStyle name="Percent 3 2 10 4" xfId="5719"/>
    <cellStyle name="Percent 3 2 10 5" xfId="5720"/>
    <cellStyle name="Percent 3 2 11 6" xfId="5721"/>
    <cellStyle name="Percent 3 2 11 2" xfId="5722"/>
    <cellStyle name="Percent 3 2 11 2 2" xfId="5723"/>
    <cellStyle name="Percent 3 2 11 3" xfId="5724"/>
    <cellStyle name="Percent 3 2 11 3 2" xfId="5725"/>
    <cellStyle name="Percent 3 2 11 4" xfId="5726"/>
    <cellStyle name="Percent 3 2 11 5" xfId="5727"/>
    <cellStyle name="Percent 3 2 12 6" xfId="5728"/>
    <cellStyle name="Percent 3 2 12 2" xfId="5729"/>
    <cellStyle name="Percent 3 2 12 2 2" xfId="5730"/>
    <cellStyle name="Percent 3 2 12 3" xfId="5731"/>
    <cellStyle name="Percent 3 2 12 3 2" xfId="5732"/>
    <cellStyle name="Percent 3 2 12 4" xfId="5733"/>
    <cellStyle name="Percent 3 2 12 5" xfId="5734"/>
    <cellStyle name="Percent 3 2 13 6" xfId="5735"/>
    <cellStyle name="Percent 3 2 13 2" xfId="5736"/>
    <cellStyle name="Percent 3 2 13 2 2" xfId="5737"/>
    <cellStyle name="Percent 3 2 13 3" xfId="5738"/>
    <cellStyle name="Percent 3 2 13 3 2" xfId="5739"/>
    <cellStyle name="Percent 3 2 13 4" xfId="5740"/>
    <cellStyle name="Percent 3 2 13 5" xfId="5741"/>
    <cellStyle name="Percent 3 2 14 6" xfId="5742"/>
    <cellStyle name="Percent 3 2 14 2" xfId="5743"/>
    <cellStyle name="Percent 3 2 14 2 2" xfId="5744"/>
    <cellStyle name="Percent 3 2 14 3" xfId="5745"/>
    <cellStyle name="Percent 3 2 14 3 2" xfId="5746"/>
    <cellStyle name="Percent 3 2 14 4" xfId="5747"/>
    <cellStyle name="Percent 3 2 14 5" xfId="5748"/>
    <cellStyle name="Percent 3 2 15 6" xfId="5749"/>
    <cellStyle name="Percent 3 2 15 2" xfId="5750"/>
    <cellStyle name="Percent 3 2 15 2 2" xfId="5751"/>
    <cellStyle name="Percent 3 2 15 3" xfId="5752"/>
    <cellStyle name="Percent 3 2 15 3 2" xfId="5753"/>
    <cellStyle name="Percent 3 2 15 4" xfId="5754"/>
    <cellStyle name="Percent 3 2 15 5" xfId="5755"/>
    <cellStyle name="Percent 3 2 16 6" xfId="5756"/>
    <cellStyle name="Percent 3 2 16 2" xfId="5757"/>
    <cellStyle name="Percent 3 2 16 2 2" xfId="5758"/>
    <cellStyle name="Percent 3 2 16 3" xfId="5759"/>
    <cellStyle name="Percent 3 2 16 3 2" xfId="5760"/>
    <cellStyle name="Percent 3 2 16 4" xfId="5761"/>
    <cellStyle name="Percent 3 2 16 5" xfId="5762"/>
    <cellStyle name="Percent 3 2 17 3" xfId="5763"/>
    <cellStyle name="Percent 3 2 17 2" xfId="5764"/>
    <cellStyle name="Percent 3 2 18" xfId="5765"/>
    <cellStyle name="Percent 3 2 19" xfId="5766"/>
    <cellStyle name="Percent 3 2 2 7" xfId="5767"/>
    <cellStyle name="Percent 3 2 2 2 6" xfId="5768"/>
    <cellStyle name="Percent 3 2 2 2 2 3" xfId="5769"/>
    <cellStyle name="Percent 3 2 2 2 2 2" xfId="5770"/>
    <cellStyle name="Percent 3 2 2 2 3" xfId="5771"/>
    <cellStyle name="Percent 3 2 2 2 3 2" xfId="5772"/>
    <cellStyle name="Percent 3 2 2 2 4" xfId="5773"/>
    <cellStyle name="Percent 3 2 2 2 5" xfId="5774"/>
    <cellStyle name="Percent 3 2 2 3 3" xfId="5775"/>
    <cellStyle name="Percent 3 2 2 3 2" xfId="5776"/>
    <cellStyle name="Percent 3 2 2 4" xfId="5777"/>
    <cellStyle name="Percent 3 2 2 4 2" xfId="5778"/>
    <cellStyle name="Percent 3 2 2 5" xfId="5779"/>
    <cellStyle name="Percent 3 2 2 6" xfId="5780"/>
    <cellStyle name="Percent 3 2 3 6" xfId="5781"/>
    <cellStyle name="Percent 3 2 3 2 4" xfId="5782"/>
    <cellStyle name="Percent 3 2 3 2 2" xfId="5783"/>
    <cellStyle name="Percent 3 2 3 2 3" xfId="5784"/>
    <cellStyle name="Percent 3 2 3 3" xfId="5785"/>
    <cellStyle name="Percent 3 2 3 3 2" xfId="5786"/>
    <cellStyle name="Percent 3 2 3 4" xfId="5787"/>
    <cellStyle name="Percent 3 2 3 5" xfId="5788"/>
    <cellStyle name="Percent 3 2 4 6" xfId="5789"/>
    <cellStyle name="Percent 3 2 4 2" xfId="5790"/>
    <cellStyle name="Percent 3 2 4 2 2" xfId="5791"/>
    <cellStyle name="Percent 3 2 4 3" xfId="5792"/>
    <cellStyle name="Percent 3 2 4 3 2" xfId="5793"/>
    <cellStyle name="Percent 3 2 4 4" xfId="5794"/>
    <cellStyle name="Percent 3 2 4 5" xfId="5795"/>
    <cellStyle name="Percent 3 2 5 6" xfId="5796"/>
    <cellStyle name="Percent 3 2 5 2" xfId="5797"/>
    <cellStyle name="Percent 3 2 5 2 2" xfId="5798"/>
    <cellStyle name="Percent 3 2 5 3" xfId="5799"/>
    <cellStyle name="Percent 3 2 5 3 2" xfId="5800"/>
    <cellStyle name="Percent 3 2 5 4" xfId="5801"/>
    <cellStyle name="Percent 3 2 5 5" xfId="5802"/>
    <cellStyle name="Percent 3 2 6 6" xfId="5803"/>
    <cellStyle name="Percent 3 2 6 2" xfId="5804"/>
    <cellStyle name="Percent 3 2 6 2 2" xfId="5805"/>
    <cellStyle name="Percent 3 2 6 3" xfId="5806"/>
    <cellStyle name="Percent 3 2 6 3 2" xfId="5807"/>
    <cellStyle name="Percent 3 2 6 4" xfId="5808"/>
    <cellStyle name="Percent 3 2 6 5" xfId="5809"/>
    <cellStyle name="Percent 3 2 7 6" xfId="5810"/>
    <cellStyle name="Percent 3 2 7 2" xfId="5811"/>
    <cellStyle name="Percent 3 2 7 2 2" xfId="5812"/>
    <cellStyle name="Percent 3 2 7 3" xfId="5813"/>
    <cellStyle name="Percent 3 2 7 3 2" xfId="5814"/>
    <cellStyle name="Percent 3 2 7 4" xfId="5815"/>
    <cellStyle name="Percent 3 2 7 5" xfId="5816"/>
    <cellStyle name="Percent 3 2 8 6" xfId="5817"/>
    <cellStyle name="Percent 3 2 8 2" xfId="5818"/>
    <cellStyle name="Percent 3 2 8 2 2" xfId="5819"/>
    <cellStyle name="Percent 3 2 8 3" xfId="5820"/>
    <cellStyle name="Percent 3 2 8 3 2" xfId="5821"/>
    <cellStyle name="Percent 3 2 8 4" xfId="5822"/>
    <cellStyle name="Percent 3 2 8 5" xfId="5823"/>
    <cellStyle name="Percent 3 2 9 6" xfId="5824"/>
    <cellStyle name="Percent 3 2 9 2" xfId="5825"/>
    <cellStyle name="Percent 3 2 9 2 2" xfId="5826"/>
    <cellStyle name="Percent 3 2 9 3" xfId="5827"/>
    <cellStyle name="Percent 3 2 9 3 2" xfId="5828"/>
    <cellStyle name="Percent 3 2 9 4" xfId="5829"/>
    <cellStyle name="Percent 3 2 9 5" xfId="5830"/>
    <cellStyle name="Percent 3 20 6" xfId="5831"/>
    <cellStyle name="Percent 3 20 2" xfId="5832"/>
    <cellStyle name="Percent 3 20 2 2" xfId="5833"/>
    <cellStyle name="Percent 3 20 3" xfId="5834"/>
    <cellStyle name="Percent 3 20 3 2" xfId="5835"/>
    <cellStyle name="Percent 3 20 4" xfId="5836"/>
    <cellStyle name="Percent 3 20 5" xfId="5837"/>
    <cellStyle name="Percent 3 21 6" xfId="5838"/>
    <cellStyle name="Percent 3 21 2" xfId="5839"/>
    <cellStyle name="Percent 3 21 2 2" xfId="5840"/>
    <cellStyle name="Percent 3 21 3" xfId="5841"/>
    <cellStyle name="Percent 3 21 3 2" xfId="5842"/>
    <cellStyle name="Percent 3 21 4" xfId="5843"/>
    <cellStyle name="Percent 3 21 5" xfId="5844"/>
    <cellStyle name="Percent 3 22 6" xfId="5845"/>
    <cellStyle name="Percent 3 22 2" xfId="5846"/>
    <cellStyle name="Percent 3 22 2 2" xfId="5847"/>
    <cellStyle name="Percent 3 22 3" xfId="5848"/>
    <cellStyle name="Percent 3 22 3 2" xfId="5849"/>
    <cellStyle name="Percent 3 22 4" xfId="5850"/>
    <cellStyle name="Percent 3 22 5" xfId="5851"/>
    <cellStyle name="Percent 3 23 6" xfId="5852"/>
    <cellStyle name="Percent 3 23 2" xfId="5853"/>
    <cellStyle name="Percent 3 23 2 2" xfId="5854"/>
    <cellStyle name="Percent 3 23 3" xfId="5855"/>
    <cellStyle name="Percent 3 23 3 2" xfId="5856"/>
    <cellStyle name="Percent 3 23 4" xfId="5857"/>
    <cellStyle name="Percent 3 23 5" xfId="5858"/>
    <cellStyle name="Percent 3 24 6" xfId="5859"/>
    <cellStyle name="Percent 3 24 2" xfId="5860"/>
    <cellStyle name="Percent 3 24 2 2" xfId="5861"/>
    <cellStyle name="Percent 3 24 3" xfId="5862"/>
    <cellStyle name="Percent 3 24 3 2" xfId="5863"/>
    <cellStyle name="Percent 3 24 4" xfId="5864"/>
    <cellStyle name="Percent 3 24 5" xfId="5865"/>
    <cellStyle name="Percent 3 25 6" xfId="5866"/>
    <cellStyle name="Percent 3 25 2" xfId="5867"/>
    <cellStyle name="Percent 3 25 2 2" xfId="5868"/>
    <cellStyle name="Percent 3 25 3" xfId="5869"/>
    <cellStyle name="Percent 3 25 3 2" xfId="5870"/>
    <cellStyle name="Percent 3 25 4" xfId="5871"/>
    <cellStyle name="Percent 3 25 5" xfId="5872"/>
    <cellStyle name="Percent 3 26 6" xfId="5873"/>
    <cellStyle name="Percent 3 26 2" xfId="5874"/>
    <cellStyle name="Percent 3 26 2 2" xfId="5875"/>
    <cellStyle name="Percent 3 26 3" xfId="5876"/>
    <cellStyle name="Percent 3 26 3 2" xfId="5877"/>
    <cellStyle name="Percent 3 26 4" xfId="5878"/>
    <cellStyle name="Percent 3 26 5" xfId="5879"/>
    <cellStyle name="Percent 3 27 6" xfId="5880"/>
    <cellStyle name="Percent 3 27 2" xfId="5881"/>
    <cellStyle name="Percent 3 27 2 2" xfId="5882"/>
    <cellStyle name="Percent 3 27 3" xfId="5883"/>
    <cellStyle name="Percent 3 27 3 2" xfId="5884"/>
    <cellStyle name="Percent 3 27 4" xfId="5885"/>
    <cellStyle name="Percent 3 27 5" xfId="5886"/>
    <cellStyle name="Percent 3 28 6" xfId="5887"/>
    <cellStyle name="Percent 3 28 2" xfId="5888"/>
    <cellStyle name="Percent 3 28 2 2" xfId="5889"/>
    <cellStyle name="Percent 3 28 3" xfId="5890"/>
    <cellStyle name="Percent 3 28 3 2" xfId="5891"/>
    <cellStyle name="Percent 3 28 4" xfId="5892"/>
    <cellStyle name="Percent 3 28 5" xfId="5893"/>
    <cellStyle name="Percent 3 29 2" xfId="5894"/>
    <cellStyle name="Percent 3 3 20" xfId="5895"/>
    <cellStyle name="Percent 3 3 10 6" xfId="5896"/>
    <cellStyle name="Percent 3 3 10 2" xfId="5897"/>
    <cellStyle name="Percent 3 3 10 2 2" xfId="5898"/>
    <cellStyle name="Percent 3 3 10 3" xfId="5899"/>
    <cellStyle name="Percent 3 3 10 3 2" xfId="5900"/>
    <cellStyle name="Percent 3 3 10 4" xfId="5901"/>
    <cellStyle name="Percent 3 3 10 5" xfId="5902"/>
    <cellStyle name="Percent 3 3 11 6" xfId="5903"/>
    <cellStyle name="Percent 3 3 11 2" xfId="5904"/>
    <cellStyle name="Percent 3 3 11 2 2" xfId="5905"/>
    <cellStyle name="Percent 3 3 11 3" xfId="5906"/>
    <cellStyle name="Percent 3 3 11 3 2" xfId="5907"/>
    <cellStyle name="Percent 3 3 11 4" xfId="5908"/>
    <cellStyle name="Percent 3 3 11 5" xfId="5909"/>
    <cellStyle name="Percent 3 3 12 6" xfId="5910"/>
    <cellStyle name="Percent 3 3 12 2" xfId="5911"/>
    <cellStyle name="Percent 3 3 12 2 2" xfId="5912"/>
    <cellStyle name="Percent 3 3 12 3" xfId="5913"/>
    <cellStyle name="Percent 3 3 12 3 2" xfId="5914"/>
    <cellStyle name="Percent 3 3 12 4" xfId="5915"/>
    <cellStyle name="Percent 3 3 12 5" xfId="5916"/>
    <cellStyle name="Percent 3 3 13 6" xfId="5917"/>
    <cellStyle name="Percent 3 3 13 2" xfId="5918"/>
    <cellStyle name="Percent 3 3 13 2 2" xfId="5919"/>
    <cellStyle name="Percent 3 3 13 3" xfId="5920"/>
    <cellStyle name="Percent 3 3 13 3 2" xfId="5921"/>
    <cellStyle name="Percent 3 3 13 4" xfId="5922"/>
    <cellStyle name="Percent 3 3 13 5" xfId="5923"/>
    <cellStyle name="Percent 3 3 14 6" xfId="5924"/>
    <cellStyle name="Percent 3 3 14 2" xfId="5925"/>
    <cellStyle name="Percent 3 3 14 2 2" xfId="5926"/>
    <cellStyle name="Percent 3 3 14 3" xfId="5927"/>
    <cellStyle name="Percent 3 3 14 3 2" xfId="5928"/>
    <cellStyle name="Percent 3 3 14 4" xfId="5929"/>
    <cellStyle name="Percent 3 3 14 5" xfId="5930"/>
    <cellStyle name="Percent 3 3 15 6" xfId="5931"/>
    <cellStyle name="Percent 3 3 15 2" xfId="5932"/>
    <cellStyle name="Percent 3 3 15 2 2" xfId="5933"/>
    <cellStyle name="Percent 3 3 15 3" xfId="5934"/>
    <cellStyle name="Percent 3 3 15 3 2" xfId="5935"/>
    <cellStyle name="Percent 3 3 15 4" xfId="5936"/>
    <cellStyle name="Percent 3 3 15 5" xfId="5937"/>
    <cellStyle name="Percent 3 3 16" xfId="5938"/>
    <cellStyle name="Percent 3 3 16 2" xfId="5939"/>
    <cellStyle name="Percent 3 3 17" xfId="5940"/>
    <cellStyle name="Percent 3 3 17 2" xfId="5941"/>
    <cellStyle name="Percent 3 3 18" xfId="5942"/>
    <cellStyle name="Percent 3 3 19" xfId="5943"/>
    <cellStyle name="Percent 3 3 2 6" xfId="5944"/>
    <cellStyle name="Percent 3 3 2 2" xfId="5945"/>
    <cellStyle name="Percent 3 3 2 2 2" xfId="5946"/>
    <cellStyle name="Percent 3 3 2 3" xfId="5947"/>
    <cellStyle name="Percent 3 3 2 3 2" xfId="5948"/>
    <cellStyle name="Percent 3 3 2 4" xfId="5949"/>
    <cellStyle name="Percent 3 3 2 5" xfId="5950"/>
    <cellStyle name="Percent 3 3 3 6" xfId="5951"/>
    <cellStyle name="Percent 3 3 3 2 4" xfId="5952"/>
    <cellStyle name="Percent 3 3 3 2 2" xfId="5953"/>
    <cellStyle name="Percent 3 3 3 2 3" xfId="5954"/>
    <cellStyle name="Percent 3 3 3 3 7" xfId="5955"/>
    <cellStyle name="Percent 3 3 3 3 2 2" xfId="5956"/>
    <cellStyle name="Percent 3 3 3 3 3 2" xfId="5957"/>
    <cellStyle name="Percent 3 3 3 3 4 3" xfId="5958"/>
    <cellStyle name="Percent 3 3 3 3 5" xfId="5959"/>
    <cellStyle name="Percent 3 3 3 3 6" xfId="5960"/>
    <cellStyle name="Percent 3 3 3 4" xfId="5961"/>
    <cellStyle name="Percent 3 3 3 5" xfId="5962"/>
    <cellStyle name="Percent 3 3 4 6" xfId="5963"/>
    <cellStyle name="Percent 3 3 4 2 4" xfId="5964"/>
    <cellStyle name="Percent 3 3 4 2 2" xfId="5965"/>
    <cellStyle name="Percent 3 3 4 2 3" xfId="5966"/>
    <cellStyle name="Percent 3 3 4 3" xfId="5967"/>
    <cellStyle name="Percent 3 3 4 3 2" xfId="5968"/>
    <cellStyle name="Percent 3 3 4 4" xfId="5969"/>
    <cellStyle name="Percent 3 3 4 5" xfId="5970"/>
    <cellStyle name="Percent 3 3 5 8" xfId="5971"/>
    <cellStyle name="Percent 3 3 5 2" xfId="5972"/>
    <cellStyle name="Percent 3 3 5 2 2" xfId="5973"/>
    <cellStyle name="Percent 3 3 5 2 2 2" xfId="5974"/>
    <cellStyle name="Percent 3 3 5 2 3" xfId="5975"/>
    <cellStyle name="Percent 3 3 5 2 3 2" xfId="5976"/>
    <cellStyle name="Percent 3 3 5 2 4" xfId="5977"/>
    <cellStyle name="Percent 3 3 5 3" xfId="5978"/>
    <cellStyle name="Percent 3 3 5 3 2" xfId="5979"/>
    <cellStyle name="Percent 3 3 5 3 2 2" xfId="5980"/>
    <cellStyle name="Percent 3 3 5 3 3" xfId="5981"/>
    <cellStyle name="Percent 3 3 5 3 3 2" xfId="5982"/>
    <cellStyle name="Percent 3 3 5 3 4" xfId="5983"/>
    <cellStyle name="Percent 3 3 5 4" xfId="5984"/>
    <cellStyle name="Percent 3 3 5 4 2" xfId="5985"/>
    <cellStyle name="Percent 3 3 5 5" xfId="5986"/>
    <cellStyle name="Percent 3 3 5 5 2" xfId="5987"/>
    <cellStyle name="Percent 3 3 5 6" xfId="5988"/>
    <cellStyle name="Percent 3 3 5 7" xfId="5989"/>
    <cellStyle name="Percent 3 3 6 8" xfId="5990"/>
    <cellStyle name="Percent 3 3 6 2 5" xfId="5991"/>
    <cellStyle name="Percent 3 3 6 2 2" xfId="5992"/>
    <cellStyle name="Percent 3 3 6 2 2 2" xfId="5993"/>
    <cellStyle name="Percent 3 3 6 2 3" xfId="5994"/>
    <cellStyle name="Percent 3 3 6 2 3 2" xfId="5995"/>
    <cellStyle name="Percent 3 3 6 2 4" xfId="5996"/>
    <cellStyle name="Percent 3 3 6 3" xfId="5997"/>
    <cellStyle name="Percent 3 3 6 3 2" xfId="5998"/>
    <cellStyle name="Percent 3 3 6 3 2 2" xfId="5999"/>
    <cellStyle name="Percent 3 3 6 3 3" xfId="6000"/>
    <cellStyle name="Percent 3 3 6 3 3 2" xfId="6001"/>
    <cellStyle name="Percent 3 3 6 3 4" xfId="6002"/>
    <cellStyle name="Percent 3 3 6 4" xfId="6003"/>
    <cellStyle name="Percent 3 3 6 4 2" xfId="6004"/>
    <cellStyle name="Percent 3 3 6 5" xfId="6005"/>
    <cellStyle name="Percent 3 3 6 5 2" xfId="6006"/>
    <cellStyle name="Percent 3 3 6 6" xfId="6007"/>
    <cellStyle name="Percent 3 3 6 7" xfId="6008"/>
    <cellStyle name="Percent 3 3 7 8" xfId="6009"/>
    <cellStyle name="Percent 3 3 7 2" xfId="6010"/>
    <cellStyle name="Percent 3 3 7 2 2" xfId="6011"/>
    <cellStyle name="Percent 3 3 7 2 2 2" xfId="6012"/>
    <cellStyle name="Percent 3 3 7 2 3" xfId="6013"/>
    <cellStyle name="Percent 3 3 7 2 3 2" xfId="6014"/>
    <cellStyle name="Percent 3 3 7 2 4" xfId="6015"/>
    <cellStyle name="Percent 3 3 7 3" xfId="6016"/>
    <cellStyle name="Percent 3 3 7 3 2" xfId="6017"/>
    <cellStyle name="Percent 3 3 7 3 2 2" xfId="6018"/>
    <cellStyle name="Percent 3 3 7 3 3" xfId="6019"/>
    <cellStyle name="Percent 3 3 7 3 3 2" xfId="6020"/>
    <cellStyle name="Percent 3 3 7 3 4" xfId="6021"/>
    <cellStyle name="Percent 3 3 7 4" xfId="6022"/>
    <cellStyle name="Percent 3 3 7 4 2" xfId="6023"/>
    <cellStyle name="Percent 3 3 7 5" xfId="6024"/>
    <cellStyle name="Percent 3 3 7 5 2" xfId="6025"/>
    <cellStyle name="Percent 3 3 7 6" xfId="6026"/>
    <cellStyle name="Percent 3 3 7 7" xfId="6027"/>
    <cellStyle name="Percent 3 3 8 8" xfId="6028"/>
    <cellStyle name="Percent 3 3 8 2" xfId="6029"/>
    <cellStyle name="Percent 3 3 8 2 2" xfId="6030"/>
    <cellStyle name="Percent 3 3 8 2 2 2" xfId="6031"/>
    <cellStyle name="Percent 3 3 8 2 3" xfId="6032"/>
    <cellStyle name="Percent 3 3 8 2 3 2" xfId="6033"/>
    <cellStyle name="Percent 3 3 8 2 4" xfId="6034"/>
    <cellStyle name="Percent 3 3 8 3" xfId="6035"/>
    <cellStyle name="Percent 3 3 8 3 2" xfId="6036"/>
    <cellStyle name="Percent 3 3 8 3 2 2" xfId="6037"/>
    <cellStyle name="Percent 3 3 8 3 3" xfId="6038"/>
    <cellStyle name="Percent 3 3 8 3 3 2" xfId="6039"/>
    <cellStyle name="Percent 3 3 8 3 4" xfId="6040"/>
    <cellStyle name="Percent 3 3 8 4" xfId="6041"/>
    <cellStyle name="Percent 3 3 8 4 2" xfId="6042"/>
    <cellStyle name="Percent 3 3 8 5" xfId="6043"/>
    <cellStyle name="Percent 3 3 8 5 2" xfId="6044"/>
    <cellStyle name="Percent 3 3 8 6" xfId="6045"/>
    <cellStyle name="Percent 3 3 8 7" xfId="6046"/>
    <cellStyle name="Percent 3 3 9 8" xfId="6047"/>
    <cellStyle name="Percent 3 3 9 2" xfId="6048"/>
    <cellStyle name="Percent 3 3 9 2 2" xfId="6049"/>
    <cellStyle name="Percent 3 3 9 2 2 2" xfId="6050"/>
    <cellStyle name="Percent 3 3 9 2 3" xfId="6051"/>
    <cellStyle name="Percent 3 3 9 2 3 2" xfId="6052"/>
    <cellStyle name="Percent 3 3 9 2 4" xfId="6053"/>
    <cellStyle name="Percent 3 3 9 3" xfId="6054"/>
    <cellStyle name="Percent 3 3 9 3 2" xfId="6055"/>
    <cellStyle name="Percent 3 3 9 3 2 2" xfId="6056"/>
    <cellStyle name="Percent 3 3 9 3 3" xfId="6057"/>
    <cellStyle name="Percent 3 3 9 3 3 2" xfId="6058"/>
    <cellStyle name="Percent 3 3 9 3 4" xfId="6059"/>
    <cellStyle name="Percent 3 3 9 4" xfId="6060"/>
    <cellStyle name="Percent 3 3 9 4 2" xfId="6061"/>
    <cellStyle name="Percent 3 3 9 5" xfId="6062"/>
    <cellStyle name="Percent 3 3 9 5 2" xfId="6063"/>
    <cellStyle name="Percent 3 3 9 6" xfId="6064"/>
    <cellStyle name="Percent 3 3 9 7" xfId="6065"/>
    <cellStyle name="Percent 3 4 22" xfId="6066"/>
    <cellStyle name="Percent 3 4 10 8" xfId="6067"/>
    <cellStyle name="Percent 3 4 10 2" xfId="6068"/>
    <cellStyle name="Percent 3 4 10 2 2" xfId="6069"/>
    <cellStyle name="Percent 3 4 10 2 2 2" xfId="6070"/>
    <cellStyle name="Percent 3 4 10 2 3" xfId="6071"/>
    <cellStyle name="Percent 3 4 10 2 3 2" xfId="6072"/>
    <cellStyle name="Percent 3 4 10 2 4" xfId="6073"/>
    <cellStyle name="Percent 3 4 10 2 5" xfId="6074"/>
    <cellStyle name="Percent 3 4 10 3" xfId="6075"/>
    <cellStyle name="Percent 3 4 10 3 2" xfId="6076"/>
    <cellStyle name="Percent 3 4 10 3 2 2" xfId="6077"/>
    <cellStyle name="Percent 3 4 10 3 3" xfId="6078"/>
    <cellStyle name="Percent 3 4 10 3 3 2" xfId="6079"/>
    <cellStyle name="Percent 3 4 10 3 4" xfId="6080"/>
    <cellStyle name="Percent 3 4 10 4" xfId="6081"/>
    <cellStyle name="Percent 3 4 10 4 2" xfId="6082"/>
    <cellStyle name="Percent 3 4 10 5" xfId="6083"/>
    <cellStyle name="Percent 3 4 10 5 2" xfId="6084"/>
    <cellStyle name="Percent 3 4 10 6" xfId="6085"/>
    <cellStyle name="Percent 3 4 10 7" xfId="6086"/>
    <cellStyle name="Percent 3 4 11 8" xfId="6087"/>
    <cellStyle name="Percent 3 4 11 2" xfId="6088"/>
    <cellStyle name="Percent 3 4 11 2 2" xfId="6089"/>
    <cellStyle name="Percent 3 4 11 2 2 2" xfId="6090"/>
    <cellStyle name="Percent 3 4 11 2 3" xfId="6091"/>
    <cellStyle name="Percent 3 4 11 2 3 2" xfId="6092"/>
    <cellStyle name="Percent 3 4 11 2 4" xfId="6093"/>
    <cellStyle name="Percent 3 4 11 2 5" xfId="6094"/>
    <cellStyle name="Percent 3 4 11 3" xfId="6095"/>
    <cellStyle name="Percent 3 4 11 3 2" xfId="6096"/>
    <cellStyle name="Percent 3 4 11 3 2 2" xfId="6097"/>
    <cellStyle name="Percent 3 4 11 3 3" xfId="6098"/>
    <cellStyle name="Percent 3 4 11 3 3 2" xfId="6099"/>
    <cellStyle name="Percent 3 4 11 3 4" xfId="6100"/>
    <cellStyle name="Percent 3 4 11 4" xfId="6101"/>
    <cellStyle name="Percent 3 4 11 4 2" xfId="6102"/>
    <cellStyle name="Percent 3 4 11 5" xfId="6103"/>
    <cellStyle name="Percent 3 4 11 5 2" xfId="6104"/>
    <cellStyle name="Percent 3 4 11 6" xfId="6105"/>
    <cellStyle name="Percent 3 4 11 7" xfId="6106"/>
    <cellStyle name="Percent 3 4 12 8" xfId="6107"/>
    <cellStyle name="Percent 3 4 12 2" xfId="6108"/>
    <cellStyle name="Percent 3 4 12 2 2" xfId="6109"/>
    <cellStyle name="Percent 3 4 12 2 2 2" xfId="6110"/>
    <cellStyle name="Percent 3 4 12 2 3" xfId="6111"/>
    <cellStyle name="Percent 3 4 12 2 3 2" xfId="6112"/>
    <cellStyle name="Percent 3 4 12 2 4" xfId="6113"/>
    <cellStyle name="Percent 3 4 12 2 5" xfId="6114"/>
    <cellStyle name="Percent 3 4 12 3" xfId="6115"/>
    <cellStyle name="Percent 3 4 12 3 2" xfId="6116"/>
    <cellStyle name="Percent 3 4 12 3 2 2" xfId="6117"/>
    <cellStyle name="Percent 3 4 12 3 3" xfId="6118"/>
    <cellStyle name="Percent 3 4 12 3 3 2" xfId="6119"/>
    <cellStyle name="Percent 3 4 12 3 4" xfId="6120"/>
    <cellStyle name="Percent 3 4 12 4" xfId="6121"/>
    <cellStyle name="Percent 3 4 12 4 2" xfId="6122"/>
    <cellStyle name="Percent 3 4 12 5" xfId="6123"/>
    <cellStyle name="Percent 3 4 12 5 2" xfId="6124"/>
    <cellStyle name="Percent 3 4 12 6" xfId="6125"/>
    <cellStyle name="Percent 3 4 12 7" xfId="6126"/>
    <cellStyle name="Percent 3 4 13 8" xfId="6127"/>
    <cellStyle name="Percent 3 4 13 2" xfId="6128"/>
    <cellStyle name="Percent 3 4 13 2 2" xfId="6129"/>
    <cellStyle name="Percent 3 4 13 2 2 2" xfId="6130"/>
    <cellStyle name="Percent 3 4 13 2 3" xfId="6131"/>
    <cellStyle name="Percent 3 4 13 2 3 2" xfId="6132"/>
    <cellStyle name="Percent 3 4 13 2 4" xfId="6133"/>
    <cellStyle name="Percent 3 4 13 2 5" xfId="6134"/>
    <cellStyle name="Percent 3 4 13 3" xfId="6135"/>
    <cellStyle name="Percent 3 4 13 3 2" xfId="6136"/>
    <cellStyle name="Percent 3 4 13 3 2 2" xfId="6137"/>
    <cellStyle name="Percent 3 4 13 3 3" xfId="6138"/>
    <cellStyle name="Percent 3 4 13 3 3 2" xfId="6139"/>
    <cellStyle name="Percent 3 4 13 3 4" xfId="6140"/>
    <cellStyle name="Percent 3 4 13 4" xfId="6141"/>
    <cellStyle name="Percent 3 4 13 4 2" xfId="6142"/>
    <cellStyle name="Percent 3 4 13 5" xfId="6143"/>
    <cellStyle name="Percent 3 4 13 5 2" xfId="6144"/>
    <cellStyle name="Percent 3 4 13 6" xfId="6145"/>
    <cellStyle name="Percent 3 4 13 7" xfId="6146"/>
    <cellStyle name="Percent 3 4 14 8" xfId="6147"/>
    <cellStyle name="Percent 3 4 14 2" xfId="6148"/>
    <cellStyle name="Percent 3 4 14 2 2" xfId="6149"/>
    <cellStyle name="Percent 3 4 14 2 2 2" xfId="6150"/>
    <cellStyle name="Percent 3 4 14 2 3" xfId="6151"/>
    <cellStyle name="Percent 3 4 14 2 3 2" xfId="6152"/>
    <cellStyle name="Percent 3 4 14 2 4" xfId="6153"/>
    <cellStyle name="Percent 3 4 14 2 5" xfId="6154"/>
    <cellStyle name="Percent 3 4 14 3" xfId="6155"/>
    <cellStyle name="Percent 3 4 14 3 2" xfId="6156"/>
    <cellStyle name="Percent 3 4 14 3 2 2" xfId="6157"/>
    <cellStyle name="Percent 3 4 14 3 3" xfId="6158"/>
    <cellStyle name="Percent 3 4 14 3 3 2" xfId="6159"/>
    <cellStyle name="Percent 3 4 14 3 4" xfId="6160"/>
    <cellStyle name="Percent 3 4 14 4" xfId="6161"/>
    <cellStyle name="Percent 3 4 14 4 2" xfId="6162"/>
    <cellStyle name="Percent 3 4 14 5" xfId="6163"/>
    <cellStyle name="Percent 3 4 14 5 2" xfId="6164"/>
    <cellStyle name="Percent 3 4 14 6" xfId="6165"/>
    <cellStyle name="Percent 3 4 14 7" xfId="6166"/>
    <cellStyle name="Percent 3 4 15 8" xfId="6167"/>
    <cellStyle name="Percent 3 4 15 2" xfId="6168"/>
    <cellStyle name="Percent 3 4 15 2 2" xfId="6169"/>
    <cellStyle name="Percent 3 4 15 2 2 2" xfId="6170"/>
    <cellStyle name="Percent 3 4 15 2 3" xfId="6171"/>
    <cellStyle name="Percent 3 4 15 2 3 2" xfId="6172"/>
    <cellStyle name="Percent 3 4 15 2 4" xfId="6173"/>
    <cellStyle name="Percent 3 4 15 2 5" xfId="6174"/>
    <cellStyle name="Percent 3 4 15 3" xfId="6175"/>
    <cellStyle name="Percent 3 4 15 3 2" xfId="6176"/>
    <cellStyle name="Percent 3 4 15 3 2 2" xfId="6177"/>
    <cellStyle name="Percent 3 4 15 3 3" xfId="6178"/>
    <cellStyle name="Percent 3 4 15 3 3 2" xfId="6179"/>
    <cellStyle name="Percent 3 4 15 3 4" xfId="6180"/>
    <cellStyle name="Percent 3 4 15 4" xfId="6181"/>
    <cellStyle name="Percent 3 4 15 4 2" xfId="6182"/>
    <cellStyle name="Percent 3 4 15 5" xfId="6183"/>
    <cellStyle name="Percent 3 4 15 5 2" xfId="6184"/>
    <cellStyle name="Percent 3 4 15 6" xfId="6185"/>
    <cellStyle name="Percent 3 4 15 7" xfId="6186"/>
    <cellStyle name="Percent 3 4 16" xfId="6187"/>
    <cellStyle name="Percent 3 4 16 2" xfId="6188"/>
    <cellStyle name="Percent 3 4 16 2 2" xfId="6189"/>
    <cellStyle name="Percent 3 4 16 3" xfId="6190"/>
    <cellStyle name="Percent 3 4 16 3 2" xfId="6191"/>
    <cellStyle name="Percent 3 4 16 4" xfId="6192"/>
    <cellStyle name="Percent 3 4 17" xfId="6193"/>
    <cellStyle name="Percent 3 4 17 2" xfId="6194"/>
    <cellStyle name="Percent 3 4 17 2 2" xfId="6195"/>
    <cellStyle name="Percent 3 4 17 3" xfId="6196"/>
    <cellStyle name="Percent 3 4 17 3 2" xfId="6197"/>
    <cellStyle name="Percent 3 4 17 4" xfId="6198"/>
    <cellStyle name="Percent 3 4 18" xfId="6199"/>
    <cellStyle name="Percent 3 4 18 2" xfId="6200"/>
    <cellStyle name="Percent 3 4 19" xfId="6201"/>
    <cellStyle name="Percent 3 4 19 2" xfId="6202"/>
    <cellStyle name="Percent 3 4 2 9" xfId="6203"/>
    <cellStyle name="Percent 3 4 2 2" xfId="6204"/>
    <cellStyle name="Percent 3 4 2 2 2" xfId="6205"/>
    <cellStyle name="Percent 3 4 2 2 2 2" xfId="6206"/>
    <cellStyle name="Percent 3 4 2 2 3" xfId="6207"/>
    <cellStyle name="Percent 3 4 2 2 3 2" xfId="6208"/>
    <cellStyle name="Percent 3 4 2 2 4" xfId="6209"/>
    <cellStyle name="Percent 3 4 2 2 5" xfId="6210"/>
    <cellStyle name="Percent 3 4 2 3" xfId="6211"/>
    <cellStyle name="Percent 3 4 2 3 2" xfId="6212"/>
    <cellStyle name="Percent 3 4 2 3 2 2" xfId="6213"/>
    <cellStyle name="Percent 3 4 2 3 3" xfId="6214"/>
    <cellStyle name="Percent 3 4 2 3 3 2" xfId="6215"/>
    <cellStyle name="Percent 3 4 2 3 4" xfId="6216"/>
    <cellStyle name="Percent 3 4 2 4" xfId="6217"/>
    <cellStyle name="Percent 3 4 2 4 2" xfId="6218"/>
    <cellStyle name="Percent 3 4 2 4 2 2" xfId="6219"/>
    <cellStyle name="Percent 3 4 2 4 3" xfId="6220"/>
    <cellStyle name="Percent 3 4 2 4 3 2" xfId="6221"/>
    <cellStyle name="Percent 3 4 2 4 4" xfId="6222"/>
    <cellStyle name="Percent 3 4 2 5" xfId="6223"/>
    <cellStyle name="Percent 3 4 2 5 2" xfId="6224"/>
    <cellStyle name="Percent 3 4 2 6" xfId="6225"/>
    <cellStyle name="Percent 3 4 2 6 2" xfId="6226"/>
    <cellStyle name="Percent 3 4 2 7" xfId="6227"/>
    <cellStyle name="Percent 3 4 2 8" xfId="6228"/>
    <cellStyle name="Percent 3 4 20" xfId="6229"/>
    <cellStyle name="Percent 3 4 21" xfId="6230"/>
    <cellStyle name="Percent 3 4 3 9" xfId="6231"/>
    <cellStyle name="Percent 3 4 3 2" xfId="6232"/>
    <cellStyle name="Percent 3 4 3 2 2" xfId="6233"/>
    <cellStyle name="Percent 3 4 3 2 2 2" xfId="6234"/>
    <cellStyle name="Percent 3 4 3 2 3" xfId="6235"/>
    <cellStyle name="Percent 3 4 3 2 3 2" xfId="6236"/>
    <cellStyle name="Percent 3 4 3 2 4" xfId="6237"/>
    <cellStyle name="Percent 3 4 3 2 5" xfId="6238"/>
    <cellStyle name="Percent 3 4 3 3" xfId="6239"/>
    <cellStyle name="Percent 3 4 3 3 2" xfId="6240"/>
    <cellStyle name="Percent 3 4 3 3 2 2" xfId="6241"/>
    <cellStyle name="Percent 3 4 3 3 3" xfId="6242"/>
    <cellStyle name="Percent 3 4 3 3 3 2" xfId="6243"/>
    <cellStyle name="Percent 3 4 3 3 4" xfId="6244"/>
    <cellStyle name="Percent 3 4 3 4" xfId="6245"/>
    <cellStyle name="Percent 3 4 3 4 2" xfId="6246"/>
    <cellStyle name="Percent 3 4 3 4 2 2" xfId="6247"/>
    <cellStyle name="Percent 3 4 3 4 3" xfId="6248"/>
    <cellStyle name="Percent 3 4 3 4 3 2" xfId="6249"/>
    <cellStyle name="Percent 3 4 3 4 4" xfId="6250"/>
    <cellStyle name="Percent 3 4 3 5" xfId="6251"/>
    <cellStyle name="Percent 3 4 3 5 2" xfId="6252"/>
    <cellStyle name="Percent 3 4 3 6" xfId="6253"/>
    <cellStyle name="Percent 3 4 3 6 2" xfId="6254"/>
    <cellStyle name="Percent 3 4 3 7" xfId="6255"/>
    <cellStyle name="Percent 3 4 3 8" xfId="6256"/>
    <cellStyle name="Percent 3 4 4 9" xfId="6257"/>
    <cellStyle name="Percent 3 4 4 2 6" xfId="6258"/>
    <cellStyle name="Percent 3 4 4 2 2" xfId="6259"/>
    <cellStyle name="Percent 3 4 4 2 2 2" xfId="6260"/>
    <cellStyle name="Percent 3 4 4 2 3" xfId="6261"/>
    <cellStyle name="Percent 3 4 4 2 3 2" xfId="6262"/>
    <cellStyle name="Percent 3 4 4 2 4" xfId="6263"/>
    <cellStyle name="Percent 3 4 4 2 5" xfId="6264"/>
    <cellStyle name="Percent 3 4 4 3" xfId="6265"/>
    <cellStyle name="Percent 3 4 4 3 2" xfId="6266"/>
    <cellStyle name="Percent 3 4 4 3 2 2" xfId="6267"/>
    <cellStyle name="Percent 3 4 4 3 3" xfId="6268"/>
    <cellStyle name="Percent 3 4 4 3 3 2" xfId="6269"/>
    <cellStyle name="Percent 3 4 4 3 4" xfId="6270"/>
    <cellStyle name="Percent 3 4 4 4" xfId="6271"/>
    <cellStyle name="Percent 3 4 4 4 2" xfId="6272"/>
    <cellStyle name="Percent 3 4 4 4 2 2" xfId="6273"/>
    <cellStyle name="Percent 3 4 4 4 3" xfId="6274"/>
    <cellStyle name="Percent 3 4 4 4 3 2" xfId="6275"/>
    <cellStyle name="Percent 3 4 4 4 4" xfId="6276"/>
    <cellStyle name="Percent 3 4 4 5" xfId="6277"/>
    <cellStyle name="Percent 3 4 4 5 2" xfId="6278"/>
    <cellStyle name="Percent 3 4 4 6" xfId="6279"/>
    <cellStyle name="Percent 3 4 4 6 2" xfId="6280"/>
    <cellStyle name="Percent 3 4 4 7" xfId="6281"/>
    <cellStyle name="Percent 3 4 4 8" xfId="6282"/>
    <cellStyle name="Percent 3 4 5 9" xfId="6283"/>
    <cellStyle name="Percent 3 4 5 2" xfId="6284"/>
    <cellStyle name="Percent 3 4 5 2 2" xfId="6285"/>
    <cellStyle name="Percent 3 4 5 2 2 2" xfId="6286"/>
    <cellStyle name="Percent 3 4 5 2 3" xfId="6287"/>
    <cellStyle name="Percent 3 4 5 2 3 2" xfId="6288"/>
    <cellStyle name="Percent 3 4 5 2 4" xfId="6289"/>
    <cellStyle name="Percent 3 4 5 2 5" xfId="6290"/>
    <cellStyle name="Percent 3 4 5 3" xfId="6291"/>
    <cellStyle name="Percent 3 4 5 3 2" xfId="6292"/>
    <cellStyle name="Percent 3 4 5 3 2 2" xfId="6293"/>
    <cellStyle name="Percent 3 4 5 3 3" xfId="6294"/>
    <cellStyle name="Percent 3 4 5 3 3 2" xfId="6295"/>
    <cellStyle name="Percent 3 4 5 3 4" xfId="6296"/>
    <cellStyle name="Percent 3 4 5 4" xfId="6297"/>
    <cellStyle name="Percent 3 4 5 4 2" xfId="6298"/>
    <cellStyle name="Percent 3 4 5 4 2 2" xfId="6299"/>
    <cellStyle name="Percent 3 4 5 4 3" xfId="6300"/>
    <cellStyle name="Percent 3 4 5 4 3 2" xfId="6301"/>
    <cellStyle name="Percent 3 4 5 4 4" xfId="6302"/>
    <cellStyle name="Percent 3 4 5 5" xfId="6303"/>
    <cellStyle name="Percent 3 4 5 5 2" xfId="6304"/>
    <cellStyle name="Percent 3 4 5 6" xfId="6305"/>
    <cellStyle name="Percent 3 4 5 6 2" xfId="6306"/>
    <cellStyle name="Percent 3 4 5 7" xfId="6307"/>
    <cellStyle name="Percent 3 4 5 8" xfId="6308"/>
    <cellStyle name="Percent 3 4 6 9" xfId="6309"/>
    <cellStyle name="Percent 3 4 6 2" xfId="6310"/>
    <cellStyle name="Percent 3 4 6 2 2" xfId="6311"/>
    <cellStyle name="Percent 3 4 6 2 2 2" xfId="6312"/>
    <cellStyle name="Percent 3 4 6 2 3" xfId="6313"/>
    <cellStyle name="Percent 3 4 6 2 3 2" xfId="6314"/>
    <cellStyle name="Percent 3 4 6 2 4" xfId="6315"/>
    <cellStyle name="Percent 3 4 6 2 5" xfId="6316"/>
    <cellStyle name="Percent 3 4 6 3" xfId="6317"/>
    <cellStyle name="Percent 3 4 6 3 2" xfId="6318"/>
    <cellStyle name="Percent 3 4 6 3 2 2" xfId="6319"/>
    <cellStyle name="Percent 3 4 6 3 3" xfId="6320"/>
    <cellStyle name="Percent 3 4 6 3 3 2" xfId="6321"/>
    <cellStyle name="Percent 3 4 6 3 4" xfId="6322"/>
    <cellStyle name="Percent 3 4 6 4" xfId="6323"/>
    <cellStyle name="Percent 3 4 6 4 2" xfId="6324"/>
    <cellStyle name="Percent 3 4 6 4 2 2" xfId="6325"/>
    <cellStyle name="Percent 3 4 6 4 3" xfId="6326"/>
    <cellStyle name="Percent 3 4 6 4 3 2" xfId="6327"/>
    <cellStyle name="Percent 3 4 6 4 4" xfId="6328"/>
    <cellStyle name="Percent 3 4 6 5" xfId="6329"/>
    <cellStyle name="Percent 3 4 6 5 2" xfId="6330"/>
    <cellStyle name="Percent 3 4 6 6" xfId="6331"/>
    <cellStyle name="Percent 3 4 6 6 2" xfId="6332"/>
    <cellStyle name="Percent 3 4 6 7" xfId="6333"/>
    <cellStyle name="Percent 3 4 6 8" xfId="6334"/>
    <cellStyle name="Percent 3 4 7 9" xfId="6335"/>
    <cellStyle name="Percent 3 4 7 2" xfId="6336"/>
    <cellStyle name="Percent 3 4 7 2 2" xfId="6337"/>
    <cellStyle name="Percent 3 4 7 2 2 2" xfId="6338"/>
    <cellStyle name="Percent 3 4 7 2 3" xfId="6339"/>
    <cellStyle name="Percent 3 4 7 2 3 2" xfId="6340"/>
    <cellStyle name="Percent 3 4 7 2 4" xfId="6341"/>
    <cellStyle name="Percent 3 4 7 2 5" xfId="6342"/>
    <cellStyle name="Percent 3 4 7 3" xfId="6343"/>
    <cellStyle name="Percent 3 4 7 3 2" xfId="6344"/>
    <cellStyle name="Percent 3 4 7 3 2 2" xfId="6345"/>
    <cellStyle name="Percent 3 4 7 3 3" xfId="6346"/>
    <cellStyle name="Percent 3 4 7 3 3 2" xfId="6347"/>
    <cellStyle name="Percent 3 4 7 3 4" xfId="6348"/>
    <cellStyle name="Percent 3 4 7 4" xfId="6349"/>
    <cellStyle name="Percent 3 4 7 4 2" xfId="6350"/>
    <cellStyle name="Percent 3 4 7 4 2 2" xfId="6351"/>
    <cellStyle name="Percent 3 4 7 4 3" xfId="6352"/>
    <cellStyle name="Percent 3 4 7 4 3 2" xfId="6353"/>
    <cellStyle name="Percent 3 4 7 4 4" xfId="6354"/>
    <cellStyle name="Percent 3 4 7 5" xfId="6355"/>
    <cellStyle name="Percent 3 4 7 5 2" xfId="6356"/>
    <cellStyle name="Percent 3 4 7 6" xfId="6357"/>
    <cellStyle name="Percent 3 4 7 6 2" xfId="6358"/>
    <cellStyle name="Percent 3 4 7 7" xfId="6359"/>
    <cellStyle name="Percent 3 4 7 8" xfId="6360"/>
    <cellStyle name="Percent 3 4 8 12" xfId="6361"/>
    <cellStyle name="Percent 3 4 8 10" xfId="6362"/>
    <cellStyle name="Percent 3 4 8 11" xfId="6363"/>
    <cellStyle name="Percent 3 4 8 2" xfId="6364"/>
    <cellStyle name="Percent 3 4 8 2 2" xfId="6365"/>
    <cellStyle name="Percent 3 4 8 2 2 2" xfId="6366"/>
    <cellStyle name="Percent 3 4 8 2 3" xfId="6367"/>
    <cellStyle name="Percent 3 4 8 2 3 2" xfId="6368"/>
    <cellStyle name="Percent 3 4 8 2 4" xfId="6369"/>
    <cellStyle name="Percent 3 4 8 2 5" xfId="6370"/>
    <cellStyle name="Percent 3 4 8 3" xfId="6371"/>
    <cellStyle name="Percent 3 4 8 3 2" xfId="6372"/>
    <cellStyle name="Percent 3 4 8 3 2 2" xfId="6373"/>
    <cellStyle name="Percent 3 4 8 3 3" xfId="6374"/>
    <cellStyle name="Percent 3 4 8 3 3 2" xfId="6375"/>
    <cellStyle name="Percent 3 4 8 3 4" xfId="6376"/>
    <cellStyle name="Percent 3 4 8 4" xfId="6377"/>
    <cellStyle name="Percent 3 4 8 4 2" xfId="6378"/>
    <cellStyle name="Percent 3 4 8 4 2 2" xfId="6379"/>
    <cellStyle name="Percent 3 4 8 4 3" xfId="6380"/>
    <cellStyle name="Percent 3 4 8 4 3 2" xfId="6381"/>
    <cellStyle name="Percent 3 4 8 4 4" xfId="6382"/>
    <cellStyle name="Percent 3 4 8 5" xfId="6383"/>
    <cellStyle name="Percent 3 4 8 5 2" xfId="6384"/>
    <cellStyle name="Percent 3 4 8 5 2 2" xfId="6385"/>
    <cellStyle name="Percent 3 4 8 5 3" xfId="6386"/>
    <cellStyle name="Percent 3 4 8 5 3 2" xfId="6387"/>
    <cellStyle name="Percent 3 4 8 5 4" xfId="6388"/>
    <cellStyle name="Percent 3 4 8 5 4 2" xfId="6389"/>
    <cellStyle name="Percent 3 4 8 5 5" xfId="6390"/>
    <cellStyle name="Percent 3 4 8 6" xfId="6391"/>
    <cellStyle name="Percent 3 4 8 6 2" xfId="6392"/>
    <cellStyle name="Percent 3 4 8 6 2 2" xfId="6393"/>
    <cellStyle name="Percent 3 4 8 6 3" xfId="6394"/>
    <cellStyle name="Percent 3 4 8 6 3 2" xfId="6395"/>
    <cellStyle name="Percent 3 4 8 6 4" xfId="6396"/>
    <cellStyle name="Percent 3 4 8 7" xfId="6397"/>
    <cellStyle name="Percent 3 4 8 7 2" xfId="6398"/>
    <cellStyle name="Percent 3 4 8 8" xfId="6399"/>
    <cellStyle name="Percent 3 4 8 8 2" xfId="6400"/>
    <cellStyle name="Percent 3 4 8 9" xfId="6401"/>
    <cellStyle name="Percent 3 4 8 9 2" xfId="6402"/>
    <cellStyle name="Percent 3 4 9 12" xfId="6403"/>
    <cellStyle name="Percent 3 4 9 10" xfId="6404"/>
    <cellStyle name="Percent 3 4 9 11" xfId="6405"/>
    <cellStyle name="Percent 3 4 9 2" xfId="6406"/>
    <cellStyle name="Percent 3 4 9 2 2" xfId="6407"/>
    <cellStyle name="Percent 3 4 9 2 2 2" xfId="6408"/>
    <cellStyle name="Percent 3 4 9 2 3" xfId="6409"/>
    <cellStyle name="Percent 3 4 9 2 3 2" xfId="6410"/>
    <cellStyle name="Percent 3 4 9 2 4" xfId="6411"/>
    <cellStyle name="Percent 3 4 9 2 5" xfId="6412"/>
    <cellStyle name="Percent 3 4 9 3" xfId="6413"/>
    <cellStyle name="Percent 3 4 9 3 2" xfId="6414"/>
    <cellStyle name="Percent 3 4 9 3 2 2" xfId="6415"/>
    <cellStyle name="Percent 3 4 9 3 3" xfId="6416"/>
    <cellStyle name="Percent 3 4 9 3 3 2" xfId="6417"/>
    <cellStyle name="Percent 3 4 9 3 4" xfId="6418"/>
    <cellStyle name="Percent 3 4 9 4" xfId="6419"/>
    <cellStyle name="Percent 3 4 9 4 2" xfId="6420"/>
    <cellStyle name="Percent 3 4 9 4 2 2" xfId="6421"/>
    <cellStyle name="Percent 3 4 9 4 3" xfId="6422"/>
    <cellStyle name="Percent 3 4 9 4 3 2" xfId="6423"/>
    <cellStyle name="Percent 3 4 9 4 4" xfId="6424"/>
    <cellStyle name="Percent 3 4 9 5" xfId="6425"/>
    <cellStyle name="Percent 3 4 9 5 2" xfId="6426"/>
    <cellStyle name="Percent 3 4 9 5 2 2" xfId="6427"/>
    <cellStyle name="Percent 3 4 9 5 3" xfId="6428"/>
    <cellStyle name="Percent 3 4 9 5 3 2" xfId="6429"/>
    <cellStyle name="Percent 3 4 9 5 4" xfId="6430"/>
    <cellStyle name="Percent 3 4 9 5 4 2" xfId="6431"/>
    <cellStyle name="Percent 3 4 9 5 5" xfId="6432"/>
    <cellStyle name="Percent 3 4 9 6" xfId="6433"/>
    <cellStyle name="Percent 3 4 9 6 2" xfId="6434"/>
    <cellStyle name="Percent 3 4 9 6 2 2" xfId="6435"/>
    <cellStyle name="Percent 3 4 9 6 3" xfId="6436"/>
    <cellStyle name="Percent 3 4 9 6 3 2" xfId="6437"/>
    <cellStyle name="Percent 3 4 9 6 4" xfId="6438"/>
    <cellStyle name="Percent 3 4 9 7" xfId="6439"/>
    <cellStyle name="Percent 3 4 9 7 2" xfId="6440"/>
    <cellStyle name="Percent 3 4 9 8" xfId="6441"/>
    <cellStyle name="Percent 3 4 9 8 2" xfId="6442"/>
    <cellStyle name="Percent 3 4 9 9" xfId="6443"/>
    <cellStyle name="Percent 3 4 9 9 2" xfId="6444"/>
    <cellStyle name="Percent 3 5 26" xfId="6445"/>
    <cellStyle name="Percent 3 5 10 12" xfId="6446"/>
    <cellStyle name="Percent 3 5 10 10" xfId="6447"/>
    <cellStyle name="Percent 3 5 10 11" xfId="6448"/>
    <cellStyle name="Percent 3 5 10 2" xfId="6449"/>
    <cellStyle name="Percent 3 5 10 2 2" xfId="6450"/>
    <cellStyle name="Percent 3 5 10 2 2 2" xfId="6451"/>
    <cellStyle name="Percent 3 5 10 2 3" xfId="6452"/>
    <cellStyle name="Percent 3 5 10 2 3 2" xfId="6453"/>
    <cellStyle name="Percent 3 5 10 2 4" xfId="6454"/>
    <cellStyle name="Percent 3 5 10 2 5" xfId="6455"/>
    <cellStyle name="Percent 3 5 10 3" xfId="6456"/>
    <cellStyle name="Percent 3 5 10 3 2" xfId="6457"/>
    <cellStyle name="Percent 3 5 10 3 2 2" xfId="6458"/>
    <cellStyle name="Percent 3 5 10 3 3" xfId="6459"/>
    <cellStyle name="Percent 3 5 10 3 3 2" xfId="6460"/>
    <cellStyle name="Percent 3 5 10 3 4" xfId="6461"/>
    <cellStyle name="Percent 3 5 10 4" xfId="6462"/>
    <cellStyle name="Percent 3 5 10 4 2" xfId="6463"/>
    <cellStyle name="Percent 3 5 10 4 2 2" xfId="6464"/>
    <cellStyle name="Percent 3 5 10 4 3" xfId="6465"/>
    <cellStyle name="Percent 3 5 10 4 3 2" xfId="6466"/>
    <cellStyle name="Percent 3 5 10 4 4" xfId="6467"/>
    <cellStyle name="Percent 3 5 10 5" xfId="6468"/>
    <cellStyle name="Percent 3 5 10 5 2" xfId="6469"/>
    <cellStyle name="Percent 3 5 10 5 2 2" xfId="6470"/>
    <cellStyle name="Percent 3 5 10 5 3" xfId="6471"/>
    <cellStyle name="Percent 3 5 10 5 3 2" xfId="6472"/>
    <cellStyle name="Percent 3 5 10 5 4" xfId="6473"/>
    <cellStyle name="Percent 3 5 10 5 4 2" xfId="6474"/>
    <cellStyle name="Percent 3 5 10 5 5" xfId="6475"/>
    <cellStyle name="Percent 3 5 10 6" xfId="6476"/>
    <cellStyle name="Percent 3 5 10 6 2" xfId="6477"/>
    <cellStyle name="Percent 3 5 10 6 2 2" xfId="6478"/>
    <cellStyle name="Percent 3 5 10 6 3" xfId="6479"/>
    <cellStyle name="Percent 3 5 10 6 3 2" xfId="6480"/>
    <cellStyle name="Percent 3 5 10 6 4" xfId="6481"/>
    <cellStyle name="Percent 3 5 10 7" xfId="6482"/>
    <cellStyle name="Percent 3 5 10 7 2" xfId="6483"/>
    <cellStyle name="Percent 3 5 10 8" xfId="6484"/>
    <cellStyle name="Percent 3 5 10 8 2" xfId="6485"/>
    <cellStyle name="Percent 3 5 10 9" xfId="6486"/>
    <cellStyle name="Percent 3 5 10 9 2" xfId="6487"/>
    <cellStyle name="Percent 3 5 11 12" xfId="6488"/>
    <cellStyle name="Percent 3 5 11 10" xfId="6489"/>
    <cellStyle name="Percent 3 5 11 11" xfId="6490"/>
    <cellStyle name="Percent 3 5 11 2" xfId="6491"/>
    <cellStyle name="Percent 3 5 11 2 2" xfId="6492"/>
    <cellStyle name="Percent 3 5 11 2 2 2" xfId="6493"/>
    <cellStyle name="Percent 3 5 11 2 3" xfId="6494"/>
    <cellStyle name="Percent 3 5 11 2 3 2" xfId="6495"/>
    <cellStyle name="Percent 3 5 11 2 4" xfId="6496"/>
    <cellStyle name="Percent 3 5 11 2 5" xfId="6497"/>
    <cellStyle name="Percent 3 5 11 3" xfId="6498"/>
    <cellStyle name="Percent 3 5 11 3 2" xfId="6499"/>
    <cellStyle name="Percent 3 5 11 3 2 2" xfId="6500"/>
    <cellStyle name="Percent 3 5 11 3 3" xfId="6501"/>
    <cellStyle name="Percent 3 5 11 3 3 2" xfId="6502"/>
    <cellStyle name="Percent 3 5 11 3 4" xfId="6503"/>
    <cellStyle name="Percent 3 5 11 4" xfId="6504"/>
    <cellStyle name="Percent 3 5 11 4 2" xfId="6505"/>
    <cellStyle name="Percent 3 5 11 4 2 2" xfId="6506"/>
    <cellStyle name="Percent 3 5 11 4 3" xfId="6507"/>
    <cellStyle name="Percent 3 5 11 4 3 2" xfId="6508"/>
    <cellStyle name="Percent 3 5 11 4 4" xfId="6509"/>
    <cellStyle name="Percent 3 5 11 5" xfId="6510"/>
    <cellStyle name="Percent 3 5 11 5 2" xfId="6511"/>
    <cellStyle name="Percent 3 5 11 5 2 2" xfId="6512"/>
    <cellStyle name="Percent 3 5 11 5 3" xfId="6513"/>
    <cellStyle name="Percent 3 5 11 5 3 2" xfId="6514"/>
    <cellStyle name="Percent 3 5 11 5 4" xfId="6515"/>
    <cellStyle name="Percent 3 5 11 5 4 2" xfId="6516"/>
    <cellStyle name="Percent 3 5 11 5 5" xfId="6517"/>
    <cellStyle name="Percent 3 5 11 6" xfId="6518"/>
    <cellStyle name="Percent 3 5 11 6 2" xfId="6519"/>
    <cellStyle name="Percent 3 5 11 6 2 2" xfId="6520"/>
    <cellStyle name="Percent 3 5 11 6 3" xfId="6521"/>
    <cellStyle name="Percent 3 5 11 6 3 2" xfId="6522"/>
    <cellStyle name="Percent 3 5 11 6 4" xfId="6523"/>
    <cellStyle name="Percent 3 5 11 7" xfId="6524"/>
    <cellStyle name="Percent 3 5 11 7 2" xfId="6525"/>
    <cellStyle name="Percent 3 5 11 8" xfId="6526"/>
    <cellStyle name="Percent 3 5 11 8 2" xfId="6527"/>
    <cellStyle name="Percent 3 5 11 9" xfId="6528"/>
    <cellStyle name="Percent 3 5 11 9 2" xfId="6529"/>
    <cellStyle name="Percent 3 5 12 12" xfId="6530"/>
    <cellStyle name="Percent 3 5 12 10" xfId="6531"/>
    <cellStyle name="Percent 3 5 12 11" xfId="6532"/>
    <cellStyle name="Percent 3 5 12 2" xfId="6533"/>
    <cellStyle name="Percent 3 5 12 2 2" xfId="6534"/>
    <cellStyle name="Percent 3 5 12 2 2 2" xfId="6535"/>
    <cellStyle name="Percent 3 5 12 2 3" xfId="6536"/>
    <cellStyle name="Percent 3 5 12 2 3 2" xfId="6537"/>
    <cellStyle name="Percent 3 5 12 2 4" xfId="6538"/>
    <cellStyle name="Percent 3 5 12 2 5" xfId="6539"/>
    <cellStyle name="Percent 3 5 12 3" xfId="6540"/>
    <cellStyle name="Percent 3 5 12 3 2" xfId="6541"/>
    <cellStyle name="Percent 3 5 12 3 2 2" xfId="6542"/>
    <cellStyle name="Percent 3 5 12 3 3" xfId="6543"/>
    <cellStyle name="Percent 3 5 12 3 3 2" xfId="6544"/>
    <cellStyle name="Percent 3 5 12 3 4" xfId="6545"/>
    <cellStyle name="Percent 3 5 12 4" xfId="6546"/>
    <cellStyle name="Percent 3 5 12 4 2" xfId="6547"/>
    <cellStyle name="Percent 3 5 12 4 2 2" xfId="6548"/>
    <cellStyle name="Percent 3 5 12 4 3" xfId="6549"/>
    <cellStyle name="Percent 3 5 12 4 3 2" xfId="6550"/>
    <cellStyle name="Percent 3 5 12 4 4" xfId="6551"/>
    <cellStyle name="Percent 3 5 12 5" xfId="6552"/>
    <cellStyle name="Percent 3 5 12 5 2" xfId="6553"/>
    <cellStyle name="Percent 3 5 12 5 2 2" xfId="6554"/>
    <cellStyle name="Percent 3 5 12 5 3" xfId="6555"/>
    <cellStyle name="Percent 3 5 12 5 3 2" xfId="6556"/>
    <cellStyle name="Percent 3 5 12 5 4" xfId="6557"/>
    <cellStyle name="Percent 3 5 12 5 4 2" xfId="6558"/>
    <cellStyle name="Percent 3 5 12 5 5" xfId="6559"/>
    <cellStyle name="Percent 3 5 12 6" xfId="6560"/>
    <cellStyle name="Percent 3 5 12 6 2" xfId="6561"/>
    <cellStyle name="Percent 3 5 12 6 2 2" xfId="6562"/>
    <cellStyle name="Percent 3 5 12 6 3" xfId="6563"/>
    <cellStyle name="Percent 3 5 12 6 3 2" xfId="6564"/>
    <cellStyle name="Percent 3 5 12 6 4" xfId="6565"/>
    <cellStyle name="Percent 3 5 12 7" xfId="6566"/>
    <cellStyle name="Percent 3 5 12 7 2" xfId="6567"/>
    <cellStyle name="Percent 3 5 12 8" xfId="6568"/>
    <cellStyle name="Percent 3 5 12 8 2" xfId="6569"/>
    <cellStyle name="Percent 3 5 12 9" xfId="6570"/>
    <cellStyle name="Percent 3 5 12 9 2" xfId="6571"/>
    <cellStyle name="Percent 3 5 13 12" xfId="6572"/>
    <cellStyle name="Percent 3 5 13 10" xfId="6573"/>
    <cellStyle name="Percent 3 5 13 11" xfId="6574"/>
    <cellStyle name="Percent 3 5 13 2" xfId="6575"/>
    <cellStyle name="Percent 3 5 13 2 2" xfId="6576"/>
    <cellStyle name="Percent 3 5 13 2 2 2" xfId="6577"/>
    <cellStyle name="Percent 3 5 13 2 3" xfId="6578"/>
    <cellStyle name="Percent 3 5 13 2 3 2" xfId="6579"/>
    <cellStyle name="Percent 3 5 13 2 4" xfId="6580"/>
    <cellStyle name="Percent 3 5 13 2 5" xfId="6581"/>
    <cellStyle name="Percent 3 5 13 3" xfId="6582"/>
    <cellStyle name="Percent 3 5 13 3 2" xfId="6583"/>
    <cellStyle name="Percent 3 5 13 3 2 2" xfId="6584"/>
    <cellStyle name="Percent 3 5 13 3 3" xfId="6585"/>
    <cellStyle name="Percent 3 5 13 3 3 2" xfId="6586"/>
    <cellStyle name="Percent 3 5 13 3 4" xfId="6587"/>
    <cellStyle name="Percent 3 5 13 4" xfId="6588"/>
    <cellStyle name="Percent 3 5 13 4 2" xfId="6589"/>
    <cellStyle name="Percent 3 5 13 4 2 2" xfId="6590"/>
    <cellStyle name="Percent 3 5 13 4 3" xfId="6591"/>
    <cellStyle name="Percent 3 5 13 4 3 2" xfId="6592"/>
    <cellStyle name="Percent 3 5 13 4 4" xfId="6593"/>
    <cellStyle name="Percent 3 5 13 5" xfId="6594"/>
    <cellStyle name="Percent 3 5 13 5 2" xfId="6595"/>
    <cellStyle name="Percent 3 5 13 5 2 2" xfId="6596"/>
    <cellStyle name="Percent 3 5 13 5 3" xfId="6597"/>
    <cellStyle name="Percent 3 5 13 5 3 2" xfId="6598"/>
    <cellStyle name="Percent 3 5 13 5 4" xfId="6599"/>
    <cellStyle name="Percent 3 5 13 5 4 2" xfId="6600"/>
    <cellStyle name="Percent 3 5 13 5 5" xfId="6601"/>
    <cellStyle name="Percent 3 5 13 6" xfId="6602"/>
    <cellStyle name="Percent 3 5 13 6 2" xfId="6603"/>
    <cellStyle name="Percent 3 5 13 6 2 2" xfId="6604"/>
    <cellStyle name="Percent 3 5 13 6 3" xfId="6605"/>
    <cellStyle name="Percent 3 5 13 6 3 2" xfId="6606"/>
    <cellStyle name="Percent 3 5 13 6 4" xfId="6607"/>
    <cellStyle name="Percent 3 5 13 7" xfId="6608"/>
    <cellStyle name="Percent 3 5 13 7 2" xfId="6609"/>
    <cellStyle name="Percent 3 5 13 8" xfId="6610"/>
    <cellStyle name="Percent 3 5 13 8 2" xfId="6611"/>
    <cellStyle name="Percent 3 5 13 9" xfId="6612"/>
    <cellStyle name="Percent 3 5 13 9 2" xfId="6613"/>
    <cellStyle name="Percent 3 5 14 12" xfId="6614"/>
    <cellStyle name="Percent 3 5 14 10" xfId="6615"/>
    <cellStyle name="Percent 3 5 14 11" xfId="6616"/>
    <cellStyle name="Percent 3 5 14 2" xfId="6617"/>
    <cellStyle name="Percent 3 5 14 2 2" xfId="6618"/>
    <cellStyle name="Percent 3 5 14 2 2 2" xfId="6619"/>
    <cellStyle name="Percent 3 5 14 2 3" xfId="6620"/>
    <cellStyle name="Percent 3 5 14 2 3 2" xfId="6621"/>
    <cellStyle name="Percent 3 5 14 2 4" xfId="6622"/>
    <cellStyle name="Percent 3 5 14 2 5" xfId="6623"/>
    <cellStyle name="Percent 3 5 14 3" xfId="6624"/>
    <cellStyle name="Percent 3 5 14 3 2" xfId="6625"/>
    <cellStyle name="Percent 3 5 14 3 2 2" xfId="6626"/>
    <cellStyle name="Percent 3 5 14 3 3" xfId="6627"/>
    <cellStyle name="Percent 3 5 14 3 3 2" xfId="6628"/>
    <cellStyle name="Percent 3 5 14 3 4" xfId="6629"/>
    <cellStyle name="Percent 3 5 14 4" xfId="6630"/>
    <cellStyle name="Percent 3 5 14 4 2" xfId="6631"/>
    <cellStyle name="Percent 3 5 14 4 2 2" xfId="6632"/>
    <cellStyle name="Percent 3 5 14 4 3" xfId="6633"/>
    <cellStyle name="Percent 3 5 14 4 3 2" xfId="6634"/>
    <cellStyle name="Percent 3 5 14 4 4" xfId="6635"/>
    <cellStyle name="Percent 3 5 14 5" xfId="6636"/>
    <cellStyle name="Percent 3 5 14 5 2" xfId="6637"/>
    <cellStyle name="Percent 3 5 14 5 2 2" xfId="6638"/>
    <cellStyle name="Percent 3 5 14 5 3" xfId="6639"/>
    <cellStyle name="Percent 3 5 14 5 3 2" xfId="6640"/>
    <cellStyle name="Percent 3 5 14 5 4" xfId="6641"/>
    <cellStyle name="Percent 3 5 14 5 4 2" xfId="6642"/>
    <cellStyle name="Percent 3 5 14 5 5" xfId="6643"/>
    <cellStyle name="Percent 3 5 14 6" xfId="6644"/>
    <cellStyle name="Percent 3 5 14 6 2" xfId="6645"/>
    <cellStyle name="Percent 3 5 14 6 2 2" xfId="6646"/>
    <cellStyle name="Percent 3 5 14 6 3" xfId="6647"/>
    <cellStyle name="Percent 3 5 14 6 3 2" xfId="6648"/>
    <cellStyle name="Percent 3 5 14 6 4" xfId="6649"/>
    <cellStyle name="Percent 3 5 14 7" xfId="6650"/>
    <cellStyle name="Percent 3 5 14 7 2" xfId="6651"/>
    <cellStyle name="Percent 3 5 14 8" xfId="6652"/>
    <cellStyle name="Percent 3 5 14 8 2" xfId="6653"/>
    <cellStyle name="Percent 3 5 14 9" xfId="6654"/>
    <cellStyle name="Percent 3 5 14 9 2" xfId="6655"/>
    <cellStyle name="Percent 3 5 15 12" xfId="6656"/>
    <cellStyle name="Percent 3 5 15 10" xfId="6657"/>
    <cellStyle name="Percent 3 5 15 11" xfId="6658"/>
    <cellStyle name="Percent 3 5 15 2" xfId="6659"/>
    <cellStyle name="Percent 3 5 15 2 2" xfId="6660"/>
    <cellStyle name="Percent 3 5 15 2 2 2" xfId="6661"/>
    <cellStyle name="Percent 3 5 15 2 3" xfId="6662"/>
    <cellStyle name="Percent 3 5 15 2 3 2" xfId="6663"/>
    <cellStyle name="Percent 3 5 15 2 4" xfId="6664"/>
    <cellStyle name="Percent 3 5 15 2 5" xfId="6665"/>
    <cellStyle name="Percent 3 5 15 3" xfId="6666"/>
    <cellStyle name="Percent 3 5 15 3 2" xfId="6667"/>
    <cellStyle name="Percent 3 5 15 3 2 2" xfId="6668"/>
    <cellStyle name="Percent 3 5 15 3 3" xfId="6669"/>
    <cellStyle name="Percent 3 5 15 3 3 2" xfId="6670"/>
    <cellStyle name="Percent 3 5 15 3 4" xfId="6671"/>
    <cellStyle name="Percent 3 5 15 4" xfId="6672"/>
    <cellStyle name="Percent 3 5 15 4 2" xfId="6673"/>
    <cellStyle name="Percent 3 5 15 4 2 2" xfId="6674"/>
    <cellStyle name="Percent 3 5 15 4 3" xfId="6675"/>
    <cellStyle name="Percent 3 5 15 4 3 2" xfId="6676"/>
    <cellStyle name="Percent 3 5 15 4 4" xfId="6677"/>
    <cellStyle name="Percent 3 5 15 5" xfId="6678"/>
    <cellStyle name="Percent 3 5 15 5 2" xfId="6679"/>
    <cellStyle name="Percent 3 5 15 5 2 2" xfId="6680"/>
    <cellStyle name="Percent 3 5 15 5 3" xfId="6681"/>
    <cellStyle name="Percent 3 5 15 5 3 2" xfId="6682"/>
    <cellStyle name="Percent 3 5 15 5 4" xfId="6683"/>
    <cellStyle name="Percent 3 5 15 5 4 2" xfId="6684"/>
    <cellStyle name="Percent 3 5 15 5 5" xfId="6685"/>
    <cellStyle name="Percent 3 5 15 6" xfId="6686"/>
    <cellStyle name="Percent 3 5 15 6 2" xfId="6687"/>
    <cellStyle name="Percent 3 5 15 6 2 2" xfId="6688"/>
    <cellStyle name="Percent 3 5 15 6 3" xfId="6689"/>
    <cellStyle name="Percent 3 5 15 6 3 2" xfId="6690"/>
    <cellStyle name="Percent 3 5 15 6 4" xfId="6691"/>
    <cellStyle name="Percent 3 5 15 7" xfId="6692"/>
    <cellStyle name="Percent 3 5 15 7 2" xfId="6693"/>
    <cellStyle name="Percent 3 5 15 8" xfId="6694"/>
    <cellStyle name="Percent 3 5 15 8 2" xfId="6695"/>
    <cellStyle name="Percent 3 5 15 9" xfId="6696"/>
    <cellStyle name="Percent 3 5 15 9 2" xfId="6697"/>
    <cellStyle name="Percent 3 5 16 6" xfId="6698"/>
    <cellStyle name="Percent 3 5 16 2" xfId="6699"/>
    <cellStyle name="Percent 3 5 16 2 2" xfId="6700"/>
    <cellStyle name="Percent 3 5 16 3" xfId="6701"/>
    <cellStyle name="Percent 3 5 16 3 2" xfId="6702"/>
    <cellStyle name="Percent 3 5 16 4" xfId="6703"/>
    <cellStyle name="Percent 3 5 16 5" xfId="6704"/>
    <cellStyle name="Percent 3 5 17" xfId="6705"/>
    <cellStyle name="Percent 3 5 17 2" xfId="6706"/>
    <cellStyle name="Percent 3 5 17 2 2" xfId="6707"/>
    <cellStyle name="Percent 3 5 17 3" xfId="6708"/>
    <cellStyle name="Percent 3 5 17 3 2" xfId="6709"/>
    <cellStyle name="Percent 3 5 17 4" xfId="6710"/>
    <cellStyle name="Percent 3 5 17 5" xfId="6711"/>
    <cellStyle name="Percent 3 5 18" xfId="6712"/>
    <cellStyle name="Percent 3 5 18 2" xfId="6713"/>
    <cellStyle name="Percent 3 5 18 2 2" xfId="6714"/>
    <cellStyle name="Percent 3 5 18 3" xfId="6715"/>
    <cellStyle name="Percent 3 5 18 3 2" xfId="6716"/>
    <cellStyle name="Percent 3 5 18 4" xfId="6717"/>
    <cellStyle name="Percent 3 5 19" xfId="6718"/>
    <cellStyle name="Percent 3 5 19 2" xfId="6719"/>
    <cellStyle name="Percent 3 5 19 2 2" xfId="6720"/>
    <cellStyle name="Percent 3 5 19 3" xfId="6721"/>
    <cellStyle name="Percent 3 5 19 3 2" xfId="6722"/>
    <cellStyle name="Percent 3 5 19 4" xfId="6723"/>
    <cellStyle name="Percent 3 5 19 4 2" xfId="6724"/>
    <cellStyle name="Percent 3 5 19 5" xfId="6725"/>
    <cellStyle name="Percent 3 5 2 12" xfId="6726"/>
    <cellStyle name="Percent 3 5 2 10" xfId="6727"/>
    <cellStyle name="Percent 3 5 2 11" xfId="6728"/>
    <cellStyle name="Percent 3 5 2 2" xfId="6729"/>
    <cellStyle name="Percent 3 5 2 2 2" xfId="6730"/>
    <cellStyle name="Percent 3 5 2 2 2 2" xfId="6731"/>
    <cellStyle name="Percent 3 5 2 2 3" xfId="6732"/>
    <cellStyle name="Percent 3 5 2 2 3 2" xfId="6733"/>
    <cellStyle name="Percent 3 5 2 2 4" xfId="6734"/>
    <cellStyle name="Percent 3 5 2 2 5" xfId="6735"/>
    <cellStyle name="Percent 3 5 2 3" xfId="6736"/>
    <cellStyle name="Percent 3 5 2 3 2" xfId="6737"/>
    <cellStyle name="Percent 3 5 2 3 2 2" xfId="6738"/>
    <cellStyle name="Percent 3 5 2 3 3" xfId="6739"/>
    <cellStyle name="Percent 3 5 2 3 3 2" xfId="6740"/>
    <cellStyle name="Percent 3 5 2 3 4" xfId="6741"/>
    <cellStyle name="Percent 3 5 2 4" xfId="6742"/>
    <cellStyle name="Percent 3 5 2 4 2" xfId="6743"/>
    <cellStyle name="Percent 3 5 2 4 2 2" xfId="6744"/>
    <cellStyle name="Percent 3 5 2 4 3" xfId="6745"/>
    <cellStyle name="Percent 3 5 2 4 3 2" xfId="6746"/>
    <cellStyle name="Percent 3 5 2 4 4" xfId="6747"/>
    <cellStyle name="Percent 3 5 2 5" xfId="6748"/>
    <cellStyle name="Percent 3 5 2 5 2" xfId="6749"/>
    <cellStyle name="Percent 3 5 2 5 2 2" xfId="6750"/>
    <cellStyle name="Percent 3 5 2 5 3" xfId="6751"/>
    <cellStyle name="Percent 3 5 2 5 3 2" xfId="6752"/>
    <cellStyle name="Percent 3 5 2 5 4" xfId="6753"/>
    <cellStyle name="Percent 3 5 2 5 4 2" xfId="6754"/>
    <cellStyle name="Percent 3 5 2 5 5" xfId="6755"/>
    <cellStyle name="Percent 3 5 2 6" xfId="6756"/>
    <cellStyle name="Percent 3 5 2 6 2" xfId="6757"/>
    <cellStyle name="Percent 3 5 2 6 2 2" xfId="6758"/>
    <cellStyle name="Percent 3 5 2 6 3" xfId="6759"/>
    <cellStyle name="Percent 3 5 2 6 3 2" xfId="6760"/>
    <cellStyle name="Percent 3 5 2 6 4" xfId="6761"/>
    <cellStyle name="Percent 3 5 2 7" xfId="6762"/>
    <cellStyle name="Percent 3 5 2 7 2" xfId="6763"/>
    <cellStyle name="Percent 3 5 2 8" xfId="6764"/>
    <cellStyle name="Percent 3 5 2 8 2" xfId="6765"/>
    <cellStyle name="Percent 3 5 2 9" xfId="6766"/>
    <cellStyle name="Percent 3 5 2 9 2" xfId="6767"/>
    <cellStyle name="Percent 3 5 20" xfId="6768"/>
    <cellStyle name="Percent 3 5 20 2" xfId="6769"/>
    <cellStyle name="Percent 3 5 20 2 2" xfId="6770"/>
    <cellStyle name="Percent 3 5 20 3" xfId="6771"/>
    <cellStyle name="Percent 3 5 20 3 2" xfId="6772"/>
    <cellStyle name="Percent 3 5 20 4" xfId="6773"/>
    <cellStyle name="Percent 3 5 21" xfId="6774"/>
    <cellStyle name="Percent 3 5 21 2" xfId="6775"/>
    <cellStyle name="Percent 3 5 22" xfId="6776"/>
    <cellStyle name="Percent 3 5 22 2" xfId="6777"/>
    <cellStyle name="Percent 3 5 23" xfId="6778"/>
    <cellStyle name="Percent 3 5 23 2" xfId="6779"/>
    <cellStyle name="Percent 3 5 24" xfId="6780"/>
    <cellStyle name="Percent 3 5 25" xfId="6781"/>
    <cellStyle name="Percent 3 5 3 12" xfId="6782"/>
    <cellStyle name="Percent 3 5 3 10" xfId="6783"/>
    <cellStyle name="Percent 3 5 3 11" xfId="6784"/>
    <cellStyle name="Percent 3 5 3 2" xfId="6785"/>
    <cellStyle name="Percent 3 5 3 2 2" xfId="6786"/>
    <cellStyle name="Percent 3 5 3 2 2 2" xfId="6787"/>
    <cellStyle name="Percent 3 5 3 2 3" xfId="6788"/>
    <cellStyle name="Percent 3 5 3 2 3 2" xfId="6789"/>
    <cellStyle name="Percent 3 5 3 2 4" xfId="6790"/>
    <cellStyle name="Percent 3 5 3 2 5" xfId="6791"/>
    <cellStyle name="Percent 3 5 3 3" xfId="6792"/>
    <cellStyle name="Percent 3 5 3 3 2" xfId="6793"/>
    <cellStyle name="Percent 3 5 3 3 2 2" xfId="6794"/>
    <cellStyle name="Percent 3 5 3 3 3" xfId="6795"/>
    <cellStyle name="Percent 3 5 3 3 3 2" xfId="6796"/>
    <cellStyle name="Percent 3 5 3 3 4" xfId="6797"/>
    <cellStyle name="Percent 3 5 3 4" xfId="6798"/>
    <cellStyle name="Percent 3 5 3 4 2" xfId="6799"/>
    <cellStyle name="Percent 3 5 3 4 2 2" xfId="6800"/>
    <cellStyle name="Percent 3 5 3 4 3" xfId="6801"/>
    <cellStyle name="Percent 3 5 3 4 3 2" xfId="6802"/>
    <cellStyle name="Percent 3 5 3 4 4" xfId="6803"/>
    <cellStyle name="Percent 3 5 3 5" xfId="6804"/>
    <cellStyle name="Percent 3 5 3 5 2" xfId="6805"/>
    <cellStyle name="Percent 3 5 3 5 2 2" xfId="6806"/>
    <cellStyle name="Percent 3 5 3 5 3" xfId="6807"/>
    <cellStyle name="Percent 3 5 3 5 3 2" xfId="6808"/>
    <cellStyle name="Percent 3 5 3 5 4" xfId="6809"/>
    <cellStyle name="Percent 3 5 3 5 4 2" xfId="6810"/>
    <cellStyle name="Percent 3 5 3 5 5" xfId="6811"/>
    <cellStyle name="Percent 3 5 3 6" xfId="6812"/>
    <cellStyle name="Percent 3 5 3 6 2" xfId="6813"/>
    <cellStyle name="Percent 3 5 3 6 2 2" xfId="6814"/>
    <cellStyle name="Percent 3 5 3 6 3" xfId="6815"/>
    <cellStyle name="Percent 3 5 3 6 3 2" xfId="6816"/>
    <cellStyle name="Percent 3 5 3 6 4" xfId="6817"/>
    <cellStyle name="Percent 3 5 3 7" xfId="6818"/>
    <cellStyle name="Percent 3 5 3 7 2" xfId="6819"/>
    <cellStyle name="Percent 3 5 3 8" xfId="6820"/>
    <cellStyle name="Percent 3 5 3 8 2" xfId="6821"/>
    <cellStyle name="Percent 3 5 3 9" xfId="6822"/>
    <cellStyle name="Percent 3 5 3 9 2" xfId="6823"/>
    <cellStyle name="Percent 3 5 4 12" xfId="6824"/>
    <cellStyle name="Percent 3 5 4 10" xfId="6825"/>
    <cellStyle name="Percent 3 5 4 11" xfId="6826"/>
    <cellStyle name="Percent 3 5 4 2" xfId="6827"/>
    <cellStyle name="Percent 3 5 4 2 2" xfId="6828"/>
    <cellStyle name="Percent 3 5 4 2 2 2" xfId="6829"/>
    <cellStyle name="Percent 3 5 4 2 3" xfId="6830"/>
    <cellStyle name="Percent 3 5 4 2 3 2" xfId="6831"/>
    <cellStyle name="Percent 3 5 4 2 4" xfId="6832"/>
    <cellStyle name="Percent 3 5 4 2 5" xfId="6833"/>
    <cellStyle name="Percent 3 5 4 3" xfId="6834"/>
    <cellStyle name="Percent 3 5 4 3 2" xfId="6835"/>
    <cellStyle name="Percent 3 5 4 3 2 2" xfId="6836"/>
    <cellStyle name="Percent 3 5 4 3 3" xfId="6837"/>
    <cellStyle name="Percent 3 5 4 3 3 2" xfId="6838"/>
    <cellStyle name="Percent 3 5 4 3 4" xfId="6839"/>
    <cellStyle name="Percent 3 5 4 4" xfId="6840"/>
    <cellStyle name="Percent 3 5 4 4 2" xfId="6841"/>
    <cellStyle name="Percent 3 5 4 4 2 2" xfId="6842"/>
    <cellStyle name="Percent 3 5 4 4 3" xfId="6843"/>
    <cellStyle name="Percent 3 5 4 4 3 2" xfId="6844"/>
    <cellStyle name="Percent 3 5 4 4 4" xfId="6845"/>
    <cellStyle name="Percent 3 5 4 5" xfId="6846"/>
    <cellStyle name="Percent 3 5 4 5 2" xfId="6847"/>
    <cellStyle name="Percent 3 5 4 5 2 2" xfId="6848"/>
    <cellStyle name="Percent 3 5 4 5 3" xfId="6849"/>
    <cellStyle name="Percent 3 5 4 5 3 2" xfId="6850"/>
    <cellStyle name="Percent 3 5 4 5 4" xfId="6851"/>
    <cellStyle name="Percent 3 5 4 5 4 2" xfId="6852"/>
    <cellStyle name="Percent 3 5 4 5 5" xfId="6853"/>
    <cellStyle name="Percent 3 5 4 6" xfId="6854"/>
    <cellStyle name="Percent 3 5 4 6 2" xfId="6855"/>
    <cellStyle name="Percent 3 5 4 6 2 2" xfId="6856"/>
    <cellStyle name="Percent 3 5 4 6 3" xfId="6857"/>
    <cellStyle name="Percent 3 5 4 6 3 2" xfId="6858"/>
    <cellStyle name="Percent 3 5 4 6 4" xfId="6859"/>
    <cellStyle name="Percent 3 5 4 7" xfId="6860"/>
    <cellStyle name="Percent 3 5 4 7 2" xfId="6861"/>
    <cellStyle name="Percent 3 5 4 8" xfId="6862"/>
    <cellStyle name="Percent 3 5 4 8 2" xfId="6863"/>
    <cellStyle name="Percent 3 5 4 9" xfId="6864"/>
    <cellStyle name="Percent 3 5 4 9 2" xfId="6865"/>
    <cellStyle name="Percent 3 5 5 12" xfId="6866"/>
    <cellStyle name="Percent 3 5 5 10" xfId="6867"/>
    <cellStyle name="Percent 3 5 5 11" xfId="6868"/>
    <cellStyle name="Percent 3 5 5 2" xfId="6869"/>
    <cellStyle name="Percent 3 5 5 2 2" xfId="6870"/>
    <cellStyle name="Percent 3 5 5 2 2 2" xfId="6871"/>
    <cellStyle name="Percent 3 5 5 2 3" xfId="6872"/>
    <cellStyle name="Percent 3 5 5 2 3 2" xfId="6873"/>
    <cellStyle name="Percent 3 5 5 2 4" xfId="6874"/>
    <cellStyle name="Percent 3 5 5 2 5" xfId="6875"/>
    <cellStyle name="Percent 3 5 5 3" xfId="6876"/>
    <cellStyle name="Percent 3 5 5 3 2" xfId="6877"/>
    <cellStyle name="Percent 3 5 5 3 2 2" xfId="6878"/>
    <cellStyle name="Percent 3 5 5 3 3" xfId="6879"/>
    <cellStyle name="Percent 3 5 5 3 3 2" xfId="6880"/>
    <cellStyle name="Percent 3 5 5 3 4" xfId="6881"/>
    <cellStyle name="Percent 3 5 5 4" xfId="6882"/>
    <cellStyle name="Percent 3 5 5 4 2" xfId="6883"/>
    <cellStyle name="Percent 3 5 5 4 2 2" xfId="6884"/>
    <cellStyle name="Percent 3 5 5 4 3" xfId="6885"/>
    <cellStyle name="Percent 3 5 5 4 3 2" xfId="6886"/>
    <cellStyle name="Percent 3 5 5 4 4" xfId="6887"/>
    <cellStyle name="Percent 3 5 5 5" xfId="6888"/>
    <cellStyle name="Percent 3 5 5 5 2" xfId="6889"/>
    <cellStyle name="Percent 3 5 5 5 2 2" xfId="6890"/>
    <cellStyle name="Percent 3 5 5 5 3" xfId="6891"/>
    <cellStyle name="Percent 3 5 5 5 3 2" xfId="6892"/>
    <cellStyle name="Percent 3 5 5 5 4" xfId="6893"/>
    <cellStyle name="Percent 3 5 5 5 4 2" xfId="6894"/>
    <cellStyle name="Percent 3 5 5 5 5" xfId="6895"/>
    <cellStyle name="Percent 3 5 5 6" xfId="6896"/>
    <cellStyle name="Percent 3 5 5 6 2" xfId="6897"/>
    <cellStyle name="Percent 3 5 5 6 2 2" xfId="6898"/>
    <cellStyle name="Percent 3 5 5 6 3" xfId="6899"/>
    <cellStyle name="Percent 3 5 5 6 3 2" xfId="6900"/>
    <cellStyle name="Percent 3 5 5 6 4" xfId="6901"/>
    <cellStyle name="Percent 3 5 5 7" xfId="6902"/>
    <cellStyle name="Percent 3 5 5 7 2" xfId="6903"/>
    <cellStyle name="Percent 3 5 5 8" xfId="6904"/>
    <cellStyle name="Percent 3 5 5 8 2" xfId="6905"/>
    <cellStyle name="Percent 3 5 5 9" xfId="6906"/>
    <cellStyle name="Percent 3 5 5 9 2" xfId="6907"/>
    <cellStyle name="Percent 3 5 6 12" xfId="6908"/>
    <cellStyle name="Percent 3 5 6 10" xfId="6909"/>
    <cellStyle name="Percent 3 5 6 11" xfId="6910"/>
    <cellStyle name="Percent 3 5 6 2" xfId="6911"/>
    <cellStyle name="Percent 3 5 6 2 2" xfId="6912"/>
    <cellStyle name="Percent 3 5 6 2 2 2" xfId="6913"/>
    <cellStyle name="Percent 3 5 6 2 3" xfId="6914"/>
    <cellStyle name="Percent 3 5 6 2 3 2" xfId="6915"/>
    <cellStyle name="Percent 3 5 6 2 4" xfId="6916"/>
    <cellStyle name="Percent 3 5 6 2 5" xfId="6917"/>
    <cellStyle name="Percent 3 5 6 3" xfId="6918"/>
    <cellStyle name="Percent 3 5 6 3 2" xfId="6919"/>
    <cellStyle name="Percent 3 5 6 3 2 2" xfId="6920"/>
    <cellStyle name="Percent 3 5 6 3 3" xfId="6921"/>
    <cellStyle name="Percent 3 5 6 3 3 2" xfId="6922"/>
    <cellStyle name="Percent 3 5 6 3 4" xfId="6923"/>
    <cellStyle name="Percent 3 5 6 4" xfId="6924"/>
    <cellStyle name="Percent 3 5 6 4 2" xfId="6925"/>
    <cellStyle name="Percent 3 5 6 4 2 2" xfId="6926"/>
    <cellStyle name="Percent 3 5 6 4 3" xfId="6927"/>
    <cellStyle name="Percent 3 5 6 4 3 2" xfId="6928"/>
    <cellStyle name="Percent 3 5 6 4 4" xfId="6929"/>
    <cellStyle name="Percent 3 5 6 5" xfId="6930"/>
    <cellStyle name="Percent 3 5 6 5 2" xfId="6931"/>
    <cellStyle name="Percent 3 5 6 5 2 2" xfId="6932"/>
    <cellStyle name="Percent 3 5 6 5 3" xfId="6933"/>
    <cellStyle name="Percent 3 5 6 5 3 2" xfId="6934"/>
    <cellStyle name="Percent 3 5 6 5 4" xfId="6935"/>
    <cellStyle name="Percent 3 5 6 5 4 2" xfId="6936"/>
    <cellStyle name="Percent 3 5 6 5 5" xfId="6937"/>
    <cellStyle name="Percent 3 5 6 6" xfId="6938"/>
    <cellStyle name="Percent 3 5 6 6 2" xfId="6939"/>
    <cellStyle name="Percent 3 5 6 6 2 2" xfId="6940"/>
    <cellStyle name="Percent 3 5 6 6 3" xfId="6941"/>
    <cellStyle name="Percent 3 5 6 6 3 2" xfId="6942"/>
    <cellStyle name="Percent 3 5 6 6 4" xfId="6943"/>
    <cellStyle name="Percent 3 5 6 7" xfId="6944"/>
    <cellStyle name="Percent 3 5 6 7 2" xfId="6945"/>
    <cellStyle name="Percent 3 5 6 8" xfId="6946"/>
    <cellStyle name="Percent 3 5 6 8 2" xfId="6947"/>
    <cellStyle name="Percent 3 5 6 9" xfId="6948"/>
    <cellStyle name="Percent 3 5 6 9 2" xfId="6949"/>
    <cellStyle name="Percent 3 5 7 12" xfId="6950"/>
    <cellStyle name="Percent 3 5 7 10" xfId="6951"/>
    <cellStyle name="Percent 3 5 7 11" xfId="6952"/>
    <cellStyle name="Percent 3 5 7 2" xfId="6953"/>
    <cellStyle name="Percent 3 5 7 2 2" xfId="6954"/>
    <cellStyle name="Percent 3 5 7 2 2 2" xfId="6955"/>
    <cellStyle name="Percent 3 5 7 2 3" xfId="6956"/>
    <cellStyle name="Percent 3 5 7 2 3 2" xfId="6957"/>
    <cellStyle name="Percent 3 5 7 2 4" xfId="6958"/>
    <cellStyle name="Percent 3 5 7 2 5" xfId="6959"/>
    <cellStyle name="Percent 3 5 7 3" xfId="6960"/>
    <cellStyle name="Percent 3 5 7 3 2" xfId="6961"/>
    <cellStyle name="Percent 3 5 7 3 2 2" xfId="6962"/>
    <cellStyle name="Percent 3 5 7 3 3" xfId="6963"/>
    <cellStyle name="Percent 3 5 7 3 3 2" xfId="6964"/>
    <cellStyle name="Percent 3 5 7 3 4" xfId="6965"/>
    <cellStyle name="Percent 3 5 7 4" xfId="6966"/>
    <cellStyle name="Percent 3 5 7 4 2" xfId="6967"/>
    <cellStyle name="Percent 3 5 7 4 2 2" xfId="6968"/>
    <cellStyle name="Percent 3 5 7 4 3" xfId="6969"/>
    <cellStyle name="Percent 3 5 7 4 3 2" xfId="6970"/>
    <cellStyle name="Percent 3 5 7 4 4" xfId="6971"/>
    <cellStyle name="Percent 3 5 7 5" xfId="6972"/>
    <cellStyle name="Percent 3 5 7 5 2" xfId="6973"/>
    <cellStyle name="Percent 3 5 7 5 2 2" xfId="6974"/>
    <cellStyle name="Percent 3 5 7 5 3" xfId="6975"/>
    <cellStyle name="Percent 3 5 7 5 3 2" xfId="6976"/>
    <cellStyle name="Percent 3 5 7 5 4" xfId="6977"/>
    <cellStyle name="Percent 3 5 7 5 4 2" xfId="6978"/>
    <cellStyle name="Percent 3 5 7 5 5" xfId="6979"/>
    <cellStyle name="Percent 3 5 7 6" xfId="6980"/>
    <cellStyle name="Percent 3 5 7 6 2" xfId="6981"/>
    <cellStyle name="Percent 3 5 7 6 2 2" xfId="6982"/>
    <cellStyle name="Percent 3 5 7 6 3" xfId="6983"/>
    <cellStyle name="Percent 3 5 7 6 3 2" xfId="6984"/>
    <cellStyle name="Percent 3 5 7 6 4" xfId="6985"/>
    <cellStyle name="Percent 3 5 7 7" xfId="6986"/>
    <cellStyle name="Percent 3 5 7 7 2" xfId="6987"/>
    <cellStyle name="Percent 3 5 7 8" xfId="6988"/>
    <cellStyle name="Percent 3 5 7 8 2" xfId="6989"/>
    <cellStyle name="Percent 3 5 7 9" xfId="6990"/>
    <cellStyle name="Percent 3 5 7 9 2" xfId="6991"/>
    <cellStyle name="Percent 3 5 8 12" xfId="6992"/>
    <cellStyle name="Percent 3 5 8 10" xfId="6993"/>
    <cellStyle name="Percent 3 5 8 11" xfId="6994"/>
    <cellStyle name="Percent 3 5 8 2" xfId="6995"/>
    <cellStyle name="Percent 3 5 8 2 2" xfId="6996"/>
    <cellStyle name="Percent 3 5 8 2 2 2" xfId="6997"/>
    <cellStyle name="Percent 3 5 8 2 3" xfId="6998"/>
    <cellStyle name="Percent 3 5 8 2 3 2" xfId="6999"/>
    <cellStyle name="Percent 3 5 8 2 4" xfId="7000"/>
    <cellStyle name="Percent 3 5 8 2 5" xfId="7001"/>
    <cellStyle name="Percent 3 5 8 3" xfId="7002"/>
    <cellStyle name="Percent 3 5 8 3 2" xfId="7003"/>
    <cellStyle name="Percent 3 5 8 3 2 2" xfId="7004"/>
    <cellStyle name="Percent 3 5 8 3 3" xfId="7005"/>
    <cellStyle name="Percent 3 5 8 3 3 2" xfId="7006"/>
    <cellStyle name="Percent 3 5 8 3 4" xfId="7007"/>
    <cellStyle name="Percent 3 5 8 4" xfId="7008"/>
    <cellStyle name="Percent 3 5 8 4 2" xfId="7009"/>
    <cellStyle name="Percent 3 5 8 4 2 2" xfId="7010"/>
    <cellStyle name="Percent 3 5 8 4 3" xfId="7011"/>
    <cellStyle name="Percent 3 5 8 4 3 2" xfId="7012"/>
    <cellStyle name="Percent 3 5 8 4 4" xfId="7013"/>
    <cellStyle name="Percent 3 5 8 5" xfId="7014"/>
    <cellStyle name="Percent 3 5 8 5 2" xfId="7015"/>
    <cellStyle name="Percent 3 5 8 5 2 2" xfId="7016"/>
    <cellStyle name="Percent 3 5 8 5 3" xfId="7017"/>
    <cellStyle name="Percent 3 5 8 5 3 2" xfId="7018"/>
    <cellStyle name="Percent 3 5 8 5 4" xfId="7019"/>
    <cellStyle name="Percent 3 5 8 5 4 2" xfId="7020"/>
    <cellStyle name="Percent 3 5 8 5 5" xfId="7021"/>
    <cellStyle name="Percent 3 5 8 6" xfId="7022"/>
    <cellStyle name="Percent 3 5 8 6 2" xfId="7023"/>
    <cellStyle name="Percent 3 5 8 6 2 2" xfId="7024"/>
    <cellStyle name="Percent 3 5 8 6 3" xfId="7025"/>
    <cellStyle name="Percent 3 5 8 6 3 2" xfId="7026"/>
    <cellStyle name="Percent 3 5 8 6 4" xfId="7027"/>
    <cellStyle name="Percent 3 5 8 7" xfId="7028"/>
    <cellStyle name="Percent 3 5 8 7 2" xfId="7029"/>
    <cellStyle name="Percent 3 5 8 8" xfId="7030"/>
    <cellStyle name="Percent 3 5 8 8 2" xfId="7031"/>
    <cellStyle name="Percent 3 5 8 9" xfId="7032"/>
    <cellStyle name="Percent 3 5 8 9 2" xfId="7033"/>
    <cellStyle name="Percent 3 5 9 12" xfId="7034"/>
    <cellStyle name="Percent 3 5 9 10" xfId="7035"/>
    <cellStyle name="Percent 3 5 9 11" xfId="7036"/>
    <cellStyle name="Percent 3 5 9 2" xfId="7037"/>
    <cellStyle name="Percent 3 5 9 2 2" xfId="7038"/>
    <cellStyle name="Percent 3 5 9 2 2 2" xfId="7039"/>
    <cellStyle name="Percent 3 5 9 2 3" xfId="7040"/>
    <cellStyle name="Percent 3 5 9 2 3 2" xfId="7041"/>
    <cellStyle name="Percent 3 5 9 2 4" xfId="7042"/>
    <cellStyle name="Percent 3 5 9 2 5" xfId="7043"/>
    <cellStyle name="Percent 3 5 9 3" xfId="7044"/>
    <cellStyle name="Percent 3 5 9 3 2" xfId="7045"/>
    <cellStyle name="Percent 3 5 9 3 2 2" xfId="7046"/>
    <cellStyle name="Percent 3 5 9 3 3" xfId="7047"/>
    <cellStyle name="Percent 3 5 9 3 3 2" xfId="7048"/>
    <cellStyle name="Percent 3 5 9 3 4" xfId="7049"/>
    <cellStyle name="Percent 3 5 9 4" xfId="7050"/>
    <cellStyle name="Percent 3 5 9 4 2" xfId="7051"/>
    <cellStyle name="Percent 3 5 9 4 2 2" xfId="7052"/>
    <cellStyle name="Percent 3 5 9 4 3" xfId="7053"/>
    <cellStyle name="Percent 3 5 9 4 3 2" xfId="7054"/>
    <cellStyle name="Percent 3 5 9 4 4" xfId="7055"/>
    <cellStyle name="Percent 3 5 9 5" xfId="7056"/>
    <cellStyle name="Percent 3 5 9 5 2" xfId="7057"/>
    <cellStyle name="Percent 3 5 9 5 2 2" xfId="7058"/>
    <cellStyle name="Percent 3 5 9 5 3" xfId="7059"/>
    <cellStyle name="Percent 3 5 9 5 3 2" xfId="7060"/>
    <cellStyle name="Percent 3 5 9 5 4" xfId="7061"/>
    <cellStyle name="Percent 3 5 9 5 4 2" xfId="7062"/>
    <cellStyle name="Percent 3 5 9 5 5" xfId="7063"/>
    <cellStyle name="Percent 3 5 9 6" xfId="7064"/>
    <cellStyle name="Percent 3 5 9 6 2" xfId="7065"/>
    <cellStyle name="Percent 3 5 9 6 2 2" xfId="7066"/>
    <cellStyle name="Percent 3 5 9 6 3" xfId="7067"/>
    <cellStyle name="Percent 3 5 9 6 3 2" xfId="7068"/>
    <cellStyle name="Percent 3 5 9 6 4" xfId="7069"/>
    <cellStyle name="Percent 3 5 9 7" xfId="7070"/>
    <cellStyle name="Percent 3 5 9 7 2" xfId="7071"/>
    <cellStyle name="Percent 3 5 9 8" xfId="7072"/>
    <cellStyle name="Percent 3 5 9 8 2" xfId="7073"/>
    <cellStyle name="Percent 3 5 9 9" xfId="7074"/>
    <cellStyle name="Percent 3 5 9 9 2" xfId="7075"/>
    <cellStyle name="Percent 3 6 26" xfId="7076"/>
    <cellStyle name="Percent 3 6 10 12" xfId="7077"/>
    <cellStyle name="Percent 3 6 10 10" xfId="7078"/>
    <cellStyle name="Percent 3 6 10 11" xfId="7079"/>
    <cellStyle name="Percent 3 6 10 2" xfId="7080"/>
    <cellStyle name="Percent 3 6 10 2 2" xfId="7081"/>
    <cellStyle name="Percent 3 6 10 2 2 2" xfId="7082"/>
    <cellStyle name="Percent 3 6 10 2 3" xfId="7083"/>
    <cellStyle name="Percent 3 6 10 2 3 2" xfId="7084"/>
    <cellStyle name="Percent 3 6 10 2 4" xfId="7085"/>
    <cellStyle name="Percent 3 6 10 2 5" xfId="7086"/>
    <cellStyle name="Percent 3 6 10 3" xfId="7087"/>
    <cellStyle name="Percent 3 6 10 3 2" xfId="7088"/>
    <cellStyle name="Percent 3 6 10 3 2 2" xfId="7089"/>
    <cellStyle name="Percent 3 6 10 3 3" xfId="7090"/>
    <cellStyle name="Percent 3 6 10 3 3 2" xfId="7091"/>
    <cellStyle name="Percent 3 6 10 3 4" xfId="7092"/>
    <cellStyle name="Percent 3 6 10 4" xfId="7093"/>
    <cellStyle name="Percent 3 6 10 4 2" xfId="7094"/>
    <cellStyle name="Percent 3 6 10 4 2 2" xfId="7095"/>
    <cellStyle name="Percent 3 6 10 4 3" xfId="7096"/>
    <cellStyle name="Percent 3 6 10 4 3 2" xfId="7097"/>
    <cellStyle name="Percent 3 6 10 4 4" xfId="7098"/>
    <cellStyle name="Percent 3 6 10 5" xfId="7099"/>
    <cellStyle name="Percent 3 6 10 5 2" xfId="7100"/>
    <cellStyle name="Percent 3 6 10 5 2 2" xfId="7101"/>
    <cellStyle name="Percent 3 6 10 5 3" xfId="7102"/>
    <cellStyle name="Percent 3 6 10 5 3 2" xfId="7103"/>
    <cellStyle name="Percent 3 6 10 5 4" xfId="7104"/>
    <cellStyle name="Percent 3 6 10 5 4 2" xfId="7105"/>
    <cellStyle name="Percent 3 6 10 5 5" xfId="7106"/>
    <cellStyle name="Percent 3 6 10 6" xfId="7107"/>
    <cellStyle name="Percent 3 6 10 6 2" xfId="7108"/>
    <cellStyle name="Percent 3 6 10 6 2 2" xfId="7109"/>
    <cellStyle name="Percent 3 6 10 6 3" xfId="7110"/>
    <cellStyle name="Percent 3 6 10 6 3 2" xfId="7111"/>
    <cellStyle name="Percent 3 6 10 6 4" xfId="7112"/>
    <cellStyle name="Percent 3 6 10 7" xfId="7113"/>
    <cellStyle name="Percent 3 6 10 7 2" xfId="7114"/>
    <cellStyle name="Percent 3 6 10 8" xfId="7115"/>
    <cellStyle name="Percent 3 6 10 8 2" xfId="7116"/>
    <cellStyle name="Percent 3 6 10 9" xfId="7117"/>
    <cellStyle name="Percent 3 6 10 9 2" xfId="7118"/>
    <cellStyle name="Percent 3 6 11 12" xfId="7119"/>
    <cellStyle name="Percent 3 6 11 10" xfId="7120"/>
    <cellStyle name="Percent 3 6 11 11" xfId="7121"/>
    <cellStyle name="Percent 3 6 11 2" xfId="7122"/>
    <cellStyle name="Percent 3 6 11 2 2" xfId="7123"/>
    <cellStyle name="Percent 3 6 11 2 2 2" xfId="7124"/>
    <cellStyle name="Percent 3 6 11 2 3" xfId="7125"/>
    <cellStyle name="Percent 3 6 11 2 3 2" xfId="7126"/>
    <cellStyle name="Percent 3 6 11 2 4" xfId="7127"/>
    <cellStyle name="Percent 3 6 11 2 5" xfId="7128"/>
    <cellStyle name="Percent 3 6 11 3" xfId="7129"/>
    <cellStyle name="Percent 3 6 11 3 2" xfId="7130"/>
    <cellStyle name="Percent 3 6 11 3 2 2" xfId="7131"/>
    <cellStyle name="Percent 3 6 11 3 3" xfId="7132"/>
    <cellStyle name="Percent 3 6 11 3 3 2" xfId="7133"/>
    <cellStyle name="Percent 3 6 11 3 4" xfId="7134"/>
    <cellStyle name="Percent 3 6 11 4" xfId="7135"/>
    <cellStyle name="Percent 3 6 11 4 2" xfId="7136"/>
    <cellStyle name="Percent 3 6 11 4 2 2" xfId="7137"/>
    <cellStyle name="Percent 3 6 11 4 3" xfId="7138"/>
    <cellStyle name="Percent 3 6 11 4 3 2" xfId="7139"/>
    <cellStyle name="Percent 3 6 11 4 4" xfId="7140"/>
    <cellStyle name="Percent 3 6 11 5" xfId="7141"/>
    <cellStyle name="Percent 3 6 11 5 2" xfId="7142"/>
    <cellStyle name="Percent 3 6 11 5 2 2" xfId="7143"/>
    <cellStyle name="Percent 3 6 11 5 3" xfId="7144"/>
    <cellStyle name="Percent 3 6 11 5 3 2" xfId="7145"/>
    <cellStyle name="Percent 3 6 11 5 4" xfId="7146"/>
    <cellStyle name="Percent 3 6 11 5 4 2" xfId="7147"/>
    <cellStyle name="Percent 3 6 11 5 5" xfId="7148"/>
    <cellStyle name="Percent 3 6 11 6" xfId="7149"/>
    <cellStyle name="Percent 3 6 11 6 2" xfId="7150"/>
    <cellStyle name="Percent 3 6 11 6 2 2" xfId="7151"/>
    <cellStyle name="Percent 3 6 11 6 3" xfId="7152"/>
    <cellStyle name="Percent 3 6 11 6 3 2" xfId="7153"/>
    <cellStyle name="Percent 3 6 11 6 4" xfId="7154"/>
    <cellStyle name="Percent 3 6 11 7" xfId="7155"/>
    <cellStyle name="Percent 3 6 11 7 2" xfId="7156"/>
    <cellStyle name="Percent 3 6 11 8" xfId="7157"/>
    <cellStyle name="Percent 3 6 11 8 2" xfId="7158"/>
    <cellStyle name="Percent 3 6 11 9" xfId="7159"/>
    <cellStyle name="Percent 3 6 11 9 2" xfId="7160"/>
    <cellStyle name="Percent 3 6 12 12" xfId="7161"/>
    <cellStyle name="Percent 3 6 12 10" xfId="7162"/>
    <cellStyle name="Percent 3 6 12 11" xfId="7163"/>
    <cellStyle name="Percent 3 6 12 2" xfId="7164"/>
    <cellStyle name="Percent 3 6 12 2 2" xfId="7165"/>
    <cellStyle name="Percent 3 6 12 2 2 2" xfId="7166"/>
    <cellStyle name="Percent 3 6 12 2 3" xfId="7167"/>
    <cellStyle name="Percent 3 6 12 2 3 2" xfId="7168"/>
    <cellStyle name="Percent 3 6 12 2 4" xfId="7169"/>
    <cellStyle name="Percent 3 6 12 2 5" xfId="7170"/>
    <cellStyle name="Percent 3 6 12 3" xfId="7171"/>
    <cellStyle name="Percent 3 6 12 3 2" xfId="7172"/>
    <cellStyle name="Percent 3 6 12 3 2 2" xfId="7173"/>
    <cellStyle name="Percent 3 6 12 3 3" xfId="7174"/>
    <cellStyle name="Percent 3 6 12 3 3 2" xfId="7175"/>
    <cellStyle name="Percent 3 6 12 3 4" xfId="7176"/>
    <cellStyle name="Percent 3 6 12 4" xfId="7177"/>
    <cellStyle name="Percent 3 6 12 4 2" xfId="7178"/>
    <cellStyle name="Percent 3 6 12 4 2 2" xfId="7179"/>
    <cellStyle name="Percent 3 6 12 4 3" xfId="7180"/>
    <cellStyle name="Percent 3 6 12 4 3 2" xfId="7181"/>
    <cellStyle name="Percent 3 6 12 4 4" xfId="7182"/>
    <cellStyle name="Percent 3 6 12 5" xfId="7183"/>
    <cellStyle name="Percent 3 6 12 5 2" xfId="7184"/>
    <cellStyle name="Percent 3 6 12 5 2 2" xfId="7185"/>
    <cellStyle name="Percent 3 6 12 5 3" xfId="7186"/>
    <cellStyle name="Percent 3 6 12 5 3 2" xfId="7187"/>
    <cellStyle name="Percent 3 6 12 5 4" xfId="7188"/>
    <cellStyle name="Percent 3 6 12 5 4 2" xfId="7189"/>
    <cellStyle name="Percent 3 6 12 5 5" xfId="7190"/>
    <cellStyle name="Percent 3 6 12 6" xfId="7191"/>
    <cellStyle name="Percent 3 6 12 6 2" xfId="7192"/>
    <cellStyle name="Percent 3 6 12 6 2 2" xfId="7193"/>
    <cellStyle name="Percent 3 6 12 6 3" xfId="7194"/>
    <cellStyle name="Percent 3 6 12 6 3 2" xfId="7195"/>
    <cellStyle name="Percent 3 6 12 6 4" xfId="7196"/>
    <cellStyle name="Percent 3 6 12 7" xfId="7197"/>
    <cellStyle name="Percent 3 6 12 7 2" xfId="7198"/>
    <cellStyle name="Percent 3 6 12 8" xfId="7199"/>
    <cellStyle name="Percent 3 6 12 8 2" xfId="7200"/>
    <cellStyle name="Percent 3 6 12 9" xfId="7201"/>
    <cellStyle name="Percent 3 6 12 9 2" xfId="7202"/>
    <cellStyle name="Percent 3 6 13 12" xfId="7203"/>
    <cellStyle name="Percent 3 6 13 10" xfId="7204"/>
    <cellStyle name="Percent 3 6 13 11" xfId="7205"/>
    <cellStyle name="Percent 3 6 13 2" xfId="7206"/>
    <cellStyle name="Percent 3 6 13 2 2" xfId="7207"/>
    <cellStyle name="Percent 3 6 13 2 2 2" xfId="7208"/>
    <cellStyle name="Percent 3 6 13 2 3" xfId="7209"/>
    <cellStyle name="Percent 3 6 13 2 3 2" xfId="7210"/>
    <cellStyle name="Percent 3 6 13 2 4" xfId="7211"/>
    <cellStyle name="Percent 3 6 13 2 5" xfId="7212"/>
    <cellStyle name="Percent 3 6 13 3" xfId="7213"/>
    <cellStyle name="Percent 3 6 13 3 2" xfId="7214"/>
    <cellStyle name="Percent 3 6 13 3 2 2" xfId="7215"/>
    <cellStyle name="Percent 3 6 13 3 3" xfId="7216"/>
    <cellStyle name="Percent 3 6 13 3 3 2" xfId="7217"/>
    <cellStyle name="Percent 3 6 13 3 4" xfId="7218"/>
    <cellStyle name="Percent 3 6 13 4" xfId="7219"/>
    <cellStyle name="Percent 3 6 13 4 2" xfId="7220"/>
    <cellStyle name="Percent 3 6 13 4 2 2" xfId="7221"/>
    <cellStyle name="Percent 3 6 13 4 3" xfId="7222"/>
    <cellStyle name="Percent 3 6 13 4 3 2" xfId="7223"/>
    <cellStyle name="Percent 3 6 13 4 4" xfId="7224"/>
    <cellStyle name="Percent 3 6 13 5" xfId="7225"/>
    <cellStyle name="Percent 3 6 13 5 2" xfId="7226"/>
    <cellStyle name="Percent 3 6 13 5 2 2" xfId="7227"/>
    <cellStyle name="Percent 3 6 13 5 3" xfId="7228"/>
    <cellStyle name="Percent 3 6 13 5 3 2" xfId="7229"/>
    <cellStyle name="Percent 3 6 13 5 4" xfId="7230"/>
    <cellStyle name="Percent 3 6 13 5 4 2" xfId="7231"/>
    <cellStyle name="Percent 3 6 13 5 5" xfId="7232"/>
    <cellStyle name="Percent 3 6 13 6" xfId="7233"/>
    <cellStyle name="Percent 3 6 13 6 2" xfId="7234"/>
    <cellStyle name="Percent 3 6 13 6 2 2" xfId="7235"/>
    <cellStyle name="Percent 3 6 13 6 3" xfId="7236"/>
    <cellStyle name="Percent 3 6 13 6 3 2" xfId="7237"/>
    <cellStyle name="Percent 3 6 13 6 4" xfId="7238"/>
    <cellStyle name="Percent 3 6 13 7" xfId="7239"/>
    <cellStyle name="Percent 3 6 13 7 2" xfId="7240"/>
    <cellStyle name="Percent 3 6 13 8" xfId="7241"/>
    <cellStyle name="Percent 3 6 13 8 2" xfId="7242"/>
    <cellStyle name="Percent 3 6 13 9" xfId="7243"/>
    <cellStyle name="Percent 3 6 13 9 2" xfId="7244"/>
    <cellStyle name="Percent 3 6 14 12" xfId="7245"/>
    <cellStyle name="Percent 3 6 14 10" xfId="7246"/>
    <cellStyle name="Percent 3 6 14 11" xfId="7247"/>
    <cellStyle name="Percent 3 6 14 2" xfId="7248"/>
    <cellStyle name="Percent 3 6 14 2 2" xfId="7249"/>
    <cellStyle name="Percent 3 6 14 2 2 2" xfId="7250"/>
    <cellStyle name="Percent 3 6 14 2 3" xfId="7251"/>
    <cellStyle name="Percent 3 6 14 2 3 2" xfId="7252"/>
    <cellStyle name="Percent 3 6 14 2 4" xfId="7253"/>
    <cellStyle name="Percent 3 6 14 2 5" xfId="7254"/>
    <cellStyle name="Percent 3 6 14 3" xfId="7255"/>
    <cellStyle name="Percent 3 6 14 3 2" xfId="7256"/>
    <cellStyle name="Percent 3 6 14 3 2 2" xfId="7257"/>
    <cellStyle name="Percent 3 6 14 3 3" xfId="7258"/>
    <cellStyle name="Percent 3 6 14 3 3 2" xfId="7259"/>
    <cellStyle name="Percent 3 6 14 3 4" xfId="7260"/>
    <cellStyle name="Percent 3 6 14 4" xfId="7261"/>
    <cellStyle name="Percent 3 6 14 4 2" xfId="7262"/>
    <cellStyle name="Percent 3 6 14 4 2 2" xfId="7263"/>
    <cellStyle name="Percent 3 6 14 4 3" xfId="7264"/>
    <cellStyle name="Percent 3 6 14 4 3 2" xfId="7265"/>
    <cellStyle name="Percent 3 6 14 4 4" xfId="7266"/>
    <cellStyle name="Percent 3 6 14 5" xfId="7267"/>
    <cellStyle name="Percent 3 6 14 5 2" xfId="7268"/>
    <cellStyle name="Percent 3 6 14 5 2 2" xfId="7269"/>
    <cellStyle name="Percent 3 6 14 5 3" xfId="7270"/>
    <cellStyle name="Percent 3 6 14 5 3 2" xfId="7271"/>
    <cellStyle name="Percent 3 6 14 5 4" xfId="7272"/>
    <cellStyle name="Percent 3 6 14 5 4 2" xfId="7273"/>
    <cellStyle name="Percent 3 6 14 5 5" xfId="7274"/>
    <cellStyle name="Percent 3 6 14 6" xfId="7275"/>
    <cellStyle name="Percent 3 6 14 6 2" xfId="7276"/>
    <cellStyle name="Percent 3 6 14 6 2 2" xfId="7277"/>
    <cellStyle name="Percent 3 6 14 6 3" xfId="7278"/>
    <cellStyle name="Percent 3 6 14 6 3 2" xfId="7279"/>
    <cellStyle name="Percent 3 6 14 6 4" xfId="7280"/>
    <cellStyle name="Percent 3 6 14 7" xfId="7281"/>
    <cellStyle name="Percent 3 6 14 7 2" xfId="7282"/>
    <cellStyle name="Percent 3 6 14 8" xfId="7283"/>
    <cellStyle name="Percent 3 6 14 8 2" xfId="7284"/>
    <cellStyle name="Percent 3 6 14 9" xfId="7285"/>
    <cellStyle name="Percent 3 6 14 9 2" xfId="7286"/>
    <cellStyle name="Percent 3 6 15 12" xfId="7287"/>
    <cellStyle name="Percent 3 6 15 10" xfId="7288"/>
    <cellStyle name="Percent 3 6 15 11" xfId="7289"/>
    <cellStyle name="Percent 3 6 15 2" xfId="7290"/>
    <cellStyle name="Percent 3 6 15 2 2" xfId="7291"/>
    <cellStyle name="Percent 3 6 15 2 2 2" xfId="7292"/>
    <cellStyle name="Percent 3 6 15 2 3" xfId="7293"/>
    <cellStyle name="Percent 3 6 15 2 3 2" xfId="7294"/>
    <cellStyle name="Percent 3 6 15 2 4" xfId="7295"/>
    <cellStyle name="Percent 3 6 15 2 5" xfId="7296"/>
    <cellStyle name="Percent 3 6 15 3" xfId="7297"/>
    <cellStyle name="Percent 3 6 15 3 2" xfId="7298"/>
    <cellStyle name="Percent 3 6 15 3 2 2" xfId="7299"/>
    <cellStyle name="Percent 3 6 15 3 3" xfId="7300"/>
    <cellStyle name="Percent 3 6 15 3 3 2" xfId="7301"/>
    <cellStyle name="Percent 3 6 15 3 4" xfId="7302"/>
    <cellStyle name="Percent 3 6 15 4" xfId="7303"/>
    <cellStyle name="Percent 3 6 15 4 2" xfId="7304"/>
    <cellStyle name="Percent 3 6 15 4 2 2" xfId="7305"/>
    <cellStyle name="Percent 3 6 15 4 3" xfId="7306"/>
    <cellStyle name="Percent 3 6 15 4 3 2" xfId="7307"/>
    <cellStyle name="Percent 3 6 15 4 4" xfId="7308"/>
    <cellStyle name="Percent 3 6 15 5" xfId="7309"/>
    <cellStyle name="Percent 3 6 15 5 2" xfId="7310"/>
    <cellStyle name="Percent 3 6 15 5 2 2" xfId="7311"/>
    <cellStyle name="Percent 3 6 15 5 3" xfId="7312"/>
    <cellStyle name="Percent 3 6 15 5 3 2" xfId="7313"/>
    <cellStyle name="Percent 3 6 15 5 4" xfId="7314"/>
    <cellStyle name="Percent 3 6 15 5 4 2" xfId="7315"/>
    <cellStyle name="Percent 3 6 15 5 5" xfId="7316"/>
    <cellStyle name="Percent 3 6 15 6" xfId="7317"/>
    <cellStyle name="Percent 3 6 15 6 2" xfId="7318"/>
    <cellStyle name="Percent 3 6 15 6 2 2" xfId="7319"/>
    <cellStyle name="Percent 3 6 15 6 3" xfId="7320"/>
    <cellStyle name="Percent 3 6 15 6 3 2" xfId="7321"/>
    <cellStyle name="Percent 3 6 15 6 4" xfId="7322"/>
    <cellStyle name="Percent 3 6 15 7" xfId="7323"/>
    <cellStyle name="Percent 3 6 15 7 2" xfId="7324"/>
    <cellStyle name="Percent 3 6 15 8" xfId="7325"/>
    <cellStyle name="Percent 3 6 15 8 2" xfId="7326"/>
    <cellStyle name="Percent 3 6 15 9" xfId="7327"/>
    <cellStyle name="Percent 3 6 15 9 2" xfId="7328"/>
    <cellStyle name="Percent 3 6 16" xfId="7329"/>
    <cellStyle name="Percent 3 6 16 2" xfId="7330"/>
    <cellStyle name="Percent 3 6 16 2 2" xfId="7331"/>
    <cellStyle name="Percent 3 6 16 3" xfId="7332"/>
    <cellStyle name="Percent 3 6 16 3 2" xfId="7333"/>
    <cellStyle name="Percent 3 6 16 4" xfId="7334"/>
    <cellStyle name="Percent 3 6 16 5" xfId="7335"/>
    <cellStyle name="Percent 3 6 17" xfId="7336"/>
    <cellStyle name="Percent 3 6 17 2" xfId="7337"/>
    <cellStyle name="Percent 3 6 17 2 2" xfId="7338"/>
    <cellStyle name="Percent 3 6 17 3" xfId="7339"/>
    <cellStyle name="Percent 3 6 17 3 2" xfId="7340"/>
    <cellStyle name="Percent 3 6 17 4" xfId="7341"/>
    <cellStyle name="Percent 3 6 18" xfId="7342"/>
    <cellStyle name="Percent 3 6 18 2" xfId="7343"/>
    <cellStyle name="Percent 3 6 18 2 2" xfId="7344"/>
    <cellStyle name="Percent 3 6 18 3" xfId="7345"/>
    <cellStyle name="Percent 3 6 18 3 2" xfId="7346"/>
    <cellStyle name="Percent 3 6 18 4" xfId="7347"/>
    <cellStyle name="Percent 3 6 19" xfId="7348"/>
    <cellStyle name="Percent 3 6 19 2" xfId="7349"/>
    <cellStyle name="Percent 3 6 19 2 2" xfId="7350"/>
    <cellStyle name="Percent 3 6 19 3" xfId="7351"/>
    <cellStyle name="Percent 3 6 19 3 2" xfId="7352"/>
    <cellStyle name="Percent 3 6 19 4" xfId="7353"/>
    <cellStyle name="Percent 3 6 19 4 2" xfId="7354"/>
    <cellStyle name="Percent 3 6 19 5" xfId="7355"/>
    <cellStyle name="Percent 3 6 2 12" xfId="7356"/>
    <cellStyle name="Percent 3 6 2 10" xfId="7357"/>
    <cellStyle name="Percent 3 6 2 11" xfId="7358"/>
    <cellStyle name="Percent 3 6 2 2" xfId="7359"/>
    <cellStyle name="Percent 3 6 2 2 2" xfId="7360"/>
    <cellStyle name="Percent 3 6 2 2 2 2" xfId="7361"/>
    <cellStyle name="Percent 3 6 2 2 3" xfId="7362"/>
    <cellStyle name="Percent 3 6 2 2 3 2" xfId="7363"/>
    <cellStyle name="Percent 3 6 2 2 4" xfId="7364"/>
    <cellStyle name="Percent 3 6 2 2 5" xfId="7365"/>
    <cellStyle name="Percent 3 6 2 3" xfId="7366"/>
    <cellStyle name="Percent 3 6 2 3 2" xfId="7367"/>
    <cellStyle name="Percent 3 6 2 3 2 2" xfId="7368"/>
    <cellStyle name="Percent 3 6 2 3 3" xfId="7369"/>
    <cellStyle name="Percent 3 6 2 3 3 2" xfId="7370"/>
    <cellStyle name="Percent 3 6 2 3 4" xfId="7371"/>
    <cellStyle name="Percent 3 6 2 4" xfId="7372"/>
    <cellStyle name="Percent 3 6 2 4 2" xfId="7373"/>
    <cellStyle name="Percent 3 6 2 4 2 2" xfId="7374"/>
    <cellStyle name="Percent 3 6 2 4 3" xfId="7375"/>
    <cellStyle name="Percent 3 6 2 4 3 2" xfId="7376"/>
    <cellStyle name="Percent 3 6 2 4 4" xfId="7377"/>
    <cellStyle name="Percent 3 6 2 5" xfId="7378"/>
    <cellStyle name="Percent 3 6 2 5 2" xfId="7379"/>
    <cellStyle name="Percent 3 6 2 5 2 2" xfId="7380"/>
    <cellStyle name="Percent 3 6 2 5 3" xfId="7381"/>
    <cellStyle name="Percent 3 6 2 5 3 2" xfId="7382"/>
    <cellStyle name="Percent 3 6 2 5 4" xfId="7383"/>
    <cellStyle name="Percent 3 6 2 5 4 2" xfId="7384"/>
    <cellStyle name="Percent 3 6 2 5 5" xfId="7385"/>
    <cellStyle name="Percent 3 6 2 6" xfId="7386"/>
    <cellStyle name="Percent 3 6 2 6 2" xfId="7387"/>
    <cellStyle name="Percent 3 6 2 6 2 2" xfId="7388"/>
    <cellStyle name="Percent 3 6 2 6 3" xfId="7389"/>
    <cellStyle name="Percent 3 6 2 6 3 2" xfId="7390"/>
    <cellStyle name="Percent 3 6 2 6 4" xfId="7391"/>
    <cellStyle name="Percent 3 6 2 7" xfId="7392"/>
    <cellStyle name="Percent 3 6 2 7 2" xfId="7393"/>
    <cellStyle name="Percent 3 6 2 8" xfId="7394"/>
    <cellStyle name="Percent 3 6 2 8 2" xfId="7395"/>
    <cellStyle name="Percent 3 6 2 9" xfId="7396"/>
    <cellStyle name="Percent 3 6 2 9 2" xfId="7397"/>
    <cellStyle name="Percent 3 6 20" xfId="7398"/>
    <cellStyle name="Percent 3 6 20 2" xfId="7399"/>
    <cellStyle name="Percent 3 6 20 2 2" xfId="7400"/>
    <cellStyle name="Percent 3 6 20 3" xfId="7401"/>
    <cellStyle name="Percent 3 6 20 3 2" xfId="7402"/>
    <cellStyle name="Percent 3 6 20 4" xfId="7403"/>
    <cellStyle name="Percent 3 6 21" xfId="7404"/>
    <cellStyle name="Percent 3 6 21 2" xfId="7405"/>
    <cellStyle name="Percent 3 6 22" xfId="7406"/>
    <cellStyle name="Percent 3 6 22 2" xfId="7407"/>
    <cellStyle name="Percent 3 6 23" xfId="7408"/>
    <cellStyle name="Percent 3 6 23 2" xfId="7409"/>
    <cellStyle name="Percent 3 6 24" xfId="7410"/>
    <cellStyle name="Percent 3 6 25" xfId="7411"/>
    <cellStyle name="Percent 3 6 3 12" xfId="7412"/>
    <cellStyle name="Percent 3 6 3 10" xfId="7413"/>
    <cellStyle name="Percent 3 6 3 11" xfId="7414"/>
    <cellStyle name="Percent 3 6 3 2" xfId="7415"/>
    <cellStyle name="Percent 3 6 3 2 2" xfId="7416"/>
    <cellStyle name="Percent 3 6 3 2 2 2" xfId="7417"/>
    <cellStyle name="Percent 3 6 3 2 3" xfId="7418"/>
    <cellStyle name="Percent 3 6 3 2 3 2" xfId="7419"/>
    <cellStyle name="Percent 3 6 3 2 4" xfId="7420"/>
    <cellStyle name="Percent 3 6 3 2 5" xfId="7421"/>
    <cellStyle name="Percent 3 6 3 3" xfId="7422"/>
    <cellStyle name="Percent 3 6 3 3 2" xfId="7423"/>
    <cellStyle name="Percent 3 6 3 3 2 2" xfId="7424"/>
    <cellStyle name="Percent 3 6 3 3 3" xfId="7425"/>
    <cellStyle name="Percent 3 6 3 3 3 2" xfId="7426"/>
    <cellStyle name="Percent 3 6 3 3 4" xfId="7427"/>
    <cellStyle name="Percent 3 6 3 4" xfId="7428"/>
    <cellStyle name="Percent 3 6 3 4 2" xfId="7429"/>
    <cellStyle name="Percent 3 6 3 4 2 2" xfId="7430"/>
    <cellStyle name="Percent 3 6 3 4 3" xfId="7431"/>
    <cellStyle name="Percent 3 6 3 4 3 2" xfId="7432"/>
    <cellStyle name="Percent 3 6 3 4 4" xfId="7433"/>
    <cellStyle name="Percent 3 6 3 5" xfId="7434"/>
    <cellStyle name="Percent 3 6 3 5 2" xfId="7435"/>
    <cellStyle name="Percent 3 6 3 5 2 2" xfId="7436"/>
    <cellStyle name="Percent 3 6 3 5 3" xfId="7437"/>
    <cellStyle name="Percent 3 6 3 5 3 2" xfId="7438"/>
    <cellStyle name="Percent 3 6 3 5 4" xfId="7439"/>
    <cellStyle name="Percent 3 6 3 5 4 2" xfId="7440"/>
    <cellStyle name="Percent 3 6 3 5 5" xfId="7441"/>
    <cellStyle name="Percent 3 6 3 6" xfId="7442"/>
    <cellStyle name="Percent 3 6 3 6 2" xfId="7443"/>
    <cellStyle name="Percent 3 6 3 6 2 2" xfId="7444"/>
    <cellStyle name="Percent 3 6 3 6 3" xfId="7445"/>
    <cellStyle name="Percent 3 6 3 6 3 2" xfId="7446"/>
    <cellStyle name="Percent 3 6 3 6 4" xfId="7447"/>
    <cellStyle name="Percent 3 6 3 7" xfId="7448"/>
    <cellStyle name="Percent 3 6 3 7 2" xfId="7449"/>
    <cellStyle name="Percent 3 6 3 8" xfId="7450"/>
    <cellStyle name="Percent 3 6 3 8 2" xfId="7451"/>
    <cellStyle name="Percent 3 6 3 9" xfId="7452"/>
    <cellStyle name="Percent 3 6 3 9 2" xfId="7453"/>
    <cellStyle name="Percent 3 6 4 12" xfId="7454"/>
    <cellStyle name="Percent 3 6 4 10" xfId="7455"/>
    <cellStyle name="Percent 3 6 4 11" xfId="7456"/>
    <cellStyle name="Percent 3 6 4 2" xfId="7457"/>
    <cellStyle name="Percent 3 6 4 2 2" xfId="7458"/>
    <cellStyle name="Percent 3 6 4 2 2 2" xfId="7459"/>
    <cellStyle name="Percent 3 6 4 2 3" xfId="7460"/>
    <cellStyle name="Percent 3 6 4 2 3 2" xfId="7461"/>
    <cellStyle name="Percent 3 6 4 2 4" xfId="7462"/>
    <cellStyle name="Percent 3 6 4 2 5" xfId="7463"/>
    <cellStyle name="Percent 3 6 4 3" xfId="7464"/>
    <cellStyle name="Percent 3 6 4 3 2" xfId="7465"/>
    <cellStyle name="Percent 3 6 4 3 2 2" xfId="7466"/>
    <cellStyle name="Percent 3 6 4 3 3" xfId="7467"/>
    <cellStyle name="Percent 3 6 4 3 3 2" xfId="7468"/>
    <cellStyle name="Percent 3 6 4 3 4" xfId="7469"/>
    <cellStyle name="Percent 3 6 4 4" xfId="7470"/>
    <cellStyle name="Percent 3 6 4 4 2" xfId="7471"/>
    <cellStyle name="Percent 3 6 4 4 2 2" xfId="7472"/>
    <cellStyle name="Percent 3 6 4 4 3" xfId="7473"/>
    <cellStyle name="Percent 3 6 4 4 3 2" xfId="7474"/>
    <cellStyle name="Percent 3 6 4 4 4" xfId="7475"/>
    <cellStyle name="Percent 3 6 4 5" xfId="7476"/>
    <cellStyle name="Percent 3 6 4 5 2" xfId="7477"/>
    <cellStyle name="Percent 3 6 4 5 2 2" xfId="7478"/>
    <cellStyle name="Percent 3 6 4 5 3" xfId="7479"/>
    <cellStyle name="Percent 3 6 4 5 3 2" xfId="7480"/>
    <cellStyle name="Percent 3 6 4 5 4" xfId="7481"/>
    <cellStyle name="Percent 3 6 4 5 4 2" xfId="7482"/>
    <cellStyle name="Percent 3 6 4 5 5" xfId="7483"/>
    <cellStyle name="Percent 3 6 4 6" xfId="7484"/>
    <cellStyle name="Percent 3 6 4 6 2" xfId="7485"/>
    <cellStyle name="Percent 3 6 4 6 2 2" xfId="7486"/>
    <cellStyle name="Percent 3 6 4 6 3" xfId="7487"/>
    <cellStyle name="Percent 3 6 4 6 3 2" xfId="7488"/>
    <cellStyle name="Percent 3 6 4 6 4" xfId="7489"/>
    <cellStyle name="Percent 3 6 4 7" xfId="7490"/>
    <cellStyle name="Percent 3 6 4 7 2" xfId="7491"/>
    <cellStyle name="Percent 3 6 4 8" xfId="7492"/>
    <cellStyle name="Percent 3 6 4 8 2" xfId="7493"/>
    <cellStyle name="Percent 3 6 4 9" xfId="7494"/>
    <cellStyle name="Percent 3 6 4 9 2" xfId="7495"/>
    <cellStyle name="Percent 3 6 5 12" xfId="7496"/>
    <cellStyle name="Percent 3 6 5 10" xfId="7497"/>
    <cellStyle name="Percent 3 6 5 11" xfId="7498"/>
    <cellStyle name="Percent 3 6 5 2" xfId="7499"/>
    <cellStyle name="Percent 3 6 5 2 2" xfId="7500"/>
    <cellStyle name="Percent 3 6 5 2 2 2" xfId="7501"/>
    <cellStyle name="Percent 3 6 5 2 3" xfId="7502"/>
    <cellStyle name="Percent 3 6 5 2 3 2" xfId="7503"/>
    <cellStyle name="Percent 3 6 5 2 4" xfId="7504"/>
    <cellStyle name="Percent 3 6 5 2 5" xfId="7505"/>
    <cellStyle name="Percent 3 6 5 3" xfId="7506"/>
    <cellStyle name="Percent 3 6 5 3 2" xfId="7507"/>
    <cellStyle name="Percent 3 6 5 3 2 2" xfId="7508"/>
    <cellStyle name="Percent 3 6 5 3 3" xfId="7509"/>
    <cellStyle name="Percent 3 6 5 3 3 2" xfId="7510"/>
    <cellStyle name="Percent 3 6 5 3 4" xfId="7511"/>
    <cellStyle name="Percent 3 6 5 4" xfId="7512"/>
    <cellStyle name="Percent 3 6 5 4 2" xfId="7513"/>
    <cellStyle name="Percent 3 6 5 4 2 2" xfId="7514"/>
    <cellStyle name="Percent 3 6 5 4 3" xfId="7515"/>
    <cellStyle name="Percent 3 6 5 4 3 2" xfId="7516"/>
    <cellStyle name="Percent 3 6 5 4 4" xfId="7517"/>
    <cellStyle name="Percent 3 6 5 5" xfId="7518"/>
    <cellStyle name="Percent 3 6 5 5 2" xfId="7519"/>
    <cellStyle name="Percent 3 6 5 5 2 2" xfId="7520"/>
    <cellStyle name="Percent 3 6 5 5 3" xfId="7521"/>
    <cellStyle name="Percent 3 6 5 5 3 2" xfId="7522"/>
    <cellStyle name="Percent 3 6 5 5 4" xfId="7523"/>
    <cellStyle name="Percent 3 6 5 5 4 2" xfId="7524"/>
    <cellStyle name="Percent 3 6 5 5 5" xfId="7525"/>
    <cellStyle name="Percent 3 6 5 6" xfId="7526"/>
    <cellStyle name="Percent 3 6 5 6 2" xfId="7527"/>
    <cellStyle name="Percent 3 6 5 6 2 2" xfId="7528"/>
    <cellStyle name="Percent 3 6 5 6 3" xfId="7529"/>
    <cellStyle name="Percent 3 6 5 6 3 2" xfId="7530"/>
    <cellStyle name="Percent 3 6 5 6 4" xfId="7531"/>
    <cellStyle name="Percent 3 6 5 7" xfId="7532"/>
    <cellStyle name="Percent 3 6 5 7 2" xfId="7533"/>
    <cellStyle name="Percent 3 6 5 8" xfId="7534"/>
    <cellStyle name="Percent 3 6 5 8 2" xfId="7535"/>
    <cellStyle name="Percent 3 6 5 9" xfId="7536"/>
    <cellStyle name="Percent 3 6 5 9 2" xfId="7537"/>
    <cellStyle name="Percent 3 6 6 12" xfId="7538"/>
    <cellStyle name="Percent 3 6 6 10" xfId="7539"/>
    <cellStyle name="Percent 3 6 6 11" xfId="7540"/>
    <cellStyle name="Percent 3 6 6 2" xfId="7541"/>
    <cellStyle name="Percent 3 6 6 2 2" xfId="7542"/>
    <cellStyle name="Percent 3 6 6 2 2 2" xfId="7543"/>
    <cellStyle name="Percent 3 6 6 2 3" xfId="7544"/>
    <cellStyle name="Percent 3 6 6 2 3 2" xfId="7545"/>
    <cellStyle name="Percent 3 6 6 2 4" xfId="7546"/>
    <cellStyle name="Percent 3 6 6 2 5" xfId="7547"/>
    <cellStyle name="Percent 3 6 6 3" xfId="7548"/>
    <cellStyle name="Percent 3 6 6 3 2" xfId="7549"/>
    <cellStyle name="Percent 3 6 6 3 2 2" xfId="7550"/>
    <cellStyle name="Percent 3 6 6 3 3" xfId="7551"/>
    <cellStyle name="Percent 3 6 6 3 3 2" xfId="7552"/>
    <cellStyle name="Percent 3 6 6 3 4" xfId="7553"/>
    <cellStyle name="Percent 3 6 6 4" xfId="7554"/>
    <cellStyle name="Percent 3 6 6 4 2" xfId="7555"/>
    <cellStyle name="Percent 3 6 6 4 2 2" xfId="7556"/>
    <cellStyle name="Percent 3 6 6 4 3" xfId="7557"/>
    <cellStyle name="Percent 3 6 6 4 3 2" xfId="7558"/>
    <cellStyle name="Percent 3 6 6 4 4" xfId="7559"/>
    <cellStyle name="Percent 3 6 6 5" xfId="7560"/>
    <cellStyle name="Percent 3 6 6 5 2" xfId="7561"/>
    <cellStyle name="Percent 3 6 6 5 2 2" xfId="7562"/>
    <cellStyle name="Percent 3 6 6 5 3" xfId="7563"/>
    <cellStyle name="Percent 3 6 6 5 3 2" xfId="7564"/>
    <cellStyle name="Percent 3 6 6 5 4" xfId="7565"/>
    <cellStyle name="Percent 3 6 6 5 4 2" xfId="7566"/>
    <cellStyle name="Percent 3 6 6 5 5" xfId="7567"/>
    <cellStyle name="Percent 3 6 6 6" xfId="7568"/>
    <cellStyle name="Percent 3 6 6 6 2" xfId="7569"/>
    <cellStyle name="Percent 3 6 6 6 2 2" xfId="7570"/>
    <cellStyle name="Percent 3 6 6 6 3" xfId="7571"/>
    <cellStyle name="Percent 3 6 6 6 3 2" xfId="7572"/>
    <cellStyle name="Percent 3 6 6 6 4" xfId="7573"/>
    <cellStyle name="Percent 3 6 6 7" xfId="7574"/>
    <cellStyle name="Percent 3 6 6 7 2" xfId="7575"/>
    <cellStyle name="Percent 3 6 6 8" xfId="7576"/>
    <cellStyle name="Percent 3 6 6 8 2" xfId="7577"/>
    <cellStyle name="Percent 3 6 6 9" xfId="7578"/>
    <cellStyle name="Percent 3 6 6 9 2" xfId="7579"/>
    <cellStyle name="Percent 3 6 7 12" xfId="7580"/>
    <cellStyle name="Percent 3 6 7 10" xfId="7581"/>
    <cellStyle name="Percent 3 6 7 11" xfId="7582"/>
    <cellStyle name="Percent 3 6 7 2" xfId="7583"/>
    <cellStyle name="Percent 3 6 7 2 2" xfId="7584"/>
    <cellStyle name="Percent 3 6 7 2 2 2" xfId="7585"/>
    <cellStyle name="Percent 3 6 7 2 3" xfId="7586"/>
    <cellStyle name="Percent 3 6 7 2 3 2" xfId="7587"/>
    <cellStyle name="Percent 3 6 7 2 4" xfId="7588"/>
    <cellStyle name="Percent 3 6 7 2 5" xfId="7589"/>
    <cellStyle name="Percent 3 6 7 3" xfId="7590"/>
    <cellStyle name="Percent 3 6 7 3 2" xfId="7591"/>
    <cellStyle name="Percent 3 6 7 3 2 2" xfId="7592"/>
    <cellStyle name="Percent 3 6 7 3 3" xfId="7593"/>
    <cellStyle name="Percent 3 6 7 3 3 2" xfId="7594"/>
    <cellStyle name="Percent 3 6 7 3 4" xfId="7595"/>
    <cellStyle name="Percent 3 6 7 4" xfId="7596"/>
    <cellStyle name="Percent 3 6 7 4 2" xfId="7597"/>
    <cellStyle name="Percent 3 6 7 4 2 2" xfId="7598"/>
    <cellStyle name="Percent 3 6 7 4 3" xfId="7599"/>
    <cellStyle name="Percent 3 6 7 4 3 2" xfId="7600"/>
    <cellStyle name="Percent 3 6 7 4 4" xfId="7601"/>
    <cellStyle name="Percent 3 6 7 5" xfId="7602"/>
    <cellStyle name="Percent 3 6 7 5 2" xfId="7603"/>
    <cellStyle name="Percent 3 6 7 5 2 2" xfId="7604"/>
    <cellStyle name="Percent 3 6 7 5 3" xfId="7605"/>
    <cellStyle name="Percent 3 6 7 5 3 2" xfId="7606"/>
    <cellStyle name="Percent 3 6 7 5 4" xfId="7607"/>
    <cellStyle name="Percent 3 6 7 5 4 2" xfId="7608"/>
    <cellStyle name="Percent 3 6 7 5 5" xfId="7609"/>
    <cellStyle name="Percent 3 6 7 6" xfId="7610"/>
    <cellStyle name="Percent 3 6 7 6 2" xfId="7611"/>
    <cellStyle name="Percent 3 6 7 6 2 2" xfId="7612"/>
    <cellStyle name="Percent 3 6 7 6 3" xfId="7613"/>
    <cellStyle name="Percent 3 6 7 6 3 2" xfId="7614"/>
    <cellStyle name="Percent 3 6 7 6 4" xfId="7615"/>
    <cellStyle name="Percent 3 6 7 7" xfId="7616"/>
    <cellStyle name="Percent 3 6 7 7 2" xfId="7617"/>
    <cellStyle name="Percent 3 6 7 8" xfId="7618"/>
    <cellStyle name="Percent 3 6 7 8 2" xfId="7619"/>
    <cellStyle name="Percent 3 6 7 9" xfId="7620"/>
    <cellStyle name="Percent 3 6 7 9 2" xfId="7621"/>
    <cellStyle name="Percent 3 6 8 12" xfId="7622"/>
    <cellStyle name="Percent 3 6 8 10" xfId="7623"/>
    <cellStyle name="Percent 3 6 8 11" xfId="7624"/>
    <cellStyle name="Percent 3 6 8 2" xfId="7625"/>
    <cellStyle name="Percent 3 6 8 2 2" xfId="7626"/>
    <cellStyle name="Percent 3 6 8 2 2 2" xfId="7627"/>
    <cellStyle name="Percent 3 6 8 2 3" xfId="7628"/>
    <cellStyle name="Percent 3 6 8 2 3 2" xfId="7629"/>
    <cellStyle name="Percent 3 6 8 2 4" xfId="7630"/>
    <cellStyle name="Percent 3 6 8 2 5" xfId="7631"/>
    <cellStyle name="Percent 3 6 8 3" xfId="7632"/>
    <cellStyle name="Percent 3 6 8 3 2" xfId="7633"/>
    <cellStyle name="Percent 3 6 8 3 2 2" xfId="7634"/>
    <cellStyle name="Percent 3 6 8 3 3" xfId="7635"/>
    <cellStyle name="Percent 3 6 8 3 3 2" xfId="7636"/>
    <cellStyle name="Percent 3 6 8 3 4" xfId="7637"/>
    <cellStyle name="Percent 3 6 8 4" xfId="7638"/>
    <cellStyle name="Percent 3 6 8 4 2" xfId="7639"/>
    <cellStyle name="Percent 3 6 8 4 2 2" xfId="7640"/>
    <cellStyle name="Percent 3 6 8 4 3" xfId="7641"/>
    <cellStyle name="Percent 3 6 8 4 3 2" xfId="7642"/>
    <cellStyle name="Percent 3 6 8 4 4" xfId="7643"/>
    <cellStyle name="Percent 3 6 8 5" xfId="7644"/>
    <cellStyle name="Percent 3 6 8 5 2" xfId="7645"/>
    <cellStyle name="Percent 3 6 8 5 2 2" xfId="7646"/>
    <cellStyle name="Percent 3 6 8 5 3" xfId="7647"/>
    <cellStyle name="Percent 3 6 8 5 3 2" xfId="7648"/>
    <cellStyle name="Percent 3 6 8 5 4" xfId="7649"/>
    <cellStyle name="Percent 3 6 8 5 4 2" xfId="7650"/>
    <cellStyle name="Percent 3 6 8 5 5" xfId="7651"/>
    <cellStyle name="Percent 3 6 8 6" xfId="7652"/>
    <cellStyle name="Percent 3 6 8 6 2" xfId="7653"/>
    <cellStyle name="Percent 3 6 8 6 2 2" xfId="7654"/>
    <cellStyle name="Percent 3 6 8 6 3" xfId="7655"/>
    <cellStyle name="Percent 3 6 8 6 3 2" xfId="7656"/>
    <cellStyle name="Percent 3 6 8 6 4" xfId="7657"/>
    <cellStyle name="Percent 3 6 8 7" xfId="7658"/>
    <cellStyle name="Percent 3 6 8 7 2" xfId="7659"/>
    <cellStyle name="Percent 3 6 8 8" xfId="7660"/>
    <cellStyle name="Percent 3 6 8 8 2" xfId="7661"/>
    <cellStyle name="Percent 3 6 8 9" xfId="7662"/>
    <cellStyle name="Percent 3 6 8 9 2" xfId="7663"/>
    <cellStyle name="Percent 3 6 9 12" xfId="7664"/>
    <cellStyle name="Percent 3 6 9 10" xfId="7665"/>
    <cellStyle name="Percent 3 6 9 11" xfId="7666"/>
    <cellStyle name="Percent 3 6 9 2" xfId="7667"/>
    <cellStyle name="Percent 3 6 9 2 2" xfId="7668"/>
    <cellStyle name="Percent 3 6 9 2 2 2" xfId="7669"/>
    <cellStyle name="Percent 3 6 9 2 3" xfId="7670"/>
    <cellStyle name="Percent 3 6 9 2 3 2" xfId="7671"/>
    <cellStyle name="Percent 3 6 9 2 4" xfId="7672"/>
    <cellStyle name="Percent 3 6 9 2 5" xfId="7673"/>
    <cellStyle name="Percent 3 6 9 3" xfId="7674"/>
    <cellStyle name="Percent 3 6 9 3 2" xfId="7675"/>
    <cellStyle name="Percent 3 6 9 3 2 2" xfId="7676"/>
    <cellStyle name="Percent 3 6 9 3 3" xfId="7677"/>
    <cellStyle name="Percent 3 6 9 3 3 2" xfId="7678"/>
    <cellStyle name="Percent 3 6 9 3 4" xfId="7679"/>
    <cellStyle name="Percent 3 6 9 4" xfId="7680"/>
    <cellStyle name="Percent 3 6 9 4 2" xfId="7681"/>
    <cellStyle name="Percent 3 6 9 4 2 2" xfId="7682"/>
    <cellStyle name="Percent 3 6 9 4 3" xfId="7683"/>
    <cellStyle name="Percent 3 6 9 4 3 2" xfId="7684"/>
    <cellStyle name="Percent 3 6 9 4 4" xfId="7685"/>
    <cellStyle name="Percent 3 6 9 5" xfId="7686"/>
    <cellStyle name="Percent 3 6 9 5 2" xfId="7687"/>
    <cellStyle name="Percent 3 6 9 5 2 2" xfId="7688"/>
    <cellStyle name="Percent 3 6 9 5 3" xfId="7689"/>
    <cellStyle name="Percent 3 6 9 5 3 2" xfId="7690"/>
    <cellStyle name="Percent 3 6 9 5 4" xfId="7691"/>
    <cellStyle name="Percent 3 6 9 5 4 2" xfId="7692"/>
    <cellStyle name="Percent 3 6 9 5 5" xfId="7693"/>
    <cellStyle name="Percent 3 6 9 6" xfId="7694"/>
    <cellStyle name="Percent 3 6 9 6 2" xfId="7695"/>
    <cellStyle name="Percent 3 6 9 6 2 2" xfId="7696"/>
    <cellStyle name="Percent 3 6 9 6 3" xfId="7697"/>
    <cellStyle name="Percent 3 6 9 6 3 2" xfId="7698"/>
    <cellStyle name="Percent 3 6 9 6 4" xfId="7699"/>
    <cellStyle name="Percent 3 6 9 7" xfId="7700"/>
    <cellStyle name="Percent 3 6 9 7 2" xfId="7701"/>
    <cellStyle name="Percent 3 6 9 8" xfId="7702"/>
    <cellStyle name="Percent 3 6 9 8 2" xfId="7703"/>
    <cellStyle name="Percent 3 6 9 9" xfId="7704"/>
    <cellStyle name="Percent 3 6 9 9 2" xfId="7705"/>
    <cellStyle name="Percent 3 7 26" xfId="7706"/>
    <cellStyle name="Percent 3 7 10 12" xfId="7707"/>
    <cellStyle name="Percent 3 7 10 10" xfId="7708"/>
    <cellStyle name="Percent 3 7 10 11" xfId="7709"/>
    <cellStyle name="Percent 3 7 10 2" xfId="7710"/>
    <cellStyle name="Percent 3 7 10 2 2" xfId="7711"/>
    <cellStyle name="Percent 3 7 10 2 2 2" xfId="7712"/>
    <cellStyle name="Percent 3 7 10 2 3" xfId="7713"/>
    <cellStyle name="Percent 3 7 10 2 3 2" xfId="7714"/>
    <cellStyle name="Percent 3 7 10 2 4" xfId="7715"/>
    <cellStyle name="Percent 3 7 10 2 5" xfId="7716"/>
    <cellStyle name="Percent 3 7 10 3" xfId="7717"/>
    <cellStyle name="Percent 3 7 10 3 2" xfId="7718"/>
    <cellStyle name="Percent 3 7 10 3 2 2" xfId="7719"/>
    <cellStyle name="Percent 3 7 10 3 3" xfId="7720"/>
    <cellStyle name="Percent 3 7 10 3 3 2" xfId="7721"/>
    <cellStyle name="Percent 3 7 10 3 4" xfId="7722"/>
    <cellStyle name="Percent 3 7 10 4" xfId="7723"/>
    <cellStyle name="Percent 3 7 10 4 2" xfId="7724"/>
    <cellStyle name="Percent 3 7 10 4 2 2" xfId="7725"/>
    <cellStyle name="Percent 3 7 10 4 3" xfId="7726"/>
    <cellStyle name="Percent 3 7 10 4 3 2" xfId="7727"/>
    <cellStyle name="Percent 3 7 10 4 4" xfId="7728"/>
    <cellStyle name="Percent 3 7 10 5" xfId="7729"/>
    <cellStyle name="Percent 3 7 10 5 2" xfId="7730"/>
    <cellStyle name="Percent 3 7 10 5 2 2" xfId="7731"/>
    <cellStyle name="Percent 3 7 10 5 3" xfId="7732"/>
    <cellStyle name="Percent 3 7 10 5 3 2" xfId="7733"/>
    <cellStyle name="Percent 3 7 10 5 4" xfId="7734"/>
    <cellStyle name="Percent 3 7 10 5 4 2" xfId="7735"/>
    <cellStyle name="Percent 3 7 10 5 5" xfId="7736"/>
    <cellStyle name="Percent 3 7 10 6" xfId="7737"/>
    <cellStyle name="Percent 3 7 10 6 2" xfId="7738"/>
    <cellStyle name="Percent 3 7 10 6 2 2" xfId="7739"/>
    <cellStyle name="Percent 3 7 10 6 3" xfId="7740"/>
    <cellStyle name="Percent 3 7 10 6 3 2" xfId="7741"/>
    <cellStyle name="Percent 3 7 10 6 4" xfId="7742"/>
    <cellStyle name="Percent 3 7 10 7" xfId="7743"/>
    <cellStyle name="Percent 3 7 10 7 2" xfId="7744"/>
    <cellStyle name="Percent 3 7 10 8" xfId="7745"/>
    <cellStyle name="Percent 3 7 10 8 2" xfId="7746"/>
    <cellStyle name="Percent 3 7 10 9" xfId="7747"/>
    <cellStyle name="Percent 3 7 10 9 2" xfId="7748"/>
    <cellStyle name="Percent 3 7 11 12" xfId="7749"/>
    <cellStyle name="Percent 3 7 11 10" xfId="7750"/>
    <cellStyle name="Percent 3 7 11 11" xfId="7751"/>
    <cellStyle name="Percent 3 7 11 2" xfId="7752"/>
    <cellStyle name="Percent 3 7 11 2 2" xfId="7753"/>
    <cellStyle name="Percent 3 7 11 2 2 2" xfId="7754"/>
    <cellStyle name="Percent 3 7 11 2 3" xfId="7755"/>
    <cellStyle name="Percent 3 7 11 2 3 2" xfId="7756"/>
    <cellStyle name="Percent 3 7 11 2 4" xfId="7757"/>
    <cellStyle name="Percent 3 7 11 2 5" xfId="7758"/>
    <cellStyle name="Percent 3 7 11 3" xfId="7759"/>
    <cellStyle name="Percent 3 7 11 3 2" xfId="7760"/>
    <cellStyle name="Percent 3 7 11 3 2 2" xfId="7761"/>
    <cellStyle name="Percent 3 7 11 3 3" xfId="7762"/>
    <cellStyle name="Percent 3 7 11 3 3 2" xfId="7763"/>
    <cellStyle name="Percent 3 7 11 3 4" xfId="7764"/>
    <cellStyle name="Percent 3 7 11 4" xfId="7765"/>
    <cellStyle name="Percent 3 7 11 4 2" xfId="7766"/>
    <cellStyle name="Percent 3 7 11 4 2 2" xfId="7767"/>
    <cellStyle name="Percent 3 7 11 4 3" xfId="7768"/>
    <cellStyle name="Percent 3 7 11 4 3 2" xfId="7769"/>
    <cellStyle name="Percent 3 7 11 4 4" xfId="7770"/>
    <cellStyle name="Percent 3 7 11 5" xfId="7771"/>
    <cellStyle name="Percent 3 7 11 5 2" xfId="7772"/>
    <cellStyle name="Percent 3 7 11 5 2 2" xfId="7773"/>
    <cellStyle name="Percent 3 7 11 5 3" xfId="7774"/>
    <cellStyle name="Percent 3 7 11 5 3 2" xfId="7775"/>
    <cellStyle name="Percent 3 7 11 5 4" xfId="7776"/>
    <cellStyle name="Percent 3 7 11 5 4 2" xfId="7777"/>
    <cellStyle name="Percent 3 7 11 5 5" xfId="7778"/>
    <cellStyle name="Percent 3 7 11 6" xfId="7779"/>
    <cellStyle name="Percent 3 7 11 6 2" xfId="7780"/>
    <cellStyle name="Percent 3 7 11 6 2 2" xfId="7781"/>
    <cellStyle name="Percent 3 7 11 6 3" xfId="7782"/>
    <cellStyle name="Percent 3 7 11 6 3 2" xfId="7783"/>
    <cellStyle name="Percent 3 7 11 6 4" xfId="7784"/>
    <cellStyle name="Percent 3 7 11 7" xfId="7785"/>
    <cellStyle name="Percent 3 7 11 7 2" xfId="7786"/>
    <cellStyle name="Percent 3 7 11 8" xfId="7787"/>
    <cellStyle name="Percent 3 7 11 8 2" xfId="7788"/>
    <cellStyle name="Percent 3 7 11 9" xfId="7789"/>
    <cellStyle name="Percent 3 7 11 9 2" xfId="7790"/>
    <cellStyle name="Percent 3 7 12 12" xfId="7791"/>
    <cellStyle name="Percent 3 7 12 10" xfId="7792"/>
    <cellStyle name="Percent 3 7 12 11" xfId="7793"/>
    <cellStyle name="Percent 3 7 12 2" xfId="7794"/>
    <cellStyle name="Percent 3 7 12 2 2" xfId="7795"/>
    <cellStyle name="Percent 3 7 12 2 2 2" xfId="7796"/>
    <cellStyle name="Percent 3 7 12 2 3" xfId="7797"/>
    <cellStyle name="Percent 3 7 12 2 3 2" xfId="7798"/>
    <cellStyle name="Percent 3 7 12 2 4" xfId="7799"/>
    <cellStyle name="Percent 3 7 12 2 5" xfId="7800"/>
    <cellStyle name="Percent 3 7 12 3" xfId="7801"/>
    <cellStyle name="Percent 3 7 12 3 2" xfId="7802"/>
    <cellStyle name="Percent 3 7 12 3 2 2" xfId="7803"/>
    <cellStyle name="Percent 3 7 12 3 3" xfId="7804"/>
    <cellStyle name="Percent 3 7 12 3 3 2" xfId="7805"/>
    <cellStyle name="Percent 3 7 12 3 4" xfId="7806"/>
    <cellStyle name="Percent 3 7 12 4" xfId="7807"/>
    <cellStyle name="Percent 3 7 12 4 2" xfId="7808"/>
    <cellStyle name="Percent 3 7 12 4 2 2" xfId="7809"/>
    <cellStyle name="Percent 3 7 12 4 3" xfId="7810"/>
    <cellStyle name="Percent 3 7 12 4 3 2" xfId="7811"/>
    <cellStyle name="Percent 3 7 12 4 4" xfId="7812"/>
    <cellStyle name="Percent 3 7 12 5" xfId="7813"/>
    <cellStyle name="Percent 3 7 12 5 2" xfId="7814"/>
    <cellStyle name="Percent 3 7 12 5 2 2" xfId="7815"/>
    <cellStyle name="Percent 3 7 12 5 3" xfId="7816"/>
    <cellStyle name="Percent 3 7 12 5 3 2" xfId="7817"/>
    <cellStyle name="Percent 3 7 12 5 4" xfId="7818"/>
    <cellStyle name="Percent 3 7 12 5 4 2" xfId="7819"/>
    <cellStyle name="Percent 3 7 12 5 5" xfId="7820"/>
    <cellStyle name="Percent 3 7 12 6" xfId="7821"/>
    <cellStyle name="Percent 3 7 12 6 2" xfId="7822"/>
    <cellStyle name="Percent 3 7 12 6 2 2" xfId="7823"/>
    <cellStyle name="Percent 3 7 12 6 3" xfId="7824"/>
    <cellStyle name="Percent 3 7 12 6 3 2" xfId="7825"/>
    <cellStyle name="Percent 3 7 12 6 4" xfId="7826"/>
    <cellStyle name="Percent 3 7 12 7" xfId="7827"/>
    <cellStyle name="Percent 3 7 12 7 2" xfId="7828"/>
    <cellStyle name="Percent 3 7 12 8" xfId="7829"/>
    <cellStyle name="Percent 3 7 12 8 2" xfId="7830"/>
    <cellStyle name="Percent 3 7 12 9" xfId="7831"/>
    <cellStyle name="Percent 3 7 12 9 2" xfId="7832"/>
    <cellStyle name="Percent 3 7 13 12" xfId="7833"/>
    <cellStyle name="Percent 3 7 13 10" xfId="7834"/>
    <cellStyle name="Percent 3 7 13 11" xfId="7835"/>
    <cellStyle name="Percent 3 7 13 2" xfId="7836"/>
    <cellStyle name="Percent 3 7 13 2 2" xfId="7837"/>
    <cellStyle name="Percent 3 7 13 2 2 2" xfId="7838"/>
    <cellStyle name="Percent 3 7 13 2 3" xfId="7839"/>
    <cellStyle name="Percent 3 7 13 2 3 2" xfId="7840"/>
    <cellStyle name="Percent 3 7 13 2 4" xfId="7841"/>
    <cellStyle name="Percent 3 7 13 2 5" xfId="7842"/>
    <cellStyle name="Percent 3 7 13 3" xfId="7843"/>
    <cellStyle name="Percent 3 7 13 3 2" xfId="7844"/>
    <cellStyle name="Percent 3 7 13 3 2 2" xfId="7845"/>
    <cellStyle name="Percent 3 7 13 3 3" xfId="7846"/>
    <cellStyle name="Percent 3 7 13 3 3 2" xfId="7847"/>
    <cellStyle name="Percent 3 7 13 3 4" xfId="7848"/>
    <cellStyle name="Percent 3 7 13 4" xfId="7849"/>
    <cellStyle name="Percent 3 7 13 4 2" xfId="7850"/>
    <cellStyle name="Percent 3 7 13 4 2 2" xfId="7851"/>
    <cellStyle name="Percent 3 7 13 4 3" xfId="7852"/>
    <cellStyle name="Percent 3 7 13 4 3 2" xfId="7853"/>
    <cellStyle name="Percent 3 7 13 4 4" xfId="7854"/>
    <cellStyle name="Percent 3 7 13 5" xfId="7855"/>
    <cellStyle name="Percent 3 7 13 5 2" xfId="7856"/>
    <cellStyle name="Percent 3 7 13 5 2 2" xfId="7857"/>
    <cellStyle name="Percent 3 7 13 5 3" xfId="7858"/>
    <cellStyle name="Percent 3 7 13 5 3 2" xfId="7859"/>
    <cellStyle name="Percent 3 7 13 5 4" xfId="7860"/>
    <cellStyle name="Percent 3 7 13 5 4 2" xfId="7861"/>
    <cellStyle name="Percent 3 7 13 5 5" xfId="7862"/>
    <cellStyle name="Percent 3 7 13 6" xfId="7863"/>
    <cellStyle name="Percent 3 7 13 6 2" xfId="7864"/>
    <cellStyle name="Percent 3 7 13 6 2 2" xfId="7865"/>
    <cellStyle name="Percent 3 7 13 6 3" xfId="7866"/>
    <cellStyle name="Percent 3 7 13 6 3 2" xfId="7867"/>
    <cellStyle name="Percent 3 7 13 6 4" xfId="7868"/>
    <cellStyle name="Percent 3 7 13 7" xfId="7869"/>
    <cellStyle name="Percent 3 7 13 7 2" xfId="7870"/>
    <cellStyle name="Percent 3 7 13 8" xfId="7871"/>
    <cellStyle name="Percent 3 7 13 8 2" xfId="7872"/>
    <cellStyle name="Percent 3 7 13 9" xfId="7873"/>
    <cellStyle name="Percent 3 7 13 9 2" xfId="7874"/>
    <cellStyle name="Percent 3 7 14 12" xfId="7875"/>
    <cellStyle name="Percent 3 7 14 10" xfId="7876"/>
    <cellStyle name="Percent 3 7 14 11" xfId="7877"/>
    <cellStyle name="Percent 3 7 14 2" xfId="7878"/>
    <cellStyle name="Percent 3 7 14 2 2" xfId="7879"/>
    <cellStyle name="Percent 3 7 14 2 2 2" xfId="7880"/>
    <cellStyle name="Percent 3 7 14 2 3" xfId="7881"/>
    <cellStyle name="Percent 3 7 14 2 3 2" xfId="7882"/>
    <cellStyle name="Percent 3 7 14 2 4" xfId="7883"/>
    <cellStyle name="Percent 3 7 14 2 5" xfId="7884"/>
    <cellStyle name="Percent 3 7 14 3" xfId="7885"/>
    <cellStyle name="Percent 3 7 14 3 2" xfId="7886"/>
    <cellStyle name="Percent 3 7 14 3 2 2" xfId="7887"/>
    <cellStyle name="Percent 3 7 14 3 3" xfId="7888"/>
    <cellStyle name="Percent 3 7 14 3 3 2" xfId="7889"/>
    <cellStyle name="Percent 3 7 14 3 4" xfId="7890"/>
    <cellStyle name="Percent 3 7 14 4" xfId="7891"/>
    <cellStyle name="Percent 3 7 14 4 2" xfId="7892"/>
    <cellStyle name="Percent 3 7 14 4 2 2" xfId="7893"/>
    <cellStyle name="Percent 3 7 14 4 3" xfId="7894"/>
    <cellStyle name="Percent 3 7 14 4 3 2" xfId="7895"/>
    <cellStyle name="Percent 3 7 14 4 4" xfId="7896"/>
    <cellStyle name="Percent 3 7 14 5" xfId="7897"/>
    <cellStyle name="Percent 3 7 14 5 2" xfId="7898"/>
    <cellStyle name="Percent 3 7 14 5 2 2" xfId="7899"/>
    <cellStyle name="Percent 3 7 14 5 3" xfId="7900"/>
    <cellStyle name="Percent 3 7 14 5 3 2" xfId="7901"/>
    <cellStyle name="Percent 3 7 14 5 4" xfId="7902"/>
    <cellStyle name="Percent 3 7 14 5 4 2" xfId="7903"/>
    <cellStyle name="Percent 3 7 14 5 5" xfId="7904"/>
    <cellStyle name="Percent 3 7 14 6" xfId="7905"/>
    <cellStyle name="Percent 3 7 14 6 2" xfId="7906"/>
    <cellStyle name="Percent 3 7 14 6 2 2" xfId="7907"/>
    <cellStyle name="Percent 3 7 14 6 3" xfId="7908"/>
    <cellStyle name="Percent 3 7 14 6 3 2" xfId="7909"/>
    <cellStyle name="Percent 3 7 14 6 4" xfId="7910"/>
    <cellStyle name="Percent 3 7 14 7" xfId="7911"/>
    <cellStyle name="Percent 3 7 14 7 2" xfId="7912"/>
    <cellStyle name="Percent 3 7 14 8" xfId="7913"/>
    <cellStyle name="Percent 3 7 14 8 2" xfId="7914"/>
    <cellStyle name="Percent 3 7 14 9" xfId="7915"/>
    <cellStyle name="Percent 3 7 14 9 2" xfId="7916"/>
    <cellStyle name="Percent 3 7 15 12" xfId="7917"/>
    <cellStyle name="Percent 3 7 15 10" xfId="7918"/>
    <cellStyle name="Percent 3 7 15 11" xfId="7919"/>
    <cellStyle name="Percent 3 7 15 2" xfId="7920"/>
    <cellStyle name="Percent 3 7 15 2 2" xfId="7921"/>
    <cellStyle name="Percent 3 7 15 2 2 2" xfId="7922"/>
    <cellStyle name="Percent 3 7 15 2 3" xfId="7923"/>
    <cellStyle name="Percent 3 7 15 2 3 2" xfId="7924"/>
    <cellStyle name="Percent 3 7 15 2 4" xfId="7925"/>
    <cellStyle name="Percent 3 7 15 2 5" xfId="7926"/>
    <cellStyle name="Percent 3 7 15 3" xfId="7927"/>
    <cellStyle name="Percent 3 7 15 3 2" xfId="7928"/>
    <cellStyle name="Percent 3 7 15 3 2 2" xfId="7929"/>
    <cellStyle name="Percent 3 7 15 3 3" xfId="7930"/>
    <cellStyle name="Percent 3 7 15 3 3 2" xfId="7931"/>
    <cellStyle name="Percent 3 7 15 3 4" xfId="7932"/>
    <cellStyle name="Percent 3 7 15 4" xfId="7933"/>
    <cellStyle name="Percent 3 7 15 4 2" xfId="7934"/>
    <cellStyle name="Percent 3 7 15 4 2 2" xfId="7935"/>
    <cellStyle name="Percent 3 7 15 4 3" xfId="7936"/>
    <cellStyle name="Percent 3 7 15 4 3 2" xfId="7937"/>
    <cellStyle name="Percent 3 7 15 4 4" xfId="7938"/>
    <cellStyle name="Percent 3 7 15 5" xfId="7939"/>
    <cellStyle name="Percent 3 7 15 5 2" xfId="7940"/>
    <cellStyle name="Percent 3 7 15 5 2 2" xfId="7941"/>
    <cellStyle name="Percent 3 7 15 5 3" xfId="7942"/>
    <cellStyle name="Percent 3 7 15 5 3 2" xfId="7943"/>
    <cellStyle name="Percent 3 7 15 5 4" xfId="7944"/>
    <cellStyle name="Percent 3 7 15 5 4 2" xfId="7945"/>
    <cellStyle name="Percent 3 7 15 5 5" xfId="7946"/>
    <cellStyle name="Percent 3 7 15 6" xfId="7947"/>
    <cellStyle name="Percent 3 7 15 6 2" xfId="7948"/>
    <cellStyle name="Percent 3 7 15 6 2 2" xfId="7949"/>
    <cellStyle name="Percent 3 7 15 6 3" xfId="7950"/>
    <cellStyle name="Percent 3 7 15 6 3 2" xfId="7951"/>
    <cellStyle name="Percent 3 7 15 6 4" xfId="7952"/>
    <cellStyle name="Percent 3 7 15 7" xfId="7953"/>
    <cellStyle name="Percent 3 7 15 7 2" xfId="7954"/>
    <cellStyle name="Percent 3 7 15 8" xfId="7955"/>
    <cellStyle name="Percent 3 7 15 8 2" xfId="7956"/>
    <cellStyle name="Percent 3 7 15 9" xfId="7957"/>
    <cellStyle name="Percent 3 7 15 9 2" xfId="7958"/>
    <cellStyle name="Percent 3 7 16" xfId="7959"/>
    <cellStyle name="Percent 3 7 16 2" xfId="7960"/>
    <cellStyle name="Percent 3 7 16 2 2" xfId="7961"/>
    <cellStyle name="Percent 3 7 16 3" xfId="7962"/>
    <cellStyle name="Percent 3 7 16 3 2" xfId="7963"/>
    <cellStyle name="Percent 3 7 16 4" xfId="7964"/>
    <cellStyle name="Percent 3 7 16 5" xfId="7965"/>
    <cellStyle name="Percent 3 7 17" xfId="7966"/>
    <cellStyle name="Percent 3 7 17 2" xfId="7967"/>
    <cellStyle name="Percent 3 7 17 2 2" xfId="7968"/>
    <cellStyle name="Percent 3 7 17 3" xfId="7969"/>
    <cellStyle name="Percent 3 7 17 3 2" xfId="7970"/>
    <cellStyle name="Percent 3 7 17 4" xfId="7971"/>
    <cellStyle name="Percent 3 7 18" xfId="7972"/>
    <cellStyle name="Percent 3 7 18 2" xfId="7973"/>
    <cellStyle name="Percent 3 7 18 2 2" xfId="7974"/>
    <cellStyle name="Percent 3 7 18 3" xfId="7975"/>
    <cellStyle name="Percent 3 7 18 3 2" xfId="7976"/>
    <cellStyle name="Percent 3 7 18 4" xfId="7977"/>
    <cellStyle name="Percent 3 7 19" xfId="7978"/>
    <cellStyle name="Percent 3 7 19 2" xfId="7979"/>
    <cellStyle name="Percent 3 7 19 2 2" xfId="7980"/>
    <cellStyle name="Percent 3 7 19 3" xfId="7981"/>
    <cellStyle name="Percent 3 7 19 3 2" xfId="7982"/>
    <cellStyle name="Percent 3 7 19 4" xfId="7983"/>
    <cellStyle name="Percent 3 7 19 4 2" xfId="7984"/>
    <cellStyle name="Percent 3 7 19 5" xfId="7985"/>
    <cellStyle name="Percent 3 7 2 12" xfId="7986"/>
    <cellStyle name="Percent 3 7 2 10" xfId="7987"/>
    <cellStyle name="Percent 3 7 2 11" xfId="7988"/>
    <cellStyle name="Percent 3 7 2 2" xfId="7989"/>
    <cellStyle name="Percent 3 7 2 2 2" xfId="7990"/>
    <cellStyle name="Percent 3 7 2 2 2 2" xfId="7991"/>
    <cellStyle name="Percent 3 7 2 2 3" xfId="7992"/>
    <cellStyle name="Percent 3 7 2 2 3 2" xfId="7993"/>
    <cellStyle name="Percent 3 7 2 2 4" xfId="7994"/>
    <cellStyle name="Percent 3 7 2 2 5" xfId="7995"/>
    <cellStyle name="Percent 3 7 2 3" xfId="7996"/>
    <cellStyle name="Percent 3 7 2 3 2" xfId="7997"/>
    <cellStyle name="Percent 3 7 2 3 2 2" xfId="7998"/>
    <cellStyle name="Percent 3 7 2 3 3" xfId="7999"/>
    <cellStyle name="Percent 3 7 2 3 3 2" xfId="8000"/>
    <cellStyle name="Percent 3 7 2 3 4" xfId="8001"/>
    <cellStyle name="Percent 3 7 2 4" xfId="8002"/>
    <cellStyle name="Percent 3 7 2 4 2" xfId="8003"/>
    <cellStyle name="Percent 3 7 2 4 2 2" xfId="8004"/>
    <cellStyle name="Percent 3 7 2 4 3" xfId="8005"/>
    <cellStyle name="Percent 3 7 2 4 3 2" xfId="8006"/>
    <cellStyle name="Percent 3 7 2 4 4" xfId="8007"/>
    <cellStyle name="Percent 3 7 2 5" xfId="8008"/>
    <cellStyle name="Percent 3 7 2 5 2" xfId="8009"/>
    <cellStyle name="Percent 3 7 2 5 2 2" xfId="8010"/>
    <cellStyle name="Percent 3 7 2 5 3" xfId="8011"/>
    <cellStyle name="Percent 3 7 2 5 3 2" xfId="8012"/>
    <cellStyle name="Percent 3 7 2 5 4" xfId="8013"/>
    <cellStyle name="Percent 3 7 2 5 4 2" xfId="8014"/>
    <cellStyle name="Percent 3 7 2 5 5" xfId="8015"/>
    <cellStyle name="Percent 3 7 2 6" xfId="8016"/>
    <cellStyle name="Percent 3 7 2 6 2" xfId="8017"/>
    <cellStyle name="Percent 3 7 2 6 2 2" xfId="8018"/>
    <cellStyle name="Percent 3 7 2 6 3" xfId="8019"/>
    <cellStyle name="Percent 3 7 2 6 3 2" xfId="8020"/>
    <cellStyle name="Percent 3 7 2 6 4" xfId="8021"/>
    <cellStyle name="Percent 3 7 2 7" xfId="8022"/>
    <cellStyle name="Percent 3 7 2 7 2" xfId="8023"/>
    <cellStyle name="Percent 3 7 2 8" xfId="8024"/>
    <cellStyle name="Percent 3 7 2 8 2" xfId="8025"/>
    <cellStyle name="Percent 3 7 2 9" xfId="8026"/>
    <cellStyle name="Percent 3 7 2 9 2" xfId="8027"/>
    <cellStyle name="Percent 3 7 20" xfId="8028"/>
    <cellStyle name="Percent 3 7 20 2" xfId="8029"/>
    <cellStyle name="Percent 3 7 20 2 2" xfId="8030"/>
    <cellStyle name="Percent 3 7 20 3" xfId="8031"/>
    <cellStyle name="Percent 3 7 20 3 2" xfId="8032"/>
    <cellStyle name="Percent 3 7 20 4" xfId="8033"/>
    <cellStyle name="Percent 3 7 21" xfId="8034"/>
    <cellStyle name="Percent 3 7 21 2" xfId="8035"/>
    <cellStyle name="Percent 3 7 22" xfId="8036"/>
    <cellStyle name="Percent 3 7 22 2" xfId="8037"/>
    <cellStyle name="Percent 3 7 23" xfId="8038"/>
    <cellStyle name="Percent 3 7 23 2" xfId="8039"/>
    <cellStyle name="Percent 3 7 24" xfId="8040"/>
    <cellStyle name="Percent 3 7 25" xfId="8041"/>
    <cellStyle name="Percent 3 7 3 12" xfId="8042"/>
    <cellStyle name="Percent 3 7 3 10" xfId="8043"/>
    <cellStyle name="Percent 3 7 3 11" xfId="8044"/>
    <cellStyle name="Percent 3 7 3 2" xfId="8045"/>
    <cellStyle name="Percent 3 7 3 2 2" xfId="8046"/>
    <cellStyle name="Percent 3 7 3 2 2 2" xfId="8047"/>
    <cellStyle name="Percent 3 7 3 2 3" xfId="8048"/>
    <cellStyle name="Percent 3 7 3 2 3 2" xfId="8049"/>
    <cellStyle name="Percent 3 7 3 2 4" xfId="8050"/>
    <cellStyle name="Percent 3 7 3 2 5" xfId="8051"/>
    <cellStyle name="Percent 3 7 3 3" xfId="8052"/>
    <cellStyle name="Percent 3 7 3 3 2" xfId="8053"/>
    <cellStyle name="Percent 3 7 3 3 2 2" xfId="8054"/>
    <cellStyle name="Percent 3 7 3 3 3" xfId="8055"/>
    <cellStyle name="Percent 3 7 3 3 3 2" xfId="8056"/>
    <cellStyle name="Percent 3 7 3 3 4" xfId="8057"/>
    <cellStyle name="Percent 3 7 3 4" xfId="8058"/>
    <cellStyle name="Percent 3 7 3 4 2" xfId="8059"/>
    <cellStyle name="Percent 3 7 3 4 2 2" xfId="8060"/>
    <cellStyle name="Percent 3 7 3 4 3" xfId="8061"/>
    <cellStyle name="Percent 3 7 3 4 3 2" xfId="8062"/>
    <cellStyle name="Percent 3 7 3 4 4" xfId="8063"/>
    <cellStyle name="Percent 3 7 3 5" xfId="8064"/>
    <cellStyle name="Percent 3 7 3 5 2" xfId="8065"/>
    <cellStyle name="Percent 3 7 3 5 2 2" xfId="8066"/>
    <cellStyle name="Percent 3 7 3 5 3" xfId="8067"/>
    <cellStyle name="Percent 3 7 3 5 3 2" xfId="8068"/>
    <cellStyle name="Percent 3 7 3 5 4" xfId="8069"/>
    <cellStyle name="Percent 3 7 3 5 4 2" xfId="8070"/>
    <cellStyle name="Percent 3 7 3 5 5" xfId="8071"/>
    <cellStyle name="Percent 3 7 3 6" xfId="8072"/>
    <cellStyle name="Percent 3 7 3 6 2" xfId="8073"/>
    <cellStyle name="Percent 3 7 3 6 2 2" xfId="8074"/>
    <cellStyle name="Percent 3 7 3 6 3" xfId="8075"/>
    <cellStyle name="Percent 3 7 3 6 3 2" xfId="8076"/>
    <cellStyle name="Percent 3 7 3 6 4" xfId="8077"/>
    <cellStyle name="Percent 3 7 3 7" xfId="8078"/>
    <cellStyle name="Percent 3 7 3 7 2" xfId="8079"/>
    <cellStyle name="Percent 3 7 3 8" xfId="8080"/>
    <cellStyle name="Percent 3 7 3 8 2" xfId="8081"/>
    <cellStyle name="Percent 3 7 3 9" xfId="8082"/>
    <cellStyle name="Percent 3 7 3 9 2" xfId="8083"/>
    <cellStyle name="Percent 3 7 4 12" xfId="8084"/>
    <cellStyle name="Percent 3 7 4 10" xfId="8085"/>
    <cellStyle name="Percent 3 7 4 11" xfId="8086"/>
    <cellStyle name="Percent 3 7 4 2" xfId="8087"/>
    <cellStyle name="Percent 3 7 4 2 2" xfId="8088"/>
    <cellStyle name="Percent 3 7 4 2 2 2" xfId="8089"/>
    <cellStyle name="Percent 3 7 4 2 3" xfId="8090"/>
    <cellStyle name="Percent 3 7 4 2 3 2" xfId="8091"/>
    <cellStyle name="Percent 3 7 4 2 4" xfId="8092"/>
    <cellStyle name="Percent 3 7 4 2 5" xfId="8093"/>
    <cellStyle name="Percent 3 7 4 3" xfId="8094"/>
    <cellStyle name="Percent 3 7 4 3 2" xfId="8095"/>
    <cellStyle name="Percent 3 7 4 3 2 2" xfId="8096"/>
    <cellStyle name="Percent 3 7 4 3 3" xfId="8097"/>
    <cellStyle name="Percent 3 7 4 3 3 2" xfId="8098"/>
    <cellStyle name="Percent 3 7 4 3 4" xfId="8099"/>
    <cellStyle name="Percent 3 7 4 4" xfId="8100"/>
    <cellStyle name="Percent 3 7 4 4 2" xfId="8101"/>
    <cellStyle name="Percent 3 7 4 4 2 2" xfId="8102"/>
    <cellStyle name="Percent 3 7 4 4 3" xfId="8103"/>
    <cellStyle name="Percent 3 7 4 4 3 2" xfId="8104"/>
    <cellStyle name="Percent 3 7 4 4 4" xfId="8105"/>
    <cellStyle name="Percent 3 7 4 5" xfId="8106"/>
    <cellStyle name="Percent 3 7 4 5 2" xfId="8107"/>
    <cellStyle name="Percent 3 7 4 5 2 2" xfId="8108"/>
    <cellStyle name="Percent 3 7 4 5 3" xfId="8109"/>
    <cellStyle name="Percent 3 7 4 5 3 2" xfId="8110"/>
    <cellStyle name="Percent 3 7 4 5 4" xfId="8111"/>
    <cellStyle name="Percent 3 7 4 5 4 2" xfId="8112"/>
    <cellStyle name="Percent 3 7 4 5 5" xfId="8113"/>
    <cellStyle name="Percent 3 7 4 6" xfId="8114"/>
    <cellStyle name="Percent 3 7 4 6 2" xfId="8115"/>
    <cellStyle name="Percent 3 7 4 6 2 2" xfId="8116"/>
    <cellStyle name="Percent 3 7 4 6 3" xfId="8117"/>
    <cellStyle name="Percent 3 7 4 6 3 2" xfId="8118"/>
    <cellStyle name="Percent 3 7 4 6 4" xfId="8119"/>
    <cellStyle name="Percent 3 7 4 7" xfId="8120"/>
    <cellStyle name="Percent 3 7 4 7 2" xfId="8121"/>
    <cellStyle name="Percent 3 7 4 8" xfId="8122"/>
    <cellStyle name="Percent 3 7 4 8 2" xfId="8123"/>
    <cellStyle name="Percent 3 7 4 9" xfId="8124"/>
    <cellStyle name="Percent 3 7 4 9 2" xfId="8125"/>
    <cellStyle name="Percent 3 7 5 12" xfId="8126"/>
    <cellStyle name="Percent 3 7 5 10" xfId="8127"/>
    <cellStyle name="Percent 3 7 5 11" xfId="8128"/>
    <cellStyle name="Percent 3 7 5 2" xfId="8129"/>
    <cellStyle name="Percent 3 7 5 2 2" xfId="8130"/>
    <cellStyle name="Percent 3 7 5 2 2 2" xfId="8131"/>
    <cellStyle name="Percent 3 7 5 2 3" xfId="8132"/>
    <cellStyle name="Percent 3 7 5 2 3 2" xfId="8133"/>
    <cellStyle name="Percent 3 7 5 2 4" xfId="8134"/>
    <cellStyle name="Percent 3 7 5 2 5" xfId="8135"/>
    <cellStyle name="Percent 3 7 5 3" xfId="8136"/>
    <cellStyle name="Percent 3 7 5 3 2" xfId="8137"/>
    <cellStyle name="Percent 3 7 5 3 2 2" xfId="8138"/>
    <cellStyle name="Percent 3 7 5 3 3" xfId="8139"/>
    <cellStyle name="Percent 3 7 5 3 3 2" xfId="8140"/>
    <cellStyle name="Percent 3 7 5 3 4" xfId="8141"/>
    <cellStyle name="Percent 3 7 5 4" xfId="8142"/>
    <cellStyle name="Percent 3 7 5 4 2" xfId="8143"/>
    <cellStyle name="Percent 3 7 5 4 2 2" xfId="8144"/>
    <cellStyle name="Percent 3 7 5 4 3" xfId="8145"/>
    <cellStyle name="Percent 3 7 5 4 3 2" xfId="8146"/>
    <cellStyle name="Percent 3 7 5 4 4" xfId="8147"/>
    <cellStyle name="Percent 3 7 5 5" xfId="8148"/>
    <cellStyle name="Percent 3 7 5 5 2" xfId="8149"/>
    <cellStyle name="Percent 3 7 5 5 2 2" xfId="8150"/>
    <cellStyle name="Percent 3 7 5 5 3" xfId="8151"/>
    <cellStyle name="Percent 3 7 5 5 3 2" xfId="8152"/>
    <cellStyle name="Percent 3 7 5 5 4" xfId="8153"/>
    <cellStyle name="Percent 3 7 5 5 4 2" xfId="8154"/>
    <cellStyle name="Percent 3 7 5 5 5" xfId="8155"/>
    <cellStyle name="Percent 3 7 5 6" xfId="8156"/>
    <cellStyle name="Percent 3 7 5 6 2" xfId="8157"/>
    <cellStyle name="Percent 3 7 5 6 2 2" xfId="8158"/>
    <cellStyle name="Percent 3 7 5 6 3" xfId="8159"/>
    <cellStyle name="Percent 3 7 5 6 3 2" xfId="8160"/>
    <cellStyle name="Percent 3 7 5 6 4" xfId="8161"/>
    <cellStyle name="Percent 3 7 5 7" xfId="8162"/>
    <cellStyle name="Percent 3 7 5 7 2" xfId="8163"/>
    <cellStyle name="Percent 3 7 5 8" xfId="8164"/>
    <cellStyle name="Percent 3 7 5 8 2" xfId="8165"/>
    <cellStyle name="Percent 3 7 5 9" xfId="8166"/>
    <cellStyle name="Percent 3 7 5 9 2" xfId="8167"/>
    <cellStyle name="Percent 3 7 6 12" xfId="8168"/>
    <cellStyle name="Percent 3 7 6 10" xfId="8169"/>
    <cellStyle name="Percent 3 7 6 11" xfId="8170"/>
    <cellStyle name="Percent 3 7 6 2" xfId="8171"/>
    <cellStyle name="Percent 3 7 6 2 2" xfId="8172"/>
    <cellStyle name="Percent 3 7 6 2 2 2" xfId="8173"/>
    <cellStyle name="Percent 3 7 6 2 3" xfId="8174"/>
    <cellStyle name="Percent 3 7 6 2 3 2" xfId="8175"/>
    <cellStyle name="Percent 3 7 6 2 4" xfId="8176"/>
    <cellStyle name="Percent 3 7 6 2 5" xfId="8177"/>
    <cellStyle name="Percent 3 7 6 3" xfId="8178"/>
    <cellStyle name="Percent 3 7 6 3 2" xfId="8179"/>
    <cellStyle name="Percent 3 7 6 3 2 2" xfId="8180"/>
    <cellStyle name="Percent 3 7 6 3 3" xfId="8181"/>
    <cellStyle name="Percent 3 7 6 3 3 2" xfId="8182"/>
    <cellStyle name="Percent 3 7 6 3 4" xfId="8183"/>
    <cellStyle name="Percent 3 7 6 4" xfId="8184"/>
    <cellStyle name="Percent 3 7 6 4 2" xfId="8185"/>
    <cellStyle name="Percent 3 7 6 4 2 2" xfId="8186"/>
    <cellStyle name="Percent 3 7 6 4 3" xfId="8187"/>
    <cellStyle name="Percent 3 7 6 4 3 2" xfId="8188"/>
    <cellStyle name="Percent 3 7 6 4 4" xfId="8189"/>
    <cellStyle name="Percent 3 7 6 5" xfId="8190"/>
    <cellStyle name="Percent 3 7 6 5 2" xfId="8191"/>
    <cellStyle name="Percent 3 7 6 5 2 2" xfId="8192"/>
    <cellStyle name="Percent 3 7 6 5 3" xfId="8193"/>
    <cellStyle name="Percent 3 7 6 5 3 2" xfId="8194"/>
    <cellStyle name="Percent 3 7 6 5 4" xfId="8195"/>
    <cellStyle name="Percent 3 7 6 5 4 2" xfId="8196"/>
    <cellStyle name="Percent 3 7 6 5 5" xfId="8197"/>
    <cellStyle name="Percent 3 7 6 6" xfId="8198"/>
    <cellStyle name="Percent 3 7 6 6 2" xfId="8199"/>
    <cellStyle name="Percent 3 7 6 6 2 2" xfId="8200"/>
    <cellStyle name="Percent 3 7 6 6 3" xfId="8201"/>
    <cellStyle name="Percent 3 7 6 6 3 2" xfId="8202"/>
    <cellStyle name="Percent 3 7 6 6 4" xfId="8203"/>
    <cellStyle name="Percent 3 7 6 7" xfId="8204"/>
    <cellStyle name="Percent 3 7 6 7 2" xfId="8205"/>
    <cellStyle name="Percent 3 7 6 8" xfId="8206"/>
    <cellStyle name="Percent 3 7 6 8 2" xfId="8207"/>
    <cellStyle name="Percent 3 7 6 9" xfId="8208"/>
    <cellStyle name="Percent 3 7 6 9 2" xfId="8209"/>
    <cellStyle name="Percent 3 7 7 12" xfId="8210"/>
    <cellStyle name="Percent 3 7 7 10" xfId="8211"/>
    <cellStyle name="Percent 3 7 7 11" xfId="8212"/>
    <cellStyle name="Percent 3 7 7 2" xfId="8213"/>
    <cellStyle name="Percent 3 7 7 2 2" xfId="8214"/>
    <cellStyle name="Percent 3 7 7 2 2 2" xfId="8215"/>
    <cellStyle name="Percent 3 7 7 2 3" xfId="8216"/>
    <cellStyle name="Percent 3 7 7 2 3 2" xfId="8217"/>
    <cellStyle name="Percent 3 7 7 2 4" xfId="8218"/>
    <cellStyle name="Percent 3 7 7 2 5" xfId="8219"/>
    <cellStyle name="Percent 3 7 7 3" xfId="8220"/>
    <cellStyle name="Percent 3 7 7 3 2" xfId="8221"/>
    <cellStyle name="Percent 3 7 7 3 2 2" xfId="8222"/>
    <cellStyle name="Percent 3 7 7 3 3" xfId="8223"/>
    <cellStyle name="Percent 3 7 7 3 3 2" xfId="8224"/>
    <cellStyle name="Percent 3 7 7 3 4" xfId="8225"/>
    <cellStyle name="Percent 3 7 7 4" xfId="8226"/>
    <cellStyle name="Percent 3 7 7 4 2" xfId="8227"/>
    <cellStyle name="Percent 3 7 7 4 2 2" xfId="8228"/>
    <cellStyle name="Percent 3 7 7 4 3" xfId="8229"/>
    <cellStyle name="Percent 3 7 7 4 3 2" xfId="8230"/>
    <cellStyle name="Percent 3 7 7 4 4" xfId="8231"/>
    <cellStyle name="Percent 3 7 7 5" xfId="8232"/>
    <cellStyle name="Percent 3 7 7 5 2" xfId="8233"/>
    <cellStyle name="Percent 3 7 7 5 2 2" xfId="8234"/>
    <cellStyle name="Percent 3 7 7 5 3" xfId="8235"/>
    <cellStyle name="Percent 3 7 7 5 3 2" xfId="8236"/>
    <cellStyle name="Percent 3 7 7 5 4" xfId="8237"/>
    <cellStyle name="Percent 3 7 7 5 4 2" xfId="8238"/>
    <cellStyle name="Percent 3 7 7 5 5" xfId="8239"/>
    <cellStyle name="Percent 3 7 7 6" xfId="8240"/>
    <cellStyle name="Percent 3 7 7 6 2" xfId="8241"/>
    <cellStyle name="Percent 3 7 7 6 2 2" xfId="8242"/>
    <cellStyle name="Percent 3 7 7 6 3" xfId="8243"/>
    <cellStyle name="Percent 3 7 7 6 3 2" xfId="8244"/>
    <cellStyle name="Percent 3 7 7 6 4" xfId="8245"/>
    <cellStyle name="Percent 3 7 7 7" xfId="8246"/>
    <cellStyle name="Percent 3 7 7 7 2" xfId="8247"/>
    <cellStyle name="Percent 3 7 7 8" xfId="8248"/>
    <cellStyle name="Percent 3 7 7 8 2" xfId="8249"/>
    <cellStyle name="Percent 3 7 7 9" xfId="8250"/>
    <cellStyle name="Percent 3 7 7 9 2" xfId="8251"/>
    <cellStyle name="Percent 3 7 8 12" xfId="8252"/>
    <cellStyle name="Percent 3 7 8 10" xfId="8253"/>
    <cellStyle name="Percent 3 7 8 11" xfId="8254"/>
    <cellStyle name="Percent 3 7 8 2" xfId="8255"/>
    <cellStyle name="Percent 3 7 8 2 2" xfId="8256"/>
    <cellStyle name="Percent 3 7 8 2 2 2" xfId="8257"/>
    <cellStyle name="Percent 3 7 8 2 3" xfId="8258"/>
    <cellStyle name="Percent 3 7 8 2 3 2" xfId="8259"/>
    <cellStyle name="Percent 3 7 8 2 4" xfId="8260"/>
    <cellStyle name="Percent 3 7 8 2 5" xfId="8261"/>
    <cellStyle name="Percent 3 7 8 3" xfId="8262"/>
    <cellStyle name="Percent 3 7 8 3 2" xfId="8263"/>
    <cellStyle name="Percent 3 7 8 3 2 2" xfId="8264"/>
    <cellStyle name="Percent 3 7 8 3 3" xfId="8265"/>
    <cellStyle name="Percent 3 7 8 3 3 2" xfId="8266"/>
    <cellStyle name="Percent 3 7 8 3 4" xfId="8267"/>
    <cellStyle name="Percent 3 7 8 4" xfId="8268"/>
    <cellStyle name="Percent 3 7 8 4 2" xfId="8269"/>
    <cellStyle name="Percent 3 7 8 4 2 2" xfId="8270"/>
    <cellStyle name="Percent 3 7 8 4 3" xfId="8271"/>
    <cellStyle name="Percent 3 7 8 4 3 2" xfId="8272"/>
    <cellStyle name="Percent 3 7 8 4 4" xfId="8273"/>
    <cellStyle name="Percent 3 7 8 5" xfId="8274"/>
    <cellStyle name="Percent 3 7 8 5 2" xfId="8275"/>
    <cellStyle name="Percent 3 7 8 5 2 2" xfId="8276"/>
    <cellStyle name="Percent 3 7 8 5 3" xfId="8277"/>
    <cellStyle name="Percent 3 7 8 5 3 2" xfId="8278"/>
    <cellStyle name="Percent 3 7 8 5 4" xfId="8279"/>
    <cellStyle name="Percent 3 7 8 5 4 2" xfId="8280"/>
    <cellStyle name="Percent 3 7 8 5 5" xfId="8281"/>
    <cellStyle name="Percent 3 7 8 6" xfId="8282"/>
    <cellStyle name="Percent 3 7 8 6 2" xfId="8283"/>
    <cellStyle name="Percent 3 7 8 6 2 2" xfId="8284"/>
    <cellStyle name="Percent 3 7 8 6 3" xfId="8285"/>
    <cellStyle name="Percent 3 7 8 6 3 2" xfId="8286"/>
    <cellStyle name="Percent 3 7 8 6 4" xfId="8287"/>
    <cellStyle name="Percent 3 7 8 7" xfId="8288"/>
    <cellStyle name="Percent 3 7 8 7 2" xfId="8289"/>
    <cellStyle name="Percent 3 7 8 8" xfId="8290"/>
    <cellStyle name="Percent 3 7 8 8 2" xfId="8291"/>
    <cellStyle name="Percent 3 7 8 9" xfId="8292"/>
    <cellStyle name="Percent 3 7 8 9 2" xfId="8293"/>
    <cellStyle name="Percent 3 7 9 12" xfId="8294"/>
    <cellStyle name="Percent 3 7 9 10" xfId="8295"/>
    <cellStyle name="Percent 3 7 9 11" xfId="8296"/>
    <cellStyle name="Percent 3 7 9 2" xfId="8297"/>
    <cellStyle name="Percent 3 7 9 2 2" xfId="8298"/>
    <cellStyle name="Percent 3 7 9 2 2 2" xfId="8299"/>
    <cellStyle name="Percent 3 7 9 2 3" xfId="8300"/>
    <cellStyle name="Percent 3 7 9 2 3 2" xfId="8301"/>
    <cellStyle name="Percent 3 7 9 2 4" xfId="8302"/>
    <cellStyle name="Percent 3 7 9 2 5" xfId="8303"/>
    <cellStyle name="Percent 3 7 9 3" xfId="8304"/>
    <cellStyle name="Percent 3 7 9 3 2" xfId="8305"/>
    <cellStyle name="Percent 3 7 9 3 2 2" xfId="8306"/>
    <cellStyle name="Percent 3 7 9 3 3" xfId="8307"/>
    <cellStyle name="Percent 3 7 9 3 3 2" xfId="8308"/>
    <cellStyle name="Percent 3 7 9 3 4" xfId="8309"/>
    <cellStyle name="Percent 3 7 9 4" xfId="8310"/>
    <cellStyle name="Percent 3 7 9 4 2" xfId="8311"/>
    <cellStyle name="Percent 3 7 9 4 2 2" xfId="8312"/>
    <cellStyle name="Percent 3 7 9 4 3" xfId="8313"/>
    <cellStyle name="Percent 3 7 9 4 3 2" xfId="8314"/>
    <cellStyle name="Percent 3 7 9 4 4" xfId="8315"/>
    <cellStyle name="Percent 3 7 9 5" xfId="8316"/>
    <cellStyle name="Percent 3 7 9 5 2" xfId="8317"/>
    <cellStyle name="Percent 3 7 9 5 2 2" xfId="8318"/>
    <cellStyle name="Percent 3 7 9 5 3" xfId="8319"/>
    <cellStyle name="Percent 3 7 9 5 3 2" xfId="8320"/>
    <cellStyle name="Percent 3 7 9 5 4" xfId="8321"/>
    <cellStyle name="Percent 3 7 9 5 4 2" xfId="8322"/>
    <cellStyle name="Percent 3 7 9 5 5" xfId="8323"/>
    <cellStyle name="Percent 3 7 9 6" xfId="8324"/>
    <cellStyle name="Percent 3 7 9 6 2" xfId="8325"/>
    <cellStyle name="Percent 3 7 9 6 2 2" xfId="8326"/>
    <cellStyle name="Percent 3 7 9 6 3" xfId="8327"/>
    <cellStyle name="Percent 3 7 9 6 3 2" xfId="8328"/>
    <cellStyle name="Percent 3 7 9 6 4" xfId="8329"/>
    <cellStyle name="Percent 3 7 9 7" xfId="8330"/>
    <cellStyle name="Percent 3 7 9 7 2" xfId="8331"/>
    <cellStyle name="Percent 3 7 9 8" xfId="8332"/>
    <cellStyle name="Percent 3 7 9 8 2" xfId="8333"/>
    <cellStyle name="Percent 3 7 9 9" xfId="8334"/>
    <cellStyle name="Percent 3 7 9 9 2" xfId="8335"/>
    <cellStyle name="Percent 3 8 26" xfId="8336"/>
    <cellStyle name="Percent 3 8 10 12" xfId="8337"/>
    <cellStyle name="Percent 3 8 10 10" xfId="8338"/>
    <cellStyle name="Percent 3 8 10 11" xfId="8339"/>
    <cellStyle name="Percent 3 8 10 2" xfId="8340"/>
    <cellStyle name="Percent 3 8 10 2 2" xfId="8341"/>
    <cellStyle name="Percent 3 8 10 2 2 2" xfId="8342"/>
    <cellStyle name="Percent 3 8 10 2 3" xfId="8343"/>
    <cellStyle name="Percent 3 8 10 2 3 2" xfId="8344"/>
    <cellStyle name="Percent 3 8 10 2 4" xfId="8345"/>
    <cellStyle name="Percent 3 8 10 2 5" xfId="8346"/>
    <cellStyle name="Percent 3 8 10 3" xfId="8347"/>
    <cellStyle name="Percent 3 8 10 3 2" xfId="8348"/>
    <cellStyle name="Percent 3 8 10 3 2 2" xfId="8349"/>
    <cellStyle name="Percent 3 8 10 3 3" xfId="8350"/>
    <cellStyle name="Percent 3 8 10 3 3 2" xfId="8351"/>
    <cellStyle name="Percent 3 8 10 3 4" xfId="8352"/>
    <cellStyle name="Percent 3 8 10 4" xfId="8353"/>
    <cellStyle name="Percent 3 8 10 4 2" xfId="8354"/>
    <cellStyle name="Percent 3 8 10 4 2 2" xfId="8355"/>
    <cellStyle name="Percent 3 8 10 4 3" xfId="8356"/>
    <cellStyle name="Percent 3 8 10 4 3 2" xfId="8357"/>
    <cellStyle name="Percent 3 8 10 4 4" xfId="8358"/>
    <cellStyle name="Percent 3 8 10 5" xfId="8359"/>
    <cellStyle name="Percent 3 8 10 5 2" xfId="8360"/>
    <cellStyle name="Percent 3 8 10 5 2 2" xfId="8361"/>
    <cellStyle name="Percent 3 8 10 5 3" xfId="8362"/>
    <cellStyle name="Percent 3 8 10 5 3 2" xfId="8363"/>
    <cellStyle name="Percent 3 8 10 5 4" xfId="8364"/>
    <cellStyle name="Percent 3 8 10 5 4 2" xfId="8365"/>
    <cellStyle name="Percent 3 8 10 5 5" xfId="8366"/>
    <cellStyle name="Percent 3 8 10 6" xfId="8367"/>
    <cellStyle name="Percent 3 8 10 6 2" xfId="8368"/>
    <cellStyle name="Percent 3 8 10 6 2 2" xfId="8369"/>
    <cellStyle name="Percent 3 8 10 6 3" xfId="8370"/>
    <cellStyle name="Percent 3 8 10 6 3 2" xfId="8371"/>
    <cellStyle name="Percent 3 8 10 6 4" xfId="8372"/>
    <cellStyle name="Percent 3 8 10 7" xfId="8373"/>
    <cellStyle name="Percent 3 8 10 7 2" xfId="8374"/>
    <cellStyle name="Percent 3 8 10 8" xfId="8375"/>
    <cellStyle name="Percent 3 8 10 8 2" xfId="8376"/>
    <cellStyle name="Percent 3 8 10 9" xfId="8377"/>
    <cellStyle name="Percent 3 8 10 9 2" xfId="8378"/>
    <cellStyle name="Percent 3 8 11 12" xfId="8379"/>
    <cellStyle name="Percent 3 8 11 10" xfId="8380"/>
    <cellStyle name="Percent 3 8 11 11" xfId="8381"/>
    <cellStyle name="Percent 3 8 11 2" xfId="8382"/>
    <cellStyle name="Percent 3 8 11 2 2" xfId="8383"/>
    <cellStyle name="Percent 3 8 11 2 2 2" xfId="8384"/>
    <cellStyle name="Percent 3 8 11 2 3" xfId="8385"/>
    <cellStyle name="Percent 3 8 11 2 3 2" xfId="8386"/>
    <cellStyle name="Percent 3 8 11 2 4" xfId="8387"/>
    <cellStyle name="Percent 3 8 11 2 5" xfId="8388"/>
    <cellStyle name="Percent 3 8 11 3" xfId="8389"/>
    <cellStyle name="Percent 3 8 11 3 2" xfId="8390"/>
    <cellStyle name="Percent 3 8 11 3 2 2" xfId="8391"/>
    <cellStyle name="Percent 3 8 11 3 3" xfId="8392"/>
    <cellStyle name="Percent 3 8 11 3 3 2" xfId="8393"/>
    <cellStyle name="Percent 3 8 11 3 4" xfId="8394"/>
    <cellStyle name="Percent 3 8 11 4" xfId="8395"/>
    <cellStyle name="Percent 3 8 11 4 2" xfId="8396"/>
    <cellStyle name="Percent 3 8 11 4 2 2" xfId="8397"/>
    <cellStyle name="Percent 3 8 11 4 3" xfId="8398"/>
    <cellStyle name="Percent 3 8 11 4 3 2" xfId="8399"/>
    <cellStyle name="Percent 3 8 11 4 4" xfId="8400"/>
    <cellStyle name="Percent 3 8 11 5" xfId="8401"/>
    <cellStyle name="Percent 3 8 11 5 2" xfId="8402"/>
    <cellStyle name="Percent 3 8 11 5 2 2" xfId="8403"/>
    <cellStyle name="Percent 3 8 11 5 3" xfId="8404"/>
    <cellStyle name="Percent 3 8 11 5 3 2" xfId="8405"/>
    <cellStyle name="Percent 3 8 11 5 4" xfId="8406"/>
    <cellStyle name="Percent 3 8 11 5 4 2" xfId="8407"/>
    <cellStyle name="Percent 3 8 11 5 5" xfId="8408"/>
    <cellStyle name="Percent 3 8 11 6" xfId="8409"/>
    <cellStyle name="Percent 3 8 11 6 2" xfId="8410"/>
    <cellStyle name="Percent 3 8 11 6 2 2" xfId="8411"/>
    <cellStyle name="Percent 3 8 11 6 3" xfId="8412"/>
    <cellStyle name="Percent 3 8 11 6 3 2" xfId="8413"/>
    <cellStyle name="Percent 3 8 11 6 4" xfId="8414"/>
    <cellStyle name="Percent 3 8 11 7" xfId="8415"/>
    <cellStyle name="Percent 3 8 11 7 2" xfId="8416"/>
    <cellStyle name="Percent 3 8 11 8" xfId="8417"/>
    <cellStyle name="Percent 3 8 11 8 2" xfId="8418"/>
    <cellStyle name="Percent 3 8 11 9" xfId="8419"/>
    <cellStyle name="Percent 3 8 11 9 2" xfId="8420"/>
    <cellStyle name="Percent 3 8 12 12" xfId="8421"/>
    <cellStyle name="Percent 3 8 12 10" xfId="8422"/>
    <cellStyle name="Percent 3 8 12 11" xfId="8423"/>
    <cellStyle name="Percent 3 8 12 2" xfId="8424"/>
    <cellStyle name="Percent 3 8 12 2 2" xfId="8425"/>
    <cellStyle name="Percent 3 8 12 2 2 2" xfId="8426"/>
    <cellStyle name="Percent 3 8 12 2 3" xfId="8427"/>
    <cellStyle name="Percent 3 8 12 2 3 2" xfId="8428"/>
    <cellStyle name="Percent 3 8 12 2 4" xfId="8429"/>
    <cellStyle name="Percent 3 8 12 2 5" xfId="8430"/>
    <cellStyle name="Percent 3 8 12 3" xfId="8431"/>
    <cellStyle name="Percent 3 8 12 3 2" xfId="8432"/>
    <cellStyle name="Percent 3 8 12 3 2 2" xfId="8433"/>
    <cellStyle name="Percent 3 8 12 3 3" xfId="8434"/>
    <cellStyle name="Percent 3 8 12 3 3 2" xfId="8435"/>
    <cellStyle name="Percent 3 8 12 3 4" xfId="8436"/>
    <cellStyle name="Percent 3 8 12 4" xfId="8437"/>
    <cellStyle name="Percent 3 8 12 4 2" xfId="8438"/>
    <cellStyle name="Percent 3 8 12 4 2 2" xfId="8439"/>
    <cellStyle name="Percent 3 8 12 4 3" xfId="8440"/>
    <cellStyle name="Percent 3 8 12 4 3 2" xfId="8441"/>
    <cellStyle name="Percent 3 8 12 4 4" xfId="8442"/>
    <cellStyle name="Percent 3 8 12 5" xfId="8443"/>
    <cellStyle name="Percent 3 8 12 5 2" xfId="8444"/>
    <cellStyle name="Percent 3 8 12 5 2 2" xfId="8445"/>
    <cellStyle name="Percent 3 8 12 5 3" xfId="8446"/>
    <cellStyle name="Percent 3 8 12 5 3 2" xfId="8447"/>
    <cellStyle name="Percent 3 8 12 5 4" xfId="8448"/>
    <cellStyle name="Percent 3 8 12 5 4 2" xfId="8449"/>
    <cellStyle name="Percent 3 8 12 5 5" xfId="8450"/>
    <cellStyle name="Percent 3 8 12 6" xfId="8451"/>
    <cellStyle name="Percent 3 8 12 6 2" xfId="8452"/>
    <cellStyle name="Percent 3 8 12 6 2 2" xfId="8453"/>
    <cellStyle name="Percent 3 8 12 6 3" xfId="8454"/>
    <cellStyle name="Percent 3 8 12 6 3 2" xfId="8455"/>
    <cellStyle name="Percent 3 8 12 6 4" xfId="8456"/>
    <cellStyle name="Percent 3 8 12 7" xfId="8457"/>
    <cellStyle name="Percent 3 8 12 7 2" xfId="8458"/>
    <cellStyle name="Percent 3 8 12 8" xfId="8459"/>
    <cellStyle name="Percent 3 8 12 8 2" xfId="8460"/>
    <cellStyle name="Percent 3 8 12 9" xfId="8461"/>
    <cellStyle name="Percent 3 8 12 9 2" xfId="8462"/>
    <cellStyle name="Percent 3 8 13 12" xfId="8463"/>
    <cellStyle name="Percent 3 8 13 10" xfId="8464"/>
    <cellStyle name="Percent 3 8 13 11" xfId="8465"/>
    <cellStyle name="Percent 3 8 13 2" xfId="8466"/>
    <cellStyle name="Percent 3 8 13 2 2" xfId="8467"/>
    <cellStyle name="Percent 3 8 13 2 2 2" xfId="8468"/>
    <cellStyle name="Percent 3 8 13 2 3" xfId="8469"/>
    <cellStyle name="Percent 3 8 13 2 3 2" xfId="8470"/>
    <cellStyle name="Percent 3 8 13 2 4" xfId="8471"/>
    <cellStyle name="Percent 3 8 13 2 5" xfId="8472"/>
    <cellStyle name="Percent 3 8 13 3" xfId="8473"/>
    <cellStyle name="Percent 3 8 13 3 2" xfId="8474"/>
    <cellStyle name="Percent 3 8 13 3 2 2" xfId="8475"/>
    <cellStyle name="Percent 3 8 13 3 3" xfId="8476"/>
    <cellStyle name="Percent 3 8 13 3 3 2" xfId="8477"/>
    <cellStyle name="Percent 3 8 13 3 4" xfId="8478"/>
    <cellStyle name="Percent 3 8 13 4" xfId="8479"/>
    <cellStyle name="Percent 3 8 13 4 2" xfId="8480"/>
    <cellStyle name="Percent 3 8 13 4 2 2" xfId="8481"/>
    <cellStyle name="Percent 3 8 13 4 3" xfId="8482"/>
    <cellStyle name="Percent 3 8 13 4 3 2" xfId="8483"/>
    <cellStyle name="Percent 3 8 13 4 4" xfId="8484"/>
    <cellStyle name="Percent 3 8 13 5" xfId="8485"/>
    <cellStyle name="Percent 3 8 13 5 2" xfId="8486"/>
    <cellStyle name="Percent 3 8 13 5 2 2" xfId="8487"/>
    <cellStyle name="Percent 3 8 13 5 3" xfId="8488"/>
    <cellStyle name="Percent 3 8 13 5 3 2" xfId="8489"/>
    <cellStyle name="Percent 3 8 13 5 4" xfId="8490"/>
    <cellStyle name="Percent 3 8 13 5 4 2" xfId="8491"/>
    <cellStyle name="Percent 3 8 13 5 5" xfId="8492"/>
    <cellStyle name="Percent 3 8 13 6" xfId="8493"/>
    <cellStyle name="Percent 3 8 13 6 2" xfId="8494"/>
    <cellStyle name="Percent 3 8 13 6 2 2" xfId="8495"/>
    <cellStyle name="Percent 3 8 13 6 3" xfId="8496"/>
    <cellStyle name="Percent 3 8 13 6 3 2" xfId="8497"/>
    <cellStyle name="Percent 3 8 13 6 4" xfId="8498"/>
    <cellStyle name="Percent 3 8 13 7" xfId="8499"/>
    <cellStyle name="Percent 3 8 13 7 2" xfId="8500"/>
    <cellStyle name="Percent 3 8 13 8" xfId="8501"/>
    <cellStyle name="Percent 3 8 13 8 2" xfId="8502"/>
    <cellStyle name="Percent 3 8 13 9" xfId="8503"/>
    <cellStyle name="Percent 3 8 13 9 2" xfId="8504"/>
    <cellStyle name="Percent 3 8 14 12" xfId="8505"/>
    <cellStyle name="Percent 3 8 14 10" xfId="8506"/>
    <cellStyle name="Percent 3 8 14 11" xfId="8507"/>
    <cellStyle name="Percent 3 8 14 2" xfId="8508"/>
    <cellStyle name="Percent 3 8 14 2 2" xfId="8509"/>
    <cellStyle name="Percent 3 8 14 2 2 2" xfId="8510"/>
    <cellStyle name="Percent 3 8 14 2 3" xfId="8511"/>
    <cellStyle name="Percent 3 8 14 2 3 2" xfId="8512"/>
    <cellStyle name="Percent 3 8 14 2 4" xfId="8513"/>
    <cellStyle name="Percent 3 8 14 2 5" xfId="8514"/>
    <cellStyle name="Percent 3 8 14 3" xfId="8515"/>
    <cellStyle name="Percent 3 8 14 3 2" xfId="8516"/>
    <cellStyle name="Percent 3 8 14 3 2 2" xfId="8517"/>
    <cellStyle name="Percent 3 8 14 3 3" xfId="8518"/>
    <cellStyle name="Percent 3 8 14 3 3 2" xfId="8519"/>
    <cellStyle name="Percent 3 8 14 3 4" xfId="8520"/>
    <cellStyle name="Percent 3 8 14 4" xfId="8521"/>
    <cellStyle name="Percent 3 8 14 4 2" xfId="8522"/>
    <cellStyle name="Percent 3 8 14 4 2 2" xfId="8523"/>
    <cellStyle name="Percent 3 8 14 4 3" xfId="8524"/>
    <cellStyle name="Percent 3 8 14 4 3 2" xfId="8525"/>
    <cellStyle name="Percent 3 8 14 4 4" xfId="8526"/>
    <cellStyle name="Percent 3 8 14 5" xfId="8527"/>
    <cellStyle name="Percent 3 8 14 5 2" xfId="8528"/>
    <cellStyle name="Percent 3 8 14 5 2 2" xfId="8529"/>
    <cellStyle name="Percent 3 8 14 5 3" xfId="8530"/>
    <cellStyle name="Percent 3 8 14 5 3 2" xfId="8531"/>
    <cellStyle name="Percent 3 8 14 5 4" xfId="8532"/>
    <cellStyle name="Percent 3 8 14 5 4 2" xfId="8533"/>
    <cellStyle name="Percent 3 8 14 5 5" xfId="8534"/>
    <cellStyle name="Percent 3 8 14 6" xfId="8535"/>
    <cellStyle name="Percent 3 8 14 6 2" xfId="8536"/>
    <cellStyle name="Percent 3 8 14 6 2 2" xfId="8537"/>
    <cellStyle name="Percent 3 8 14 6 3" xfId="8538"/>
    <cellStyle name="Percent 3 8 14 6 3 2" xfId="8539"/>
    <cellStyle name="Percent 3 8 14 6 4" xfId="8540"/>
    <cellStyle name="Percent 3 8 14 7" xfId="8541"/>
    <cellStyle name="Percent 3 8 14 7 2" xfId="8542"/>
    <cellStyle name="Percent 3 8 14 8" xfId="8543"/>
    <cellStyle name="Percent 3 8 14 8 2" xfId="8544"/>
    <cellStyle name="Percent 3 8 14 9" xfId="8545"/>
    <cellStyle name="Percent 3 8 14 9 2" xfId="8546"/>
    <cellStyle name="Percent 3 8 15 12" xfId="8547"/>
    <cellStyle name="Percent 3 8 15 10" xfId="8548"/>
    <cellStyle name="Percent 3 8 15 11" xfId="8549"/>
    <cellStyle name="Percent 3 8 15 2" xfId="8550"/>
    <cellStyle name="Percent 3 8 15 2 2" xfId="8551"/>
    <cellStyle name="Percent 3 8 15 2 2 2" xfId="8552"/>
    <cellStyle name="Percent 3 8 15 2 3" xfId="8553"/>
    <cellStyle name="Percent 3 8 15 2 3 2" xfId="8554"/>
    <cellStyle name="Percent 3 8 15 2 4" xfId="8555"/>
    <cellStyle name="Percent 3 8 15 2 5" xfId="8556"/>
    <cellStyle name="Percent 3 8 15 3" xfId="8557"/>
    <cellStyle name="Percent 3 8 15 3 2" xfId="8558"/>
    <cellStyle name="Percent 3 8 15 3 2 2" xfId="8559"/>
    <cellStyle name="Percent 3 8 15 3 3" xfId="8560"/>
    <cellStyle name="Percent 3 8 15 3 3 2" xfId="8561"/>
    <cellStyle name="Percent 3 8 15 3 4" xfId="8562"/>
    <cellStyle name="Percent 3 8 15 4" xfId="8563"/>
    <cellStyle name="Percent 3 8 15 4 2" xfId="8564"/>
    <cellStyle name="Percent 3 8 15 4 2 2" xfId="8565"/>
    <cellStyle name="Percent 3 8 15 4 3" xfId="8566"/>
    <cellStyle name="Percent 3 8 15 4 3 2" xfId="8567"/>
    <cellStyle name="Percent 3 8 15 4 4" xfId="8568"/>
    <cellStyle name="Percent 3 8 15 5" xfId="8569"/>
    <cellStyle name="Percent 3 8 15 5 2" xfId="8570"/>
    <cellStyle name="Percent 3 8 15 5 2 2" xfId="8571"/>
    <cellStyle name="Percent 3 8 15 5 3" xfId="8572"/>
    <cellStyle name="Percent 3 8 15 5 3 2" xfId="8573"/>
    <cellStyle name="Percent 3 8 15 5 4" xfId="8574"/>
    <cellStyle name="Percent 3 8 15 5 4 2" xfId="8575"/>
    <cellStyle name="Percent 3 8 15 5 5" xfId="8576"/>
    <cellStyle name="Percent 3 8 15 6" xfId="8577"/>
    <cellStyle name="Percent 3 8 15 6 2" xfId="8578"/>
    <cellStyle name="Percent 3 8 15 6 2 2" xfId="8579"/>
    <cellStyle name="Percent 3 8 15 6 3" xfId="8580"/>
    <cellStyle name="Percent 3 8 15 6 3 2" xfId="8581"/>
    <cellStyle name="Percent 3 8 15 6 4" xfId="8582"/>
    <cellStyle name="Percent 3 8 15 7" xfId="8583"/>
    <cellStyle name="Percent 3 8 15 7 2" xfId="8584"/>
    <cellStyle name="Percent 3 8 15 8" xfId="8585"/>
    <cellStyle name="Percent 3 8 15 8 2" xfId="8586"/>
    <cellStyle name="Percent 3 8 15 9" xfId="8587"/>
    <cellStyle name="Percent 3 8 15 9 2" xfId="8588"/>
    <cellStyle name="Percent 3 8 16" xfId="8589"/>
    <cellStyle name="Percent 3 8 16 2" xfId="8590"/>
    <cellStyle name="Percent 3 8 16 2 2" xfId="8591"/>
    <cellStyle name="Percent 3 8 16 3" xfId="8592"/>
    <cellStyle name="Percent 3 8 16 3 2" xfId="8593"/>
    <cellStyle name="Percent 3 8 16 4" xfId="8594"/>
    <cellStyle name="Percent 3 8 16 5" xfId="8595"/>
    <cellStyle name="Percent 3 8 17" xfId="8596"/>
    <cellStyle name="Percent 3 8 17 2" xfId="8597"/>
    <cellStyle name="Percent 3 8 17 2 2" xfId="8598"/>
    <cellStyle name="Percent 3 8 17 3" xfId="8599"/>
    <cellStyle name="Percent 3 8 17 3 2" xfId="8600"/>
    <cellStyle name="Percent 3 8 17 4" xfId="8601"/>
    <cellStyle name="Percent 3 8 18" xfId="8602"/>
    <cellStyle name="Percent 3 8 18 2" xfId="8603"/>
    <cellStyle name="Percent 3 8 18 2 2" xfId="8604"/>
    <cellStyle name="Percent 3 8 18 3" xfId="8605"/>
    <cellStyle name="Percent 3 8 18 3 2" xfId="8606"/>
    <cellStyle name="Percent 3 8 18 4" xfId="8607"/>
    <cellStyle name="Percent 3 8 19" xfId="8608"/>
    <cellStyle name="Percent 3 8 19 2" xfId="8609"/>
    <cellStyle name="Percent 3 8 19 2 2" xfId="8610"/>
    <cellStyle name="Percent 3 8 19 3" xfId="8611"/>
    <cellStyle name="Percent 3 8 19 3 2" xfId="8612"/>
    <cellStyle name="Percent 3 8 19 4" xfId="8613"/>
    <cellStyle name="Percent 3 8 19 4 2" xfId="8614"/>
    <cellStyle name="Percent 3 8 19 5" xfId="8615"/>
    <cellStyle name="Percent 3 8 2 12" xfId="8616"/>
    <cellStyle name="Percent 3 8 2 10" xfId="8617"/>
    <cellStyle name="Percent 3 8 2 11" xfId="8618"/>
    <cellStyle name="Percent 3 8 2 2" xfId="8619"/>
    <cellStyle name="Percent 3 8 2 2 2" xfId="8620"/>
    <cellStyle name="Percent 3 8 2 2 2 2" xfId="8621"/>
    <cellStyle name="Percent 3 8 2 2 3" xfId="8622"/>
    <cellStyle name="Percent 3 8 2 2 3 2" xfId="8623"/>
    <cellStyle name="Percent 3 8 2 2 4" xfId="8624"/>
    <cellStyle name="Percent 3 8 2 2 5" xfId="8625"/>
    <cellStyle name="Percent 3 8 2 3" xfId="8626"/>
    <cellStyle name="Percent 3 8 2 3 2" xfId="8627"/>
    <cellStyle name="Percent 3 8 2 3 2 2" xfId="8628"/>
    <cellStyle name="Percent 3 8 2 3 3" xfId="8629"/>
    <cellStyle name="Percent 3 8 2 3 3 2" xfId="8630"/>
    <cellStyle name="Percent 3 8 2 3 4" xfId="8631"/>
    <cellStyle name="Percent 3 8 2 4" xfId="8632"/>
    <cellStyle name="Percent 3 8 2 4 2" xfId="8633"/>
    <cellStyle name="Percent 3 8 2 4 2 2" xfId="8634"/>
    <cellStyle name="Percent 3 8 2 4 3" xfId="8635"/>
    <cellStyle name="Percent 3 8 2 4 3 2" xfId="8636"/>
    <cellStyle name="Percent 3 8 2 4 4" xfId="8637"/>
    <cellStyle name="Percent 3 8 2 5" xfId="8638"/>
    <cellStyle name="Percent 3 8 2 5 2" xfId="8639"/>
    <cellStyle name="Percent 3 8 2 5 2 2" xfId="8640"/>
    <cellStyle name="Percent 3 8 2 5 3" xfId="8641"/>
    <cellStyle name="Percent 3 8 2 5 3 2" xfId="8642"/>
    <cellStyle name="Percent 3 8 2 5 4" xfId="8643"/>
    <cellStyle name="Percent 3 8 2 5 4 2" xfId="8644"/>
    <cellStyle name="Percent 3 8 2 5 5" xfId="8645"/>
    <cellStyle name="Percent 3 8 2 6" xfId="8646"/>
    <cellStyle name="Percent 3 8 2 6 2" xfId="8647"/>
    <cellStyle name="Percent 3 8 2 6 2 2" xfId="8648"/>
    <cellStyle name="Percent 3 8 2 6 3" xfId="8649"/>
    <cellStyle name="Percent 3 8 2 6 3 2" xfId="8650"/>
    <cellStyle name="Percent 3 8 2 6 4" xfId="8651"/>
    <cellStyle name="Percent 3 8 2 7" xfId="8652"/>
    <cellStyle name="Percent 3 8 2 7 2" xfId="8653"/>
    <cellStyle name="Percent 3 8 2 8" xfId="8654"/>
    <cellStyle name="Percent 3 8 2 8 2" xfId="8655"/>
    <cellStyle name="Percent 3 8 2 9" xfId="8656"/>
    <cellStyle name="Percent 3 8 2 9 2" xfId="8657"/>
    <cellStyle name="Percent 3 8 20" xfId="8658"/>
    <cellStyle name="Percent 3 8 20 2" xfId="8659"/>
    <cellStyle name="Percent 3 8 20 2 2" xfId="8660"/>
    <cellStyle name="Percent 3 8 20 3" xfId="8661"/>
    <cellStyle name="Percent 3 8 20 3 2" xfId="8662"/>
    <cellStyle name="Percent 3 8 20 4" xfId="8663"/>
    <cellStyle name="Percent 3 8 21" xfId="8664"/>
    <cellStyle name="Percent 3 8 21 2" xfId="8665"/>
    <cellStyle name="Percent 3 8 22" xfId="8666"/>
    <cellStyle name="Percent 3 8 22 2" xfId="8667"/>
    <cellStyle name="Percent 3 8 23" xfId="8668"/>
    <cellStyle name="Percent 3 8 23 2" xfId="8669"/>
    <cellStyle name="Percent 3 8 24" xfId="8670"/>
    <cellStyle name="Percent 3 8 25" xfId="8671"/>
    <cellStyle name="Percent 3 8 3 12" xfId="8672"/>
    <cellStyle name="Percent 3 8 3 10" xfId="8673"/>
    <cellStyle name="Percent 3 8 3 11" xfId="8674"/>
    <cellStyle name="Percent 3 8 3 2" xfId="8675"/>
    <cellStyle name="Percent 3 8 3 2 2" xfId="8676"/>
    <cellStyle name="Percent 3 8 3 2 2 2" xfId="8677"/>
    <cellStyle name="Percent 3 8 3 2 3" xfId="8678"/>
    <cellStyle name="Percent 3 8 3 2 3 2" xfId="8679"/>
    <cellStyle name="Percent 3 8 3 2 4" xfId="8680"/>
    <cellStyle name="Percent 3 8 3 2 5" xfId="8681"/>
    <cellStyle name="Percent 3 8 3 3" xfId="8682"/>
    <cellStyle name="Percent 3 8 3 3 2" xfId="8683"/>
    <cellStyle name="Percent 3 8 3 3 2 2" xfId="8684"/>
    <cellStyle name="Percent 3 8 3 3 3" xfId="8685"/>
    <cellStyle name="Percent 3 8 3 3 3 2" xfId="8686"/>
    <cellStyle name="Percent 3 8 3 3 4" xfId="8687"/>
    <cellStyle name="Percent 3 8 3 4" xfId="8688"/>
    <cellStyle name="Percent 3 8 3 4 2" xfId="8689"/>
    <cellStyle name="Percent 3 8 3 4 2 2" xfId="8690"/>
    <cellStyle name="Percent 3 8 3 4 3" xfId="8691"/>
    <cellStyle name="Percent 3 8 3 4 3 2" xfId="8692"/>
    <cellStyle name="Percent 3 8 3 4 4" xfId="8693"/>
    <cellStyle name="Percent 3 8 3 5" xfId="8694"/>
    <cellStyle name="Percent 3 8 3 5 2" xfId="8695"/>
    <cellStyle name="Percent 3 8 3 5 2 2" xfId="8696"/>
    <cellStyle name="Percent 3 8 3 5 3" xfId="8697"/>
    <cellStyle name="Percent 3 8 3 5 3 2" xfId="8698"/>
    <cellStyle name="Percent 3 8 3 5 4" xfId="8699"/>
    <cellStyle name="Percent 3 8 3 5 4 2" xfId="8700"/>
    <cellStyle name="Percent 3 8 3 5 5" xfId="8701"/>
    <cellStyle name="Percent 3 8 3 6" xfId="8702"/>
    <cellStyle name="Percent 3 8 3 6 2" xfId="8703"/>
    <cellStyle name="Percent 3 8 3 6 2 2" xfId="8704"/>
    <cellStyle name="Percent 3 8 3 6 3" xfId="8705"/>
    <cellStyle name="Percent 3 8 3 6 3 2" xfId="8706"/>
    <cellStyle name="Percent 3 8 3 6 4" xfId="8707"/>
    <cellStyle name="Percent 3 8 3 7" xfId="8708"/>
    <cellStyle name="Percent 3 8 3 7 2" xfId="8709"/>
    <cellStyle name="Percent 3 8 3 8" xfId="8710"/>
    <cellStyle name="Percent 3 8 3 8 2" xfId="8711"/>
    <cellStyle name="Percent 3 8 3 9" xfId="8712"/>
    <cellStyle name="Percent 3 8 3 9 2" xfId="8713"/>
    <cellStyle name="Percent 3 8 4 12" xfId="8714"/>
    <cellStyle name="Percent 3 8 4 10" xfId="8715"/>
    <cellStyle name="Percent 3 8 4 11" xfId="8716"/>
    <cellStyle name="Percent 3 8 4 2" xfId="8717"/>
    <cellStyle name="Percent 3 8 4 2 2" xfId="8718"/>
    <cellStyle name="Percent 3 8 4 2 2 2" xfId="8719"/>
    <cellStyle name="Percent 3 8 4 2 3" xfId="8720"/>
    <cellStyle name="Percent 3 8 4 2 3 2" xfId="8721"/>
    <cellStyle name="Percent 3 8 4 2 4" xfId="8722"/>
    <cellStyle name="Percent 3 8 4 2 5" xfId="8723"/>
    <cellStyle name="Percent 3 8 4 3" xfId="8724"/>
    <cellStyle name="Percent 3 8 4 3 2" xfId="8725"/>
    <cellStyle name="Percent 3 8 4 3 2 2" xfId="8726"/>
    <cellStyle name="Percent 3 8 4 3 3" xfId="8727"/>
    <cellStyle name="Percent 3 8 4 3 3 2" xfId="8728"/>
    <cellStyle name="Percent 3 8 4 3 4" xfId="8729"/>
    <cellStyle name="Percent 3 8 4 4" xfId="8730"/>
    <cellStyle name="Percent 3 8 4 4 2" xfId="8731"/>
    <cellStyle name="Percent 3 8 4 4 2 2" xfId="8732"/>
    <cellStyle name="Percent 3 8 4 4 3" xfId="8733"/>
    <cellStyle name="Percent 3 8 4 4 3 2" xfId="8734"/>
    <cellStyle name="Percent 3 8 4 4 4" xfId="8735"/>
    <cellStyle name="Percent 3 8 4 5" xfId="8736"/>
    <cellStyle name="Percent 3 8 4 5 2" xfId="8737"/>
    <cellStyle name="Percent 3 8 4 5 2 2" xfId="8738"/>
    <cellStyle name="Percent 3 8 4 5 3" xfId="8739"/>
    <cellStyle name="Percent 3 8 4 5 3 2" xfId="8740"/>
    <cellStyle name="Percent 3 8 4 5 4" xfId="8741"/>
    <cellStyle name="Percent 3 8 4 5 4 2" xfId="8742"/>
    <cellStyle name="Percent 3 8 4 5 5" xfId="8743"/>
    <cellStyle name="Percent 3 8 4 6" xfId="8744"/>
    <cellStyle name="Percent 3 8 4 6 2" xfId="8745"/>
    <cellStyle name="Percent 3 8 4 6 2 2" xfId="8746"/>
    <cellStyle name="Percent 3 8 4 6 3" xfId="8747"/>
    <cellStyle name="Percent 3 8 4 6 3 2" xfId="8748"/>
    <cellStyle name="Percent 3 8 4 6 4" xfId="8749"/>
    <cellStyle name="Percent 3 8 4 7" xfId="8750"/>
    <cellStyle name="Percent 3 8 4 7 2" xfId="8751"/>
    <cellStyle name="Percent 3 8 4 8" xfId="8752"/>
    <cellStyle name="Percent 3 8 4 8 2" xfId="8753"/>
    <cellStyle name="Percent 3 8 4 9" xfId="8754"/>
    <cellStyle name="Percent 3 8 4 9 2" xfId="8755"/>
    <cellStyle name="Percent 3 8 5 12" xfId="8756"/>
    <cellStyle name="Percent 3 8 5 10" xfId="8757"/>
    <cellStyle name="Percent 3 8 5 11" xfId="8758"/>
    <cellStyle name="Percent 3 8 5 2" xfId="8759"/>
    <cellStyle name="Percent 3 8 5 2 2" xfId="8760"/>
    <cellStyle name="Percent 3 8 5 2 2 2" xfId="8761"/>
    <cellStyle name="Percent 3 8 5 2 3" xfId="8762"/>
    <cellStyle name="Percent 3 8 5 2 3 2" xfId="8763"/>
    <cellStyle name="Percent 3 8 5 2 4" xfId="8764"/>
    <cellStyle name="Percent 3 8 5 2 5" xfId="8765"/>
    <cellStyle name="Percent 3 8 5 3" xfId="8766"/>
    <cellStyle name="Percent 3 8 5 3 2" xfId="8767"/>
    <cellStyle name="Percent 3 8 5 3 2 2" xfId="8768"/>
    <cellStyle name="Percent 3 8 5 3 3" xfId="8769"/>
    <cellStyle name="Percent 3 8 5 3 3 2" xfId="8770"/>
    <cellStyle name="Percent 3 8 5 3 4" xfId="8771"/>
    <cellStyle name="Percent 3 8 5 4" xfId="8772"/>
    <cellStyle name="Percent 3 8 5 4 2" xfId="8773"/>
    <cellStyle name="Percent 3 8 5 4 2 2" xfId="8774"/>
    <cellStyle name="Percent 3 8 5 4 3" xfId="8775"/>
    <cellStyle name="Percent 3 8 5 4 3 2" xfId="8776"/>
    <cellStyle name="Percent 3 8 5 4 4" xfId="8777"/>
    <cellStyle name="Percent 3 8 5 5" xfId="8778"/>
    <cellStyle name="Percent 3 8 5 5 2" xfId="8779"/>
    <cellStyle name="Percent 3 8 5 5 2 2" xfId="8780"/>
    <cellStyle name="Percent 3 8 5 5 3" xfId="8781"/>
    <cellStyle name="Percent 3 8 5 5 3 2" xfId="8782"/>
    <cellStyle name="Percent 3 8 5 5 4" xfId="8783"/>
    <cellStyle name="Percent 3 8 5 5 4 2" xfId="8784"/>
    <cellStyle name="Percent 3 8 5 5 5" xfId="8785"/>
    <cellStyle name="Percent 3 8 5 6" xfId="8786"/>
    <cellStyle name="Percent 3 8 5 6 2" xfId="8787"/>
    <cellStyle name="Percent 3 8 5 6 2 2" xfId="8788"/>
    <cellStyle name="Percent 3 8 5 6 3" xfId="8789"/>
    <cellStyle name="Percent 3 8 5 6 3 2" xfId="8790"/>
    <cellStyle name="Percent 3 8 5 6 4" xfId="8791"/>
    <cellStyle name="Percent 3 8 5 7" xfId="8792"/>
    <cellStyle name="Percent 3 8 5 7 2" xfId="8793"/>
    <cellStyle name="Percent 3 8 5 8" xfId="8794"/>
    <cellStyle name="Percent 3 8 5 8 2" xfId="8795"/>
    <cellStyle name="Percent 3 8 5 9" xfId="8796"/>
    <cellStyle name="Percent 3 8 5 9 2" xfId="8797"/>
    <cellStyle name="Percent 3 8 6 12" xfId="8798"/>
    <cellStyle name="Percent 3 8 6 10" xfId="8799"/>
    <cellStyle name="Percent 3 8 6 11" xfId="8800"/>
    <cellStyle name="Percent 3 8 6 2" xfId="8801"/>
    <cellStyle name="Percent 3 8 6 2 2" xfId="8802"/>
    <cellStyle name="Percent 3 8 6 2 2 2" xfId="8803"/>
    <cellStyle name="Percent 3 8 6 2 3" xfId="8804"/>
    <cellStyle name="Percent 3 8 6 2 3 2" xfId="8805"/>
    <cellStyle name="Percent 3 8 6 2 4" xfId="8806"/>
    <cellStyle name="Percent 3 8 6 2 5" xfId="8807"/>
    <cellStyle name="Percent 3 8 6 3" xfId="8808"/>
    <cellStyle name="Percent 3 8 6 3 2" xfId="8809"/>
    <cellStyle name="Percent 3 8 6 3 2 2" xfId="8810"/>
    <cellStyle name="Percent 3 8 6 3 3" xfId="8811"/>
    <cellStyle name="Percent 3 8 6 3 3 2" xfId="8812"/>
    <cellStyle name="Percent 3 8 6 3 4" xfId="8813"/>
    <cellStyle name="Percent 3 8 6 4" xfId="8814"/>
    <cellStyle name="Percent 3 8 6 4 2" xfId="8815"/>
    <cellStyle name="Percent 3 8 6 4 2 2" xfId="8816"/>
    <cellStyle name="Percent 3 8 6 4 3" xfId="8817"/>
    <cellStyle name="Percent 3 8 6 4 3 2" xfId="8818"/>
    <cellStyle name="Percent 3 8 6 4 4" xfId="8819"/>
    <cellStyle name="Percent 3 8 6 5" xfId="8820"/>
    <cellStyle name="Percent 3 8 6 5 2" xfId="8821"/>
    <cellStyle name="Percent 3 8 6 5 2 2" xfId="8822"/>
    <cellStyle name="Percent 3 8 6 5 3" xfId="8823"/>
    <cellStyle name="Percent 3 8 6 5 3 2" xfId="8824"/>
    <cellStyle name="Percent 3 8 6 5 4" xfId="8825"/>
    <cellStyle name="Percent 3 8 6 5 4 2" xfId="8826"/>
    <cellStyle name="Percent 3 8 6 5 5" xfId="8827"/>
    <cellStyle name="Percent 3 8 6 6" xfId="8828"/>
    <cellStyle name="Percent 3 8 6 6 2" xfId="8829"/>
    <cellStyle name="Percent 3 8 6 6 2 2" xfId="8830"/>
    <cellStyle name="Percent 3 8 6 6 3" xfId="8831"/>
    <cellStyle name="Percent 3 8 6 6 3 2" xfId="8832"/>
    <cellStyle name="Percent 3 8 6 6 4" xfId="8833"/>
    <cellStyle name="Percent 3 8 6 7" xfId="8834"/>
    <cellStyle name="Percent 3 8 6 7 2" xfId="8835"/>
    <cellStyle name="Percent 3 8 6 8" xfId="8836"/>
    <cellStyle name="Percent 3 8 6 8 2" xfId="8837"/>
    <cellStyle name="Percent 3 8 6 9" xfId="8838"/>
    <cellStyle name="Percent 3 8 6 9 2" xfId="8839"/>
    <cellStyle name="Percent 3 8 7 12" xfId="8840"/>
    <cellStyle name="Percent 3 8 7 10" xfId="8841"/>
    <cellStyle name="Percent 3 8 7 11" xfId="8842"/>
    <cellStyle name="Percent 3 8 7 2" xfId="8843"/>
    <cellStyle name="Percent 3 8 7 2 2" xfId="8844"/>
    <cellStyle name="Percent 3 8 7 2 2 2" xfId="8845"/>
    <cellStyle name="Percent 3 8 7 2 3" xfId="8846"/>
    <cellStyle name="Percent 3 8 7 2 3 2" xfId="8847"/>
    <cellStyle name="Percent 3 8 7 2 4" xfId="8848"/>
    <cellStyle name="Percent 3 8 7 2 5" xfId="8849"/>
    <cellStyle name="Percent 3 8 7 3" xfId="8850"/>
    <cellStyle name="Percent 3 8 7 3 2" xfId="8851"/>
    <cellStyle name="Percent 3 8 7 3 2 2" xfId="8852"/>
    <cellStyle name="Percent 3 8 7 3 3" xfId="8853"/>
    <cellStyle name="Percent 3 8 7 3 3 2" xfId="8854"/>
    <cellStyle name="Percent 3 8 7 3 4" xfId="8855"/>
    <cellStyle name="Percent 3 8 7 4" xfId="8856"/>
    <cellStyle name="Percent 3 8 7 4 2" xfId="8857"/>
    <cellStyle name="Percent 3 8 7 4 2 2" xfId="8858"/>
    <cellStyle name="Percent 3 8 7 4 3" xfId="8859"/>
    <cellStyle name="Percent 3 8 7 4 3 2" xfId="8860"/>
    <cellStyle name="Percent 3 8 7 4 4" xfId="8861"/>
    <cellStyle name="Percent 3 8 7 5" xfId="8862"/>
    <cellStyle name="Percent 3 8 7 5 2" xfId="8863"/>
    <cellStyle name="Percent 3 8 7 5 2 2" xfId="8864"/>
    <cellStyle name="Percent 3 8 7 5 3" xfId="8865"/>
    <cellStyle name="Percent 3 8 7 5 3 2" xfId="8866"/>
    <cellStyle name="Percent 3 8 7 5 4" xfId="8867"/>
    <cellStyle name="Percent 3 8 7 5 4 2" xfId="8868"/>
    <cellStyle name="Percent 3 8 7 5 5" xfId="8869"/>
    <cellStyle name="Percent 3 8 7 6" xfId="8870"/>
    <cellStyle name="Percent 3 8 7 6 2" xfId="8871"/>
    <cellStyle name="Percent 3 8 7 6 2 2" xfId="8872"/>
    <cellStyle name="Percent 3 8 7 6 3" xfId="8873"/>
    <cellStyle name="Percent 3 8 7 6 3 2" xfId="8874"/>
    <cellStyle name="Percent 3 8 7 6 4" xfId="8875"/>
    <cellStyle name="Percent 3 8 7 7" xfId="8876"/>
    <cellStyle name="Percent 3 8 7 7 2" xfId="8877"/>
    <cellStyle name="Percent 3 8 7 8" xfId="8878"/>
    <cellStyle name="Percent 3 8 7 8 2" xfId="8879"/>
    <cellStyle name="Percent 3 8 7 9" xfId="8880"/>
    <cellStyle name="Percent 3 8 7 9 2" xfId="8881"/>
    <cellStyle name="Percent 3 8 8 12" xfId="8882"/>
    <cellStyle name="Percent 3 8 8 10" xfId="8883"/>
    <cellStyle name="Percent 3 8 8 11" xfId="8884"/>
    <cellStyle name="Percent 3 8 8 2" xfId="8885"/>
    <cellStyle name="Percent 3 8 8 2 2" xfId="8886"/>
    <cellStyle name="Percent 3 8 8 2 2 2" xfId="8887"/>
    <cellStyle name="Percent 3 8 8 2 3" xfId="8888"/>
    <cellStyle name="Percent 3 8 8 2 3 2" xfId="8889"/>
    <cellStyle name="Percent 3 8 8 2 4" xfId="8890"/>
    <cellStyle name="Percent 3 8 8 2 5" xfId="8891"/>
    <cellStyle name="Percent 3 8 8 3" xfId="8892"/>
    <cellStyle name="Percent 3 8 8 3 2" xfId="8893"/>
    <cellStyle name="Percent 3 8 8 3 2 2" xfId="8894"/>
    <cellStyle name="Percent 3 8 8 3 3" xfId="8895"/>
    <cellStyle name="Percent 3 8 8 3 3 2" xfId="8896"/>
    <cellStyle name="Percent 3 8 8 3 4" xfId="8897"/>
    <cellStyle name="Percent 3 8 8 4" xfId="8898"/>
    <cellStyle name="Percent 3 8 8 4 2" xfId="8899"/>
    <cellStyle name="Percent 3 8 8 4 2 2" xfId="8900"/>
    <cellStyle name="Percent 3 8 8 4 3" xfId="8901"/>
    <cellStyle name="Percent 3 8 8 4 3 2" xfId="8902"/>
    <cellStyle name="Percent 3 8 8 4 4" xfId="8903"/>
    <cellStyle name="Percent 3 8 8 5" xfId="8904"/>
    <cellStyle name="Percent 3 8 8 5 2" xfId="8905"/>
    <cellStyle name="Percent 3 8 8 5 2 2" xfId="8906"/>
    <cellStyle name="Percent 3 8 8 5 3" xfId="8907"/>
    <cellStyle name="Percent 3 8 8 5 3 2" xfId="8908"/>
    <cellStyle name="Percent 3 8 8 5 4" xfId="8909"/>
    <cellStyle name="Percent 3 8 8 5 4 2" xfId="8910"/>
    <cellStyle name="Percent 3 8 8 5 5" xfId="8911"/>
    <cellStyle name="Percent 3 8 8 6" xfId="8912"/>
    <cellStyle name="Percent 3 8 8 6 2" xfId="8913"/>
    <cellStyle name="Percent 3 8 8 6 2 2" xfId="8914"/>
    <cellStyle name="Percent 3 8 8 6 3" xfId="8915"/>
    <cellStyle name="Percent 3 8 8 6 3 2" xfId="8916"/>
    <cellStyle name="Percent 3 8 8 6 4" xfId="8917"/>
    <cellStyle name="Percent 3 8 8 7" xfId="8918"/>
    <cellStyle name="Percent 3 8 8 7 2" xfId="8919"/>
    <cellStyle name="Percent 3 8 8 8" xfId="8920"/>
    <cellStyle name="Percent 3 8 8 8 2" xfId="8921"/>
    <cellStyle name="Percent 3 8 8 9" xfId="8922"/>
    <cellStyle name="Percent 3 8 8 9 2" xfId="8923"/>
    <cellStyle name="Percent 3 8 9 12" xfId="8924"/>
    <cellStyle name="Percent 3 8 9 10" xfId="8925"/>
    <cellStyle name="Percent 3 8 9 11" xfId="8926"/>
    <cellStyle name="Percent 3 8 9 2" xfId="8927"/>
    <cellStyle name="Percent 3 8 9 2 2" xfId="8928"/>
    <cellStyle name="Percent 3 8 9 2 2 2" xfId="8929"/>
    <cellStyle name="Percent 3 8 9 2 3" xfId="8930"/>
    <cellStyle name="Percent 3 8 9 2 3 2" xfId="8931"/>
    <cellStyle name="Percent 3 8 9 2 4" xfId="8932"/>
    <cellStyle name="Percent 3 8 9 2 5" xfId="8933"/>
    <cellStyle name="Percent 3 8 9 3" xfId="8934"/>
    <cellStyle name="Percent 3 8 9 3 2" xfId="8935"/>
    <cellStyle name="Percent 3 8 9 3 2 2" xfId="8936"/>
    <cellStyle name="Percent 3 8 9 3 3" xfId="8937"/>
    <cellStyle name="Percent 3 8 9 3 3 2" xfId="8938"/>
    <cellStyle name="Percent 3 8 9 3 4" xfId="8939"/>
    <cellStyle name="Percent 3 8 9 4" xfId="8940"/>
    <cellStyle name="Percent 3 8 9 4 2" xfId="8941"/>
    <cellStyle name="Percent 3 8 9 4 2 2" xfId="8942"/>
    <cellStyle name="Percent 3 8 9 4 3" xfId="8943"/>
    <cellStyle name="Percent 3 8 9 4 3 2" xfId="8944"/>
    <cellStyle name="Percent 3 8 9 4 4" xfId="8945"/>
    <cellStyle name="Percent 3 8 9 5" xfId="8946"/>
    <cellStyle name="Percent 3 8 9 5 2" xfId="8947"/>
    <cellStyle name="Percent 3 8 9 5 2 2" xfId="8948"/>
    <cellStyle name="Percent 3 8 9 5 3" xfId="8949"/>
    <cellStyle name="Percent 3 8 9 5 3 2" xfId="8950"/>
    <cellStyle name="Percent 3 8 9 5 4" xfId="8951"/>
    <cellStyle name="Percent 3 8 9 5 4 2" xfId="8952"/>
    <cellStyle name="Percent 3 8 9 5 5" xfId="8953"/>
    <cellStyle name="Percent 3 8 9 6" xfId="8954"/>
    <cellStyle name="Percent 3 8 9 6 2" xfId="8955"/>
    <cellStyle name="Percent 3 8 9 6 2 2" xfId="8956"/>
    <cellStyle name="Percent 3 8 9 6 3" xfId="8957"/>
    <cellStyle name="Percent 3 8 9 6 3 2" xfId="8958"/>
    <cellStyle name="Percent 3 8 9 6 4" xfId="8959"/>
    <cellStyle name="Percent 3 8 9 7" xfId="8960"/>
    <cellStyle name="Percent 3 8 9 7 2" xfId="8961"/>
    <cellStyle name="Percent 3 8 9 8" xfId="8962"/>
    <cellStyle name="Percent 3 8 9 8 2" xfId="8963"/>
    <cellStyle name="Percent 3 8 9 9" xfId="8964"/>
    <cellStyle name="Percent 3 8 9 9 2" xfId="8965"/>
    <cellStyle name="Percent 3 9 26" xfId="8966"/>
    <cellStyle name="Percent 3 9 10 12" xfId="8967"/>
    <cellStyle name="Percent 3 9 10 10" xfId="8968"/>
    <cellStyle name="Percent 3 9 10 11" xfId="8969"/>
    <cellStyle name="Percent 3 9 10 2" xfId="8970"/>
    <cellStyle name="Percent 3 9 10 2 2" xfId="8971"/>
    <cellStyle name="Percent 3 9 10 2 2 2" xfId="8972"/>
    <cellStyle name="Percent 3 9 10 2 3" xfId="8973"/>
    <cellStyle name="Percent 3 9 10 2 3 2" xfId="8974"/>
    <cellStyle name="Percent 3 9 10 2 4" xfId="8975"/>
    <cellStyle name="Percent 3 9 10 2 5" xfId="8976"/>
    <cellStyle name="Percent 3 9 10 3" xfId="8977"/>
    <cellStyle name="Percent 3 9 10 3 2" xfId="8978"/>
    <cellStyle name="Percent 3 9 10 3 2 2" xfId="8979"/>
    <cellStyle name="Percent 3 9 10 3 3" xfId="8980"/>
    <cellStyle name="Percent 3 9 10 3 3 2" xfId="8981"/>
    <cellStyle name="Percent 3 9 10 3 4" xfId="8982"/>
    <cellStyle name="Percent 3 9 10 4" xfId="8983"/>
    <cellStyle name="Percent 3 9 10 4 2" xfId="8984"/>
    <cellStyle name="Percent 3 9 10 4 2 2" xfId="8985"/>
    <cellStyle name="Percent 3 9 10 4 3" xfId="8986"/>
    <cellStyle name="Percent 3 9 10 4 3 2" xfId="8987"/>
    <cellStyle name="Percent 3 9 10 4 4" xfId="8988"/>
    <cellStyle name="Percent 3 9 10 5" xfId="8989"/>
    <cellStyle name="Percent 3 9 10 5 2" xfId="8990"/>
    <cellStyle name="Percent 3 9 10 5 2 2" xfId="8991"/>
    <cellStyle name="Percent 3 9 10 5 3" xfId="8992"/>
    <cellStyle name="Percent 3 9 10 5 3 2" xfId="8993"/>
    <cellStyle name="Percent 3 9 10 5 4" xfId="8994"/>
    <cellStyle name="Percent 3 9 10 5 4 2" xfId="8995"/>
    <cellStyle name="Percent 3 9 10 5 5" xfId="8996"/>
    <cellStyle name="Percent 3 9 10 6" xfId="8997"/>
    <cellStyle name="Percent 3 9 10 6 2" xfId="8998"/>
    <cellStyle name="Percent 3 9 10 6 2 2" xfId="8999"/>
    <cellStyle name="Percent 3 9 10 6 3" xfId="9000"/>
    <cellStyle name="Percent 3 9 10 6 3 2" xfId="9001"/>
    <cellStyle name="Percent 3 9 10 6 4" xfId="9002"/>
    <cellStyle name="Percent 3 9 10 7" xfId="9003"/>
    <cellStyle name="Percent 3 9 10 7 2" xfId="9004"/>
    <cellStyle name="Percent 3 9 10 8" xfId="9005"/>
    <cellStyle name="Percent 3 9 10 8 2" xfId="9006"/>
    <cellStyle name="Percent 3 9 10 9" xfId="9007"/>
    <cellStyle name="Percent 3 9 10 9 2" xfId="9008"/>
    <cellStyle name="Percent 3 9 11 12" xfId="9009"/>
    <cellStyle name="Percent 3 9 11 10" xfId="9010"/>
    <cellStyle name="Percent 3 9 11 11" xfId="9011"/>
    <cellStyle name="Percent 3 9 11 2" xfId="9012"/>
    <cellStyle name="Percent 3 9 11 2 2" xfId="9013"/>
    <cellStyle name="Percent 3 9 11 2 2 2" xfId="9014"/>
    <cellStyle name="Percent 3 9 11 2 3" xfId="9015"/>
    <cellStyle name="Percent 3 9 11 2 3 2" xfId="9016"/>
    <cellStyle name="Percent 3 9 11 2 4" xfId="9017"/>
    <cellStyle name="Percent 3 9 11 2 5" xfId="9018"/>
    <cellStyle name="Percent 3 9 11 3" xfId="9019"/>
    <cellStyle name="Percent 3 9 11 3 2" xfId="9020"/>
    <cellStyle name="Percent 3 9 11 3 2 2" xfId="9021"/>
    <cellStyle name="Percent 3 9 11 3 3" xfId="9022"/>
    <cellStyle name="Percent 3 9 11 3 3 2" xfId="9023"/>
    <cellStyle name="Percent 3 9 11 3 4" xfId="9024"/>
    <cellStyle name="Percent 3 9 11 4" xfId="9025"/>
    <cellStyle name="Percent 3 9 11 4 2" xfId="9026"/>
    <cellStyle name="Percent 3 9 11 4 2 2" xfId="9027"/>
    <cellStyle name="Percent 3 9 11 4 3" xfId="9028"/>
    <cellStyle name="Percent 3 9 11 4 3 2" xfId="9029"/>
    <cellStyle name="Percent 3 9 11 4 4" xfId="9030"/>
    <cellStyle name="Percent 3 9 11 5" xfId="9031"/>
    <cellStyle name="Percent 3 9 11 5 2" xfId="9032"/>
    <cellStyle name="Percent 3 9 11 5 2 2" xfId="9033"/>
    <cellStyle name="Percent 3 9 11 5 3" xfId="9034"/>
    <cellStyle name="Percent 3 9 11 5 3 2" xfId="9035"/>
    <cellStyle name="Percent 3 9 11 5 4" xfId="9036"/>
    <cellStyle name="Percent 3 9 11 5 4 2" xfId="9037"/>
    <cellStyle name="Percent 3 9 11 5 5" xfId="9038"/>
    <cellStyle name="Percent 3 9 11 6" xfId="9039"/>
    <cellStyle name="Percent 3 9 11 6 2" xfId="9040"/>
    <cellStyle name="Percent 3 9 11 6 2 2" xfId="9041"/>
    <cellStyle name="Percent 3 9 11 6 3" xfId="9042"/>
    <cellStyle name="Percent 3 9 11 6 3 2" xfId="9043"/>
    <cellStyle name="Percent 3 9 11 6 4" xfId="9044"/>
    <cellStyle name="Percent 3 9 11 7" xfId="9045"/>
    <cellStyle name="Percent 3 9 11 7 2" xfId="9046"/>
    <cellStyle name="Percent 3 9 11 8" xfId="9047"/>
    <cellStyle name="Percent 3 9 11 8 2" xfId="9048"/>
    <cellStyle name="Percent 3 9 11 9" xfId="9049"/>
    <cellStyle name="Percent 3 9 11 9 2" xfId="9050"/>
    <cellStyle name="Percent 3 9 12 12" xfId="9051"/>
    <cellStyle name="Percent 3 9 12 10" xfId="9052"/>
    <cellStyle name="Percent 3 9 12 11" xfId="9053"/>
    <cellStyle name="Percent 3 9 12 2" xfId="9054"/>
    <cellStyle name="Percent 3 9 12 2 2" xfId="9055"/>
    <cellStyle name="Percent 3 9 12 2 2 2" xfId="9056"/>
    <cellStyle name="Percent 3 9 12 2 3" xfId="9057"/>
    <cellStyle name="Percent 3 9 12 2 3 2" xfId="9058"/>
    <cellStyle name="Percent 3 9 12 2 4" xfId="9059"/>
    <cellStyle name="Percent 3 9 12 2 5" xfId="9060"/>
    <cellStyle name="Percent 3 9 12 3" xfId="9061"/>
    <cellStyle name="Percent 3 9 12 3 2" xfId="9062"/>
    <cellStyle name="Percent 3 9 12 3 2 2" xfId="9063"/>
    <cellStyle name="Percent 3 9 12 3 3" xfId="9064"/>
    <cellStyle name="Percent 3 9 12 3 3 2" xfId="9065"/>
    <cellStyle name="Percent 3 9 12 3 4" xfId="9066"/>
    <cellStyle name="Percent 3 9 12 4" xfId="9067"/>
    <cellStyle name="Percent 3 9 12 4 2" xfId="9068"/>
    <cellStyle name="Percent 3 9 12 4 2 2" xfId="9069"/>
    <cellStyle name="Percent 3 9 12 4 3" xfId="9070"/>
    <cellStyle name="Percent 3 9 12 4 3 2" xfId="9071"/>
    <cellStyle name="Percent 3 9 12 4 4" xfId="9072"/>
    <cellStyle name="Percent 3 9 12 5" xfId="9073"/>
    <cellStyle name="Percent 3 9 12 5 2" xfId="9074"/>
    <cellStyle name="Percent 3 9 12 5 2 2" xfId="9075"/>
    <cellStyle name="Percent 3 9 12 5 3" xfId="9076"/>
    <cellStyle name="Percent 3 9 12 5 3 2" xfId="9077"/>
    <cellStyle name="Percent 3 9 12 5 4" xfId="9078"/>
    <cellStyle name="Percent 3 9 12 5 4 2" xfId="9079"/>
    <cellStyle name="Percent 3 9 12 5 5" xfId="9080"/>
    <cellStyle name="Percent 3 9 12 6" xfId="9081"/>
    <cellStyle name="Percent 3 9 12 6 2" xfId="9082"/>
    <cellStyle name="Percent 3 9 12 6 2 2" xfId="9083"/>
    <cellStyle name="Percent 3 9 12 6 3" xfId="9084"/>
    <cellStyle name="Percent 3 9 12 6 3 2" xfId="9085"/>
    <cellStyle name="Percent 3 9 12 6 4" xfId="9086"/>
    <cellStyle name="Percent 3 9 12 7" xfId="9087"/>
    <cellStyle name="Percent 3 9 12 7 2" xfId="9088"/>
    <cellStyle name="Percent 3 9 12 8" xfId="9089"/>
    <cellStyle name="Percent 3 9 12 8 2" xfId="9090"/>
    <cellStyle name="Percent 3 9 12 9" xfId="9091"/>
    <cellStyle name="Percent 3 9 12 9 2" xfId="9092"/>
    <cellStyle name="Percent 3 9 13 12" xfId="9093"/>
    <cellStyle name="Percent 3 9 13 10" xfId="9094"/>
    <cellStyle name="Percent 3 9 13 11" xfId="9095"/>
    <cellStyle name="Percent 3 9 13 2" xfId="9096"/>
    <cellStyle name="Percent 3 9 13 2 2" xfId="9097"/>
    <cellStyle name="Percent 3 9 13 2 2 2" xfId="9098"/>
    <cellStyle name="Percent 3 9 13 2 3" xfId="9099"/>
    <cellStyle name="Percent 3 9 13 2 3 2" xfId="9100"/>
    <cellStyle name="Percent 3 9 13 2 4" xfId="9101"/>
    <cellStyle name="Percent 3 9 13 2 5" xfId="9102"/>
    <cellStyle name="Percent 3 9 13 3" xfId="9103"/>
    <cellStyle name="Percent 3 9 13 3 2" xfId="9104"/>
    <cellStyle name="Percent 3 9 13 3 2 2" xfId="9105"/>
    <cellStyle name="Percent 3 9 13 3 3" xfId="9106"/>
    <cellStyle name="Percent 3 9 13 3 3 2" xfId="9107"/>
    <cellStyle name="Percent 3 9 13 3 4" xfId="9108"/>
    <cellStyle name="Percent 3 9 13 4" xfId="9109"/>
    <cellStyle name="Percent 3 9 13 4 2" xfId="9110"/>
    <cellStyle name="Percent 3 9 13 4 2 2" xfId="9111"/>
    <cellStyle name="Percent 3 9 13 4 3" xfId="9112"/>
    <cellStyle name="Percent 3 9 13 4 3 2" xfId="9113"/>
    <cellStyle name="Percent 3 9 13 4 4" xfId="9114"/>
    <cellStyle name="Percent 3 9 13 5" xfId="9115"/>
    <cellStyle name="Percent 3 9 13 5 2" xfId="9116"/>
    <cellStyle name="Percent 3 9 13 5 2 2" xfId="9117"/>
    <cellStyle name="Percent 3 9 13 5 3" xfId="9118"/>
    <cellStyle name="Percent 3 9 13 5 3 2" xfId="9119"/>
    <cellStyle name="Percent 3 9 13 5 4" xfId="9120"/>
    <cellStyle name="Percent 3 9 13 5 4 2" xfId="9121"/>
    <cellStyle name="Percent 3 9 13 5 5" xfId="9122"/>
    <cellStyle name="Percent 3 9 13 6" xfId="9123"/>
    <cellStyle name="Percent 3 9 13 6 2" xfId="9124"/>
    <cellStyle name="Percent 3 9 13 6 2 2" xfId="9125"/>
    <cellStyle name="Percent 3 9 13 6 3" xfId="9126"/>
    <cellStyle name="Percent 3 9 13 6 3 2" xfId="9127"/>
    <cellStyle name="Percent 3 9 13 6 4" xfId="9128"/>
    <cellStyle name="Percent 3 9 13 7" xfId="9129"/>
    <cellStyle name="Percent 3 9 13 7 2" xfId="9130"/>
    <cellStyle name="Percent 3 9 13 8" xfId="9131"/>
    <cellStyle name="Percent 3 9 13 8 2" xfId="9132"/>
    <cellStyle name="Percent 3 9 13 9" xfId="9133"/>
    <cellStyle name="Percent 3 9 13 9 2" xfId="9134"/>
    <cellStyle name="Percent 3 9 14 12" xfId="9135"/>
    <cellStyle name="Percent 3 9 14 10" xfId="9136"/>
    <cellStyle name="Percent 3 9 14 11" xfId="9137"/>
    <cellStyle name="Percent 3 9 14 2" xfId="9138"/>
    <cellStyle name="Percent 3 9 14 2 2" xfId="9139"/>
    <cellStyle name="Percent 3 9 14 2 2 2" xfId="9140"/>
    <cellStyle name="Percent 3 9 14 2 3" xfId="9141"/>
    <cellStyle name="Percent 3 9 14 2 3 2" xfId="9142"/>
    <cellStyle name="Percent 3 9 14 2 4" xfId="9143"/>
    <cellStyle name="Percent 3 9 14 2 5" xfId="9144"/>
    <cellStyle name="Percent 3 9 14 3" xfId="9145"/>
    <cellStyle name="Percent 3 9 14 3 2" xfId="9146"/>
    <cellStyle name="Percent 3 9 14 3 2 2" xfId="9147"/>
    <cellStyle name="Percent 3 9 14 3 3" xfId="9148"/>
    <cellStyle name="Percent 3 9 14 3 3 2" xfId="9149"/>
    <cellStyle name="Percent 3 9 14 3 4" xfId="9150"/>
    <cellStyle name="Percent 3 9 14 4" xfId="9151"/>
    <cellStyle name="Percent 3 9 14 4 2" xfId="9152"/>
    <cellStyle name="Percent 3 9 14 4 2 2" xfId="9153"/>
    <cellStyle name="Percent 3 9 14 4 3" xfId="9154"/>
    <cellStyle name="Percent 3 9 14 4 3 2" xfId="9155"/>
    <cellStyle name="Percent 3 9 14 4 4" xfId="9156"/>
    <cellStyle name="Percent 3 9 14 5" xfId="9157"/>
    <cellStyle name="Percent 3 9 14 5 2" xfId="9158"/>
    <cellStyle name="Percent 3 9 14 5 2 2" xfId="9159"/>
    <cellStyle name="Percent 3 9 14 5 3" xfId="9160"/>
    <cellStyle name="Percent 3 9 14 5 3 2" xfId="9161"/>
    <cellStyle name="Percent 3 9 14 5 4" xfId="9162"/>
    <cellStyle name="Percent 3 9 14 5 4 2" xfId="9163"/>
    <cellStyle name="Percent 3 9 14 5 5" xfId="9164"/>
    <cellStyle name="Percent 3 9 14 6" xfId="9165"/>
    <cellStyle name="Percent 3 9 14 6 2" xfId="9166"/>
    <cellStyle name="Percent 3 9 14 6 2 2" xfId="9167"/>
    <cellStyle name="Percent 3 9 14 6 3" xfId="9168"/>
    <cellStyle name="Percent 3 9 14 6 3 2" xfId="9169"/>
    <cellStyle name="Percent 3 9 14 6 4" xfId="9170"/>
    <cellStyle name="Percent 3 9 14 7" xfId="9171"/>
    <cellStyle name="Percent 3 9 14 7 2" xfId="9172"/>
    <cellStyle name="Percent 3 9 14 8" xfId="9173"/>
    <cellStyle name="Percent 3 9 14 8 2" xfId="9174"/>
    <cellStyle name="Percent 3 9 14 9" xfId="9175"/>
    <cellStyle name="Percent 3 9 14 9 2" xfId="9176"/>
    <cellStyle name="Percent 3 9 15 12" xfId="9177"/>
    <cellStyle name="Percent 3 9 15 10" xfId="9178"/>
    <cellStyle name="Percent 3 9 15 11" xfId="9179"/>
    <cellStyle name="Percent 3 9 15 2" xfId="9180"/>
    <cellStyle name="Percent 3 9 15 2 2" xfId="9181"/>
    <cellStyle name="Percent 3 9 15 2 2 2" xfId="9182"/>
    <cellStyle name="Percent 3 9 15 2 3" xfId="9183"/>
    <cellStyle name="Percent 3 9 15 2 3 2" xfId="9184"/>
    <cellStyle name="Percent 3 9 15 2 4" xfId="9185"/>
    <cellStyle name="Percent 3 9 15 2 5" xfId="9186"/>
    <cellStyle name="Percent 3 9 15 3" xfId="9187"/>
    <cellStyle name="Percent 3 9 15 3 2" xfId="9188"/>
    <cellStyle name="Percent 3 9 15 3 2 2" xfId="9189"/>
    <cellStyle name="Percent 3 9 15 3 3" xfId="9190"/>
    <cellStyle name="Percent 3 9 15 3 3 2" xfId="9191"/>
    <cellStyle name="Percent 3 9 15 3 4" xfId="9192"/>
    <cellStyle name="Percent 3 9 15 4" xfId="9193"/>
    <cellStyle name="Percent 3 9 15 4 2" xfId="9194"/>
    <cellStyle name="Percent 3 9 15 4 2 2" xfId="9195"/>
    <cellStyle name="Percent 3 9 15 4 3" xfId="9196"/>
    <cellStyle name="Percent 3 9 15 4 3 2" xfId="9197"/>
    <cellStyle name="Percent 3 9 15 4 4" xfId="9198"/>
    <cellStyle name="Percent 3 9 15 5" xfId="9199"/>
    <cellStyle name="Percent 3 9 15 5 2" xfId="9200"/>
    <cellStyle name="Percent 3 9 15 5 2 2" xfId="9201"/>
    <cellStyle name="Percent 3 9 15 5 3" xfId="9202"/>
    <cellStyle name="Percent 3 9 15 5 3 2" xfId="9203"/>
    <cellStyle name="Percent 3 9 15 5 4" xfId="9204"/>
    <cellStyle name="Percent 3 9 15 5 4 2" xfId="9205"/>
    <cellStyle name="Percent 3 9 15 5 5" xfId="9206"/>
    <cellStyle name="Percent 3 9 15 6" xfId="9207"/>
    <cellStyle name="Percent 3 9 15 6 2" xfId="9208"/>
    <cellStyle name="Percent 3 9 15 6 2 2" xfId="9209"/>
    <cellStyle name="Percent 3 9 15 6 3" xfId="9210"/>
    <cellStyle name="Percent 3 9 15 6 3 2" xfId="9211"/>
    <cellStyle name="Percent 3 9 15 6 4" xfId="9212"/>
    <cellStyle name="Percent 3 9 15 7" xfId="9213"/>
    <cellStyle name="Percent 3 9 15 7 2" xfId="9214"/>
    <cellStyle name="Percent 3 9 15 8" xfId="9215"/>
    <cellStyle name="Percent 3 9 15 8 2" xfId="9216"/>
    <cellStyle name="Percent 3 9 15 9" xfId="9217"/>
    <cellStyle name="Percent 3 9 15 9 2" xfId="9218"/>
    <cellStyle name="Percent 3 9 16" xfId="9219"/>
    <cellStyle name="Percent 3 9 16 2" xfId="9220"/>
    <cellStyle name="Percent 3 9 16 2 2" xfId="9221"/>
    <cellStyle name="Percent 3 9 16 3" xfId="9222"/>
    <cellStyle name="Percent 3 9 16 3 2" xfId="9223"/>
    <cellStyle name="Percent 3 9 16 4" xfId="9224"/>
    <cellStyle name="Percent 3 9 16 5" xfId="9225"/>
    <cellStyle name="Percent 3 9 17" xfId="9226"/>
    <cellStyle name="Percent 3 9 17 2" xfId="9227"/>
    <cellStyle name="Percent 3 9 17 2 2" xfId="9228"/>
    <cellStyle name="Percent 3 9 17 3" xfId="9229"/>
    <cellStyle name="Percent 3 9 17 3 2" xfId="9230"/>
    <cellStyle name="Percent 3 9 17 4" xfId="9231"/>
    <cellStyle name="Percent 3 9 18" xfId="9232"/>
    <cellStyle name="Percent 3 9 18 2" xfId="9233"/>
    <cellStyle name="Percent 3 9 18 2 2" xfId="9234"/>
    <cellStyle name="Percent 3 9 18 3" xfId="9235"/>
    <cellStyle name="Percent 3 9 18 3 2" xfId="9236"/>
    <cellStyle name="Percent 3 9 18 4" xfId="9237"/>
    <cellStyle name="Percent 3 9 19" xfId="9238"/>
    <cellStyle name="Percent 3 9 19 2" xfId="9239"/>
    <cellStyle name="Percent 3 9 19 2 2" xfId="9240"/>
    <cellStyle name="Percent 3 9 19 3" xfId="9241"/>
    <cellStyle name="Percent 3 9 19 3 2" xfId="9242"/>
    <cellStyle name="Percent 3 9 19 4" xfId="9243"/>
    <cellStyle name="Percent 3 9 19 4 2" xfId="9244"/>
    <cellStyle name="Percent 3 9 19 5" xfId="9245"/>
    <cellStyle name="Percent 3 9 2 12" xfId="9246"/>
    <cellStyle name="Percent 3 9 2 10" xfId="9247"/>
    <cellStyle name="Percent 3 9 2 11" xfId="9248"/>
    <cellStyle name="Percent 3 9 2 2" xfId="9249"/>
    <cellStyle name="Percent 3 9 2 2 2" xfId="9250"/>
    <cellStyle name="Percent 3 9 2 2 2 2" xfId="9251"/>
    <cellStyle name="Percent 3 9 2 2 3" xfId="9252"/>
    <cellStyle name="Percent 3 9 2 2 3 2" xfId="9253"/>
    <cellStyle name="Percent 3 9 2 2 4" xfId="9254"/>
    <cellStyle name="Percent 3 9 2 2 5" xfId="9255"/>
    <cellStyle name="Percent 3 9 2 3" xfId="9256"/>
    <cellStyle name="Percent 3 9 2 3 2" xfId="9257"/>
    <cellStyle name="Percent 3 9 2 3 2 2" xfId="9258"/>
    <cellStyle name="Percent 3 9 2 3 3" xfId="9259"/>
    <cellStyle name="Percent 3 9 2 3 3 2" xfId="9260"/>
    <cellStyle name="Percent 3 9 2 3 4" xfId="9261"/>
    <cellStyle name="Percent 3 9 2 4" xfId="9262"/>
    <cellStyle name="Percent 3 9 2 4 2" xfId="9263"/>
    <cellStyle name="Percent 3 9 2 4 2 2" xfId="9264"/>
    <cellStyle name="Percent 3 9 2 4 3" xfId="9265"/>
    <cellStyle name="Percent 3 9 2 4 3 2" xfId="9266"/>
    <cellStyle name="Percent 3 9 2 4 4" xfId="9267"/>
    <cellStyle name="Percent 3 9 2 5" xfId="9268"/>
    <cellStyle name="Percent 3 9 2 5 2" xfId="9269"/>
    <cellStyle name="Percent 3 9 2 5 2 2" xfId="9270"/>
    <cellStyle name="Percent 3 9 2 5 3" xfId="9271"/>
    <cellStyle name="Percent 3 9 2 5 3 2" xfId="9272"/>
    <cellStyle name="Percent 3 9 2 5 4" xfId="9273"/>
    <cellStyle name="Percent 3 9 2 5 4 2" xfId="9274"/>
    <cellStyle name="Percent 3 9 2 5 5" xfId="9275"/>
    <cellStyle name="Percent 3 9 2 6" xfId="9276"/>
    <cellStyle name="Percent 3 9 2 6 2" xfId="9277"/>
    <cellStyle name="Percent 3 9 2 6 2 2" xfId="9278"/>
    <cellStyle name="Percent 3 9 2 6 3" xfId="9279"/>
    <cellStyle name="Percent 3 9 2 6 3 2" xfId="9280"/>
    <cellStyle name="Percent 3 9 2 6 4" xfId="9281"/>
    <cellStyle name="Percent 3 9 2 7" xfId="9282"/>
    <cellStyle name="Percent 3 9 2 7 2" xfId="9283"/>
    <cellStyle name="Percent 3 9 2 8" xfId="9284"/>
    <cellStyle name="Percent 3 9 2 8 2" xfId="9285"/>
    <cellStyle name="Percent 3 9 2 9" xfId="9286"/>
    <cellStyle name="Percent 3 9 2 9 2" xfId="9287"/>
    <cellStyle name="Percent 3 9 20" xfId="9288"/>
    <cellStyle name="Percent 3 9 20 2" xfId="9289"/>
    <cellStyle name="Percent 3 9 20 2 2" xfId="9290"/>
    <cellStyle name="Percent 3 9 20 3" xfId="9291"/>
    <cellStyle name="Percent 3 9 20 3 2" xfId="9292"/>
    <cellStyle name="Percent 3 9 20 4" xfId="9293"/>
    <cellStyle name="Percent 3 9 21" xfId="9294"/>
    <cellStyle name="Percent 3 9 21 2" xfId="9295"/>
    <cellStyle name="Percent 3 9 22" xfId="9296"/>
    <cellStyle name="Percent 3 9 22 2" xfId="9297"/>
    <cellStyle name="Percent 3 9 23" xfId="9298"/>
    <cellStyle name="Percent 3 9 23 2" xfId="9299"/>
    <cellStyle name="Percent 3 9 24" xfId="9300"/>
    <cellStyle name="Percent 3 9 25" xfId="9301"/>
    <cellStyle name="Percent 3 9 3 12" xfId="9302"/>
    <cellStyle name="Percent 3 9 3 10" xfId="9303"/>
    <cellStyle name="Percent 3 9 3 11" xfId="9304"/>
    <cellStyle name="Percent 3 9 3 2" xfId="9305"/>
    <cellStyle name="Percent 3 9 3 2 2" xfId="9306"/>
    <cellStyle name="Percent 3 9 3 2 2 2" xfId="9307"/>
    <cellStyle name="Percent 3 9 3 2 3" xfId="9308"/>
    <cellStyle name="Percent 3 9 3 2 3 2" xfId="9309"/>
    <cellStyle name="Percent 3 9 3 2 4" xfId="9310"/>
    <cellStyle name="Percent 3 9 3 2 5" xfId="9311"/>
    <cellStyle name="Percent 3 9 3 3" xfId="9312"/>
    <cellStyle name="Percent 3 9 3 3 2" xfId="9313"/>
    <cellStyle name="Percent 3 9 3 3 2 2" xfId="9314"/>
    <cellStyle name="Percent 3 9 3 3 3" xfId="9315"/>
    <cellStyle name="Percent 3 9 3 3 3 2" xfId="9316"/>
    <cellStyle name="Percent 3 9 3 3 4" xfId="9317"/>
    <cellStyle name="Percent 3 9 3 4" xfId="9318"/>
    <cellStyle name="Percent 3 9 3 4 2" xfId="9319"/>
    <cellStyle name="Percent 3 9 3 4 2 2" xfId="9320"/>
    <cellStyle name="Percent 3 9 3 4 3" xfId="9321"/>
    <cellStyle name="Percent 3 9 3 4 3 2" xfId="9322"/>
    <cellStyle name="Percent 3 9 3 4 4" xfId="9323"/>
    <cellStyle name="Percent 3 9 3 5" xfId="9324"/>
    <cellStyle name="Percent 3 9 3 5 2" xfId="9325"/>
    <cellStyle name="Percent 3 9 3 5 2 2" xfId="9326"/>
    <cellStyle name="Percent 3 9 3 5 3" xfId="9327"/>
    <cellStyle name="Percent 3 9 3 5 3 2" xfId="9328"/>
    <cellStyle name="Percent 3 9 3 5 4" xfId="9329"/>
    <cellStyle name="Percent 3 9 3 5 4 2" xfId="9330"/>
    <cellStyle name="Percent 3 9 3 5 5" xfId="9331"/>
    <cellStyle name="Percent 3 9 3 6" xfId="9332"/>
    <cellStyle name="Percent 3 9 3 6 2" xfId="9333"/>
    <cellStyle name="Percent 3 9 3 6 2 2" xfId="9334"/>
    <cellStyle name="Percent 3 9 3 6 3" xfId="9335"/>
    <cellStyle name="Percent 3 9 3 6 3 2" xfId="9336"/>
    <cellStyle name="Percent 3 9 3 6 4" xfId="9337"/>
    <cellStyle name="Percent 3 9 3 7" xfId="9338"/>
    <cellStyle name="Percent 3 9 3 7 2" xfId="9339"/>
    <cellStyle name="Percent 3 9 3 8" xfId="9340"/>
    <cellStyle name="Percent 3 9 3 8 2" xfId="9341"/>
    <cellStyle name="Percent 3 9 3 9" xfId="9342"/>
    <cellStyle name="Percent 3 9 3 9 2" xfId="9343"/>
    <cellStyle name="Percent 3 9 4 12" xfId="9344"/>
    <cellStyle name="Percent 3 9 4 10" xfId="9345"/>
    <cellStyle name="Percent 3 9 4 11" xfId="9346"/>
    <cellStyle name="Percent 3 9 4 2" xfId="9347"/>
    <cellStyle name="Percent 3 9 4 2 2" xfId="9348"/>
    <cellStyle name="Percent 3 9 4 2 2 2" xfId="9349"/>
    <cellStyle name="Percent 3 9 4 2 3" xfId="9350"/>
    <cellStyle name="Percent 3 9 4 2 3 2" xfId="9351"/>
    <cellStyle name="Percent 3 9 4 2 4" xfId="9352"/>
    <cellStyle name="Percent 3 9 4 2 5" xfId="9353"/>
    <cellStyle name="Percent 3 9 4 3" xfId="9354"/>
    <cellStyle name="Percent 3 9 4 3 2" xfId="9355"/>
    <cellStyle name="Percent 3 9 4 3 2 2" xfId="9356"/>
    <cellStyle name="Percent 3 9 4 3 3" xfId="9357"/>
    <cellStyle name="Percent 3 9 4 3 3 2" xfId="9358"/>
    <cellStyle name="Percent 3 9 4 3 4" xfId="9359"/>
    <cellStyle name="Percent 3 9 4 4" xfId="9360"/>
    <cellStyle name="Percent 3 9 4 4 2" xfId="9361"/>
    <cellStyle name="Percent 3 9 4 4 2 2" xfId="9362"/>
    <cellStyle name="Percent 3 9 4 4 3" xfId="9363"/>
    <cellStyle name="Percent 3 9 4 4 3 2" xfId="9364"/>
    <cellStyle name="Percent 3 9 4 4 4" xfId="9365"/>
    <cellStyle name="Percent 3 9 4 5" xfId="9366"/>
    <cellStyle name="Percent 3 9 4 5 2" xfId="9367"/>
    <cellStyle name="Percent 3 9 4 5 2 2" xfId="9368"/>
    <cellStyle name="Percent 3 9 4 5 3" xfId="9369"/>
    <cellStyle name="Percent 3 9 4 5 3 2" xfId="9370"/>
    <cellStyle name="Percent 3 9 4 5 4" xfId="9371"/>
    <cellStyle name="Percent 3 9 4 5 4 2" xfId="9372"/>
    <cellStyle name="Percent 3 9 4 5 5" xfId="9373"/>
    <cellStyle name="Percent 3 9 4 6" xfId="9374"/>
    <cellStyle name="Percent 3 9 4 6 2" xfId="9375"/>
    <cellStyle name="Percent 3 9 4 6 2 2" xfId="9376"/>
    <cellStyle name="Percent 3 9 4 6 3" xfId="9377"/>
    <cellStyle name="Percent 3 9 4 6 3 2" xfId="9378"/>
    <cellStyle name="Percent 3 9 4 6 4" xfId="9379"/>
    <cellStyle name="Percent 3 9 4 7" xfId="9380"/>
    <cellStyle name="Percent 3 9 4 7 2" xfId="9381"/>
    <cellStyle name="Percent 3 9 4 8" xfId="9382"/>
    <cellStyle name="Percent 3 9 4 8 2" xfId="9383"/>
    <cellStyle name="Percent 3 9 4 9" xfId="9384"/>
    <cellStyle name="Percent 3 9 4 9 2" xfId="9385"/>
    <cellStyle name="Percent 3 9 5 12" xfId="9386"/>
    <cellStyle name="Percent 3 9 5 10" xfId="9387"/>
    <cellStyle name="Percent 3 9 5 11" xfId="9388"/>
    <cellStyle name="Percent 3 9 5 2" xfId="9389"/>
    <cellStyle name="Percent 3 9 5 2 2" xfId="9390"/>
    <cellStyle name="Percent 3 9 5 2 2 2" xfId="9391"/>
    <cellStyle name="Percent 3 9 5 2 3" xfId="9392"/>
    <cellStyle name="Percent 3 9 5 2 3 2" xfId="9393"/>
    <cellStyle name="Percent 3 9 5 2 4" xfId="9394"/>
    <cellStyle name="Percent 3 9 5 2 5" xfId="9395"/>
    <cellStyle name="Percent 3 9 5 3" xfId="9396"/>
    <cellStyle name="Percent 3 9 5 3 2" xfId="9397"/>
    <cellStyle name="Percent 3 9 5 3 2 2" xfId="9398"/>
    <cellStyle name="Percent 3 9 5 3 3" xfId="9399"/>
    <cellStyle name="Percent 3 9 5 3 3 2" xfId="9400"/>
    <cellStyle name="Percent 3 9 5 3 4" xfId="9401"/>
    <cellStyle name="Percent 3 9 5 4" xfId="9402"/>
    <cellStyle name="Percent 3 9 5 4 2" xfId="9403"/>
    <cellStyle name="Percent 3 9 5 4 2 2" xfId="9404"/>
    <cellStyle name="Percent 3 9 5 4 3" xfId="9405"/>
    <cellStyle name="Percent 3 9 5 4 3 2" xfId="9406"/>
    <cellStyle name="Percent 3 9 5 4 4" xfId="9407"/>
    <cellStyle name="Percent 3 9 5 5" xfId="9408"/>
    <cellStyle name="Percent 3 9 5 5 2" xfId="9409"/>
    <cellStyle name="Percent 3 9 5 5 2 2" xfId="9410"/>
    <cellStyle name="Percent 3 9 5 5 3" xfId="9411"/>
    <cellStyle name="Percent 3 9 5 5 3 2" xfId="9412"/>
    <cellStyle name="Percent 3 9 5 5 4" xfId="9413"/>
    <cellStyle name="Percent 3 9 5 5 4 2" xfId="9414"/>
    <cellStyle name="Percent 3 9 5 5 5" xfId="9415"/>
    <cellStyle name="Percent 3 9 5 6" xfId="9416"/>
    <cellStyle name="Percent 3 9 5 6 2" xfId="9417"/>
    <cellStyle name="Percent 3 9 5 6 2 2" xfId="9418"/>
    <cellStyle name="Percent 3 9 5 6 3" xfId="9419"/>
    <cellStyle name="Percent 3 9 5 6 3 2" xfId="9420"/>
    <cellStyle name="Percent 3 9 5 6 4" xfId="9421"/>
    <cellStyle name="Percent 3 9 5 7" xfId="9422"/>
    <cellStyle name="Percent 3 9 5 7 2" xfId="9423"/>
    <cellStyle name="Percent 3 9 5 8" xfId="9424"/>
    <cellStyle name="Percent 3 9 5 8 2" xfId="9425"/>
    <cellStyle name="Percent 3 9 5 9" xfId="9426"/>
    <cellStyle name="Percent 3 9 5 9 2" xfId="9427"/>
    <cellStyle name="Percent 3 9 6 12" xfId="9428"/>
    <cellStyle name="Percent 3 9 6 10" xfId="9429"/>
    <cellStyle name="Percent 3 9 6 11" xfId="9430"/>
    <cellStyle name="Percent 3 9 6 2" xfId="9431"/>
    <cellStyle name="Percent 3 9 6 2 2" xfId="9432"/>
    <cellStyle name="Percent 3 9 6 2 2 2" xfId="9433"/>
    <cellStyle name="Percent 3 9 6 2 3" xfId="9434"/>
    <cellStyle name="Percent 3 9 6 2 3 2" xfId="9435"/>
    <cellStyle name="Percent 3 9 6 2 4" xfId="9436"/>
    <cellStyle name="Percent 3 9 6 2 5" xfId="9437"/>
    <cellStyle name="Percent 3 9 6 3" xfId="9438"/>
    <cellStyle name="Percent 3 9 6 3 2" xfId="9439"/>
    <cellStyle name="Percent 3 9 6 3 2 2" xfId="9440"/>
    <cellStyle name="Percent 3 9 6 3 3" xfId="9441"/>
    <cellStyle name="Percent 3 9 6 3 3 2" xfId="9442"/>
    <cellStyle name="Percent 3 9 6 3 4" xfId="9443"/>
    <cellStyle name="Percent 3 9 6 4" xfId="9444"/>
    <cellStyle name="Percent 3 9 6 4 2" xfId="9445"/>
    <cellStyle name="Percent 3 9 6 4 2 2" xfId="9446"/>
    <cellStyle name="Percent 3 9 6 4 3" xfId="9447"/>
    <cellStyle name="Percent 3 9 6 4 3 2" xfId="9448"/>
    <cellStyle name="Percent 3 9 6 4 4" xfId="9449"/>
    <cellStyle name="Percent 3 9 6 5" xfId="9450"/>
    <cellStyle name="Percent 3 9 6 5 2" xfId="9451"/>
    <cellStyle name="Percent 3 9 6 5 2 2" xfId="9452"/>
    <cellStyle name="Percent 3 9 6 5 3" xfId="9453"/>
    <cellStyle name="Percent 3 9 6 5 3 2" xfId="9454"/>
    <cellStyle name="Percent 3 9 6 5 4" xfId="9455"/>
    <cellStyle name="Percent 3 9 6 5 4 2" xfId="9456"/>
    <cellStyle name="Percent 3 9 6 5 5" xfId="9457"/>
    <cellStyle name="Percent 3 9 6 6" xfId="9458"/>
    <cellStyle name="Percent 3 9 6 6 2" xfId="9459"/>
    <cellStyle name="Percent 3 9 6 6 2 2" xfId="9460"/>
    <cellStyle name="Percent 3 9 6 6 3" xfId="9461"/>
    <cellStyle name="Percent 3 9 6 6 3 2" xfId="9462"/>
    <cellStyle name="Percent 3 9 6 6 4" xfId="9463"/>
    <cellStyle name="Percent 3 9 6 7" xfId="9464"/>
    <cellStyle name="Percent 3 9 6 7 2" xfId="9465"/>
    <cellStyle name="Percent 3 9 6 8" xfId="9466"/>
    <cellStyle name="Percent 3 9 6 8 2" xfId="9467"/>
    <cellStyle name="Percent 3 9 6 9" xfId="9468"/>
    <cellStyle name="Percent 3 9 6 9 2" xfId="9469"/>
    <cellStyle name="Percent 3 9 7 12" xfId="9470"/>
    <cellStyle name="Percent 3 9 7 10" xfId="9471"/>
    <cellStyle name="Percent 3 9 7 11" xfId="9472"/>
    <cellStyle name="Percent 3 9 7 2" xfId="9473"/>
    <cellStyle name="Percent 3 9 7 2 2" xfId="9474"/>
    <cellStyle name="Percent 3 9 7 2 2 2" xfId="9475"/>
    <cellStyle name="Percent 3 9 7 2 3" xfId="9476"/>
    <cellStyle name="Percent 3 9 7 2 3 2" xfId="9477"/>
    <cellStyle name="Percent 3 9 7 2 4" xfId="9478"/>
    <cellStyle name="Percent 3 9 7 2 5" xfId="9479"/>
    <cellStyle name="Percent 3 9 7 3" xfId="9480"/>
    <cellStyle name="Percent 3 9 7 3 2" xfId="9481"/>
    <cellStyle name="Percent 3 9 7 3 2 2" xfId="9482"/>
    <cellStyle name="Percent 3 9 7 3 3" xfId="9483"/>
    <cellStyle name="Percent 3 9 7 3 3 2" xfId="9484"/>
    <cellStyle name="Percent 3 9 7 3 4" xfId="9485"/>
    <cellStyle name="Percent 3 9 7 4" xfId="9486"/>
    <cellStyle name="Percent 3 9 7 4 2" xfId="9487"/>
    <cellStyle name="Percent 3 9 7 4 2 2" xfId="9488"/>
    <cellStyle name="Percent 3 9 7 4 3" xfId="9489"/>
    <cellStyle name="Percent 3 9 7 4 3 2" xfId="9490"/>
    <cellStyle name="Percent 3 9 7 4 4" xfId="9491"/>
    <cellStyle name="Percent 3 9 7 5" xfId="9492"/>
    <cellStyle name="Percent 3 9 7 5 2" xfId="9493"/>
    <cellStyle name="Percent 3 9 7 5 2 2" xfId="9494"/>
    <cellStyle name="Percent 3 9 7 5 3" xfId="9495"/>
    <cellStyle name="Percent 3 9 7 5 3 2" xfId="9496"/>
    <cellStyle name="Percent 3 9 7 5 4" xfId="9497"/>
    <cellStyle name="Percent 3 9 7 5 4 2" xfId="9498"/>
    <cellStyle name="Percent 3 9 7 5 5" xfId="9499"/>
    <cellStyle name="Percent 3 9 7 6" xfId="9500"/>
    <cellStyle name="Percent 3 9 7 6 2" xfId="9501"/>
    <cellStyle name="Percent 3 9 7 6 2 2" xfId="9502"/>
    <cellStyle name="Percent 3 9 7 6 3" xfId="9503"/>
    <cellStyle name="Percent 3 9 7 6 3 2" xfId="9504"/>
    <cellStyle name="Percent 3 9 7 6 4" xfId="9505"/>
    <cellStyle name="Percent 3 9 7 7" xfId="9506"/>
    <cellStyle name="Percent 3 9 7 7 2" xfId="9507"/>
    <cellStyle name="Percent 3 9 7 8" xfId="9508"/>
    <cellStyle name="Percent 3 9 7 8 2" xfId="9509"/>
    <cellStyle name="Percent 3 9 7 9" xfId="9510"/>
    <cellStyle name="Percent 3 9 7 9 2" xfId="9511"/>
    <cellStyle name="Percent 3 9 8 12" xfId="9512"/>
    <cellStyle name="Percent 3 9 8 10" xfId="9513"/>
    <cellStyle name="Percent 3 9 8 11" xfId="9514"/>
    <cellStyle name="Percent 3 9 8 2" xfId="9515"/>
    <cellStyle name="Percent 3 9 8 2 2" xfId="9516"/>
    <cellStyle name="Percent 3 9 8 2 2 2" xfId="9517"/>
    <cellStyle name="Percent 3 9 8 2 3" xfId="9518"/>
    <cellStyle name="Percent 3 9 8 2 3 2" xfId="9519"/>
    <cellStyle name="Percent 3 9 8 2 4" xfId="9520"/>
    <cellStyle name="Percent 3 9 8 2 5" xfId="9521"/>
    <cellStyle name="Percent 3 9 8 3" xfId="9522"/>
    <cellStyle name="Percent 3 9 8 3 2" xfId="9523"/>
    <cellStyle name="Percent 3 9 8 3 2 2" xfId="9524"/>
    <cellStyle name="Percent 3 9 8 3 3" xfId="9525"/>
    <cellStyle name="Percent 3 9 8 3 3 2" xfId="9526"/>
    <cellStyle name="Percent 3 9 8 3 4" xfId="9527"/>
    <cellStyle name="Percent 3 9 8 4" xfId="9528"/>
    <cellStyle name="Percent 3 9 8 4 2" xfId="9529"/>
    <cellStyle name="Percent 3 9 8 4 2 2" xfId="9530"/>
    <cellStyle name="Percent 3 9 8 4 3" xfId="9531"/>
    <cellStyle name="Percent 3 9 8 4 3 2" xfId="9532"/>
    <cellStyle name="Percent 3 9 8 4 4" xfId="9533"/>
    <cellStyle name="Percent 3 9 8 5" xfId="9534"/>
    <cellStyle name="Percent 3 9 8 5 2" xfId="9535"/>
    <cellStyle name="Percent 3 9 8 5 2 2" xfId="9536"/>
    <cellStyle name="Percent 3 9 8 5 3" xfId="9537"/>
    <cellStyle name="Percent 3 9 8 5 3 2" xfId="9538"/>
    <cellStyle name="Percent 3 9 8 5 4" xfId="9539"/>
    <cellStyle name="Percent 3 9 8 5 4 2" xfId="9540"/>
    <cellStyle name="Percent 3 9 8 5 5" xfId="9541"/>
    <cellStyle name="Percent 3 9 8 6" xfId="9542"/>
    <cellStyle name="Percent 3 9 8 6 2" xfId="9543"/>
    <cellStyle name="Percent 3 9 8 6 2 2" xfId="9544"/>
    <cellStyle name="Percent 3 9 8 6 3" xfId="9545"/>
    <cellStyle name="Percent 3 9 8 6 3 2" xfId="9546"/>
    <cellStyle name="Percent 3 9 8 6 4" xfId="9547"/>
    <cellStyle name="Percent 3 9 8 7" xfId="9548"/>
    <cellStyle name="Percent 3 9 8 7 2" xfId="9549"/>
    <cellStyle name="Percent 3 9 8 8" xfId="9550"/>
    <cellStyle name="Percent 3 9 8 8 2" xfId="9551"/>
    <cellStyle name="Percent 3 9 8 9" xfId="9552"/>
    <cellStyle name="Percent 3 9 8 9 2" xfId="9553"/>
    <cellStyle name="Percent 3 9 9 12" xfId="9554"/>
    <cellStyle name="Percent 3 9 9 10" xfId="9555"/>
    <cellStyle name="Percent 3 9 9 11" xfId="9556"/>
    <cellStyle name="Percent 3 9 9 2" xfId="9557"/>
    <cellStyle name="Percent 3 9 9 2 2" xfId="9558"/>
    <cellStyle name="Percent 3 9 9 2 2 2" xfId="9559"/>
    <cellStyle name="Percent 3 9 9 2 3" xfId="9560"/>
    <cellStyle name="Percent 3 9 9 2 3 2" xfId="9561"/>
    <cellStyle name="Percent 3 9 9 2 4" xfId="9562"/>
    <cellStyle name="Percent 3 9 9 2 5" xfId="9563"/>
    <cellStyle name="Percent 3 9 9 3" xfId="9564"/>
    <cellStyle name="Percent 3 9 9 3 2" xfId="9565"/>
    <cellStyle name="Percent 3 9 9 3 2 2" xfId="9566"/>
    <cellStyle name="Percent 3 9 9 3 3" xfId="9567"/>
    <cellStyle name="Percent 3 9 9 3 3 2" xfId="9568"/>
    <cellStyle name="Percent 3 9 9 3 4" xfId="9569"/>
    <cellStyle name="Percent 3 9 9 4" xfId="9570"/>
    <cellStyle name="Percent 3 9 9 4 2" xfId="9571"/>
    <cellStyle name="Percent 3 9 9 4 2 2" xfId="9572"/>
    <cellStyle name="Percent 3 9 9 4 3" xfId="9573"/>
    <cellStyle name="Percent 3 9 9 4 3 2" xfId="9574"/>
    <cellStyle name="Percent 3 9 9 4 4" xfId="9575"/>
    <cellStyle name="Percent 3 9 9 5" xfId="9576"/>
    <cellStyle name="Percent 3 9 9 5 2" xfId="9577"/>
    <cellStyle name="Percent 3 9 9 5 2 2" xfId="9578"/>
    <cellStyle name="Percent 3 9 9 5 3" xfId="9579"/>
    <cellStyle name="Percent 3 9 9 5 3 2" xfId="9580"/>
    <cellStyle name="Percent 3 9 9 5 4" xfId="9581"/>
    <cellStyle name="Percent 3 9 9 5 4 2" xfId="9582"/>
    <cellStyle name="Percent 3 9 9 5 5" xfId="9583"/>
    <cellStyle name="Percent 3 9 9 6" xfId="9584"/>
    <cellStyle name="Percent 3 9 9 6 2" xfId="9585"/>
    <cellStyle name="Percent 3 9 9 6 2 2" xfId="9586"/>
    <cellStyle name="Percent 3 9 9 6 3" xfId="9587"/>
    <cellStyle name="Percent 3 9 9 6 3 2" xfId="9588"/>
    <cellStyle name="Percent 3 9 9 6 4" xfId="9589"/>
    <cellStyle name="Percent 3 9 9 7" xfId="9590"/>
    <cellStyle name="Percent 3 9 9 7 2" xfId="9591"/>
    <cellStyle name="Percent 3 9 9 8" xfId="9592"/>
    <cellStyle name="Percent 3 9 9 8 2" xfId="9593"/>
    <cellStyle name="Percent 3 9 9 9" xfId="9594"/>
    <cellStyle name="Percent 3 9 9 9 2" xfId="9595"/>
    <cellStyle name="Percent 31 12" xfId="9596"/>
    <cellStyle name="Percent 31 10" xfId="9597"/>
    <cellStyle name="Percent 31 11" xfId="9598"/>
    <cellStyle name="Percent 31 2" xfId="9599"/>
    <cellStyle name="Percent 31 2 2" xfId="9600"/>
    <cellStyle name="Percent 31 2 2 2" xfId="9601"/>
    <cellStyle name="Percent 31 2 3" xfId="9602"/>
    <cellStyle name="Percent 31 2 3 2" xfId="9603"/>
    <cellStyle name="Percent 31 2 4" xfId="9604"/>
    <cellStyle name="Percent 31 2 5" xfId="9605"/>
    <cellStyle name="Percent 31 3" xfId="9606"/>
    <cellStyle name="Percent 31 3 2" xfId="9607"/>
    <cellStyle name="Percent 31 3 2 2" xfId="9608"/>
    <cellStyle name="Percent 31 3 3" xfId="9609"/>
    <cellStyle name="Percent 31 3 3 2" xfId="9610"/>
    <cellStyle name="Percent 31 3 4" xfId="9611"/>
    <cellStyle name="Percent 31 4" xfId="9612"/>
    <cellStyle name="Percent 31 4 2" xfId="9613"/>
    <cellStyle name="Percent 31 4 2 2" xfId="9614"/>
    <cellStyle name="Percent 31 4 3" xfId="9615"/>
    <cellStyle name="Percent 31 4 3 2" xfId="9616"/>
    <cellStyle name="Percent 31 4 4" xfId="9617"/>
    <cellStyle name="Percent 31 5" xfId="9618"/>
    <cellStyle name="Percent 31 5 2" xfId="9619"/>
    <cellStyle name="Percent 31 5 2 2" xfId="9620"/>
    <cellStyle name="Percent 31 5 3" xfId="9621"/>
    <cellStyle name="Percent 31 5 3 2" xfId="9622"/>
    <cellStyle name="Percent 31 5 4" xfId="9623"/>
    <cellStyle name="Percent 31 5 4 2" xfId="9624"/>
    <cellStyle name="Percent 31 5 5" xfId="9625"/>
    <cellStyle name="Percent 31 6" xfId="9626"/>
    <cellStyle name="Percent 31 6 2" xfId="9627"/>
    <cellStyle name="Percent 31 6 2 2" xfId="9628"/>
    <cellStyle name="Percent 31 6 3" xfId="9629"/>
    <cellStyle name="Percent 31 6 3 2" xfId="9630"/>
    <cellStyle name="Percent 31 6 4" xfId="9631"/>
    <cellStyle name="Percent 31 7" xfId="9632"/>
    <cellStyle name="Percent 31 7 2" xfId="9633"/>
    <cellStyle name="Percent 31 8" xfId="9634"/>
    <cellStyle name="Percent 31 8 2" xfId="9635"/>
    <cellStyle name="Percent 31 9" xfId="9636"/>
    <cellStyle name="Percent 31 9 2" xfId="9637"/>
    <cellStyle name="Percent 4 40" xfId="9638"/>
    <cellStyle name="Percent 4 10 12" xfId="9639"/>
    <cellStyle name="Percent 4 10 10" xfId="9640"/>
    <cellStyle name="Percent 4 10 11" xfId="9641"/>
    <cellStyle name="Percent 4 10 2" xfId="9642"/>
    <cellStyle name="Percent 4 10 2 2" xfId="9643"/>
    <cellStyle name="Percent 4 10 2 2 2" xfId="9644"/>
    <cellStyle name="Percent 4 10 2 3" xfId="9645"/>
    <cellStyle name="Percent 4 10 2 3 2" xfId="9646"/>
    <cellStyle name="Percent 4 10 2 4" xfId="9647"/>
    <cellStyle name="Percent 4 10 2 5" xfId="9648"/>
    <cellStyle name="Percent 4 10 3" xfId="9649"/>
    <cellStyle name="Percent 4 10 3 2" xfId="9650"/>
    <cellStyle name="Percent 4 10 3 2 2" xfId="9651"/>
    <cellStyle name="Percent 4 10 3 3" xfId="9652"/>
    <cellStyle name="Percent 4 10 3 3 2" xfId="9653"/>
    <cellStyle name="Percent 4 10 3 4" xfId="9654"/>
    <cellStyle name="Percent 4 10 4" xfId="9655"/>
    <cellStyle name="Percent 4 10 4 2" xfId="9656"/>
    <cellStyle name="Percent 4 10 4 2 2" xfId="9657"/>
    <cellStyle name="Percent 4 10 4 3" xfId="9658"/>
    <cellStyle name="Percent 4 10 4 3 2" xfId="9659"/>
    <cellStyle name="Percent 4 10 4 4" xfId="9660"/>
    <cellStyle name="Percent 4 10 5" xfId="9661"/>
    <cellStyle name="Percent 4 10 5 2" xfId="9662"/>
    <cellStyle name="Percent 4 10 5 2 2" xfId="9663"/>
    <cellStyle name="Percent 4 10 5 3" xfId="9664"/>
    <cellStyle name="Percent 4 10 5 3 2" xfId="9665"/>
    <cellStyle name="Percent 4 10 5 4" xfId="9666"/>
    <cellStyle name="Percent 4 10 5 4 2" xfId="9667"/>
    <cellStyle name="Percent 4 10 5 5" xfId="9668"/>
    <cellStyle name="Percent 4 10 6" xfId="9669"/>
    <cellStyle name="Percent 4 10 6 2" xfId="9670"/>
    <cellStyle name="Percent 4 10 6 2 2" xfId="9671"/>
    <cellStyle name="Percent 4 10 6 3" xfId="9672"/>
    <cellStyle name="Percent 4 10 6 3 2" xfId="9673"/>
    <cellStyle name="Percent 4 10 6 4" xfId="9674"/>
    <cellStyle name="Percent 4 10 7" xfId="9675"/>
    <cellStyle name="Percent 4 10 7 2" xfId="9676"/>
    <cellStyle name="Percent 4 10 8" xfId="9677"/>
    <cellStyle name="Percent 4 10 8 2" xfId="9678"/>
    <cellStyle name="Percent 4 10 9" xfId="9679"/>
    <cellStyle name="Percent 4 10 9 2" xfId="9680"/>
    <cellStyle name="Percent 4 11 12" xfId="9681"/>
    <cellStyle name="Percent 4 11 10" xfId="9682"/>
    <cellStyle name="Percent 4 11 11" xfId="9683"/>
    <cellStyle name="Percent 4 11 2" xfId="9684"/>
    <cellStyle name="Percent 4 11 2 2" xfId="9685"/>
    <cellStyle name="Percent 4 11 2 2 2" xfId="9686"/>
    <cellStyle name="Percent 4 11 2 3" xfId="9687"/>
    <cellStyle name="Percent 4 11 2 3 2" xfId="9688"/>
    <cellStyle name="Percent 4 11 2 4" xfId="9689"/>
    <cellStyle name="Percent 4 11 2 5" xfId="9690"/>
    <cellStyle name="Percent 4 11 3" xfId="9691"/>
    <cellStyle name="Percent 4 11 3 2" xfId="9692"/>
    <cellStyle name="Percent 4 11 3 2 2" xfId="9693"/>
    <cellStyle name="Percent 4 11 3 3" xfId="9694"/>
    <cellStyle name="Percent 4 11 3 3 2" xfId="9695"/>
    <cellStyle name="Percent 4 11 3 4" xfId="9696"/>
    <cellStyle name="Percent 4 11 4" xfId="9697"/>
    <cellStyle name="Percent 4 11 4 2" xfId="9698"/>
    <cellStyle name="Percent 4 11 4 2 2" xfId="9699"/>
    <cellStyle name="Percent 4 11 4 3" xfId="9700"/>
    <cellStyle name="Percent 4 11 4 3 2" xfId="9701"/>
    <cellStyle name="Percent 4 11 4 4" xfId="9702"/>
    <cellStyle name="Percent 4 11 5" xfId="9703"/>
    <cellStyle name="Percent 4 11 5 2" xfId="9704"/>
    <cellStyle name="Percent 4 11 5 2 2" xfId="9705"/>
    <cellStyle name="Percent 4 11 5 3" xfId="9706"/>
    <cellStyle name="Percent 4 11 5 3 2" xfId="9707"/>
    <cellStyle name="Percent 4 11 5 4" xfId="9708"/>
    <cellStyle name="Percent 4 11 5 4 2" xfId="9709"/>
    <cellStyle name="Percent 4 11 5 5" xfId="9710"/>
    <cellStyle name="Percent 4 11 6" xfId="9711"/>
    <cellStyle name="Percent 4 11 6 2" xfId="9712"/>
    <cellStyle name="Percent 4 11 6 2 2" xfId="9713"/>
    <cellStyle name="Percent 4 11 6 3" xfId="9714"/>
    <cellStyle name="Percent 4 11 6 3 2" xfId="9715"/>
    <cellStyle name="Percent 4 11 6 4" xfId="9716"/>
    <cellStyle name="Percent 4 11 7" xfId="9717"/>
    <cellStyle name="Percent 4 11 7 2" xfId="9718"/>
    <cellStyle name="Percent 4 11 8" xfId="9719"/>
    <cellStyle name="Percent 4 11 8 2" xfId="9720"/>
    <cellStyle name="Percent 4 11 9" xfId="9721"/>
    <cellStyle name="Percent 4 11 9 2" xfId="9722"/>
    <cellStyle name="Percent 4 12 12" xfId="9723"/>
    <cellStyle name="Percent 4 12 10" xfId="9724"/>
    <cellStyle name="Percent 4 12 11" xfId="9725"/>
    <cellStyle name="Percent 4 12 2" xfId="9726"/>
    <cellStyle name="Percent 4 12 2 2" xfId="9727"/>
    <cellStyle name="Percent 4 12 2 2 2" xfId="9728"/>
    <cellStyle name="Percent 4 12 2 3" xfId="9729"/>
    <cellStyle name="Percent 4 12 2 3 2" xfId="9730"/>
    <cellStyle name="Percent 4 12 2 4" xfId="9731"/>
    <cellStyle name="Percent 4 12 2 5" xfId="9732"/>
    <cellStyle name="Percent 4 12 3" xfId="9733"/>
    <cellStyle name="Percent 4 12 3 2" xfId="9734"/>
    <cellStyle name="Percent 4 12 3 2 2" xfId="9735"/>
    <cellStyle name="Percent 4 12 3 3" xfId="9736"/>
    <cellStyle name="Percent 4 12 3 3 2" xfId="9737"/>
    <cellStyle name="Percent 4 12 3 4" xfId="9738"/>
    <cellStyle name="Percent 4 12 4" xfId="9739"/>
    <cellStyle name="Percent 4 12 4 2" xfId="9740"/>
    <cellStyle name="Percent 4 12 4 2 2" xfId="9741"/>
    <cellStyle name="Percent 4 12 4 3" xfId="9742"/>
    <cellStyle name="Percent 4 12 4 3 2" xfId="9743"/>
    <cellStyle name="Percent 4 12 4 4" xfId="9744"/>
    <cellStyle name="Percent 4 12 5" xfId="9745"/>
    <cellStyle name="Percent 4 12 5 2" xfId="9746"/>
    <cellStyle name="Percent 4 12 5 2 2" xfId="9747"/>
    <cellStyle name="Percent 4 12 5 3" xfId="9748"/>
    <cellStyle name="Percent 4 12 5 3 2" xfId="9749"/>
    <cellStyle name="Percent 4 12 5 4" xfId="9750"/>
    <cellStyle name="Percent 4 12 5 4 2" xfId="9751"/>
    <cellStyle name="Percent 4 12 5 5" xfId="9752"/>
    <cellStyle name="Percent 4 12 6" xfId="9753"/>
    <cellStyle name="Percent 4 12 6 2" xfId="9754"/>
    <cellStyle name="Percent 4 12 6 2 2" xfId="9755"/>
    <cellStyle name="Percent 4 12 6 3" xfId="9756"/>
    <cellStyle name="Percent 4 12 6 3 2" xfId="9757"/>
    <cellStyle name="Percent 4 12 6 4" xfId="9758"/>
    <cellStyle name="Percent 4 12 7" xfId="9759"/>
    <cellStyle name="Percent 4 12 7 2" xfId="9760"/>
    <cellStyle name="Percent 4 12 8" xfId="9761"/>
    <cellStyle name="Percent 4 12 8 2" xfId="9762"/>
    <cellStyle name="Percent 4 12 9" xfId="9763"/>
    <cellStyle name="Percent 4 12 9 2" xfId="9764"/>
    <cellStyle name="Percent 4 13 12" xfId="9765"/>
    <cellStyle name="Percent 4 13 10" xfId="9766"/>
    <cellStyle name="Percent 4 13 11" xfId="9767"/>
    <cellStyle name="Percent 4 13 2" xfId="9768"/>
    <cellStyle name="Percent 4 13 2 2" xfId="9769"/>
    <cellStyle name="Percent 4 13 2 2 2" xfId="9770"/>
    <cellStyle name="Percent 4 13 2 3" xfId="9771"/>
    <cellStyle name="Percent 4 13 2 3 2" xfId="9772"/>
    <cellStyle name="Percent 4 13 2 4" xfId="9773"/>
    <cellStyle name="Percent 4 13 2 5" xfId="9774"/>
    <cellStyle name="Percent 4 13 3" xfId="9775"/>
    <cellStyle name="Percent 4 13 3 2" xfId="9776"/>
    <cellStyle name="Percent 4 13 3 2 2" xfId="9777"/>
    <cellStyle name="Percent 4 13 3 3" xfId="9778"/>
    <cellStyle name="Percent 4 13 3 3 2" xfId="9779"/>
    <cellStyle name="Percent 4 13 3 4" xfId="9780"/>
    <cellStyle name="Percent 4 13 4" xfId="9781"/>
    <cellStyle name="Percent 4 13 4 2" xfId="9782"/>
    <cellStyle name="Percent 4 13 4 2 2" xfId="9783"/>
    <cellStyle name="Percent 4 13 4 3" xfId="9784"/>
    <cellStyle name="Percent 4 13 4 3 2" xfId="9785"/>
    <cellStyle name="Percent 4 13 4 4" xfId="9786"/>
    <cellStyle name="Percent 4 13 5" xfId="9787"/>
    <cellStyle name="Percent 4 13 5 2" xfId="9788"/>
    <cellStyle name="Percent 4 13 5 2 2" xfId="9789"/>
    <cellStyle name="Percent 4 13 5 3" xfId="9790"/>
    <cellStyle name="Percent 4 13 5 3 2" xfId="9791"/>
    <cellStyle name="Percent 4 13 5 4" xfId="9792"/>
    <cellStyle name="Percent 4 13 5 4 2" xfId="9793"/>
    <cellStyle name="Percent 4 13 5 5" xfId="9794"/>
    <cellStyle name="Percent 4 13 6" xfId="9795"/>
    <cellStyle name="Percent 4 13 6 2" xfId="9796"/>
    <cellStyle name="Percent 4 13 6 2 2" xfId="9797"/>
    <cellStyle name="Percent 4 13 6 3" xfId="9798"/>
    <cellStyle name="Percent 4 13 6 3 2" xfId="9799"/>
    <cellStyle name="Percent 4 13 6 4" xfId="9800"/>
    <cellStyle name="Percent 4 13 7" xfId="9801"/>
    <cellStyle name="Percent 4 13 7 2" xfId="9802"/>
    <cellStyle name="Percent 4 13 8" xfId="9803"/>
    <cellStyle name="Percent 4 13 8 2" xfId="9804"/>
    <cellStyle name="Percent 4 13 9" xfId="9805"/>
    <cellStyle name="Percent 4 13 9 2" xfId="9806"/>
    <cellStyle name="Percent 4 14 13" xfId="9807"/>
    <cellStyle name="Percent 4 14 10" xfId="9808"/>
    <cellStyle name="Percent 4 14 10 2" xfId="9809"/>
    <cellStyle name="Percent 4 14 11" xfId="9810"/>
    <cellStyle name="Percent 4 14 12" xfId="9811"/>
    <cellStyle name="Percent 4 14 2" xfId="9812"/>
    <cellStyle name="Percent 4 14 2 10" xfId="9813"/>
    <cellStyle name="Percent 4 14 2 2" xfId="9814"/>
    <cellStyle name="Percent 4 14 2 2 2" xfId="9815"/>
    <cellStyle name="Percent 4 14 2 2 2 2" xfId="9816"/>
    <cellStyle name="Percent 4 14 2 2 3" xfId="9817"/>
    <cellStyle name="Percent 4 14 2 2 3 2" xfId="9818"/>
    <cellStyle name="Percent 4 14 2 2 4" xfId="9819"/>
    <cellStyle name="Percent 4 14 2 3" xfId="9820"/>
    <cellStyle name="Percent 4 14 2 3 2" xfId="9821"/>
    <cellStyle name="Percent 4 14 2 3 2 2" xfId="9822"/>
    <cellStyle name="Percent 4 14 2 3 3" xfId="9823"/>
    <cellStyle name="Percent 4 14 2 3 3 2" xfId="9824"/>
    <cellStyle name="Percent 4 14 2 3 4" xfId="9825"/>
    <cellStyle name="Percent 4 14 2 4" xfId="9826"/>
    <cellStyle name="Percent 4 14 2 4 2" xfId="9827"/>
    <cellStyle name="Percent 4 14 2 4 2 2" xfId="9828"/>
    <cellStyle name="Percent 4 14 2 4 3" xfId="9829"/>
    <cellStyle name="Percent 4 14 2 4 3 2" xfId="9830"/>
    <cellStyle name="Percent 4 14 2 4 4" xfId="9831"/>
    <cellStyle name="Percent 4 14 2 4 4 2" xfId="9832"/>
    <cellStyle name="Percent 4 14 2 4 5" xfId="9833"/>
    <cellStyle name="Percent 4 14 2 5" xfId="9834"/>
    <cellStyle name="Percent 4 14 2 5 2" xfId="9835"/>
    <cellStyle name="Percent 4 14 2 5 2 2" xfId="9836"/>
    <cellStyle name="Percent 4 14 2 5 3" xfId="9837"/>
    <cellStyle name="Percent 4 14 2 5 3 2" xfId="9838"/>
    <cellStyle name="Percent 4 14 2 5 4" xfId="9839"/>
    <cellStyle name="Percent 4 14 2 6" xfId="9840"/>
    <cellStyle name="Percent 4 14 2 6 2" xfId="9841"/>
    <cellStyle name="Percent 4 14 2 7" xfId="9842"/>
    <cellStyle name="Percent 4 14 2 7 2" xfId="9843"/>
    <cellStyle name="Percent 4 14 2 8" xfId="9844"/>
    <cellStyle name="Percent 4 14 2 8 2" xfId="9845"/>
    <cellStyle name="Percent 4 14 2 9" xfId="9846"/>
    <cellStyle name="Percent 4 14 3" xfId="9847"/>
    <cellStyle name="Percent 4 14 3 2" xfId="9848"/>
    <cellStyle name="Percent 4 14 3 2 2" xfId="9849"/>
    <cellStyle name="Percent 4 14 3 3" xfId="9850"/>
    <cellStyle name="Percent 4 14 3 3 2" xfId="9851"/>
    <cellStyle name="Percent 4 14 3 4" xfId="9852"/>
    <cellStyle name="Percent 4 14 3 5" xfId="9853"/>
    <cellStyle name="Percent 4 14 4" xfId="9854"/>
    <cellStyle name="Percent 4 14 4 2" xfId="9855"/>
    <cellStyle name="Percent 4 14 4 2 2" xfId="9856"/>
    <cellStyle name="Percent 4 14 4 3" xfId="9857"/>
    <cellStyle name="Percent 4 14 4 3 2" xfId="9858"/>
    <cellStyle name="Percent 4 14 4 4" xfId="9859"/>
    <cellStyle name="Percent 4 14 5" xfId="9860"/>
    <cellStyle name="Percent 4 14 5 2" xfId="9861"/>
    <cellStyle name="Percent 4 14 5 2 2" xfId="9862"/>
    <cellStyle name="Percent 4 14 5 3" xfId="9863"/>
    <cellStyle name="Percent 4 14 5 3 2" xfId="9864"/>
    <cellStyle name="Percent 4 14 5 4" xfId="9865"/>
    <cellStyle name="Percent 4 14 6" xfId="9866"/>
    <cellStyle name="Percent 4 14 6 2" xfId="9867"/>
    <cellStyle name="Percent 4 14 6 2 2" xfId="9868"/>
    <cellStyle name="Percent 4 14 6 3" xfId="9869"/>
    <cellStyle name="Percent 4 14 6 3 2" xfId="9870"/>
    <cellStyle name="Percent 4 14 6 4" xfId="9871"/>
    <cellStyle name="Percent 4 14 6 4 2" xfId="9872"/>
    <cellStyle name="Percent 4 14 6 5" xfId="9873"/>
    <cellStyle name="Percent 4 14 7" xfId="9874"/>
    <cellStyle name="Percent 4 14 7 2" xfId="9875"/>
    <cellStyle name="Percent 4 14 7 2 2" xfId="9876"/>
    <cellStyle name="Percent 4 14 7 3" xfId="9877"/>
    <cellStyle name="Percent 4 14 7 3 2" xfId="9878"/>
    <cellStyle name="Percent 4 14 7 4" xfId="9879"/>
    <cellStyle name="Percent 4 14 8" xfId="9880"/>
    <cellStyle name="Percent 4 14 8 2" xfId="9881"/>
    <cellStyle name="Percent 4 14 9" xfId="9882"/>
    <cellStyle name="Percent 4 14 9 2" xfId="9883"/>
    <cellStyle name="Percent 4 15 12" xfId="9884"/>
    <cellStyle name="Percent 4 15 10" xfId="9885"/>
    <cellStyle name="Percent 4 15 11" xfId="9886"/>
    <cellStyle name="Percent 4 15 2" xfId="9887"/>
    <cellStyle name="Percent 4 15 2 2" xfId="9888"/>
    <cellStyle name="Percent 4 15 2 2 2" xfId="9889"/>
    <cellStyle name="Percent 4 15 2 3" xfId="9890"/>
    <cellStyle name="Percent 4 15 2 3 2" xfId="9891"/>
    <cellStyle name="Percent 4 15 2 4" xfId="9892"/>
    <cellStyle name="Percent 4 15 2 5" xfId="9893"/>
    <cellStyle name="Percent 4 15 3" xfId="9894"/>
    <cellStyle name="Percent 4 15 3 2" xfId="9895"/>
    <cellStyle name="Percent 4 15 3 2 2" xfId="9896"/>
    <cellStyle name="Percent 4 15 3 3" xfId="9897"/>
    <cellStyle name="Percent 4 15 3 3 2" xfId="9898"/>
    <cellStyle name="Percent 4 15 3 4" xfId="9899"/>
    <cellStyle name="Percent 4 15 4" xfId="9900"/>
    <cellStyle name="Percent 4 15 4 2" xfId="9901"/>
    <cellStyle name="Percent 4 15 4 2 2" xfId="9902"/>
    <cellStyle name="Percent 4 15 4 3" xfId="9903"/>
    <cellStyle name="Percent 4 15 4 3 2" xfId="9904"/>
    <cellStyle name="Percent 4 15 4 4" xfId="9905"/>
    <cellStyle name="Percent 4 15 5" xfId="9906"/>
    <cellStyle name="Percent 4 15 5 2" xfId="9907"/>
    <cellStyle name="Percent 4 15 5 2 2" xfId="9908"/>
    <cellStyle name="Percent 4 15 5 3" xfId="9909"/>
    <cellStyle name="Percent 4 15 5 3 2" xfId="9910"/>
    <cellStyle name="Percent 4 15 5 4" xfId="9911"/>
    <cellStyle name="Percent 4 15 5 4 2" xfId="9912"/>
    <cellStyle name="Percent 4 15 5 5" xfId="9913"/>
    <cellStyle name="Percent 4 15 6" xfId="9914"/>
    <cellStyle name="Percent 4 15 6 2" xfId="9915"/>
    <cellStyle name="Percent 4 15 6 2 2" xfId="9916"/>
    <cellStyle name="Percent 4 15 6 3" xfId="9917"/>
    <cellStyle name="Percent 4 15 6 3 2" xfId="9918"/>
    <cellStyle name="Percent 4 15 6 4" xfId="9919"/>
    <cellStyle name="Percent 4 15 7" xfId="9920"/>
    <cellStyle name="Percent 4 15 7 2" xfId="9921"/>
    <cellStyle name="Percent 4 15 8" xfId="9922"/>
    <cellStyle name="Percent 4 15 8 2" xfId="9923"/>
    <cellStyle name="Percent 4 15 9" xfId="9924"/>
    <cellStyle name="Percent 4 15 9 2" xfId="9925"/>
    <cellStyle name="Percent 4 16 12" xfId="9926"/>
    <cellStyle name="Percent 4 16 10" xfId="9927"/>
    <cellStyle name="Percent 4 16 11" xfId="9928"/>
    <cellStyle name="Percent 4 16 2 6" xfId="9929"/>
    <cellStyle name="Percent 4 16 2 2" xfId="9930"/>
    <cellStyle name="Percent 4 16 2 2 2" xfId="9931"/>
    <cellStyle name="Percent 4 16 2 3" xfId="9932"/>
    <cellStyle name="Percent 4 16 2 3 2" xfId="9933"/>
    <cellStyle name="Percent 4 16 2 4" xfId="9934"/>
    <cellStyle name="Percent 4 16 2 5" xfId="9935"/>
    <cellStyle name="Percent 4 16 3" xfId="9936"/>
    <cellStyle name="Percent 4 16 3 2" xfId="9937"/>
    <cellStyle name="Percent 4 16 3 2 2" xfId="9938"/>
    <cellStyle name="Percent 4 16 3 3" xfId="9939"/>
    <cellStyle name="Percent 4 16 3 3 2" xfId="9940"/>
    <cellStyle name="Percent 4 16 3 4" xfId="9941"/>
    <cellStyle name="Percent 4 16 4" xfId="9942"/>
    <cellStyle name="Percent 4 16 4 2" xfId="9943"/>
    <cellStyle name="Percent 4 16 4 2 2" xfId="9944"/>
    <cellStyle name="Percent 4 16 4 3" xfId="9945"/>
    <cellStyle name="Percent 4 16 4 3 2" xfId="9946"/>
    <cellStyle name="Percent 4 16 4 4" xfId="9947"/>
    <cellStyle name="Percent 4 16 5" xfId="9948"/>
    <cellStyle name="Percent 4 16 5 2" xfId="9949"/>
    <cellStyle name="Percent 4 16 5 2 2" xfId="9950"/>
    <cellStyle name="Percent 4 16 5 3" xfId="9951"/>
    <cellStyle name="Percent 4 16 5 3 2" xfId="9952"/>
    <cellStyle name="Percent 4 16 5 4" xfId="9953"/>
    <cellStyle name="Percent 4 16 5 4 2" xfId="9954"/>
    <cellStyle name="Percent 4 16 5 5" xfId="9955"/>
    <cellStyle name="Percent 4 16 6" xfId="9956"/>
    <cellStyle name="Percent 4 16 6 2" xfId="9957"/>
    <cellStyle name="Percent 4 16 6 2 2" xfId="9958"/>
    <cellStyle name="Percent 4 16 6 3" xfId="9959"/>
    <cellStyle name="Percent 4 16 6 3 2" xfId="9960"/>
    <cellStyle name="Percent 4 16 6 4" xfId="9961"/>
    <cellStyle name="Percent 4 16 7" xfId="9962"/>
    <cellStyle name="Percent 4 16 7 2" xfId="9963"/>
    <cellStyle name="Percent 4 16 8" xfId="9964"/>
    <cellStyle name="Percent 4 16 8 2" xfId="9965"/>
    <cellStyle name="Percent 4 16 9" xfId="9966"/>
    <cellStyle name="Percent 4 16 9 2" xfId="9967"/>
    <cellStyle name="Percent 4 17 12" xfId="9968"/>
    <cellStyle name="Percent 4 17 10" xfId="9969"/>
    <cellStyle name="Percent 4 17 11" xfId="9970"/>
    <cellStyle name="Percent 4 17 2" xfId="9971"/>
    <cellStyle name="Percent 4 17 2 2" xfId="9972"/>
    <cellStyle name="Percent 4 17 2 2 2" xfId="9973"/>
    <cellStyle name="Percent 4 17 2 3" xfId="9974"/>
    <cellStyle name="Percent 4 17 2 3 2" xfId="9975"/>
    <cellStyle name="Percent 4 17 2 4" xfId="9976"/>
    <cellStyle name="Percent 4 17 2 5" xfId="9977"/>
    <cellStyle name="Percent 4 17 3" xfId="9978"/>
    <cellStyle name="Percent 4 17 3 2" xfId="9979"/>
    <cellStyle name="Percent 4 17 3 2 2" xfId="9980"/>
    <cellStyle name="Percent 4 17 3 3" xfId="9981"/>
    <cellStyle name="Percent 4 17 3 3 2" xfId="9982"/>
    <cellStyle name="Percent 4 17 3 4" xfId="9983"/>
    <cellStyle name="Percent 4 17 4" xfId="9984"/>
    <cellStyle name="Percent 4 17 4 2" xfId="9985"/>
    <cellStyle name="Percent 4 17 4 2 2" xfId="9986"/>
    <cellStyle name="Percent 4 17 4 3" xfId="9987"/>
    <cellStyle name="Percent 4 17 4 3 2" xfId="9988"/>
    <cellStyle name="Percent 4 17 4 4" xfId="9989"/>
    <cellStyle name="Percent 4 17 5" xfId="9990"/>
    <cellStyle name="Percent 4 17 5 2" xfId="9991"/>
    <cellStyle name="Percent 4 17 5 2 2" xfId="9992"/>
    <cellStyle name="Percent 4 17 5 3" xfId="9993"/>
    <cellStyle name="Percent 4 17 5 3 2" xfId="9994"/>
    <cellStyle name="Percent 4 17 5 4" xfId="9995"/>
    <cellStyle name="Percent 4 17 5 4 2" xfId="9996"/>
    <cellStyle name="Percent 4 17 5 5" xfId="9997"/>
    <cellStyle name="Percent 4 17 6" xfId="9998"/>
    <cellStyle name="Percent 4 17 6 2" xfId="9999"/>
    <cellStyle name="Percent 4 17 6 2 2" xfId="10000"/>
    <cellStyle name="Percent 4 17 6 3" xfId="10001"/>
    <cellStyle name="Percent 4 17 6 3 2" xfId="10002"/>
    <cellStyle name="Percent 4 17 6 4" xfId="10003"/>
    <cellStyle name="Percent 4 17 7" xfId="10004"/>
    <cellStyle name="Percent 4 17 7 2" xfId="10005"/>
    <cellStyle name="Percent 4 17 8" xfId="10006"/>
    <cellStyle name="Percent 4 17 8 2" xfId="10007"/>
    <cellStyle name="Percent 4 17 9" xfId="10008"/>
    <cellStyle name="Percent 4 17 9 2" xfId="10009"/>
    <cellStyle name="Percent 4 18 12" xfId="10010"/>
    <cellStyle name="Percent 4 18 10" xfId="10011"/>
    <cellStyle name="Percent 4 18 11" xfId="10012"/>
    <cellStyle name="Percent 4 18 2" xfId="10013"/>
    <cellStyle name="Percent 4 18 2 2" xfId="10014"/>
    <cellStyle name="Percent 4 18 2 2 2" xfId="10015"/>
    <cellStyle name="Percent 4 18 2 3" xfId="10016"/>
    <cellStyle name="Percent 4 18 2 3 2" xfId="10017"/>
    <cellStyle name="Percent 4 18 2 4" xfId="10018"/>
    <cellStyle name="Percent 4 18 2 5" xfId="10019"/>
    <cellStyle name="Percent 4 18 3" xfId="10020"/>
    <cellStyle name="Percent 4 18 3 2" xfId="10021"/>
    <cellStyle name="Percent 4 18 3 2 2" xfId="10022"/>
    <cellStyle name="Percent 4 18 3 3" xfId="10023"/>
    <cellStyle name="Percent 4 18 3 3 2" xfId="10024"/>
    <cellStyle name="Percent 4 18 3 4" xfId="10025"/>
    <cellStyle name="Percent 4 18 4" xfId="10026"/>
    <cellStyle name="Percent 4 18 4 2" xfId="10027"/>
    <cellStyle name="Percent 4 18 4 2 2" xfId="10028"/>
    <cellStyle name="Percent 4 18 4 3" xfId="10029"/>
    <cellStyle name="Percent 4 18 4 3 2" xfId="10030"/>
    <cellStyle name="Percent 4 18 4 4" xfId="10031"/>
    <cellStyle name="Percent 4 18 5" xfId="10032"/>
    <cellStyle name="Percent 4 18 5 2" xfId="10033"/>
    <cellStyle name="Percent 4 18 5 2 2" xfId="10034"/>
    <cellStyle name="Percent 4 18 5 3" xfId="10035"/>
    <cellStyle name="Percent 4 18 5 3 2" xfId="10036"/>
    <cellStyle name="Percent 4 18 5 4" xfId="10037"/>
    <cellStyle name="Percent 4 18 5 4 2" xfId="10038"/>
    <cellStyle name="Percent 4 18 5 5" xfId="10039"/>
    <cellStyle name="Percent 4 18 6" xfId="10040"/>
    <cellStyle name="Percent 4 18 6 2" xfId="10041"/>
    <cellStyle name="Percent 4 18 6 2 2" xfId="10042"/>
    <cellStyle name="Percent 4 18 6 3" xfId="10043"/>
    <cellStyle name="Percent 4 18 6 3 2" xfId="10044"/>
    <cellStyle name="Percent 4 18 6 4" xfId="10045"/>
    <cellStyle name="Percent 4 18 7" xfId="10046"/>
    <cellStyle name="Percent 4 18 7 2" xfId="10047"/>
    <cellStyle name="Percent 4 18 8" xfId="10048"/>
    <cellStyle name="Percent 4 18 8 2" xfId="10049"/>
    <cellStyle name="Percent 4 18 9" xfId="10050"/>
    <cellStyle name="Percent 4 18 9 2" xfId="10051"/>
    <cellStyle name="Percent 4 19 12" xfId="10052"/>
    <cellStyle name="Percent 4 19 10" xfId="10053"/>
    <cellStyle name="Percent 4 19 11" xfId="10054"/>
    <cellStyle name="Percent 4 19 2" xfId="10055"/>
    <cellStyle name="Percent 4 19 2 2" xfId="10056"/>
    <cellStyle name="Percent 4 19 2 2 2" xfId="10057"/>
    <cellStyle name="Percent 4 19 2 3" xfId="10058"/>
    <cellStyle name="Percent 4 19 2 3 2" xfId="10059"/>
    <cellStyle name="Percent 4 19 2 4" xfId="10060"/>
    <cellStyle name="Percent 4 19 2 5" xfId="10061"/>
    <cellStyle name="Percent 4 19 3" xfId="10062"/>
    <cellStyle name="Percent 4 19 3 2" xfId="10063"/>
    <cellStyle name="Percent 4 19 3 2 2" xfId="10064"/>
    <cellStyle name="Percent 4 19 3 3" xfId="10065"/>
    <cellStyle name="Percent 4 19 3 3 2" xfId="10066"/>
    <cellStyle name="Percent 4 19 3 4" xfId="10067"/>
    <cellStyle name="Percent 4 19 4" xfId="10068"/>
    <cellStyle name="Percent 4 19 4 2" xfId="10069"/>
    <cellStyle name="Percent 4 19 4 2 2" xfId="10070"/>
    <cellStyle name="Percent 4 19 4 3" xfId="10071"/>
    <cellStyle name="Percent 4 19 4 3 2" xfId="10072"/>
    <cellStyle name="Percent 4 19 4 4" xfId="10073"/>
    <cellStyle name="Percent 4 19 5" xfId="10074"/>
    <cellStyle name="Percent 4 19 5 2" xfId="10075"/>
    <cellStyle name="Percent 4 19 5 2 2" xfId="10076"/>
    <cellStyle name="Percent 4 19 5 3" xfId="10077"/>
    <cellStyle name="Percent 4 19 5 3 2" xfId="10078"/>
    <cellStyle name="Percent 4 19 5 4" xfId="10079"/>
    <cellStyle name="Percent 4 19 5 4 2" xfId="10080"/>
    <cellStyle name="Percent 4 19 5 5" xfId="10081"/>
    <cellStyle name="Percent 4 19 6" xfId="10082"/>
    <cellStyle name="Percent 4 19 6 2" xfId="10083"/>
    <cellStyle name="Percent 4 19 6 2 2" xfId="10084"/>
    <cellStyle name="Percent 4 19 6 3" xfId="10085"/>
    <cellStyle name="Percent 4 19 6 3 2" xfId="10086"/>
    <cellStyle name="Percent 4 19 6 4" xfId="10087"/>
    <cellStyle name="Percent 4 19 7" xfId="10088"/>
    <cellStyle name="Percent 4 19 7 2" xfId="10089"/>
    <cellStyle name="Percent 4 19 8" xfId="10090"/>
    <cellStyle name="Percent 4 19 8 2" xfId="10091"/>
    <cellStyle name="Percent 4 19 9" xfId="10092"/>
    <cellStyle name="Percent 4 19 9 2" xfId="10093"/>
    <cellStyle name="Percent 4 2 19" xfId="10094"/>
    <cellStyle name="Percent 4 2 10" xfId="10095"/>
    <cellStyle name="Percent 4 2 10 2" xfId="10096"/>
    <cellStyle name="Percent 4 2 10 2 2" xfId="10097"/>
    <cellStyle name="Percent 4 2 10 3" xfId="10098"/>
    <cellStyle name="Percent 4 2 10 3 2" xfId="10099"/>
    <cellStyle name="Percent 4 2 10 4" xfId="10100"/>
    <cellStyle name="Percent 4 2 11" xfId="10101"/>
    <cellStyle name="Percent 4 2 11 2" xfId="10102"/>
    <cellStyle name="Percent 4 2 11 2 2" xfId="10103"/>
    <cellStyle name="Percent 4 2 11 3" xfId="10104"/>
    <cellStyle name="Percent 4 2 11 3 2" xfId="10105"/>
    <cellStyle name="Percent 4 2 11 4" xfId="10106"/>
    <cellStyle name="Percent 4 2 12" xfId="10107"/>
    <cellStyle name="Percent 4 2 12 2" xfId="10108"/>
    <cellStyle name="Percent 4 2 12 2 2" xfId="10109"/>
    <cellStyle name="Percent 4 2 12 3" xfId="10110"/>
    <cellStyle name="Percent 4 2 12 3 2" xfId="10111"/>
    <cellStyle name="Percent 4 2 12 4" xfId="10112"/>
    <cellStyle name="Percent 4 2 12 4 2" xfId="10113"/>
    <cellStyle name="Percent 4 2 12 5" xfId="10114"/>
    <cellStyle name="Percent 4 2 13" xfId="10115"/>
    <cellStyle name="Percent 4 2 13 2" xfId="10116"/>
    <cellStyle name="Percent 4 2 13 2 2" xfId="10117"/>
    <cellStyle name="Percent 4 2 13 3" xfId="10118"/>
    <cellStyle name="Percent 4 2 13 3 2" xfId="10119"/>
    <cellStyle name="Percent 4 2 13 4" xfId="10120"/>
    <cellStyle name="Percent 4 2 14" xfId="10121"/>
    <cellStyle name="Percent 4 2 14 2" xfId="10122"/>
    <cellStyle name="Percent 4 2 15" xfId="10123"/>
    <cellStyle name="Percent 4 2 15 2" xfId="10124"/>
    <cellStyle name="Percent 4 2 16" xfId="10125"/>
    <cellStyle name="Percent 4 2 16 2" xfId="10126"/>
    <cellStyle name="Percent 4 2 17" xfId="10127"/>
    <cellStyle name="Percent 4 2 18" xfId="10128"/>
    <cellStyle name="Percent 4 2 2 11" xfId="10129"/>
    <cellStyle name="Percent 4 2 2 10" xfId="10130"/>
    <cellStyle name="Percent 4 2 2 2" xfId="10131"/>
    <cellStyle name="Percent 4 2 2 2 2" xfId="10132"/>
    <cellStyle name="Percent 4 2 2 2 2 2" xfId="10133"/>
    <cellStyle name="Percent 4 2 2 2 3" xfId="10134"/>
    <cellStyle name="Percent 4 2 2 2 3 2" xfId="10135"/>
    <cellStyle name="Percent 4 2 2 2 4" xfId="10136"/>
    <cellStyle name="Percent 4 2 2 2 5" xfId="10137"/>
    <cellStyle name="Percent 4 2 2 3" xfId="10138"/>
    <cellStyle name="Percent 4 2 2 3 2" xfId="10139"/>
    <cellStyle name="Percent 4 2 2 3 2 2" xfId="10140"/>
    <cellStyle name="Percent 4 2 2 3 3" xfId="10141"/>
    <cellStyle name="Percent 4 2 2 3 3 2" xfId="10142"/>
    <cellStyle name="Percent 4 2 2 3 4" xfId="10143"/>
    <cellStyle name="Percent 4 2 2 4" xfId="10144"/>
    <cellStyle name="Percent 4 2 2 4 2" xfId="10145"/>
    <cellStyle name="Percent 4 2 2 4 2 2" xfId="10146"/>
    <cellStyle name="Percent 4 2 2 4 3" xfId="10147"/>
    <cellStyle name="Percent 4 2 2 4 3 2" xfId="10148"/>
    <cellStyle name="Percent 4 2 2 4 4" xfId="10149"/>
    <cellStyle name="Percent 4 2 2 4 4 2" xfId="10150"/>
    <cellStyle name="Percent 4 2 2 4 5" xfId="10151"/>
    <cellStyle name="Percent 4 2 2 5" xfId="10152"/>
    <cellStyle name="Percent 4 2 2 5 2" xfId="10153"/>
    <cellStyle name="Percent 4 2 2 5 2 2" xfId="10154"/>
    <cellStyle name="Percent 4 2 2 5 3" xfId="10155"/>
    <cellStyle name="Percent 4 2 2 5 3 2" xfId="10156"/>
    <cellStyle name="Percent 4 2 2 5 4" xfId="10157"/>
    <cellStyle name="Percent 4 2 2 6" xfId="10158"/>
    <cellStyle name="Percent 4 2 2 6 2" xfId="10159"/>
    <cellStyle name="Percent 4 2 2 7" xfId="10160"/>
    <cellStyle name="Percent 4 2 2 7 2" xfId="10161"/>
    <cellStyle name="Percent 4 2 2 8" xfId="10162"/>
    <cellStyle name="Percent 4 2 2 8 2" xfId="10163"/>
    <cellStyle name="Percent 4 2 2 9" xfId="10164"/>
    <cellStyle name="Percent 4 2 3 11" xfId="10165"/>
    <cellStyle name="Percent 4 2 3 10" xfId="10166"/>
    <cellStyle name="Percent 4 2 3 2" xfId="10167"/>
    <cellStyle name="Percent 4 2 3 2 2" xfId="10168"/>
    <cellStyle name="Percent 4 2 3 2 2 2" xfId="10169"/>
    <cellStyle name="Percent 4 2 3 2 3" xfId="10170"/>
    <cellStyle name="Percent 4 2 3 2 3 2" xfId="10171"/>
    <cellStyle name="Percent 4 2 3 2 4" xfId="10172"/>
    <cellStyle name="Percent 4 2 3 2 5" xfId="10173"/>
    <cellStyle name="Percent 4 2 3 3" xfId="10174"/>
    <cellStyle name="Percent 4 2 3 3 2" xfId="10175"/>
    <cellStyle name="Percent 4 2 3 3 2 2" xfId="10176"/>
    <cellStyle name="Percent 4 2 3 3 3" xfId="10177"/>
    <cellStyle name="Percent 4 2 3 3 3 2" xfId="10178"/>
    <cellStyle name="Percent 4 2 3 3 4" xfId="10179"/>
    <cellStyle name="Percent 4 2 3 4" xfId="10180"/>
    <cellStyle name="Percent 4 2 3 4 2" xfId="10181"/>
    <cellStyle name="Percent 4 2 3 4 2 2" xfId="10182"/>
    <cellStyle name="Percent 4 2 3 4 3" xfId="10183"/>
    <cellStyle name="Percent 4 2 3 4 3 2" xfId="10184"/>
    <cellStyle name="Percent 4 2 3 4 4" xfId="10185"/>
    <cellStyle name="Percent 4 2 3 4 4 2" xfId="10186"/>
    <cellStyle name="Percent 4 2 3 4 5" xfId="10187"/>
    <cellStyle name="Percent 4 2 3 5" xfId="10188"/>
    <cellStyle name="Percent 4 2 3 5 2" xfId="10189"/>
    <cellStyle name="Percent 4 2 3 5 2 2" xfId="10190"/>
    <cellStyle name="Percent 4 2 3 5 3" xfId="10191"/>
    <cellStyle name="Percent 4 2 3 5 3 2" xfId="10192"/>
    <cellStyle name="Percent 4 2 3 5 4" xfId="10193"/>
    <cellStyle name="Percent 4 2 3 6" xfId="10194"/>
    <cellStyle name="Percent 4 2 3 6 2" xfId="10195"/>
    <cellStyle name="Percent 4 2 3 7" xfId="10196"/>
    <cellStyle name="Percent 4 2 3 7 2" xfId="10197"/>
    <cellStyle name="Percent 4 2 3 8" xfId="10198"/>
    <cellStyle name="Percent 4 2 3 8 2" xfId="10199"/>
    <cellStyle name="Percent 4 2 3 9" xfId="10200"/>
    <cellStyle name="Percent 4 2 4 11" xfId="10201"/>
    <cellStyle name="Percent 4 2 4 10" xfId="10202"/>
    <cellStyle name="Percent 4 2 4 2 6" xfId="10203"/>
    <cellStyle name="Percent 4 2 4 2 2" xfId="10204"/>
    <cellStyle name="Percent 4 2 4 2 2 2" xfId="10205"/>
    <cellStyle name="Percent 4 2 4 2 3" xfId="10206"/>
    <cellStyle name="Percent 4 2 4 2 3 2" xfId="10207"/>
    <cellStyle name="Percent 4 2 4 2 4" xfId="10208"/>
    <cellStyle name="Percent 4 2 4 2 5" xfId="10209"/>
    <cellStyle name="Percent 4 2 4 3 5" xfId="10210"/>
    <cellStyle name="Percent 4 2 4 3 2" xfId="10211"/>
    <cellStyle name="Percent 4 2 4 3 2 2" xfId="10212"/>
    <cellStyle name="Percent 4 2 4 3 3" xfId="10213"/>
    <cellStyle name="Percent 4 2 4 3 3 2" xfId="10214"/>
    <cellStyle name="Percent 4 2 4 3 4" xfId="10215"/>
    <cellStyle name="Percent 4 2 4 4" xfId="10216"/>
    <cellStyle name="Percent 4 2 4 4 2" xfId="10217"/>
    <cellStyle name="Percent 4 2 4 4 2 2" xfId="10218"/>
    <cellStyle name="Percent 4 2 4 4 3" xfId="10219"/>
    <cellStyle name="Percent 4 2 4 4 3 2" xfId="10220"/>
    <cellStyle name="Percent 4 2 4 4 4" xfId="10221"/>
    <cellStyle name="Percent 4 2 4 4 4 2" xfId="10222"/>
    <cellStyle name="Percent 4 2 4 4 5" xfId="10223"/>
    <cellStyle name="Percent 4 2 4 5" xfId="10224"/>
    <cellStyle name="Percent 4 2 4 5 2" xfId="10225"/>
    <cellStyle name="Percent 4 2 4 5 2 2" xfId="10226"/>
    <cellStyle name="Percent 4 2 4 5 3" xfId="10227"/>
    <cellStyle name="Percent 4 2 4 5 3 2" xfId="10228"/>
    <cellStyle name="Percent 4 2 4 5 4" xfId="10229"/>
    <cellStyle name="Percent 4 2 4 6" xfId="10230"/>
    <cellStyle name="Percent 4 2 4 6 2" xfId="10231"/>
    <cellStyle name="Percent 4 2 4 7" xfId="10232"/>
    <cellStyle name="Percent 4 2 4 7 2" xfId="10233"/>
    <cellStyle name="Percent 4 2 4 8" xfId="10234"/>
    <cellStyle name="Percent 4 2 4 8 2" xfId="10235"/>
    <cellStyle name="Percent 4 2 4 9" xfId="10236"/>
    <cellStyle name="Percent 4 2 5 11" xfId="10237"/>
    <cellStyle name="Percent 4 2 5 10" xfId="10238"/>
    <cellStyle name="Percent 4 2 5 2" xfId="10239"/>
    <cellStyle name="Percent 4 2 5 2 2" xfId="10240"/>
    <cellStyle name="Percent 4 2 5 2 2 2" xfId="10241"/>
    <cellStyle name="Percent 4 2 5 2 3" xfId="10242"/>
    <cellStyle name="Percent 4 2 5 2 3 2" xfId="10243"/>
    <cellStyle name="Percent 4 2 5 2 4" xfId="10244"/>
    <cellStyle name="Percent 4 2 5 3" xfId="10245"/>
    <cellStyle name="Percent 4 2 5 3 2" xfId="10246"/>
    <cellStyle name="Percent 4 2 5 3 2 2" xfId="10247"/>
    <cellStyle name="Percent 4 2 5 3 3" xfId="10248"/>
    <cellStyle name="Percent 4 2 5 3 3 2" xfId="10249"/>
    <cellStyle name="Percent 4 2 5 3 4" xfId="10250"/>
    <cellStyle name="Percent 4 2 5 4" xfId="10251"/>
    <cellStyle name="Percent 4 2 5 4 2" xfId="10252"/>
    <cellStyle name="Percent 4 2 5 4 2 2" xfId="10253"/>
    <cellStyle name="Percent 4 2 5 4 3" xfId="10254"/>
    <cellStyle name="Percent 4 2 5 4 3 2" xfId="10255"/>
    <cellStyle name="Percent 4 2 5 4 4" xfId="10256"/>
    <cellStyle name="Percent 4 2 5 4 4 2" xfId="10257"/>
    <cellStyle name="Percent 4 2 5 4 5" xfId="10258"/>
    <cellStyle name="Percent 4 2 5 5" xfId="10259"/>
    <cellStyle name="Percent 4 2 5 5 2" xfId="10260"/>
    <cellStyle name="Percent 4 2 5 5 2 2" xfId="10261"/>
    <cellStyle name="Percent 4 2 5 5 3" xfId="10262"/>
    <cellStyle name="Percent 4 2 5 5 3 2" xfId="10263"/>
    <cellStyle name="Percent 4 2 5 5 4" xfId="10264"/>
    <cellStyle name="Percent 4 2 5 6" xfId="10265"/>
    <cellStyle name="Percent 4 2 5 6 2" xfId="10266"/>
    <cellStyle name="Percent 4 2 5 7" xfId="10267"/>
    <cellStyle name="Percent 4 2 5 7 2" xfId="10268"/>
    <cellStyle name="Percent 4 2 5 8" xfId="10269"/>
    <cellStyle name="Percent 4 2 5 8 2" xfId="10270"/>
    <cellStyle name="Percent 4 2 5 9" xfId="10271"/>
    <cellStyle name="Percent 4 2 6 11" xfId="10272"/>
    <cellStyle name="Percent 4 2 6 10" xfId="10273"/>
    <cellStyle name="Percent 4 2 6 2 5" xfId="10274"/>
    <cellStyle name="Percent 4 2 6 2 2" xfId="10275"/>
    <cellStyle name="Percent 4 2 6 2 2 2" xfId="10276"/>
    <cellStyle name="Percent 4 2 6 2 3" xfId="10277"/>
    <cellStyle name="Percent 4 2 6 2 3 2" xfId="10278"/>
    <cellStyle name="Percent 4 2 6 2 4" xfId="10279"/>
    <cellStyle name="Percent 4 2 6 3" xfId="10280"/>
    <cellStyle name="Percent 4 2 6 3 2" xfId="10281"/>
    <cellStyle name="Percent 4 2 6 3 2 2" xfId="10282"/>
    <cellStyle name="Percent 4 2 6 3 3" xfId="10283"/>
    <cellStyle name="Percent 4 2 6 3 3 2" xfId="10284"/>
    <cellStyle name="Percent 4 2 6 3 4" xfId="10285"/>
    <cellStyle name="Percent 4 2 6 4" xfId="10286"/>
    <cellStyle name="Percent 4 2 6 4 2" xfId="10287"/>
    <cellStyle name="Percent 4 2 6 4 2 2" xfId="10288"/>
    <cellStyle name="Percent 4 2 6 4 3" xfId="10289"/>
    <cellStyle name="Percent 4 2 6 4 3 2" xfId="10290"/>
    <cellStyle name="Percent 4 2 6 4 4" xfId="10291"/>
    <cellStyle name="Percent 4 2 6 4 4 2" xfId="10292"/>
    <cellStyle name="Percent 4 2 6 4 5" xfId="10293"/>
    <cellStyle name="Percent 4 2 6 5" xfId="10294"/>
    <cellStyle name="Percent 4 2 6 5 2" xfId="10295"/>
    <cellStyle name="Percent 4 2 6 5 2 2" xfId="10296"/>
    <cellStyle name="Percent 4 2 6 5 3" xfId="10297"/>
    <cellStyle name="Percent 4 2 6 5 3 2" xfId="10298"/>
    <cellStyle name="Percent 4 2 6 5 4" xfId="10299"/>
    <cellStyle name="Percent 4 2 6 6" xfId="10300"/>
    <cellStyle name="Percent 4 2 6 6 2" xfId="10301"/>
    <cellStyle name="Percent 4 2 6 7" xfId="10302"/>
    <cellStyle name="Percent 4 2 6 7 2" xfId="10303"/>
    <cellStyle name="Percent 4 2 6 8" xfId="10304"/>
    <cellStyle name="Percent 4 2 6 8 2" xfId="10305"/>
    <cellStyle name="Percent 4 2 6 9" xfId="10306"/>
    <cellStyle name="Percent 4 2 7 11" xfId="10307"/>
    <cellStyle name="Percent 4 2 7 10" xfId="10308"/>
    <cellStyle name="Percent 4 2 7 2" xfId="10309"/>
    <cellStyle name="Percent 4 2 7 2 2" xfId="10310"/>
    <cellStyle name="Percent 4 2 7 2 2 2" xfId="10311"/>
    <cellStyle name="Percent 4 2 7 2 3" xfId="10312"/>
    <cellStyle name="Percent 4 2 7 2 3 2" xfId="10313"/>
    <cellStyle name="Percent 4 2 7 2 4" xfId="10314"/>
    <cellStyle name="Percent 4 2 7 3" xfId="10315"/>
    <cellStyle name="Percent 4 2 7 3 2" xfId="10316"/>
    <cellStyle name="Percent 4 2 7 3 2 2" xfId="10317"/>
    <cellStyle name="Percent 4 2 7 3 3" xfId="10318"/>
    <cellStyle name="Percent 4 2 7 3 3 2" xfId="10319"/>
    <cellStyle name="Percent 4 2 7 3 4" xfId="10320"/>
    <cellStyle name="Percent 4 2 7 4" xfId="10321"/>
    <cellStyle name="Percent 4 2 7 4 2" xfId="10322"/>
    <cellStyle name="Percent 4 2 7 4 2 2" xfId="10323"/>
    <cellStyle name="Percent 4 2 7 4 3" xfId="10324"/>
    <cellStyle name="Percent 4 2 7 4 3 2" xfId="10325"/>
    <cellStyle name="Percent 4 2 7 4 4" xfId="10326"/>
    <cellStyle name="Percent 4 2 7 4 4 2" xfId="10327"/>
    <cellStyle name="Percent 4 2 7 4 5" xfId="10328"/>
    <cellStyle name="Percent 4 2 7 5" xfId="10329"/>
    <cellStyle name="Percent 4 2 7 5 2" xfId="10330"/>
    <cellStyle name="Percent 4 2 7 5 2 2" xfId="10331"/>
    <cellStyle name="Percent 4 2 7 5 3" xfId="10332"/>
    <cellStyle name="Percent 4 2 7 5 3 2" xfId="10333"/>
    <cellStyle name="Percent 4 2 7 5 4" xfId="10334"/>
    <cellStyle name="Percent 4 2 7 6" xfId="10335"/>
    <cellStyle name="Percent 4 2 7 6 2" xfId="10336"/>
    <cellStyle name="Percent 4 2 7 7" xfId="10337"/>
    <cellStyle name="Percent 4 2 7 7 2" xfId="10338"/>
    <cellStyle name="Percent 4 2 7 8" xfId="10339"/>
    <cellStyle name="Percent 4 2 7 8 2" xfId="10340"/>
    <cellStyle name="Percent 4 2 7 9" xfId="10341"/>
    <cellStyle name="Percent 4 2 8 11" xfId="10342"/>
    <cellStyle name="Percent 4 2 8 10" xfId="10343"/>
    <cellStyle name="Percent 4 2 8 2" xfId="10344"/>
    <cellStyle name="Percent 4 2 8 2 2" xfId="10345"/>
    <cellStyle name="Percent 4 2 8 2 2 2" xfId="10346"/>
    <cellStyle name="Percent 4 2 8 2 3" xfId="10347"/>
    <cellStyle name="Percent 4 2 8 2 3 2" xfId="10348"/>
    <cellStyle name="Percent 4 2 8 2 4" xfId="10349"/>
    <cellStyle name="Percent 4 2 8 3" xfId="10350"/>
    <cellStyle name="Percent 4 2 8 3 2" xfId="10351"/>
    <cellStyle name="Percent 4 2 8 3 2 2" xfId="10352"/>
    <cellStyle name="Percent 4 2 8 3 3" xfId="10353"/>
    <cellStyle name="Percent 4 2 8 3 3 2" xfId="10354"/>
    <cellStyle name="Percent 4 2 8 3 4" xfId="10355"/>
    <cellStyle name="Percent 4 2 8 4" xfId="10356"/>
    <cellStyle name="Percent 4 2 8 4 2" xfId="10357"/>
    <cellStyle name="Percent 4 2 8 4 2 2" xfId="10358"/>
    <cellStyle name="Percent 4 2 8 4 3" xfId="10359"/>
    <cellStyle name="Percent 4 2 8 4 3 2" xfId="10360"/>
    <cellStyle name="Percent 4 2 8 4 4" xfId="10361"/>
    <cellStyle name="Percent 4 2 8 4 4 2" xfId="10362"/>
    <cellStyle name="Percent 4 2 8 4 5" xfId="10363"/>
    <cellStyle name="Percent 4 2 8 5" xfId="10364"/>
    <cellStyle name="Percent 4 2 8 5 2" xfId="10365"/>
    <cellStyle name="Percent 4 2 8 5 2 2" xfId="10366"/>
    <cellStyle name="Percent 4 2 8 5 3" xfId="10367"/>
    <cellStyle name="Percent 4 2 8 5 3 2" xfId="10368"/>
    <cellStyle name="Percent 4 2 8 5 4" xfId="10369"/>
    <cellStyle name="Percent 4 2 8 6" xfId="10370"/>
    <cellStyle name="Percent 4 2 8 6 2" xfId="10371"/>
    <cellStyle name="Percent 4 2 8 7" xfId="10372"/>
    <cellStyle name="Percent 4 2 8 7 2" xfId="10373"/>
    <cellStyle name="Percent 4 2 8 8" xfId="10374"/>
    <cellStyle name="Percent 4 2 8 8 2" xfId="10375"/>
    <cellStyle name="Percent 4 2 8 9" xfId="10376"/>
    <cellStyle name="Percent 4 2 9 6" xfId="10377"/>
    <cellStyle name="Percent 4 2 9 2" xfId="10378"/>
    <cellStyle name="Percent 4 2 9 2 2" xfId="10379"/>
    <cellStyle name="Percent 4 2 9 3" xfId="10380"/>
    <cellStyle name="Percent 4 2 9 3 2" xfId="10381"/>
    <cellStyle name="Percent 4 2 9 4" xfId="10382"/>
    <cellStyle name="Percent 4 2 9 5" xfId="10383"/>
    <cellStyle name="Percent 4 20 12" xfId="10384"/>
    <cellStyle name="Percent 4 20 10" xfId="10385"/>
    <cellStyle name="Percent 4 20 11" xfId="10386"/>
    <cellStyle name="Percent 4 20 2" xfId="10387"/>
    <cellStyle name="Percent 4 20 2 2" xfId="10388"/>
    <cellStyle name="Percent 4 20 2 2 2" xfId="10389"/>
    <cellStyle name="Percent 4 20 2 3" xfId="10390"/>
    <cellStyle name="Percent 4 20 2 3 2" xfId="10391"/>
    <cellStyle name="Percent 4 20 2 4" xfId="10392"/>
    <cellStyle name="Percent 4 20 2 5" xfId="10393"/>
    <cellStyle name="Percent 4 20 3" xfId="10394"/>
    <cellStyle name="Percent 4 20 3 2" xfId="10395"/>
    <cellStyle name="Percent 4 20 3 2 2" xfId="10396"/>
    <cellStyle name="Percent 4 20 3 3" xfId="10397"/>
    <cellStyle name="Percent 4 20 3 3 2" xfId="10398"/>
    <cellStyle name="Percent 4 20 3 4" xfId="10399"/>
    <cellStyle name="Percent 4 20 4" xfId="10400"/>
    <cellStyle name="Percent 4 20 4 2" xfId="10401"/>
    <cellStyle name="Percent 4 20 4 2 2" xfId="10402"/>
    <cellStyle name="Percent 4 20 4 3" xfId="10403"/>
    <cellStyle name="Percent 4 20 4 3 2" xfId="10404"/>
    <cellStyle name="Percent 4 20 4 4" xfId="10405"/>
    <cellStyle name="Percent 4 20 5" xfId="10406"/>
    <cellStyle name="Percent 4 20 5 2" xfId="10407"/>
    <cellStyle name="Percent 4 20 5 2 2" xfId="10408"/>
    <cellStyle name="Percent 4 20 5 3" xfId="10409"/>
    <cellStyle name="Percent 4 20 5 3 2" xfId="10410"/>
    <cellStyle name="Percent 4 20 5 4" xfId="10411"/>
    <cellStyle name="Percent 4 20 5 4 2" xfId="10412"/>
    <cellStyle name="Percent 4 20 5 5" xfId="10413"/>
    <cellStyle name="Percent 4 20 6" xfId="10414"/>
    <cellStyle name="Percent 4 20 6 2" xfId="10415"/>
    <cellStyle name="Percent 4 20 6 2 2" xfId="10416"/>
    <cellStyle name="Percent 4 20 6 3" xfId="10417"/>
    <cellStyle name="Percent 4 20 6 3 2" xfId="10418"/>
    <cellStyle name="Percent 4 20 6 4" xfId="10419"/>
    <cellStyle name="Percent 4 20 7" xfId="10420"/>
    <cellStyle name="Percent 4 20 7 2" xfId="10421"/>
    <cellStyle name="Percent 4 20 8" xfId="10422"/>
    <cellStyle name="Percent 4 20 8 2" xfId="10423"/>
    <cellStyle name="Percent 4 20 9" xfId="10424"/>
    <cellStyle name="Percent 4 20 9 2" xfId="10425"/>
    <cellStyle name="Percent 4 21 12" xfId="10426"/>
    <cellStyle name="Percent 4 21 10" xfId="10427"/>
    <cellStyle name="Percent 4 21 11" xfId="10428"/>
    <cellStyle name="Percent 4 21 2" xfId="10429"/>
    <cellStyle name="Percent 4 21 2 2" xfId="10430"/>
    <cellStyle name="Percent 4 21 2 2 2" xfId="10431"/>
    <cellStyle name="Percent 4 21 2 3" xfId="10432"/>
    <cellStyle name="Percent 4 21 2 3 2" xfId="10433"/>
    <cellStyle name="Percent 4 21 2 4" xfId="10434"/>
    <cellStyle name="Percent 4 21 2 5" xfId="10435"/>
    <cellStyle name="Percent 4 21 3" xfId="10436"/>
    <cellStyle name="Percent 4 21 3 2" xfId="10437"/>
    <cellStyle name="Percent 4 21 3 2 2" xfId="10438"/>
    <cellStyle name="Percent 4 21 3 3" xfId="10439"/>
    <cellStyle name="Percent 4 21 3 3 2" xfId="10440"/>
    <cellStyle name="Percent 4 21 3 4" xfId="10441"/>
    <cellStyle name="Percent 4 21 4" xfId="10442"/>
    <cellStyle name="Percent 4 21 4 2" xfId="10443"/>
    <cellStyle name="Percent 4 21 4 2 2" xfId="10444"/>
    <cellStyle name="Percent 4 21 4 3" xfId="10445"/>
    <cellStyle name="Percent 4 21 4 3 2" xfId="10446"/>
    <cellStyle name="Percent 4 21 4 4" xfId="10447"/>
    <cellStyle name="Percent 4 21 5" xfId="10448"/>
    <cellStyle name="Percent 4 21 5 2" xfId="10449"/>
    <cellStyle name="Percent 4 21 5 2 2" xfId="10450"/>
    <cellStyle name="Percent 4 21 5 3" xfId="10451"/>
    <cellStyle name="Percent 4 21 5 3 2" xfId="10452"/>
    <cellStyle name="Percent 4 21 5 4" xfId="10453"/>
    <cellStyle name="Percent 4 21 5 4 2" xfId="10454"/>
    <cellStyle name="Percent 4 21 5 5" xfId="10455"/>
    <cellStyle name="Percent 4 21 6" xfId="10456"/>
    <cellStyle name="Percent 4 21 6 2" xfId="10457"/>
    <cellStyle name="Percent 4 21 6 2 2" xfId="10458"/>
    <cellStyle name="Percent 4 21 6 3" xfId="10459"/>
    <cellStyle name="Percent 4 21 6 3 2" xfId="10460"/>
    <cellStyle name="Percent 4 21 6 4" xfId="10461"/>
    <cellStyle name="Percent 4 21 7" xfId="10462"/>
    <cellStyle name="Percent 4 21 7 2" xfId="10463"/>
    <cellStyle name="Percent 4 21 8" xfId="10464"/>
    <cellStyle name="Percent 4 21 8 2" xfId="10465"/>
    <cellStyle name="Percent 4 21 9" xfId="10466"/>
    <cellStyle name="Percent 4 21 9 2" xfId="10467"/>
    <cellStyle name="Percent 4 22 12" xfId="10468"/>
    <cellStyle name="Percent 4 22 10" xfId="10469"/>
    <cellStyle name="Percent 4 22 11" xfId="10470"/>
    <cellStyle name="Percent 4 22 2" xfId="10471"/>
    <cellStyle name="Percent 4 22 2 2" xfId="10472"/>
    <cellStyle name="Percent 4 22 2 2 2" xfId="10473"/>
    <cellStyle name="Percent 4 22 2 3" xfId="10474"/>
    <cellStyle name="Percent 4 22 2 3 2" xfId="10475"/>
    <cellStyle name="Percent 4 22 2 4" xfId="10476"/>
    <cellStyle name="Percent 4 22 2 5" xfId="10477"/>
    <cellStyle name="Percent 4 22 3" xfId="10478"/>
    <cellStyle name="Percent 4 22 3 2" xfId="10479"/>
    <cellStyle name="Percent 4 22 3 2 2" xfId="10480"/>
    <cellStyle name="Percent 4 22 3 3" xfId="10481"/>
    <cellStyle name="Percent 4 22 3 3 2" xfId="10482"/>
    <cellStyle name="Percent 4 22 3 4" xfId="10483"/>
    <cellStyle name="Percent 4 22 4" xfId="10484"/>
    <cellStyle name="Percent 4 22 4 2" xfId="10485"/>
    <cellStyle name="Percent 4 22 4 2 2" xfId="10486"/>
    <cellStyle name="Percent 4 22 4 3" xfId="10487"/>
    <cellStyle name="Percent 4 22 4 3 2" xfId="10488"/>
    <cellStyle name="Percent 4 22 4 4" xfId="10489"/>
    <cellStyle name="Percent 4 22 5" xfId="10490"/>
    <cellStyle name="Percent 4 22 5 2" xfId="10491"/>
    <cellStyle name="Percent 4 22 5 2 2" xfId="10492"/>
    <cellStyle name="Percent 4 22 5 3" xfId="10493"/>
    <cellStyle name="Percent 4 22 5 3 2" xfId="10494"/>
    <cellStyle name="Percent 4 22 5 4" xfId="10495"/>
    <cellStyle name="Percent 4 22 5 4 2" xfId="10496"/>
    <cellStyle name="Percent 4 22 5 5" xfId="10497"/>
    <cellStyle name="Percent 4 22 6" xfId="10498"/>
    <cellStyle name="Percent 4 22 6 2" xfId="10499"/>
    <cellStyle name="Percent 4 22 6 2 2" xfId="10500"/>
    <cellStyle name="Percent 4 22 6 3" xfId="10501"/>
    <cellStyle name="Percent 4 22 6 3 2" xfId="10502"/>
    <cellStyle name="Percent 4 22 6 4" xfId="10503"/>
    <cellStyle name="Percent 4 22 7" xfId="10504"/>
    <cellStyle name="Percent 4 22 7 2" xfId="10505"/>
    <cellStyle name="Percent 4 22 8" xfId="10506"/>
    <cellStyle name="Percent 4 22 8 2" xfId="10507"/>
    <cellStyle name="Percent 4 22 9" xfId="10508"/>
    <cellStyle name="Percent 4 22 9 2" xfId="10509"/>
    <cellStyle name="Percent 4 23 12" xfId="10510"/>
    <cellStyle name="Percent 4 23 10" xfId="10511"/>
    <cellStyle name="Percent 4 23 11" xfId="10512"/>
    <cellStyle name="Percent 4 23 2" xfId="10513"/>
    <cellStyle name="Percent 4 23 2 2" xfId="10514"/>
    <cellStyle name="Percent 4 23 2 2 2" xfId="10515"/>
    <cellStyle name="Percent 4 23 2 3" xfId="10516"/>
    <cellStyle name="Percent 4 23 2 3 2" xfId="10517"/>
    <cellStyle name="Percent 4 23 2 4" xfId="10518"/>
    <cellStyle name="Percent 4 23 2 5" xfId="10519"/>
    <cellStyle name="Percent 4 23 3" xfId="10520"/>
    <cellStyle name="Percent 4 23 3 2" xfId="10521"/>
    <cellStyle name="Percent 4 23 3 2 2" xfId="10522"/>
    <cellStyle name="Percent 4 23 3 3" xfId="10523"/>
    <cellStyle name="Percent 4 23 3 3 2" xfId="10524"/>
    <cellStyle name="Percent 4 23 3 4" xfId="10525"/>
    <cellStyle name="Percent 4 23 4" xfId="10526"/>
    <cellStyle name="Percent 4 23 4 2" xfId="10527"/>
    <cellStyle name="Percent 4 23 4 2 2" xfId="10528"/>
    <cellStyle name="Percent 4 23 4 3" xfId="10529"/>
    <cellStyle name="Percent 4 23 4 3 2" xfId="10530"/>
    <cellStyle name="Percent 4 23 4 4" xfId="10531"/>
    <cellStyle name="Percent 4 23 5" xfId="10532"/>
    <cellStyle name="Percent 4 23 5 2" xfId="10533"/>
    <cellStyle name="Percent 4 23 5 2 2" xfId="10534"/>
    <cellStyle name="Percent 4 23 5 3" xfId="10535"/>
    <cellStyle name="Percent 4 23 5 3 2" xfId="10536"/>
    <cellStyle name="Percent 4 23 5 4" xfId="10537"/>
    <cellStyle name="Percent 4 23 5 4 2" xfId="10538"/>
    <cellStyle name="Percent 4 23 5 5" xfId="10539"/>
    <cellStyle name="Percent 4 23 6" xfId="10540"/>
    <cellStyle name="Percent 4 23 6 2" xfId="10541"/>
    <cellStyle name="Percent 4 23 6 2 2" xfId="10542"/>
    <cellStyle name="Percent 4 23 6 3" xfId="10543"/>
    <cellStyle name="Percent 4 23 6 3 2" xfId="10544"/>
    <cellStyle name="Percent 4 23 6 4" xfId="10545"/>
    <cellStyle name="Percent 4 23 7" xfId="10546"/>
    <cellStyle name="Percent 4 23 7 2" xfId="10547"/>
    <cellStyle name="Percent 4 23 8" xfId="10548"/>
    <cellStyle name="Percent 4 23 8 2" xfId="10549"/>
    <cellStyle name="Percent 4 23 9" xfId="10550"/>
    <cellStyle name="Percent 4 23 9 2" xfId="10551"/>
    <cellStyle name="Percent 4 24 12" xfId="10552"/>
    <cellStyle name="Percent 4 24 10" xfId="10553"/>
    <cellStyle name="Percent 4 24 11" xfId="10554"/>
    <cellStyle name="Percent 4 24 2" xfId="10555"/>
    <cellStyle name="Percent 4 24 2 2" xfId="10556"/>
    <cellStyle name="Percent 4 24 2 2 2" xfId="10557"/>
    <cellStyle name="Percent 4 24 2 3" xfId="10558"/>
    <cellStyle name="Percent 4 24 2 3 2" xfId="10559"/>
    <cellStyle name="Percent 4 24 2 4" xfId="10560"/>
    <cellStyle name="Percent 4 24 2 5" xfId="10561"/>
    <cellStyle name="Percent 4 24 3" xfId="10562"/>
    <cellStyle name="Percent 4 24 3 2" xfId="10563"/>
    <cellStyle name="Percent 4 24 3 2 2" xfId="10564"/>
    <cellStyle name="Percent 4 24 3 3" xfId="10565"/>
    <cellStyle name="Percent 4 24 3 3 2" xfId="10566"/>
    <cellStyle name="Percent 4 24 3 4" xfId="10567"/>
    <cellStyle name="Percent 4 24 4" xfId="10568"/>
    <cellStyle name="Percent 4 24 4 2" xfId="10569"/>
    <cellStyle name="Percent 4 24 4 2 2" xfId="10570"/>
    <cellStyle name="Percent 4 24 4 3" xfId="10571"/>
    <cellStyle name="Percent 4 24 4 3 2" xfId="10572"/>
    <cellStyle name="Percent 4 24 4 4" xfId="10573"/>
    <cellStyle name="Percent 4 24 5" xfId="10574"/>
    <cellStyle name="Percent 4 24 5 2" xfId="10575"/>
    <cellStyle name="Percent 4 24 5 2 2" xfId="10576"/>
    <cellStyle name="Percent 4 24 5 3" xfId="10577"/>
    <cellStyle name="Percent 4 24 5 3 2" xfId="10578"/>
    <cellStyle name="Percent 4 24 5 4" xfId="10579"/>
    <cellStyle name="Percent 4 24 5 4 2" xfId="10580"/>
    <cellStyle name="Percent 4 24 5 5" xfId="10581"/>
    <cellStyle name="Percent 4 24 6" xfId="10582"/>
    <cellStyle name="Percent 4 24 6 2" xfId="10583"/>
    <cellStyle name="Percent 4 24 6 2 2" xfId="10584"/>
    <cellStyle name="Percent 4 24 6 3" xfId="10585"/>
    <cellStyle name="Percent 4 24 6 3 2" xfId="10586"/>
    <cellStyle name="Percent 4 24 6 4" xfId="10587"/>
    <cellStyle name="Percent 4 24 7" xfId="10588"/>
    <cellStyle name="Percent 4 24 7 2" xfId="10589"/>
    <cellStyle name="Percent 4 24 8" xfId="10590"/>
    <cellStyle name="Percent 4 24 8 2" xfId="10591"/>
    <cellStyle name="Percent 4 24 9" xfId="10592"/>
    <cellStyle name="Percent 4 24 9 2" xfId="10593"/>
    <cellStyle name="Percent 4 25 12" xfId="10594"/>
    <cellStyle name="Percent 4 25 10" xfId="10595"/>
    <cellStyle name="Percent 4 25 11" xfId="10596"/>
    <cellStyle name="Percent 4 25 2" xfId="10597"/>
    <cellStyle name="Percent 4 25 2 2" xfId="10598"/>
    <cellStyle name="Percent 4 25 2 2 2" xfId="10599"/>
    <cellStyle name="Percent 4 25 2 3" xfId="10600"/>
    <cellStyle name="Percent 4 25 2 3 2" xfId="10601"/>
    <cellStyle name="Percent 4 25 2 4" xfId="10602"/>
    <cellStyle name="Percent 4 25 2 5" xfId="10603"/>
    <cellStyle name="Percent 4 25 3" xfId="10604"/>
    <cellStyle name="Percent 4 25 3 2" xfId="10605"/>
    <cellStyle name="Percent 4 25 3 2 2" xfId="10606"/>
    <cellStyle name="Percent 4 25 3 3" xfId="10607"/>
    <cellStyle name="Percent 4 25 3 3 2" xfId="10608"/>
    <cellStyle name="Percent 4 25 3 4" xfId="10609"/>
    <cellStyle name="Percent 4 25 4" xfId="10610"/>
    <cellStyle name="Percent 4 25 4 2" xfId="10611"/>
    <cellStyle name="Percent 4 25 4 2 2" xfId="10612"/>
    <cellStyle name="Percent 4 25 4 3" xfId="10613"/>
    <cellStyle name="Percent 4 25 4 3 2" xfId="10614"/>
    <cellStyle name="Percent 4 25 4 4" xfId="10615"/>
    <cellStyle name="Percent 4 25 5" xfId="10616"/>
    <cellStyle name="Percent 4 25 5 2" xfId="10617"/>
    <cellStyle name="Percent 4 25 5 2 2" xfId="10618"/>
    <cellStyle name="Percent 4 25 5 3" xfId="10619"/>
    <cellStyle name="Percent 4 25 5 3 2" xfId="10620"/>
    <cellStyle name="Percent 4 25 5 4" xfId="10621"/>
    <cellStyle name="Percent 4 25 5 4 2" xfId="10622"/>
    <cellStyle name="Percent 4 25 5 5" xfId="10623"/>
    <cellStyle name="Percent 4 25 6" xfId="10624"/>
    <cellStyle name="Percent 4 25 6 2" xfId="10625"/>
    <cellStyle name="Percent 4 25 6 2 2" xfId="10626"/>
    <cellStyle name="Percent 4 25 6 3" xfId="10627"/>
    <cellStyle name="Percent 4 25 6 3 2" xfId="10628"/>
    <cellStyle name="Percent 4 25 6 4" xfId="10629"/>
    <cellStyle name="Percent 4 25 7" xfId="10630"/>
    <cellStyle name="Percent 4 25 7 2" xfId="10631"/>
    <cellStyle name="Percent 4 25 8" xfId="10632"/>
    <cellStyle name="Percent 4 25 8 2" xfId="10633"/>
    <cellStyle name="Percent 4 25 9" xfId="10634"/>
    <cellStyle name="Percent 4 25 9 2" xfId="10635"/>
    <cellStyle name="Percent 4 26 12" xfId="10636"/>
    <cellStyle name="Percent 4 26 10" xfId="10637"/>
    <cellStyle name="Percent 4 26 11" xfId="10638"/>
    <cellStyle name="Percent 4 26 2" xfId="10639"/>
    <cellStyle name="Percent 4 26 2 2" xfId="10640"/>
    <cellStyle name="Percent 4 26 2 2 2" xfId="10641"/>
    <cellStyle name="Percent 4 26 2 3" xfId="10642"/>
    <cellStyle name="Percent 4 26 2 3 2" xfId="10643"/>
    <cellStyle name="Percent 4 26 2 4" xfId="10644"/>
    <cellStyle name="Percent 4 26 2 5" xfId="10645"/>
    <cellStyle name="Percent 4 26 3" xfId="10646"/>
    <cellStyle name="Percent 4 26 3 2" xfId="10647"/>
    <cellStyle name="Percent 4 26 3 2 2" xfId="10648"/>
    <cellStyle name="Percent 4 26 3 3" xfId="10649"/>
    <cellStyle name="Percent 4 26 3 3 2" xfId="10650"/>
    <cellStyle name="Percent 4 26 3 4" xfId="10651"/>
    <cellStyle name="Percent 4 26 4" xfId="10652"/>
    <cellStyle name="Percent 4 26 4 2" xfId="10653"/>
    <cellStyle name="Percent 4 26 4 2 2" xfId="10654"/>
    <cellStyle name="Percent 4 26 4 3" xfId="10655"/>
    <cellStyle name="Percent 4 26 4 3 2" xfId="10656"/>
    <cellStyle name="Percent 4 26 4 4" xfId="10657"/>
    <cellStyle name="Percent 4 26 5" xfId="10658"/>
    <cellStyle name="Percent 4 26 5 2" xfId="10659"/>
    <cellStyle name="Percent 4 26 5 2 2" xfId="10660"/>
    <cellStyle name="Percent 4 26 5 3" xfId="10661"/>
    <cellStyle name="Percent 4 26 5 3 2" xfId="10662"/>
    <cellStyle name="Percent 4 26 5 4" xfId="10663"/>
    <cellStyle name="Percent 4 26 5 4 2" xfId="10664"/>
    <cellStyle name="Percent 4 26 5 5" xfId="10665"/>
    <cellStyle name="Percent 4 26 6" xfId="10666"/>
    <cellStyle name="Percent 4 26 6 2" xfId="10667"/>
    <cellStyle name="Percent 4 26 6 2 2" xfId="10668"/>
    <cellStyle name="Percent 4 26 6 3" xfId="10669"/>
    <cellStyle name="Percent 4 26 6 3 2" xfId="10670"/>
    <cellStyle name="Percent 4 26 6 4" xfId="10671"/>
    <cellStyle name="Percent 4 26 7" xfId="10672"/>
    <cellStyle name="Percent 4 26 7 2" xfId="10673"/>
    <cellStyle name="Percent 4 26 8" xfId="10674"/>
    <cellStyle name="Percent 4 26 8 2" xfId="10675"/>
    <cellStyle name="Percent 4 26 9" xfId="10676"/>
    <cellStyle name="Percent 4 26 9 2" xfId="10677"/>
    <cellStyle name="Percent 4 27 12" xfId="10678"/>
    <cellStyle name="Percent 4 27 10" xfId="10679"/>
    <cellStyle name="Percent 4 27 11" xfId="10680"/>
    <cellStyle name="Percent 4 27 2" xfId="10681"/>
    <cellStyle name="Percent 4 27 2 2" xfId="10682"/>
    <cellStyle name="Percent 4 27 2 2 2" xfId="10683"/>
    <cellStyle name="Percent 4 27 2 3" xfId="10684"/>
    <cellStyle name="Percent 4 27 2 3 2" xfId="10685"/>
    <cellStyle name="Percent 4 27 2 4" xfId="10686"/>
    <cellStyle name="Percent 4 27 2 5" xfId="10687"/>
    <cellStyle name="Percent 4 27 3" xfId="10688"/>
    <cellStyle name="Percent 4 27 3 2" xfId="10689"/>
    <cellStyle name="Percent 4 27 3 2 2" xfId="10690"/>
    <cellStyle name="Percent 4 27 3 3" xfId="10691"/>
    <cellStyle name="Percent 4 27 3 3 2" xfId="10692"/>
    <cellStyle name="Percent 4 27 3 4" xfId="10693"/>
    <cellStyle name="Percent 4 27 4" xfId="10694"/>
    <cellStyle name="Percent 4 27 4 2" xfId="10695"/>
    <cellStyle name="Percent 4 27 4 2 2" xfId="10696"/>
    <cellStyle name="Percent 4 27 4 3" xfId="10697"/>
    <cellStyle name="Percent 4 27 4 3 2" xfId="10698"/>
    <cellStyle name="Percent 4 27 4 4" xfId="10699"/>
    <cellStyle name="Percent 4 27 5" xfId="10700"/>
    <cellStyle name="Percent 4 27 5 2" xfId="10701"/>
    <cellStyle name="Percent 4 27 5 2 2" xfId="10702"/>
    <cellStyle name="Percent 4 27 5 3" xfId="10703"/>
    <cellStyle name="Percent 4 27 5 3 2" xfId="10704"/>
    <cellStyle name="Percent 4 27 5 4" xfId="10705"/>
    <cellStyle name="Percent 4 27 5 4 2" xfId="10706"/>
    <cellStyle name="Percent 4 27 5 5" xfId="10707"/>
    <cellStyle name="Percent 4 27 6" xfId="10708"/>
    <cellStyle name="Percent 4 27 6 2" xfId="10709"/>
    <cellStyle name="Percent 4 27 6 2 2" xfId="10710"/>
    <cellStyle name="Percent 4 27 6 3" xfId="10711"/>
    <cellStyle name="Percent 4 27 6 3 2" xfId="10712"/>
    <cellStyle name="Percent 4 27 6 4" xfId="10713"/>
    <cellStyle name="Percent 4 27 7" xfId="10714"/>
    <cellStyle name="Percent 4 27 7 2" xfId="10715"/>
    <cellStyle name="Percent 4 27 8" xfId="10716"/>
    <cellStyle name="Percent 4 27 8 2" xfId="10717"/>
    <cellStyle name="Percent 4 27 9" xfId="10718"/>
    <cellStyle name="Percent 4 27 9 2" xfId="10719"/>
    <cellStyle name="Percent 4 28 12" xfId="10720"/>
    <cellStyle name="Percent 4 28 10" xfId="10721"/>
    <cellStyle name="Percent 4 28 11" xfId="10722"/>
    <cellStyle name="Percent 4 28 2" xfId="10723"/>
    <cellStyle name="Percent 4 28 2 2" xfId="10724"/>
    <cellStyle name="Percent 4 28 2 2 2" xfId="10725"/>
    <cellStyle name="Percent 4 28 2 3" xfId="10726"/>
    <cellStyle name="Percent 4 28 2 3 2" xfId="10727"/>
    <cellStyle name="Percent 4 28 2 4" xfId="10728"/>
    <cellStyle name="Percent 4 28 2 5" xfId="10729"/>
    <cellStyle name="Percent 4 28 3" xfId="10730"/>
    <cellStyle name="Percent 4 28 3 2" xfId="10731"/>
    <cellStyle name="Percent 4 28 3 2 2" xfId="10732"/>
    <cellStyle name="Percent 4 28 3 3" xfId="10733"/>
    <cellStyle name="Percent 4 28 3 3 2" xfId="10734"/>
    <cellStyle name="Percent 4 28 3 4" xfId="10735"/>
    <cellStyle name="Percent 4 28 4" xfId="10736"/>
    <cellStyle name="Percent 4 28 4 2" xfId="10737"/>
    <cellStyle name="Percent 4 28 4 2 2" xfId="10738"/>
    <cellStyle name="Percent 4 28 4 3" xfId="10739"/>
    <cellStyle name="Percent 4 28 4 3 2" xfId="10740"/>
    <cellStyle name="Percent 4 28 4 4" xfId="10741"/>
    <cellStyle name="Percent 4 28 5" xfId="10742"/>
    <cellStyle name="Percent 4 28 5 2" xfId="10743"/>
    <cellStyle name="Percent 4 28 5 2 2" xfId="10744"/>
    <cellStyle name="Percent 4 28 5 3" xfId="10745"/>
    <cellStyle name="Percent 4 28 5 3 2" xfId="10746"/>
    <cellStyle name="Percent 4 28 5 4" xfId="10747"/>
    <cellStyle name="Percent 4 28 5 4 2" xfId="10748"/>
    <cellStyle name="Percent 4 28 5 5" xfId="10749"/>
    <cellStyle name="Percent 4 28 6" xfId="10750"/>
    <cellStyle name="Percent 4 28 6 2" xfId="10751"/>
    <cellStyle name="Percent 4 28 6 2 2" xfId="10752"/>
    <cellStyle name="Percent 4 28 6 3" xfId="10753"/>
    <cellStyle name="Percent 4 28 6 3 2" xfId="10754"/>
    <cellStyle name="Percent 4 28 6 4" xfId="10755"/>
    <cellStyle name="Percent 4 28 7" xfId="10756"/>
    <cellStyle name="Percent 4 28 7 2" xfId="10757"/>
    <cellStyle name="Percent 4 28 8" xfId="10758"/>
    <cellStyle name="Percent 4 28 8 2" xfId="10759"/>
    <cellStyle name="Percent 4 28 9" xfId="10760"/>
    <cellStyle name="Percent 4 28 9 2" xfId="10761"/>
    <cellStyle name="Percent 4 29 12" xfId="10762"/>
    <cellStyle name="Percent 4 29 10" xfId="10763"/>
    <cellStyle name="Percent 4 29 11" xfId="10764"/>
    <cellStyle name="Percent 4 29 2 6" xfId="10765"/>
    <cellStyle name="Percent 4 29 2 2" xfId="10766"/>
    <cellStyle name="Percent 4 29 2 2 2" xfId="10767"/>
    <cellStyle name="Percent 4 29 2 2 3" xfId="10768"/>
    <cellStyle name="Percent 4 29 2 3" xfId="10769"/>
    <cellStyle name="Percent 4 29 2 3 2" xfId="10770"/>
    <cellStyle name="Percent 4 29 2 4" xfId="10771"/>
    <cellStyle name="Percent 4 29 2 5" xfId="10772"/>
    <cellStyle name="Percent 4 29 3" xfId="10773"/>
    <cellStyle name="Percent 4 29 3 2" xfId="10774"/>
    <cellStyle name="Percent 4 29 3 2 2" xfId="10775"/>
    <cellStyle name="Percent 4 29 3 3" xfId="10776"/>
    <cellStyle name="Percent 4 29 3 3 2" xfId="10777"/>
    <cellStyle name="Percent 4 29 3 4" xfId="10778"/>
    <cellStyle name="Percent 4 29 3 5" xfId="10779"/>
    <cellStyle name="Percent 4 29 4" xfId="10780"/>
    <cellStyle name="Percent 4 29 4 2" xfId="10781"/>
    <cellStyle name="Percent 4 29 4 2 2" xfId="10782"/>
    <cellStyle name="Percent 4 29 4 3" xfId="10783"/>
    <cellStyle name="Percent 4 29 4 3 2" xfId="10784"/>
    <cellStyle name="Percent 4 29 4 4" xfId="10785"/>
    <cellStyle name="Percent 4 29 4 5" xfId="10786"/>
    <cellStyle name="Percent 4 29 5" xfId="10787"/>
    <cellStyle name="Percent 4 29 5 2" xfId="10788"/>
    <cellStyle name="Percent 4 29 5 2 2" xfId="10789"/>
    <cellStyle name="Percent 4 29 5 3" xfId="10790"/>
    <cellStyle name="Percent 4 29 5 3 2" xfId="10791"/>
    <cellStyle name="Percent 4 29 5 4" xfId="10792"/>
    <cellStyle name="Percent 4 29 5 4 2" xfId="10793"/>
    <cellStyle name="Percent 4 29 5 5" xfId="10794"/>
    <cellStyle name="Percent 4 29 6" xfId="10795"/>
    <cellStyle name="Percent 4 29 6 2" xfId="10796"/>
    <cellStyle name="Percent 4 29 6 2 2" xfId="10797"/>
    <cellStyle name="Percent 4 29 6 3" xfId="10798"/>
    <cellStyle name="Percent 4 29 6 3 2" xfId="10799"/>
    <cellStyle name="Percent 4 29 6 4" xfId="10800"/>
    <cellStyle name="Percent 4 29 7" xfId="10801"/>
    <cellStyle name="Percent 4 29 7 2" xfId="10802"/>
    <cellStyle name="Percent 4 29 8" xfId="10803"/>
    <cellStyle name="Percent 4 29 8 2" xfId="10804"/>
    <cellStyle name="Percent 4 29 9" xfId="10805"/>
    <cellStyle name="Percent 4 29 9 2" xfId="10806"/>
    <cellStyle name="Percent 4 3 19" xfId="10807"/>
    <cellStyle name="Percent 4 3 10" xfId="10808"/>
    <cellStyle name="Percent 4 3 10 2" xfId="10809"/>
    <cellStyle name="Percent 4 3 10 2 2" xfId="10810"/>
    <cellStyle name="Percent 4 3 10 3" xfId="10811"/>
    <cellStyle name="Percent 4 3 10 3 2" xfId="10812"/>
    <cellStyle name="Percent 4 3 10 4" xfId="10813"/>
    <cellStyle name="Percent 4 3 11" xfId="10814"/>
    <cellStyle name="Percent 4 3 11 2" xfId="10815"/>
    <cellStyle name="Percent 4 3 11 2 2" xfId="10816"/>
    <cellStyle name="Percent 4 3 11 3" xfId="10817"/>
    <cellStyle name="Percent 4 3 11 3 2" xfId="10818"/>
    <cellStyle name="Percent 4 3 11 4" xfId="10819"/>
    <cellStyle name="Percent 4 3 12" xfId="10820"/>
    <cellStyle name="Percent 4 3 12 2" xfId="10821"/>
    <cellStyle name="Percent 4 3 12 2 2" xfId="10822"/>
    <cellStyle name="Percent 4 3 12 3" xfId="10823"/>
    <cellStyle name="Percent 4 3 12 3 2" xfId="10824"/>
    <cellStyle name="Percent 4 3 12 4" xfId="10825"/>
    <cellStyle name="Percent 4 3 12 4 2" xfId="10826"/>
    <cellStyle name="Percent 4 3 12 5" xfId="10827"/>
    <cellStyle name="Percent 4 3 13" xfId="10828"/>
    <cellStyle name="Percent 4 3 13 2" xfId="10829"/>
    <cellStyle name="Percent 4 3 13 2 2" xfId="10830"/>
    <cellStyle name="Percent 4 3 13 3" xfId="10831"/>
    <cellStyle name="Percent 4 3 13 3 2" xfId="10832"/>
    <cellStyle name="Percent 4 3 13 4" xfId="10833"/>
    <cellStyle name="Percent 4 3 14" xfId="10834"/>
    <cellStyle name="Percent 4 3 14 2" xfId="10835"/>
    <cellStyle name="Percent 4 3 15" xfId="10836"/>
    <cellStyle name="Percent 4 3 15 2" xfId="10837"/>
    <cellStyle name="Percent 4 3 16" xfId="10838"/>
    <cellStyle name="Percent 4 3 16 2" xfId="10839"/>
    <cellStyle name="Percent 4 3 17" xfId="10840"/>
    <cellStyle name="Percent 4 3 18" xfId="10841"/>
    <cellStyle name="Percent 4 3 2 11" xfId="10842"/>
    <cellStyle name="Percent 4 3 2 10" xfId="10843"/>
    <cellStyle name="Percent 4 3 2 2" xfId="10844"/>
    <cellStyle name="Percent 4 3 2 2 2" xfId="10845"/>
    <cellStyle name="Percent 4 3 2 2 2 2" xfId="10846"/>
    <cellStyle name="Percent 4 3 2 2 3" xfId="10847"/>
    <cellStyle name="Percent 4 3 2 2 3 2" xfId="10848"/>
    <cellStyle name="Percent 4 3 2 2 4" xfId="10849"/>
    <cellStyle name="Percent 4 3 2 3" xfId="10850"/>
    <cellStyle name="Percent 4 3 2 3 2" xfId="10851"/>
    <cellStyle name="Percent 4 3 2 3 2 2" xfId="10852"/>
    <cellStyle name="Percent 4 3 2 3 3" xfId="10853"/>
    <cellStyle name="Percent 4 3 2 3 3 2" xfId="10854"/>
    <cellStyle name="Percent 4 3 2 3 4" xfId="10855"/>
    <cellStyle name="Percent 4 3 2 4" xfId="10856"/>
    <cellStyle name="Percent 4 3 2 4 2" xfId="10857"/>
    <cellStyle name="Percent 4 3 2 4 2 2" xfId="10858"/>
    <cellStyle name="Percent 4 3 2 4 3" xfId="10859"/>
    <cellStyle name="Percent 4 3 2 4 3 2" xfId="10860"/>
    <cellStyle name="Percent 4 3 2 4 4" xfId="10861"/>
    <cellStyle name="Percent 4 3 2 4 4 2" xfId="10862"/>
    <cellStyle name="Percent 4 3 2 4 5" xfId="10863"/>
    <cellStyle name="Percent 4 3 2 5" xfId="10864"/>
    <cellStyle name="Percent 4 3 2 5 2" xfId="10865"/>
    <cellStyle name="Percent 4 3 2 5 2 2" xfId="10866"/>
    <cellStyle name="Percent 4 3 2 5 3" xfId="10867"/>
    <cellStyle name="Percent 4 3 2 5 3 2" xfId="10868"/>
    <cellStyle name="Percent 4 3 2 5 4" xfId="10869"/>
    <cellStyle name="Percent 4 3 2 6" xfId="10870"/>
    <cellStyle name="Percent 4 3 2 6 2" xfId="10871"/>
    <cellStyle name="Percent 4 3 2 7" xfId="10872"/>
    <cellStyle name="Percent 4 3 2 7 2" xfId="10873"/>
    <cellStyle name="Percent 4 3 2 8" xfId="10874"/>
    <cellStyle name="Percent 4 3 2 8 2" xfId="10875"/>
    <cellStyle name="Percent 4 3 2 9" xfId="10876"/>
    <cellStyle name="Percent 4 3 3 11" xfId="10877"/>
    <cellStyle name="Percent 4 3 3 10" xfId="10878"/>
    <cellStyle name="Percent 4 3 3 2" xfId="10879"/>
    <cellStyle name="Percent 4 3 3 2 2" xfId="10880"/>
    <cellStyle name="Percent 4 3 3 2 2 2" xfId="10881"/>
    <cellStyle name="Percent 4 3 3 2 3" xfId="10882"/>
    <cellStyle name="Percent 4 3 3 2 3 2" xfId="10883"/>
    <cellStyle name="Percent 4 3 3 2 4" xfId="10884"/>
    <cellStyle name="Percent 4 3 3 3" xfId="10885"/>
    <cellStyle name="Percent 4 3 3 3 2" xfId="10886"/>
    <cellStyle name="Percent 4 3 3 3 2 2" xfId="10887"/>
    <cellStyle name="Percent 4 3 3 3 3" xfId="10888"/>
    <cellStyle name="Percent 4 3 3 3 3 2" xfId="10889"/>
    <cellStyle name="Percent 4 3 3 3 4" xfId="10890"/>
    <cellStyle name="Percent 4 3 3 4" xfId="10891"/>
    <cellStyle name="Percent 4 3 3 4 2" xfId="10892"/>
    <cellStyle name="Percent 4 3 3 4 2 2" xfId="10893"/>
    <cellStyle name="Percent 4 3 3 4 3" xfId="10894"/>
    <cellStyle name="Percent 4 3 3 4 3 2" xfId="10895"/>
    <cellStyle name="Percent 4 3 3 4 4" xfId="10896"/>
    <cellStyle name="Percent 4 3 3 4 4 2" xfId="10897"/>
    <cellStyle name="Percent 4 3 3 4 5" xfId="10898"/>
    <cellStyle name="Percent 4 3 3 5" xfId="10899"/>
    <cellStyle name="Percent 4 3 3 5 2" xfId="10900"/>
    <cellStyle name="Percent 4 3 3 5 2 2" xfId="10901"/>
    <cellStyle name="Percent 4 3 3 5 3" xfId="10902"/>
    <cellStyle name="Percent 4 3 3 5 3 2" xfId="10903"/>
    <cellStyle name="Percent 4 3 3 5 4" xfId="10904"/>
    <cellStyle name="Percent 4 3 3 6" xfId="10905"/>
    <cellStyle name="Percent 4 3 3 6 2" xfId="10906"/>
    <cellStyle name="Percent 4 3 3 7" xfId="10907"/>
    <cellStyle name="Percent 4 3 3 7 2" xfId="10908"/>
    <cellStyle name="Percent 4 3 3 8" xfId="10909"/>
    <cellStyle name="Percent 4 3 3 8 2" xfId="10910"/>
    <cellStyle name="Percent 4 3 3 9" xfId="10911"/>
    <cellStyle name="Percent 4 3 4 11" xfId="10912"/>
    <cellStyle name="Percent 4 3 4 10" xfId="10913"/>
    <cellStyle name="Percent 4 3 4 2" xfId="10914"/>
    <cellStyle name="Percent 4 3 4 2 2" xfId="10915"/>
    <cellStyle name="Percent 4 3 4 2 2 2" xfId="10916"/>
    <cellStyle name="Percent 4 3 4 2 3" xfId="10917"/>
    <cellStyle name="Percent 4 3 4 2 3 2" xfId="10918"/>
    <cellStyle name="Percent 4 3 4 2 4" xfId="10919"/>
    <cellStyle name="Percent 4 3 4 3" xfId="10920"/>
    <cellStyle name="Percent 4 3 4 3 2" xfId="10921"/>
    <cellStyle name="Percent 4 3 4 3 2 2" xfId="10922"/>
    <cellStyle name="Percent 4 3 4 3 3" xfId="10923"/>
    <cellStyle name="Percent 4 3 4 3 3 2" xfId="10924"/>
    <cellStyle name="Percent 4 3 4 3 4" xfId="10925"/>
    <cellStyle name="Percent 4 3 4 4" xfId="10926"/>
    <cellStyle name="Percent 4 3 4 4 2" xfId="10927"/>
    <cellStyle name="Percent 4 3 4 4 2 2" xfId="10928"/>
    <cellStyle name="Percent 4 3 4 4 3" xfId="10929"/>
    <cellStyle name="Percent 4 3 4 4 3 2" xfId="10930"/>
    <cellStyle name="Percent 4 3 4 4 4" xfId="10931"/>
    <cellStyle name="Percent 4 3 4 4 4 2" xfId="10932"/>
    <cellStyle name="Percent 4 3 4 4 5" xfId="10933"/>
    <cellStyle name="Percent 4 3 4 5" xfId="10934"/>
    <cellStyle name="Percent 4 3 4 5 2" xfId="10935"/>
    <cellStyle name="Percent 4 3 4 5 2 2" xfId="10936"/>
    <cellStyle name="Percent 4 3 4 5 3" xfId="10937"/>
    <cellStyle name="Percent 4 3 4 5 3 2" xfId="10938"/>
    <cellStyle name="Percent 4 3 4 5 4" xfId="10939"/>
    <cellStyle name="Percent 4 3 4 6" xfId="10940"/>
    <cellStyle name="Percent 4 3 4 6 2" xfId="10941"/>
    <cellStyle name="Percent 4 3 4 7" xfId="10942"/>
    <cellStyle name="Percent 4 3 4 7 2" xfId="10943"/>
    <cellStyle name="Percent 4 3 4 8" xfId="10944"/>
    <cellStyle name="Percent 4 3 4 8 2" xfId="10945"/>
    <cellStyle name="Percent 4 3 4 9" xfId="10946"/>
    <cellStyle name="Percent 4 3 5 11" xfId="10947"/>
    <cellStyle name="Percent 4 3 5 10" xfId="10948"/>
    <cellStyle name="Percent 4 3 5 2" xfId="10949"/>
    <cellStyle name="Percent 4 3 5 2 2" xfId="10950"/>
    <cellStyle name="Percent 4 3 5 2 2 2" xfId="10951"/>
    <cellStyle name="Percent 4 3 5 2 3" xfId="10952"/>
    <cellStyle name="Percent 4 3 5 2 3 2" xfId="10953"/>
    <cellStyle name="Percent 4 3 5 2 4" xfId="10954"/>
    <cellStyle name="Percent 4 3 5 3" xfId="10955"/>
    <cellStyle name="Percent 4 3 5 3 2" xfId="10956"/>
    <cellStyle name="Percent 4 3 5 3 2 2" xfId="10957"/>
    <cellStyle name="Percent 4 3 5 3 3" xfId="10958"/>
    <cellStyle name="Percent 4 3 5 3 3 2" xfId="10959"/>
    <cellStyle name="Percent 4 3 5 3 4" xfId="10960"/>
    <cellStyle name="Percent 4 3 5 4" xfId="10961"/>
    <cellStyle name="Percent 4 3 5 4 2" xfId="10962"/>
    <cellStyle name="Percent 4 3 5 4 2 2" xfId="10963"/>
    <cellStyle name="Percent 4 3 5 4 3" xfId="10964"/>
    <cellStyle name="Percent 4 3 5 4 3 2" xfId="10965"/>
    <cellStyle name="Percent 4 3 5 4 4" xfId="10966"/>
    <cellStyle name="Percent 4 3 5 4 4 2" xfId="10967"/>
    <cellStyle name="Percent 4 3 5 4 5" xfId="10968"/>
    <cellStyle name="Percent 4 3 5 5" xfId="10969"/>
    <cellStyle name="Percent 4 3 5 5 2" xfId="10970"/>
    <cellStyle name="Percent 4 3 5 5 2 2" xfId="10971"/>
    <cellStyle name="Percent 4 3 5 5 3" xfId="10972"/>
    <cellStyle name="Percent 4 3 5 5 3 2" xfId="10973"/>
    <cellStyle name="Percent 4 3 5 5 4" xfId="10974"/>
    <cellStyle name="Percent 4 3 5 6" xfId="10975"/>
    <cellStyle name="Percent 4 3 5 6 2" xfId="10976"/>
    <cellStyle name="Percent 4 3 5 7" xfId="10977"/>
    <cellStyle name="Percent 4 3 5 7 2" xfId="10978"/>
    <cellStyle name="Percent 4 3 5 8" xfId="10979"/>
    <cellStyle name="Percent 4 3 5 8 2" xfId="10980"/>
    <cellStyle name="Percent 4 3 5 9" xfId="10981"/>
    <cellStyle name="Percent 4 3 6 11" xfId="10982"/>
    <cellStyle name="Percent 4 3 6 10" xfId="10983"/>
    <cellStyle name="Percent 4 3 6 2" xfId="10984"/>
    <cellStyle name="Percent 4 3 6 2 2" xfId="10985"/>
    <cellStyle name="Percent 4 3 6 2 2 2" xfId="10986"/>
    <cellStyle name="Percent 4 3 6 2 3" xfId="10987"/>
    <cellStyle name="Percent 4 3 6 2 3 2" xfId="10988"/>
    <cellStyle name="Percent 4 3 6 2 4" xfId="10989"/>
    <cellStyle name="Percent 4 3 6 3" xfId="10990"/>
    <cellStyle name="Percent 4 3 6 3 2" xfId="10991"/>
    <cellStyle name="Percent 4 3 6 3 2 2" xfId="10992"/>
    <cellStyle name="Percent 4 3 6 3 3" xfId="10993"/>
    <cellStyle name="Percent 4 3 6 3 3 2" xfId="10994"/>
    <cellStyle name="Percent 4 3 6 3 4" xfId="10995"/>
    <cellStyle name="Percent 4 3 6 4" xfId="10996"/>
    <cellStyle name="Percent 4 3 6 4 2" xfId="10997"/>
    <cellStyle name="Percent 4 3 6 4 2 2" xfId="10998"/>
    <cellStyle name="Percent 4 3 6 4 3" xfId="10999"/>
    <cellStyle name="Percent 4 3 6 4 3 2" xfId="11000"/>
    <cellStyle name="Percent 4 3 6 4 4" xfId="11001"/>
    <cellStyle name="Percent 4 3 6 4 4 2" xfId="11002"/>
    <cellStyle name="Percent 4 3 6 4 5" xfId="11003"/>
    <cellStyle name="Percent 4 3 6 5" xfId="11004"/>
    <cellStyle name="Percent 4 3 6 5 2" xfId="11005"/>
    <cellStyle name="Percent 4 3 6 5 2 2" xfId="11006"/>
    <cellStyle name="Percent 4 3 6 5 3" xfId="11007"/>
    <cellStyle name="Percent 4 3 6 5 3 2" xfId="11008"/>
    <cellStyle name="Percent 4 3 6 5 4" xfId="11009"/>
    <cellStyle name="Percent 4 3 6 6" xfId="11010"/>
    <cellStyle name="Percent 4 3 6 6 2" xfId="11011"/>
    <cellStyle name="Percent 4 3 6 7" xfId="11012"/>
    <cellStyle name="Percent 4 3 6 7 2" xfId="11013"/>
    <cellStyle name="Percent 4 3 6 8" xfId="11014"/>
    <cellStyle name="Percent 4 3 6 8 2" xfId="11015"/>
    <cellStyle name="Percent 4 3 6 9" xfId="11016"/>
    <cellStyle name="Percent 4 3 7 11" xfId="11017"/>
    <cellStyle name="Percent 4 3 7 10" xfId="11018"/>
    <cellStyle name="Percent 4 3 7 2" xfId="11019"/>
    <cellStyle name="Percent 4 3 7 2 2" xfId="11020"/>
    <cellStyle name="Percent 4 3 7 2 2 2" xfId="11021"/>
    <cellStyle name="Percent 4 3 7 2 3" xfId="11022"/>
    <cellStyle name="Percent 4 3 7 2 3 2" xfId="11023"/>
    <cellStyle name="Percent 4 3 7 2 4" xfId="11024"/>
    <cellStyle name="Percent 4 3 7 3" xfId="11025"/>
    <cellStyle name="Percent 4 3 7 3 2" xfId="11026"/>
    <cellStyle name="Percent 4 3 7 3 2 2" xfId="11027"/>
    <cellStyle name="Percent 4 3 7 3 3" xfId="11028"/>
    <cellStyle name="Percent 4 3 7 3 3 2" xfId="11029"/>
    <cellStyle name="Percent 4 3 7 3 4" xfId="11030"/>
    <cellStyle name="Percent 4 3 7 4" xfId="11031"/>
    <cellStyle name="Percent 4 3 7 4 2" xfId="11032"/>
    <cellStyle name="Percent 4 3 7 4 2 2" xfId="11033"/>
    <cellStyle name="Percent 4 3 7 4 3" xfId="11034"/>
    <cellStyle name="Percent 4 3 7 4 3 2" xfId="11035"/>
    <cellStyle name="Percent 4 3 7 4 4" xfId="11036"/>
    <cellStyle name="Percent 4 3 7 4 4 2" xfId="11037"/>
    <cellStyle name="Percent 4 3 7 4 5" xfId="11038"/>
    <cellStyle name="Percent 4 3 7 5" xfId="11039"/>
    <cellStyle name="Percent 4 3 7 5 2" xfId="11040"/>
    <cellStyle name="Percent 4 3 7 5 2 2" xfId="11041"/>
    <cellStyle name="Percent 4 3 7 5 3" xfId="11042"/>
    <cellStyle name="Percent 4 3 7 5 3 2" xfId="11043"/>
    <cellStyle name="Percent 4 3 7 5 4" xfId="11044"/>
    <cellStyle name="Percent 4 3 7 6" xfId="11045"/>
    <cellStyle name="Percent 4 3 7 6 2" xfId="11046"/>
    <cellStyle name="Percent 4 3 7 7" xfId="11047"/>
    <cellStyle name="Percent 4 3 7 7 2" xfId="11048"/>
    <cellStyle name="Percent 4 3 7 8" xfId="11049"/>
    <cellStyle name="Percent 4 3 7 8 2" xfId="11050"/>
    <cellStyle name="Percent 4 3 7 9" xfId="11051"/>
    <cellStyle name="Percent 4 3 8 11" xfId="11052"/>
    <cellStyle name="Percent 4 3 8 10" xfId="11053"/>
    <cellStyle name="Percent 4 3 8 2" xfId="11054"/>
    <cellStyle name="Percent 4 3 8 2 2" xfId="11055"/>
    <cellStyle name="Percent 4 3 8 2 2 2" xfId="11056"/>
    <cellStyle name="Percent 4 3 8 2 3" xfId="11057"/>
    <cellStyle name="Percent 4 3 8 2 3 2" xfId="11058"/>
    <cellStyle name="Percent 4 3 8 2 4" xfId="11059"/>
    <cellStyle name="Percent 4 3 8 3" xfId="11060"/>
    <cellStyle name="Percent 4 3 8 3 2" xfId="11061"/>
    <cellStyle name="Percent 4 3 8 3 2 2" xfId="11062"/>
    <cellStyle name="Percent 4 3 8 3 3" xfId="11063"/>
    <cellStyle name="Percent 4 3 8 3 3 2" xfId="11064"/>
    <cellStyle name="Percent 4 3 8 3 4" xfId="11065"/>
    <cellStyle name="Percent 4 3 8 4" xfId="11066"/>
    <cellStyle name="Percent 4 3 8 4 2" xfId="11067"/>
    <cellStyle name="Percent 4 3 8 4 2 2" xfId="11068"/>
    <cellStyle name="Percent 4 3 8 4 3" xfId="11069"/>
    <cellStyle name="Percent 4 3 8 4 3 2" xfId="11070"/>
    <cellStyle name="Percent 4 3 8 4 4" xfId="11071"/>
    <cellStyle name="Percent 4 3 8 4 4 2" xfId="11072"/>
    <cellStyle name="Percent 4 3 8 4 5" xfId="11073"/>
    <cellStyle name="Percent 4 3 8 5" xfId="11074"/>
    <cellStyle name="Percent 4 3 8 5 2" xfId="11075"/>
    <cellStyle name="Percent 4 3 8 5 2 2" xfId="11076"/>
    <cellStyle name="Percent 4 3 8 5 3" xfId="11077"/>
    <cellStyle name="Percent 4 3 8 5 3 2" xfId="11078"/>
    <cellStyle name="Percent 4 3 8 5 4" xfId="11079"/>
    <cellStyle name="Percent 4 3 8 6" xfId="11080"/>
    <cellStyle name="Percent 4 3 8 6 2" xfId="11081"/>
    <cellStyle name="Percent 4 3 8 7" xfId="11082"/>
    <cellStyle name="Percent 4 3 8 7 2" xfId="11083"/>
    <cellStyle name="Percent 4 3 8 8" xfId="11084"/>
    <cellStyle name="Percent 4 3 8 8 2" xfId="11085"/>
    <cellStyle name="Percent 4 3 8 9" xfId="11086"/>
    <cellStyle name="Percent 4 3 9" xfId="11087"/>
    <cellStyle name="Percent 4 3 9 2" xfId="11088"/>
    <cellStyle name="Percent 4 3 9 2 2" xfId="11089"/>
    <cellStyle name="Percent 4 3 9 3" xfId="11090"/>
    <cellStyle name="Percent 4 3 9 3 2" xfId="11091"/>
    <cellStyle name="Percent 4 3 9 4" xfId="11092"/>
    <cellStyle name="Percent 4 3 9 5" xfId="11093"/>
    <cellStyle name="Percent 4 30 6" xfId="11094"/>
    <cellStyle name="Percent 4 30 2" xfId="11095"/>
    <cellStyle name="Percent 4 30 2 2" xfId="11096"/>
    <cellStyle name="Percent 4 30 3" xfId="11097"/>
    <cellStyle name="Percent 4 30 3 2" xfId="11098"/>
    <cellStyle name="Percent 4 30 4" xfId="11099"/>
    <cellStyle name="Percent 4 30 5" xfId="11100"/>
    <cellStyle name="Percent 4 31" xfId="11101"/>
    <cellStyle name="Percent 4 31 2" xfId="11102"/>
    <cellStyle name="Percent 4 31 2 2" xfId="11103"/>
    <cellStyle name="Percent 4 31 3" xfId="11104"/>
    <cellStyle name="Percent 4 31 3 2" xfId="11105"/>
    <cellStyle name="Percent 4 31 4" xfId="11106"/>
    <cellStyle name="Percent 4 31 5" xfId="11107"/>
    <cellStyle name="Percent 4 32" xfId="11108"/>
    <cellStyle name="Percent 4 32 2" xfId="11109"/>
    <cellStyle name="Percent 4 32 2 2" xfId="11110"/>
    <cellStyle name="Percent 4 32 3" xfId="11111"/>
    <cellStyle name="Percent 4 32 3 2" xfId="11112"/>
    <cellStyle name="Percent 4 32 4" xfId="11113"/>
    <cellStyle name="Percent 4 33" xfId="11114"/>
    <cellStyle name="Percent 4 33 2" xfId="11115"/>
    <cellStyle name="Percent 4 33 2 2" xfId="11116"/>
    <cellStyle name="Percent 4 33 3" xfId="11117"/>
    <cellStyle name="Percent 4 33 3 2" xfId="11118"/>
    <cellStyle name="Percent 4 33 4" xfId="11119"/>
    <cellStyle name="Percent 4 33 4 2" xfId="11120"/>
    <cellStyle name="Percent 4 33 5" xfId="11121"/>
    <cellStyle name="Percent 4 34" xfId="11122"/>
    <cellStyle name="Percent 4 34 2" xfId="11123"/>
    <cellStyle name="Percent 4 34 2 2" xfId="11124"/>
    <cellStyle name="Percent 4 34 3" xfId="11125"/>
    <cellStyle name="Percent 4 34 3 2" xfId="11126"/>
    <cellStyle name="Percent 4 34 4" xfId="11127"/>
    <cellStyle name="Percent 4 35" xfId="11128"/>
    <cellStyle name="Percent 4 35 2" xfId="11129"/>
    <cellStyle name="Percent 4 36" xfId="11130"/>
    <cellStyle name="Percent 4 36 2" xfId="11131"/>
    <cellStyle name="Percent 4 37" xfId="11132"/>
    <cellStyle name="Percent 4 37 2" xfId="11133"/>
    <cellStyle name="Percent 4 38" xfId="11134"/>
    <cellStyle name="Percent 4 39" xfId="11135"/>
    <cellStyle name="Percent 4 4 19" xfId="11136"/>
    <cellStyle name="Percent 4 4 10" xfId="11137"/>
    <cellStyle name="Percent 4 4 10 2" xfId="11138"/>
    <cellStyle name="Percent 4 4 10 2 2" xfId="11139"/>
    <cellStyle name="Percent 4 4 10 3" xfId="11140"/>
    <cellStyle name="Percent 4 4 10 3 2" xfId="11141"/>
    <cellStyle name="Percent 4 4 10 4" xfId="11142"/>
    <cellStyle name="Percent 4 4 11" xfId="11143"/>
    <cellStyle name="Percent 4 4 11 2" xfId="11144"/>
    <cellStyle name="Percent 4 4 11 2 2" xfId="11145"/>
    <cellStyle name="Percent 4 4 11 3" xfId="11146"/>
    <cellStyle name="Percent 4 4 11 3 2" xfId="11147"/>
    <cellStyle name="Percent 4 4 11 4" xfId="11148"/>
    <cellStyle name="Percent 4 4 12" xfId="11149"/>
    <cellStyle name="Percent 4 4 12 2" xfId="11150"/>
    <cellStyle name="Percent 4 4 12 2 2" xfId="11151"/>
    <cellStyle name="Percent 4 4 12 3" xfId="11152"/>
    <cellStyle name="Percent 4 4 12 3 2" xfId="11153"/>
    <cellStyle name="Percent 4 4 12 4" xfId="11154"/>
    <cellStyle name="Percent 4 4 12 4 2" xfId="11155"/>
    <cellStyle name="Percent 4 4 12 5" xfId="11156"/>
    <cellStyle name="Percent 4 4 13" xfId="11157"/>
    <cellStyle name="Percent 4 4 13 2" xfId="11158"/>
    <cellStyle name="Percent 4 4 13 2 2" xfId="11159"/>
    <cellStyle name="Percent 4 4 13 3" xfId="11160"/>
    <cellStyle name="Percent 4 4 13 3 2" xfId="11161"/>
    <cellStyle name="Percent 4 4 13 4" xfId="11162"/>
    <cellStyle name="Percent 4 4 14" xfId="11163"/>
    <cellStyle name="Percent 4 4 14 2" xfId="11164"/>
    <cellStyle name="Percent 4 4 15" xfId="11165"/>
    <cellStyle name="Percent 4 4 15 2" xfId="11166"/>
    <cellStyle name="Percent 4 4 16" xfId="11167"/>
    <cellStyle name="Percent 4 4 16 2" xfId="11168"/>
    <cellStyle name="Percent 4 4 17" xfId="11169"/>
    <cellStyle name="Percent 4 4 18" xfId="11170"/>
    <cellStyle name="Percent 4 4 2 11" xfId="11171"/>
    <cellStyle name="Percent 4 4 2 10" xfId="11172"/>
    <cellStyle name="Percent 4 4 2 2" xfId="11173"/>
    <cellStyle name="Percent 4 4 2 2 2" xfId="11174"/>
    <cellStyle name="Percent 4 4 2 2 2 2" xfId="11175"/>
    <cellStyle name="Percent 4 4 2 2 3" xfId="11176"/>
    <cellStyle name="Percent 4 4 2 2 3 2" xfId="11177"/>
    <cellStyle name="Percent 4 4 2 2 4" xfId="11178"/>
    <cellStyle name="Percent 4 4 2 2 5" xfId="11179"/>
    <cellStyle name="Percent 4 4 2 3" xfId="11180"/>
    <cellStyle name="Percent 4 4 2 3 2" xfId="11181"/>
    <cellStyle name="Percent 4 4 2 3 2 2" xfId="11182"/>
    <cellStyle name="Percent 4 4 2 3 3" xfId="11183"/>
    <cellStyle name="Percent 4 4 2 3 3 2" xfId="11184"/>
    <cellStyle name="Percent 4 4 2 3 4" xfId="11185"/>
    <cellStyle name="Percent 4 4 2 4" xfId="11186"/>
    <cellStyle name="Percent 4 4 2 4 2" xfId="11187"/>
    <cellStyle name="Percent 4 4 2 4 2 2" xfId="11188"/>
    <cellStyle name="Percent 4 4 2 4 3" xfId="11189"/>
    <cellStyle name="Percent 4 4 2 4 3 2" xfId="11190"/>
    <cellStyle name="Percent 4 4 2 4 4" xfId="11191"/>
    <cellStyle name="Percent 4 4 2 4 4 2" xfId="11192"/>
    <cellStyle name="Percent 4 4 2 4 5" xfId="11193"/>
    <cellStyle name="Percent 4 4 2 5" xfId="11194"/>
    <cellStyle name="Percent 4 4 2 5 2" xfId="11195"/>
    <cellStyle name="Percent 4 4 2 5 2 2" xfId="11196"/>
    <cellStyle name="Percent 4 4 2 5 3" xfId="11197"/>
    <cellStyle name="Percent 4 4 2 5 3 2" xfId="11198"/>
    <cellStyle name="Percent 4 4 2 5 4" xfId="11199"/>
    <cellStyle name="Percent 4 4 2 6" xfId="11200"/>
    <cellStyle name="Percent 4 4 2 6 2" xfId="11201"/>
    <cellStyle name="Percent 4 4 2 7" xfId="11202"/>
    <cellStyle name="Percent 4 4 2 7 2" xfId="11203"/>
    <cellStyle name="Percent 4 4 2 8" xfId="11204"/>
    <cellStyle name="Percent 4 4 2 8 2" xfId="11205"/>
    <cellStyle name="Percent 4 4 2 9" xfId="11206"/>
    <cellStyle name="Percent 4 4 3 11" xfId="11207"/>
    <cellStyle name="Percent 4 4 3 10" xfId="11208"/>
    <cellStyle name="Percent 4 4 3 2" xfId="11209"/>
    <cellStyle name="Percent 4 4 3 2 2" xfId="11210"/>
    <cellStyle name="Percent 4 4 3 2 2 2" xfId="11211"/>
    <cellStyle name="Percent 4 4 3 2 3" xfId="11212"/>
    <cellStyle name="Percent 4 4 3 2 3 2" xfId="11213"/>
    <cellStyle name="Percent 4 4 3 2 4" xfId="11214"/>
    <cellStyle name="Percent 4 4 3 3" xfId="11215"/>
    <cellStyle name="Percent 4 4 3 3 2" xfId="11216"/>
    <cellStyle name="Percent 4 4 3 3 2 2" xfId="11217"/>
    <cellStyle name="Percent 4 4 3 3 3" xfId="11218"/>
    <cellStyle name="Percent 4 4 3 3 3 2" xfId="11219"/>
    <cellStyle name="Percent 4 4 3 3 4" xfId="11220"/>
    <cellStyle name="Percent 4 4 3 4" xfId="11221"/>
    <cellStyle name="Percent 4 4 3 4 2" xfId="11222"/>
    <cellStyle name="Percent 4 4 3 4 2 2" xfId="11223"/>
    <cellStyle name="Percent 4 4 3 4 3" xfId="11224"/>
    <cellStyle name="Percent 4 4 3 4 3 2" xfId="11225"/>
    <cellStyle name="Percent 4 4 3 4 4" xfId="11226"/>
    <cellStyle name="Percent 4 4 3 4 4 2" xfId="11227"/>
    <cellStyle name="Percent 4 4 3 4 5" xfId="11228"/>
    <cellStyle name="Percent 4 4 3 5" xfId="11229"/>
    <cellStyle name="Percent 4 4 3 5 2" xfId="11230"/>
    <cellStyle name="Percent 4 4 3 5 2 2" xfId="11231"/>
    <cellStyle name="Percent 4 4 3 5 3" xfId="11232"/>
    <cellStyle name="Percent 4 4 3 5 3 2" xfId="11233"/>
    <cellStyle name="Percent 4 4 3 5 4" xfId="11234"/>
    <cellStyle name="Percent 4 4 3 6" xfId="11235"/>
    <cellStyle name="Percent 4 4 3 6 2" xfId="11236"/>
    <cellStyle name="Percent 4 4 3 7" xfId="11237"/>
    <cellStyle name="Percent 4 4 3 7 2" xfId="11238"/>
    <cellStyle name="Percent 4 4 3 8" xfId="11239"/>
    <cellStyle name="Percent 4 4 3 8 2" xfId="11240"/>
    <cellStyle name="Percent 4 4 3 9" xfId="11241"/>
    <cellStyle name="Percent 4 4 4 11" xfId="11242"/>
    <cellStyle name="Percent 4 4 4 10" xfId="11243"/>
    <cellStyle name="Percent 4 4 4 2" xfId="11244"/>
    <cellStyle name="Percent 4 4 4 2 2" xfId="11245"/>
    <cellStyle name="Percent 4 4 4 2 2 2" xfId="11246"/>
    <cellStyle name="Percent 4 4 4 2 3" xfId="11247"/>
    <cellStyle name="Percent 4 4 4 2 3 2" xfId="11248"/>
    <cellStyle name="Percent 4 4 4 2 4" xfId="11249"/>
    <cellStyle name="Percent 4 4 4 3" xfId="11250"/>
    <cellStyle name="Percent 4 4 4 3 2" xfId="11251"/>
    <cellStyle name="Percent 4 4 4 3 2 2" xfId="11252"/>
    <cellStyle name="Percent 4 4 4 3 3" xfId="11253"/>
    <cellStyle name="Percent 4 4 4 3 3 2" xfId="11254"/>
    <cellStyle name="Percent 4 4 4 3 4" xfId="11255"/>
    <cellStyle name="Percent 4 4 4 4" xfId="11256"/>
    <cellStyle name="Percent 4 4 4 4 2" xfId="11257"/>
    <cellStyle name="Percent 4 4 4 4 2 2" xfId="11258"/>
    <cellStyle name="Percent 4 4 4 4 3" xfId="11259"/>
    <cellStyle name="Percent 4 4 4 4 3 2" xfId="11260"/>
    <cellStyle name="Percent 4 4 4 4 4" xfId="11261"/>
    <cellStyle name="Percent 4 4 4 4 4 2" xfId="11262"/>
    <cellStyle name="Percent 4 4 4 4 5" xfId="11263"/>
    <cellStyle name="Percent 4 4 4 5" xfId="11264"/>
    <cellStyle name="Percent 4 4 4 5 2" xfId="11265"/>
    <cellStyle name="Percent 4 4 4 5 2 2" xfId="11266"/>
    <cellStyle name="Percent 4 4 4 5 3" xfId="11267"/>
    <cellStyle name="Percent 4 4 4 5 3 2" xfId="11268"/>
    <cellStyle name="Percent 4 4 4 5 4" xfId="11269"/>
    <cellStyle name="Percent 4 4 4 6" xfId="11270"/>
    <cellStyle name="Percent 4 4 4 6 2" xfId="11271"/>
    <cellStyle name="Percent 4 4 4 7" xfId="11272"/>
    <cellStyle name="Percent 4 4 4 7 2" xfId="11273"/>
    <cellStyle name="Percent 4 4 4 8" xfId="11274"/>
    <cellStyle name="Percent 4 4 4 8 2" xfId="11275"/>
    <cellStyle name="Percent 4 4 4 9" xfId="11276"/>
    <cellStyle name="Percent 4 4 5 11" xfId="11277"/>
    <cellStyle name="Percent 4 4 5 10" xfId="11278"/>
    <cellStyle name="Percent 4 4 5 2" xfId="11279"/>
    <cellStyle name="Percent 4 4 5 2 2" xfId="11280"/>
    <cellStyle name="Percent 4 4 5 2 2 2" xfId="11281"/>
    <cellStyle name="Percent 4 4 5 2 3" xfId="11282"/>
    <cellStyle name="Percent 4 4 5 2 3 2" xfId="11283"/>
    <cellStyle name="Percent 4 4 5 2 4" xfId="11284"/>
    <cellStyle name="Percent 4 4 5 3" xfId="11285"/>
    <cellStyle name="Percent 4 4 5 3 2" xfId="11286"/>
    <cellStyle name="Percent 4 4 5 3 2 2" xfId="11287"/>
    <cellStyle name="Percent 4 4 5 3 3" xfId="11288"/>
    <cellStyle name="Percent 4 4 5 3 3 2" xfId="11289"/>
    <cellStyle name="Percent 4 4 5 3 4" xfId="11290"/>
    <cellStyle name="Percent 4 4 5 4" xfId="11291"/>
    <cellStyle name="Percent 4 4 5 4 2" xfId="11292"/>
    <cellStyle name="Percent 4 4 5 4 2 2" xfId="11293"/>
    <cellStyle name="Percent 4 4 5 4 3" xfId="11294"/>
    <cellStyle name="Percent 4 4 5 4 3 2" xfId="11295"/>
    <cellStyle name="Percent 4 4 5 4 4" xfId="11296"/>
    <cellStyle name="Percent 4 4 5 4 4 2" xfId="11297"/>
    <cellStyle name="Percent 4 4 5 4 5" xfId="11298"/>
    <cellStyle name="Percent 4 4 5 5" xfId="11299"/>
    <cellStyle name="Percent 4 4 5 5 2" xfId="11300"/>
    <cellStyle name="Percent 4 4 5 5 2 2" xfId="11301"/>
    <cellStyle name="Percent 4 4 5 5 3" xfId="11302"/>
    <cellStyle name="Percent 4 4 5 5 3 2" xfId="11303"/>
    <cellStyle name="Percent 4 4 5 5 4" xfId="11304"/>
    <cellStyle name="Percent 4 4 5 6" xfId="11305"/>
    <cellStyle name="Percent 4 4 5 6 2" xfId="11306"/>
    <cellStyle name="Percent 4 4 5 7" xfId="11307"/>
    <cellStyle name="Percent 4 4 5 7 2" xfId="11308"/>
    <cellStyle name="Percent 4 4 5 8" xfId="11309"/>
    <cellStyle name="Percent 4 4 5 8 2" xfId="11310"/>
    <cellStyle name="Percent 4 4 5 9" xfId="11311"/>
    <cellStyle name="Percent 4 4 6 11" xfId="11312"/>
    <cellStyle name="Percent 4 4 6 10" xfId="11313"/>
    <cellStyle name="Percent 4 4 6 2" xfId="11314"/>
    <cellStyle name="Percent 4 4 6 2 2" xfId="11315"/>
    <cellStyle name="Percent 4 4 6 2 2 2" xfId="11316"/>
    <cellStyle name="Percent 4 4 6 2 3" xfId="11317"/>
    <cellStyle name="Percent 4 4 6 2 3 2" xfId="11318"/>
    <cellStyle name="Percent 4 4 6 2 4" xfId="11319"/>
    <cellStyle name="Percent 4 4 6 3" xfId="11320"/>
    <cellStyle name="Percent 4 4 6 3 2" xfId="11321"/>
    <cellStyle name="Percent 4 4 6 3 2 2" xfId="11322"/>
    <cellStyle name="Percent 4 4 6 3 3" xfId="11323"/>
    <cellStyle name="Percent 4 4 6 3 3 2" xfId="11324"/>
    <cellStyle name="Percent 4 4 6 3 4" xfId="11325"/>
    <cellStyle name="Percent 4 4 6 4" xfId="11326"/>
    <cellStyle name="Percent 4 4 6 4 2" xfId="11327"/>
    <cellStyle name="Percent 4 4 6 4 2 2" xfId="11328"/>
    <cellStyle name="Percent 4 4 6 4 3" xfId="11329"/>
    <cellStyle name="Percent 4 4 6 4 3 2" xfId="11330"/>
    <cellStyle name="Percent 4 4 6 4 4" xfId="11331"/>
    <cellStyle name="Percent 4 4 6 4 4 2" xfId="11332"/>
    <cellStyle name="Percent 4 4 6 4 5" xfId="11333"/>
    <cellStyle name="Percent 4 4 6 5" xfId="11334"/>
    <cellStyle name="Percent 4 4 6 5 2" xfId="11335"/>
    <cellStyle name="Percent 4 4 6 5 2 2" xfId="11336"/>
    <cellStyle name="Percent 4 4 6 5 3" xfId="11337"/>
    <cellStyle name="Percent 4 4 6 5 3 2" xfId="11338"/>
    <cellStyle name="Percent 4 4 6 5 4" xfId="11339"/>
    <cellStyle name="Percent 4 4 6 6" xfId="11340"/>
    <cellStyle name="Percent 4 4 6 6 2" xfId="11341"/>
    <cellStyle name="Percent 4 4 6 7" xfId="11342"/>
    <cellStyle name="Percent 4 4 6 7 2" xfId="11343"/>
    <cellStyle name="Percent 4 4 6 8" xfId="11344"/>
    <cellStyle name="Percent 4 4 6 8 2" xfId="11345"/>
    <cellStyle name="Percent 4 4 6 9" xfId="11346"/>
    <cellStyle name="Percent 4 4 7 11" xfId="11347"/>
    <cellStyle name="Percent 4 4 7 10" xfId="11348"/>
    <cellStyle name="Percent 4 4 7 2" xfId="11349"/>
    <cellStyle name="Percent 4 4 7 2 2" xfId="11350"/>
    <cellStyle name="Percent 4 4 7 2 2 2" xfId="11351"/>
    <cellStyle name="Percent 4 4 7 2 3" xfId="11352"/>
    <cellStyle name="Percent 4 4 7 2 3 2" xfId="11353"/>
    <cellStyle name="Percent 4 4 7 2 4" xfId="11354"/>
    <cellStyle name="Percent 4 4 7 3" xfId="11355"/>
    <cellStyle name="Percent 4 4 7 3 2" xfId="11356"/>
    <cellStyle name="Percent 4 4 7 3 2 2" xfId="11357"/>
    <cellStyle name="Percent 4 4 7 3 3" xfId="11358"/>
    <cellStyle name="Percent 4 4 7 3 3 2" xfId="11359"/>
    <cellStyle name="Percent 4 4 7 3 4" xfId="11360"/>
    <cellStyle name="Percent 4 4 7 4" xfId="11361"/>
    <cellStyle name="Percent 4 4 7 4 2" xfId="11362"/>
    <cellStyle name="Percent 4 4 7 4 2 2" xfId="11363"/>
    <cellStyle name="Percent 4 4 7 4 3" xfId="11364"/>
    <cellStyle name="Percent 4 4 7 4 3 2" xfId="11365"/>
    <cellStyle name="Percent 4 4 7 4 4" xfId="11366"/>
    <cellStyle name="Percent 4 4 7 4 4 2" xfId="11367"/>
    <cellStyle name="Percent 4 4 7 4 5" xfId="11368"/>
    <cellStyle name="Percent 4 4 7 5" xfId="11369"/>
    <cellStyle name="Percent 4 4 7 5 2" xfId="11370"/>
    <cellStyle name="Percent 4 4 7 5 2 2" xfId="11371"/>
    <cellStyle name="Percent 4 4 7 5 3" xfId="11372"/>
    <cellStyle name="Percent 4 4 7 5 3 2" xfId="11373"/>
    <cellStyle name="Percent 4 4 7 5 4" xfId="11374"/>
    <cellStyle name="Percent 4 4 7 6" xfId="11375"/>
    <cellStyle name="Percent 4 4 7 6 2" xfId="11376"/>
    <cellStyle name="Percent 4 4 7 7" xfId="11377"/>
    <cellStyle name="Percent 4 4 7 7 2" xfId="11378"/>
    <cellStyle name="Percent 4 4 7 8" xfId="11379"/>
    <cellStyle name="Percent 4 4 7 8 2" xfId="11380"/>
    <cellStyle name="Percent 4 4 7 9" xfId="11381"/>
    <cellStyle name="Percent 4 4 8 11" xfId="11382"/>
    <cellStyle name="Percent 4 4 8 10" xfId="11383"/>
    <cellStyle name="Percent 4 4 8 2" xfId="11384"/>
    <cellStyle name="Percent 4 4 8 2 2" xfId="11385"/>
    <cellStyle name="Percent 4 4 8 2 2 2" xfId="11386"/>
    <cellStyle name="Percent 4 4 8 2 3" xfId="11387"/>
    <cellStyle name="Percent 4 4 8 2 3 2" xfId="11388"/>
    <cellStyle name="Percent 4 4 8 2 4" xfId="11389"/>
    <cellStyle name="Percent 4 4 8 3" xfId="11390"/>
    <cellStyle name="Percent 4 4 8 3 2" xfId="11391"/>
    <cellStyle name="Percent 4 4 8 3 2 2" xfId="11392"/>
    <cellStyle name="Percent 4 4 8 3 3" xfId="11393"/>
    <cellStyle name="Percent 4 4 8 3 3 2" xfId="11394"/>
    <cellStyle name="Percent 4 4 8 3 4" xfId="11395"/>
    <cellStyle name="Percent 4 4 8 4" xfId="11396"/>
    <cellStyle name="Percent 4 4 8 4 2" xfId="11397"/>
    <cellStyle name="Percent 4 4 8 4 2 2" xfId="11398"/>
    <cellStyle name="Percent 4 4 8 4 3" xfId="11399"/>
    <cellStyle name="Percent 4 4 8 4 3 2" xfId="11400"/>
    <cellStyle name="Percent 4 4 8 4 4" xfId="11401"/>
    <cellStyle name="Percent 4 4 8 4 4 2" xfId="11402"/>
    <cellStyle name="Percent 4 4 8 4 5" xfId="11403"/>
    <cellStyle name="Percent 4 4 8 5" xfId="11404"/>
    <cellStyle name="Percent 4 4 8 5 2" xfId="11405"/>
    <cellStyle name="Percent 4 4 8 5 2 2" xfId="11406"/>
    <cellStyle name="Percent 4 4 8 5 3" xfId="11407"/>
    <cellStyle name="Percent 4 4 8 5 3 2" xfId="11408"/>
    <cellStyle name="Percent 4 4 8 5 4" xfId="11409"/>
    <cellStyle name="Percent 4 4 8 6" xfId="11410"/>
    <cellStyle name="Percent 4 4 8 6 2" xfId="11411"/>
    <cellStyle name="Percent 4 4 8 7" xfId="11412"/>
    <cellStyle name="Percent 4 4 8 7 2" xfId="11413"/>
    <cellStyle name="Percent 4 4 8 8" xfId="11414"/>
    <cellStyle name="Percent 4 4 8 8 2" xfId="11415"/>
    <cellStyle name="Percent 4 4 8 9" xfId="11416"/>
    <cellStyle name="Percent 4 4 9" xfId="11417"/>
    <cellStyle name="Percent 4 4 9 2" xfId="11418"/>
    <cellStyle name="Percent 4 4 9 2 2" xfId="11419"/>
    <cellStyle name="Percent 4 4 9 3" xfId="11420"/>
    <cellStyle name="Percent 4 4 9 3 2" xfId="11421"/>
    <cellStyle name="Percent 4 4 9 4" xfId="11422"/>
    <cellStyle name="Percent 4 4 9 5" xfId="11423"/>
    <cellStyle name="Percent 4 5 19" xfId="11424"/>
    <cellStyle name="Percent 4 5 10" xfId="11425"/>
    <cellStyle name="Percent 4 5 10 2" xfId="11426"/>
    <cellStyle name="Percent 4 5 10 2 2" xfId="11427"/>
    <cellStyle name="Percent 4 5 10 3" xfId="11428"/>
    <cellStyle name="Percent 4 5 10 3 2" xfId="11429"/>
    <cellStyle name="Percent 4 5 10 4" xfId="11430"/>
    <cellStyle name="Percent 4 5 11" xfId="11431"/>
    <cellStyle name="Percent 4 5 11 2" xfId="11432"/>
    <cellStyle name="Percent 4 5 11 2 2" xfId="11433"/>
    <cellStyle name="Percent 4 5 11 3" xfId="11434"/>
    <cellStyle name="Percent 4 5 11 3 2" xfId="11435"/>
    <cellStyle name="Percent 4 5 11 4" xfId="11436"/>
    <cellStyle name="Percent 4 5 12" xfId="11437"/>
    <cellStyle name="Percent 4 5 12 2" xfId="11438"/>
    <cellStyle name="Percent 4 5 12 2 2" xfId="11439"/>
    <cellStyle name="Percent 4 5 12 3" xfId="11440"/>
    <cellStyle name="Percent 4 5 12 3 2" xfId="11441"/>
    <cellStyle name="Percent 4 5 12 4" xfId="11442"/>
    <cellStyle name="Percent 4 5 12 4 2" xfId="11443"/>
    <cellStyle name="Percent 4 5 12 5" xfId="11444"/>
    <cellStyle name="Percent 4 5 13" xfId="11445"/>
    <cellStyle name="Percent 4 5 13 2" xfId="11446"/>
    <cellStyle name="Percent 4 5 13 2 2" xfId="11447"/>
    <cellStyle name="Percent 4 5 13 3" xfId="11448"/>
    <cellStyle name="Percent 4 5 13 3 2" xfId="11449"/>
    <cellStyle name="Percent 4 5 13 4" xfId="11450"/>
    <cellStyle name="Percent 4 5 14" xfId="11451"/>
    <cellStyle name="Percent 4 5 14 2" xfId="11452"/>
    <cellStyle name="Percent 4 5 15" xfId="11453"/>
    <cellStyle name="Percent 4 5 15 2" xfId="11454"/>
    <cellStyle name="Percent 4 5 16" xfId="11455"/>
    <cellStyle name="Percent 4 5 16 2" xfId="11456"/>
    <cellStyle name="Percent 4 5 17" xfId="11457"/>
    <cellStyle name="Percent 4 5 18" xfId="11458"/>
    <cellStyle name="Percent 4 5 2 11" xfId="11459"/>
    <cellStyle name="Percent 4 5 2 10" xfId="11460"/>
    <cellStyle name="Percent 4 5 2 2" xfId="11461"/>
    <cellStyle name="Percent 4 5 2 2 2" xfId="11462"/>
    <cellStyle name="Percent 4 5 2 2 2 2" xfId="11463"/>
    <cellStyle name="Percent 4 5 2 2 3" xfId="11464"/>
    <cellStyle name="Percent 4 5 2 2 3 2" xfId="11465"/>
    <cellStyle name="Percent 4 5 2 2 4" xfId="11466"/>
    <cellStyle name="Percent 4 5 2 2 5" xfId="11467"/>
    <cellStyle name="Percent 4 5 2 3" xfId="11468"/>
    <cellStyle name="Percent 4 5 2 3 2" xfId="11469"/>
    <cellStyle name="Percent 4 5 2 3 2 2" xfId="11470"/>
    <cellStyle name="Percent 4 5 2 3 3" xfId="11471"/>
    <cellStyle name="Percent 4 5 2 3 3 2" xfId="11472"/>
    <cellStyle name="Percent 4 5 2 3 4" xfId="11473"/>
    <cellStyle name="Percent 4 5 2 4" xfId="11474"/>
    <cellStyle name="Percent 4 5 2 4 2" xfId="11475"/>
    <cellStyle name="Percent 4 5 2 4 2 2" xfId="11476"/>
    <cellStyle name="Percent 4 5 2 4 3" xfId="11477"/>
    <cellStyle name="Percent 4 5 2 4 3 2" xfId="11478"/>
    <cellStyle name="Percent 4 5 2 4 4" xfId="11479"/>
    <cellStyle name="Percent 4 5 2 4 4 2" xfId="11480"/>
    <cellStyle name="Percent 4 5 2 4 5" xfId="11481"/>
    <cellStyle name="Percent 4 5 2 5" xfId="11482"/>
    <cellStyle name="Percent 4 5 2 5 2" xfId="11483"/>
    <cellStyle name="Percent 4 5 2 5 2 2" xfId="11484"/>
    <cellStyle name="Percent 4 5 2 5 3" xfId="11485"/>
    <cellStyle name="Percent 4 5 2 5 3 2" xfId="11486"/>
    <cellStyle name="Percent 4 5 2 5 4" xfId="11487"/>
    <cellStyle name="Percent 4 5 2 6" xfId="11488"/>
    <cellStyle name="Percent 4 5 2 6 2" xfId="11489"/>
    <cellStyle name="Percent 4 5 2 7" xfId="11490"/>
    <cellStyle name="Percent 4 5 2 7 2" xfId="11491"/>
    <cellStyle name="Percent 4 5 2 8" xfId="11492"/>
    <cellStyle name="Percent 4 5 2 8 2" xfId="11493"/>
    <cellStyle name="Percent 4 5 2 9" xfId="11494"/>
    <cellStyle name="Percent 4 5 3 11" xfId="11495"/>
    <cellStyle name="Percent 4 5 3 10" xfId="11496"/>
    <cellStyle name="Percent 4 5 3 2" xfId="11497"/>
    <cellStyle name="Percent 4 5 3 2 2" xfId="11498"/>
    <cellStyle name="Percent 4 5 3 2 2 2" xfId="11499"/>
    <cellStyle name="Percent 4 5 3 2 3" xfId="11500"/>
    <cellStyle name="Percent 4 5 3 2 3 2" xfId="11501"/>
    <cellStyle name="Percent 4 5 3 2 4" xfId="11502"/>
    <cellStyle name="Percent 4 5 3 2 5" xfId="11503"/>
    <cellStyle name="Percent 4 5 3 3" xfId="11504"/>
    <cellStyle name="Percent 4 5 3 3 2" xfId="11505"/>
    <cellStyle name="Percent 4 5 3 3 2 2" xfId="11506"/>
    <cellStyle name="Percent 4 5 3 3 3" xfId="11507"/>
    <cellStyle name="Percent 4 5 3 3 3 2" xfId="11508"/>
    <cellStyle name="Percent 4 5 3 3 4" xfId="11509"/>
    <cellStyle name="Percent 4 5 3 4" xfId="11510"/>
    <cellStyle name="Percent 4 5 3 4 2" xfId="11511"/>
    <cellStyle name="Percent 4 5 3 4 2 2" xfId="11512"/>
    <cellStyle name="Percent 4 5 3 4 3" xfId="11513"/>
    <cellStyle name="Percent 4 5 3 4 3 2" xfId="11514"/>
    <cellStyle name="Percent 4 5 3 4 4" xfId="11515"/>
    <cellStyle name="Percent 4 5 3 4 4 2" xfId="11516"/>
    <cellStyle name="Percent 4 5 3 4 5" xfId="11517"/>
    <cellStyle name="Percent 4 5 3 5" xfId="11518"/>
    <cellStyle name="Percent 4 5 3 5 2" xfId="11519"/>
    <cellStyle name="Percent 4 5 3 5 2 2" xfId="11520"/>
    <cellStyle name="Percent 4 5 3 5 3" xfId="11521"/>
    <cellStyle name="Percent 4 5 3 5 3 2" xfId="11522"/>
    <cellStyle name="Percent 4 5 3 5 4" xfId="11523"/>
    <cellStyle name="Percent 4 5 3 6" xfId="11524"/>
    <cellStyle name="Percent 4 5 3 6 2" xfId="11525"/>
    <cellStyle name="Percent 4 5 3 7" xfId="11526"/>
    <cellStyle name="Percent 4 5 3 7 2" xfId="11527"/>
    <cellStyle name="Percent 4 5 3 8" xfId="11528"/>
    <cellStyle name="Percent 4 5 3 8 2" xfId="11529"/>
    <cellStyle name="Percent 4 5 3 9" xfId="11530"/>
    <cellStyle name="Percent 4 5 4 11" xfId="11531"/>
    <cellStyle name="Percent 4 5 4 10" xfId="11532"/>
    <cellStyle name="Percent 4 5 4 2" xfId="11533"/>
    <cellStyle name="Percent 4 5 4 2 2" xfId="11534"/>
    <cellStyle name="Percent 4 5 4 2 2 2" xfId="11535"/>
    <cellStyle name="Percent 4 5 4 2 3" xfId="11536"/>
    <cellStyle name="Percent 4 5 4 2 3 2" xfId="11537"/>
    <cellStyle name="Percent 4 5 4 2 4" xfId="11538"/>
    <cellStyle name="Percent 4 5 4 3" xfId="11539"/>
    <cellStyle name="Percent 4 5 4 3 2" xfId="11540"/>
    <cellStyle name="Percent 4 5 4 3 2 2" xfId="11541"/>
    <cellStyle name="Percent 4 5 4 3 3" xfId="11542"/>
    <cellStyle name="Percent 4 5 4 3 3 2" xfId="11543"/>
    <cellStyle name="Percent 4 5 4 3 4" xfId="11544"/>
    <cellStyle name="Percent 4 5 4 4" xfId="11545"/>
    <cellStyle name="Percent 4 5 4 4 2" xfId="11546"/>
    <cellStyle name="Percent 4 5 4 4 2 2" xfId="11547"/>
    <cellStyle name="Percent 4 5 4 4 3" xfId="11548"/>
    <cellStyle name="Percent 4 5 4 4 3 2" xfId="11549"/>
    <cellStyle name="Percent 4 5 4 4 4" xfId="11550"/>
    <cellStyle name="Percent 4 5 4 4 4 2" xfId="11551"/>
    <cellStyle name="Percent 4 5 4 4 5" xfId="11552"/>
    <cellStyle name="Percent 4 5 4 5" xfId="11553"/>
    <cellStyle name="Percent 4 5 4 5 2" xfId="11554"/>
    <cellStyle name="Percent 4 5 4 5 2 2" xfId="11555"/>
    <cellStyle name="Percent 4 5 4 5 3" xfId="11556"/>
    <cellStyle name="Percent 4 5 4 5 3 2" xfId="11557"/>
    <cellStyle name="Percent 4 5 4 5 4" xfId="11558"/>
    <cellStyle name="Percent 4 5 4 6" xfId="11559"/>
    <cellStyle name="Percent 4 5 4 6 2" xfId="11560"/>
    <cellStyle name="Percent 4 5 4 7" xfId="11561"/>
    <cellStyle name="Percent 4 5 4 7 2" xfId="11562"/>
    <cellStyle name="Percent 4 5 4 8" xfId="11563"/>
    <cellStyle name="Percent 4 5 4 8 2" xfId="11564"/>
    <cellStyle name="Percent 4 5 4 9" xfId="11565"/>
    <cellStyle name="Percent 4 5 5 11" xfId="11566"/>
    <cellStyle name="Percent 4 5 5 10" xfId="11567"/>
    <cellStyle name="Percent 4 5 5 2" xfId="11568"/>
    <cellStyle name="Percent 4 5 5 2 2" xfId="11569"/>
    <cellStyle name="Percent 4 5 5 2 2 2" xfId="11570"/>
    <cellStyle name="Percent 4 5 5 2 3" xfId="11571"/>
    <cellStyle name="Percent 4 5 5 2 3 2" xfId="11572"/>
    <cellStyle name="Percent 4 5 5 2 4" xfId="11573"/>
    <cellStyle name="Percent 4 5 5 3" xfId="11574"/>
    <cellStyle name="Percent 4 5 5 3 2" xfId="11575"/>
    <cellStyle name="Percent 4 5 5 3 2 2" xfId="11576"/>
    <cellStyle name="Percent 4 5 5 3 3" xfId="11577"/>
    <cellStyle name="Percent 4 5 5 3 3 2" xfId="11578"/>
    <cellStyle name="Percent 4 5 5 3 4" xfId="11579"/>
    <cellStyle name="Percent 4 5 5 4" xfId="11580"/>
    <cellStyle name="Percent 4 5 5 4 2" xfId="11581"/>
    <cellStyle name="Percent 4 5 5 4 2 2" xfId="11582"/>
    <cellStyle name="Percent 4 5 5 4 3" xfId="11583"/>
    <cellStyle name="Percent 4 5 5 4 3 2" xfId="11584"/>
    <cellStyle name="Percent 4 5 5 4 4" xfId="11585"/>
    <cellStyle name="Percent 4 5 5 4 4 2" xfId="11586"/>
    <cellStyle name="Percent 4 5 5 4 5" xfId="11587"/>
    <cellStyle name="Percent 4 5 5 5" xfId="11588"/>
    <cellStyle name="Percent 4 5 5 5 2" xfId="11589"/>
    <cellStyle name="Percent 4 5 5 5 2 2" xfId="11590"/>
    <cellStyle name="Percent 4 5 5 5 3" xfId="11591"/>
    <cellStyle name="Percent 4 5 5 5 3 2" xfId="11592"/>
    <cellStyle name="Percent 4 5 5 5 4" xfId="11593"/>
    <cellStyle name="Percent 4 5 5 6" xfId="11594"/>
    <cellStyle name="Percent 4 5 5 6 2" xfId="11595"/>
    <cellStyle name="Percent 4 5 5 7" xfId="11596"/>
    <cellStyle name="Percent 4 5 5 7 2" xfId="11597"/>
    <cellStyle name="Percent 4 5 5 8" xfId="11598"/>
    <cellStyle name="Percent 4 5 5 8 2" xfId="11599"/>
    <cellStyle name="Percent 4 5 5 9" xfId="11600"/>
    <cellStyle name="Percent 4 5 6 11" xfId="11601"/>
    <cellStyle name="Percent 4 5 6 10" xfId="11602"/>
    <cellStyle name="Percent 4 5 6 2" xfId="11603"/>
    <cellStyle name="Percent 4 5 6 2 2" xfId="11604"/>
    <cellStyle name="Percent 4 5 6 2 2 2" xfId="11605"/>
    <cellStyle name="Percent 4 5 6 2 3" xfId="11606"/>
    <cellStyle name="Percent 4 5 6 2 3 2" xfId="11607"/>
    <cellStyle name="Percent 4 5 6 2 4" xfId="11608"/>
    <cellStyle name="Percent 4 5 6 3" xfId="11609"/>
    <cellStyle name="Percent 4 5 6 3 2" xfId="11610"/>
    <cellStyle name="Percent 4 5 6 3 2 2" xfId="11611"/>
    <cellStyle name="Percent 4 5 6 3 3" xfId="11612"/>
    <cellStyle name="Percent 4 5 6 3 3 2" xfId="11613"/>
    <cellStyle name="Percent 4 5 6 3 4" xfId="11614"/>
    <cellStyle name="Percent 4 5 6 4" xfId="11615"/>
    <cellStyle name="Percent 4 5 6 4 2" xfId="11616"/>
    <cellStyle name="Percent 4 5 6 4 2 2" xfId="11617"/>
    <cellStyle name="Percent 4 5 6 4 3" xfId="11618"/>
    <cellStyle name="Percent 4 5 6 4 3 2" xfId="11619"/>
    <cellStyle name="Percent 4 5 6 4 4" xfId="11620"/>
    <cellStyle name="Percent 4 5 6 4 4 2" xfId="11621"/>
    <cellStyle name="Percent 4 5 6 4 5" xfId="11622"/>
    <cellStyle name="Percent 4 5 6 5" xfId="11623"/>
    <cellStyle name="Percent 4 5 6 5 2" xfId="11624"/>
    <cellStyle name="Percent 4 5 6 5 2 2" xfId="11625"/>
    <cellStyle name="Percent 4 5 6 5 3" xfId="11626"/>
    <cellStyle name="Percent 4 5 6 5 3 2" xfId="11627"/>
    <cellStyle name="Percent 4 5 6 5 4" xfId="11628"/>
    <cellStyle name="Percent 4 5 6 6" xfId="11629"/>
    <cellStyle name="Percent 4 5 6 6 2" xfId="11630"/>
    <cellStyle name="Percent 4 5 6 7" xfId="11631"/>
    <cellStyle name="Percent 4 5 6 7 2" xfId="11632"/>
    <cellStyle name="Percent 4 5 6 8" xfId="11633"/>
    <cellStyle name="Percent 4 5 6 8 2" xfId="11634"/>
    <cellStyle name="Percent 4 5 6 9" xfId="11635"/>
    <cellStyle name="Percent 4 5 7 11" xfId="11636"/>
    <cellStyle name="Percent 4 5 7 10" xfId="11637"/>
    <cellStyle name="Percent 4 5 7 2" xfId="11638"/>
    <cellStyle name="Percent 4 5 7 2 2" xfId="11639"/>
    <cellStyle name="Percent 4 5 7 2 2 2" xfId="11640"/>
    <cellStyle name="Percent 4 5 7 2 3" xfId="11641"/>
    <cellStyle name="Percent 4 5 7 2 3 2" xfId="11642"/>
    <cellStyle name="Percent 4 5 7 2 4" xfId="11643"/>
    <cellStyle name="Percent 4 5 7 3" xfId="11644"/>
    <cellStyle name="Percent 4 5 7 3 2" xfId="11645"/>
    <cellStyle name="Percent 4 5 7 3 2 2" xfId="11646"/>
    <cellStyle name="Percent 4 5 7 3 3" xfId="11647"/>
    <cellStyle name="Percent 4 5 7 3 3 2" xfId="11648"/>
    <cellStyle name="Percent 4 5 7 3 4" xfId="11649"/>
    <cellStyle name="Percent 4 5 7 4" xfId="11650"/>
    <cellStyle name="Percent 4 5 7 4 2" xfId="11651"/>
    <cellStyle name="Percent 4 5 7 4 2 2" xfId="11652"/>
    <cellStyle name="Percent 4 5 7 4 3" xfId="11653"/>
    <cellStyle name="Percent 4 5 7 4 3 2" xfId="11654"/>
    <cellStyle name="Percent 4 5 7 4 4" xfId="11655"/>
    <cellStyle name="Percent 4 5 7 4 4 2" xfId="11656"/>
    <cellStyle name="Percent 4 5 7 4 5" xfId="11657"/>
    <cellStyle name="Percent 4 5 7 5" xfId="11658"/>
    <cellStyle name="Percent 4 5 7 5 2" xfId="11659"/>
    <cellStyle name="Percent 4 5 7 5 2 2" xfId="11660"/>
    <cellStyle name="Percent 4 5 7 5 3" xfId="11661"/>
    <cellStyle name="Percent 4 5 7 5 3 2" xfId="11662"/>
    <cellStyle name="Percent 4 5 7 5 4" xfId="11663"/>
    <cellStyle name="Percent 4 5 7 6" xfId="11664"/>
    <cellStyle name="Percent 4 5 7 6 2" xfId="11665"/>
    <cellStyle name="Percent 4 5 7 7" xfId="11666"/>
    <cellStyle name="Percent 4 5 7 7 2" xfId="11667"/>
    <cellStyle name="Percent 4 5 7 8" xfId="11668"/>
    <cellStyle name="Percent 4 5 7 8 2" xfId="11669"/>
    <cellStyle name="Percent 4 5 7 9" xfId="11670"/>
    <cellStyle name="Percent 4 5 8 11" xfId="11671"/>
    <cellStyle name="Percent 4 5 8 10" xfId="11672"/>
    <cellStyle name="Percent 4 5 8 2" xfId="11673"/>
    <cellStyle name="Percent 4 5 8 2 2" xfId="11674"/>
    <cellStyle name="Percent 4 5 8 2 2 2" xfId="11675"/>
    <cellStyle name="Percent 4 5 8 2 3" xfId="11676"/>
    <cellStyle name="Percent 4 5 8 2 3 2" xfId="11677"/>
    <cellStyle name="Percent 4 5 8 2 4" xfId="11678"/>
    <cellStyle name="Percent 4 5 8 3" xfId="11679"/>
    <cellStyle name="Percent 4 5 8 3 2" xfId="11680"/>
    <cellStyle name="Percent 4 5 8 3 2 2" xfId="11681"/>
    <cellStyle name="Percent 4 5 8 3 3" xfId="11682"/>
    <cellStyle name="Percent 4 5 8 3 3 2" xfId="11683"/>
    <cellStyle name="Percent 4 5 8 3 4" xfId="11684"/>
    <cellStyle name="Percent 4 5 8 4" xfId="11685"/>
    <cellStyle name="Percent 4 5 8 4 2" xfId="11686"/>
    <cellStyle name="Percent 4 5 8 4 2 2" xfId="11687"/>
    <cellStyle name="Percent 4 5 8 4 3" xfId="11688"/>
    <cellStyle name="Percent 4 5 8 4 3 2" xfId="11689"/>
    <cellStyle name="Percent 4 5 8 4 4" xfId="11690"/>
    <cellStyle name="Percent 4 5 8 4 4 2" xfId="11691"/>
    <cellStyle name="Percent 4 5 8 4 5" xfId="11692"/>
    <cellStyle name="Percent 4 5 8 5" xfId="11693"/>
    <cellStyle name="Percent 4 5 8 5 2" xfId="11694"/>
    <cellStyle name="Percent 4 5 8 5 2 2" xfId="11695"/>
    <cellStyle name="Percent 4 5 8 5 3" xfId="11696"/>
    <cellStyle name="Percent 4 5 8 5 3 2" xfId="11697"/>
    <cellStyle name="Percent 4 5 8 5 4" xfId="11698"/>
    <cellStyle name="Percent 4 5 8 6" xfId="11699"/>
    <cellStyle name="Percent 4 5 8 6 2" xfId="11700"/>
    <cellStyle name="Percent 4 5 8 7" xfId="11701"/>
    <cellStyle name="Percent 4 5 8 7 2" xfId="11702"/>
    <cellStyle name="Percent 4 5 8 8" xfId="11703"/>
    <cellStyle name="Percent 4 5 8 8 2" xfId="11704"/>
    <cellStyle name="Percent 4 5 8 9" xfId="11705"/>
    <cellStyle name="Percent 4 5 9" xfId="11706"/>
    <cellStyle name="Percent 4 5 9 2" xfId="11707"/>
    <cellStyle name="Percent 4 5 9 2 2" xfId="11708"/>
    <cellStyle name="Percent 4 5 9 3" xfId="11709"/>
    <cellStyle name="Percent 4 5 9 3 2" xfId="11710"/>
    <cellStyle name="Percent 4 5 9 4" xfId="11711"/>
    <cellStyle name="Percent 4 5 9 5" xfId="11712"/>
    <cellStyle name="Percent 4 6 19" xfId="11713"/>
    <cellStyle name="Percent 4 6 10" xfId="11714"/>
    <cellStyle name="Percent 4 6 10 2" xfId="11715"/>
    <cellStyle name="Percent 4 6 10 2 2" xfId="11716"/>
    <cellStyle name="Percent 4 6 10 3" xfId="11717"/>
    <cellStyle name="Percent 4 6 10 3 2" xfId="11718"/>
    <cellStyle name="Percent 4 6 10 4" xfId="11719"/>
    <cellStyle name="Percent 4 6 11" xfId="11720"/>
    <cellStyle name="Percent 4 6 11 2" xfId="11721"/>
    <cellStyle name="Percent 4 6 11 2 2" xfId="11722"/>
    <cellStyle name="Percent 4 6 11 3" xfId="11723"/>
    <cellStyle name="Percent 4 6 11 3 2" xfId="11724"/>
    <cellStyle name="Percent 4 6 11 4" xfId="11725"/>
    <cellStyle name="Percent 4 6 12" xfId="11726"/>
    <cellStyle name="Percent 4 6 12 2" xfId="11727"/>
    <cellStyle name="Percent 4 6 12 2 2" xfId="11728"/>
    <cellStyle name="Percent 4 6 12 3" xfId="11729"/>
    <cellStyle name="Percent 4 6 12 3 2" xfId="11730"/>
    <cellStyle name="Percent 4 6 12 4" xfId="11731"/>
    <cellStyle name="Percent 4 6 12 4 2" xfId="11732"/>
    <cellStyle name="Percent 4 6 12 5" xfId="11733"/>
    <cellStyle name="Percent 4 6 13" xfId="11734"/>
    <cellStyle name="Percent 4 6 13 2" xfId="11735"/>
    <cellStyle name="Percent 4 6 13 2 2" xfId="11736"/>
    <cellStyle name="Percent 4 6 13 3" xfId="11737"/>
    <cellStyle name="Percent 4 6 13 3 2" xfId="11738"/>
    <cellStyle name="Percent 4 6 13 4" xfId="11739"/>
    <cellStyle name="Percent 4 6 14" xfId="11740"/>
    <cellStyle name="Percent 4 6 14 2" xfId="11741"/>
    <cellStyle name="Percent 4 6 15" xfId="11742"/>
    <cellStyle name="Percent 4 6 15 2" xfId="11743"/>
    <cellStyle name="Percent 4 6 16" xfId="11744"/>
    <cellStyle name="Percent 4 6 16 2" xfId="11745"/>
    <cellStyle name="Percent 4 6 17" xfId="11746"/>
    <cellStyle name="Percent 4 6 18" xfId="11747"/>
    <cellStyle name="Percent 4 6 2 11" xfId="11748"/>
    <cellStyle name="Percent 4 6 2 10" xfId="11749"/>
    <cellStyle name="Percent 4 6 2 2" xfId="11750"/>
    <cellStyle name="Percent 4 6 2 2 2" xfId="11751"/>
    <cellStyle name="Percent 4 6 2 2 2 2" xfId="11752"/>
    <cellStyle name="Percent 4 6 2 2 3" xfId="11753"/>
    <cellStyle name="Percent 4 6 2 2 3 2" xfId="11754"/>
    <cellStyle name="Percent 4 6 2 2 4" xfId="11755"/>
    <cellStyle name="Percent 4 6 2 3" xfId="11756"/>
    <cellStyle name="Percent 4 6 2 3 2" xfId="11757"/>
    <cellStyle name="Percent 4 6 2 3 2 2" xfId="11758"/>
    <cellStyle name="Percent 4 6 2 3 3" xfId="11759"/>
    <cellStyle name="Percent 4 6 2 3 3 2" xfId="11760"/>
    <cellStyle name="Percent 4 6 2 3 4" xfId="11761"/>
    <cellStyle name="Percent 4 6 2 4" xfId="11762"/>
    <cellStyle name="Percent 4 6 2 4 2" xfId="11763"/>
    <cellStyle name="Percent 4 6 2 4 2 2" xfId="11764"/>
    <cellStyle name="Percent 4 6 2 4 3" xfId="11765"/>
    <cellStyle name="Percent 4 6 2 4 3 2" xfId="11766"/>
    <cellStyle name="Percent 4 6 2 4 4" xfId="11767"/>
    <cellStyle name="Percent 4 6 2 4 4 2" xfId="11768"/>
    <cellStyle name="Percent 4 6 2 4 5" xfId="11769"/>
    <cellStyle name="Percent 4 6 2 5" xfId="11770"/>
    <cellStyle name="Percent 4 6 2 5 2" xfId="11771"/>
    <cellStyle name="Percent 4 6 2 5 2 2" xfId="11772"/>
    <cellStyle name="Percent 4 6 2 5 3" xfId="11773"/>
    <cellStyle name="Percent 4 6 2 5 3 2" xfId="11774"/>
    <cellStyle name="Percent 4 6 2 5 4" xfId="11775"/>
    <cellStyle name="Percent 4 6 2 6" xfId="11776"/>
    <cellStyle name="Percent 4 6 2 6 2" xfId="11777"/>
    <cellStyle name="Percent 4 6 2 7" xfId="11778"/>
    <cellStyle name="Percent 4 6 2 7 2" xfId="11779"/>
    <cellStyle name="Percent 4 6 2 8" xfId="11780"/>
    <cellStyle name="Percent 4 6 2 8 2" xfId="11781"/>
    <cellStyle name="Percent 4 6 2 9" xfId="11782"/>
    <cellStyle name="Percent 4 6 3 11" xfId="11783"/>
    <cellStyle name="Percent 4 6 3 10" xfId="11784"/>
    <cellStyle name="Percent 4 6 3 2" xfId="11785"/>
    <cellStyle name="Percent 4 6 3 2 2" xfId="11786"/>
    <cellStyle name="Percent 4 6 3 2 2 2" xfId="11787"/>
    <cellStyle name="Percent 4 6 3 2 3" xfId="11788"/>
    <cellStyle name="Percent 4 6 3 2 3 2" xfId="11789"/>
    <cellStyle name="Percent 4 6 3 2 4" xfId="11790"/>
    <cellStyle name="Percent 4 6 3 3" xfId="11791"/>
    <cellStyle name="Percent 4 6 3 3 2" xfId="11792"/>
    <cellStyle name="Percent 4 6 3 3 2 2" xfId="11793"/>
    <cellStyle name="Percent 4 6 3 3 3" xfId="11794"/>
    <cellStyle name="Percent 4 6 3 3 3 2" xfId="11795"/>
    <cellStyle name="Percent 4 6 3 3 4" xfId="11796"/>
    <cellStyle name="Percent 4 6 3 4" xfId="11797"/>
    <cellStyle name="Percent 4 6 3 4 2" xfId="11798"/>
    <cellStyle name="Percent 4 6 3 4 2 2" xfId="11799"/>
    <cellStyle name="Percent 4 6 3 4 3" xfId="11800"/>
    <cellStyle name="Percent 4 6 3 4 3 2" xfId="11801"/>
    <cellStyle name="Percent 4 6 3 4 4" xfId="11802"/>
    <cellStyle name="Percent 4 6 3 4 4 2" xfId="11803"/>
    <cellStyle name="Percent 4 6 3 4 5" xfId="11804"/>
    <cellStyle name="Percent 4 6 3 5" xfId="11805"/>
    <cellStyle name="Percent 4 6 3 5 2" xfId="11806"/>
    <cellStyle name="Percent 4 6 3 5 2 2" xfId="11807"/>
    <cellStyle name="Percent 4 6 3 5 3" xfId="11808"/>
    <cellStyle name="Percent 4 6 3 5 3 2" xfId="11809"/>
    <cellStyle name="Percent 4 6 3 5 4" xfId="11810"/>
    <cellStyle name="Percent 4 6 3 6" xfId="11811"/>
    <cellStyle name="Percent 4 6 3 6 2" xfId="11812"/>
    <cellStyle name="Percent 4 6 3 7" xfId="11813"/>
    <cellStyle name="Percent 4 6 3 7 2" xfId="11814"/>
    <cellStyle name="Percent 4 6 3 8" xfId="11815"/>
    <cellStyle name="Percent 4 6 3 8 2" xfId="11816"/>
    <cellStyle name="Percent 4 6 3 9" xfId="11817"/>
    <cellStyle name="Percent 4 6 4 11" xfId="11818"/>
    <cellStyle name="Percent 4 6 4 10" xfId="11819"/>
    <cellStyle name="Percent 4 6 4 2" xfId="11820"/>
    <cellStyle name="Percent 4 6 4 2 2" xfId="11821"/>
    <cellStyle name="Percent 4 6 4 2 2 2" xfId="11822"/>
    <cellStyle name="Percent 4 6 4 2 3" xfId="11823"/>
    <cellStyle name="Percent 4 6 4 2 3 2" xfId="11824"/>
    <cellStyle name="Percent 4 6 4 2 4" xfId="11825"/>
    <cellStyle name="Percent 4 6 4 3" xfId="11826"/>
    <cellStyle name="Percent 4 6 4 3 2" xfId="11827"/>
    <cellStyle name="Percent 4 6 4 3 2 2" xfId="11828"/>
    <cellStyle name="Percent 4 6 4 3 3" xfId="11829"/>
    <cellStyle name="Percent 4 6 4 3 3 2" xfId="11830"/>
    <cellStyle name="Percent 4 6 4 3 4" xfId="11831"/>
    <cellStyle name="Percent 4 6 4 4" xfId="11832"/>
    <cellStyle name="Percent 4 6 4 4 2" xfId="11833"/>
    <cellStyle name="Percent 4 6 4 4 2 2" xfId="11834"/>
    <cellStyle name="Percent 4 6 4 4 3" xfId="11835"/>
    <cellStyle name="Percent 4 6 4 4 3 2" xfId="11836"/>
    <cellStyle name="Percent 4 6 4 4 4" xfId="11837"/>
    <cellStyle name="Percent 4 6 4 4 4 2" xfId="11838"/>
    <cellStyle name="Percent 4 6 4 4 5" xfId="11839"/>
    <cellStyle name="Percent 4 6 4 5" xfId="11840"/>
    <cellStyle name="Percent 4 6 4 5 2" xfId="11841"/>
    <cellStyle name="Percent 4 6 4 5 2 2" xfId="11842"/>
    <cellStyle name="Percent 4 6 4 5 3" xfId="11843"/>
    <cellStyle name="Percent 4 6 4 5 3 2" xfId="11844"/>
    <cellStyle name="Percent 4 6 4 5 4" xfId="11845"/>
    <cellStyle name="Percent 4 6 4 6" xfId="11846"/>
    <cellStyle name="Percent 4 6 4 6 2" xfId="11847"/>
    <cellStyle name="Percent 4 6 4 7" xfId="11848"/>
    <cellStyle name="Percent 4 6 4 7 2" xfId="11849"/>
    <cellStyle name="Percent 4 6 4 8" xfId="11850"/>
    <cellStyle name="Percent 4 6 4 8 2" xfId="11851"/>
    <cellStyle name="Percent 4 6 4 9" xfId="11852"/>
    <cellStyle name="Percent 4 6 5 11" xfId="11853"/>
    <cellStyle name="Percent 4 6 5 10" xfId="11854"/>
    <cellStyle name="Percent 4 6 5 2" xfId="11855"/>
    <cellStyle name="Percent 4 6 5 2 2" xfId="11856"/>
    <cellStyle name="Percent 4 6 5 2 2 2" xfId="11857"/>
    <cellStyle name="Percent 4 6 5 2 3" xfId="11858"/>
    <cellStyle name="Percent 4 6 5 2 3 2" xfId="11859"/>
    <cellStyle name="Percent 4 6 5 2 4" xfId="11860"/>
    <cellStyle name="Percent 4 6 5 3" xfId="11861"/>
    <cellStyle name="Percent 4 6 5 3 2" xfId="11862"/>
    <cellStyle name="Percent 4 6 5 3 2 2" xfId="11863"/>
    <cellStyle name="Percent 4 6 5 3 3" xfId="11864"/>
    <cellStyle name="Percent 4 6 5 3 3 2" xfId="11865"/>
    <cellStyle name="Percent 4 6 5 3 4" xfId="11866"/>
    <cellStyle name="Percent 4 6 5 4" xfId="11867"/>
    <cellStyle name="Percent 4 6 5 4 2" xfId="11868"/>
    <cellStyle name="Percent 4 6 5 4 2 2" xfId="11869"/>
    <cellStyle name="Percent 4 6 5 4 3" xfId="11870"/>
    <cellStyle name="Percent 4 6 5 4 3 2" xfId="11871"/>
    <cellStyle name="Percent 4 6 5 4 4" xfId="11872"/>
    <cellStyle name="Percent 4 6 5 4 4 2" xfId="11873"/>
    <cellStyle name="Percent 4 6 5 4 5" xfId="11874"/>
    <cellStyle name="Percent 4 6 5 5" xfId="11875"/>
    <cellStyle name="Percent 4 6 5 5 2" xfId="11876"/>
    <cellStyle name="Percent 4 6 5 5 2 2" xfId="11877"/>
    <cellStyle name="Percent 4 6 5 5 3" xfId="11878"/>
    <cellStyle name="Percent 4 6 5 5 3 2" xfId="11879"/>
    <cellStyle name="Percent 4 6 5 5 4" xfId="11880"/>
    <cellStyle name="Percent 4 6 5 6" xfId="11881"/>
    <cellStyle name="Percent 4 6 5 6 2" xfId="11882"/>
    <cellStyle name="Percent 4 6 5 7" xfId="11883"/>
    <cellStyle name="Percent 4 6 5 7 2" xfId="11884"/>
    <cellStyle name="Percent 4 6 5 8" xfId="11885"/>
    <cellStyle name="Percent 4 6 5 8 2" xfId="11886"/>
    <cellStyle name="Percent 4 6 5 9" xfId="11887"/>
    <cellStyle name="Percent 4 6 6 11" xfId="11888"/>
    <cellStyle name="Percent 4 6 6 10" xfId="11889"/>
    <cellStyle name="Percent 4 6 6 2" xfId="11890"/>
    <cellStyle name="Percent 4 6 6 2 2" xfId="11891"/>
    <cellStyle name="Percent 4 6 6 2 2 2" xfId="11892"/>
    <cellStyle name="Percent 4 6 6 2 3" xfId="11893"/>
    <cellStyle name="Percent 4 6 6 2 3 2" xfId="11894"/>
    <cellStyle name="Percent 4 6 6 2 4" xfId="11895"/>
    <cellStyle name="Percent 4 6 6 3" xfId="11896"/>
    <cellStyle name="Percent 4 6 6 3 2" xfId="11897"/>
    <cellStyle name="Percent 4 6 6 3 2 2" xfId="11898"/>
    <cellStyle name="Percent 4 6 6 3 3" xfId="11899"/>
    <cellStyle name="Percent 4 6 6 3 3 2" xfId="11900"/>
    <cellStyle name="Percent 4 6 6 3 4" xfId="11901"/>
    <cellStyle name="Percent 4 6 6 4" xfId="11902"/>
    <cellStyle name="Percent 4 6 6 4 2" xfId="11903"/>
    <cellStyle name="Percent 4 6 6 4 2 2" xfId="11904"/>
    <cellStyle name="Percent 4 6 6 4 3" xfId="11905"/>
    <cellStyle name="Percent 4 6 6 4 3 2" xfId="11906"/>
    <cellStyle name="Percent 4 6 6 4 4" xfId="11907"/>
    <cellStyle name="Percent 4 6 6 4 4 2" xfId="11908"/>
    <cellStyle name="Percent 4 6 6 4 5" xfId="11909"/>
    <cellStyle name="Percent 4 6 6 5" xfId="11910"/>
    <cellStyle name="Percent 4 6 6 5 2" xfId="11911"/>
    <cellStyle name="Percent 4 6 6 5 2 2" xfId="11912"/>
    <cellStyle name="Percent 4 6 6 5 3" xfId="11913"/>
    <cellStyle name="Percent 4 6 6 5 3 2" xfId="11914"/>
    <cellStyle name="Percent 4 6 6 5 4" xfId="11915"/>
    <cellStyle name="Percent 4 6 6 6" xfId="11916"/>
    <cellStyle name="Percent 4 6 6 6 2" xfId="11917"/>
    <cellStyle name="Percent 4 6 6 7" xfId="11918"/>
    <cellStyle name="Percent 4 6 6 7 2" xfId="11919"/>
    <cellStyle name="Percent 4 6 6 8" xfId="11920"/>
    <cellStyle name="Percent 4 6 6 8 2" xfId="11921"/>
    <cellStyle name="Percent 4 6 6 9" xfId="11922"/>
    <cellStyle name="Percent 4 6 7 11" xfId="11923"/>
    <cellStyle name="Percent 4 6 7 10" xfId="11924"/>
    <cellStyle name="Percent 4 6 7 2" xfId="11925"/>
    <cellStyle name="Percent 4 6 7 2 2" xfId="11926"/>
    <cellStyle name="Percent 4 6 7 2 2 2" xfId="11927"/>
    <cellStyle name="Percent 4 6 7 2 3" xfId="11928"/>
    <cellStyle name="Percent 4 6 7 2 3 2" xfId="11929"/>
    <cellStyle name="Percent 4 6 7 2 4" xfId="11930"/>
    <cellStyle name="Percent 4 6 7 3" xfId="11931"/>
    <cellStyle name="Percent 4 6 7 3 2" xfId="11932"/>
    <cellStyle name="Percent 4 6 7 3 2 2" xfId="11933"/>
    <cellStyle name="Percent 4 6 7 3 3" xfId="11934"/>
    <cellStyle name="Percent 4 6 7 3 3 2" xfId="11935"/>
    <cellStyle name="Percent 4 6 7 3 4" xfId="11936"/>
    <cellStyle name="Percent 4 6 7 4" xfId="11937"/>
    <cellStyle name="Percent 4 6 7 4 2" xfId="11938"/>
    <cellStyle name="Percent 4 6 7 4 2 2" xfId="11939"/>
    <cellStyle name="Percent 4 6 7 4 3" xfId="11940"/>
    <cellStyle name="Percent 4 6 7 4 3 2" xfId="11941"/>
    <cellStyle name="Percent 4 6 7 4 4" xfId="11942"/>
    <cellStyle name="Percent 4 6 7 4 4 2" xfId="11943"/>
    <cellStyle name="Percent 4 6 7 4 5" xfId="11944"/>
    <cellStyle name="Percent 4 6 7 5" xfId="11945"/>
    <cellStyle name="Percent 4 6 7 5 2" xfId="11946"/>
    <cellStyle name="Percent 4 6 7 5 2 2" xfId="11947"/>
    <cellStyle name="Percent 4 6 7 5 3" xfId="11948"/>
    <cellStyle name="Percent 4 6 7 5 3 2" xfId="11949"/>
    <cellStyle name="Percent 4 6 7 5 4" xfId="11950"/>
    <cellStyle name="Percent 4 6 7 6" xfId="11951"/>
    <cellStyle name="Percent 4 6 7 6 2" xfId="11952"/>
    <cellStyle name="Percent 4 6 7 7" xfId="11953"/>
    <cellStyle name="Percent 4 6 7 7 2" xfId="11954"/>
    <cellStyle name="Percent 4 6 7 8" xfId="11955"/>
    <cellStyle name="Percent 4 6 7 8 2" xfId="11956"/>
    <cellStyle name="Percent 4 6 7 9" xfId="11957"/>
    <cellStyle name="Percent 4 6 8 11" xfId="11958"/>
    <cellStyle name="Percent 4 6 8 10" xfId="11959"/>
    <cellStyle name="Percent 4 6 8 2" xfId="11960"/>
    <cellStyle name="Percent 4 6 8 2 2" xfId="11961"/>
    <cellStyle name="Percent 4 6 8 2 2 2" xfId="11962"/>
    <cellStyle name="Percent 4 6 8 2 3" xfId="11963"/>
    <cellStyle name="Percent 4 6 8 2 3 2" xfId="11964"/>
    <cellStyle name="Percent 4 6 8 2 4" xfId="11965"/>
    <cellStyle name="Percent 4 6 8 3" xfId="11966"/>
    <cellStyle name="Percent 4 6 8 3 2" xfId="11967"/>
    <cellStyle name="Percent 4 6 8 3 2 2" xfId="11968"/>
    <cellStyle name="Percent 4 6 8 3 3" xfId="11969"/>
    <cellStyle name="Percent 4 6 8 3 3 2" xfId="11970"/>
    <cellStyle name="Percent 4 6 8 3 4" xfId="11971"/>
    <cellStyle name="Percent 4 6 8 4" xfId="11972"/>
    <cellStyle name="Percent 4 6 8 4 2" xfId="11973"/>
    <cellStyle name="Percent 4 6 8 4 2 2" xfId="11974"/>
    <cellStyle name="Percent 4 6 8 4 3" xfId="11975"/>
    <cellStyle name="Percent 4 6 8 4 3 2" xfId="11976"/>
    <cellStyle name="Percent 4 6 8 4 4" xfId="11977"/>
    <cellStyle name="Percent 4 6 8 4 4 2" xfId="11978"/>
    <cellStyle name="Percent 4 6 8 4 5" xfId="11979"/>
    <cellStyle name="Percent 4 6 8 5" xfId="11980"/>
    <cellStyle name="Percent 4 6 8 5 2" xfId="11981"/>
    <cellStyle name="Percent 4 6 8 5 2 2" xfId="11982"/>
    <cellStyle name="Percent 4 6 8 5 3" xfId="11983"/>
    <cellStyle name="Percent 4 6 8 5 3 2" xfId="11984"/>
    <cellStyle name="Percent 4 6 8 5 4" xfId="11985"/>
    <cellStyle name="Percent 4 6 8 6" xfId="11986"/>
    <cellStyle name="Percent 4 6 8 6 2" xfId="11987"/>
    <cellStyle name="Percent 4 6 8 7" xfId="11988"/>
    <cellStyle name="Percent 4 6 8 7 2" xfId="11989"/>
    <cellStyle name="Percent 4 6 8 8" xfId="11990"/>
    <cellStyle name="Percent 4 6 8 8 2" xfId="11991"/>
    <cellStyle name="Percent 4 6 8 9" xfId="11992"/>
    <cellStyle name="Percent 4 6 9" xfId="11993"/>
    <cellStyle name="Percent 4 6 9 2" xfId="11994"/>
    <cellStyle name="Percent 4 6 9 2 2" xfId="11995"/>
    <cellStyle name="Percent 4 6 9 3" xfId="11996"/>
    <cellStyle name="Percent 4 6 9 3 2" xfId="11997"/>
    <cellStyle name="Percent 4 6 9 4" xfId="11998"/>
    <cellStyle name="Percent 4 6 9 5" xfId="11999"/>
    <cellStyle name="Percent 4 7 12" xfId="12000"/>
    <cellStyle name="Percent 4 7 10" xfId="12001"/>
    <cellStyle name="Percent 4 7 11" xfId="12002"/>
    <cellStyle name="Percent 4 7 2" xfId="12003"/>
    <cellStyle name="Percent 4 7 2 2" xfId="12004"/>
    <cellStyle name="Percent 4 7 2 2 2" xfId="12005"/>
    <cellStyle name="Percent 4 7 2 3" xfId="12006"/>
    <cellStyle name="Percent 4 7 2 3 2" xfId="12007"/>
    <cellStyle name="Percent 4 7 2 4" xfId="12008"/>
    <cellStyle name="Percent 4 7 2 5" xfId="12009"/>
    <cellStyle name="Percent 4 7 3" xfId="12010"/>
    <cellStyle name="Percent 4 7 3 2" xfId="12011"/>
    <cellStyle name="Percent 4 7 3 2 2" xfId="12012"/>
    <cellStyle name="Percent 4 7 3 3" xfId="12013"/>
    <cellStyle name="Percent 4 7 3 3 2" xfId="12014"/>
    <cellStyle name="Percent 4 7 3 4" xfId="12015"/>
    <cellStyle name="Percent 4 7 4" xfId="12016"/>
    <cellStyle name="Percent 4 7 4 2" xfId="12017"/>
    <cellStyle name="Percent 4 7 4 2 2" xfId="12018"/>
    <cellStyle name="Percent 4 7 4 3" xfId="12019"/>
    <cellStyle name="Percent 4 7 4 3 2" xfId="12020"/>
    <cellStyle name="Percent 4 7 4 4" xfId="12021"/>
    <cellStyle name="Percent 4 7 5" xfId="12022"/>
    <cellStyle name="Percent 4 7 5 2" xfId="12023"/>
    <cellStyle name="Percent 4 7 5 2 2" xfId="12024"/>
    <cellStyle name="Percent 4 7 5 3" xfId="12025"/>
    <cellStyle name="Percent 4 7 5 3 2" xfId="12026"/>
    <cellStyle name="Percent 4 7 5 4" xfId="12027"/>
    <cellStyle name="Percent 4 7 5 4 2" xfId="12028"/>
    <cellStyle name="Percent 4 7 5 5" xfId="12029"/>
    <cellStyle name="Percent 4 7 6" xfId="12030"/>
    <cellStyle name="Percent 4 7 6 2" xfId="12031"/>
    <cellStyle name="Percent 4 7 6 2 2" xfId="12032"/>
    <cellStyle name="Percent 4 7 6 3" xfId="12033"/>
    <cellStyle name="Percent 4 7 6 3 2" xfId="12034"/>
    <cellStyle name="Percent 4 7 6 4" xfId="12035"/>
    <cellStyle name="Percent 4 7 7" xfId="12036"/>
    <cellStyle name="Percent 4 7 7 2" xfId="12037"/>
    <cellStyle name="Percent 4 7 8" xfId="12038"/>
    <cellStyle name="Percent 4 7 8 2" xfId="12039"/>
    <cellStyle name="Percent 4 7 9" xfId="12040"/>
    <cellStyle name="Percent 4 7 9 2" xfId="12041"/>
    <cellStyle name="Percent 4 8 12" xfId="12042"/>
    <cellStyle name="Percent 4 8 10" xfId="12043"/>
    <cellStyle name="Percent 4 8 11" xfId="12044"/>
    <cellStyle name="Percent 4 8 2" xfId="12045"/>
    <cellStyle name="Percent 4 8 2 2" xfId="12046"/>
    <cellStyle name="Percent 4 8 2 2 2" xfId="12047"/>
    <cellStyle name="Percent 4 8 2 3" xfId="12048"/>
    <cellStyle name="Percent 4 8 2 3 2" xfId="12049"/>
    <cellStyle name="Percent 4 8 2 4" xfId="12050"/>
    <cellStyle name="Percent 4 8 2 5" xfId="12051"/>
    <cellStyle name="Percent 4 8 3" xfId="12052"/>
    <cellStyle name="Percent 4 8 3 2" xfId="12053"/>
    <cellStyle name="Percent 4 8 3 2 2" xfId="12054"/>
    <cellStyle name="Percent 4 8 3 3" xfId="12055"/>
    <cellStyle name="Percent 4 8 3 3 2" xfId="12056"/>
    <cellStyle name="Percent 4 8 3 4" xfId="12057"/>
    <cellStyle name="Percent 4 8 4" xfId="12058"/>
    <cellStyle name="Percent 4 8 4 2" xfId="12059"/>
    <cellStyle name="Percent 4 8 4 2 2" xfId="12060"/>
    <cellStyle name="Percent 4 8 4 3" xfId="12061"/>
    <cellStyle name="Percent 4 8 4 3 2" xfId="12062"/>
    <cellStyle name="Percent 4 8 4 4" xfId="12063"/>
    <cellStyle name="Percent 4 8 5" xfId="12064"/>
    <cellStyle name="Percent 4 8 5 2" xfId="12065"/>
    <cellStyle name="Percent 4 8 5 2 2" xfId="12066"/>
    <cellStyle name="Percent 4 8 5 3" xfId="12067"/>
    <cellStyle name="Percent 4 8 5 3 2" xfId="12068"/>
    <cellStyle name="Percent 4 8 5 4" xfId="12069"/>
    <cellStyle name="Percent 4 8 5 4 2" xfId="12070"/>
    <cellStyle name="Percent 4 8 5 5" xfId="12071"/>
    <cellStyle name="Percent 4 8 6" xfId="12072"/>
    <cellStyle name="Percent 4 8 6 2" xfId="12073"/>
    <cellStyle name="Percent 4 8 6 2 2" xfId="12074"/>
    <cellStyle name="Percent 4 8 6 3" xfId="12075"/>
    <cellStyle name="Percent 4 8 6 3 2" xfId="12076"/>
    <cellStyle name="Percent 4 8 6 4" xfId="12077"/>
    <cellStyle name="Percent 4 8 7" xfId="12078"/>
    <cellStyle name="Percent 4 8 7 2" xfId="12079"/>
    <cellStyle name="Percent 4 8 8" xfId="12080"/>
    <cellStyle name="Percent 4 8 8 2" xfId="12081"/>
    <cellStyle name="Percent 4 8 9" xfId="12082"/>
    <cellStyle name="Percent 4 8 9 2" xfId="12083"/>
    <cellStyle name="Percent 4 9 12" xfId="12084"/>
    <cellStyle name="Percent 4 9 10" xfId="12085"/>
    <cellStyle name="Percent 4 9 11" xfId="12086"/>
    <cellStyle name="Percent 4 9 2" xfId="12087"/>
    <cellStyle name="Percent 4 9 2 2" xfId="12088"/>
    <cellStyle name="Percent 4 9 2 2 2" xfId="12089"/>
    <cellStyle name="Percent 4 9 2 3" xfId="12090"/>
    <cellStyle name="Percent 4 9 2 3 2" xfId="12091"/>
    <cellStyle name="Percent 4 9 2 4" xfId="12092"/>
    <cellStyle name="Percent 4 9 2 5" xfId="12093"/>
    <cellStyle name="Percent 4 9 3" xfId="12094"/>
    <cellStyle name="Percent 4 9 3 2" xfId="12095"/>
    <cellStyle name="Percent 4 9 3 2 2" xfId="12096"/>
    <cellStyle name="Percent 4 9 3 3" xfId="12097"/>
    <cellStyle name="Percent 4 9 3 3 2" xfId="12098"/>
    <cellStyle name="Percent 4 9 3 4" xfId="12099"/>
    <cellStyle name="Percent 4 9 4" xfId="12100"/>
    <cellStyle name="Percent 4 9 4 2" xfId="12101"/>
    <cellStyle name="Percent 4 9 4 2 2" xfId="12102"/>
    <cellStyle name="Percent 4 9 4 3" xfId="12103"/>
    <cellStyle name="Percent 4 9 4 3 2" xfId="12104"/>
    <cellStyle name="Percent 4 9 4 4" xfId="12105"/>
    <cellStyle name="Percent 4 9 5" xfId="12106"/>
    <cellStyle name="Percent 4 9 5 2" xfId="12107"/>
    <cellStyle name="Percent 4 9 5 2 2" xfId="12108"/>
    <cellStyle name="Percent 4 9 5 3" xfId="12109"/>
    <cellStyle name="Percent 4 9 5 3 2" xfId="12110"/>
    <cellStyle name="Percent 4 9 5 4" xfId="12111"/>
    <cellStyle name="Percent 4 9 5 4 2" xfId="12112"/>
    <cellStyle name="Percent 4 9 5 5" xfId="12113"/>
    <cellStyle name="Percent 4 9 6" xfId="12114"/>
    <cellStyle name="Percent 4 9 6 2" xfId="12115"/>
    <cellStyle name="Percent 4 9 6 2 2" xfId="12116"/>
    <cellStyle name="Percent 4 9 6 3" xfId="12117"/>
    <cellStyle name="Percent 4 9 6 3 2" xfId="12118"/>
    <cellStyle name="Percent 4 9 6 4" xfId="12119"/>
    <cellStyle name="Percent 4 9 7" xfId="12120"/>
    <cellStyle name="Percent 4 9 7 2" xfId="12121"/>
    <cellStyle name="Percent 4 9 8" xfId="12122"/>
    <cellStyle name="Percent 4 9 8 2" xfId="12123"/>
    <cellStyle name="Percent 4 9 9" xfId="12124"/>
    <cellStyle name="Percent 4 9 9 2" xfId="12125"/>
    <cellStyle name="Percent 5 20" xfId="12126"/>
    <cellStyle name="Percent 5 10 6" xfId="12127"/>
    <cellStyle name="Percent 5 10 2" xfId="12128"/>
    <cellStyle name="Percent 5 10 2 2" xfId="12129"/>
    <cellStyle name="Percent 5 10 3" xfId="12130"/>
    <cellStyle name="Percent 5 10 3 2" xfId="12131"/>
    <cellStyle name="Percent 5 10 4" xfId="12132"/>
    <cellStyle name="Percent 5 10 5" xfId="12133"/>
    <cellStyle name="Percent 5 11 6" xfId="12134"/>
    <cellStyle name="Percent 5 11 2" xfId="12135"/>
    <cellStyle name="Percent 5 11 2 2" xfId="12136"/>
    <cellStyle name="Percent 5 11 3" xfId="12137"/>
    <cellStyle name="Percent 5 11 3 2" xfId="12138"/>
    <cellStyle name="Percent 5 11 4" xfId="12139"/>
    <cellStyle name="Percent 5 11 5" xfId="12140"/>
    <cellStyle name="Percent 5 12" xfId="12141"/>
    <cellStyle name="Percent 5 12 2" xfId="12142"/>
    <cellStyle name="Percent 5 12 2 2" xfId="12143"/>
    <cellStyle name="Percent 5 12 3" xfId="12144"/>
    <cellStyle name="Percent 5 12 3 2" xfId="12145"/>
    <cellStyle name="Percent 5 12 4" xfId="12146"/>
    <cellStyle name="Percent 5 13" xfId="12147"/>
    <cellStyle name="Percent 5 13 2" xfId="12148"/>
    <cellStyle name="Percent 5 13 2 2" xfId="12149"/>
    <cellStyle name="Percent 5 13 3" xfId="12150"/>
    <cellStyle name="Percent 5 13 3 2" xfId="12151"/>
    <cellStyle name="Percent 5 13 4" xfId="12152"/>
    <cellStyle name="Percent 5 13 4 2" xfId="12153"/>
    <cellStyle name="Percent 5 13 5" xfId="12154"/>
    <cellStyle name="Percent 5 14" xfId="12155"/>
    <cellStyle name="Percent 5 14 2" xfId="12156"/>
    <cellStyle name="Percent 5 14 2 2" xfId="12157"/>
    <cellStyle name="Percent 5 14 3" xfId="12158"/>
    <cellStyle name="Percent 5 14 3 2" xfId="12159"/>
    <cellStyle name="Percent 5 14 4" xfId="12160"/>
    <cellStyle name="Percent 5 15" xfId="12161"/>
    <cellStyle name="Percent 5 15 2" xfId="12162"/>
    <cellStyle name="Percent 5 16" xfId="12163"/>
    <cellStyle name="Percent 5 16 2" xfId="12164"/>
    <cellStyle name="Percent 5 17" xfId="12165"/>
    <cellStyle name="Percent 5 17 2" xfId="12166"/>
    <cellStyle name="Percent 5 18" xfId="12167"/>
    <cellStyle name="Percent 5 19" xfId="12168"/>
    <cellStyle name="Percent 5 2 11" xfId="12169"/>
    <cellStyle name="Percent 5 2 10" xfId="12170"/>
    <cellStyle name="Percent 5 2 2" xfId="12171"/>
    <cellStyle name="Percent 5 2 2 2" xfId="12172"/>
    <cellStyle name="Percent 5 2 2 2 2" xfId="12173"/>
    <cellStyle name="Percent 5 2 2 3" xfId="12174"/>
    <cellStyle name="Percent 5 2 2 3 2" xfId="12175"/>
    <cellStyle name="Percent 5 2 2 4" xfId="12176"/>
    <cellStyle name="Percent 5 2 2 5" xfId="12177"/>
    <cellStyle name="Percent 5 2 3" xfId="12178"/>
    <cellStyle name="Percent 5 2 3 2" xfId="12179"/>
    <cellStyle name="Percent 5 2 3 2 2" xfId="12180"/>
    <cellStyle name="Percent 5 2 3 3" xfId="12181"/>
    <cellStyle name="Percent 5 2 3 3 2" xfId="12182"/>
    <cellStyle name="Percent 5 2 3 4" xfId="12183"/>
    <cellStyle name="Percent 5 2 4" xfId="12184"/>
    <cellStyle name="Percent 5 2 4 2" xfId="12185"/>
    <cellStyle name="Percent 5 2 4 2 2" xfId="12186"/>
    <cellStyle name="Percent 5 2 4 3" xfId="12187"/>
    <cellStyle name="Percent 5 2 4 3 2" xfId="12188"/>
    <cellStyle name="Percent 5 2 4 4" xfId="12189"/>
    <cellStyle name="Percent 5 2 4 4 2" xfId="12190"/>
    <cellStyle name="Percent 5 2 4 5" xfId="12191"/>
    <cellStyle name="Percent 5 2 5" xfId="12192"/>
    <cellStyle name="Percent 5 2 5 2" xfId="12193"/>
    <cellStyle name="Percent 5 2 5 2 2" xfId="12194"/>
    <cellStyle name="Percent 5 2 5 3" xfId="12195"/>
    <cellStyle name="Percent 5 2 5 3 2" xfId="12196"/>
    <cellStyle name="Percent 5 2 5 4" xfId="12197"/>
    <cellStyle name="Percent 5 2 6" xfId="12198"/>
    <cellStyle name="Percent 5 2 6 2" xfId="12199"/>
    <cellStyle name="Percent 5 2 7" xfId="12200"/>
    <cellStyle name="Percent 5 2 7 2" xfId="12201"/>
    <cellStyle name="Percent 5 2 8" xfId="12202"/>
    <cellStyle name="Percent 5 2 8 2" xfId="12203"/>
    <cellStyle name="Percent 5 2 9" xfId="12204"/>
    <cellStyle name="Percent 5 3 12" xfId="12205"/>
    <cellStyle name="Percent 5 3 10" xfId="12206"/>
    <cellStyle name="Percent 5 3 11" xfId="12207"/>
    <cellStyle name="Percent 5 3 2 11" xfId="12208"/>
    <cellStyle name="Percent 5 3 2 10" xfId="12209"/>
    <cellStyle name="Percent 5 3 2 2" xfId="12210"/>
    <cellStyle name="Percent 5 3 2 2 2" xfId="12211"/>
    <cellStyle name="Percent 5 3 2 2 2 2" xfId="12212"/>
    <cellStyle name="Percent 5 3 2 2 3" xfId="12213"/>
    <cellStyle name="Percent 5 3 2 2 3 2" xfId="12214"/>
    <cellStyle name="Percent 5 3 2 2 4" xfId="12215"/>
    <cellStyle name="Percent 5 3 2 2 5" xfId="12216"/>
    <cellStyle name="Percent 5 3 2 3" xfId="12217"/>
    <cellStyle name="Percent 5 3 2 3 2" xfId="12218"/>
    <cellStyle name="Percent 5 3 2 3 2 2" xfId="12219"/>
    <cellStyle name="Percent 5 3 2 3 3" xfId="12220"/>
    <cellStyle name="Percent 5 3 2 3 3 2" xfId="12221"/>
    <cellStyle name="Percent 5 3 2 3 4" xfId="12222"/>
    <cellStyle name="Percent 5 3 2 4" xfId="12223"/>
    <cellStyle name="Percent 5 3 2 4 2" xfId="12224"/>
    <cellStyle name="Percent 5 3 2 4 2 2" xfId="12225"/>
    <cellStyle name="Percent 5 3 2 4 3" xfId="12226"/>
    <cellStyle name="Percent 5 3 2 4 3 2" xfId="12227"/>
    <cellStyle name="Percent 5 3 2 4 4" xfId="12228"/>
    <cellStyle name="Percent 5 3 2 4 4 2" xfId="12229"/>
    <cellStyle name="Percent 5 3 2 4 5" xfId="12230"/>
    <cellStyle name="Percent 5 3 2 5" xfId="12231"/>
    <cellStyle name="Percent 5 3 2 5 2" xfId="12232"/>
    <cellStyle name="Percent 5 3 2 5 2 2" xfId="12233"/>
    <cellStyle name="Percent 5 3 2 5 3" xfId="12234"/>
    <cellStyle name="Percent 5 3 2 5 3 2" xfId="12235"/>
    <cellStyle name="Percent 5 3 2 5 4" xfId="12236"/>
    <cellStyle name="Percent 5 3 2 6" xfId="12237"/>
    <cellStyle name="Percent 5 3 2 6 2" xfId="12238"/>
    <cellStyle name="Percent 5 3 2 7" xfId="12239"/>
    <cellStyle name="Percent 5 3 2 7 2" xfId="12240"/>
    <cellStyle name="Percent 5 3 2 8" xfId="12241"/>
    <cellStyle name="Percent 5 3 2 8 2" xfId="12242"/>
    <cellStyle name="Percent 5 3 2 9" xfId="12243"/>
    <cellStyle name="Percent 5 3 3" xfId="12244"/>
    <cellStyle name="Percent 5 3 3 2" xfId="12245"/>
    <cellStyle name="Percent 5 3 3 2 2" xfId="12246"/>
    <cellStyle name="Percent 5 3 3 3" xfId="12247"/>
    <cellStyle name="Percent 5 3 3 3 2" xfId="12248"/>
    <cellStyle name="Percent 5 3 3 4" xfId="12249"/>
    <cellStyle name="Percent 5 3 3 5" xfId="12250"/>
    <cellStyle name="Percent 5 3 4" xfId="12251"/>
    <cellStyle name="Percent 5 3 4 2" xfId="12252"/>
    <cellStyle name="Percent 5 3 4 2 2" xfId="12253"/>
    <cellStyle name="Percent 5 3 4 3" xfId="12254"/>
    <cellStyle name="Percent 5 3 4 3 2" xfId="12255"/>
    <cellStyle name="Percent 5 3 4 4" xfId="12256"/>
    <cellStyle name="Percent 5 3 5" xfId="12257"/>
    <cellStyle name="Percent 5 3 5 2" xfId="12258"/>
    <cellStyle name="Percent 5 3 5 2 2" xfId="12259"/>
    <cellStyle name="Percent 5 3 5 3" xfId="12260"/>
    <cellStyle name="Percent 5 3 5 3 2" xfId="12261"/>
    <cellStyle name="Percent 5 3 5 4" xfId="12262"/>
    <cellStyle name="Percent 5 3 5 4 2" xfId="12263"/>
    <cellStyle name="Percent 5 3 5 5" xfId="12264"/>
    <cellStyle name="Percent 5 3 6" xfId="12265"/>
    <cellStyle name="Percent 5 3 6 2" xfId="12266"/>
    <cellStyle name="Percent 5 3 6 2 2" xfId="12267"/>
    <cellStyle name="Percent 5 3 6 3" xfId="12268"/>
    <cellStyle name="Percent 5 3 6 3 2" xfId="12269"/>
    <cellStyle name="Percent 5 3 6 4" xfId="12270"/>
    <cellStyle name="Percent 5 3 7" xfId="12271"/>
    <cellStyle name="Percent 5 3 7 2" xfId="12272"/>
    <cellStyle name="Percent 5 3 8" xfId="12273"/>
    <cellStyle name="Percent 5 3 8 2" xfId="12274"/>
    <cellStyle name="Percent 5 3 9" xfId="12275"/>
    <cellStyle name="Percent 5 3 9 2" xfId="12276"/>
    <cellStyle name="Percent 5 4 11" xfId="12277"/>
    <cellStyle name="Percent 5 4 10" xfId="12278"/>
    <cellStyle name="Percent 5 4 2 5" xfId="12279"/>
    <cellStyle name="Percent 5 4 2 2" xfId="12280"/>
    <cellStyle name="Percent 5 4 2 2 2" xfId="12281"/>
    <cellStyle name="Percent 5 4 2 3" xfId="12282"/>
    <cellStyle name="Percent 5 4 2 3 2" xfId="12283"/>
    <cellStyle name="Percent 5 4 2 4" xfId="12284"/>
    <cellStyle name="Percent 5 4 3" xfId="12285"/>
    <cellStyle name="Percent 5 4 3 2" xfId="12286"/>
    <cellStyle name="Percent 5 4 3 2 2" xfId="12287"/>
    <cellStyle name="Percent 5 4 3 3" xfId="12288"/>
    <cellStyle name="Percent 5 4 3 3 2" xfId="12289"/>
    <cellStyle name="Percent 5 4 3 4" xfId="12290"/>
    <cellStyle name="Percent 5 4 4" xfId="12291"/>
    <cellStyle name="Percent 5 4 4 2" xfId="12292"/>
    <cellStyle name="Percent 5 4 4 2 2" xfId="12293"/>
    <cellStyle name="Percent 5 4 4 3" xfId="12294"/>
    <cellStyle name="Percent 5 4 4 3 2" xfId="12295"/>
    <cellStyle name="Percent 5 4 4 4" xfId="12296"/>
    <cellStyle name="Percent 5 4 4 4 2" xfId="12297"/>
    <cellStyle name="Percent 5 4 4 5" xfId="12298"/>
    <cellStyle name="Percent 5 4 5" xfId="12299"/>
    <cellStyle name="Percent 5 4 5 2" xfId="12300"/>
    <cellStyle name="Percent 5 4 5 2 2" xfId="12301"/>
    <cellStyle name="Percent 5 4 5 3" xfId="12302"/>
    <cellStyle name="Percent 5 4 5 3 2" xfId="12303"/>
    <cellStyle name="Percent 5 4 5 4" xfId="12304"/>
    <cellStyle name="Percent 5 4 6" xfId="12305"/>
    <cellStyle name="Percent 5 4 6 2" xfId="12306"/>
    <cellStyle name="Percent 5 4 7" xfId="12307"/>
    <cellStyle name="Percent 5 4 7 2" xfId="12308"/>
    <cellStyle name="Percent 5 4 8" xfId="12309"/>
    <cellStyle name="Percent 5 4 8 2" xfId="12310"/>
    <cellStyle name="Percent 5 4 9" xfId="12311"/>
    <cellStyle name="Percent 5 5 11" xfId="12312"/>
    <cellStyle name="Percent 5 5 10" xfId="12313"/>
    <cellStyle name="Percent 5 5 2 5" xfId="12314"/>
    <cellStyle name="Percent 5 5 2 2" xfId="12315"/>
    <cellStyle name="Percent 5 5 2 2 2" xfId="12316"/>
    <cellStyle name="Percent 5 5 2 3" xfId="12317"/>
    <cellStyle name="Percent 5 5 2 3 2" xfId="12318"/>
    <cellStyle name="Percent 5 5 2 4" xfId="12319"/>
    <cellStyle name="Percent 5 5 3" xfId="12320"/>
    <cellStyle name="Percent 5 5 3 2" xfId="12321"/>
    <cellStyle name="Percent 5 5 3 2 2" xfId="12322"/>
    <cellStyle name="Percent 5 5 3 3" xfId="12323"/>
    <cellStyle name="Percent 5 5 3 3 2" xfId="12324"/>
    <cellStyle name="Percent 5 5 3 4" xfId="12325"/>
    <cellStyle name="Percent 5 5 4" xfId="12326"/>
    <cellStyle name="Percent 5 5 4 2" xfId="12327"/>
    <cellStyle name="Percent 5 5 4 2 2" xfId="12328"/>
    <cellStyle name="Percent 5 5 4 3" xfId="12329"/>
    <cellStyle name="Percent 5 5 4 3 2" xfId="12330"/>
    <cellStyle name="Percent 5 5 4 4" xfId="12331"/>
    <cellStyle name="Percent 5 5 4 4 2" xfId="12332"/>
    <cellStyle name="Percent 5 5 4 5" xfId="12333"/>
    <cellStyle name="Percent 5 5 5" xfId="12334"/>
    <cellStyle name="Percent 5 5 5 2" xfId="12335"/>
    <cellStyle name="Percent 5 5 5 2 2" xfId="12336"/>
    <cellStyle name="Percent 5 5 5 3" xfId="12337"/>
    <cellStyle name="Percent 5 5 5 3 2" xfId="12338"/>
    <cellStyle name="Percent 5 5 5 4" xfId="12339"/>
    <cellStyle name="Percent 5 5 6" xfId="12340"/>
    <cellStyle name="Percent 5 5 6 2" xfId="12341"/>
    <cellStyle name="Percent 5 5 7" xfId="12342"/>
    <cellStyle name="Percent 5 5 7 2" xfId="12343"/>
    <cellStyle name="Percent 5 5 8" xfId="12344"/>
    <cellStyle name="Percent 5 5 8 2" xfId="12345"/>
    <cellStyle name="Percent 5 5 9" xfId="12346"/>
    <cellStyle name="Percent 5 6 11" xfId="12347"/>
    <cellStyle name="Percent 5 6 10" xfId="12348"/>
    <cellStyle name="Percent 5 6 2" xfId="12349"/>
    <cellStyle name="Percent 5 6 2 2" xfId="12350"/>
    <cellStyle name="Percent 5 6 2 2 2" xfId="12351"/>
    <cellStyle name="Percent 5 6 2 3" xfId="12352"/>
    <cellStyle name="Percent 5 6 2 3 2" xfId="12353"/>
    <cellStyle name="Percent 5 6 2 4" xfId="12354"/>
    <cellStyle name="Percent 5 6 3" xfId="12355"/>
    <cellStyle name="Percent 5 6 3 2" xfId="12356"/>
    <cellStyle name="Percent 5 6 3 2 2" xfId="12357"/>
    <cellStyle name="Percent 5 6 3 3" xfId="12358"/>
    <cellStyle name="Percent 5 6 3 3 2" xfId="12359"/>
    <cellStyle name="Percent 5 6 3 4" xfId="12360"/>
    <cellStyle name="Percent 5 6 4" xfId="12361"/>
    <cellStyle name="Percent 5 6 4 2" xfId="12362"/>
    <cellStyle name="Percent 5 6 4 2 2" xfId="12363"/>
    <cellStyle name="Percent 5 6 4 3" xfId="12364"/>
    <cellStyle name="Percent 5 6 4 3 2" xfId="12365"/>
    <cellStyle name="Percent 5 6 4 4" xfId="12366"/>
    <cellStyle name="Percent 5 6 4 4 2" xfId="12367"/>
    <cellStyle name="Percent 5 6 4 5" xfId="12368"/>
    <cellStyle name="Percent 5 6 5" xfId="12369"/>
    <cellStyle name="Percent 5 6 5 2" xfId="12370"/>
    <cellStyle name="Percent 5 6 5 2 2" xfId="12371"/>
    <cellStyle name="Percent 5 6 5 3" xfId="12372"/>
    <cellStyle name="Percent 5 6 5 3 2" xfId="12373"/>
    <cellStyle name="Percent 5 6 5 4" xfId="12374"/>
    <cellStyle name="Percent 5 6 6" xfId="12375"/>
    <cellStyle name="Percent 5 6 6 2" xfId="12376"/>
    <cellStyle name="Percent 5 6 7" xfId="12377"/>
    <cellStyle name="Percent 5 6 7 2" xfId="12378"/>
    <cellStyle name="Percent 5 6 8" xfId="12379"/>
    <cellStyle name="Percent 5 6 8 2" xfId="12380"/>
    <cellStyle name="Percent 5 6 9" xfId="12381"/>
    <cellStyle name="Percent 5 7 11" xfId="12382"/>
    <cellStyle name="Percent 5 7 10" xfId="12383"/>
    <cellStyle name="Percent 5 7 2" xfId="12384"/>
    <cellStyle name="Percent 5 7 2 2" xfId="12385"/>
    <cellStyle name="Percent 5 7 2 2 2" xfId="12386"/>
    <cellStyle name="Percent 5 7 2 3" xfId="12387"/>
    <cellStyle name="Percent 5 7 2 3 2" xfId="12388"/>
    <cellStyle name="Percent 5 7 2 4" xfId="12389"/>
    <cellStyle name="Percent 5 7 3" xfId="12390"/>
    <cellStyle name="Percent 5 7 3 2" xfId="12391"/>
    <cellStyle name="Percent 5 7 3 2 2" xfId="12392"/>
    <cellStyle name="Percent 5 7 3 3" xfId="12393"/>
    <cellStyle name="Percent 5 7 3 3 2" xfId="12394"/>
    <cellStyle name="Percent 5 7 3 4" xfId="12395"/>
    <cellStyle name="Percent 5 7 4" xfId="12396"/>
    <cellStyle name="Percent 5 7 4 2" xfId="12397"/>
    <cellStyle name="Percent 5 7 4 2 2" xfId="12398"/>
    <cellStyle name="Percent 5 7 4 3" xfId="12399"/>
    <cellStyle name="Percent 5 7 4 3 2" xfId="12400"/>
    <cellStyle name="Percent 5 7 4 4" xfId="12401"/>
    <cellStyle name="Percent 5 7 4 4 2" xfId="12402"/>
    <cellStyle name="Percent 5 7 4 5" xfId="12403"/>
    <cellStyle name="Percent 5 7 5" xfId="12404"/>
    <cellStyle name="Percent 5 7 5 2" xfId="12405"/>
    <cellStyle name="Percent 5 7 5 2 2" xfId="12406"/>
    <cellStyle name="Percent 5 7 5 3" xfId="12407"/>
    <cellStyle name="Percent 5 7 5 3 2" xfId="12408"/>
    <cellStyle name="Percent 5 7 5 4" xfId="12409"/>
    <cellStyle name="Percent 5 7 6" xfId="12410"/>
    <cellStyle name="Percent 5 7 6 2" xfId="12411"/>
    <cellStyle name="Percent 5 7 7" xfId="12412"/>
    <cellStyle name="Percent 5 7 7 2" xfId="12413"/>
    <cellStyle name="Percent 5 7 8" xfId="12414"/>
    <cellStyle name="Percent 5 7 8 2" xfId="12415"/>
    <cellStyle name="Percent 5 7 9" xfId="12416"/>
    <cellStyle name="Percent 5 8 11" xfId="12417"/>
    <cellStyle name="Percent 5 8 10" xfId="12418"/>
    <cellStyle name="Percent 5 8 2" xfId="12419"/>
    <cellStyle name="Percent 5 8 2 2" xfId="12420"/>
    <cellStyle name="Percent 5 8 2 2 2" xfId="12421"/>
    <cellStyle name="Percent 5 8 2 3" xfId="12422"/>
    <cellStyle name="Percent 5 8 2 3 2" xfId="12423"/>
    <cellStyle name="Percent 5 8 2 4" xfId="12424"/>
    <cellStyle name="Percent 5 8 3" xfId="12425"/>
    <cellStyle name="Percent 5 8 3 2" xfId="12426"/>
    <cellStyle name="Percent 5 8 3 2 2" xfId="12427"/>
    <cellStyle name="Percent 5 8 3 3" xfId="12428"/>
    <cellStyle name="Percent 5 8 3 3 2" xfId="12429"/>
    <cellStyle name="Percent 5 8 3 4" xfId="12430"/>
    <cellStyle name="Percent 5 8 4" xfId="12431"/>
    <cellStyle name="Percent 5 8 4 2" xfId="12432"/>
    <cellStyle name="Percent 5 8 4 2 2" xfId="12433"/>
    <cellStyle name="Percent 5 8 4 3" xfId="12434"/>
    <cellStyle name="Percent 5 8 4 3 2" xfId="12435"/>
    <cellStyle name="Percent 5 8 4 4" xfId="12436"/>
    <cellStyle name="Percent 5 8 4 4 2" xfId="12437"/>
    <cellStyle name="Percent 5 8 4 5" xfId="12438"/>
    <cellStyle name="Percent 5 8 5" xfId="12439"/>
    <cellStyle name="Percent 5 8 5 2" xfId="12440"/>
    <cellStyle name="Percent 5 8 5 2 2" xfId="12441"/>
    <cellStyle name="Percent 5 8 5 3" xfId="12442"/>
    <cellStyle name="Percent 5 8 5 3 2" xfId="12443"/>
    <cellStyle name="Percent 5 8 5 4" xfId="12444"/>
    <cellStyle name="Percent 5 8 6" xfId="12445"/>
    <cellStyle name="Percent 5 8 6 2" xfId="12446"/>
    <cellStyle name="Percent 5 8 7" xfId="12447"/>
    <cellStyle name="Percent 5 8 7 2" xfId="12448"/>
    <cellStyle name="Percent 5 8 8" xfId="12449"/>
    <cellStyle name="Percent 5 8 8 2" xfId="12450"/>
    <cellStyle name="Percent 5 8 9" xfId="12451"/>
    <cellStyle name="Percent 5 9 11" xfId="12452"/>
    <cellStyle name="Percent 5 9 10" xfId="12453"/>
    <cellStyle name="Percent 5 9 2 5" xfId="12454"/>
    <cellStyle name="Percent 5 9 2 2" xfId="12455"/>
    <cellStyle name="Percent 5 9 2 2 2" xfId="12456"/>
    <cellStyle name="Percent 5 9 2 3" xfId="12457"/>
    <cellStyle name="Percent 5 9 2 3 2" xfId="12458"/>
    <cellStyle name="Percent 5 9 2 4" xfId="12459"/>
    <cellStyle name="Percent 5 9 3" xfId="12460"/>
    <cellStyle name="Percent 5 9 3 2" xfId="12461"/>
    <cellStyle name="Percent 5 9 3 2 2" xfId="12462"/>
    <cellStyle name="Percent 5 9 3 3" xfId="12463"/>
    <cellStyle name="Percent 5 9 3 3 2" xfId="12464"/>
    <cellStyle name="Percent 5 9 3 4" xfId="12465"/>
    <cellStyle name="Percent 5 9 4" xfId="12466"/>
    <cellStyle name="Percent 5 9 4 2" xfId="12467"/>
    <cellStyle name="Percent 5 9 4 2 2" xfId="12468"/>
    <cellStyle name="Percent 5 9 4 3" xfId="12469"/>
    <cellStyle name="Percent 5 9 4 3 2" xfId="12470"/>
    <cellStyle name="Percent 5 9 4 4" xfId="12471"/>
    <cellStyle name="Percent 5 9 4 4 2" xfId="12472"/>
    <cellStyle name="Percent 5 9 4 5" xfId="12473"/>
    <cellStyle name="Percent 5 9 5" xfId="12474"/>
    <cellStyle name="Percent 5 9 5 2" xfId="12475"/>
    <cellStyle name="Percent 5 9 5 2 2" xfId="12476"/>
    <cellStyle name="Percent 5 9 5 3" xfId="12477"/>
    <cellStyle name="Percent 5 9 5 3 2" xfId="12478"/>
    <cellStyle name="Percent 5 9 5 4" xfId="12479"/>
    <cellStyle name="Percent 5 9 6" xfId="12480"/>
    <cellStyle name="Percent 5 9 6 2" xfId="12481"/>
    <cellStyle name="Percent 5 9 7" xfId="12482"/>
    <cellStyle name="Percent 5 9 7 2" xfId="12483"/>
    <cellStyle name="Percent 5 9 8" xfId="12484"/>
    <cellStyle name="Percent 5 9 8 2" xfId="12485"/>
    <cellStyle name="Percent 5 9 9" xfId="12486"/>
    <cellStyle name="Percent 6 20" xfId="12487"/>
    <cellStyle name="Percent 6 10" xfId="12488"/>
    <cellStyle name="Percent 6 10 2" xfId="12489"/>
    <cellStyle name="Percent 6 10 2 2" xfId="12490"/>
    <cellStyle name="Percent 6 10 3" xfId="12491"/>
    <cellStyle name="Percent 6 10 3 2" xfId="12492"/>
    <cellStyle name="Percent 6 10 4" xfId="12493"/>
    <cellStyle name="Percent 6 10 5" xfId="12494"/>
    <cellStyle name="Percent 6 11" xfId="12495"/>
    <cellStyle name="Percent 6 11 2" xfId="12496"/>
    <cellStyle name="Percent 6 11 2 2" xfId="12497"/>
    <cellStyle name="Percent 6 11 3" xfId="12498"/>
    <cellStyle name="Percent 6 11 3 2" xfId="12499"/>
    <cellStyle name="Percent 6 11 4" xfId="12500"/>
    <cellStyle name="Percent 6 11 5" xfId="12501"/>
    <cellStyle name="Percent 6 12" xfId="12502"/>
    <cellStyle name="Percent 6 12 2" xfId="12503"/>
    <cellStyle name="Percent 6 12 2 2" xfId="12504"/>
    <cellStyle name="Percent 6 12 3" xfId="12505"/>
    <cellStyle name="Percent 6 12 3 2" xfId="12506"/>
    <cellStyle name="Percent 6 12 4" xfId="12507"/>
    <cellStyle name="Percent 6 13" xfId="12508"/>
    <cellStyle name="Percent 6 13 2" xfId="12509"/>
    <cellStyle name="Percent 6 13 2 2" xfId="12510"/>
    <cellStyle name="Percent 6 13 3" xfId="12511"/>
    <cellStyle name="Percent 6 13 3 2" xfId="12512"/>
    <cellStyle name="Percent 6 13 4" xfId="12513"/>
    <cellStyle name="Percent 6 13 4 2" xfId="12514"/>
    <cellStyle name="Percent 6 13 5" xfId="12515"/>
    <cellStyle name="Percent 6 14" xfId="12516"/>
    <cellStyle name="Percent 6 14 2" xfId="12517"/>
    <cellStyle name="Percent 6 14 2 2" xfId="12518"/>
    <cellStyle name="Percent 6 14 3" xfId="12519"/>
    <cellStyle name="Percent 6 14 3 2" xfId="12520"/>
    <cellStyle name="Percent 6 14 4" xfId="12521"/>
    <cellStyle name="Percent 6 15" xfId="12522"/>
    <cellStyle name="Percent 6 15 2" xfId="12523"/>
    <cellStyle name="Percent 6 16" xfId="12524"/>
    <cellStyle name="Percent 6 16 2" xfId="12525"/>
    <cellStyle name="Percent 6 17" xfId="12526"/>
    <cellStyle name="Percent 6 17 2" xfId="12527"/>
    <cellStyle name="Percent 6 18" xfId="12528"/>
    <cellStyle name="Percent 6 19" xfId="12529"/>
    <cellStyle name="Percent 6 2 11" xfId="12530"/>
    <cellStyle name="Percent 6 2 10" xfId="12531"/>
    <cellStyle name="Percent 6 2 2" xfId="12532"/>
    <cellStyle name="Percent 6 2 2 2" xfId="12533"/>
    <cellStyle name="Percent 6 2 2 2 2" xfId="12534"/>
    <cellStyle name="Percent 6 2 2 3" xfId="12535"/>
    <cellStyle name="Percent 6 2 2 3 2" xfId="12536"/>
    <cellStyle name="Percent 6 2 2 4" xfId="12537"/>
    <cellStyle name="Percent 6 2 3" xfId="12538"/>
    <cellStyle name="Percent 6 2 3 2" xfId="12539"/>
    <cellStyle name="Percent 6 2 3 2 2" xfId="12540"/>
    <cellStyle name="Percent 6 2 3 3" xfId="12541"/>
    <cellStyle name="Percent 6 2 3 3 2" xfId="12542"/>
    <cellStyle name="Percent 6 2 3 4" xfId="12543"/>
    <cellStyle name="Percent 6 2 4" xfId="12544"/>
    <cellStyle name="Percent 6 2 4 2" xfId="12545"/>
    <cellStyle name="Percent 6 2 4 2 2" xfId="12546"/>
    <cellStyle name="Percent 6 2 4 3" xfId="12547"/>
    <cellStyle name="Percent 6 2 4 3 2" xfId="12548"/>
    <cellStyle name="Percent 6 2 4 4" xfId="12549"/>
    <cellStyle name="Percent 6 2 4 4 2" xfId="12550"/>
    <cellStyle name="Percent 6 2 4 5" xfId="12551"/>
    <cellStyle name="Percent 6 2 5" xfId="12552"/>
    <cellStyle name="Percent 6 2 5 2" xfId="12553"/>
    <cellStyle name="Percent 6 2 5 2 2" xfId="12554"/>
    <cellStyle name="Percent 6 2 5 3" xfId="12555"/>
    <cellStyle name="Percent 6 2 5 3 2" xfId="12556"/>
    <cellStyle name="Percent 6 2 5 4" xfId="12557"/>
    <cellStyle name="Percent 6 2 6" xfId="12558"/>
    <cellStyle name="Percent 6 2 6 2" xfId="12559"/>
    <cellStyle name="Percent 6 2 7" xfId="12560"/>
    <cellStyle name="Percent 6 2 7 2" xfId="12561"/>
    <cellStyle name="Percent 6 2 8" xfId="12562"/>
    <cellStyle name="Percent 6 2 8 2" xfId="12563"/>
    <cellStyle name="Percent 6 2 9" xfId="12564"/>
    <cellStyle name="Percent 6 3 11" xfId="12565"/>
    <cellStyle name="Percent 6 3 10" xfId="12566"/>
    <cellStyle name="Percent 6 3 2 5" xfId="12567"/>
    <cellStyle name="Percent 6 3 2 2" xfId="12568"/>
    <cellStyle name="Percent 6 3 2 2 2" xfId="12569"/>
    <cellStyle name="Percent 6 3 2 3" xfId="12570"/>
    <cellStyle name="Percent 6 3 2 3 2" xfId="12571"/>
    <cellStyle name="Percent 6 3 2 4" xfId="12572"/>
    <cellStyle name="Percent 6 3 3" xfId="12573"/>
    <cellStyle name="Percent 6 3 3 2" xfId="12574"/>
    <cellStyle name="Percent 6 3 3 2 2" xfId="12575"/>
    <cellStyle name="Percent 6 3 3 3" xfId="12576"/>
    <cellStyle name="Percent 6 3 3 3 2" xfId="12577"/>
    <cellStyle name="Percent 6 3 3 4" xfId="12578"/>
    <cellStyle name="Percent 6 3 4" xfId="12579"/>
    <cellStyle name="Percent 6 3 4 2" xfId="12580"/>
    <cellStyle name="Percent 6 3 4 2 2" xfId="12581"/>
    <cellStyle name="Percent 6 3 4 3" xfId="12582"/>
    <cellStyle name="Percent 6 3 4 3 2" xfId="12583"/>
    <cellStyle name="Percent 6 3 4 4" xfId="12584"/>
    <cellStyle name="Percent 6 3 4 4 2" xfId="12585"/>
    <cellStyle name="Percent 6 3 4 5" xfId="12586"/>
    <cellStyle name="Percent 6 3 5" xfId="12587"/>
    <cellStyle name="Percent 6 3 5 2" xfId="12588"/>
    <cellStyle name="Percent 6 3 5 2 2" xfId="12589"/>
    <cellStyle name="Percent 6 3 5 3" xfId="12590"/>
    <cellStyle name="Percent 6 3 5 3 2" xfId="12591"/>
    <cellStyle name="Percent 6 3 5 4" xfId="12592"/>
    <cellStyle name="Percent 6 3 6" xfId="12593"/>
    <cellStyle name="Percent 6 3 6 2" xfId="12594"/>
    <cellStyle name="Percent 6 3 7" xfId="12595"/>
    <cellStyle name="Percent 6 3 7 2" xfId="12596"/>
    <cellStyle name="Percent 6 3 8" xfId="12597"/>
    <cellStyle name="Percent 6 3 8 2" xfId="12598"/>
    <cellStyle name="Percent 6 3 9" xfId="12599"/>
    <cellStyle name="Percent 6 4 11" xfId="12600"/>
    <cellStyle name="Percent 6 4 10" xfId="12601"/>
    <cellStyle name="Percent 6 4 2" xfId="12602"/>
    <cellStyle name="Percent 6 4 2 2" xfId="12603"/>
    <cellStyle name="Percent 6 4 2 2 2" xfId="12604"/>
    <cellStyle name="Percent 6 4 2 3" xfId="12605"/>
    <cellStyle name="Percent 6 4 2 3 2" xfId="12606"/>
    <cellStyle name="Percent 6 4 2 4" xfId="12607"/>
    <cellStyle name="Percent 6 4 3" xfId="12608"/>
    <cellStyle name="Percent 6 4 3 2" xfId="12609"/>
    <cellStyle name="Percent 6 4 3 2 2" xfId="12610"/>
    <cellStyle name="Percent 6 4 3 3" xfId="12611"/>
    <cellStyle name="Percent 6 4 3 3 2" xfId="12612"/>
    <cellStyle name="Percent 6 4 3 4" xfId="12613"/>
    <cellStyle name="Percent 6 4 4" xfId="12614"/>
    <cellStyle name="Percent 6 4 4 2" xfId="12615"/>
    <cellStyle name="Percent 6 4 4 2 2" xfId="12616"/>
    <cellStyle name="Percent 6 4 4 3" xfId="12617"/>
    <cellStyle name="Percent 6 4 4 3 2" xfId="12618"/>
    <cellStyle name="Percent 6 4 4 4" xfId="12619"/>
    <cellStyle name="Percent 6 4 4 4 2" xfId="12620"/>
    <cellStyle name="Percent 6 4 4 5" xfId="12621"/>
    <cellStyle name="Percent 6 4 5" xfId="12622"/>
    <cellStyle name="Percent 6 4 5 2" xfId="12623"/>
    <cellStyle name="Percent 6 4 5 2 2" xfId="12624"/>
    <cellStyle name="Percent 6 4 5 3" xfId="12625"/>
    <cellStyle name="Percent 6 4 5 3 2" xfId="12626"/>
    <cellStyle name="Percent 6 4 5 4" xfId="12627"/>
    <cellStyle name="Percent 6 4 6" xfId="12628"/>
    <cellStyle name="Percent 6 4 6 2" xfId="12629"/>
    <cellStyle name="Percent 6 4 7" xfId="12630"/>
    <cellStyle name="Percent 6 4 7 2" xfId="12631"/>
    <cellStyle name="Percent 6 4 8" xfId="12632"/>
    <cellStyle name="Percent 6 4 8 2" xfId="12633"/>
    <cellStyle name="Percent 6 4 9" xfId="12634"/>
    <cellStyle name="Percent 6 5 11" xfId="12635"/>
    <cellStyle name="Percent 6 5 10" xfId="12636"/>
    <cellStyle name="Percent 6 5 2" xfId="12637"/>
    <cellStyle name="Percent 6 5 2 2" xfId="12638"/>
    <cellStyle name="Percent 6 5 2 2 2" xfId="12639"/>
    <cellStyle name="Percent 6 5 2 3" xfId="12640"/>
    <cellStyle name="Percent 6 5 2 3 2" xfId="12641"/>
    <cellStyle name="Percent 6 5 2 4" xfId="12642"/>
    <cellStyle name="Percent 6 5 3" xfId="12643"/>
    <cellStyle name="Percent 6 5 3 2" xfId="12644"/>
    <cellStyle name="Percent 6 5 3 2 2" xfId="12645"/>
    <cellStyle name="Percent 6 5 3 3" xfId="12646"/>
    <cellStyle name="Percent 6 5 3 3 2" xfId="12647"/>
    <cellStyle name="Percent 6 5 3 4" xfId="12648"/>
    <cellStyle name="Percent 6 5 4" xfId="12649"/>
    <cellStyle name="Percent 6 5 4 2" xfId="12650"/>
    <cellStyle name="Percent 6 5 4 2 2" xfId="12651"/>
    <cellStyle name="Percent 6 5 4 3" xfId="12652"/>
    <cellStyle name="Percent 6 5 4 3 2" xfId="12653"/>
    <cellStyle name="Percent 6 5 4 4" xfId="12654"/>
    <cellStyle name="Percent 6 5 4 4 2" xfId="12655"/>
    <cellStyle name="Percent 6 5 4 5" xfId="12656"/>
    <cellStyle name="Percent 6 5 5" xfId="12657"/>
    <cellStyle name="Percent 6 5 5 2" xfId="12658"/>
    <cellStyle name="Percent 6 5 5 2 2" xfId="12659"/>
    <cellStyle name="Percent 6 5 5 3" xfId="12660"/>
    <cellStyle name="Percent 6 5 5 3 2" xfId="12661"/>
    <cellStyle name="Percent 6 5 5 4" xfId="12662"/>
    <cellStyle name="Percent 6 5 6" xfId="12663"/>
    <cellStyle name="Percent 6 5 6 2" xfId="12664"/>
    <cellStyle name="Percent 6 5 7" xfId="12665"/>
    <cellStyle name="Percent 6 5 7 2" xfId="12666"/>
    <cellStyle name="Percent 6 5 8" xfId="12667"/>
    <cellStyle name="Percent 6 5 8 2" xfId="12668"/>
    <cellStyle name="Percent 6 5 9" xfId="12669"/>
    <cellStyle name="Percent 6 6 11" xfId="12670"/>
    <cellStyle name="Percent 6 6 10" xfId="12671"/>
    <cellStyle name="Percent 6 6 2" xfId="12672"/>
    <cellStyle name="Percent 6 6 2 2" xfId="12673"/>
    <cellStyle name="Percent 6 6 2 2 2" xfId="12674"/>
    <cellStyle name="Percent 6 6 2 3" xfId="12675"/>
    <cellStyle name="Percent 6 6 2 3 2" xfId="12676"/>
    <cellStyle name="Percent 6 6 2 4" xfId="12677"/>
    <cellStyle name="Percent 6 6 3" xfId="12678"/>
    <cellStyle name="Percent 6 6 3 2" xfId="12679"/>
    <cellStyle name="Percent 6 6 3 2 2" xfId="12680"/>
    <cellStyle name="Percent 6 6 3 3" xfId="12681"/>
    <cellStyle name="Percent 6 6 3 3 2" xfId="12682"/>
    <cellStyle name="Percent 6 6 3 4" xfId="12683"/>
    <cellStyle name="Percent 6 6 4" xfId="12684"/>
    <cellStyle name="Percent 6 6 4 2" xfId="12685"/>
    <cellStyle name="Percent 6 6 4 2 2" xfId="12686"/>
    <cellStyle name="Percent 6 6 4 3" xfId="12687"/>
    <cellStyle name="Percent 6 6 4 3 2" xfId="12688"/>
    <cellStyle name="Percent 6 6 4 4" xfId="12689"/>
    <cellStyle name="Percent 6 6 4 4 2" xfId="12690"/>
    <cellStyle name="Percent 6 6 4 5" xfId="12691"/>
    <cellStyle name="Percent 6 6 5" xfId="12692"/>
    <cellStyle name="Percent 6 6 5 2" xfId="12693"/>
    <cellStyle name="Percent 6 6 5 2 2" xfId="12694"/>
    <cellStyle name="Percent 6 6 5 3" xfId="12695"/>
    <cellStyle name="Percent 6 6 5 3 2" xfId="12696"/>
    <cellStyle name="Percent 6 6 5 4" xfId="12697"/>
    <cellStyle name="Percent 6 6 6" xfId="12698"/>
    <cellStyle name="Percent 6 6 6 2" xfId="12699"/>
    <cellStyle name="Percent 6 6 7" xfId="12700"/>
    <cellStyle name="Percent 6 6 7 2" xfId="12701"/>
    <cellStyle name="Percent 6 6 8" xfId="12702"/>
    <cellStyle name="Percent 6 6 8 2" xfId="12703"/>
    <cellStyle name="Percent 6 6 9" xfId="12704"/>
    <cellStyle name="Percent 6 7 11" xfId="12705"/>
    <cellStyle name="Percent 6 7 10" xfId="12706"/>
    <cellStyle name="Percent 6 7 2" xfId="12707"/>
    <cellStyle name="Percent 6 7 2 2" xfId="12708"/>
    <cellStyle name="Percent 6 7 2 2 2" xfId="12709"/>
    <cellStyle name="Percent 6 7 2 3" xfId="12710"/>
    <cellStyle name="Percent 6 7 2 3 2" xfId="12711"/>
    <cellStyle name="Percent 6 7 2 4" xfId="12712"/>
    <cellStyle name="Percent 6 7 3" xfId="12713"/>
    <cellStyle name="Percent 6 7 3 2" xfId="12714"/>
    <cellStyle name="Percent 6 7 3 2 2" xfId="12715"/>
    <cellStyle name="Percent 6 7 3 3" xfId="12716"/>
    <cellStyle name="Percent 6 7 3 3 2" xfId="12717"/>
    <cellStyle name="Percent 6 7 3 4" xfId="12718"/>
    <cellStyle name="Percent 6 7 4" xfId="12719"/>
    <cellStyle name="Percent 6 7 4 2" xfId="12720"/>
    <cellStyle name="Percent 6 7 4 2 2" xfId="12721"/>
    <cellStyle name="Percent 6 7 4 3" xfId="12722"/>
    <cellStyle name="Percent 6 7 4 3 2" xfId="12723"/>
    <cellStyle name="Percent 6 7 4 4" xfId="12724"/>
    <cellStyle name="Percent 6 7 4 4 2" xfId="12725"/>
    <cellStyle name="Percent 6 7 4 5" xfId="12726"/>
    <cellStyle name="Percent 6 7 5" xfId="12727"/>
    <cellStyle name="Percent 6 7 5 2" xfId="12728"/>
    <cellStyle name="Percent 6 7 5 2 2" xfId="12729"/>
    <cellStyle name="Percent 6 7 5 3" xfId="12730"/>
    <cellStyle name="Percent 6 7 5 3 2" xfId="12731"/>
    <cellStyle name="Percent 6 7 5 4" xfId="12732"/>
    <cellStyle name="Percent 6 7 6" xfId="12733"/>
    <cellStyle name="Percent 6 7 6 2" xfId="12734"/>
    <cellStyle name="Percent 6 7 7" xfId="12735"/>
    <cellStyle name="Percent 6 7 7 2" xfId="12736"/>
    <cellStyle name="Percent 6 7 8" xfId="12737"/>
    <cellStyle name="Percent 6 7 8 2" xfId="12738"/>
    <cellStyle name="Percent 6 7 9" xfId="12739"/>
    <cellStyle name="Percent 6 8 11" xfId="12740"/>
    <cellStyle name="Percent 6 8 10" xfId="12741"/>
    <cellStyle name="Percent 6 8 2" xfId="12742"/>
    <cellStyle name="Percent 6 8 2 2" xfId="12743"/>
    <cellStyle name="Percent 6 8 2 2 2" xfId="12744"/>
    <cellStyle name="Percent 6 8 2 3" xfId="12745"/>
    <cellStyle name="Percent 6 8 2 3 2" xfId="12746"/>
    <cellStyle name="Percent 6 8 2 4" xfId="12747"/>
    <cellStyle name="Percent 6 8 3" xfId="12748"/>
    <cellStyle name="Percent 6 8 3 2" xfId="12749"/>
    <cellStyle name="Percent 6 8 3 2 2" xfId="12750"/>
    <cellStyle name="Percent 6 8 3 3" xfId="12751"/>
    <cellStyle name="Percent 6 8 3 3 2" xfId="12752"/>
    <cellStyle name="Percent 6 8 3 4" xfId="12753"/>
    <cellStyle name="Percent 6 8 4" xfId="12754"/>
    <cellStyle name="Percent 6 8 4 2" xfId="12755"/>
    <cellStyle name="Percent 6 8 4 2 2" xfId="12756"/>
    <cellStyle name="Percent 6 8 4 3" xfId="12757"/>
    <cellStyle name="Percent 6 8 4 3 2" xfId="12758"/>
    <cellStyle name="Percent 6 8 4 4" xfId="12759"/>
    <cellStyle name="Percent 6 8 4 4 2" xfId="12760"/>
    <cellStyle name="Percent 6 8 4 5" xfId="12761"/>
    <cellStyle name="Percent 6 8 5" xfId="12762"/>
    <cellStyle name="Percent 6 8 5 2" xfId="12763"/>
    <cellStyle name="Percent 6 8 5 2 2" xfId="12764"/>
    <cellStyle name="Percent 6 8 5 3" xfId="12765"/>
    <cellStyle name="Percent 6 8 5 3 2" xfId="12766"/>
    <cellStyle name="Percent 6 8 5 4" xfId="12767"/>
    <cellStyle name="Percent 6 8 6" xfId="12768"/>
    <cellStyle name="Percent 6 8 6 2" xfId="12769"/>
    <cellStyle name="Percent 6 8 7" xfId="12770"/>
    <cellStyle name="Percent 6 8 7 2" xfId="12771"/>
    <cellStyle name="Percent 6 8 8" xfId="12772"/>
    <cellStyle name="Percent 6 8 8 2" xfId="12773"/>
    <cellStyle name="Percent 6 8 9" xfId="12774"/>
    <cellStyle name="Percent 6 9" xfId="12775"/>
    <cellStyle name="Percent 6 9 10" xfId="12776"/>
    <cellStyle name="Percent 6 9 2" xfId="12777"/>
    <cellStyle name="Percent 6 9 2 2" xfId="12778"/>
    <cellStyle name="Percent 6 9 2 2 2" xfId="12779"/>
    <cellStyle name="Percent 6 9 2 3" xfId="12780"/>
    <cellStyle name="Percent 6 9 2 3 2" xfId="12781"/>
    <cellStyle name="Percent 6 9 2 4" xfId="12782"/>
    <cellStyle name="Percent 6 9 3" xfId="12783"/>
    <cellStyle name="Percent 6 9 3 2" xfId="12784"/>
    <cellStyle name="Percent 6 9 3 2 2" xfId="12785"/>
    <cellStyle name="Percent 6 9 3 3" xfId="12786"/>
    <cellStyle name="Percent 6 9 3 3 2" xfId="12787"/>
    <cellStyle name="Percent 6 9 3 4" xfId="12788"/>
    <cellStyle name="Percent 6 9 4" xfId="12789"/>
    <cellStyle name="Percent 6 9 4 2" xfId="12790"/>
    <cellStyle name="Percent 6 9 4 2 2" xfId="12791"/>
    <cellStyle name="Percent 6 9 4 3" xfId="12792"/>
    <cellStyle name="Percent 6 9 4 3 2" xfId="12793"/>
    <cellStyle name="Percent 6 9 4 4" xfId="12794"/>
    <cellStyle name="Percent 6 9 4 4 2" xfId="12795"/>
    <cellStyle name="Percent 6 9 4 5" xfId="12796"/>
    <cellStyle name="Percent 6 9 5" xfId="12797"/>
    <cellStyle name="Percent 6 9 5 2" xfId="12798"/>
    <cellStyle name="Percent 6 9 5 2 2" xfId="12799"/>
    <cellStyle name="Percent 6 9 5 3" xfId="12800"/>
    <cellStyle name="Percent 6 9 5 3 2" xfId="12801"/>
    <cellStyle name="Percent 6 9 5 4" xfId="12802"/>
    <cellStyle name="Percent 6 9 6" xfId="12803"/>
    <cellStyle name="Percent 6 9 6 2" xfId="12804"/>
    <cellStyle name="Percent 6 9 7" xfId="12805"/>
    <cellStyle name="Percent 6 9 7 2" xfId="12806"/>
    <cellStyle name="Percent 6 9 8" xfId="12807"/>
    <cellStyle name="Percent 6 9 8 2" xfId="12808"/>
    <cellStyle name="Percent 6 9 9" xfId="12809"/>
    <cellStyle name="Percent 7 20" xfId="12810"/>
    <cellStyle name="Percent 7 10" xfId="12811"/>
    <cellStyle name="Percent 7 10 2" xfId="12812"/>
    <cellStyle name="Percent 7 10 2 2" xfId="12813"/>
    <cellStyle name="Percent 7 10 3" xfId="12814"/>
    <cellStyle name="Percent 7 10 3 2" xfId="12815"/>
    <cellStyle name="Percent 7 10 4" xfId="12816"/>
    <cellStyle name="Percent 7 10 5" xfId="12817"/>
    <cellStyle name="Percent 7 11" xfId="12818"/>
    <cellStyle name="Percent 7 11 2" xfId="12819"/>
    <cellStyle name="Percent 7 11 2 2" xfId="12820"/>
    <cellStyle name="Percent 7 11 3" xfId="12821"/>
    <cellStyle name="Percent 7 11 3 2" xfId="12822"/>
    <cellStyle name="Percent 7 11 4" xfId="12823"/>
    <cellStyle name="Percent 7 12" xfId="12824"/>
    <cellStyle name="Percent 7 12 2" xfId="12825"/>
    <cellStyle name="Percent 7 12 2 2" xfId="12826"/>
    <cellStyle name="Percent 7 12 3" xfId="12827"/>
    <cellStyle name="Percent 7 12 3 2" xfId="12828"/>
    <cellStyle name="Percent 7 12 4" xfId="12829"/>
    <cellStyle name="Percent 7 13" xfId="12830"/>
    <cellStyle name="Percent 7 13 2" xfId="12831"/>
    <cellStyle name="Percent 7 13 2 2" xfId="12832"/>
    <cellStyle name="Percent 7 13 3" xfId="12833"/>
    <cellStyle name="Percent 7 13 3 2" xfId="12834"/>
    <cellStyle name="Percent 7 13 4" xfId="12835"/>
    <cellStyle name="Percent 7 13 4 2" xfId="12836"/>
    <cellStyle name="Percent 7 13 5" xfId="12837"/>
    <cellStyle name="Percent 7 14" xfId="12838"/>
    <cellStyle name="Percent 7 14 2" xfId="12839"/>
    <cellStyle name="Percent 7 14 2 2" xfId="12840"/>
    <cellStyle name="Percent 7 14 3" xfId="12841"/>
    <cellStyle name="Percent 7 14 3 2" xfId="12842"/>
    <cellStyle name="Percent 7 14 4" xfId="12843"/>
    <cellStyle name="Percent 7 15" xfId="12844"/>
    <cellStyle name="Percent 7 15 2" xfId="12845"/>
    <cellStyle name="Percent 7 16" xfId="12846"/>
    <cellStyle name="Percent 7 16 2" xfId="12847"/>
    <cellStyle name="Percent 7 17" xfId="12848"/>
    <cellStyle name="Percent 7 17 2" xfId="12849"/>
    <cellStyle name="Percent 7 18" xfId="12850"/>
    <cellStyle name="Percent 7 19" xfId="12851"/>
    <cellStyle name="Percent 7 2 11" xfId="12852"/>
    <cellStyle name="Percent 7 2 10" xfId="12853"/>
    <cellStyle name="Percent 7 2 2" xfId="12854"/>
    <cellStyle name="Percent 7 2 2 2" xfId="12855"/>
    <cellStyle name="Percent 7 2 2 2 2" xfId="12856"/>
    <cellStyle name="Percent 7 2 2 3" xfId="12857"/>
    <cellStyle name="Percent 7 2 2 3 2" xfId="12858"/>
    <cellStyle name="Percent 7 2 2 4" xfId="12859"/>
    <cellStyle name="Percent 7 2 3" xfId="12860"/>
    <cellStyle name="Percent 7 2 3 2" xfId="12861"/>
    <cellStyle name="Percent 7 2 3 2 2" xfId="12862"/>
    <cellStyle name="Percent 7 2 3 3" xfId="12863"/>
    <cellStyle name="Percent 7 2 3 3 2" xfId="12864"/>
    <cellStyle name="Percent 7 2 3 4" xfId="12865"/>
    <cellStyle name="Percent 7 2 4" xfId="12866"/>
    <cellStyle name="Percent 7 2 4 2" xfId="12867"/>
    <cellStyle name="Percent 7 2 4 2 2" xfId="12868"/>
    <cellStyle name="Percent 7 2 4 3" xfId="12869"/>
    <cellStyle name="Percent 7 2 4 3 2" xfId="12870"/>
    <cellStyle name="Percent 7 2 4 4" xfId="12871"/>
    <cellStyle name="Percent 7 2 4 4 2" xfId="12872"/>
    <cellStyle name="Percent 7 2 4 5" xfId="12873"/>
    <cellStyle name="Percent 7 2 5" xfId="12874"/>
    <cellStyle name="Percent 7 2 5 2" xfId="12875"/>
    <cellStyle name="Percent 7 2 5 2 2" xfId="12876"/>
    <cellStyle name="Percent 7 2 5 3" xfId="12877"/>
    <cellStyle name="Percent 7 2 5 3 2" xfId="12878"/>
    <cellStyle name="Percent 7 2 5 4" xfId="12879"/>
    <cellStyle name="Percent 7 2 6" xfId="12880"/>
    <cellStyle name="Percent 7 2 6 2" xfId="12881"/>
    <cellStyle name="Percent 7 2 7" xfId="12882"/>
    <cellStyle name="Percent 7 2 7 2" xfId="12883"/>
    <cellStyle name="Percent 7 2 8" xfId="12884"/>
    <cellStyle name="Percent 7 2 8 2" xfId="12885"/>
    <cellStyle name="Percent 7 2 9" xfId="12886"/>
    <cellStyle name="Percent 7 3 11" xfId="12887"/>
    <cellStyle name="Percent 7 3 10" xfId="12888"/>
    <cellStyle name="Percent 7 3 2" xfId="12889"/>
    <cellStyle name="Percent 7 3 2 2" xfId="12890"/>
    <cellStyle name="Percent 7 3 2 2 2" xfId="12891"/>
    <cellStyle name="Percent 7 3 2 3" xfId="12892"/>
    <cellStyle name="Percent 7 3 2 3 2" xfId="12893"/>
    <cellStyle name="Percent 7 3 2 4" xfId="12894"/>
    <cellStyle name="Percent 7 3 3" xfId="12895"/>
    <cellStyle name="Percent 7 3 3 2" xfId="12896"/>
    <cellStyle name="Percent 7 3 3 2 2" xfId="12897"/>
    <cellStyle name="Percent 7 3 3 3" xfId="12898"/>
    <cellStyle name="Percent 7 3 3 3 2" xfId="12899"/>
    <cellStyle name="Percent 7 3 3 4" xfId="12900"/>
    <cellStyle name="Percent 7 3 4" xfId="12901"/>
    <cellStyle name="Percent 7 3 4 2" xfId="12902"/>
    <cellStyle name="Percent 7 3 4 2 2" xfId="12903"/>
    <cellStyle name="Percent 7 3 4 3" xfId="12904"/>
    <cellStyle name="Percent 7 3 4 3 2" xfId="12905"/>
    <cellStyle name="Percent 7 3 4 4" xfId="12906"/>
    <cellStyle name="Percent 7 3 4 4 2" xfId="12907"/>
    <cellStyle name="Percent 7 3 4 5" xfId="12908"/>
    <cellStyle name="Percent 7 3 5" xfId="12909"/>
    <cellStyle name="Percent 7 3 5 2" xfId="12910"/>
    <cellStyle name="Percent 7 3 5 2 2" xfId="12911"/>
    <cellStyle name="Percent 7 3 5 3" xfId="12912"/>
    <cellStyle name="Percent 7 3 5 3 2" xfId="12913"/>
    <cellStyle name="Percent 7 3 5 4" xfId="12914"/>
    <cellStyle name="Percent 7 3 6" xfId="12915"/>
    <cellStyle name="Percent 7 3 6 2" xfId="12916"/>
    <cellStyle name="Percent 7 3 7" xfId="12917"/>
    <cellStyle name="Percent 7 3 7 2" xfId="12918"/>
    <cellStyle name="Percent 7 3 8" xfId="12919"/>
    <cellStyle name="Percent 7 3 8 2" xfId="12920"/>
    <cellStyle name="Percent 7 3 9" xfId="12921"/>
    <cellStyle name="Percent 7 4 11" xfId="12922"/>
    <cellStyle name="Percent 7 4 10" xfId="12923"/>
    <cellStyle name="Percent 7 4 2" xfId="12924"/>
    <cellStyle name="Percent 7 4 2 2" xfId="12925"/>
    <cellStyle name="Percent 7 4 2 2 2" xfId="12926"/>
    <cellStyle name="Percent 7 4 2 3" xfId="12927"/>
    <cellStyle name="Percent 7 4 2 3 2" xfId="12928"/>
    <cellStyle name="Percent 7 4 2 4" xfId="12929"/>
    <cellStyle name="Percent 7 4 3" xfId="12930"/>
    <cellStyle name="Percent 7 4 3 2" xfId="12931"/>
    <cellStyle name="Percent 7 4 3 2 2" xfId="12932"/>
    <cellStyle name="Percent 7 4 3 3" xfId="12933"/>
    <cellStyle name="Percent 7 4 3 3 2" xfId="12934"/>
    <cellStyle name="Percent 7 4 3 4" xfId="12935"/>
    <cellStyle name="Percent 7 4 4" xfId="12936"/>
    <cellStyle name="Percent 7 4 4 2" xfId="12937"/>
    <cellStyle name="Percent 7 4 4 2 2" xfId="12938"/>
    <cellStyle name="Percent 7 4 4 3" xfId="12939"/>
    <cellStyle name="Percent 7 4 4 3 2" xfId="12940"/>
    <cellStyle name="Percent 7 4 4 4" xfId="12941"/>
    <cellStyle name="Percent 7 4 4 4 2" xfId="12942"/>
    <cellStyle name="Percent 7 4 4 5" xfId="12943"/>
    <cellStyle name="Percent 7 4 5" xfId="12944"/>
    <cellStyle name="Percent 7 4 5 2" xfId="12945"/>
    <cellStyle name="Percent 7 4 5 2 2" xfId="12946"/>
    <cellStyle name="Percent 7 4 5 3" xfId="12947"/>
    <cellStyle name="Percent 7 4 5 3 2" xfId="12948"/>
    <cellStyle name="Percent 7 4 5 4" xfId="12949"/>
    <cellStyle name="Percent 7 4 6" xfId="12950"/>
    <cellStyle name="Percent 7 4 6 2" xfId="12951"/>
    <cellStyle name="Percent 7 4 7" xfId="12952"/>
    <cellStyle name="Percent 7 4 7 2" xfId="12953"/>
    <cellStyle name="Percent 7 4 8" xfId="12954"/>
    <cellStyle name="Percent 7 4 8 2" xfId="12955"/>
    <cellStyle name="Percent 7 4 9" xfId="12956"/>
    <cellStyle name="Percent 7 5 11" xfId="12957"/>
    <cellStyle name="Percent 7 5 10" xfId="12958"/>
    <cellStyle name="Percent 7 5 2" xfId="12959"/>
    <cellStyle name="Percent 7 5 2 2" xfId="12960"/>
    <cellStyle name="Percent 7 5 2 2 2" xfId="12961"/>
    <cellStyle name="Percent 7 5 2 3" xfId="12962"/>
    <cellStyle name="Percent 7 5 2 3 2" xfId="12963"/>
    <cellStyle name="Percent 7 5 2 4" xfId="12964"/>
    <cellStyle name="Percent 7 5 3" xfId="12965"/>
    <cellStyle name="Percent 7 5 3 2" xfId="12966"/>
    <cellStyle name="Percent 7 5 3 2 2" xfId="12967"/>
    <cellStyle name="Percent 7 5 3 3" xfId="12968"/>
    <cellStyle name="Percent 7 5 3 3 2" xfId="12969"/>
    <cellStyle name="Percent 7 5 3 4" xfId="12970"/>
    <cellStyle name="Percent 7 5 4" xfId="12971"/>
    <cellStyle name="Percent 7 5 4 2" xfId="12972"/>
    <cellStyle name="Percent 7 5 4 2 2" xfId="12973"/>
    <cellStyle name="Percent 7 5 4 3" xfId="12974"/>
    <cellStyle name="Percent 7 5 4 3 2" xfId="12975"/>
    <cellStyle name="Percent 7 5 4 4" xfId="12976"/>
    <cellStyle name="Percent 7 5 4 4 2" xfId="12977"/>
    <cellStyle name="Percent 7 5 4 5" xfId="12978"/>
    <cellStyle name="Percent 7 5 5" xfId="12979"/>
    <cellStyle name="Percent 7 5 5 2" xfId="12980"/>
    <cellStyle name="Percent 7 5 5 2 2" xfId="12981"/>
    <cellStyle name="Percent 7 5 5 3" xfId="12982"/>
    <cellStyle name="Percent 7 5 5 3 2" xfId="12983"/>
    <cellStyle name="Percent 7 5 5 4" xfId="12984"/>
    <cellStyle name="Percent 7 5 6" xfId="12985"/>
    <cellStyle name="Percent 7 5 6 2" xfId="12986"/>
    <cellStyle name="Percent 7 5 7" xfId="12987"/>
    <cellStyle name="Percent 7 5 7 2" xfId="12988"/>
    <cellStyle name="Percent 7 5 8" xfId="12989"/>
    <cellStyle name="Percent 7 5 8 2" xfId="12990"/>
    <cellStyle name="Percent 7 5 9" xfId="12991"/>
    <cellStyle name="Percent 7 6 11" xfId="12992"/>
    <cellStyle name="Percent 7 6 10" xfId="12993"/>
    <cellStyle name="Percent 7 6 2" xfId="12994"/>
    <cellStyle name="Percent 7 6 2 2" xfId="12995"/>
    <cellStyle name="Percent 7 6 2 2 2" xfId="12996"/>
    <cellStyle name="Percent 7 6 2 3" xfId="12997"/>
    <cellStyle name="Percent 7 6 2 3 2" xfId="12998"/>
    <cellStyle name="Percent 7 6 2 4" xfId="12999"/>
    <cellStyle name="Percent 7 6 3" xfId="13000"/>
    <cellStyle name="Percent 7 6 3 2" xfId="13001"/>
    <cellStyle name="Percent 7 6 3 2 2" xfId="13002"/>
    <cellStyle name="Percent 7 6 3 3" xfId="13003"/>
    <cellStyle name="Percent 7 6 3 3 2" xfId="13004"/>
    <cellStyle name="Percent 7 6 3 4" xfId="13005"/>
    <cellStyle name="Percent 7 6 4" xfId="13006"/>
    <cellStyle name="Percent 7 6 4 2" xfId="13007"/>
    <cellStyle name="Percent 7 6 4 2 2" xfId="13008"/>
    <cellStyle name="Percent 7 6 4 3" xfId="13009"/>
    <cellStyle name="Percent 7 6 4 3 2" xfId="13010"/>
    <cellStyle name="Percent 7 6 4 4" xfId="13011"/>
    <cellStyle name="Percent 7 6 4 4 2" xfId="13012"/>
    <cellStyle name="Percent 7 6 4 5" xfId="13013"/>
    <cellStyle name="Percent 7 6 5" xfId="13014"/>
    <cellStyle name="Percent 7 6 5 2" xfId="13015"/>
    <cellStyle name="Percent 7 6 5 2 2" xfId="13016"/>
    <cellStyle name="Percent 7 6 5 3" xfId="13017"/>
    <cellStyle name="Percent 7 6 5 3 2" xfId="13018"/>
    <cellStyle name="Percent 7 6 5 4" xfId="13019"/>
    <cellStyle name="Percent 7 6 6" xfId="13020"/>
    <cellStyle name="Percent 7 6 6 2" xfId="13021"/>
    <cellStyle name="Percent 7 6 7" xfId="13022"/>
    <cellStyle name="Percent 7 6 7 2" xfId="13023"/>
    <cellStyle name="Percent 7 6 8" xfId="13024"/>
    <cellStyle name="Percent 7 6 8 2" xfId="13025"/>
    <cellStyle name="Percent 7 6 9" xfId="13026"/>
    <cellStyle name="Percent 7 7 11" xfId="13027"/>
    <cellStyle name="Percent 7 7 10" xfId="13028"/>
    <cellStyle name="Percent 7 7 2" xfId="13029"/>
    <cellStyle name="Percent 7 7 2 2" xfId="13030"/>
    <cellStyle name="Percent 7 7 2 2 2" xfId="13031"/>
    <cellStyle name="Percent 7 7 2 3" xfId="13032"/>
    <cellStyle name="Percent 7 7 2 3 2" xfId="13033"/>
    <cellStyle name="Percent 7 7 2 4" xfId="13034"/>
    <cellStyle name="Percent 7 7 3" xfId="13035"/>
    <cellStyle name="Percent 7 7 3 2" xfId="13036"/>
    <cellStyle name="Percent 7 7 3 2 2" xfId="13037"/>
    <cellStyle name="Percent 7 7 3 3" xfId="13038"/>
    <cellStyle name="Percent 7 7 3 3 2" xfId="13039"/>
    <cellStyle name="Percent 7 7 3 4" xfId="13040"/>
    <cellStyle name="Percent 7 7 4" xfId="13041"/>
    <cellStyle name="Percent 7 7 4 2" xfId="13042"/>
    <cellStyle name="Percent 7 7 4 2 2" xfId="13043"/>
    <cellStyle name="Percent 7 7 4 3" xfId="13044"/>
    <cellStyle name="Percent 7 7 4 3 2" xfId="13045"/>
    <cellStyle name="Percent 7 7 4 4" xfId="13046"/>
    <cellStyle name="Percent 7 7 4 4 2" xfId="13047"/>
    <cellStyle name="Percent 7 7 4 5" xfId="13048"/>
    <cellStyle name="Percent 7 7 5" xfId="13049"/>
    <cellStyle name="Percent 7 7 5 2" xfId="13050"/>
    <cellStyle name="Percent 7 7 5 2 2" xfId="13051"/>
    <cellStyle name="Percent 7 7 5 3" xfId="13052"/>
    <cellStyle name="Percent 7 7 5 3 2" xfId="13053"/>
    <cellStyle name="Percent 7 7 5 4" xfId="13054"/>
    <cellStyle name="Percent 7 7 6" xfId="13055"/>
    <cellStyle name="Percent 7 7 6 2" xfId="13056"/>
    <cellStyle name="Percent 7 7 7" xfId="13057"/>
    <cellStyle name="Percent 7 7 7 2" xfId="13058"/>
    <cellStyle name="Percent 7 7 8" xfId="13059"/>
    <cellStyle name="Percent 7 7 8 2" xfId="13060"/>
    <cellStyle name="Percent 7 7 9" xfId="13061"/>
    <cellStyle name="Percent 7 8 11" xfId="13062"/>
    <cellStyle name="Percent 7 8 10" xfId="13063"/>
    <cellStyle name="Percent 7 8 2" xfId="13064"/>
    <cellStyle name="Percent 7 8 2 2" xfId="13065"/>
    <cellStyle name="Percent 7 8 2 2 2" xfId="13066"/>
    <cellStyle name="Percent 7 8 2 3" xfId="13067"/>
    <cellStyle name="Percent 7 8 2 3 2" xfId="13068"/>
    <cellStyle name="Percent 7 8 2 4" xfId="13069"/>
    <cellStyle name="Percent 7 8 3" xfId="13070"/>
    <cellStyle name="Percent 7 8 3 2" xfId="13071"/>
    <cellStyle name="Percent 7 8 3 2 2" xfId="13072"/>
    <cellStyle name="Percent 7 8 3 3" xfId="13073"/>
    <cellStyle name="Percent 7 8 3 3 2" xfId="13074"/>
    <cellStyle name="Percent 7 8 3 4" xfId="13075"/>
    <cellStyle name="Percent 7 8 4" xfId="13076"/>
    <cellStyle name="Percent 7 8 4 2" xfId="13077"/>
    <cellStyle name="Percent 7 8 4 2 2" xfId="13078"/>
    <cellStyle name="Percent 7 8 4 3" xfId="13079"/>
    <cellStyle name="Percent 7 8 4 3 2" xfId="13080"/>
    <cellStyle name="Percent 7 8 4 4" xfId="13081"/>
    <cellStyle name="Percent 7 8 4 4 2" xfId="13082"/>
    <cellStyle name="Percent 7 8 4 5" xfId="13083"/>
    <cellStyle name="Percent 7 8 5" xfId="13084"/>
    <cellStyle name="Percent 7 8 5 2" xfId="13085"/>
    <cellStyle name="Percent 7 8 5 2 2" xfId="13086"/>
    <cellStyle name="Percent 7 8 5 3" xfId="13087"/>
    <cellStyle name="Percent 7 8 5 3 2" xfId="13088"/>
    <cellStyle name="Percent 7 8 5 4" xfId="13089"/>
    <cellStyle name="Percent 7 8 6" xfId="13090"/>
    <cellStyle name="Percent 7 8 6 2" xfId="13091"/>
    <cellStyle name="Percent 7 8 7" xfId="13092"/>
    <cellStyle name="Percent 7 8 7 2" xfId="13093"/>
    <cellStyle name="Percent 7 8 8" xfId="13094"/>
    <cellStyle name="Percent 7 8 8 2" xfId="13095"/>
    <cellStyle name="Percent 7 8 9" xfId="13096"/>
    <cellStyle name="Percent 7 9" xfId="13097"/>
    <cellStyle name="Percent 7 9 10" xfId="13098"/>
    <cellStyle name="Percent 7 9 2" xfId="13099"/>
    <cellStyle name="Percent 7 9 2 2" xfId="13100"/>
    <cellStyle name="Percent 7 9 2 2 2" xfId="13101"/>
    <cellStyle name="Percent 7 9 2 3" xfId="13102"/>
    <cellStyle name="Percent 7 9 2 3 2" xfId="13103"/>
    <cellStyle name="Percent 7 9 2 4" xfId="13104"/>
    <cellStyle name="Percent 7 9 3" xfId="13105"/>
    <cellStyle name="Percent 7 9 3 2" xfId="13106"/>
    <cellStyle name="Percent 7 9 3 2 2" xfId="13107"/>
    <cellStyle name="Percent 7 9 3 3" xfId="13108"/>
    <cellStyle name="Percent 7 9 3 3 2" xfId="13109"/>
    <cellStyle name="Percent 7 9 3 4" xfId="13110"/>
    <cellStyle name="Percent 7 9 4" xfId="13111"/>
    <cellStyle name="Percent 7 9 4 2" xfId="13112"/>
    <cellStyle name="Percent 7 9 4 2 2" xfId="13113"/>
    <cellStyle name="Percent 7 9 4 3" xfId="13114"/>
    <cellStyle name="Percent 7 9 4 3 2" xfId="13115"/>
    <cellStyle name="Percent 7 9 4 4" xfId="13116"/>
    <cellStyle name="Percent 7 9 4 4 2" xfId="13117"/>
    <cellStyle name="Percent 7 9 4 5" xfId="13118"/>
    <cellStyle name="Percent 7 9 5" xfId="13119"/>
    <cellStyle name="Percent 7 9 5 2" xfId="13120"/>
    <cellStyle name="Percent 7 9 5 2 2" xfId="13121"/>
    <cellStyle name="Percent 7 9 5 3" xfId="13122"/>
    <cellStyle name="Percent 7 9 5 3 2" xfId="13123"/>
    <cellStyle name="Percent 7 9 5 4" xfId="13124"/>
    <cellStyle name="Percent 7 9 6" xfId="13125"/>
    <cellStyle name="Percent 7 9 6 2" xfId="13126"/>
    <cellStyle name="Percent 7 9 7" xfId="13127"/>
    <cellStyle name="Percent 7 9 7 2" xfId="13128"/>
    <cellStyle name="Percent 7 9 8" xfId="13129"/>
    <cellStyle name="Percent 7 9 8 2" xfId="13130"/>
    <cellStyle name="Percent 7 9 9" xfId="13131"/>
    <cellStyle name="Percent 8 18" xfId="13132"/>
    <cellStyle name="Percent 8 10" xfId="13133"/>
    <cellStyle name="Percent 8 10 2" xfId="13134"/>
    <cellStyle name="Percent 8 10 2 2" xfId="13135"/>
    <cellStyle name="Percent 8 10 3" xfId="13136"/>
    <cellStyle name="Percent 8 10 3 2" xfId="13137"/>
    <cellStyle name="Percent 8 10 4" xfId="13138"/>
    <cellStyle name="Percent 8 11" xfId="13139"/>
    <cellStyle name="Percent 8 11 2" xfId="13140"/>
    <cellStyle name="Percent 8 11 2 2" xfId="13141"/>
    <cellStyle name="Percent 8 11 3" xfId="13142"/>
    <cellStyle name="Percent 8 11 3 2" xfId="13143"/>
    <cellStyle name="Percent 8 11 4" xfId="13144"/>
    <cellStyle name="Percent 8 11 4 2" xfId="13145"/>
    <cellStyle name="Percent 8 11 5" xfId="13146"/>
    <cellStyle name="Percent 8 12" xfId="13147"/>
    <cellStyle name="Percent 8 12 2" xfId="13148"/>
    <cellStyle name="Percent 8 12 2 2" xfId="13149"/>
    <cellStyle name="Percent 8 12 3" xfId="13150"/>
    <cellStyle name="Percent 8 12 3 2" xfId="13151"/>
    <cellStyle name="Percent 8 12 4" xfId="13152"/>
    <cellStyle name="Percent 8 13" xfId="13153"/>
    <cellStyle name="Percent 8 13 2" xfId="13154"/>
    <cellStyle name="Percent 8 14" xfId="13155"/>
    <cellStyle name="Percent 8 14 2" xfId="13156"/>
    <cellStyle name="Percent 8 15" xfId="13157"/>
    <cellStyle name="Percent 8 15 2" xfId="13158"/>
    <cellStyle name="Percent 8 16" xfId="13159"/>
    <cellStyle name="Percent 8 17" xfId="13160"/>
    <cellStyle name="Percent 8 2 11" xfId="13161"/>
    <cellStyle name="Percent 8 2 10" xfId="13162"/>
    <cellStyle name="Percent 8 2 2" xfId="13163"/>
    <cellStyle name="Percent 8 2 2 2" xfId="13164"/>
    <cellStyle name="Percent 8 2 2 2 2" xfId="13165"/>
    <cellStyle name="Percent 8 2 2 3" xfId="13166"/>
    <cellStyle name="Percent 8 2 2 3 2" xfId="13167"/>
    <cellStyle name="Percent 8 2 2 4" xfId="13168"/>
    <cellStyle name="Percent 8 2 3" xfId="13169"/>
    <cellStyle name="Percent 8 2 3 2" xfId="13170"/>
    <cellStyle name="Percent 8 2 3 2 2" xfId="13171"/>
    <cellStyle name="Percent 8 2 3 3" xfId="13172"/>
    <cellStyle name="Percent 8 2 3 3 2" xfId="13173"/>
    <cellStyle name="Percent 8 2 3 4" xfId="13174"/>
    <cellStyle name="Percent 8 2 4" xfId="13175"/>
    <cellStyle name="Percent 8 2 4 2" xfId="13176"/>
    <cellStyle name="Percent 8 2 4 2 2" xfId="13177"/>
    <cellStyle name="Percent 8 2 4 3" xfId="13178"/>
    <cellStyle name="Percent 8 2 4 3 2" xfId="13179"/>
    <cellStyle name="Percent 8 2 4 4" xfId="13180"/>
    <cellStyle name="Percent 8 2 4 4 2" xfId="13181"/>
    <cellStyle name="Percent 8 2 4 5" xfId="13182"/>
    <cellStyle name="Percent 8 2 5" xfId="13183"/>
    <cellStyle name="Percent 8 2 5 2" xfId="13184"/>
    <cellStyle name="Percent 8 2 5 2 2" xfId="13185"/>
    <cellStyle name="Percent 8 2 5 3" xfId="13186"/>
    <cellStyle name="Percent 8 2 5 3 2" xfId="13187"/>
    <cellStyle name="Percent 8 2 5 4" xfId="13188"/>
    <cellStyle name="Percent 8 2 6" xfId="13189"/>
    <cellStyle name="Percent 8 2 6 2" xfId="13190"/>
    <cellStyle name="Percent 8 2 7" xfId="13191"/>
    <cellStyle name="Percent 8 2 7 2" xfId="13192"/>
    <cellStyle name="Percent 8 2 8" xfId="13193"/>
    <cellStyle name="Percent 8 2 8 2" xfId="13194"/>
    <cellStyle name="Percent 8 2 9" xfId="13195"/>
    <cellStyle name="Percent 8 3 11" xfId="13196"/>
    <cellStyle name="Percent 8 3 10" xfId="13197"/>
    <cellStyle name="Percent 8 3 2" xfId="13198"/>
    <cellStyle name="Percent 8 3 2 2" xfId="13199"/>
    <cellStyle name="Percent 8 3 2 2 2" xfId="13200"/>
    <cellStyle name="Percent 8 3 2 3" xfId="13201"/>
    <cellStyle name="Percent 8 3 2 3 2" xfId="13202"/>
    <cellStyle name="Percent 8 3 2 4" xfId="13203"/>
    <cellStyle name="Percent 8 3 3" xfId="13204"/>
    <cellStyle name="Percent 8 3 3 2" xfId="13205"/>
    <cellStyle name="Percent 8 3 3 2 2" xfId="13206"/>
    <cellStyle name="Percent 8 3 3 3" xfId="13207"/>
    <cellStyle name="Percent 8 3 3 3 2" xfId="13208"/>
    <cellStyle name="Percent 8 3 3 4" xfId="13209"/>
    <cellStyle name="Percent 8 3 4" xfId="13210"/>
    <cellStyle name="Percent 8 3 4 2" xfId="13211"/>
    <cellStyle name="Percent 8 3 4 2 2" xfId="13212"/>
    <cellStyle name="Percent 8 3 4 3" xfId="13213"/>
    <cellStyle name="Percent 8 3 4 3 2" xfId="13214"/>
    <cellStyle name="Percent 8 3 4 4" xfId="13215"/>
    <cellStyle name="Percent 8 3 4 4 2" xfId="13216"/>
    <cellStyle name="Percent 8 3 4 5" xfId="13217"/>
    <cellStyle name="Percent 8 3 5" xfId="13218"/>
    <cellStyle name="Percent 8 3 5 2" xfId="13219"/>
    <cellStyle name="Percent 8 3 5 2 2" xfId="13220"/>
    <cellStyle name="Percent 8 3 5 3" xfId="13221"/>
    <cellStyle name="Percent 8 3 5 3 2" xfId="13222"/>
    <cellStyle name="Percent 8 3 5 4" xfId="13223"/>
    <cellStyle name="Percent 8 3 6" xfId="13224"/>
    <cellStyle name="Percent 8 3 6 2" xfId="13225"/>
    <cellStyle name="Percent 8 3 7" xfId="13226"/>
    <cellStyle name="Percent 8 3 7 2" xfId="13227"/>
    <cellStyle name="Percent 8 3 8" xfId="13228"/>
    <cellStyle name="Percent 8 3 8 2" xfId="13229"/>
    <cellStyle name="Percent 8 3 9" xfId="13230"/>
    <cellStyle name="Percent 8 4 11" xfId="13231"/>
    <cellStyle name="Percent 8 4 10" xfId="13232"/>
    <cellStyle name="Percent 8 4 2" xfId="13233"/>
    <cellStyle name="Percent 8 4 2 2" xfId="13234"/>
    <cellStyle name="Percent 8 4 2 2 2" xfId="13235"/>
    <cellStyle name="Percent 8 4 2 3" xfId="13236"/>
    <cellStyle name="Percent 8 4 2 3 2" xfId="13237"/>
    <cellStyle name="Percent 8 4 2 4" xfId="13238"/>
    <cellStyle name="Percent 8 4 3" xfId="13239"/>
    <cellStyle name="Percent 8 4 3 2" xfId="13240"/>
    <cellStyle name="Percent 8 4 3 2 2" xfId="13241"/>
    <cellStyle name="Percent 8 4 3 3" xfId="13242"/>
    <cellStyle name="Percent 8 4 3 3 2" xfId="13243"/>
    <cellStyle name="Percent 8 4 3 4" xfId="13244"/>
    <cellStyle name="Percent 8 4 4" xfId="13245"/>
    <cellStyle name="Percent 8 4 4 2" xfId="13246"/>
    <cellStyle name="Percent 8 4 4 2 2" xfId="13247"/>
    <cellStyle name="Percent 8 4 4 3" xfId="13248"/>
    <cellStyle name="Percent 8 4 4 3 2" xfId="13249"/>
    <cellStyle name="Percent 8 4 4 4" xfId="13250"/>
    <cellStyle name="Percent 8 4 4 4 2" xfId="13251"/>
    <cellStyle name="Percent 8 4 4 5" xfId="13252"/>
    <cellStyle name="Percent 8 4 5" xfId="13253"/>
    <cellStyle name="Percent 8 4 5 2" xfId="13254"/>
    <cellStyle name="Percent 8 4 5 2 2" xfId="13255"/>
    <cellStyle name="Percent 8 4 5 3" xfId="13256"/>
    <cellStyle name="Percent 8 4 5 3 2" xfId="13257"/>
    <cellStyle name="Percent 8 4 5 4" xfId="13258"/>
    <cellStyle name="Percent 8 4 6" xfId="13259"/>
    <cellStyle name="Percent 8 4 6 2" xfId="13260"/>
    <cellStyle name="Percent 8 4 7" xfId="13261"/>
    <cellStyle name="Percent 8 4 7 2" xfId="13262"/>
    <cellStyle name="Percent 8 4 8" xfId="13263"/>
    <cellStyle name="Percent 8 4 8 2" xfId="13264"/>
    <cellStyle name="Percent 8 4 9" xfId="13265"/>
    <cellStyle name="Percent 8 5 11" xfId="13266"/>
    <cellStyle name="Percent 8 5 10" xfId="13267"/>
    <cellStyle name="Percent 8 5 2" xfId="13268"/>
    <cellStyle name="Percent 8 5 2 2" xfId="13269"/>
    <cellStyle name="Percent 8 5 2 2 2" xfId="13270"/>
    <cellStyle name="Percent 8 5 2 3" xfId="13271"/>
    <cellStyle name="Percent 8 5 2 3 2" xfId="13272"/>
    <cellStyle name="Percent 8 5 2 4" xfId="13273"/>
    <cellStyle name="Percent 8 5 3" xfId="13274"/>
    <cellStyle name="Percent 8 5 3 2" xfId="13275"/>
    <cellStyle name="Percent 8 5 3 2 2" xfId="13276"/>
    <cellStyle name="Percent 8 5 3 3" xfId="13277"/>
    <cellStyle name="Percent 8 5 3 3 2" xfId="13278"/>
    <cellStyle name="Percent 8 5 3 4" xfId="13279"/>
    <cellStyle name="Percent 8 5 4" xfId="13280"/>
    <cellStyle name="Percent 8 5 4 2" xfId="13281"/>
    <cellStyle name="Percent 8 5 4 2 2" xfId="13282"/>
    <cellStyle name="Percent 8 5 4 3" xfId="13283"/>
    <cellStyle name="Percent 8 5 4 3 2" xfId="13284"/>
    <cellStyle name="Percent 8 5 4 4" xfId="13285"/>
    <cellStyle name="Percent 8 5 4 4 2" xfId="13286"/>
    <cellStyle name="Percent 8 5 4 5" xfId="13287"/>
    <cellStyle name="Percent 8 5 5" xfId="13288"/>
    <cellStyle name="Percent 8 5 5 2" xfId="13289"/>
    <cellStyle name="Percent 8 5 5 2 2" xfId="13290"/>
    <cellStyle name="Percent 8 5 5 3" xfId="13291"/>
    <cellStyle name="Percent 8 5 5 3 2" xfId="13292"/>
    <cellStyle name="Percent 8 5 5 4" xfId="13293"/>
    <cellStyle name="Percent 8 5 6" xfId="13294"/>
    <cellStyle name="Percent 8 5 6 2" xfId="13295"/>
    <cellStyle name="Percent 8 5 7" xfId="13296"/>
    <cellStyle name="Percent 8 5 7 2" xfId="13297"/>
    <cellStyle name="Percent 8 5 8" xfId="13298"/>
    <cellStyle name="Percent 8 5 8 2" xfId="13299"/>
    <cellStyle name="Percent 8 5 9" xfId="13300"/>
    <cellStyle name="Percent 8 6 11" xfId="13301"/>
    <cellStyle name="Percent 8 6 10" xfId="13302"/>
    <cellStyle name="Percent 8 6 2" xfId="13303"/>
    <cellStyle name="Percent 8 6 2 2" xfId="13304"/>
    <cellStyle name="Percent 8 6 2 2 2" xfId="13305"/>
    <cellStyle name="Percent 8 6 2 3" xfId="13306"/>
    <cellStyle name="Percent 8 6 2 3 2" xfId="13307"/>
    <cellStyle name="Percent 8 6 2 4" xfId="13308"/>
    <cellStyle name="Percent 8 6 3" xfId="13309"/>
    <cellStyle name="Percent 8 6 3 2" xfId="13310"/>
    <cellStyle name="Percent 8 6 3 2 2" xfId="13311"/>
    <cellStyle name="Percent 8 6 3 3" xfId="13312"/>
    <cellStyle name="Percent 8 6 3 3 2" xfId="13313"/>
    <cellStyle name="Percent 8 6 3 4" xfId="13314"/>
    <cellStyle name="Percent 8 6 4" xfId="13315"/>
    <cellStyle name="Percent 8 6 4 2" xfId="13316"/>
    <cellStyle name="Percent 8 6 4 2 2" xfId="13317"/>
    <cellStyle name="Percent 8 6 4 3" xfId="13318"/>
    <cellStyle name="Percent 8 6 4 3 2" xfId="13319"/>
    <cellStyle name="Percent 8 6 4 4" xfId="13320"/>
    <cellStyle name="Percent 8 6 4 4 2" xfId="13321"/>
    <cellStyle name="Percent 8 6 4 5" xfId="13322"/>
    <cellStyle name="Percent 8 6 5" xfId="13323"/>
    <cellStyle name="Percent 8 6 5 2" xfId="13324"/>
    <cellStyle name="Percent 8 6 5 2 2" xfId="13325"/>
    <cellStyle name="Percent 8 6 5 3" xfId="13326"/>
    <cellStyle name="Percent 8 6 5 3 2" xfId="13327"/>
    <cellStyle name="Percent 8 6 5 4" xfId="13328"/>
    <cellStyle name="Percent 8 6 6" xfId="13329"/>
    <cellStyle name="Percent 8 6 6 2" xfId="13330"/>
    <cellStyle name="Percent 8 6 7" xfId="13331"/>
    <cellStyle name="Percent 8 6 7 2" xfId="13332"/>
    <cellStyle name="Percent 8 6 8" xfId="13333"/>
    <cellStyle name="Percent 8 6 8 2" xfId="13334"/>
    <cellStyle name="Percent 8 6 9" xfId="13335"/>
    <cellStyle name="Percent 8 7 11" xfId="13336"/>
    <cellStyle name="Percent 8 7 10" xfId="13337"/>
    <cellStyle name="Percent 8 7 2" xfId="13338"/>
    <cellStyle name="Percent 8 7 2 2" xfId="13339"/>
    <cellStyle name="Percent 8 7 2 2 2" xfId="13340"/>
    <cellStyle name="Percent 8 7 2 3" xfId="13341"/>
    <cellStyle name="Percent 8 7 2 3 2" xfId="13342"/>
    <cellStyle name="Percent 8 7 2 4" xfId="13343"/>
    <cellStyle name="Percent 8 7 3" xfId="13344"/>
    <cellStyle name="Percent 8 7 3 2" xfId="13345"/>
    <cellStyle name="Percent 8 7 3 2 2" xfId="13346"/>
    <cellStyle name="Percent 8 7 3 3" xfId="13347"/>
    <cellStyle name="Percent 8 7 3 3 2" xfId="13348"/>
    <cellStyle name="Percent 8 7 3 4" xfId="13349"/>
    <cellStyle name="Percent 8 7 4" xfId="13350"/>
    <cellStyle name="Percent 8 7 4 2" xfId="13351"/>
    <cellStyle name="Percent 8 7 4 2 2" xfId="13352"/>
    <cellStyle name="Percent 8 7 4 3" xfId="13353"/>
    <cellStyle name="Percent 8 7 4 3 2" xfId="13354"/>
    <cellStyle name="Percent 8 7 4 4" xfId="13355"/>
    <cellStyle name="Percent 8 7 4 4 2" xfId="13356"/>
    <cellStyle name="Percent 8 7 4 5" xfId="13357"/>
    <cellStyle name="Percent 8 7 5" xfId="13358"/>
    <cellStyle name="Percent 8 7 5 2" xfId="13359"/>
    <cellStyle name="Percent 8 7 5 2 2" xfId="13360"/>
    <cellStyle name="Percent 8 7 5 3" xfId="13361"/>
    <cellStyle name="Percent 8 7 5 3 2" xfId="13362"/>
    <cellStyle name="Percent 8 7 5 4" xfId="13363"/>
    <cellStyle name="Percent 8 7 6" xfId="13364"/>
    <cellStyle name="Percent 8 7 6 2" xfId="13365"/>
    <cellStyle name="Percent 8 7 7" xfId="13366"/>
    <cellStyle name="Percent 8 7 7 2" xfId="13367"/>
    <cellStyle name="Percent 8 7 8" xfId="13368"/>
    <cellStyle name="Percent 8 7 8 2" xfId="13369"/>
    <cellStyle name="Percent 8 7 9" xfId="13370"/>
    <cellStyle name="Percent 8 8 11" xfId="13371"/>
    <cellStyle name="Percent 8 8 10" xfId="13372"/>
    <cellStyle name="Percent 8 8 2" xfId="13373"/>
    <cellStyle name="Percent 8 8 2 2" xfId="13374"/>
    <cellStyle name="Percent 8 8 2 2 2" xfId="13375"/>
    <cellStyle name="Percent 8 8 2 3" xfId="13376"/>
    <cellStyle name="Percent 8 8 2 3 2" xfId="13377"/>
    <cellStyle name="Percent 8 8 2 4" xfId="13378"/>
    <cellStyle name="Percent 8 8 3" xfId="13379"/>
    <cellStyle name="Percent 8 8 3 2" xfId="13380"/>
    <cellStyle name="Percent 8 8 3 2 2" xfId="13381"/>
    <cellStyle name="Percent 8 8 3 3" xfId="13382"/>
    <cellStyle name="Percent 8 8 3 3 2" xfId="13383"/>
    <cellStyle name="Percent 8 8 3 4" xfId="13384"/>
    <cellStyle name="Percent 8 8 4" xfId="13385"/>
    <cellStyle name="Percent 8 8 4 2" xfId="13386"/>
    <cellStyle name="Percent 8 8 4 2 2" xfId="13387"/>
    <cellStyle name="Percent 8 8 4 3" xfId="13388"/>
    <cellStyle name="Percent 8 8 4 3 2" xfId="13389"/>
    <cellStyle name="Percent 8 8 4 4" xfId="13390"/>
    <cellStyle name="Percent 8 8 4 4 2" xfId="13391"/>
    <cellStyle name="Percent 8 8 4 5" xfId="13392"/>
    <cellStyle name="Percent 8 8 5" xfId="13393"/>
    <cellStyle name="Percent 8 8 5 2" xfId="13394"/>
    <cellStyle name="Percent 8 8 5 2 2" xfId="13395"/>
    <cellStyle name="Percent 8 8 5 3" xfId="13396"/>
    <cellStyle name="Percent 8 8 5 3 2" xfId="13397"/>
    <cellStyle name="Percent 8 8 5 4" xfId="13398"/>
    <cellStyle name="Percent 8 8 6" xfId="13399"/>
    <cellStyle name="Percent 8 8 6 2" xfId="13400"/>
    <cellStyle name="Percent 8 8 7" xfId="13401"/>
    <cellStyle name="Percent 8 8 7 2" xfId="13402"/>
    <cellStyle name="Percent 8 8 8" xfId="13403"/>
    <cellStyle name="Percent 8 8 8 2" xfId="13404"/>
    <cellStyle name="Percent 8 8 9" xfId="13405"/>
    <cellStyle name="Percent 8 9" xfId="13406"/>
    <cellStyle name="Percent 8 9 2" xfId="13407"/>
    <cellStyle name="Percent 8 9 2 2" xfId="13408"/>
    <cellStyle name="Percent 8 9 3" xfId="13409"/>
    <cellStyle name="Percent 8 9 3 2" xfId="13410"/>
    <cellStyle name="Percent 8 9 4" xfId="13411"/>
    <cellStyle name="Percent 9 30" xfId="13412"/>
    <cellStyle name="Percent 9 10 12" xfId="13413"/>
    <cellStyle name="Percent 9 10 10" xfId="13414"/>
    <cellStyle name="Percent 9 10 11" xfId="13415"/>
    <cellStyle name="Percent 9 10 2" xfId="13416"/>
    <cellStyle name="Percent 9 10 2 2" xfId="13417"/>
    <cellStyle name="Percent 9 10 2 2 2" xfId="13418"/>
    <cellStyle name="Percent 9 10 2 3" xfId="13419"/>
    <cellStyle name="Percent 9 10 2 3 2" xfId="13420"/>
    <cellStyle name="Percent 9 10 2 4" xfId="13421"/>
    <cellStyle name="Percent 9 10 2 5" xfId="13422"/>
    <cellStyle name="Percent 9 10 3" xfId="13423"/>
    <cellStyle name="Percent 9 10 3 2" xfId="13424"/>
    <cellStyle name="Percent 9 10 3 2 2" xfId="13425"/>
    <cellStyle name="Percent 9 10 3 3" xfId="13426"/>
    <cellStyle name="Percent 9 10 3 3 2" xfId="13427"/>
    <cellStyle name="Percent 9 10 3 4" xfId="13428"/>
    <cellStyle name="Percent 9 10 4" xfId="13429"/>
    <cellStyle name="Percent 9 10 4 2" xfId="13430"/>
    <cellStyle name="Percent 9 10 4 2 2" xfId="13431"/>
    <cellStyle name="Percent 9 10 4 3" xfId="13432"/>
    <cellStyle name="Percent 9 10 4 3 2" xfId="13433"/>
    <cellStyle name="Percent 9 10 4 4" xfId="13434"/>
    <cellStyle name="Percent 9 10 5" xfId="13435"/>
    <cellStyle name="Percent 9 10 5 2" xfId="13436"/>
    <cellStyle name="Percent 9 10 5 2 2" xfId="13437"/>
    <cellStyle name="Percent 9 10 5 3" xfId="13438"/>
    <cellStyle name="Percent 9 10 5 3 2" xfId="13439"/>
    <cellStyle name="Percent 9 10 5 4" xfId="13440"/>
    <cellStyle name="Percent 9 10 5 4 2" xfId="13441"/>
    <cellStyle name="Percent 9 10 5 5" xfId="13442"/>
    <cellStyle name="Percent 9 10 6" xfId="13443"/>
    <cellStyle name="Percent 9 10 6 2" xfId="13444"/>
    <cellStyle name="Percent 9 10 6 2 2" xfId="13445"/>
    <cellStyle name="Percent 9 10 6 3" xfId="13446"/>
    <cellStyle name="Percent 9 10 6 3 2" xfId="13447"/>
    <cellStyle name="Percent 9 10 6 4" xfId="13448"/>
    <cellStyle name="Percent 9 10 7" xfId="13449"/>
    <cellStyle name="Percent 9 10 7 2" xfId="13450"/>
    <cellStyle name="Percent 9 10 8" xfId="13451"/>
    <cellStyle name="Percent 9 10 8 2" xfId="13452"/>
    <cellStyle name="Percent 9 10 9" xfId="13453"/>
    <cellStyle name="Percent 9 10 9 2" xfId="13454"/>
    <cellStyle name="Percent 9 11 12" xfId="13455"/>
    <cellStyle name="Percent 9 11 10" xfId="13456"/>
    <cellStyle name="Percent 9 11 11" xfId="13457"/>
    <cellStyle name="Percent 9 11 2" xfId="13458"/>
    <cellStyle name="Percent 9 11 2 2" xfId="13459"/>
    <cellStyle name="Percent 9 11 2 2 2" xfId="13460"/>
    <cellStyle name="Percent 9 11 2 3" xfId="13461"/>
    <cellStyle name="Percent 9 11 2 3 2" xfId="13462"/>
    <cellStyle name="Percent 9 11 2 4" xfId="13463"/>
    <cellStyle name="Percent 9 11 2 5" xfId="13464"/>
    <cellStyle name="Percent 9 11 3" xfId="13465"/>
    <cellStyle name="Percent 9 11 3 2" xfId="13466"/>
    <cellStyle name="Percent 9 11 3 2 2" xfId="13467"/>
    <cellStyle name="Percent 9 11 3 3" xfId="13468"/>
    <cellStyle name="Percent 9 11 3 3 2" xfId="13469"/>
    <cellStyle name="Percent 9 11 3 4" xfId="13470"/>
    <cellStyle name="Percent 9 11 4" xfId="13471"/>
    <cellStyle name="Percent 9 11 4 2" xfId="13472"/>
    <cellStyle name="Percent 9 11 4 2 2" xfId="13473"/>
    <cellStyle name="Percent 9 11 4 3" xfId="13474"/>
    <cellStyle name="Percent 9 11 4 3 2" xfId="13475"/>
    <cellStyle name="Percent 9 11 4 4" xfId="13476"/>
    <cellStyle name="Percent 9 11 5" xfId="13477"/>
    <cellStyle name="Percent 9 11 5 2" xfId="13478"/>
    <cellStyle name="Percent 9 11 5 2 2" xfId="13479"/>
    <cellStyle name="Percent 9 11 5 3" xfId="13480"/>
    <cellStyle name="Percent 9 11 5 3 2" xfId="13481"/>
    <cellStyle name="Percent 9 11 5 4" xfId="13482"/>
    <cellStyle name="Percent 9 11 5 4 2" xfId="13483"/>
    <cellStyle name="Percent 9 11 5 5" xfId="13484"/>
    <cellStyle name="Percent 9 11 6" xfId="13485"/>
    <cellStyle name="Percent 9 11 6 2" xfId="13486"/>
    <cellStyle name="Percent 9 11 6 2 2" xfId="13487"/>
    <cellStyle name="Percent 9 11 6 3" xfId="13488"/>
    <cellStyle name="Percent 9 11 6 3 2" xfId="13489"/>
    <cellStyle name="Percent 9 11 6 4" xfId="13490"/>
    <cellStyle name="Percent 9 11 7" xfId="13491"/>
    <cellStyle name="Percent 9 11 7 2" xfId="13492"/>
    <cellStyle name="Percent 9 11 8" xfId="13493"/>
    <cellStyle name="Percent 9 11 8 2" xfId="13494"/>
    <cellStyle name="Percent 9 11 9" xfId="13495"/>
    <cellStyle name="Percent 9 11 9 2" xfId="13496"/>
    <cellStyle name="Percent 9 12 12" xfId="13497"/>
    <cellStyle name="Percent 9 12 10" xfId="13498"/>
    <cellStyle name="Percent 9 12 11" xfId="13499"/>
    <cellStyle name="Percent 9 12 2" xfId="13500"/>
    <cellStyle name="Percent 9 12 2 2" xfId="13501"/>
    <cellStyle name="Percent 9 12 2 2 2" xfId="13502"/>
    <cellStyle name="Percent 9 12 2 3" xfId="13503"/>
    <cellStyle name="Percent 9 12 2 3 2" xfId="13504"/>
    <cellStyle name="Percent 9 12 2 4" xfId="13505"/>
    <cellStyle name="Percent 9 12 2 5" xfId="13506"/>
    <cellStyle name="Percent 9 12 3" xfId="13507"/>
    <cellStyle name="Percent 9 12 3 2" xfId="13508"/>
    <cellStyle name="Percent 9 12 3 2 2" xfId="13509"/>
    <cellStyle name="Percent 9 12 3 3" xfId="13510"/>
    <cellStyle name="Percent 9 12 3 3 2" xfId="13511"/>
    <cellStyle name="Percent 9 12 3 4" xfId="13512"/>
    <cellStyle name="Percent 9 12 4" xfId="13513"/>
    <cellStyle name="Percent 9 12 4 2" xfId="13514"/>
    <cellStyle name="Percent 9 12 4 2 2" xfId="13515"/>
    <cellStyle name="Percent 9 12 4 3" xfId="13516"/>
    <cellStyle name="Percent 9 12 4 3 2" xfId="13517"/>
    <cellStyle name="Percent 9 12 4 4" xfId="13518"/>
    <cellStyle name="Percent 9 12 5" xfId="13519"/>
    <cellStyle name="Percent 9 12 5 2" xfId="13520"/>
    <cellStyle name="Percent 9 12 5 2 2" xfId="13521"/>
    <cellStyle name="Percent 9 12 5 3" xfId="13522"/>
    <cellStyle name="Percent 9 12 5 3 2" xfId="13523"/>
    <cellStyle name="Percent 9 12 5 4" xfId="13524"/>
    <cellStyle name="Percent 9 12 5 4 2" xfId="13525"/>
    <cellStyle name="Percent 9 12 5 5" xfId="13526"/>
    <cellStyle name="Percent 9 12 6" xfId="13527"/>
    <cellStyle name="Percent 9 12 6 2" xfId="13528"/>
    <cellStyle name="Percent 9 12 6 2 2" xfId="13529"/>
    <cellStyle name="Percent 9 12 6 3" xfId="13530"/>
    <cellStyle name="Percent 9 12 6 3 2" xfId="13531"/>
    <cellStyle name="Percent 9 12 6 4" xfId="13532"/>
    <cellStyle name="Percent 9 12 7" xfId="13533"/>
    <cellStyle name="Percent 9 12 7 2" xfId="13534"/>
    <cellStyle name="Percent 9 12 8" xfId="13535"/>
    <cellStyle name="Percent 9 12 8 2" xfId="13536"/>
    <cellStyle name="Percent 9 12 9" xfId="13537"/>
    <cellStyle name="Percent 9 12 9 2" xfId="13538"/>
    <cellStyle name="Percent 9 13 12" xfId="13539"/>
    <cellStyle name="Percent 9 13 10" xfId="13540"/>
    <cellStyle name="Percent 9 13 11" xfId="13541"/>
    <cellStyle name="Percent 9 13 2" xfId="13542"/>
    <cellStyle name="Percent 9 13 2 2" xfId="13543"/>
    <cellStyle name="Percent 9 13 2 2 2" xfId="13544"/>
    <cellStyle name="Percent 9 13 2 3" xfId="13545"/>
    <cellStyle name="Percent 9 13 2 3 2" xfId="13546"/>
    <cellStyle name="Percent 9 13 2 4" xfId="13547"/>
    <cellStyle name="Percent 9 13 2 5" xfId="13548"/>
    <cellStyle name="Percent 9 13 3" xfId="13549"/>
    <cellStyle name="Percent 9 13 3 2" xfId="13550"/>
    <cellStyle name="Percent 9 13 3 2 2" xfId="13551"/>
    <cellStyle name="Percent 9 13 3 3" xfId="13552"/>
    <cellStyle name="Percent 9 13 3 3 2" xfId="13553"/>
    <cellStyle name="Percent 9 13 3 4" xfId="13554"/>
    <cellStyle name="Percent 9 13 4" xfId="13555"/>
    <cellStyle name="Percent 9 13 4 2" xfId="13556"/>
    <cellStyle name="Percent 9 13 4 2 2" xfId="13557"/>
    <cellStyle name="Percent 9 13 4 3" xfId="13558"/>
    <cellStyle name="Percent 9 13 4 3 2" xfId="13559"/>
    <cellStyle name="Percent 9 13 4 4" xfId="13560"/>
    <cellStyle name="Percent 9 13 5" xfId="13561"/>
    <cellStyle name="Percent 9 13 5 2" xfId="13562"/>
    <cellStyle name="Percent 9 13 5 2 2" xfId="13563"/>
    <cellStyle name="Percent 9 13 5 3" xfId="13564"/>
    <cellStyle name="Percent 9 13 5 3 2" xfId="13565"/>
    <cellStyle name="Percent 9 13 5 4" xfId="13566"/>
    <cellStyle name="Percent 9 13 5 4 2" xfId="13567"/>
    <cellStyle name="Percent 9 13 5 5" xfId="13568"/>
    <cellStyle name="Percent 9 13 6" xfId="13569"/>
    <cellStyle name="Percent 9 13 6 2" xfId="13570"/>
    <cellStyle name="Percent 9 13 6 2 2" xfId="13571"/>
    <cellStyle name="Percent 9 13 6 3" xfId="13572"/>
    <cellStyle name="Percent 9 13 6 3 2" xfId="13573"/>
    <cellStyle name="Percent 9 13 6 4" xfId="13574"/>
    <cellStyle name="Percent 9 13 7" xfId="13575"/>
    <cellStyle name="Percent 9 13 7 2" xfId="13576"/>
    <cellStyle name="Percent 9 13 8" xfId="13577"/>
    <cellStyle name="Percent 9 13 8 2" xfId="13578"/>
    <cellStyle name="Percent 9 13 9" xfId="13579"/>
    <cellStyle name="Percent 9 13 9 2" xfId="13580"/>
    <cellStyle name="Percent 9 14 12" xfId="13581"/>
    <cellStyle name="Percent 9 14 10" xfId="13582"/>
    <cellStyle name="Percent 9 14 11" xfId="13583"/>
    <cellStyle name="Percent 9 14 2" xfId="13584"/>
    <cellStyle name="Percent 9 14 2 2" xfId="13585"/>
    <cellStyle name="Percent 9 14 2 2 2" xfId="13586"/>
    <cellStyle name="Percent 9 14 2 3" xfId="13587"/>
    <cellStyle name="Percent 9 14 2 3 2" xfId="13588"/>
    <cellStyle name="Percent 9 14 2 4" xfId="13589"/>
    <cellStyle name="Percent 9 14 2 5" xfId="13590"/>
    <cellStyle name="Percent 9 14 3" xfId="13591"/>
    <cellStyle name="Percent 9 14 3 2" xfId="13592"/>
    <cellStyle name="Percent 9 14 3 2 2" xfId="13593"/>
    <cellStyle name="Percent 9 14 3 3" xfId="13594"/>
    <cellStyle name="Percent 9 14 3 3 2" xfId="13595"/>
    <cellStyle name="Percent 9 14 3 4" xfId="13596"/>
    <cellStyle name="Percent 9 14 4" xfId="13597"/>
    <cellStyle name="Percent 9 14 4 2" xfId="13598"/>
    <cellStyle name="Percent 9 14 4 2 2" xfId="13599"/>
    <cellStyle name="Percent 9 14 4 3" xfId="13600"/>
    <cellStyle name="Percent 9 14 4 3 2" xfId="13601"/>
    <cellStyle name="Percent 9 14 4 4" xfId="13602"/>
    <cellStyle name="Percent 9 14 5" xfId="13603"/>
    <cellStyle name="Percent 9 14 5 2" xfId="13604"/>
    <cellStyle name="Percent 9 14 5 2 2" xfId="13605"/>
    <cellStyle name="Percent 9 14 5 3" xfId="13606"/>
    <cellStyle name="Percent 9 14 5 3 2" xfId="13607"/>
    <cellStyle name="Percent 9 14 5 4" xfId="13608"/>
    <cellStyle name="Percent 9 14 5 4 2" xfId="13609"/>
    <cellStyle name="Percent 9 14 5 5" xfId="13610"/>
    <cellStyle name="Percent 9 14 6" xfId="13611"/>
    <cellStyle name="Percent 9 14 6 2" xfId="13612"/>
    <cellStyle name="Percent 9 14 6 2 2" xfId="13613"/>
    <cellStyle name="Percent 9 14 6 3" xfId="13614"/>
    <cellStyle name="Percent 9 14 6 3 2" xfId="13615"/>
    <cellStyle name="Percent 9 14 6 4" xfId="13616"/>
    <cellStyle name="Percent 9 14 7" xfId="13617"/>
    <cellStyle name="Percent 9 14 7 2" xfId="13618"/>
    <cellStyle name="Percent 9 14 8" xfId="13619"/>
    <cellStyle name="Percent 9 14 8 2" xfId="13620"/>
    <cellStyle name="Percent 9 14 9" xfId="13621"/>
    <cellStyle name="Percent 9 14 9 2" xfId="13622"/>
    <cellStyle name="Percent 9 15 12" xfId="13623"/>
    <cellStyle name="Percent 9 15 10" xfId="13624"/>
    <cellStyle name="Percent 9 15 11" xfId="13625"/>
    <cellStyle name="Percent 9 15 2" xfId="13626"/>
    <cellStyle name="Percent 9 15 2 2" xfId="13627"/>
    <cellStyle name="Percent 9 15 2 2 2" xfId="13628"/>
    <cellStyle name="Percent 9 15 2 3" xfId="13629"/>
    <cellStyle name="Percent 9 15 2 3 2" xfId="13630"/>
    <cellStyle name="Percent 9 15 2 4" xfId="13631"/>
    <cellStyle name="Percent 9 15 2 5" xfId="13632"/>
    <cellStyle name="Percent 9 15 3" xfId="13633"/>
    <cellStyle name="Percent 9 15 3 2" xfId="13634"/>
    <cellStyle name="Percent 9 15 3 2 2" xfId="13635"/>
    <cellStyle name="Percent 9 15 3 3" xfId="13636"/>
    <cellStyle name="Percent 9 15 3 3 2" xfId="13637"/>
    <cellStyle name="Percent 9 15 3 4" xfId="13638"/>
    <cellStyle name="Percent 9 15 4" xfId="13639"/>
    <cellStyle name="Percent 9 15 4 2" xfId="13640"/>
    <cellStyle name="Percent 9 15 4 2 2" xfId="13641"/>
    <cellStyle name="Percent 9 15 4 3" xfId="13642"/>
    <cellStyle name="Percent 9 15 4 3 2" xfId="13643"/>
    <cellStyle name="Percent 9 15 4 4" xfId="13644"/>
    <cellStyle name="Percent 9 15 5" xfId="13645"/>
    <cellStyle name="Percent 9 15 5 2" xfId="13646"/>
    <cellStyle name="Percent 9 15 5 2 2" xfId="13647"/>
    <cellStyle name="Percent 9 15 5 3" xfId="13648"/>
    <cellStyle name="Percent 9 15 5 3 2" xfId="13649"/>
    <cellStyle name="Percent 9 15 5 4" xfId="13650"/>
    <cellStyle name="Percent 9 15 5 4 2" xfId="13651"/>
    <cellStyle name="Percent 9 15 5 5" xfId="13652"/>
    <cellStyle name="Percent 9 15 6" xfId="13653"/>
    <cellStyle name="Percent 9 15 6 2" xfId="13654"/>
    <cellStyle name="Percent 9 15 6 2 2" xfId="13655"/>
    <cellStyle name="Percent 9 15 6 3" xfId="13656"/>
    <cellStyle name="Percent 9 15 6 3 2" xfId="13657"/>
    <cellStyle name="Percent 9 15 6 4" xfId="13658"/>
    <cellStyle name="Percent 9 15 7" xfId="13659"/>
    <cellStyle name="Percent 9 15 7 2" xfId="13660"/>
    <cellStyle name="Percent 9 15 8" xfId="13661"/>
    <cellStyle name="Percent 9 15 8 2" xfId="13662"/>
    <cellStyle name="Percent 9 15 9" xfId="13663"/>
    <cellStyle name="Percent 9 15 9 2" xfId="13664"/>
    <cellStyle name="Percent 9 16 12" xfId="13665"/>
    <cellStyle name="Percent 9 16 10" xfId="13666"/>
    <cellStyle name="Percent 9 16 11" xfId="13667"/>
    <cellStyle name="Percent 9 16 2" xfId="13668"/>
    <cellStyle name="Percent 9 16 2 2" xfId="13669"/>
    <cellStyle name="Percent 9 16 2 2 2" xfId="13670"/>
    <cellStyle name="Percent 9 16 2 3" xfId="13671"/>
    <cellStyle name="Percent 9 16 2 3 2" xfId="13672"/>
    <cellStyle name="Percent 9 16 2 4" xfId="13673"/>
    <cellStyle name="Percent 9 16 2 5" xfId="13674"/>
    <cellStyle name="Percent 9 16 3" xfId="13675"/>
    <cellStyle name="Percent 9 16 3 2" xfId="13676"/>
    <cellStyle name="Percent 9 16 3 2 2" xfId="13677"/>
    <cellStyle name="Percent 9 16 3 3" xfId="13678"/>
    <cellStyle name="Percent 9 16 3 3 2" xfId="13679"/>
    <cellStyle name="Percent 9 16 3 4" xfId="13680"/>
    <cellStyle name="Percent 9 16 4" xfId="13681"/>
    <cellStyle name="Percent 9 16 4 2" xfId="13682"/>
    <cellStyle name="Percent 9 16 4 2 2" xfId="13683"/>
    <cellStyle name="Percent 9 16 4 3" xfId="13684"/>
    <cellStyle name="Percent 9 16 4 3 2" xfId="13685"/>
    <cellStyle name="Percent 9 16 4 4" xfId="13686"/>
    <cellStyle name="Percent 9 16 5" xfId="13687"/>
    <cellStyle name="Percent 9 16 5 2" xfId="13688"/>
    <cellStyle name="Percent 9 16 5 2 2" xfId="13689"/>
    <cellStyle name="Percent 9 16 5 3" xfId="13690"/>
    <cellStyle name="Percent 9 16 5 3 2" xfId="13691"/>
    <cellStyle name="Percent 9 16 5 4" xfId="13692"/>
    <cellStyle name="Percent 9 16 5 4 2" xfId="13693"/>
    <cellStyle name="Percent 9 16 5 5" xfId="13694"/>
    <cellStyle name="Percent 9 16 6" xfId="13695"/>
    <cellStyle name="Percent 9 16 6 2" xfId="13696"/>
    <cellStyle name="Percent 9 16 6 2 2" xfId="13697"/>
    <cellStyle name="Percent 9 16 6 3" xfId="13698"/>
    <cellStyle name="Percent 9 16 6 3 2" xfId="13699"/>
    <cellStyle name="Percent 9 16 6 4" xfId="13700"/>
    <cellStyle name="Percent 9 16 7" xfId="13701"/>
    <cellStyle name="Percent 9 16 7 2" xfId="13702"/>
    <cellStyle name="Percent 9 16 8" xfId="13703"/>
    <cellStyle name="Percent 9 16 8 2" xfId="13704"/>
    <cellStyle name="Percent 9 16 9" xfId="13705"/>
    <cellStyle name="Percent 9 16 9 2" xfId="13706"/>
    <cellStyle name="Percent 9 17 12" xfId="13707"/>
    <cellStyle name="Percent 9 17 10" xfId="13708"/>
    <cellStyle name="Percent 9 17 11" xfId="13709"/>
    <cellStyle name="Percent 9 17 2" xfId="13710"/>
    <cellStyle name="Percent 9 17 2 2" xfId="13711"/>
    <cellStyle name="Percent 9 17 2 2 2" xfId="13712"/>
    <cellStyle name="Percent 9 17 2 3" xfId="13713"/>
    <cellStyle name="Percent 9 17 2 3 2" xfId="13714"/>
    <cellStyle name="Percent 9 17 2 4" xfId="13715"/>
    <cellStyle name="Percent 9 17 2 5" xfId="13716"/>
    <cellStyle name="Percent 9 17 3" xfId="13717"/>
    <cellStyle name="Percent 9 17 3 2" xfId="13718"/>
    <cellStyle name="Percent 9 17 3 2 2" xfId="13719"/>
    <cellStyle name="Percent 9 17 3 3" xfId="13720"/>
    <cellStyle name="Percent 9 17 3 3 2" xfId="13721"/>
    <cellStyle name="Percent 9 17 3 4" xfId="13722"/>
    <cellStyle name="Percent 9 17 4" xfId="13723"/>
    <cellStyle name="Percent 9 17 4 2" xfId="13724"/>
    <cellStyle name="Percent 9 17 4 2 2" xfId="13725"/>
    <cellStyle name="Percent 9 17 4 3" xfId="13726"/>
    <cellStyle name="Percent 9 17 4 3 2" xfId="13727"/>
    <cellStyle name="Percent 9 17 4 4" xfId="13728"/>
    <cellStyle name="Percent 9 17 5" xfId="13729"/>
    <cellStyle name="Percent 9 17 5 2" xfId="13730"/>
    <cellStyle name="Percent 9 17 5 2 2" xfId="13731"/>
    <cellStyle name="Percent 9 17 5 3" xfId="13732"/>
    <cellStyle name="Percent 9 17 5 3 2" xfId="13733"/>
    <cellStyle name="Percent 9 17 5 4" xfId="13734"/>
    <cellStyle name="Percent 9 17 5 4 2" xfId="13735"/>
    <cellStyle name="Percent 9 17 5 5" xfId="13736"/>
    <cellStyle name="Percent 9 17 6" xfId="13737"/>
    <cellStyle name="Percent 9 17 6 2" xfId="13738"/>
    <cellStyle name="Percent 9 17 6 2 2" xfId="13739"/>
    <cellStyle name="Percent 9 17 6 3" xfId="13740"/>
    <cellStyle name="Percent 9 17 6 3 2" xfId="13741"/>
    <cellStyle name="Percent 9 17 6 4" xfId="13742"/>
    <cellStyle name="Percent 9 17 7" xfId="13743"/>
    <cellStyle name="Percent 9 17 7 2" xfId="13744"/>
    <cellStyle name="Percent 9 17 8" xfId="13745"/>
    <cellStyle name="Percent 9 17 8 2" xfId="13746"/>
    <cellStyle name="Percent 9 17 9" xfId="13747"/>
    <cellStyle name="Percent 9 17 9 2" xfId="13748"/>
    <cellStyle name="Percent 9 18 12" xfId="13749"/>
    <cellStyle name="Percent 9 18 10" xfId="13750"/>
    <cellStyle name="Percent 9 18 11" xfId="13751"/>
    <cellStyle name="Percent 9 18 2" xfId="13752"/>
    <cellStyle name="Percent 9 18 2 2" xfId="13753"/>
    <cellStyle name="Percent 9 18 2 2 2" xfId="13754"/>
    <cellStyle name="Percent 9 18 2 3" xfId="13755"/>
    <cellStyle name="Percent 9 18 2 3 2" xfId="13756"/>
    <cellStyle name="Percent 9 18 2 4" xfId="13757"/>
    <cellStyle name="Percent 9 18 2 5" xfId="13758"/>
    <cellStyle name="Percent 9 18 3" xfId="13759"/>
    <cellStyle name="Percent 9 18 3 2" xfId="13760"/>
    <cellStyle name="Percent 9 18 3 2 2" xfId="13761"/>
    <cellStyle name="Percent 9 18 3 3" xfId="13762"/>
    <cellStyle name="Percent 9 18 3 3 2" xfId="13763"/>
    <cellStyle name="Percent 9 18 3 4" xfId="13764"/>
    <cellStyle name="Percent 9 18 4" xfId="13765"/>
    <cellStyle name="Percent 9 18 4 2" xfId="13766"/>
    <cellStyle name="Percent 9 18 4 2 2" xfId="13767"/>
    <cellStyle name="Percent 9 18 4 3" xfId="13768"/>
    <cellStyle name="Percent 9 18 4 3 2" xfId="13769"/>
    <cellStyle name="Percent 9 18 4 4" xfId="13770"/>
    <cellStyle name="Percent 9 18 5" xfId="13771"/>
    <cellStyle name="Percent 9 18 5 2" xfId="13772"/>
    <cellStyle name="Percent 9 18 5 2 2" xfId="13773"/>
    <cellStyle name="Percent 9 18 5 3" xfId="13774"/>
    <cellStyle name="Percent 9 18 5 3 2" xfId="13775"/>
    <cellStyle name="Percent 9 18 5 4" xfId="13776"/>
    <cellStyle name="Percent 9 18 5 4 2" xfId="13777"/>
    <cellStyle name="Percent 9 18 5 5" xfId="13778"/>
    <cellStyle name="Percent 9 18 6" xfId="13779"/>
    <cellStyle name="Percent 9 18 6 2" xfId="13780"/>
    <cellStyle name="Percent 9 18 6 2 2" xfId="13781"/>
    <cellStyle name="Percent 9 18 6 3" xfId="13782"/>
    <cellStyle name="Percent 9 18 6 3 2" xfId="13783"/>
    <cellStyle name="Percent 9 18 6 4" xfId="13784"/>
    <cellStyle name="Percent 9 18 7" xfId="13785"/>
    <cellStyle name="Percent 9 18 7 2" xfId="13786"/>
    <cellStyle name="Percent 9 18 8" xfId="13787"/>
    <cellStyle name="Percent 9 18 8 2" xfId="13788"/>
    <cellStyle name="Percent 9 18 9" xfId="13789"/>
    <cellStyle name="Percent 9 18 9 2" xfId="13790"/>
    <cellStyle name="Percent 9 19 12" xfId="13791"/>
    <cellStyle name="Percent 9 19 10" xfId="13792"/>
    <cellStyle name="Percent 9 19 11" xfId="13793"/>
    <cellStyle name="Percent 9 19 2" xfId="13794"/>
    <cellStyle name="Percent 9 19 2 2" xfId="13795"/>
    <cellStyle name="Percent 9 19 2 2 2" xfId="13796"/>
    <cellStyle name="Percent 9 19 2 3" xfId="13797"/>
    <cellStyle name="Percent 9 19 2 3 2" xfId="13798"/>
    <cellStyle name="Percent 9 19 2 4" xfId="13799"/>
    <cellStyle name="Percent 9 19 2 5" xfId="13800"/>
    <cellStyle name="Percent 9 19 3" xfId="13801"/>
    <cellStyle name="Percent 9 19 3 2" xfId="13802"/>
    <cellStyle name="Percent 9 19 3 2 2" xfId="13803"/>
    <cellStyle name="Percent 9 19 3 3" xfId="13804"/>
    <cellStyle name="Percent 9 19 3 3 2" xfId="13805"/>
    <cellStyle name="Percent 9 19 3 4" xfId="13806"/>
    <cellStyle name="Percent 9 19 4" xfId="13807"/>
    <cellStyle name="Percent 9 19 4 2" xfId="13808"/>
    <cellStyle name="Percent 9 19 4 2 2" xfId="13809"/>
    <cellStyle name="Percent 9 19 4 3" xfId="13810"/>
    <cellStyle name="Percent 9 19 4 3 2" xfId="13811"/>
    <cellStyle name="Percent 9 19 4 4" xfId="13812"/>
    <cellStyle name="Percent 9 19 5" xfId="13813"/>
    <cellStyle name="Percent 9 19 5 2" xfId="13814"/>
    <cellStyle name="Percent 9 19 5 2 2" xfId="13815"/>
    <cellStyle name="Percent 9 19 5 3" xfId="13816"/>
    <cellStyle name="Percent 9 19 5 3 2" xfId="13817"/>
    <cellStyle name="Percent 9 19 5 4" xfId="13818"/>
    <cellStyle name="Percent 9 19 5 4 2" xfId="13819"/>
    <cellStyle name="Percent 9 19 5 5" xfId="13820"/>
    <cellStyle name="Percent 9 19 6" xfId="13821"/>
    <cellStyle name="Percent 9 19 6 2" xfId="13822"/>
    <cellStyle name="Percent 9 19 6 2 2" xfId="13823"/>
    <cellStyle name="Percent 9 19 6 3" xfId="13824"/>
    <cellStyle name="Percent 9 19 6 3 2" xfId="13825"/>
    <cellStyle name="Percent 9 19 6 4" xfId="13826"/>
    <cellStyle name="Percent 9 19 7" xfId="13827"/>
    <cellStyle name="Percent 9 19 7 2" xfId="13828"/>
    <cellStyle name="Percent 9 19 8" xfId="13829"/>
    <cellStyle name="Percent 9 19 8 2" xfId="13830"/>
    <cellStyle name="Percent 9 19 9" xfId="13831"/>
    <cellStyle name="Percent 9 19 9 2" xfId="13832"/>
    <cellStyle name="Percent 9 2 13" xfId="13833"/>
    <cellStyle name="Percent 9 2 10" xfId="13834"/>
    <cellStyle name="Percent 9 2 10 2" xfId="13835"/>
    <cellStyle name="Percent 9 2 11" xfId="13836"/>
    <cellStyle name="Percent 9 2 12" xfId="13837"/>
    <cellStyle name="Percent 9 2 2 11" xfId="13838"/>
    <cellStyle name="Percent 9 2 2 10" xfId="13839"/>
    <cellStyle name="Percent 9 2 2 2" xfId="13840"/>
    <cellStyle name="Percent 9 2 2 2 2" xfId="13841"/>
    <cellStyle name="Percent 9 2 2 2 2 2" xfId="13842"/>
    <cellStyle name="Percent 9 2 2 2 3" xfId="13843"/>
    <cellStyle name="Percent 9 2 2 2 3 2" xfId="13844"/>
    <cellStyle name="Percent 9 2 2 2 4" xfId="13845"/>
    <cellStyle name="Percent 9 2 2 3" xfId="13846"/>
    <cellStyle name="Percent 9 2 2 3 2" xfId="13847"/>
    <cellStyle name="Percent 9 2 2 3 2 2" xfId="13848"/>
    <cellStyle name="Percent 9 2 2 3 3" xfId="13849"/>
    <cellStyle name="Percent 9 2 2 3 3 2" xfId="13850"/>
    <cellStyle name="Percent 9 2 2 3 4" xfId="13851"/>
    <cellStyle name="Percent 9 2 2 4" xfId="13852"/>
    <cellStyle name="Percent 9 2 2 4 2" xfId="13853"/>
    <cellStyle name="Percent 9 2 2 4 2 2" xfId="13854"/>
    <cellStyle name="Percent 9 2 2 4 3" xfId="13855"/>
    <cellStyle name="Percent 9 2 2 4 3 2" xfId="13856"/>
    <cellStyle name="Percent 9 2 2 4 4" xfId="13857"/>
    <cellStyle name="Percent 9 2 2 4 4 2" xfId="13858"/>
    <cellStyle name="Percent 9 2 2 4 5" xfId="13859"/>
    <cellStyle name="Percent 9 2 2 5" xfId="13860"/>
    <cellStyle name="Percent 9 2 2 5 2" xfId="13861"/>
    <cellStyle name="Percent 9 2 2 5 2 2" xfId="13862"/>
    <cellStyle name="Percent 9 2 2 5 3" xfId="13863"/>
    <cellStyle name="Percent 9 2 2 5 3 2" xfId="13864"/>
    <cellStyle name="Percent 9 2 2 5 4" xfId="13865"/>
    <cellStyle name="Percent 9 2 2 6" xfId="13866"/>
    <cellStyle name="Percent 9 2 2 6 2" xfId="13867"/>
    <cellStyle name="Percent 9 2 2 7" xfId="13868"/>
    <cellStyle name="Percent 9 2 2 7 2" xfId="13869"/>
    <cellStyle name="Percent 9 2 2 8" xfId="13870"/>
    <cellStyle name="Percent 9 2 2 8 2" xfId="13871"/>
    <cellStyle name="Percent 9 2 2 9" xfId="13872"/>
    <cellStyle name="Percent 9 2 3" xfId="13873"/>
    <cellStyle name="Percent 9 2 3 2" xfId="13874"/>
    <cellStyle name="Percent 9 2 3 2 2" xfId="13875"/>
    <cellStyle name="Percent 9 2 3 3" xfId="13876"/>
    <cellStyle name="Percent 9 2 3 3 2" xfId="13877"/>
    <cellStyle name="Percent 9 2 3 4" xfId="13878"/>
    <cellStyle name="Percent 9 2 3 5" xfId="13879"/>
    <cellStyle name="Percent 9 2 4" xfId="13880"/>
    <cellStyle name="Percent 9 2 4 2" xfId="13881"/>
    <cellStyle name="Percent 9 2 4 2 2" xfId="13882"/>
    <cellStyle name="Percent 9 2 4 3" xfId="13883"/>
    <cellStyle name="Percent 9 2 4 3 2" xfId="13884"/>
    <cellStyle name="Percent 9 2 4 4" xfId="13885"/>
    <cellStyle name="Percent 9 2 5" xfId="13886"/>
    <cellStyle name="Percent 9 2 5 2" xfId="13887"/>
    <cellStyle name="Percent 9 2 5 2 2" xfId="13888"/>
    <cellStyle name="Percent 9 2 5 3" xfId="13889"/>
    <cellStyle name="Percent 9 2 5 3 2" xfId="13890"/>
    <cellStyle name="Percent 9 2 5 4" xfId="13891"/>
    <cellStyle name="Percent 9 2 6" xfId="13892"/>
    <cellStyle name="Percent 9 2 6 2" xfId="13893"/>
    <cellStyle name="Percent 9 2 6 2 2" xfId="13894"/>
    <cellStyle name="Percent 9 2 6 3" xfId="13895"/>
    <cellStyle name="Percent 9 2 6 3 2" xfId="13896"/>
    <cellStyle name="Percent 9 2 6 4" xfId="13897"/>
    <cellStyle name="Percent 9 2 6 4 2" xfId="13898"/>
    <cellStyle name="Percent 9 2 6 5" xfId="13899"/>
    <cellStyle name="Percent 9 2 7" xfId="13900"/>
    <cellStyle name="Percent 9 2 7 2" xfId="13901"/>
    <cellStyle name="Percent 9 2 7 2 2" xfId="13902"/>
    <cellStyle name="Percent 9 2 7 3" xfId="13903"/>
    <cellStyle name="Percent 9 2 7 3 2" xfId="13904"/>
    <cellStyle name="Percent 9 2 7 4" xfId="13905"/>
    <cellStyle name="Percent 9 2 8" xfId="13906"/>
    <cellStyle name="Percent 9 2 8 2" xfId="13907"/>
    <cellStyle name="Percent 9 2 9" xfId="13908"/>
    <cellStyle name="Percent 9 2 9 2" xfId="13909"/>
    <cellStyle name="Percent 9 20 12" xfId="13910"/>
    <cellStyle name="Percent 9 20 10" xfId="13911"/>
    <cellStyle name="Percent 9 20 11" xfId="13912"/>
    <cellStyle name="Percent 9 20 2" xfId="13913"/>
    <cellStyle name="Percent 9 20 2 2" xfId="13914"/>
    <cellStyle name="Percent 9 20 2 2 2" xfId="13915"/>
    <cellStyle name="Percent 9 20 2 3" xfId="13916"/>
    <cellStyle name="Percent 9 20 2 3 2" xfId="13917"/>
    <cellStyle name="Percent 9 20 2 4" xfId="13918"/>
    <cellStyle name="Percent 9 20 2 5" xfId="13919"/>
    <cellStyle name="Percent 9 20 3" xfId="13920"/>
    <cellStyle name="Percent 9 20 3 2" xfId="13921"/>
    <cellStyle name="Percent 9 20 3 2 2" xfId="13922"/>
    <cellStyle name="Percent 9 20 3 3" xfId="13923"/>
    <cellStyle name="Percent 9 20 3 3 2" xfId="13924"/>
    <cellStyle name="Percent 9 20 3 4" xfId="13925"/>
    <cellStyle name="Percent 9 20 4" xfId="13926"/>
    <cellStyle name="Percent 9 20 4 2" xfId="13927"/>
    <cellStyle name="Percent 9 20 4 2 2" xfId="13928"/>
    <cellStyle name="Percent 9 20 4 3" xfId="13929"/>
    <cellStyle name="Percent 9 20 4 3 2" xfId="13930"/>
    <cellStyle name="Percent 9 20 4 4" xfId="13931"/>
    <cellStyle name="Percent 9 20 5" xfId="13932"/>
    <cellStyle name="Percent 9 20 5 2" xfId="13933"/>
    <cellStyle name="Percent 9 20 5 2 2" xfId="13934"/>
    <cellStyle name="Percent 9 20 5 3" xfId="13935"/>
    <cellStyle name="Percent 9 20 5 3 2" xfId="13936"/>
    <cellStyle name="Percent 9 20 5 4" xfId="13937"/>
    <cellStyle name="Percent 9 20 5 4 2" xfId="13938"/>
    <cellStyle name="Percent 9 20 5 5" xfId="13939"/>
    <cellStyle name="Percent 9 20 6" xfId="13940"/>
    <cellStyle name="Percent 9 20 6 2" xfId="13941"/>
    <cellStyle name="Percent 9 20 6 2 2" xfId="13942"/>
    <cellStyle name="Percent 9 20 6 3" xfId="13943"/>
    <cellStyle name="Percent 9 20 6 3 2" xfId="13944"/>
    <cellStyle name="Percent 9 20 6 4" xfId="13945"/>
    <cellStyle name="Percent 9 20 7" xfId="13946"/>
    <cellStyle name="Percent 9 20 7 2" xfId="13947"/>
    <cellStyle name="Percent 9 20 8" xfId="13948"/>
    <cellStyle name="Percent 9 20 8 2" xfId="13949"/>
    <cellStyle name="Percent 9 20 9" xfId="13950"/>
    <cellStyle name="Percent 9 20 9 2" xfId="13951"/>
    <cellStyle name="Percent 9 21 5" xfId="13952"/>
    <cellStyle name="Percent 9 21 2" xfId="13953"/>
    <cellStyle name="Percent 9 21 2 2" xfId="13954"/>
    <cellStyle name="Percent 9 21 3" xfId="13955"/>
    <cellStyle name="Percent 9 21 3 2" xfId="13956"/>
    <cellStyle name="Percent 9 21 4" xfId="13957"/>
    <cellStyle name="Percent 9 22" xfId="13958"/>
    <cellStyle name="Percent 9 22 2" xfId="13959"/>
    <cellStyle name="Percent 9 22 2 2" xfId="13960"/>
    <cellStyle name="Percent 9 22 3" xfId="13961"/>
    <cellStyle name="Percent 9 22 3 2" xfId="13962"/>
    <cellStyle name="Percent 9 22 4" xfId="13963"/>
    <cellStyle name="Percent 9 23" xfId="13964"/>
    <cellStyle name="Percent 9 23 2" xfId="13965"/>
    <cellStyle name="Percent 9 23 2 2" xfId="13966"/>
    <cellStyle name="Percent 9 23 3" xfId="13967"/>
    <cellStyle name="Percent 9 23 3 2" xfId="13968"/>
    <cellStyle name="Percent 9 23 4" xfId="13969"/>
    <cellStyle name="Percent 9 23 4 2" xfId="13970"/>
    <cellStyle name="Percent 9 23 5" xfId="13971"/>
    <cellStyle name="Percent 9 24" xfId="13972"/>
    <cellStyle name="Percent 9 24 2" xfId="13973"/>
    <cellStyle name="Percent 9 24 2 2" xfId="13974"/>
    <cellStyle name="Percent 9 24 3" xfId="13975"/>
    <cellStyle name="Percent 9 24 3 2" xfId="13976"/>
    <cellStyle name="Percent 9 24 4" xfId="13977"/>
    <cellStyle name="Percent 9 25" xfId="13978"/>
    <cellStyle name="Percent 9 25 2" xfId="13979"/>
    <cellStyle name="Percent 9 26" xfId="13980"/>
    <cellStyle name="Percent 9 26 2" xfId="13981"/>
    <cellStyle name="Percent 9 27" xfId="13982"/>
    <cellStyle name="Percent 9 27 2" xfId="13983"/>
    <cellStyle name="Percent 9 28" xfId="13984"/>
    <cellStyle name="Percent 9 29" xfId="13985"/>
    <cellStyle name="Percent 9 3 13" xfId="13986"/>
    <cellStyle name="Percent 9 3 10" xfId="13987"/>
    <cellStyle name="Percent 9 3 10 2" xfId="13988"/>
    <cellStyle name="Percent 9 3 11" xfId="13989"/>
    <cellStyle name="Percent 9 3 12" xfId="13990"/>
    <cellStyle name="Percent 9 3 2 11" xfId="13991"/>
    <cellStyle name="Percent 9 3 2 10" xfId="13992"/>
    <cellStyle name="Percent 9 3 2 2" xfId="13993"/>
    <cellStyle name="Percent 9 3 2 2 2" xfId="13994"/>
    <cellStyle name="Percent 9 3 2 2 2 2" xfId="13995"/>
    <cellStyle name="Percent 9 3 2 2 3" xfId="13996"/>
    <cellStyle name="Percent 9 3 2 2 3 2" xfId="13997"/>
    <cellStyle name="Percent 9 3 2 2 4" xfId="13998"/>
    <cellStyle name="Percent 9 3 2 3" xfId="13999"/>
    <cellStyle name="Percent 9 3 2 3 2" xfId="14000"/>
    <cellStyle name="Percent 9 3 2 3 2 2" xfId="14001"/>
    <cellStyle name="Percent 9 3 2 3 3" xfId="14002"/>
    <cellStyle name="Percent 9 3 2 3 3 2" xfId="14003"/>
    <cellStyle name="Percent 9 3 2 3 4" xfId="14004"/>
    <cellStyle name="Percent 9 3 2 4" xfId="14005"/>
    <cellStyle name="Percent 9 3 2 4 2" xfId="14006"/>
    <cellStyle name="Percent 9 3 2 4 2 2" xfId="14007"/>
    <cellStyle name="Percent 9 3 2 4 3" xfId="14008"/>
    <cellStyle name="Percent 9 3 2 4 3 2" xfId="14009"/>
    <cellStyle name="Percent 9 3 2 4 4" xfId="14010"/>
    <cellStyle name="Percent 9 3 2 4 4 2" xfId="14011"/>
    <cellStyle name="Percent 9 3 2 4 5" xfId="14012"/>
    <cellStyle name="Percent 9 3 2 5" xfId="14013"/>
    <cellStyle name="Percent 9 3 2 5 2" xfId="14014"/>
    <cellStyle name="Percent 9 3 2 5 2 2" xfId="14015"/>
    <cellStyle name="Percent 9 3 2 5 3" xfId="14016"/>
    <cellStyle name="Percent 9 3 2 5 3 2" xfId="14017"/>
    <cellStyle name="Percent 9 3 2 5 4" xfId="14018"/>
    <cellStyle name="Percent 9 3 2 6" xfId="14019"/>
    <cellStyle name="Percent 9 3 2 6 2" xfId="14020"/>
    <cellStyle name="Percent 9 3 2 7" xfId="14021"/>
    <cellStyle name="Percent 9 3 2 7 2" xfId="14022"/>
    <cellStyle name="Percent 9 3 2 8" xfId="14023"/>
    <cellStyle name="Percent 9 3 2 8 2" xfId="14024"/>
    <cellStyle name="Percent 9 3 2 9" xfId="14025"/>
    <cellStyle name="Percent 9 3 3" xfId="14026"/>
    <cellStyle name="Percent 9 3 3 2" xfId="14027"/>
    <cellStyle name="Percent 9 3 3 2 2" xfId="14028"/>
    <cellStyle name="Percent 9 3 3 3" xfId="14029"/>
    <cellStyle name="Percent 9 3 3 3 2" xfId="14030"/>
    <cellStyle name="Percent 9 3 3 4" xfId="14031"/>
    <cellStyle name="Percent 9 3 3 5" xfId="14032"/>
    <cellStyle name="Percent 9 3 4" xfId="14033"/>
    <cellStyle name="Percent 9 3 4 2" xfId="14034"/>
    <cellStyle name="Percent 9 3 4 2 2" xfId="14035"/>
    <cellStyle name="Percent 9 3 4 3" xfId="14036"/>
    <cellStyle name="Percent 9 3 4 3 2" xfId="14037"/>
    <cellStyle name="Percent 9 3 4 4" xfId="14038"/>
    <cellStyle name="Percent 9 3 5" xfId="14039"/>
    <cellStyle name="Percent 9 3 5 2" xfId="14040"/>
    <cellStyle name="Percent 9 3 5 2 2" xfId="14041"/>
    <cellStyle name="Percent 9 3 5 3" xfId="14042"/>
    <cellStyle name="Percent 9 3 5 3 2" xfId="14043"/>
    <cellStyle name="Percent 9 3 5 4" xfId="14044"/>
    <cellStyle name="Percent 9 3 6" xfId="14045"/>
    <cellStyle name="Percent 9 3 6 2" xfId="14046"/>
    <cellStyle name="Percent 9 3 6 2 2" xfId="14047"/>
    <cellStyle name="Percent 9 3 6 3" xfId="14048"/>
    <cellStyle name="Percent 9 3 6 3 2" xfId="14049"/>
    <cellStyle name="Percent 9 3 6 4" xfId="14050"/>
    <cellStyle name="Percent 9 3 6 4 2" xfId="14051"/>
    <cellStyle name="Percent 9 3 6 5" xfId="14052"/>
    <cellStyle name="Percent 9 3 7" xfId="14053"/>
    <cellStyle name="Percent 9 3 7 2" xfId="14054"/>
    <cellStyle name="Percent 9 3 7 2 2" xfId="14055"/>
    <cellStyle name="Percent 9 3 7 3" xfId="14056"/>
    <cellStyle name="Percent 9 3 7 3 2" xfId="14057"/>
    <cellStyle name="Percent 9 3 7 4" xfId="14058"/>
    <cellStyle name="Percent 9 3 8" xfId="14059"/>
    <cellStyle name="Percent 9 3 8 2" xfId="14060"/>
    <cellStyle name="Percent 9 3 9" xfId="14061"/>
    <cellStyle name="Percent 9 3 9 2" xfId="14062"/>
    <cellStyle name="Percent 9 4 13" xfId="14063"/>
    <cellStyle name="Percent 9 4 10" xfId="14064"/>
    <cellStyle name="Percent 9 4 10 2" xfId="14065"/>
    <cellStyle name="Percent 9 4 11" xfId="14066"/>
    <cellStyle name="Percent 9 4 12" xfId="14067"/>
    <cellStyle name="Percent 9 4 2 11" xfId="14068"/>
    <cellStyle name="Percent 9 4 2 10" xfId="14069"/>
    <cellStyle name="Percent 9 4 2 2" xfId="14070"/>
    <cellStyle name="Percent 9 4 2 2 2" xfId="14071"/>
    <cellStyle name="Percent 9 4 2 2 2 2" xfId="14072"/>
    <cellStyle name="Percent 9 4 2 2 3" xfId="14073"/>
    <cellStyle name="Percent 9 4 2 2 3 2" xfId="14074"/>
    <cellStyle name="Percent 9 4 2 2 4" xfId="14075"/>
    <cellStyle name="Percent 9 4 2 3" xfId="14076"/>
    <cellStyle name="Percent 9 4 2 3 2" xfId="14077"/>
    <cellStyle name="Percent 9 4 2 3 2 2" xfId="14078"/>
    <cellStyle name="Percent 9 4 2 3 3" xfId="14079"/>
    <cellStyle name="Percent 9 4 2 3 3 2" xfId="14080"/>
    <cellStyle name="Percent 9 4 2 3 4" xfId="14081"/>
    <cellStyle name="Percent 9 4 2 4" xfId="14082"/>
    <cellStyle name="Percent 9 4 2 4 2" xfId="14083"/>
    <cellStyle name="Percent 9 4 2 4 2 2" xfId="14084"/>
    <cellStyle name="Percent 9 4 2 4 3" xfId="14085"/>
    <cellStyle name="Percent 9 4 2 4 3 2" xfId="14086"/>
    <cellStyle name="Percent 9 4 2 4 4" xfId="14087"/>
    <cellStyle name="Percent 9 4 2 4 4 2" xfId="14088"/>
    <cellStyle name="Percent 9 4 2 4 5" xfId="14089"/>
    <cellStyle name="Percent 9 4 2 5" xfId="14090"/>
    <cellStyle name="Percent 9 4 2 5 2" xfId="14091"/>
    <cellStyle name="Percent 9 4 2 5 2 2" xfId="14092"/>
    <cellStyle name="Percent 9 4 2 5 3" xfId="14093"/>
    <cellStyle name="Percent 9 4 2 5 3 2" xfId="14094"/>
    <cellStyle name="Percent 9 4 2 5 4" xfId="14095"/>
    <cellStyle name="Percent 9 4 2 6" xfId="14096"/>
    <cellStyle name="Percent 9 4 2 6 2" xfId="14097"/>
    <cellStyle name="Percent 9 4 2 7" xfId="14098"/>
    <cellStyle name="Percent 9 4 2 7 2" xfId="14099"/>
    <cellStyle name="Percent 9 4 2 8" xfId="14100"/>
    <cellStyle name="Percent 9 4 2 8 2" xfId="14101"/>
    <cellStyle name="Percent 9 4 2 9" xfId="14102"/>
    <cellStyle name="Percent 9 4 3" xfId="14103"/>
    <cellStyle name="Percent 9 4 3 2" xfId="14104"/>
    <cellStyle name="Percent 9 4 3 2 2" xfId="14105"/>
    <cellStyle name="Percent 9 4 3 3" xfId="14106"/>
    <cellStyle name="Percent 9 4 3 3 2" xfId="14107"/>
    <cellStyle name="Percent 9 4 3 4" xfId="14108"/>
    <cellStyle name="Percent 9 4 3 5" xfId="14109"/>
    <cellStyle name="Percent 9 4 4" xfId="14110"/>
    <cellStyle name="Percent 9 4 4 2" xfId="14111"/>
    <cellStyle name="Percent 9 4 4 2 2" xfId="14112"/>
    <cellStyle name="Percent 9 4 4 3" xfId="14113"/>
    <cellStyle name="Percent 9 4 4 3 2" xfId="14114"/>
    <cellStyle name="Percent 9 4 4 4" xfId="14115"/>
    <cellStyle name="Percent 9 4 5" xfId="14116"/>
    <cellStyle name="Percent 9 4 5 2" xfId="14117"/>
    <cellStyle name="Percent 9 4 5 2 2" xfId="14118"/>
    <cellStyle name="Percent 9 4 5 3" xfId="14119"/>
    <cellStyle name="Percent 9 4 5 3 2" xfId="14120"/>
    <cellStyle name="Percent 9 4 5 4" xfId="14121"/>
    <cellStyle name="Percent 9 4 6" xfId="14122"/>
    <cellStyle name="Percent 9 4 6 2" xfId="14123"/>
    <cellStyle name="Percent 9 4 6 2 2" xfId="14124"/>
    <cellStyle name="Percent 9 4 6 3" xfId="14125"/>
    <cellStyle name="Percent 9 4 6 3 2" xfId="14126"/>
    <cellStyle name="Percent 9 4 6 4" xfId="14127"/>
    <cellStyle name="Percent 9 4 6 4 2" xfId="14128"/>
    <cellStyle name="Percent 9 4 6 5" xfId="14129"/>
    <cellStyle name="Percent 9 4 7" xfId="14130"/>
    <cellStyle name="Percent 9 4 7 2" xfId="14131"/>
    <cellStyle name="Percent 9 4 7 2 2" xfId="14132"/>
    <cellStyle name="Percent 9 4 7 3" xfId="14133"/>
    <cellStyle name="Percent 9 4 7 3 2" xfId="14134"/>
    <cellStyle name="Percent 9 4 7 4" xfId="14135"/>
    <cellStyle name="Percent 9 4 8" xfId="14136"/>
    <cellStyle name="Percent 9 4 8 2" xfId="14137"/>
    <cellStyle name="Percent 9 4 9" xfId="14138"/>
    <cellStyle name="Percent 9 4 9 2" xfId="14139"/>
    <cellStyle name="Percent 9 5 13" xfId="14140"/>
    <cellStyle name="Percent 9 5 10" xfId="14141"/>
    <cellStyle name="Percent 9 5 10 2" xfId="14142"/>
    <cellStyle name="Percent 9 5 11" xfId="14143"/>
    <cellStyle name="Percent 9 5 12" xfId="14144"/>
    <cellStyle name="Percent 9 5 2 11" xfId="14145"/>
    <cellStyle name="Percent 9 5 2 10" xfId="14146"/>
    <cellStyle name="Percent 9 5 2 2" xfId="14147"/>
    <cellStyle name="Percent 9 5 2 2 2" xfId="14148"/>
    <cellStyle name="Percent 9 5 2 2 2 2" xfId="14149"/>
    <cellStyle name="Percent 9 5 2 2 3" xfId="14150"/>
    <cellStyle name="Percent 9 5 2 2 3 2" xfId="14151"/>
    <cellStyle name="Percent 9 5 2 2 4" xfId="14152"/>
    <cellStyle name="Percent 9 5 2 3" xfId="14153"/>
    <cellStyle name="Percent 9 5 2 3 2" xfId="14154"/>
    <cellStyle name="Percent 9 5 2 3 2 2" xfId="14155"/>
    <cellStyle name="Percent 9 5 2 3 3" xfId="14156"/>
    <cellStyle name="Percent 9 5 2 3 3 2" xfId="14157"/>
    <cellStyle name="Percent 9 5 2 3 4" xfId="14158"/>
    <cellStyle name="Percent 9 5 2 4" xfId="14159"/>
    <cellStyle name="Percent 9 5 2 4 2" xfId="14160"/>
    <cellStyle name="Percent 9 5 2 4 2 2" xfId="14161"/>
    <cellStyle name="Percent 9 5 2 4 3" xfId="14162"/>
    <cellStyle name="Percent 9 5 2 4 3 2" xfId="14163"/>
    <cellStyle name="Percent 9 5 2 4 4" xfId="14164"/>
    <cellStyle name="Percent 9 5 2 4 4 2" xfId="14165"/>
    <cellStyle name="Percent 9 5 2 4 5" xfId="14166"/>
    <cellStyle name="Percent 9 5 2 5" xfId="14167"/>
    <cellStyle name="Percent 9 5 2 5 2" xfId="14168"/>
    <cellStyle name="Percent 9 5 2 5 2 2" xfId="14169"/>
    <cellStyle name="Percent 9 5 2 5 3" xfId="14170"/>
    <cellStyle name="Percent 9 5 2 5 3 2" xfId="14171"/>
    <cellStyle name="Percent 9 5 2 5 4" xfId="14172"/>
    <cellStyle name="Percent 9 5 2 6" xfId="14173"/>
    <cellStyle name="Percent 9 5 2 6 2" xfId="14174"/>
    <cellStyle name="Percent 9 5 2 7" xfId="14175"/>
    <cellStyle name="Percent 9 5 2 7 2" xfId="14176"/>
    <cellStyle name="Percent 9 5 2 8" xfId="14177"/>
    <cellStyle name="Percent 9 5 2 8 2" xfId="14178"/>
    <cellStyle name="Percent 9 5 2 9" xfId="14179"/>
    <cellStyle name="Percent 9 5 3" xfId="14180"/>
    <cellStyle name="Percent 9 5 3 2" xfId="14181"/>
    <cellStyle name="Percent 9 5 3 2 2" xfId="14182"/>
    <cellStyle name="Percent 9 5 3 3" xfId="14183"/>
    <cellStyle name="Percent 9 5 3 3 2" xfId="14184"/>
    <cellStyle name="Percent 9 5 3 4" xfId="14185"/>
    <cellStyle name="Percent 9 5 3 5" xfId="14186"/>
    <cellStyle name="Percent 9 5 4" xfId="14187"/>
    <cellStyle name="Percent 9 5 4 2" xfId="14188"/>
    <cellStyle name="Percent 9 5 4 2 2" xfId="14189"/>
    <cellStyle name="Percent 9 5 4 3" xfId="14190"/>
    <cellStyle name="Percent 9 5 4 3 2" xfId="14191"/>
    <cellStyle name="Percent 9 5 4 4" xfId="14192"/>
    <cellStyle name="Percent 9 5 5" xfId="14193"/>
    <cellStyle name="Percent 9 5 5 2" xfId="14194"/>
    <cellStyle name="Percent 9 5 5 2 2" xfId="14195"/>
    <cellStyle name="Percent 9 5 5 3" xfId="14196"/>
    <cellStyle name="Percent 9 5 5 3 2" xfId="14197"/>
    <cellStyle name="Percent 9 5 5 4" xfId="14198"/>
    <cellStyle name="Percent 9 5 6" xfId="14199"/>
    <cellStyle name="Percent 9 5 6 2" xfId="14200"/>
    <cellStyle name="Percent 9 5 6 2 2" xfId="14201"/>
    <cellStyle name="Percent 9 5 6 3" xfId="14202"/>
    <cellStyle name="Percent 9 5 6 3 2" xfId="14203"/>
    <cellStyle name="Percent 9 5 6 4" xfId="14204"/>
    <cellStyle name="Percent 9 5 6 4 2" xfId="14205"/>
    <cellStyle name="Percent 9 5 6 5" xfId="14206"/>
    <cellStyle name="Percent 9 5 7" xfId="14207"/>
    <cellStyle name="Percent 9 5 7 2" xfId="14208"/>
    <cellStyle name="Percent 9 5 7 2 2" xfId="14209"/>
    <cellStyle name="Percent 9 5 7 3" xfId="14210"/>
    <cellStyle name="Percent 9 5 7 3 2" xfId="14211"/>
    <cellStyle name="Percent 9 5 7 4" xfId="14212"/>
    <cellStyle name="Percent 9 5 8" xfId="14213"/>
    <cellStyle name="Percent 9 5 8 2" xfId="14214"/>
    <cellStyle name="Percent 9 5 9" xfId="14215"/>
    <cellStyle name="Percent 9 5 9 2" xfId="14216"/>
    <cellStyle name="Percent 9 6 13" xfId="14217"/>
    <cellStyle name="Percent 9 6 10" xfId="14218"/>
    <cellStyle name="Percent 9 6 10 2" xfId="14219"/>
    <cellStyle name="Percent 9 6 11" xfId="14220"/>
    <cellStyle name="Percent 9 6 12" xfId="14221"/>
    <cellStyle name="Percent 9 6 2 11" xfId="14222"/>
    <cellStyle name="Percent 9 6 2 10" xfId="14223"/>
    <cellStyle name="Percent 9 6 2 2" xfId="14224"/>
    <cellStyle name="Percent 9 6 2 2 2" xfId="14225"/>
    <cellStyle name="Percent 9 6 2 2 2 2" xfId="14226"/>
    <cellStyle name="Percent 9 6 2 2 3" xfId="14227"/>
    <cellStyle name="Percent 9 6 2 2 3 2" xfId="14228"/>
    <cellStyle name="Percent 9 6 2 2 4" xfId="14229"/>
    <cellStyle name="Percent 9 6 2 3" xfId="14230"/>
    <cellStyle name="Percent 9 6 2 3 2" xfId="14231"/>
    <cellStyle name="Percent 9 6 2 3 2 2" xfId="14232"/>
    <cellStyle name="Percent 9 6 2 3 3" xfId="14233"/>
    <cellStyle name="Percent 9 6 2 3 3 2" xfId="14234"/>
    <cellStyle name="Percent 9 6 2 3 4" xfId="14235"/>
    <cellStyle name="Percent 9 6 2 4" xfId="14236"/>
    <cellStyle name="Percent 9 6 2 4 2" xfId="14237"/>
    <cellStyle name="Percent 9 6 2 4 2 2" xfId="14238"/>
    <cellStyle name="Percent 9 6 2 4 3" xfId="14239"/>
    <cellStyle name="Percent 9 6 2 4 3 2" xfId="14240"/>
    <cellStyle name="Percent 9 6 2 4 4" xfId="14241"/>
    <cellStyle name="Percent 9 6 2 4 4 2" xfId="14242"/>
    <cellStyle name="Percent 9 6 2 4 5" xfId="14243"/>
    <cellStyle name="Percent 9 6 2 5" xfId="14244"/>
    <cellStyle name="Percent 9 6 2 5 2" xfId="14245"/>
    <cellStyle name="Percent 9 6 2 5 2 2" xfId="14246"/>
    <cellStyle name="Percent 9 6 2 5 3" xfId="14247"/>
    <cellStyle name="Percent 9 6 2 5 3 2" xfId="14248"/>
    <cellStyle name="Percent 9 6 2 5 4" xfId="14249"/>
    <cellStyle name="Percent 9 6 2 6" xfId="14250"/>
    <cellStyle name="Percent 9 6 2 6 2" xfId="14251"/>
    <cellStyle name="Percent 9 6 2 7" xfId="14252"/>
    <cellStyle name="Percent 9 6 2 7 2" xfId="14253"/>
    <cellStyle name="Percent 9 6 2 8" xfId="14254"/>
    <cellStyle name="Percent 9 6 2 8 2" xfId="14255"/>
    <cellStyle name="Percent 9 6 2 9" xfId="14256"/>
    <cellStyle name="Percent 9 6 3" xfId="14257"/>
    <cellStyle name="Percent 9 6 3 2" xfId="14258"/>
    <cellStyle name="Percent 9 6 3 2 2" xfId="14259"/>
    <cellStyle name="Percent 9 6 3 3" xfId="14260"/>
    <cellStyle name="Percent 9 6 3 3 2" xfId="14261"/>
    <cellStyle name="Percent 9 6 3 4" xfId="14262"/>
    <cellStyle name="Percent 9 6 3 5" xfId="14263"/>
    <cellStyle name="Percent 9 6 4" xfId="14264"/>
    <cellStyle name="Percent 9 6 4 2" xfId="14265"/>
    <cellStyle name="Percent 9 6 4 2 2" xfId="14266"/>
    <cellStyle name="Percent 9 6 4 3" xfId="14267"/>
    <cellStyle name="Percent 9 6 4 3 2" xfId="14268"/>
    <cellStyle name="Percent 9 6 4 4" xfId="14269"/>
    <cellStyle name="Percent 9 6 5" xfId="14270"/>
    <cellStyle name="Percent 9 6 5 2" xfId="14271"/>
    <cellStyle name="Percent 9 6 5 2 2" xfId="14272"/>
    <cellStyle name="Percent 9 6 5 3" xfId="14273"/>
    <cellStyle name="Percent 9 6 5 3 2" xfId="14274"/>
    <cellStyle name="Percent 9 6 5 4" xfId="14275"/>
    <cellStyle name="Percent 9 6 6" xfId="14276"/>
    <cellStyle name="Percent 9 6 6 2" xfId="14277"/>
    <cellStyle name="Percent 9 6 6 2 2" xfId="14278"/>
    <cellStyle name="Percent 9 6 6 3" xfId="14279"/>
    <cellStyle name="Percent 9 6 6 3 2" xfId="14280"/>
    <cellStyle name="Percent 9 6 6 4" xfId="14281"/>
    <cellStyle name="Percent 9 6 6 4 2" xfId="14282"/>
    <cellStyle name="Percent 9 6 6 5" xfId="14283"/>
    <cellStyle name="Percent 9 6 7" xfId="14284"/>
    <cellStyle name="Percent 9 6 7 2" xfId="14285"/>
    <cellStyle name="Percent 9 6 7 2 2" xfId="14286"/>
    <cellStyle name="Percent 9 6 7 3" xfId="14287"/>
    <cellStyle name="Percent 9 6 7 3 2" xfId="14288"/>
    <cellStyle name="Percent 9 6 7 4" xfId="14289"/>
    <cellStyle name="Percent 9 6 8" xfId="14290"/>
    <cellStyle name="Percent 9 6 8 2" xfId="14291"/>
    <cellStyle name="Percent 9 6 9" xfId="14292"/>
    <cellStyle name="Percent 9 6 9 2" xfId="14293"/>
    <cellStyle name="Percent 9 7 15" xfId="14294"/>
    <cellStyle name="Percent 9 7 10" xfId="14295"/>
    <cellStyle name="Percent 9 7 10 2" xfId="14296"/>
    <cellStyle name="Percent 9 7 11" xfId="14297"/>
    <cellStyle name="Percent 9 7 11 2" xfId="14298"/>
    <cellStyle name="Percent 9 7 12" xfId="14299"/>
    <cellStyle name="Percent 9 7 12 2" xfId="14300"/>
    <cellStyle name="Percent 9 7 13" xfId="14301"/>
    <cellStyle name="Percent 9 7 14" xfId="14302"/>
    <cellStyle name="Percent 9 7 2 12" xfId="14303"/>
    <cellStyle name="Percent 9 7 2 10" xfId="14304"/>
    <cellStyle name="Percent 9 7 2 11" xfId="14305"/>
    <cellStyle name="Percent 9 7 2 2" xfId="14306"/>
    <cellStyle name="Percent 9 7 2 2 2" xfId="14307"/>
    <cellStyle name="Percent 9 7 2 2 2 2" xfId="14308"/>
    <cellStyle name="Percent 9 7 2 2 3" xfId="14309"/>
    <cellStyle name="Percent 9 7 2 2 3 2" xfId="14310"/>
    <cellStyle name="Percent 9 7 2 2 4" xfId="14311"/>
    <cellStyle name="Percent 9 7 2 2 5" xfId="14312"/>
    <cellStyle name="Percent 9 7 2 3" xfId="14313"/>
    <cellStyle name="Percent 9 7 2 3 2" xfId="14314"/>
    <cellStyle name="Percent 9 7 2 3 2 2" xfId="14315"/>
    <cellStyle name="Percent 9 7 2 3 3" xfId="14316"/>
    <cellStyle name="Percent 9 7 2 3 3 2" xfId="14317"/>
    <cellStyle name="Percent 9 7 2 3 4" xfId="14318"/>
    <cellStyle name="Percent 9 7 2 4" xfId="14319"/>
    <cellStyle name="Percent 9 7 2 4 2" xfId="14320"/>
    <cellStyle name="Percent 9 7 2 4 2 2" xfId="14321"/>
    <cellStyle name="Percent 9 7 2 4 3" xfId="14322"/>
    <cellStyle name="Percent 9 7 2 4 3 2" xfId="14323"/>
    <cellStyle name="Percent 9 7 2 4 4" xfId="14324"/>
    <cellStyle name="Percent 9 7 2 5" xfId="14325"/>
    <cellStyle name="Percent 9 7 2 5 2" xfId="14326"/>
    <cellStyle name="Percent 9 7 2 5 2 2" xfId="14327"/>
    <cellStyle name="Percent 9 7 2 5 3" xfId="14328"/>
    <cellStyle name="Percent 9 7 2 5 3 2" xfId="14329"/>
    <cellStyle name="Percent 9 7 2 5 4" xfId="14330"/>
    <cellStyle name="Percent 9 7 2 5 4 2" xfId="14331"/>
    <cellStyle name="Percent 9 7 2 5 5" xfId="14332"/>
    <cellStyle name="Percent 9 7 2 6" xfId="14333"/>
    <cellStyle name="Percent 9 7 2 6 2" xfId="14334"/>
    <cellStyle name="Percent 9 7 2 6 2 2" xfId="14335"/>
    <cellStyle name="Percent 9 7 2 6 3" xfId="14336"/>
    <cellStyle name="Percent 9 7 2 6 3 2" xfId="14337"/>
    <cellStyle name="Percent 9 7 2 6 4" xfId="14338"/>
    <cellStyle name="Percent 9 7 2 7" xfId="14339"/>
    <cellStyle name="Percent 9 7 2 7 2" xfId="14340"/>
    <cellStyle name="Percent 9 7 2 8" xfId="14341"/>
    <cellStyle name="Percent 9 7 2 8 2" xfId="14342"/>
    <cellStyle name="Percent 9 7 2 9" xfId="14343"/>
    <cellStyle name="Percent 9 7 2 9 2" xfId="14344"/>
    <cellStyle name="Percent 9 7 3 12" xfId="14345"/>
    <cellStyle name="Percent 9 7 3 10" xfId="14346"/>
    <cellStyle name="Percent 9 7 3 11" xfId="14347"/>
    <cellStyle name="Percent 9 7 3 2" xfId="14348"/>
    <cellStyle name="Percent 9 7 3 2 2" xfId="14349"/>
    <cellStyle name="Percent 9 7 3 2 2 2" xfId="14350"/>
    <cellStyle name="Percent 9 7 3 2 3" xfId="14351"/>
    <cellStyle name="Percent 9 7 3 2 3 2" xfId="14352"/>
    <cellStyle name="Percent 9 7 3 2 4" xfId="14353"/>
    <cellStyle name="Percent 9 7 3 2 5" xfId="14354"/>
    <cellStyle name="Percent 9 7 3 3" xfId="14355"/>
    <cellStyle name="Percent 9 7 3 3 2" xfId="14356"/>
    <cellStyle name="Percent 9 7 3 3 2 2" xfId="14357"/>
    <cellStyle name="Percent 9 7 3 3 3" xfId="14358"/>
    <cellStyle name="Percent 9 7 3 3 3 2" xfId="14359"/>
    <cellStyle name="Percent 9 7 3 3 4" xfId="14360"/>
    <cellStyle name="Percent 9 7 3 4" xfId="14361"/>
    <cellStyle name="Percent 9 7 3 4 2" xfId="14362"/>
    <cellStyle name="Percent 9 7 3 4 2 2" xfId="14363"/>
    <cellStyle name="Percent 9 7 3 4 3" xfId="14364"/>
    <cellStyle name="Percent 9 7 3 4 3 2" xfId="14365"/>
    <cellStyle name="Percent 9 7 3 4 4" xfId="14366"/>
    <cellStyle name="Percent 9 7 3 5" xfId="14367"/>
    <cellStyle name="Percent 9 7 3 5 2" xfId="14368"/>
    <cellStyle name="Percent 9 7 3 5 2 2" xfId="14369"/>
    <cellStyle name="Percent 9 7 3 5 3" xfId="14370"/>
    <cellStyle name="Percent 9 7 3 5 3 2" xfId="14371"/>
    <cellStyle name="Percent 9 7 3 5 4" xfId="14372"/>
    <cellStyle name="Percent 9 7 3 5 4 2" xfId="14373"/>
    <cellStyle name="Percent 9 7 3 5 5" xfId="14374"/>
    <cellStyle name="Percent 9 7 3 6" xfId="14375"/>
    <cellStyle name="Percent 9 7 3 6 2" xfId="14376"/>
    <cellStyle name="Percent 9 7 3 6 2 2" xfId="14377"/>
    <cellStyle name="Percent 9 7 3 6 3" xfId="14378"/>
    <cellStyle name="Percent 9 7 3 6 3 2" xfId="14379"/>
    <cellStyle name="Percent 9 7 3 6 4" xfId="14380"/>
    <cellStyle name="Percent 9 7 3 7" xfId="14381"/>
    <cellStyle name="Percent 9 7 3 7 2" xfId="14382"/>
    <cellStyle name="Percent 9 7 3 8" xfId="14383"/>
    <cellStyle name="Percent 9 7 3 8 2" xfId="14384"/>
    <cellStyle name="Percent 9 7 3 9" xfId="14385"/>
    <cellStyle name="Percent 9 7 3 9 2" xfId="14386"/>
    <cellStyle name="Percent 9 7 4 11" xfId="14387"/>
    <cellStyle name="Percent 9 7 4 10" xfId="14388"/>
    <cellStyle name="Percent 9 7 4 2" xfId="14389"/>
    <cellStyle name="Percent 9 7 4 2 2" xfId="14390"/>
    <cellStyle name="Percent 9 7 4 2 2 2" xfId="14391"/>
    <cellStyle name="Percent 9 7 4 2 3" xfId="14392"/>
    <cellStyle name="Percent 9 7 4 2 3 2" xfId="14393"/>
    <cellStyle name="Percent 9 7 4 2 4" xfId="14394"/>
    <cellStyle name="Percent 9 7 4 3" xfId="14395"/>
    <cellStyle name="Percent 9 7 4 3 2" xfId="14396"/>
    <cellStyle name="Percent 9 7 4 3 2 2" xfId="14397"/>
    <cellStyle name="Percent 9 7 4 3 3" xfId="14398"/>
    <cellStyle name="Percent 9 7 4 3 3 2" xfId="14399"/>
    <cellStyle name="Percent 9 7 4 3 4" xfId="14400"/>
    <cellStyle name="Percent 9 7 4 4" xfId="14401"/>
    <cellStyle name="Percent 9 7 4 4 2" xfId="14402"/>
    <cellStyle name="Percent 9 7 4 4 2 2" xfId="14403"/>
    <cellStyle name="Percent 9 7 4 4 3" xfId="14404"/>
    <cellStyle name="Percent 9 7 4 4 3 2" xfId="14405"/>
    <cellStyle name="Percent 9 7 4 4 4" xfId="14406"/>
    <cellStyle name="Percent 9 7 4 4 4 2" xfId="14407"/>
    <cellStyle name="Percent 9 7 4 4 5" xfId="14408"/>
    <cellStyle name="Percent 9 7 4 5" xfId="14409"/>
    <cellStyle name="Percent 9 7 4 5 2" xfId="14410"/>
    <cellStyle name="Percent 9 7 4 5 2 2" xfId="14411"/>
    <cellStyle name="Percent 9 7 4 5 3" xfId="14412"/>
    <cellStyle name="Percent 9 7 4 5 3 2" xfId="14413"/>
    <cellStyle name="Percent 9 7 4 5 4" xfId="14414"/>
    <cellStyle name="Percent 9 7 4 6" xfId="14415"/>
    <cellStyle name="Percent 9 7 4 6 2" xfId="14416"/>
    <cellStyle name="Percent 9 7 4 7" xfId="14417"/>
    <cellStyle name="Percent 9 7 4 7 2" xfId="14418"/>
    <cellStyle name="Percent 9 7 4 8" xfId="14419"/>
    <cellStyle name="Percent 9 7 4 8 2" xfId="14420"/>
    <cellStyle name="Percent 9 7 4 9" xfId="14421"/>
    <cellStyle name="Percent 9 7 5" xfId="14422"/>
    <cellStyle name="Percent 9 7 5 2" xfId="14423"/>
    <cellStyle name="Percent 9 7 5 2 2" xfId="14424"/>
    <cellStyle name="Percent 9 7 5 3" xfId="14425"/>
    <cellStyle name="Percent 9 7 5 3 2" xfId="14426"/>
    <cellStyle name="Percent 9 7 5 4" xfId="14427"/>
    <cellStyle name="Percent 9 7 5 5" xfId="14428"/>
    <cellStyle name="Percent 9 7 6" xfId="14429"/>
    <cellStyle name="Percent 9 7 6 2" xfId="14430"/>
    <cellStyle name="Percent 9 7 6 2 2" xfId="14431"/>
    <cellStyle name="Percent 9 7 6 3" xfId="14432"/>
    <cellStyle name="Percent 9 7 6 3 2" xfId="14433"/>
    <cellStyle name="Percent 9 7 6 4" xfId="14434"/>
    <cellStyle name="Percent 9 7 7" xfId="14435"/>
    <cellStyle name="Percent 9 7 7 2" xfId="14436"/>
    <cellStyle name="Percent 9 7 7 2 2" xfId="14437"/>
    <cellStyle name="Percent 9 7 7 3" xfId="14438"/>
    <cellStyle name="Percent 9 7 7 3 2" xfId="14439"/>
    <cellStyle name="Percent 9 7 7 4" xfId="14440"/>
    <cellStyle name="Percent 9 7 8" xfId="14441"/>
    <cellStyle name="Percent 9 7 8 2" xfId="14442"/>
    <cellStyle name="Percent 9 7 8 2 2" xfId="14443"/>
    <cellStyle name="Percent 9 7 8 3" xfId="14444"/>
    <cellStyle name="Percent 9 7 8 3 2" xfId="14445"/>
    <cellStyle name="Percent 9 7 8 4" xfId="14446"/>
    <cellStyle name="Percent 9 7 8 4 2" xfId="14447"/>
    <cellStyle name="Percent 9 7 8 5" xfId="14448"/>
    <cellStyle name="Percent 9 7 9" xfId="14449"/>
    <cellStyle name="Percent 9 7 9 2" xfId="14450"/>
    <cellStyle name="Percent 9 7 9 2 2" xfId="14451"/>
    <cellStyle name="Percent 9 7 9 3" xfId="14452"/>
    <cellStyle name="Percent 9 7 9 3 2" xfId="14453"/>
    <cellStyle name="Percent 9 7 9 4" xfId="14454"/>
    <cellStyle name="Percent 9 8 13" xfId="14455"/>
    <cellStyle name="Percent 9 8 10" xfId="14456"/>
    <cellStyle name="Percent 9 8 10 2" xfId="14457"/>
    <cellStyle name="Percent 9 8 11" xfId="14458"/>
    <cellStyle name="Percent 9 8 12" xfId="14459"/>
    <cellStyle name="Percent 9 8 2 11" xfId="14460"/>
    <cellStyle name="Percent 9 8 2 10" xfId="14461"/>
    <cellStyle name="Percent 9 8 2 2" xfId="14462"/>
    <cellStyle name="Percent 9 8 2 2 2" xfId="14463"/>
    <cellStyle name="Percent 9 8 2 2 2 2" xfId="14464"/>
    <cellStyle name="Percent 9 8 2 2 3" xfId="14465"/>
    <cellStyle name="Percent 9 8 2 2 3 2" xfId="14466"/>
    <cellStyle name="Percent 9 8 2 2 4" xfId="14467"/>
    <cellStyle name="Percent 9 8 2 3" xfId="14468"/>
    <cellStyle name="Percent 9 8 2 3 2" xfId="14469"/>
    <cellStyle name="Percent 9 8 2 3 2 2" xfId="14470"/>
    <cellStyle name="Percent 9 8 2 3 3" xfId="14471"/>
    <cellStyle name="Percent 9 8 2 3 3 2" xfId="14472"/>
    <cellStyle name="Percent 9 8 2 3 4" xfId="14473"/>
    <cellStyle name="Percent 9 8 2 4" xfId="14474"/>
    <cellStyle name="Percent 9 8 2 4 2" xfId="14475"/>
    <cellStyle name="Percent 9 8 2 4 2 2" xfId="14476"/>
    <cellStyle name="Percent 9 8 2 4 3" xfId="14477"/>
    <cellStyle name="Percent 9 8 2 4 3 2" xfId="14478"/>
    <cellStyle name="Percent 9 8 2 4 4" xfId="14479"/>
    <cellStyle name="Percent 9 8 2 4 4 2" xfId="14480"/>
    <cellStyle name="Percent 9 8 2 4 5" xfId="14481"/>
    <cellStyle name="Percent 9 8 2 5" xfId="14482"/>
    <cellStyle name="Percent 9 8 2 5 2" xfId="14483"/>
    <cellStyle name="Percent 9 8 2 5 2 2" xfId="14484"/>
    <cellStyle name="Percent 9 8 2 5 3" xfId="14485"/>
    <cellStyle name="Percent 9 8 2 5 3 2" xfId="14486"/>
    <cellStyle name="Percent 9 8 2 5 4" xfId="14487"/>
    <cellStyle name="Percent 9 8 2 6" xfId="14488"/>
    <cellStyle name="Percent 9 8 2 6 2" xfId="14489"/>
    <cellStyle name="Percent 9 8 2 7" xfId="14490"/>
    <cellStyle name="Percent 9 8 2 7 2" xfId="14491"/>
    <cellStyle name="Percent 9 8 2 8" xfId="14492"/>
    <cellStyle name="Percent 9 8 2 8 2" xfId="14493"/>
    <cellStyle name="Percent 9 8 2 9" xfId="14494"/>
    <cellStyle name="Percent 9 8 3" xfId="14495"/>
    <cellStyle name="Percent 9 8 3 2" xfId="14496"/>
    <cellStyle name="Percent 9 8 3 2 2" xfId="14497"/>
    <cellStyle name="Percent 9 8 3 3" xfId="14498"/>
    <cellStyle name="Percent 9 8 3 3 2" xfId="14499"/>
    <cellStyle name="Percent 9 8 3 4" xfId="14500"/>
    <cellStyle name="Percent 9 8 3 5" xfId="14501"/>
    <cellStyle name="Percent 9 8 4" xfId="14502"/>
    <cellStyle name="Percent 9 8 4 2" xfId="14503"/>
    <cellStyle name="Percent 9 8 4 2 2" xfId="14504"/>
    <cellStyle name="Percent 9 8 4 3" xfId="14505"/>
    <cellStyle name="Percent 9 8 4 3 2" xfId="14506"/>
    <cellStyle name="Percent 9 8 4 4" xfId="14507"/>
    <cellStyle name="Percent 9 8 5" xfId="14508"/>
    <cellStyle name="Percent 9 8 5 2" xfId="14509"/>
    <cellStyle name="Percent 9 8 5 2 2" xfId="14510"/>
    <cellStyle name="Percent 9 8 5 3" xfId="14511"/>
    <cellStyle name="Percent 9 8 5 3 2" xfId="14512"/>
    <cellStyle name="Percent 9 8 5 4" xfId="14513"/>
    <cellStyle name="Percent 9 8 6" xfId="14514"/>
    <cellStyle name="Percent 9 8 6 2" xfId="14515"/>
    <cellStyle name="Percent 9 8 6 2 2" xfId="14516"/>
    <cellStyle name="Percent 9 8 6 3" xfId="14517"/>
    <cellStyle name="Percent 9 8 6 3 2" xfId="14518"/>
    <cellStyle name="Percent 9 8 6 4" xfId="14519"/>
    <cellStyle name="Percent 9 8 6 4 2" xfId="14520"/>
    <cellStyle name="Percent 9 8 6 5" xfId="14521"/>
    <cellStyle name="Percent 9 8 7" xfId="14522"/>
    <cellStyle name="Percent 9 8 7 2" xfId="14523"/>
    <cellStyle name="Percent 9 8 7 2 2" xfId="14524"/>
    <cellStyle name="Percent 9 8 7 3" xfId="14525"/>
    <cellStyle name="Percent 9 8 7 3 2" xfId="14526"/>
    <cellStyle name="Percent 9 8 7 4" xfId="14527"/>
    <cellStyle name="Percent 9 8 8" xfId="14528"/>
    <cellStyle name="Percent 9 8 8 2" xfId="14529"/>
    <cellStyle name="Percent 9 8 9" xfId="14530"/>
    <cellStyle name="Percent 9 8 9 2" xfId="14531"/>
    <cellStyle name="Percent 9 9 12" xfId="14532"/>
    <cellStyle name="Percent 9 9 10" xfId="14533"/>
    <cellStyle name="Percent 9 9 11" xfId="14534"/>
    <cellStyle name="Percent 9 9 2" xfId="14535"/>
    <cellStyle name="Percent 9 9 2 2" xfId="14536"/>
    <cellStyle name="Percent 9 9 2 2 2" xfId="14537"/>
    <cellStyle name="Percent 9 9 2 3" xfId="14538"/>
    <cellStyle name="Percent 9 9 2 3 2" xfId="14539"/>
    <cellStyle name="Percent 9 9 2 4" xfId="14540"/>
    <cellStyle name="Percent 9 9 2 5" xfId="14541"/>
    <cellStyle name="Percent 9 9 3" xfId="14542"/>
    <cellStyle name="Percent 9 9 3 2" xfId="14543"/>
    <cellStyle name="Percent 9 9 3 2 2" xfId="14544"/>
    <cellStyle name="Percent 9 9 3 3" xfId="14545"/>
    <cellStyle name="Percent 9 9 3 3 2" xfId="14546"/>
    <cellStyle name="Percent 9 9 3 4" xfId="14547"/>
    <cellStyle name="Percent 9 9 4" xfId="14548"/>
    <cellStyle name="Percent 9 9 4 2" xfId="14549"/>
    <cellStyle name="Percent 9 9 4 2 2" xfId="14550"/>
    <cellStyle name="Percent 9 9 4 3" xfId="14551"/>
    <cellStyle name="Percent 9 9 4 3 2" xfId="14552"/>
    <cellStyle name="Percent 9 9 4 4" xfId="14553"/>
    <cellStyle name="Percent 9 9 5" xfId="14554"/>
    <cellStyle name="Percent 9 9 5 2" xfId="14555"/>
    <cellStyle name="Percent 9 9 5 2 2" xfId="14556"/>
    <cellStyle name="Percent 9 9 5 3" xfId="14557"/>
    <cellStyle name="Percent 9 9 5 3 2" xfId="14558"/>
    <cellStyle name="Percent 9 9 5 4" xfId="14559"/>
    <cellStyle name="Percent 9 9 5 4 2" xfId="14560"/>
    <cellStyle name="Percent 9 9 5 5" xfId="14561"/>
    <cellStyle name="Percent 9 9 6" xfId="14562"/>
    <cellStyle name="Percent 9 9 6 2" xfId="14563"/>
    <cellStyle name="Percent 9 9 6 2 2" xfId="14564"/>
    <cellStyle name="Percent 9 9 6 3" xfId="14565"/>
    <cellStyle name="Percent 9 9 6 3 2" xfId="14566"/>
    <cellStyle name="Percent 9 9 6 4" xfId="14567"/>
    <cellStyle name="Percent 9 9 7" xfId="14568"/>
    <cellStyle name="Percent 9 9 7 2" xfId="14569"/>
    <cellStyle name="Percent 9 9 8" xfId="14570"/>
    <cellStyle name="Percent 9 9 8 2" xfId="14571"/>
    <cellStyle name="Percent 9 9 9" xfId="14572"/>
    <cellStyle name="Percent 9 9 9 2" xfId="14573"/>
    <cellStyle name="Percentagem 2 2 12" xfId="14574"/>
    <cellStyle name="Percentagem 2 2 10" xfId="14575"/>
    <cellStyle name="Percentagem 2 2 11" xfId="14576"/>
    <cellStyle name="Percentagem 2 2 2" xfId="14577"/>
    <cellStyle name="Percentagem 2 2 2 2" xfId="14578"/>
    <cellStyle name="Percentagem 2 2 2 2 2" xfId="14579"/>
    <cellStyle name="Percentagem 2 2 2 3" xfId="14580"/>
    <cellStyle name="Percentagem 2 2 2 3 2" xfId="14581"/>
    <cellStyle name="Percentagem 2 2 2 4" xfId="14582"/>
    <cellStyle name="Percentagem 2 2 2 5" xfId="14583"/>
    <cellStyle name="Percentagem 2 2 3" xfId="14584"/>
    <cellStyle name="Percentagem 2 2 3 2" xfId="14585"/>
    <cellStyle name="Percentagem 2 2 3 2 2" xfId="14586"/>
    <cellStyle name="Percentagem 2 2 3 3" xfId="14587"/>
    <cellStyle name="Percentagem 2 2 3 3 2" xfId="14588"/>
    <cellStyle name="Percentagem 2 2 3 4" xfId="14589"/>
    <cellStyle name="Percentagem 2 2 4" xfId="14590"/>
    <cellStyle name="Percentagem 2 2 4 2" xfId="14591"/>
    <cellStyle name="Percentagem 2 2 4 2 2" xfId="14592"/>
    <cellStyle name="Percentagem 2 2 4 3" xfId="14593"/>
    <cellStyle name="Percentagem 2 2 4 3 2" xfId="14594"/>
    <cellStyle name="Percentagem 2 2 4 4" xfId="14595"/>
    <cellStyle name="Percentagem 2 2 5" xfId="14596"/>
    <cellStyle name="Percentagem 2 2 5 2" xfId="14597"/>
    <cellStyle name="Percentagem 2 2 5 2 2" xfId="14598"/>
    <cellStyle name="Percentagem 2 2 5 3" xfId="14599"/>
    <cellStyle name="Percentagem 2 2 5 3 2" xfId="14600"/>
    <cellStyle name="Percentagem 2 2 5 4" xfId="14601"/>
    <cellStyle name="Percentagem 2 2 5 4 2" xfId="14602"/>
    <cellStyle name="Percentagem 2 2 5 5" xfId="14603"/>
    <cellStyle name="Percentagem 2 2 6" xfId="14604"/>
    <cellStyle name="Percentagem 2 2 6 2" xfId="14605"/>
    <cellStyle name="Percentagem 2 2 6 2 2" xfId="14606"/>
    <cellStyle name="Percentagem 2 2 6 3" xfId="14607"/>
    <cellStyle name="Percentagem 2 2 6 3 2" xfId="14608"/>
    <cellStyle name="Percentagem 2 2 6 4" xfId="14609"/>
    <cellStyle name="Percentagem 2 2 7" xfId="14610"/>
    <cellStyle name="Percentagem 2 2 7 2" xfId="14611"/>
    <cellStyle name="Percentagem 2 2 8" xfId="14612"/>
    <cellStyle name="Percentagem 2 2 8 2" xfId="14613"/>
    <cellStyle name="Percentagem 2 2 9" xfId="14614"/>
    <cellStyle name="Percentagem 2 2 9 2" xfId="14615"/>
    <cellStyle name="Percentagem 2 3 12" xfId="14616"/>
    <cellStyle name="Percentagem 2 3 10" xfId="14617"/>
    <cellStyle name="Percentagem 2 3 11" xfId="14618"/>
    <cellStyle name="Percentagem 2 3 2" xfId="14619"/>
    <cellStyle name="Percentagem 2 3 2 2" xfId="14620"/>
    <cellStyle name="Percentagem 2 3 2 2 2" xfId="14621"/>
    <cellStyle name="Percentagem 2 3 2 3" xfId="14622"/>
    <cellStyle name="Percentagem 2 3 2 3 2" xfId="14623"/>
    <cellStyle name="Percentagem 2 3 2 4" xfId="14624"/>
    <cellStyle name="Percentagem 2 3 2 5" xfId="14625"/>
    <cellStyle name="Percentagem 2 3 3" xfId="14626"/>
    <cellStyle name="Percentagem 2 3 3 2" xfId="14627"/>
    <cellStyle name="Percentagem 2 3 3 2 2" xfId="14628"/>
    <cellStyle name="Percentagem 2 3 3 3" xfId="14629"/>
    <cellStyle name="Percentagem 2 3 3 3 2" xfId="14630"/>
    <cellStyle name="Percentagem 2 3 3 4" xfId="14631"/>
    <cellStyle name="Percentagem 2 3 4" xfId="14632"/>
    <cellStyle name="Percentagem 2 3 4 2" xfId="14633"/>
    <cellStyle name="Percentagem 2 3 4 2 2" xfId="14634"/>
    <cellStyle name="Percentagem 2 3 4 3" xfId="14635"/>
    <cellStyle name="Percentagem 2 3 4 3 2" xfId="14636"/>
    <cellStyle name="Percentagem 2 3 4 4" xfId="14637"/>
    <cellStyle name="Percentagem 2 3 5" xfId="14638"/>
    <cellStyle name="Percentagem 2 3 5 2" xfId="14639"/>
    <cellStyle name="Percentagem 2 3 5 2 2" xfId="14640"/>
    <cellStyle name="Percentagem 2 3 5 3" xfId="14641"/>
    <cellStyle name="Percentagem 2 3 5 3 2" xfId="14642"/>
    <cellStyle name="Percentagem 2 3 5 4" xfId="14643"/>
    <cellStyle name="Percentagem 2 3 5 4 2" xfId="14644"/>
    <cellStyle name="Percentagem 2 3 5 5" xfId="14645"/>
    <cellStyle name="Percentagem 2 3 6" xfId="14646"/>
    <cellStyle name="Percentagem 2 3 6 2" xfId="14647"/>
    <cellStyle name="Percentagem 2 3 6 2 2" xfId="14648"/>
    <cellStyle name="Percentagem 2 3 6 3" xfId="14649"/>
    <cellStyle name="Percentagem 2 3 6 3 2" xfId="14650"/>
    <cellStyle name="Percentagem 2 3 6 4" xfId="14651"/>
    <cellStyle name="Percentagem 2 3 7" xfId="14652"/>
    <cellStyle name="Percentagem 2 3 7 2" xfId="14653"/>
    <cellStyle name="Percentagem 2 3 8" xfId="14654"/>
    <cellStyle name="Percentagem 2 3 8 2" xfId="14655"/>
    <cellStyle name="Percentagem 2 3 9" xfId="14656"/>
    <cellStyle name="Percentagem 2 3 9 2" xfId="14657"/>
    <cellStyle name="Schlecht 12" xfId="14658"/>
    <cellStyle name="Schlecht 10" xfId="14659"/>
    <cellStyle name="Schlecht 11" xfId="14660"/>
    <cellStyle name="Schlecht 2" xfId="14661"/>
    <cellStyle name="Schlecht 2 2" xfId="14662"/>
    <cellStyle name="Schlecht 2 2 2" xfId="14663"/>
    <cellStyle name="Schlecht 2 3" xfId="14664"/>
    <cellStyle name="Schlecht 2 3 2" xfId="14665"/>
    <cellStyle name="Schlecht 2 4" xfId="14666"/>
    <cellStyle name="Schlecht 2 5" xfId="14667"/>
    <cellStyle name="Schlecht 3" xfId="14668"/>
    <cellStyle name="Schlecht 3 2" xfId="14669"/>
    <cellStyle name="Schlecht 3 2 2" xfId="14670"/>
    <cellStyle name="Schlecht 3 3" xfId="14671"/>
    <cellStyle name="Schlecht 3 3 2" xfId="14672"/>
    <cellStyle name="Schlecht 3 4" xfId="14673"/>
    <cellStyle name="Schlecht 4" xfId="14674"/>
    <cellStyle name="Schlecht 4 2" xfId="14675"/>
    <cellStyle name="Schlecht 4 2 2" xfId="14676"/>
    <cellStyle name="Schlecht 4 3" xfId="14677"/>
    <cellStyle name="Schlecht 4 3 2" xfId="14678"/>
    <cellStyle name="Schlecht 4 4" xfId="14679"/>
    <cellStyle name="Schlecht 5" xfId="14680"/>
    <cellStyle name="Schlecht 5 2" xfId="14681"/>
    <cellStyle name="Schlecht 5 2 2" xfId="14682"/>
    <cellStyle name="Schlecht 5 3" xfId="14683"/>
    <cellStyle name="Schlecht 5 3 2" xfId="14684"/>
    <cellStyle name="Schlecht 5 4" xfId="14685"/>
    <cellStyle name="Schlecht 5 4 2" xfId="14686"/>
    <cellStyle name="Schlecht 5 5" xfId="14687"/>
    <cellStyle name="Schlecht 6" xfId="14688"/>
    <cellStyle name="Schlecht 6 2" xfId="14689"/>
    <cellStyle name="Schlecht 6 2 2" xfId="14690"/>
    <cellStyle name="Schlecht 6 3" xfId="14691"/>
    <cellStyle name="Schlecht 6 3 2" xfId="14692"/>
    <cellStyle name="Schlecht 6 4" xfId="14693"/>
    <cellStyle name="Schlecht 7" xfId="14694"/>
    <cellStyle name="Schlecht 7 2" xfId="14695"/>
    <cellStyle name="Schlecht 8" xfId="14696"/>
    <cellStyle name="Schlecht 8 2" xfId="14697"/>
    <cellStyle name="Schlecht 9" xfId="14698"/>
    <cellStyle name="Schlecht 9 2" xfId="14699"/>
    <cellStyle name="Shade 12" xfId="14700"/>
    <cellStyle name="Shade 10" xfId="14701"/>
    <cellStyle name="Shade 11" xfId="14702"/>
    <cellStyle name="Shade 2" xfId="14703"/>
    <cellStyle name="Shade 2 2" xfId="14704"/>
    <cellStyle name="Shade 2 2 2" xfId="14705"/>
    <cellStyle name="Shade 2 3" xfId="14706"/>
    <cellStyle name="Shade 2 3 2" xfId="14707"/>
    <cellStyle name="Shade 2 4" xfId="14708"/>
    <cellStyle name="Shade 2 5" xfId="14709"/>
    <cellStyle name="Shade 3" xfId="14710"/>
    <cellStyle name="Shade 3 2" xfId="14711"/>
    <cellStyle name="Shade 3 2 2" xfId="14712"/>
    <cellStyle name="Shade 3 3" xfId="14713"/>
    <cellStyle name="Shade 3 3 2" xfId="14714"/>
    <cellStyle name="Shade 3 4" xfId="14715"/>
    <cellStyle name="Shade 4" xfId="14716"/>
    <cellStyle name="Shade 4 2" xfId="14717"/>
    <cellStyle name="Shade 4 2 2" xfId="14718"/>
    <cellStyle name="Shade 4 3" xfId="14719"/>
    <cellStyle name="Shade 4 3 2" xfId="14720"/>
    <cellStyle name="Shade 4 4" xfId="14721"/>
    <cellStyle name="Shade 5" xfId="14722"/>
    <cellStyle name="Shade 5 2" xfId="14723"/>
    <cellStyle name="Shade 5 2 2" xfId="14724"/>
    <cellStyle name="Shade 5 3" xfId="14725"/>
    <cellStyle name="Shade 5 3 2" xfId="14726"/>
    <cellStyle name="Shade 5 4" xfId="14727"/>
    <cellStyle name="Shade 5 4 2" xfId="14728"/>
    <cellStyle name="Shade 5 5" xfId="14729"/>
    <cellStyle name="Shade 6" xfId="14730"/>
    <cellStyle name="Shade 6 2" xfId="14731"/>
    <cellStyle name="Shade 6 2 2" xfId="14732"/>
    <cellStyle name="Shade 6 3" xfId="14733"/>
    <cellStyle name="Shade 6 3 2" xfId="14734"/>
    <cellStyle name="Shade 6 4" xfId="14735"/>
    <cellStyle name="Shade 7" xfId="14736"/>
    <cellStyle name="Shade 7 2" xfId="14737"/>
    <cellStyle name="Shade 8" xfId="14738"/>
    <cellStyle name="Shade 8 2" xfId="14739"/>
    <cellStyle name="Shade 9" xfId="14740"/>
    <cellStyle name="Shade 9 2" xfId="14741"/>
    <cellStyle name="source 12" xfId="14742"/>
    <cellStyle name="source 10" xfId="14743"/>
    <cellStyle name="source 11" xfId="14744"/>
    <cellStyle name="source 2 6" xfId="14745"/>
    <cellStyle name="source 2 2" xfId="14746"/>
    <cellStyle name="source 2 2 2" xfId="14747"/>
    <cellStyle name="source 2 3" xfId="14748"/>
    <cellStyle name="source 2 3 2" xfId="14749"/>
    <cellStyle name="source 2 4" xfId="14750"/>
    <cellStyle name="source 2 5" xfId="14751"/>
    <cellStyle name="source 3 5" xfId="14752"/>
    <cellStyle name="source 3 2" xfId="14753"/>
    <cellStyle name="source 3 2 2" xfId="14754"/>
    <cellStyle name="source 3 3" xfId="14755"/>
    <cellStyle name="source 3 3 2" xfId="14756"/>
    <cellStyle name="source 3 4" xfId="14757"/>
    <cellStyle name="source 4" xfId="14758"/>
    <cellStyle name="source 4 2" xfId="14759"/>
    <cellStyle name="source 4 2 2" xfId="14760"/>
    <cellStyle name="source 4 3" xfId="14761"/>
    <cellStyle name="source 4 3 2" xfId="14762"/>
    <cellStyle name="source 4 4" xfId="14763"/>
    <cellStyle name="source 5" xfId="14764"/>
    <cellStyle name="source 5 2" xfId="14765"/>
    <cellStyle name="source 5 2 2" xfId="14766"/>
    <cellStyle name="source 5 3" xfId="14767"/>
    <cellStyle name="source 5 3 2" xfId="14768"/>
    <cellStyle name="source 5 4" xfId="14769"/>
    <cellStyle name="source 5 4 2" xfId="14770"/>
    <cellStyle name="source 5 5" xfId="14771"/>
    <cellStyle name="source 6" xfId="14772"/>
    <cellStyle name="source 6 2" xfId="14773"/>
    <cellStyle name="source 6 2 2" xfId="14774"/>
    <cellStyle name="source 6 3" xfId="14775"/>
    <cellStyle name="source 6 3 2" xfId="14776"/>
    <cellStyle name="source 6 4" xfId="14777"/>
    <cellStyle name="source 7" xfId="14778"/>
    <cellStyle name="source 7 2" xfId="14779"/>
    <cellStyle name="source 8" xfId="14780"/>
    <cellStyle name="source 8 2" xfId="14781"/>
    <cellStyle name="source 9" xfId="14782"/>
    <cellStyle name="source 9 2" xfId="14783"/>
    <cellStyle name="Standard 2 11" xfId="14784"/>
    <cellStyle name="Standard 2 10" xfId="14785"/>
    <cellStyle name="Standard 2 2" xfId="14786"/>
    <cellStyle name="Standard 2 2 2" xfId="14787"/>
    <cellStyle name="Standard 2 2 2 2" xfId="14788"/>
    <cellStyle name="Standard 2 2 3" xfId="14789"/>
    <cellStyle name="Standard 2 2 3 2" xfId="14790"/>
    <cellStyle name="Standard 2 2 4" xfId="14791"/>
    <cellStyle name="Standard 2 2 5" xfId="14792"/>
    <cellStyle name="Standard 2 3" xfId="14793"/>
    <cellStyle name="Standard 2 3 2" xfId="14794"/>
    <cellStyle name="Standard 2 3 2 2" xfId="14795"/>
    <cellStyle name="Standard 2 3 3" xfId="14796"/>
    <cellStyle name="Standard 2 3 3 2" xfId="14797"/>
    <cellStyle name="Standard 2 3 4" xfId="14798"/>
    <cellStyle name="Standard 2 4" xfId="14799"/>
    <cellStyle name="Standard 2 4 2" xfId="14800"/>
    <cellStyle name="Standard 2 4 2 2" xfId="14801"/>
    <cellStyle name="Standard 2 4 3" xfId="14802"/>
    <cellStyle name="Standard 2 4 3 2" xfId="14803"/>
    <cellStyle name="Standard 2 4 4" xfId="14804"/>
    <cellStyle name="Standard 2 4 4 2" xfId="14805"/>
    <cellStyle name="Standard 2 4 5" xfId="14806"/>
    <cellStyle name="Standard 2 5" xfId="14807"/>
    <cellStyle name="Standard 2 5 2" xfId="14808"/>
    <cellStyle name="Standard 2 5 2 2" xfId="14809"/>
    <cellStyle name="Standard 2 5 3" xfId="14810"/>
    <cellStyle name="Standard 2 5 3 2" xfId="14811"/>
    <cellStyle name="Standard 2 5 4" xfId="14812"/>
    <cellStyle name="Standard 2 6" xfId="14813"/>
    <cellStyle name="Standard 2 6 2" xfId="14814"/>
    <cellStyle name="Standard 2 7" xfId="14815"/>
    <cellStyle name="Standard 2 7 2" xfId="14816"/>
    <cellStyle name="Standard 2 8" xfId="14817"/>
    <cellStyle name="Standard 2 8 2" xfId="14818"/>
    <cellStyle name="Standard 2 9" xfId="14819"/>
    <cellStyle name="Standard 3 11" xfId="14820"/>
    <cellStyle name="Standard 3 10" xfId="14821"/>
    <cellStyle name="Standard 3 2" xfId="14822"/>
    <cellStyle name="Standard 3 2 2" xfId="14823"/>
    <cellStyle name="Standard 3 2 2 2" xfId="14824"/>
    <cellStyle name="Standard 3 2 3" xfId="14825"/>
    <cellStyle name="Standard 3 2 3 2" xfId="14826"/>
    <cellStyle name="Standard 3 2 4" xfId="14827"/>
    <cellStyle name="Standard 3 2 5" xfId="14828"/>
    <cellStyle name="Standard 3 3" xfId="14829"/>
    <cellStyle name="Standard 3 3 2" xfId="14830"/>
    <cellStyle name="Standard 3 3 2 2" xfId="14831"/>
    <cellStyle name="Standard 3 3 3" xfId="14832"/>
    <cellStyle name="Standard 3 3 3 2" xfId="14833"/>
    <cellStyle name="Standard 3 3 4" xfId="14834"/>
    <cellStyle name="Standard 3 4" xfId="14835"/>
    <cellStyle name="Standard 3 4 2" xfId="14836"/>
    <cellStyle name="Standard 3 4 2 2" xfId="14837"/>
    <cellStyle name="Standard 3 4 3" xfId="14838"/>
    <cellStyle name="Standard 3 4 3 2" xfId="14839"/>
    <cellStyle name="Standard 3 4 4" xfId="14840"/>
    <cellStyle name="Standard 3 4 4 2" xfId="14841"/>
    <cellStyle name="Standard 3 4 5" xfId="14842"/>
    <cellStyle name="Standard 3 5" xfId="14843"/>
    <cellStyle name="Standard 3 5 2" xfId="14844"/>
    <cellStyle name="Standard 3 5 2 2" xfId="14845"/>
    <cellStyle name="Standard 3 5 3" xfId="14846"/>
    <cellStyle name="Standard 3 5 3 2" xfId="14847"/>
    <cellStyle name="Standard 3 5 4" xfId="14848"/>
    <cellStyle name="Standard 3 6" xfId="14849"/>
    <cellStyle name="Standard 3 6 2" xfId="14850"/>
    <cellStyle name="Standard 3 7" xfId="14851"/>
    <cellStyle name="Standard 3 7 2" xfId="14852"/>
    <cellStyle name="Standard 3 8" xfId="14853"/>
    <cellStyle name="Standard 3 8 2" xfId="14854"/>
    <cellStyle name="Standard 3 9" xfId="14855"/>
    <cellStyle name="Style 1 12" xfId="14856"/>
    <cellStyle name="Style 1 10" xfId="14857"/>
    <cellStyle name="Style 1 11" xfId="14858"/>
    <cellStyle name="Style 1 2" xfId="14859"/>
    <cellStyle name="Style 1 2 2" xfId="14860"/>
    <cellStyle name="Style 1 2 2 2" xfId="14861"/>
    <cellStyle name="Style 1 2 3" xfId="14862"/>
    <cellStyle name="Style 1 2 3 2" xfId="14863"/>
    <cellStyle name="Style 1 2 4" xfId="14864"/>
    <cellStyle name="Style 1 2 5" xfId="14865"/>
    <cellStyle name="Style 1 3" xfId="14866"/>
    <cellStyle name="Style 1 3 2" xfId="14867"/>
    <cellStyle name="Style 1 3 2 2" xfId="14868"/>
    <cellStyle name="Style 1 3 3" xfId="14869"/>
    <cellStyle name="Style 1 3 3 2" xfId="14870"/>
    <cellStyle name="Style 1 3 4" xfId="14871"/>
    <cellStyle name="Style 1 4" xfId="14872"/>
    <cellStyle name="Style 1 4 2" xfId="14873"/>
    <cellStyle name="Style 1 4 2 2" xfId="14874"/>
    <cellStyle name="Style 1 4 3" xfId="14875"/>
    <cellStyle name="Style 1 4 3 2" xfId="14876"/>
    <cellStyle name="Style 1 4 4" xfId="14877"/>
    <cellStyle name="Style 1 5" xfId="14878"/>
    <cellStyle name="Style 1 5 2" xfId="14879"/>
    <cellStyle name="Style 1 5 2 2" xfId="14880"/>
    <cellStyle name="Style 1 5 3" xfId="14881"/>
    <cellStyle name="Style 1 5 3 2" xfId="14882"/>
    <cellStyle name="Style 1 5 4" xfId="14883"/>
    <cellStyle name="Style 1 5 4 2" xfId="14884"/>
    <cellStyle name="Style 1 5 5" xfId="14885"/>
    <cellStyle name="Style 1 6" xfId="14886"/>
    <cellStyle name="Style 1 6 2" xfId="14887"/>
    <cellStyle name="Style 1 6 2 2" xfId="14888"/>
    <cellStyle name="Style 1 6 3" xfId="14889"/>
    <cellStyle name="Style 1 6 3 2" xfId="14890"/>
    <cellStyle name="Style 1 6 4" xfId="14891"/>
    <cellStyle name="Style 1 7" xfId="14892"/>
    <cellStyle name="Style 1 7 2" xfId="14893"/>
    <cellStyle name="Style 1 8" xfId="14894"/>
    <cellStyle name="Style 1 8 2" xfId="14895"/>
    <cellStyle name="Style 1 9" xfId="14896"/>
    <cellStyle name="Style 1 9 2" xfId="14897"/>
    <cellStyle name="Style 21 13" xfId="14898"/>
    <cellStyle name="Style 21 10" xfId="14899"/>
    <cellStyle name="Style 21 10 2" xfId="14900"/>
    <cellStyle name="Style 21 11" xfId="14901"/>
    <cellStyle name="Style 21 12" xfId="14902"/>
    <cellStyle name="Style 21 2 12" xfId="14903"/>
    <cellStyle name="Style 21 2 10" xfId="14904"/>
    <cellStyle name="Style 21 2 11" xfId="14905"/>
    <cellStyle name="Style 21 2 2 6" xfId="14906"/>
    <cellStyle name="Style 21 2 2 2" xfId="14907"/>
    <cellStyle name="Style 21 2 2 2 2" xfId="14908"/>
    <cellStyle name="Style 21 2 2 3" xfId="14909"/>
    <cellStyle name="Style 21 2 2 3 2" xfId="14910"/>
    <cellStyle name="Style 21 2 2 4" xfId="14911"/>
    <cellStyle name="Style 21 2 2 5" xfId="14912"/>
    <cellStyle name="Style 21 2 3 5" xfId="14913"/>
    <cellStyle name="Style 21 2 3 2" xfId="14914"/>
    <cellStyle name="Style 21 2 3 2 2" xfId="14915"/>
    <cellStyle name="Style 21 2 3 3" xfId="14916"/>
    <cellStyle name="Style 21 2 3 3 2" xfId="14917"/>
    <cellStyle name="Style 21 2 3 4" xfId="14918"/>
    <cellStyle name="Style 21 2 4" xfId="14919"/>
    <cellStyle name="Style 21 2 4 2" xfId="14920"/>
    <cellStyle name="Style 21 2 4 2 2" xfId="14921"/>
    <cellStyle name="Style 21 2 4 3" xfId="14922"/>
    <cellStyle name="Style 21 2 4 3 2" xfId="14923"/>
    <cellStyle name="Style 21 2 4 4" xfId="14924"/>
    <cellStyle name="Style 21 2 5" xfId="14925"/>
    <cellStyle name="Style 21 2 5 2" xfId="14926"/>
    <cellStyle name="Style 21 2 5 2 2" xfId="14927"/>
    <cellStyle name="Style 21 2 5 3" xfId="14928"/>
    <cellStyle name="Style 21 2 5 3 2" xfId="14929"/>
    <cellStyle name="Style 21 2 5 4" xfId="14930"/>
    <cellStyle name="Style 21 2 5 4 2" xfId="14931"/>
    <cellStyle name="Style 21 2 5 5" xfId="14932"/>
    <cellStyle name="Style 21 2 6" xfId="14933"/>
    <cellStyle name="Style 21 2 6 2" xfId="14934"/>
    <cellStyle name="Style 21 2 6 2 2" xfId="14935"/>
    <cellStyle name="Style 21 2 6 3" xfId="14936"/>
    <cellStyle name="Style 21 2 6 3 2" xfId="14937"/>
    <cellStyle name="Style 21 2 6 4" xfId="14938"/>
    <cellStyle name="Style 21 2 7" xfId="14939"/>
    <cellStyle name="Style 21 2 7 2" xfId="14940"/>
    <cellStyle name="Style 21 2 8" xfId="14941"/>
    <cellStyle name="Style 21 2 8 2" xfId="14942"/>
    <cellStyle name="Style 21 2 9" xfId="14943"/>
    <cellStyle name="Style 21 2 9 2" xfId="14944"/>
    <cellStyle name="Style 21 3 6" xfId="14945"/>
    <cellStyle name="Style 21 3 2 3" xfId="14946"/>
    <cellStyle name="Style 21 3 2 2" xfId="14947"/>
    <cellStyle name="Style 21 3 3" xfId="14948"/>
    <cellStyle name="Style 21 3 3 2" xfId="14949"/>
    <cellStyle name="Style 21 3 4" xfId="14950"/>
    <cellStyle name="Style 21 3 5" xfId="14951"/>
    <cellStyle name="Style 21 4 5" xfId="14952"/>
    <cellStyle name="Style 21 4 2" xfId="14953"/>
    <cellStyle name="Style 21 4 2 2" xfId="14954"/>
    <cellStyle name="Style 21 4 3" xfId="14955"/>
    <cellStyle name="Style 21 4 3 2" xfId="14956"/>
    <cellStyle name="Style 21 4 4" xfId="14957"/>
    <cellStyle name="Style 21 5 5" xfId="14958"/>
    <cellStyle name="Style 21 5 2" xfId="14959"/>
    <cellStyle name="Style 21 5 2 2" xfId="14960"/>
    <cellStyle name="Style 21 5 3" xfId="14961"/>
    <cellStyle name="Style 21 5 3 2" xfId="14962"/>
    <cellStyle name="Style 21 5 4" xfId="14963"/>
    <cellStyle name="Style 21 6" xfId="14964"/>
    <cellStyle name="Style 21 6 2" xfId="14965"/>
    <cellStyle name="Style 21 6 2 2" xfId="14966"/>
    <cellStyle name="Style 21 6 3" xfId="14967"/>
    <cellStyle name="Style 21 6 3 2" xfId="14968"/>
    <cellStyle name="Style 21 6 4" xfId="14969"/>
    <cellStyle name="Style 21 6 4 2" xfId="14970"/>
    <cellStyle name="Style 21 6 5" xfId="14971"/>
    <cellStyle name="Style 21 7" xfId="14972"/>
    <cellStyle name="Style 21 7 2" xfId="14973"/>
    <cellStyle name="Style 21 7 2 2" xfId="14974"/>
    <cellStyle name="Style 21 7 3" xfId="14975"/>
    <cellStyle name="Style 21 7 3 2" xfId="14976"/>
    <cellStyle name="Style 21 7 4" xfId="14977"/>
    <cellStyle name="Style 21 8" xfId="14978"/>
    <cellStyle name="Style 21 8 2" xfId="14979"/>
    <cellStyle name="Style 21 9" xfId="14980"/>
    <cellStyle name="Style 21 9 2" xfId="14981"/>
    <cellStyle name="Style 22 12" xfId="14982"/>
    <cellStyle name="Style 22 10" xfId="14983"/>
    <cellStyle name="Style 22 11" xfId="14984"/>
    <cellStyle name="Style 22 2 6" xfId="14985"/>
    <cellStyle name="Style 22 2 2" xfId="14986"/>
    <cellStyle name="Style 22 2 2 2" xfId="14987"/>
    <cellStyle name="Style 22 2 3" xfId="14988"/>
    <cellStyle name="Style 22 2 3 2" xfId="14989"/>
    <cellStyle name="Style 22 2 4" xfId="14990"/>
    <cellStyle name="Style 22 2 5" xfId="14991"/>
    <cellStyle name="Style 22 3 5" xfId="14992"/>
    <cellStyle name="Style 22 3 2" xfId="14993"/>
    <cellStyle name="Style 22 3 2 2" xfId="14994"/>
    <cellStyle name="Style 22 3 3" xfId="14995"/>
    <cellStyle name="Style 22 3 3 2" xfId="14996"/>
    <cellStyle name="Style 22 3 4" xfId="14997"/>
    <cellStyle name="Style 22 4" xfId="14998"/>
    <cellStyle name="Style 22 4 2" xfId="14999"/>
    <cellStyle name="Style 22 4 2 2" xfId="15000"/>
    <cellStyle name="Style 22 4 3" xfId="15001"/>
    <cellStyle name="Style 22 4 3 2" xfId="15002"/>
    <cellStyle name="Style 22 4 4" xfId="15003"/>
    <cellStyle name="Style 22 5" xfId="15004"/>
    <cellStyle name="Style 22 5 2" xfId="15005"/>
    <cellStyle name="Style 22 5 2 2" xfId="15006"/>
    <cellStyle name="Style 22 5 3" xfId="15007"/>
    <cellStyle name="Style 22 5 3 2" xfId="15008"/>
    <cellStyle name="Style 22 5 4" xfId="15009"/>
    <cellStyle name="Style 22 5 4 2" xfId="15010"/>
    <cellStyle name="Style 22 5 5" xfId="15011"/>
    <cellStyle name="Style 22 6" xfId="15012"/>
    <cellStyle name="Style 22 6 2" xfId="15013"/>
    <cellStyle name="Style 22 6 2 2" xfId="15014"/>
    <cellStyle name="Style 22 6 3" xfId="15015"/>
    <cellStyle name="Style 22 6 3 2" xfId="15016"/>
    <cellStyle name="Style 22 6 4" xfId="15017"/>
    <cellStyle name="Style 22 7" xfId="15018"/>
    <cellStyle name="Style 22 7 2" xfId="15019"/>
    <cellStyle name="Style 22 8" xfId="15020"/>
    <cellStyle name="Style 22 8 2" xfId="15021"/>
    <cellStyle name="Style 22 9" xfId="15022"/>
    <cellStyle name="Style 22 9 2" xfId="15023"/>
    <cellStyle name="Style 23 12" xfId="15024"/>
    <cellStyle name="Style 23 10" xfId="15025"/>
    <cellStyle name="Style 23 11" xfId="15026"/>
    <cellStyle name="Style 23 2 6" xfId="15027"/>
    <cellStyle name="Style 23 2 2" xfId="15028"/>
    <cellStyle name="Style 23 2 2 2" xfId="15029"/>
    <cellStyle name="Style 23 2 3" xfId="15030"/>
    <cellStyle name="Style 23 2 3 2" xfId="15031"/>
    <cellStyle name="Style 23 2 4" xfId="15032"/>
    <cellStyle name="Style 23 2 5" xfId="15033"/>
    <cellStyle name="Style 23 3 5" xfId="15034"/>
    <cellStyle name="Style 23 3 2" xfId="15035"/>
    <cellStyle name="Style 23 3 2 2" xfId="15036"/>
    <cellStyle name="Style 23 3 3" xfId="15037"/>
    <cellStyle name="Style 23 3 3 2" xfId="15038"/>
    <cellStyle name="Style 23 3 4" xfId="15039"/>
    <cellStyle name="Style 23 4" xfId="15040"/>
    <cellStyle name="Style 23 4 2" xfId="15041"/>
    <cellStyle name="Style 23 4 2 2" xfId="15042"/>
    <cellStyle name="Style 23 4 3" xfId="15043"/>
    <cellStyle name="Style 23 4 3 2" xfId="15044"/>
    <cellStyle name="Style 23 4 4" xfId="15045"/>
    <cellStyle name="Style 23 5" xfId="15046"/>
    <cellStyle name="Style 23 5 2" xfId="15047"/>
    <cellStyle name="Style 23 5 2 2" xfId="15048"/>
    <cellStyle name="Style 23 5 3" xfId="15049"/>
    <cellStyle name="Style 23 5 3 2" xfId="15050"/>
    <cellStyle name="Style 23 5 4" xfId="15051"/>
    <cellStyle name="Style 23 5 4 2" xfId="15052"/>
    <cellStyle name="Style 23 5 5" xfId="15053"/>
    <cellStyle name="Style 23 6" xfId="15054"/>
    <cellStyle name="Style 23 6 2" xfId="15055"/>
    <cellStyle name="Style 23 6 2 2" xfId="15056"/>
    <cellStyle name="Style 23 6 3" xfId="15057"/>
    <cellStyle name="Style 23 6 3 2" xfId="15058"/>
    <cellStyle name="Style 23 6 4" xfId="15059"/>
    <cellStyle name="Style 23 7" xfId="15060"/>
    <cellStyle name="Style 23 7 2" xfId="15061"/>
    <cellStyle name="Style 23 8" xfId="15062"/>
    <cellStyle name="Style 23 8 2" xfId="15063"/>
    <cellStyle name="Style 23 9" xfId="15064"/>
    <cellStyle name="Style 23 9 2" xfId="15065"/>
    <cellStyle name="Style 24 12" xfId="15066"/>
    <cellStyle name="Style 24 10" xfId="15067"/>
    <cellStyle name="Style 24 11" xfId="15068"/>
    <cellStyle name="Style 24 2 6" xfId="15069"/>
    <cellStyle name="Style 24 2 2" xfId="15070"/>
    <cellStyle name="Style 24 2 2 2" xfId="15071"/>
    <cellStyle name="Style 24 2 3" xfId="15072"/>
    <cellStyle name="Style 24 2 3 2" xfId="15073"/>
    <cellStyle name="Style 24 2 4" xfId="15074"/>
    <cellStyle name="Style 24 2 5" xfId="15075"/>
    <cellStyle name="Style 24 3 5" xfId="15076"/>
    <cellStyle name="Style 24 3 2" xfId="15077"/>
    <cellStyle name="Style 24 3 2 2" xfId="15078"/>
    <cellStyle name="Style 24 3 3" xfId="15079"/>
    <cellStyle name="Style 24 3 3 2" xfId="15080"/>
    <cellStyle name="Style 24 3 4" xfId="15081"/>
    <cellStyle name="Style 24 4" xfId="15082"/>
    <cellStyle name="Style 24 4 2" xfId="15083"/>
    <cellStyle name="Style 24 4 2 2" xfId="15084"/>
    <cellStyle name="Style 24 4 3" xfId="15085"/>
    <cellStyle name="Style 24 4 3 2" xfId="15086"/>
    <cellStyle name="Style 24 4 4" xfId="15087"/>
    <cellStyle name="Style 24 5" xfId="15088"/>
    <cellStyle name="Style 24 5 2" xfId="15089"/>
    <cellStyle name="Style 24 5 2 2" xfId="15090"/>
    <cellStyle name="Style 24 5 3" xfId="15091"/>
    <cellStyle name="Style 24 5 3 2" xfId="15092"/>
    <cellStyle name="Style 24 5 4" xfId="15093"/>
    <cellStyle name="Style 24 5 4 2" xfId="15094"/>
    <cellStyle name="Style 24 5 5" xfId="15095"/>
    <cellStyle name="Style 24 6" xfId="15096"/>
    <cellStyle name="Style 24 6 2" xfId="15097"/>
    <cellStyle name="Style 24 6 2 2" xfId="15098"/>
    <cellStyle name="Style 24 6 3" xfId="15099"/>
    <cellStyle name="Style 24 6 3 2" xfId="15100"/>
    <cellStyle name="Style 24 6 4" xfId="15101"/>
    <cellStyle name="Style 24 7" xfId="15102"/>
    <cellStyle name="Style 24 7 2" xfId="15103"/>
    <cellStyle name="Style 24 8" xfId="15104"/>
    <cellStyle name="Style 24 8 2" xfId="15105"/>
    <cellStyle name="Style 24 9" xfId="15106"/>
    <cellStyle name="Style 24 9 2" xfId="15107"/>
    <cellStyle name="Style 25 13" xfId="15108"/>
    <cellStyle name="Style 25 10" xfId="15109"/>
    <cellStyle name="Style 25 10 2" xfId="15110"/>
    <cellStyle name="Style 25 11" xfId="15111"/>
    <cellStyle name="Style 25 12" xfId="15112"/>
    <cellStyle name="Style 25 2 12" xfId="15113"/>
    <cellStyle name="Style 25 2 10" xfId="15114"/>
    <cellStyle name="Style 25 2 11" xfId="15115"/>
    <cellStyle name="Style 25 2 2 6" xfId="15116"/>
    <cellStyle name="Style 25 2 2 2" xfId="15117"/>
    <cellStyle name="Style 25 2 2 2 2" xfId="15118"/>
    <cellStyle name="Style 25 2 2 3" xfId="15119"/>
    <cellStyle name="Style 25 2 2 3 2" xfId="15120"/>
    <cellStyle name="Style 25 2 2 4" xfId="15121"/>
    <cellStyle name="Style 25 2 2 5" xfId="15122"/>
    <cellStyle name="Style 25 2 3" xfId="15123"/>
    <cellStyle name="Style 25 2 3 2" xfId="15124"/>
    <cellStyle name="Style 25 2 3 2 2" xfId="15125"/>
    <cellStyle name="Style 25 2 3 3" xfId="15126"/>
    <cellStyle name="Style 25 2 3 3 2" xfId="15127"/>
    <cellStyle name="Style 25 2 3 4" xfId="15128"/>
    <cellStyle name="Style 25 2 4" xfId="15129"/>
    <cellStyle name="Style 25 2 4 2" xfId="15130"/>
    <cellStyle name="Style 25 2 4 2 2" xfId="15131"/>
    <cellStyle name="Style 25 2 4 3" xfId="15132"/>
    <cellStyle name="Style 25 2 4 3 2" xfId="15133"/>
    <cellStyle name="Style 25 2 4 4" xfId="15134"/>
    <cellStyle name="Style 25 2 5" xfId="15135"/>
    <cellStyle name="Style 25 2 5 2" xfId="15136"/>
    <cellStyle name="Style 25 2 5 2 2" xfId="15137"/>
    <cellStyle name="Style 25 2 5 3" xfId="15138"/>
    <cellStyle name="Style 25 2 5 3 2" xfId="15139"/>
    <cellStyle name="Style 25 2 5 4" xfId="15140"/>
    <cellStyle name="Style 25 2 5 4 2" xfId="15141"/>
    <cellStyle name="Style 25 2 5 5" xfId="15142"/>
    <cellStyle name="Style 25 2 6" xfId="15143"/>
    <cellStyle name="Style 25 2 6 2" xfId="15144"/>
    <cellStyle name="Style 25 2 6 2 2" xfId="15145"/>
    <cellStyle name="Style 25 2 6 3" xfId="15146"/>
    <cellStyle name="Style 25 2 6 3 2" xfId="15147"/>
    <cellStyle name="Style 25 2 6 4" xfId="15148"/>
    <cellStyle name="Style 25 2 7" xfId="15149"/>
    <cellStyle name="Style 25 2 7 2" xfId="15150"/>
    <cellStyle name="Style 25 2 8" xfId="15151"/>
    <cellStyle name="Style 25 2 8 2" xfId="15152"/>
    <cellStyle name="Style 25 2 9" xfId="15153"/>
    <cellStyle name="Style 25 2 9 2" xfId="15154"/>
    <cellStyle name="Style 25 3 6" xfId="15155"/>
    <cellStyle name="Style 25 3 2 3" xfId="15156"/>
    <cellStyle name="Style 25 3 2 2" xfId="15157"/>
    <cellStyle name="Style 25 3 3" xfId="15158"/>
    <cellStyle name="Style 25 3 3 2" xfId="15159"/>
    <cellStyle name="Style 25 3 4" xfId="15160"/>
    <cellStyle name="Style 25 3 5" xfId="15161"/>
    <cellStyle name="Style 25 4 5" xfId="15162"/>
    <cellStyle name="Style 25 4 2" xfId="15163"/>
    <cellStyle name="Style 25 4 2 2" xfId="15164"/>
    <cellStyle name="Style 25 4 3" xfId="15165"/>
    <cellStyle name="Style 25 4 3 2" xfId="15166"/>
    <cellStyle name="Style 25 4 4" xfId="15167"/>
    <cellStyle name="Style 25 5" xfId="15168"/>
    <cellStyle name="Style 25 5 2" xfId="15169"/>
    <cellStyle name="Style 25 5 2 2" xfId="15170"/>
    <cellStyle name="Style 25 5 3" xfId="15171"/>
    <cellStyle name="Style 25 5 3 2" xfId="15172"/>
    <cellStyle name="Style 25 5 4" xfId="15173"/>
    <cellStyle name="Style 25 6" xfId="15174"/>
    <cellStyle name="Style 25 6 2" xfId="15175"/>
    <cellStyle name="Style 25 6 2 2" xfId="15176"/>
    <cellStyle name="Style 25 6 3" xfId="15177"/>
    <cellStyle name="Style 25 6 3 2" xfId="15178"/>
    <cellStyle name="Style 25 6 4" xfId="15179"/>
    <cellStyle name="Style 25 6 4 2" xfId="15180"/>
    <cellStyle name="Style 25 6 5" xfId="15181"/>
    <cellStyle name="Style 25 7" xfId="15182"/>
    <cellStyle name="Style 25 7 2" xfId="15183"/>
    <cellStyle name="Style 25 7 2 2" xfId="15184"/>
    <cellStyle name="Style 25 7 3" xfId="15185"/>
    <cellStyle name="Style 25 7 3 2" xfId="15186"/>
    <cellStyle name="Style 25 7 4" xfId="15187"/>
    <cellStyle name="Style 25 8" xfId="15188"/>
    <cellStyle name="Style 25 8 2" xfId="15189"/>
    <cellStyle name="Style 25 9" xfId="15190"/>
    <cellStyle name="Style 25 9 2" xfId="15191"/>
    <cellStyle name="Style 26 12" xfId="15192"/>
    <cellStyle name="Style 26 10" xfId="15193"/>
    <cellStyle name="Style 26 11" xfId="15194"/>
    <cellStyle name="Style 26 2 6" xfId="15195"/>
    <cellStyle name="Style 26 2 2" xfId="15196"/>
    <cellStyle name="Style 26 2 2 2" xfId="15197"/>
    <cellStyle name="Style 26 2 3" xfId="15198"/>
    <cellStyle name="Style 26 2 3 2" xfId="15199"/>
    <cellStyle name="Style 26 2 4" xfId="15200"/>
    <cellStyle name="Style 26 2 5" xfId="15201"/>
    <cellStyle name="Style 26 3 5" xfId="15202"/>
    <cellStyle name="Style 26 3 2" xfId="15203"/>
    <cellStyle name="Style 26 3 2 2" xfId="15204"/>
    <cellStyle name="Style 26 3 3" xfId="15205"/>
    <cellStyle name="Style 26 3 3 2" xfId="15206"/>
    <cellStyle name="Style 26 3 4" xfId="15207"/>
    <cellStyle name="Style 26 4" xfId="15208"/>
    <cellStyle name="Style 26 4 2" xfId="15209"/>
    <cellStyle name="Style 26 4 2 2" xfId="15210"/>
    <cellStyle name="Style 26 4 3" xfId="15211"/>
    <cellStyle name="Style 26 4 3 2" xfId="15212"/>
    <cellStyle name="Style 26 4 4" xfId="15213"/>
    <cellStyle name="Style 26 5" xfId="15214"/>
    <cellStyle name="Style 26 5 2" xfId="15215"/>
    <cellStyle name="Style 26 5 2 2" xfId="15216"/>
    <cellStyle name="Style 26 5 3" xfId="15217"/>
    <cellStyle name="Style 26 5 3 2" xfId="15218"/>
    <cellStyle name="Style 26 5 4" xfId="15219"/>
    <cellStyle name="Style 26 5 4 2" xfId="15220"/>
    <cellStyle name="Style 26 5 5" xfId="15221"/>
    <cellStyle name="Style 26 6" xfId="15222"/>
    <cellStyle name="Style 26 6 2" xfId="15223"/>
    <cellStyle name="Style 26 6 2 2" xfId="15224"/>
    <cellStyle name="Style 26 6 3" xfId="15225"/>
    <cellStyle name="Style 26 6 3 2" xfId="15226"/>
    <cellStyle name="Style 26 6 4" xfId="15227"/>
    <cellStyle name="Style 26 7" xfId="15228"/>
    <cellStyle name="Style 26 7 2" xfId="15229"/>
    <cellStyle name="Style 26 8" xfId="15230"/>
    <cellStyle name="Style 26 8 2" xfId="15231"/>
    <cellStyle name="Style 26 9" xfId="15232"/>
    <cellStyle name="Style 26 9 2" xfId="15233"/>
    <cellStyle name="tableau | cellule | normal | decimal 1 12" xfId="15234"/>
    <cellStyle name="tableau | cellule | normal | decimal 1 10" xfId="15235"/>
    <cellStyle name="tableau | cellule | normal | decimal 1 11" xfId="15236"/>
    <cellStyle name="tableau | cellule | normal | decimal 1 2" xfId="15237"/>
    <cellStyle name="tableau | cellule | normal | decimal 1 2 2" xfId="15238"/>
    <cellStyle name="tableau | cellule | normal | decimal 1 2 2 2" xfId="15239"/>
    <cellStyle name="tableau | cellule | normal | decimal 1 2 3" xfId="15240"/>
    <cellStyle name="tableau | cellule | normal | decimal 1 2 3 2" xfId="15241"/>
    <cellStyle name="tableau | cellule | normal | decimal 1 2 4" xfId="15242"/>
    <cellStyle name="tableau | cellule | normal | decimal 1 2 5" xfId="15243"/>
    <cellStyle name="tableau | cellule | normal | decimal 1 3" xfId="15244"/>
    <cellStyle name="tableau | cellule | normal | decimal 1 3 2" xfId="15245"/>
    <cellStyle name="tableau | cellule | normal | decimal 1 3 2 2" xfId="15246"/>
    <cellStyle name="tableau | cellule | normal | decimal 1 3 3" xfId="15247"/>
    <cellStyle name="tableau | cellule | normal | decimal 1 3 3 2" xfId="15248"/>
    <cellStyle name="tableau | cellule | normal | decimal 1 3 4" xfId="15249"/>
    <cellStyle name="tableau | cellule | normal | decimal 1 4" xfId="15250"/>
    <cellStyle name="tableau | cellule | normal | decimal 1 4 2" xfId="15251"/>
    <cellStyle name="tableau | cellule | normal | decimal 1 4 2 2" xfId="15252"/>
    <cellStyle name="tableau | cellule | normal | decimal 1 4 3" xfId="15253"/>
    <cellStyle name="tableau | cellule | normal | decimal 1 4 3 2" xfId="15254"/>
    <cellStyle name="tableau | cellule | normal | decimal 1 4 4" xfId="15255"/>
    <cellStyle name="tableau | cellule | normal | decimal 1 5" xfId="15256"/>
    <cellStyle name="tableau | cellule | normal | decimal 1 5 2" xfId="15257"/>
    <cellStyle name="tableau | cellule | normal | decimal 1 5 2 2" xfId="15258"/>
    <cellStyle name="tableau | cellule | normal | decimal 1 5 3" xfId="15259"/>
    <cellStyle name="tableau | cellule | normal | decimal 1 5 3 2" xfId="15260"/>
    <cellStyle name="tableau | cellule | normal | decimal 1 5 4" xfId="15261"/>
    <cellStyle name="tableau | cellule | normal | decimal 1 5 4 2" xfId="15262"/>
    <cellStyle name="tableau | cellule | normal | decimal 1 5 5" xfId="15263"/>
    <cellStyle name="tableau | cellule | normal | decimal 1 6" xfId="15264"/>
    <cellStyle name="tableau | cellule | normal | decimal 1 6 2" xfId="15265"/>
    <cellStyle name="tableau | cellule | normal | decimal 1 6 2 2" xfId="15266"/>
    <cellStyle name="tableau | cellule | normal | decimal 1 6 3" xfId="15267"/>
    <cellStyle name="tableau | cellule | normal | decimal 1 6 3 2" xfId="15268"/>
    <cellStyle name="tableau | cellule | normal | decimal 1 6 4" xfId="15269"/>
    <cellStyle name="tableau | cellule | normal | decimal 1 7" xfId="15270"/>
    <cellStyle name="tableau | cellule | normal | decimal 1 7 2" xfId="15271"/>
    <cellStyle name="tableau | cellule | normal | decimal 1 8" xfId="15272"/>
    <cellStyle name="tableau | cellule | normal | decimal 1 8 2" xfId="15273"/>
    <cellStyle name="tableau | cellule | normal | decimal 1 9" xfId="15274"/>
    <cellStyle name="tableau | cellule | normal | decimal 1 9 2" xfId="15275"/>
    <cellStyle name="tableau | cellule | normal | pourcentage | decimal 1 12" xfId="15276"/>
    <cellStyle name="tableau | cellule | normal | pourcentage | decimal 1 10" xfId="15277"/>
    <cellStyle name="tableau | cellule | normal | pourcentage | decimal 1 11" xfId="15278"/>
    <cellStyle name="tableau | cellule | normal | pourcentage | decimal 1 2" xfId="15279"/>
    <cellStyle name="tableau | cellule | normal | pourcentage | decimal 1 2 2" xfId="15280"/>
    <cellStyle name="tableau | cellule | normal | pourcentage | decimal 1 2 2 2" xfId="15281"/>
    <cellStyle name="tableau | cellule | normal | pourcentage | decimal 1 2 3" xfId="15282"/>
    <cellStyle name="tableau | cellule | normal | pourcentage | decimal 1 2 3 2" xfId="15283"/>
    <cellStyle name="tableau | cellule | normal | pourcentage | decimal 1 2 4" xfId="15284"/>
    <cellStyle name="tableau | cellule | normal | pourcentage | decimal 1 2 5" xfId="15285"/>
    <cellStyle name="tableau | cellule | normal | pourcentage | decimal 1 3" xfId="15286"/>
    <cellStyle name="tableau | cellule | normal | pourcentage | decimal 1 3 2" xfId="15287"/>
    <cellStyle name="tableau | cellule | normal | pourcentage | decimal 1 3 2 2" xfId="15288"/>
    <cellStyle name="tableau | cellule | normal | pourcentage | decimal 1 3 3" xfId="15289"/>
    <cellStyle name="tableau | cellule | normal | pourcentage | decimal 1 3 3 2" xfId="15290"/>
    <cellStyle name="tableau | cellule | normal | pourcentage | decimal 1 3 4" xfId="15291"/>
    <cellStyle name="tableau | cellule | normal | pourcentage | decimal 1 4" xfId="15292"/>
    <cellStyle name="tableau | cellule | normal | pourcentage | decimal 1 4 2" xfId="15293"/>
    <cellStyle name="tableau | cellule | normal | pourcentage | decimal 1 4 2 2" xfId="15294"/>
    <cellStyle name="tableau | cellule | normal | pourcentage | decimal 1 4 3" xfId="15295"/>
    <cellStyle name="tableau | cellule | normal | pourcentage | decimal 1 4 3 2" xfId="15296"/>
    <cellStyle name="tableau | cellule | normal | pourcentage | decimal 1 4 4" xfId="15297"/>
    <cellStyle name="tableau | cellule | normal | pourcentage | decimal 1 5" xfId="15298"/>
    <cellStyle name="tableau | cellule | normal | pourcentage | decimal 1 5 2" xfId="15299"/>
    <cellStyle name="tableau | cellule | normal | pourcentage | decimal 1 5 2 2" xfId="15300"/>
    <cellStyle name="tableau | cellule | normal | pourcentage | decimal 1 5 3" xfId="15301"/>
    <cellStyle name="tableau | cellule | normal | pourcentage | decimal 1 5 3 2" xfId="15302"/>
    <cellStyle name="tableau | cellule | normal | pourcentage | decimal 1 5 4" xfId="15303"/>
    <cellStyle name="tableau | cellule | normal | pourcentage | decimal 1 5 4 2" xfId="15304"/>
    <cellStyle name="tableau | cellule | normal | pourcentage | decimal 1 5 5" xfId="15305"/>
    <cellStyle name="tableau | cellule | normal | pourcentage | decimal 1 6" xfId="15306"/>
    <cellStyle name="tableau | cellule | normal | pourcentage | decimal 1 6 2" xfId="15307"/>
    <cellStyle name="tableau | cellule | normal | pourcentage | decimal 1 6 2 2" xfId="15308"/>
    <cellStyle name="tableau | cellule | normal | pourcentage | decimal 1 6 3" xfId="15309"/>
    <cellStyle name="tableau | cellule | normal | pourcentage | decimal 1 6 3 2" xfId="15310"/>
    <cellStyle name="tableau | cellule | normal | pourcentage | decimal 1 6 4" xfId="15311"/>
    <cellStyle name="tableau | cellule | normal | pourcentage | decimal 1 7" xfId="15312"/>
    <cellStyle name="tableau | cellule | normal | pourcentage | decimal 1 7 2" xfId="15313"/>
    <cellStyle name="tableau | cellule | normal | pourcentage | decimal 1 8" xfId="15314"/>
    <cellStyle name="tableau | cellule | normal | pourcentage | decimal 1 8 2" xfId="15315"/>
    <cellStyle name="tableau | cellule | normal | pourcentage | decimal 1 9" xfId="15316"/>
    <cellStyle name="tableau | cellule | normal | pourcentage | decimal 1 9 2" xfId="15317"/>
    <cellStyle name="tableau | cellule | total | decimal 1 12" xfId="15318"/>
    <cellStyle name="tableau | cellule | total | decimal 1 10" xfId="15319"/>
    <cellStyle name="tableau | cellule | total | decimal 1 11" xfId="15320"/>
    <cellStyle name="tableau | cellule | total | decimal 1 2" xfId="15321"/>
    <cellStyle name="tableau | cellule | total | decimal 1 2 2" xfId="15322"/>
    <cellStyle name="tableau | cellule | total | decimal 1 2 2 2" xfId="15323"/>
    <cellStyle name="tableau | cellule | total | decimal 1 2 3" xfId="15324"/>
    <cellStyle name="tableau | cellule | total | decimal 1 2 3 2" xfId="15325"/>
    <cellStyle name="tableau | cellule | total | decimal 1 2 4" xfId="15326"/>
    <cellStyle name="tableau | cellule | total | decimal 1 2 5" xfId="15327"/>
    <cellStyle name="tableau | cellule | total | decimal 1 3" xfId="15328"/>
    <cellStyle name="tableau | cellule | total | decimal 1 3 2" xfId="15329"/>
    <cellStyle name="tableau | cellule | total | decimal 1 3 2 2" xfId="15330"/>
    <cellStyle name="tableau | cellule | total | decimal 1 3 3" xfId="15331"/>
    <cellStyle name="tableau | cellule | total | decimal 1 3 3 2" xfId="15332"/>
    <cellStyle name="tableau | cellule | total | decimal 1 3 4" xfId="15333"/>
    <cellStyle name="tableau | cellule | total | decimal 1 4" xfId="15334"/>
    <cellStyle name="tableau | cellule | total | decimal 1 4 2" xfId="15335"/>
    <cellStyle name="tableau | cellule | total | decimal 1 4 2 2" xfId="15336"/>
    <cellStyle name="tableau | cellule | total | decimal 1 4 3" xfId="15337"/>
    <cellStyle name="tableau | cellule | total | decimal 1 4 3 2" xfId="15338"/>
    <cellStyle name="tableau | cellule | total | decimal 1 4 4" xfId="15339"/>
    <cellStyle name="tableau | cellule | total | decimal 1 5" xfId="15340"/>
    <cellStyle name="tableau | cellule | total | decimal 1 5 2" xfId="15341"/>
    <cellStyle name="tableau | cellule | total | decimal 1 5 2 2" xfId="15342"/>
    <cellStyle name="tableau | cellule | total | decimal 1 5 3" xfId="15343"/>
    <cellStyle name="tableau | cellule | total | decimal 1 5 3 2" xfId="15344"/>
    <cellStyle name="tableau | cellule | total | decimal 1 5 4" xfId="15345"/>
    <cellStyle name="tableau | cellule | total | decimal 1 5 4 2" xfId="15346"/>
    <cellStyle name="tableau | cellule | total | decimal 1 5 5" xfId="15347"/>
    <cellStyle name="tableau | cellule | total | decimal 1 6" xfId="15348"/>
    <cellStyle name="tableau | cellule | total | decimal 1 6 2" xfId="15349"/>
    <cellStyle name="tableau | cellule | total | decimal 1 6 2 2" xfId="15350"/>
    <cellStyle name="tableau | cellule | total | decimal 1 6 3" xfId="15351"/>
    <cellStyle name="tableau | cellule | total | decimal 1 6 3 2" xfId="15352"/>
    <cellStyle name="tableau | cellule | total | decimal 1 6 4" xfId="15353"/>
    <cellStyle name="tableau | cellule | total | decimal 1 7" xfId="15354"/>
    <cellStyle name="tableau | cellule | total | decimal 1 7 2" xfId="15355"/>
    <cellStyle name="tableau | cellule | total | decimal 1 8" xfId="15356"/>
    <cellStyle name="tableau | cellule | total | decimal 1 8 2" xfId="15357"/>
    <cellStyle name="tableau | cellule | total | decimal 1 9" xfId="15358"/>
    <cellStyle name="tableau | cellule | total | decimal 1 9 2" xfId="15359"/>
    <cellStyle name="tableau | coin superieur gauche 12" xfId="15360"/>
    <cellStyle name="tableau | coin superieur gauche 10" xfId="15361"/>
    <cellStyle name="tableau | coin superieur gauche 11" xfId="15362"/>
    <cellStyle name="tableau | coin superieur gauche 2" xfId="15363"/>
    <cellStyle name="tableau | coin superieur gauche 2 2" xfId="15364"/>
    <cellStyle name="tableau | coin superieur gauche 2 2 2" xfId="15365"/>
    <cellStyle name="tableau | coin superieur gauche 2 3" xfId="15366"/>
    <cellStyle name="tableau | coin superieur gauche 2 3 2" xfId="15367"/>
    <cellStyle name="tableau | coin superieur gauche 2 4" xfId="15368"/>
    <cellStyle name="tableau | coin superieur gauche 2 5" xfId="15369"/>
    <cellStyle name="tableau | coin superieur gauche 3" xfId="15370"/>
    <cellStyle name="tableau | coin superieur gauche 3 2" xfId="15371"/>
    <cellStyle name="tableau | coin superieur gauche 3 2 2" xfId="15372"/>
    <cellStyle name="tableau | coin superieur gauche 3 3" xfId="15373"/>
    <cellStyle name="tableau | coin superieur gauche 3 3 2" xfId="15374"/>
    <cellStyle name="tableau | coin superieur gauche 3 4" xfId="15375"/>
    <cellStyle name="tableau | coin superieur gauche 4" xfId="15376"/>
    <cellStyle name="tableau | coin superieur gauche 4 2" xfId="15377"/>
    <cellStyle name="tableau | coin superieur gauche 4 2 2" xfId="15378"/>
    <cellStyle name="tableau | coin superieur gauche 4 3" xfId="15379"/>
    <cellStyle name="tableau | coin superieur gauche 4 3 2" xfId="15380"/>
    <cellStyle name="tableau | coin superieur gauche 4 4" xfId="15381"/>
    <cellStyle name="tableau | coin superieur gauche 5" xfId="15382"/>
    <cellStyle name="tableau | coin superieur gauche 5 2" xfId="15383"/>
    <cellStyle name="tableau | coin superieur gauche 5 2 2" xfId="15384"/>
    <cellStyle name="tableau | coin superieur gauche 5 3" xfId="15385"/>
    <cellStyle name="tableau | coin superieur gauche 5 3 2" xfId="15386"/>
    <cellStyle name="tableau | coin superieur gauche 5 4" xfId="15387"/>
    <cellStyle name="tableau | coin superieur gauche 5 4 2" xfId="15388"/>
    <cellStyle name="tableau | coin superieur gauche 5 5" xfId="15389"/>
    <cellStyle name="tableau | coin superieur gauche 6" xfId="15390"/>
    <cellStyle name="tableau | coin superieur gauche 6 2" xfId="15391"/>
    <cellStyle name="tableau | coin superieur gauche 6 2 2" xfId="15392"/>
    <cellStyle name="tableau | coin superieur gauche 6 3" xfId="15393"/>
    <cellStyle name="tableau | coin superieur gauche 6 3 2" xfId="15394"/>
    <cellStyle name="tableau | coin superieur gauche 6 4" xfId="15395"/>
    <cellStyle name="tableau | coin superieur gauche 7" xfId="15396"/>
    <cellStyle name="tableau | coin superieur gauche 7 2" xfId="15397"/>
    <cellStyle name="tableau | coin superieur gauche 8" xfId="15398"/>
    <cellStyle name="tableau | coin superieur gauche 8 2" xfId="15399"/>
    <cellStyle name="tableau | coin superieur gauche 9" xfId="15400"/>
    <cellStyle name="tableau | coin superieur gauche 9 2" xfId="15401"/>
    <cellStyle name="tableau | entete-colonne | series 12" xfId="15402"/>
    <cellStyle name="tableau | entete-colonne | series 10" xfId="15403"/>
    <cellStyle name="tableau | entete-colonne | series 11" xfId="15404"/>
    <cellStyle name="tableau | entete-colonne | series 2" xfId="15405"/>
    <cellStyle name="tableau | entete-colonne | series 2 2" xfId="15406"/>
    <cellStyle name="tableau | entete-colonne | series 2 2 2" xfId="15407"/>
    <cellStyle name="tableau | entete-colonne | series 2 3" xfId="15408"/>
    <cellStyle name="tableau | entete-colonne | series 2 3 2" xfId="15409"/>
    <cellStyle name="tableau | entete-colonne | series 2 4" xfId="15410"/>
    <cellStyle name="tableau | entete-colonne | series 2 5" xfId="15411"/>
    <cellStyle name="tableau | entete-colonne | series 3" xfId="15412"/>
    <cellStyle name="tableau | entete-colonne | series 3 2" xfId="15413"/>
    <cellStyle name="tableau | entete-colonne | series 3 2 2" xfId="15414"/>
    <cellStyle name="tableau | entete-colonne | series 3 3" xfId="15415"/>
    <cellStyle name="tableau | entete-colonne | series 3 3 2" xfId="15416"/>
    <cellStyle name="tableau | entete-colonne | series 3 4" xfId="15417"/>
    <cellStyle name="tableau | entete-colonne | series 4" xfId="15418"/>
    <cellStyle name="tableau | entete-colonne | series 4 2" xfId="15419"/>
    <cellStyle name="tableau | entete-colonne | series 4 2 2" xfId="15420"/>
    <cellStyle name="tableau | entete-colonne | series 4 3" xfId="15421"/>
    <cellStyle name="tableau | entete-colonne | series 4 3 2" xfId="15422"/>
    <cellStyle name="tableau | entete-colonne | series 4 4" xfId="15423"/>
    <cellStyle name="tableau | entete-colonne | series 5" xfId="15424"/>
    <cellStyle name="tableau | entete-colonne | series 5 2" xfId="15425"/>
    <cellStyle name="tableau | entete-colonne | series 5 2 2" xfId="15426"/>
    <cellStyle name="tableau | entete-colonne | series 5 3" xfId="15427"/>
    <cellStyle name="tableau | entete-colonne | series 5 3 2" xfId="15428"/>
    <cellStyle name="tableau | entete-colonne | series 5 4" xfId="15429"/>
    <cellStyle name="tableau | entete-colonne | series 5 4 2" xfId="15430"/>
    <cellStyle name="tableau | entete-colonne | series 5 5" xfId="15431"/>
    <cellStyle name="tableau | entete-colonne | series 6" xfId="15432"/>
    <cellStyle name="tableau | entete-colonne | series 6 2" xfId="15433"/>
    <cellStyle name="tableau | entete-colonne | series 6 2 2" xfId="15434"/>
    <cellStyle name="tableau | entete-colonne | series 6 3" xfId="15435"/>
    <cellStyle name="tableau | entete-colonne | series 6 3 2" xfId="15436"/>
    <cellStyle name="tableau | entete-colonne | series 6 4" xfId="15437"/>
    <cellStyle name="tableau | entete-colonne | series 7" xfId="15438"/>
    <cellStyle name="tableau | entete-colonne | series 7 2" xfId="15439"/>
    <cellStyle name="tableau | entete-colonne | series 8" xfId="15440"/>
    <cellStyle name="tableau | entete-colonne | series 8 2" xfId="15441"/>
    <cellStyle name="tableau | entete-colonne | series 9" xfId="15442"/>
    <cellStyle name="tableau | entete-colonne | series 9 2" xfId="15443"/>
    <cellStyle name="tableau | entete-ligne | normal 12" xfId="15444"/>
    <cellStyle name="tableau | entete-ligne | normal 10" xfId="15445"/>
    <cellStyle name="tableau | entete-ligne | normal 11" xfId="15446"/>
    <cellStyle name="tableau | entete-ligne | normal 2" xfId="15447"/>
    <cellStyle name="tableau | entete-ligne | normal 2 2" xfId="15448"/>
    <cellStyle name="tableau | entete-ligne | normal 2 2 2" xfId="15449"/>
    <cellStyle name="tableau | entete-ligne | normal 2 3" xfId="15450"/>
    <cellStyle name="tableau | entete-ligne | normal 2 3 2" xfId="15451"/>
    <cellStyle name="tableau | entete-ligne | normal 2 4" xfId="15452"/>
    <cellStyle name="tableau | entete-ligne | normal 2 5" xfId="15453"/>
    <cellStyle name="tableau | entete-ligne | normal 3" xfId="15454"/>
    <cellStyle name="tableau | entete-ligne | normal 3 2" xfId="15455"/>
    <cellStyle name="tableau | entete-ligne | normal 3 2 2" xfId="15456"/>
    <cellStyle name="tableau | entete-ligne | normal 3 3" xfId="15457"/>
    <cellStyle name="tableau | entete-ligne | normal 3 3 2" xfId="15458"/>
    <cellStyle name="tableau | entete-ligne | normal 3 4" xfId="15459"/>
    <cellStyle name="tableau | entete-ligne | normal 4" xfId="15460"/>
    <cellStyle name="tableau | entete-ligne | normal 4 2" xfId="15461"/>
    <cellStyle name="tableau | entete-ligne | normal 4 2 2" xfId="15462"/>
    <cellStyle name="tableau | entete-ligne | normal 4 3" xfId="15463"/>
    <cellStyle name="tableau | entete-ligne | normal 4 3 2" xfId="15464"/>
    <cellStyle name="tableau | entete-ligne | normal 4 4" xfId="15465"/>
    <cellStyle name="tableau | entete-ligne | normal 5" xfId="15466"/>
    <cellStyle name="tableau | entete-ligne | normal 5 2" xfId="15467"/>
    <cellStyle name="tableau | entete-ligne | normal 5 2 2" xfId="15468"/>
    <cellStyle name="tableau | entete-ligne | normal 5 3" xfId="15469"/>
    <cellStyle name="tableau | entete-ligne | normal 5 3 2" xfId="15470"/>
    <cellStyle name="tableau | entete-ligne | normal 5 4" xfId="15471"/>
    <cellStyle name="tableau | entete-ligne | normal 5 4 2" xfId="15472"/>
    <cellStyle name="tableau | entete-ligne | normal 5 5" xfId="15473"/>
    <cellStyle name="tableau | entete-ligne | normal 6" xfId="15474"/>
    <cellStyle name="tableau | entete-ligne | normal 6 2" xfId="15475"/>
    <cellStyle name="tableau | entete-ligne | normal 6 2 2" xfId="15476"/>
    <cellStyle name="tableau | entete-ligne | normal 6 3" xfId="15477"/>
    <cellStyle name="tableau | entete-ligne | normal 6 3 2" xfId="15478"/>
    <cellStyle name="tableau | entete-ligne | normal 6 4" xfId="15479"/>
    <cellStyle name="tableau | entete-ligne | normal 7" xfId="15480"/>
    <cellStyle name="tableau | entete-ligne | normal 7 2" xfId="15481"/>
    <cellStyle name="tableau | entete-ligne | normal 8" xfId="15482"/>
    <cellStyle name="tableau | entete-ligne | normal 8 2" xfId="15483"/>
    <cellStyle name="tableau | entete-ligne | normal 9" xfId="15484"/>
    <cellStyle name="tableau | entete-ligne | normal 9 2" xfId="15485"/>
    <cellStyle name="tableau | entete-ligne | total 12" xfId="15486"/>
    <cellStyle name="tableau | entete-ligne | total 10" xfId="15487"/>
    <cellStyle name="tableau | entete-ligne | total 11" xfId="15488"/>
    <cellStyle name="tableau | entete-ligne | total 2" xfId="15489"/>
    <cellStyle name="tableau | entete-ligne | total 2 2" xfId="15490"/>
    <cellStyle name="tableau | entete-ligne | total 2 2 2" xfId="15491"/>
    <cellStyle name="tableau | entete-ligne | total 2 3" xfId="15492"/>
    <cellStyle name="tableau | entete-ligne | total 2 3 2" xfId="15493"/>
    <cellStyle name="tableau | entete-ligne | total 2 4" xfId="15494"/>
    <cellStyle name="tableau | entete-ligne | total 2 5" xfId="15495"/>
    <cellStyle name="tableau | entete-ligne | total 3" xfId="15496"/>
    <cellStyle name="tableau | entete-ligne | total 3 2" xfId="15497"/>
    <cellStyle name="tableau | entete-ligne | total 3 2 2" xfId="15498"/>
    <cellStyle name="tableau | entete-ligne | total 3 3" xfId="15499"/>
    <cellStyle name="tableau | entete-ligne | total 3 3 2" xfId="15500"/>
    <cellStyle name="tableau | entete-ligne | total 3 4" xfId="15501"/>
    <cellStyle name="tableau | entete-ligne | total 4" xfId="15502"/>
    <cellStyle name="tableau | entete-ligne | total 4 2" xfId="15503"/>
    <cellStyle name="tableau | entete-ligne | total 4 2 2" xfId="15504"/>
    <cellStyle name="tableau | entete-ligne | total 4 3" xfId="15505"/>
    <cellStyle name="tableau | entete-ligne | total 4 3 2" xfId="15506"/>
    <cellStyle name="tableau | entete-ligne | total 4 4" xfId="15507"/>
    <cellStyle name="tableau | entete-ligne | total 5" xfId="15508"/>
    <cellStyle name="tableau | entete-ligne | total 5 2" xfId="15509"/>
    <cellStyle name="tableau | entete-ligne | total 5 2 2" xfId="15510"/>
    <cellStyle name="tableau | entete-ligne | total 5 3" xfId="15511"/>
    <cellStyle name="tableau | entete-ligne | total 5 3 2" xfId="15512"/>
    <cellStyle name="tableau | entete-ligne | total 5 4" xfId="15513"/>
    <cellStyle name="tableau | entete-ligne | total 5 4 2" xfId="15514"/>
    <cellStyle name="tableau | entete-ligne | total 5 5" xfId="15515"/>
    <cellStyle name="tableau | entete-ligne | total 6" xfId="15516"/>
    <cellStyle name="tableau | entete-ligne | total 6 2" xfId="15517"/>
    <cellStyle name="tableau | entete-ligne | total 6 2 2" xfId="15518"/>
    <cellStyle name="tableau | entete-ligne | total 6 3" xfId="15519"/>
    <cellStyle name="tableau | entete-ligne | total 6 3 2" xfId="15520"/>
    <cellStyle name="tableau | entete-ligne | total 6 4" xfId="15521"/>
    <cellStyle name="tableau | entete-ligne | total 7" xfId="15522"/>
    <cellStyle name="tableau | entete-ligne | total 7 2" xfId="15523"/>
    <cellStyle name="tableau | entete-ligne | total 8" xfId="15524"/>
    <cellStyle name="tableau | entete-ligne | total 8 2" xfId="15525"/>
    <cellStyle name="tableau | entete-ligne | total 9" xfId="15526"/>
    <cellStyle name="tableau | entete-ligne | total 9 2" xfId="15527"/>
    <cellStyle name="tableau | ligne-titre | niveau1 12" xfId="15528"/>
    <cellStyle name="tableau | ligne-titre | niveau1 10" xfId="15529"/>
    <cellStyle name="tableau | ligne-titre | niveau1 11" xfId="15530"/>
    <cellStyle name="tableau | ligne-titre | niveau1 2" xfId="15531"/>
    <cellStyle name="tableau | ligne-titre | niveau1 2 2" xfId="15532"/>
    <cellStyle name="tableau | ligne-titre | niveau1 2 2 2" xfId="15533"/>
    <cellStyle name="tableau | ligne-titre | niveau1 2 3" xfId="15534"/>
    <cellStyle name="tableau | ligne-titre | niveau1 2 3 2" xfId="15535"/>
    <cellStyle name="tableau | ligne-titre | niveau1 2 4" xfId="15536"/>
    <cellStyle name="tableau | ligne-titre | niveau1 2 5" xfId="15537"/>
    <cellStyle name="tableau | ligne-titre | niveau1 3" xfId="15538"/>
    <cellStyle name="tableau | ligne-titre | niveau1 3 2" xfId="15539"/>
    <cellStyle name="tableau | ligne-titre | niveau1 3 2 2" xfId="15540"/>
    <cellStyle name="tableau | ligne-titre | niveau1 3 3" xfId="15541"/>
    <cellStyle name="tableau | ligne-titre | niveau1 3 3 2" xfId="15542"/>
    <cellStyle name="tableau | ligne-titre | niveau1 3 4" xfId="15543"/>
    <cellStyle name="tableau | ligne-titre | niveau1 4" xfId="15544"/>
    <cellStyle name="tableau | ligne-titre | niveau1 4 2" xfId="15545"/>
    <cellStyle name="tableau | ligne-titre | niveau1 4 2 2" xfId="15546"/>
    <cellStyle name="tableau | ligne-titre | niveau1 4 3" xfId="15547"/>
    <cellStyle name="tableau | ligne-titre | niveau1 4 3 2" xfId="15548"/>
    <cellStyle name="tableau | ligne-titre | niveau1 4 4" xfId="15549"/>
    <cellStyle name="tableau | ligne-titre | niveau1 5" xfId="15550"/>
    <cellStyle name="tableau | ligne-titre | niveau1 5 2" xfId="15551"/>
    <cellStyle name="tableau | ligne-titre | niveau1 5 2 2" xfId="15552"/>
    <cellStyle name="tableau | ligne-titre | niveau1 5 3" xfId="15553"/>
    <cellStyle name="tableau | ligne-titre | niveau1 5 3 2" xfId="15554"/>
    <cellStyle name="tableau | ligne-titre | niveau1 5 4" xfId="15555"/>
    <cellStyle name="tableau | ligne-titre | niveau1 5 4 2" xfId="15556"/>
    <cellStyle name="tableau | ligne-titre | niveau1 5 5" xfId="15557"/>
    <cellStyle name="tableau | ligne-titre | niveau1 6" xfId="15558"/>
    <cellStyle name="tableau | ligne-titre | niveau1 6 2" xfId="15559"/>
    <cellStyle name="tableau | ligne-titre | niveau1 6 2 2" xfId="15560"/>
    <cellStyle name="tableau | ligne-titre | niveau1 6 3" xfId="15561"/>
    <cellStyle name="tableau | ligne-titre | niveau1 6 3 2" xfId="15562"/>
    <cellStyle name="tableau | ligne-titre | niveau1 6 4" xfId="15563"/>
    <cellStyle name="tableau | ligne-titre | niveau1 7" xfId="15564"/>
    <cellStyle name="tableau | ligne-titre | niveau1 7 2" xfId="15565"/>
    <cellStyle name="tableau | ligne-titre | niveau1 8" xfId="15566"/>
    <cellStyle name="tableau | ligne-titre | niveau1 8 2" xfId="15567"/>
    <cellStyle name="tableau | ligne-titre | niveau1 9" xfId="15568"/>
    <cellStyle name="tableau | ligne-titre | niveau1 9 2" xfId="15569"/>
    <cellStyle name="tableau | ligne-titre | niveau2 12" xfId="15570"/>
    <cellStyle name="tableau | ligne-titre | niveau2 10" xfId="15571"/>
    <cellStyle name="tableau | ligne-titre | niveau2 11" xfId="15572"/>
    <cellStyle name="tableau | ligne-titre | niveau2 2" xfId="15573"/>
    <cellStyle name="tableau | ligne-titre | niveau2 2 2" xfId="15574"/>
    <cellStyle name="tableau | ligne-titre | niveau2 2 2 2" xfId="15575"/>
    <cellStyle name="tableau | ligne-titre | niveau2 2 3" xfId="15576"/>
    <cellStyle name="tableau | ligne-titre | niveau2 2 3 2" xfId="15577"/>
    <cellStyle name="tableau | ligne-titre | niveau2 2 4" xfId="15578"/>
    <cellStyle name="tableau | ligne-titre | niveau2 2 5" xfId="15579"/>
    <cellStyle name="tableau | ligne-titre | niveau2 3" xfId="15580"/>
    <cellStyle name="tableau | ligne-titre | niveau2 3 2" xfId="15581"/>
    <cellStyle name="tableau | ligne-titre | niveau2 3 2 2" xfId="15582"/>
    <cellStyle name="tableau | ligne-titre | niveau2 3 3" xfId="15583"/>
    <cellStyle name="tableau | ligne-titre | niveau2 3 3 2" xfId="15584"/>
    <cellStyle name="tableau | ligne-titre | niveau2 3 4" xfId="15585"/>
    <cellStyle name="tableau | ligne-titre | niveau2 4" xfId="15586"/>
    <cellStyle name="tableau | ligne-titre | niveau2 4 2" xfId="15587"/>
    <cellStyle name="tableau | ligne-titre | niveau2 4 2 2" xfId="15588"/>
    <cellStyle name="tableau | ligne-titre | niveau2 4 3" xfId="15589"/>
    <cellStyle name="tableau | ligne-titre | niveau2 4 3 2" xfId="15590"/>
    <cellStyle name="tableau | ligne-titre | niveau2 4 4" xfId="15591"/>
    <cellStyle name="tableau | ligne-titre | niveau2 5" xfId="15592"/>
    <cellStyle name="tableau | ligne-titre | niveau2 5 2" xfId="15593"/>
    <cellStyle name="tableau | ligne-titre | niveau2 5 2 2" xfId="15594"/>
    <cellStyle name="tableau | ligne-titre | niveau2 5 3" xfId="15595"/>
    <cellStyle name="tableau | ligne-titre | niveau2 5 3 2" xfId="15596"/>
    <cellStyle name="tableau | ligne-titre | niveau2 5 4" xfId="15597"/>
    <cellStyle name="tableau | ligne-titre | niveau2 5 4 2" xfId="15598"/>
    <cellStyle name="tableau | ligne-titre | niveau2 5 5" xfId="15599"/>
    <cellStyle name="tableau | ligne-titre | niveau2 6" xfId="15600"/>
    <cellStyle name="tableau | ligne-titre | niveau2 6 2" xfId="15601"/>
    <cellStyle name="tableau | ligne-titre | niveau2 6 2 2" xfId="15602"/>
    <cellStyle name="tableau | ligne-titre | niveau2 6 3" xfId="15603"/>
    <cellStyle name="tableau | ligne-titre | niveau2 6 3 2" xfId="15604"/>
    <cellStyle name="tableau | ligne-titre | niveau2 6 4" xfId="15605"/>
    <cellStyle name="tableau | ligne-titre | niveau2 7" xfId="15606"/>
    <cellStyle name="tableau | ligne-titre | niveau2 7 2" xfId="15607"/>
    <cellStyle name="tableau | ligne-titre | niveau2 8" xfId="15608"/>
    <cellStyle name="tableau | ligne-titre | niveau2 8 2" xfId="15609"/>
    <cellStyle name="tableau | ligne-titre | niveau2 9" xfId="15610"/>
    <cellStyle name="tableau | ligne-titre | niveau2 9 2" xfId="15611"/>
    <cellStyle name="Title 10 12" xfId="15612"/>
    <cellStyle name="Title 10 10" xfId="15613"/>
    <cellStyle name="Title 10 11" xfId="15614"/>
    <cellStyle name="Title 10 2" xfId="15615"/>
    <cellStyle name="Title 10 2 2" xfId="15616"/>
    <cellStyle name="Title 10 2 2 2" xfId="15617"/>
    <cellStyle name="Title 10 2 3" xfId="15618"/>
    <cellStyle name="Title 10 2 3 2" xfId="15619"/>
    <cellStyle name="Title 10 2 4" xfId="15620"/>
    <cellStyle name="Title 10 2 5" xfId="15621"/>
    <cellStyle name="Title 10 3" xfId="15622"/>
    <cellStyle name="Title 10 3 2" xfId="15623"/>
    <cellStyle name="Title 10 3 2 2" xfId="15624"/>
    <cellStyle name="Title 10 3 3" xfId="15625"/>
    <cellStyle name="Title 10 3 3 2" xfId="15626"/>
    <cellStyle name="Title 10 3 4" xfId="15627"/>
    <cellStyle name="Title 10 4" xfId="15628"/>
    <cellStyle name="Title 10 4 2" xfId="15629"/>
    <cellStyle name="Title 10 4 2 2" xfId="15630"/>
    <cellStyle name="Title 10 4 3" xfId="15631"/>
    <cellStyle name="Title 10 4 3 2" xfId="15632"/>
    <cellStyle name="Title 10 4 4" xfId="15633"/>
    <cellStyle name="Title 10 5" xfId="15634"/>
    <cellStyle name="Title 10 5 2" xfId="15635"/>
    <cellStyle name="Title 10 5 2 2" xfId="15636"/>
    <cellStyle name="Title 10 5 3" xfId="15637"/>
    <cellStyle name="Title 10 5 3 2" xfId="15638"/>
    <cellStyle name="Title 10 5 4" xfId="15639"/>
    <cellStyle name="Title 10 5 4 2" xfId="15640"/>
    <cellStyle name="Title 10 5 5" xfId="15641"/>
    <cellStyle name="Title 10 6" xfId="15642"/>
    <cellStyle name="Title 10 6 2" xfId="15643"/>
    <cellStyle name="Title 10 6 2 2" xfId="15644"/>
    <cellStyle name="Title 10 6 3" xfId="15645"/>
    <cellStyle name="Title 10 6 3 2" xfId="15646"/>
    <cellStyle name="Title 10 6 4" xfId="15647"/>
    <cellStyle name="Title 10 7" xfId="15648"/>
    <cellStyle name="Title 10 7 2" xfId="15649"/>
    <cellStyle name="Title 10 8" xfId="15650"/>
    <cellStyle name="Title 10 8 2" xfId="15651"/>
    <cellStyle name="Title 10 9" xfId="15652"/>
    <cellStyle name="Title 10 9 2" xfId="15653"/>
    <cellStyle name="Title 11 12" xfId="15654"/>
    <cellStyle name="Title 11 10" xfId="15655"/>
    <cellStyle name="Title 11 11" xfId="15656"/>
    <cellStyle name="Title 11 2" xfId="15657"/>
    <cellStyle name="Title 11 2 2" xfId="15658"/>
    <cellStyle name="Title 11 2 2 2" xfId="15659"/>
    <cellStyle name="Title 11 2 3" xfId="15660"/>
    <cellStyle name="Title 11 2 3 2" xfId="15661"/>
    <cellStyle name="Title 11 2 4" xfId="15662"/>
    <cellStyle name="Title 11 2 5" xfId="15663"/>
    <cellStyle name="Title 11 3" xfId="15664"/>
    <cellStyle name="Title 11 3 2" xfId="15665"/>
    <cellStyle name="Title 11 3 2 2" xfId="15666"/>
    <cellStyle name="Title 11 3 3" xfId="15667"/>
    <cellStyle name="Title 11 3 3 2" xfId="15668"/>
    <cellStyle name="Title 11 3 4" xfId="15669"/>
    <cellStyle name="Title 11 4" xfId="15670"/>
    <cellStyle name="Title 11 4 2" xfId="15671"/>
    <cellStyle name="Title 11 4 2 2" xfId="15672"/>
    <cellStyle name="Title 11 4 3" xfId="15673"/>
    <cellStyle name="Title 11 4 3 2" xfId="15674"/>
    <cellStyle name="Title 11 4 4" xfId="15675"/>
    <cellStyle name="Title 11 5" xfId="15676"/>
    <cellStyle name="Title 11 5 2" xfId="15677"/>
    <cellStyle name="Title 11 5 2 2" xfId="15678"/>
    <cellStyle name="Title 11 5 3" xfId="15679"/>
    <cellStyle name="Title 11 5 3 2" xfId="15680"/>
    <cellStyle name="Title 11 5 4" xfId="15681"/>
    <cellStyle name="Title 11 5 4 2" xfId="15682"/>
    <cellStyle name="Title 11 5 5" xfId="15683"/>
    <cellStyle name="Title 11 6" xfId="15684"/>
    <cellStyle name="Title 11 6 2" xfId="15685"/>
    <cellStyle name="Title 11 6 2 2" xfId="15686"/>
    <cellStyle name="Title 11 6 3" xfId="15687"/>
    <cellStyle name="Title 11 6 3 2" xfId="15688"/>
    <cellStyle name="Title 11 6 4" xfId="15689"/>
    <cellStyle name="Title 11 7" xfId="15690"/>
    <cellStyle name="Title 11 7 2" xfId="15691"/>
    <cellStyle name="Title 11 8" xfId="15692"/>
    <cellStyle name="Title 11 8 2" xfId="15693"/>
    <cellStyle name="Title 11 9" xfId="15694"/>
    <cellStyle name="Title 11 9 2" xfId="15695"/>
    <cellStyle name="Title 12 12" xfId="15696"/>
    <cellStyle name="Title 12 10" xfId="15697"/>
    <cellStyle name="Title 12 11" xfId="15698"/>
    <cellStyle name="Title 12 2" xfId="15699"/>
    <cellStyle name="Title 12 2 2" xfId="15700"/>
    <cellStyle name="Title 12 2 2 2" xfId="15701"/>
    <cellStyle name="Title 12 2 3" xfId="15702"/>
    <cellStyle name="Title 12 2 3 2" xfId="15703"/>
    <cellStyle name="Title 12 2 4" xfId="15704"/>
    <cellStyle name="Title 12 2 5" xfId="15705"/>
    <cellStyle name="Title 12 3" xfId="15706"/>
    <cellStyle name="Title 12 3 2" xfId="15707"/>
    <cellStyle name="Title 12 3 2 2" xfId="15708"/>
    <cellStyle name="Title 12 3 3" xfId="15709"/>
    <cellStyle name="Title 12 3 3 2" xfId="15710"/>
    <cellStyle name="Title 12 3 4" xfId="15711"/>
    <cellStyle name="Title 12 4" xfId="15712"/>
    <cellStyle name="Title 12 4 2" xfId="15713"/>
    <cellStyle name="Title 12 4 2 2" xfId="15714"/>
    <cellStyle name="Title 12 4 3" xfId="15715"/>
    <cellStyle name="Title 12 4 3 2" xfId="15716"/>
    <cellStyle name="Title 12 4 4" xfId="15717"/>
    <cellStyle name="Title 12 5" xfId="15718"/>
    <cellStyle name="Title 12 5 2" xfId="15719"/>
    <cellStyle name="Title 12 5 2 2" xfId="15720"/>
    <cellStyle name="Title 12 5 3" xfId="15721"/>
    <cellStyle name="Title 12 5 3 2" xfId="15722"/>
    <cellStyle name="Title 12 5 4" xfId="15723"/>
    <cellStyle name="Title 12 5 4 2" xfId="15724"/>
    <cellStyle name="Title 12 5 5" xfId="15725"/>
    <cellStyle name="Title 12 6" xfId="15726"/>
    <cellStyle name="Title 12 6 2" xfId="15727"/>
    <cellStyle name="Title 12 6 2 2" xfId="15728"/>
    <cellStyle name="Title 12 6 3" xfId="15729"/>
    <cellStyle name="Title 12 6 3 2" xfId="15730"/>
    <cellStyle name="Title 12 6 4" xfId="15731"/>
    <cellStyle name="Title 12 7" xfId="15732"/>
    <cellStyle name="Title 12 7 2" xfId="15733"/>
    <cellStyle name="Title 12 8" xfId="15734"/>
    <cellStyle name="Title 12 8 2" xfId="15735"/>
    <cellStyle name="Title 12 9" xfId="15736"/>
    <cellStyle name="Title 12 9 2" xfId="15737"/>
    <cellStyle name="Title 13 12" xfId="15738"/>
    <cellStyle name="Title 13 10" xfId="15739"/>
    <cellStyle name="Title 13 11" xfId="15740"/>
    <cellStyle name="Title 13 2" xfId="15741"/>
    <cellStyle name="Title 13 2 2" xfId="15742"/>
    <cellStyle name="Title 13 2 2 2" xfId="15743"/>
    <cellStyle name="Title 13 2 3" xfId="15744"/>
    <cellStyle name="Title 13 2 3 2" xfId="15745"/>
    <cellStyle name="Title 13 2 4" xfId="15746"/>
    <cellStyle name="Title 13 2 5" xfId="15747"/>
    <cellStyle name="Title 13 3" xfId="15748"/>
    <cellStyle name="Title 13 3 2" xfId="15749"/>
    <cellStyle name="Title 13 3 2 2" xfId="15750"/>
    <cellStyle name="Title 13 3 3" xfId="15751"/>
    <cellStyle name="Title 13 3 3 2" xfId="15752"/>
    <cellStyle name="Title 13 3 4" xfId="15753"/>
    <cellStyle name="Title 13 4" xfId="15754"/>
    <cellStyle name="Title 13 4 2" xfId="15755"/>
    <cellStyle name="Title 13 4 2 2" xfId="15756"/>
    <cellStyle name="Title 13 4 3" xfId="15757"/>
    <cellStyle name="Title 13 4 3 2" xfId="15758"/>
    <cellStyle name="Title 13 4 4" xfId="15759"/>
    <cellStyle name="Title 13 5" xfId="15760"/>
    <cellStyle name="Title 13 5 2" xfId="15761"/>
    <cellStyle name="Title 13 5 2 2" xfId="15762"/>
    <cellStyle name="Title 13 5 3" xfId="15763"/>
    <cellStyle name="Title 13 5 3 2" xfId="15764"/>
    <cellStyle name="Title 13 5 4" xfId="15765"/>
    <cellStyle name="Title 13 5 4 2" xfId="15766"/>
    <cellStyle name="Title 13 5 5" xfId="15767"/>
    <cellStyle name="Title 13 6" xfId="15768"/>
    <cellStyle name="Title 13 6 2" xfId="15769"/>
    <cellStyle name="Title 13 6 2 2" xfId="15770"/>
    <cellStyle name="Title 13 6 3" xfId="15771"/>
    <cellStyle name="Title 13 6 3 2" xfId="15772"/>
    <cellStyle name="Title 13 6 4" xfId="15773"/>
    <cellStyle name="Title 13 7" xfId="15774"/>
    <cellStyle name="Title 13 7 2" xfId="15775"/>
    <cellStyle name="Title 13 8" xfId="15776"/>
    <cellStyle name="Title 13 8 2" xfId="15777"/>
    <cellStyle name="Title 13 9" xfId="15778"/>
    <cellStyle name="Title 13 9 2" xfId="15779"/>
    <cellStyle name="Title 14 12" xfId="15780"/>
    <cellStyle name="Title 14 10" xfId="15781"/>
    <cellStyle name="Title 14 11" xfId="15782"/>
    <cellStyle name="Title 14 2" xfId="15783"/>
    <cellStyle name="Title 14 2 2" xfId="15784"/>
    <cellStyle name="Title 14 2 2 2" xfId="15785"/>
    <cellStyle name="Title 14 2 3" xfId="15786"/>
    <cellStyle name="Title 14 2 3 2" xfId="15787"/>
    <cellStyle name="Title 14 2 4" xfId="15788"/>
    <cellStyle name="Title 14 2 5" xfId="15789"/>
    <cellStyle name="Title 14 3" xfId="15790"/>
    <cellStyle name="Title 14 3 2" xfId="15791"/>
    <cellStyle name="Title 14 3 2 2" xfId="15792"/>
    <cellStyle name="Title 14 3 3" xfId="15793"/>
    <cellStyle name="Title 14 3 3 2" xfId="15794"/>
    <cellStyle name="Title 14 3 4" xfId="15795"/>
    <cellStyle name="Title 14 4" xfId="15796"/>
    <cellStyle name="Title 14 4 2" xfId="15797"/>
    <cellStyle name="Title 14 4 2 2" xfId="15798"/>
    <cellStyle name="Title 14 4 3" xfId="15799"/>
    <cellStyle name="Title 14 4 3 2" xfId="15800"/>
    <cellStyle name="Title 14 4 4" xfId="15801"/>
    <cellStyle name="Title 14 5" xfId="15802"/>
    <cellStyle name="Title 14 5 2" xfId="15803"/>
    <cellStyle name="Title 14 5 2 2" xfId="15804"/>
    <cellStyle name="Title 14 5 3" xfId="15805"/>
    <cellStyle name="Title 14 5 3 2" xfId="15806"/>
    <cellStyle name="Title 14 5 4" xfId="15807"/>
    <cellStyle name="Title 14 5 4 2" xfId="15808"/>
    <cellStyle name="Title 14 5 5" xfId="15809"/>
    <cellStyle name="Title 14 6" xfId="15810"/>
    <cellStyle name="Title 14 6 2" xfId="15811"/>
    <cellStyle name="Title 14 6 2 2" xfId="15812"/>
    <cellStyle name="Title 14 6 3" xfId="15813"/>
    <cellStyle name="Title 14 6 3 2" xfId="15814"/>
    <cellStyle name="Title 14 6 4" xfId="15815"/>
    <cellStyle name="Title 14 7" xfId="15816"/>
    <cellStyle name="Title 14 7 2" xfId="15817"/>
    <cellStyle name="Title 14 8" xfId="15818"/>
    <cellStyle name="Title 14 8 2" xfId="15819"/>
    <cellStyle name="Title 14 9" xfId="15820"/>
    <cellStyle name="Title 14 9 2" xfId="15821"/>
    <cellStyle name="Title 15 12" xfId="15822"/>
    <cellStyle name="Title 15 10" xfId="15823"/>
    <cellStyle name="Title 15 11" xfId="15824"/>
    <cellStyle name="Title 15 2" xfId="15825"/>
    <cellStyle name="Title 15 2 2" xfId="15826"/>
    <cellStyle name="Title 15 2 2 2" xfId="15827"/>
    <cellStyle name="Title 15 2 3" xfId="15828"/>
    <cellStyle name="Title 15 2 3 2" xfId="15829"/>
    <cellStyle name="Title 15 2 4" xfId="15830"/>
    <cellStyle name="Title 15 2 5" xfId="15831"/>
    <cellStyle name="Title 15 3" xfId="15832"/>
    <cellStyle name="Title 15 3 2" xfId="15833"/>
    <cellStyle name="Title 15 3 2 2" xfId="15834"/>
    <cellStyle name="Title 15 3 3" xfId="15835"/>
    <cellStyle name="Title 15 3 3 2" xfId="15836"/>
    <cellStyle name="Title 15 3 4" xfId="15837"/>
    <cellStyle name="Title 15 4" xfId="15838"/>
    <cellStyle name="Title 15 4 2" xfId="15839"/>
    <cellStyle name="Title 15 4 2 2" xfId="15840"/>
    <cellStyle name="Title 15 4 3" xfId="15841"/>
    <cellStyle name="Title 15 4 3 2" xfId="15842"/>
    <cellStyle name="Title 15 4 4" xfId="15843"/>
    <cellStyle name="Title 15 5" xfId="15844"/>
    <cellStyle name="Title 15 5 2" xfId="15845"/>
    <cellStyle name="Title 15 5 2 2" xfId="15846"/>
    <cellStyle name="Title 15 5 3" xfId="15847"/>
    <cellStyle name="Title 15 5 3 2" xfId="15848"/>
    <cellStyle name="Title 15 5 4" xfId="15849"/>
    <cellStyle name="Title 15 5 4 2" xfId="15850"/>
    <cellStyle name="Title 15 5 5" xfId="15851"/>
    <cellStyle name="Title 15 6" xfId="15852"/>
    <cellStyle name="Title 15 6 2" xfId="15853"/>
    <cellStyle name="Title 15 6 2 2" xfId="15854"/>
    <cellStyle name="Title 15 6 3" xfId="15855"/>
    <cellStyle name="Title 15 6 3 2" xfId="15856"/>
    <cellStyle name="Title 15 6 4" xfId="15857"/>
    <cellStyle name="Title 15 7" xfId="15858"/>
    <cellStyle name="Title 15 7 2" xfId="15859"/>
    <cellStyle name="Title 15 8" xfId="15860"/>
    <cellStyle name="Title 15 8 2" xfId="15861"/>
    <cellStyle name="Title 15 9" xfId="15862"/>
    <cellStyle name="Title 15 9 2" xfId="15863"/>
    <cellStyle name="Title 16 12" xfId="15864"/>
    <cellStyle name="Title 16 10" xfId="15865"/>
    <cellStyle name="Title 16 11" xfId="15866"/>
    <cellStyle name="Title 16 2" xfId="15867"/>
    <cellStyle name="Title 16 2 2" xfId="15868"/>
    <cellStyle name="Title 16 2 2 2" xfId="15869"/>
    <cellStyle name="Title 16 2 3" xfId="15870"/>
    <cellStyle name="Title 16 2 3 2" xfId="15871"/>
    <cellStyle name="Title 16 2 4" xfId="15872"/>
    <cellStyle name="Title 16 2 5" xfId="15873"/>
    <cellStyle name="Title 16 3" xfId="15874"/>
    <cellStyle name="Title 16 3 2" xfId="15875"/>
    <cellStyle name="Title 16 3 2 2" xfId="15876"/>
    <cellStyle name="Title 16 3 3" xfId="15877"/>
    <cellStyle name="Title 16 3 3 2" xfId="15878"/>
    <cellStyle name="Title 16 3 4" xfId="15879"/>
    <cellStyle name="Title 16 4" xfId="15880"/>
    <cellStyle name="Title 16 4 2" xfId="15881"/>
    <cellStyle name="Title 16 4 2 2" xfId="15882"/>
    <cellStyle name="Title 16 4 3" xfId="15883"/>
    <cellStyle name="Title 16 4 3 2" xfId="15884"/>
    <cellStyle name="Title 16 4 4" xfId="15885"/>
    <cellStyle name="Title 16 5" xfId="15886"/>
    <cellStyle name="Title 16 5 2" xfId="15887"/>
    <cellStyle name="Title 16 5 2 2" xfId="15888"/>
    <cellStyle name="Title 16 5 3" xfId="15889"/>
    <cellStyle name="Title 16 5 3 2" xfId="15890"/>
    <cellStyle name="Title 16 5 4" xfId="15891"/>
    <cellStyle name="Title 16 5 4 2" xfId="15892"/>
    <cellStyle name="Title 16 5 5" xfId="15893"/>
    <cellStyle name="Title 16 6" xfId="15894"/>
    <cellStyle name="Title 16 6 2" xfId="15895"/>
    <cellStyle name="Title 16 6 2 2" xfId="15896"/>
    <cellStyle name="Title 16 6 3" xfId="15897"/>
    <cellStyle name="Title 16 6 3 2" xfId="15898"/>
    <cellStyle name="Title 16 6 4" xfId="15899"/>
    <cellStyle name="Title 16 7" xfId="15900"/>
    <cellStyle name="Title 16 7 2" xfId="15901"/>
    <cellStyle name="Title 16 8" xfId="15902"/>
    <cellStyle name="Title 16 8 2" xfId="15903"/>
    <cellStyle name="Title 16 9" xfId="15904"/>
    <cellStyle name="Title 16 9 2" xfId="15905"/>
    <cellStyle name="Title 17 12" xfId="15906"/>
    <cellStyle name="Title 17 10" xfId="15907"/>
    <cellStyle name="Title 17 11" xfId="15908"/>
    <cellStyle name="Title 17 2" xfId="15909"/>
    <cellStyle name="Title 17 2 2" xfId="15910"/>
    <cellStyle name="Title 17 2 2 2" xfId="15911"/>
    <cellStyle name="Title 17 2 3" xfId="15912"/>
    <cellStyle name="Title 17 2 3 2" xfId="15913"/>
    <cellStyle name="Title 17 2 4" xfId="15914"/>
    <cellStyle name="Title 17 2 5" xfId="15915"/>
    <cellStyle name="Title 17 3" xfId="15916"/>
    <cellStyle name="Title 17 3 2" xfId="15917"/>
    <cellStyle name="Title 17 3 2 2" xfId="15918"/>
    <cellStyle name="Title 17 3 3" xfId="15919"/>
    <cellStyle name="Title 17 3 3 2" xfId="15920"/>
    <cellStyle name="Title 17 3 4" xfId="15921"/>
    <cellStyle name="Title 17 4" xfId="15922"/>
    <cellStyle name="Title 17 4 2" xfId="15923"/>
    <cellStyle name="Title 17 4 2 2" xfId="15924"/>
    <cellStyle name="Title 17 4 3" xfId="15925"/>
    <cellStyle name="Title 17 4 3 2" xfId="15926"/>
    <cellStyle name="Title 17 4 4" xfId="15927"/>
    <cellStyle name="Title 17 5" xfId="15928"/>
    <cellStyle name="Title 17 5 2" xfId="15929"/>
    <cellStyle name="Title 17 5 2 2" xfId="15930"/>
    <cellStyle name="Title 17 5 3" xfId="15931"/>
    <cellStyle name="Title 17 5 3 2" xfId="15932"/>
    <cellStyle name="Title 17 5 4" xfId="15933"/>
    <cellStyle name="Title 17 5 4 2" xfId="15934"/>
    <cellStyle name="Title 17 5 5" xfId="15935"/>
    <cellStyle name="Title 17 6" xfId="15936"/>
    <cellStyle name="Title 17 6 2" xfId="15937"/>
    <cellStyle name="Title 17 6 2 2" xfId="15938"/>
    <cellStyle name="Title 17 6 3" xfId="15939"/>
    <cellStyle name="Title 17 6 3 2" xfId="15940"/>
    <cellStyle name="Title 17 6 4" xfId="15941"/>
    <cellStyle name="Title 17 7" xfId="15942"/>
    <cellStyle name="Title 17 7 2" xfId="15943"/>
    <cellStyle name="Title 17 8" xfId="15944"/>
    <cellStyle name="Title 17 8 2" xfId="15945"/>
    <cellStyle name="Title 17 9" xfId="15946"/>
    <cellStyle name="Title 17 9 2" xfId="15947"/>
    <cellStyle name="Title 18 12" xfId="15948"/>
    <cellStyle name="Title 18 10" xfId="15949"/>
    <cellStyle name="Title 18 11" xfId="15950"/>
    <cellStyle name="Title 18 2" xfId="15951"/>
    <cellStyle name="Title 18 2 2" xfId="15952"/>
    <cellStyle name="Title 18 2 2 2" xfId="15953"/>
    <cellStyle name="Title 18 2 3" xfId="15954"/>
    <cellStyle name="Title 18 2 3 2" xfId="15955"/>
    <cellStyle name="Title 18 2 4" xfId="15956"/>
    <cellStyle name="Title 18 2 5" xfId="15957"/>
    <cellStyle name="Title 18 3" xfId="15958"/>
    <cellStyle name="Title 18 3 2" xfId="15959"/>
    <cellStyle name="Title 18 3 2 2" xfId="15960"/>
    <cellStyle name="Title 18 3 3" xfId="15961"/>
    <cellStyle name="Title 18 3 3 2" xfId="15962"/>
    <cellStyle name="Title 18 3 4" xfId="15963"/>
    <cellStyle name="Title 18 4" xfId="15964"/>
    <cellStyle name="Title 18 4 2" xfId="15965"/>
    <cellStyle name="Title 18 4 2 2" xfId="15966"/>
    <cellStyle name="Title 18 4 3" xfId="15967"/>
    <cellStyle name="Title 18 4 3 2" xfId="15968"/>
    <cellStyle name="Title 18 4 4" xfId="15969"/>
    <cellStyle name="Title 18 5" xfId="15970"/>
    <cellStyle name="Title 18 5 2" xfId="15971"/>
    <cellStyle name="Title 18 5 2 2" xfId="15972"/>
    <cellStyle name="Title 18 5 3" xfId="15973"/>
    <cellStyle name="Title 18 5 3 2" xfId="15974"/>
    <cellStyle name="Title 18 5 4" xfId="15975"/>
    <cellStyle name="Title 18 5 4 2" xfId="15976"/>
    <cellStyle name="Title 18 5 5" xfId="15977"/>
    <cellStyle name="Title 18 6" xfId="15978"/>
    <cellStyle name="Title 18 6 2" xfId="15979"/>
    <cellStyle name="Title 18 6 2 2" xfId="15980"/>
    <cellStyle name="Title 18 6 3" xfId="15981"/>
    <cellStyle name="Title 18 6 3 2" xfId="15982"/>
    <cellStyle name="Title 18 6 4" xfId="15983"/>
    <cellStyle name="Title 18 7" xfId="15984"/>
    <cellStyle name="Title 18 7 2" xfId="15985"/>
    <cellStyle name="Title 18 8" xfId="15986"/>
    <cellStyle name="Title 18 8 2" xfId="15987"/>
    <cellStyle name="Title 18 9" xfId="15988"/>
    <cellStyle name="Title 18 9 2" xfId="15989"/>
    <cellStyle name="Title 19 12" xfId="15990"/>
    <cellStyle name="Title 19 10" xfId="15991"/>
    <cellStyle name="Title 19 11" xfId="15992"/>
    <cellStyle name="Title 19 2" xfId="15993"/>
    <cellStyle name="Title 19 2 2" xfId="15994"/>
    <cellStyle name="Title 19 2 2 2" xfId="15995"/>
    <cellStyle name="Title 19 2 3" xfId="15996"/>
    <cellStyle name="Title 19 2 3 2" xfId="15997"/>
    <cellStyle name="Title 19 2 4" xfId="15998"/>
    <cellStyle name="Title 19 2 5" xfId="15999"/>
    <cellStyle name="Title 19 3" xfId="16000"/>
    <cellStyle name="Title 19 3 2" xfId="16001"/>
    <cellStyle name="Title 19 3 2 2" xfId="16002"/>
    <cellStyle name="Title 19 3 3" xfId="16003"/>
    <cellStyle name="Title 19 3 3 2" xfId="16004"/>
    <cellStyle name="Title 19 3 4" xfId="16005"/>
    <cellStyle name="Title 19 4" xfId="16006"/>
    <cellStyle name="Title 19 4 2" xfId="16007"/>
    <cellStyle name="Title 19 4 2 2" xfId="16008"/>
    <cellStyle name="Title 19 4 3" xfId="16009"/>
    <cellStyle name="Title 19 4 3 2" xfId="16010"/>
    <cellStyle name="Title 19 4 4" xfId="16011"/>
    <cellStyle name="Title 19 5" xfId="16012"/>
    <cellStyle name="Title 19 5 2" xfId="16013"/>
    <cellStyle name="Title 19 5 2 2" xfId="16014"/>
    <cellStyle name="Title 19 5 3" xfId="16015"/>
    <cellStyle name="Title 19 5 3 2" xfId="16016"/>
    <cellStyle name="Title 19 5 4" xfId="16017"/>
    <cellStyle name="Title 19 5 4 2" xfId="16018"/>
    <cellStyle name="Title 19 5 5" xfId="16019"/>
    <cellStyle name="Title 19 6" xfId="16020"/>
    <cellStyle name="Title 19 6 2" xfId="16021"/>
    <cellStyle name="Title 19 6 2 2" xfId="16022"/>
    <cellStyle name="Title 19 6 3" xfId="16023"/>
    <cellStyle name="Title 19 6 3 2" xfId="16024"/>
    <cellStyle name="Title 19 6 4" xfId="16025"/>
    <cellStyle name="Title 19 7" xfId="16026"/>
    <cellStyle name="Title 19 7 2" xfId="16027"/>
    <cellStyle name="Title 19 8" xfId="16028"/>
    <cellStyle name="Title 19 8 2" xfId="16029"/>
    <cellStyle name="Title 19 9" xfId="16030"/>
    <cellStyle name="Title 19 9 2" xfId="16031"/>
    <cellStyle name="Title 2 22" xfId="16032"/>
    <cellStyle name="Title 2 10 11" xfId="16033"/>
    <cellStyle name="Title 2 10 10" xfId="16034"/>
    <cellStyle name="Title 2 10 2" xfId="16035"/>
    <cellStyle name="Title 2 10 2 2" xfId="16036"/>
    <cellStyle name="Title 2 10 2 2 2" xfId="16037"/>
    <cellStyle name="Title 2 10 2 3" xfId="16038"/>
    <cellStyle name="Title 2 10 2 3 2" xfId="16039"/>
    <cellStyle name="Title 2 10 2 4" xfId="16040"/>
    <cellStyle name="Title 2 10 3" xfId="16041"/>
    <cellStyle name="Title 2 10 3 2" xfId="16042"/>
    <cellStyle name="Title 2 10 3 2 2" xfId="16043"/>
    <cellStyle name="Title 2 10 3 3" xfId="16044"/>
    <cellStyle name="Title 2 10 3 3 2" xfId="16045"/>
    <cellStyle name="Title 2 10 3 4" xfId="16046"/>
    <cellStyle name="Title 2 10 4" xfId="16047"/>
    <cellStyle name="Title 2 10 4 2" xfId="16048"/>
    <cellStyle name="Title 2 10 4 2 2" xfId="16049"/>
    <cellStyle name="Title 2 10 4 3" xfId="16050"/>
    <cellStyle name="Title 2 10 4 3 2" xfId="16051"/>
    <cellStyle name="Title 2 10 4 4" xfId="16052"/>
    <cellStyle name="Title 2 10 4 4 2" xfId="16053"/>
    <cellStyle name="Title 2 10 4 5" xfId="16054"/>
    <cellStyle name="Title 2 10 5" xfId="16055"/>
    <cellStyle name="Title 2 10 5 2" xfId="16056"/>
    <cellStyle name="Title 2 10 5 2 2" xfId="16057"/>
    <cellStyle name="Title 2 10 5 3" xfId="16058"/>
    <cellStyle name="Title 2 10 5 3 2" xfId="16059"/>
    <cellStyle name="Title 2 10 5 4" xfId="16060"/>
    <cellStyle name="Title 2 10 6" xfId="16061"/>
    <cellStyle name="Title 2 10 6 2" xfId="16062"/>
    <cellStyle name="Title 2 10 7" xfId="16063"/>
    <cellStyle name="Title 2 10 7 2" xfId="16064"/>
    <cellStyle name="Title 2 10 8" xfId="16065"/>
    <cellStyle name="Title 2 10 8 2" xfId="16066"/>
    <cellStyle name="Title 2 10 9" xfId="16067"/>
    <cellStyle name="Title 2 11" xfId="16068"/>
    <cellStyle name="Title 2 11 10" xfId="16069"/>
    <cellStyle name="Title 2 11 2" xfId="16070"/>
    <cellStyle name="Title 2 11 2 2" xfId="16071"/>
    <cellStyle name="Title 2 11 2 2 2" xfId="16072"/>
    <cellStyle name="Title 2 11 2 3" xfId="16073"/>
    <cellStyle name="Title 2 11 2 3 2" xfId="16074"/>
    <cellStyle name="Title 2 11 2 4" xfId="16075"/>
    <cellStyle name="Title 2 11 3" xfId="16076"/>
    <cellStyle name="Title 2 11 3 2" xfId="16077"/>
    <cellStyle name="Title 2 11 3 2 2" xfId="16078"/>
    <cellStyle name="Title 2 11 3 3" xfId="16079"/>
    <cellStyle name="Title 2 11 3 3 2" xfId="16080"/>
    <cellStyle name="Title 2 11 3 4" xfId="16081"/>
    <cellStyle name="Title 2 11 4" xfId="16082"/>
    <cellStyle name="Title 2 11 4 2" xfId="16083"/>
    <cellStyle name="Title 2 11 4 2 2" xfId="16084"/>
    <cellStyle name="Title 2 11 4 3" xfId="16085"/>
    <cellStyle name="Title 2 11 4 3 2" xfId="16086"/>
    <cellStyle name="Title 2 11 4 4" xfId="16087"/>
    <cellStyle name="Title 2 11 4 4 2" xfId="16088"/>
    <cellStyle name="Title 2 11 4 5" xfId="16089"/>
    <cellStyle name="Title 2 11 5" xfId="16090"/>
    <cellStyle name="Title 2 11 5 2" xfId="16091"/>
    <cellStyle name="Title 2 11 5 2 2" xfId="16092"/>
    <cellStyle name="Title 2 11 5 3" xfId="16093"/>
    <cellStyle name="Title 2 11 5 3 2" xfId="16094"/>
    <cellStyle name="Title 2 11 5 4" xfId="16095"/>
    <cellStyle name="Title 2 11 6" xfId="16096"/>
    <cellStyle name="Title 2 11 6 2" xfId="16097"/>
    <cellStyle name="Title 2 11 7" xfId="16098"/>
    <cellStyle name="Title 2 11 7 2" xfId="16099"/>
    <cellStyle name="Title 2 11 8" xfId="16100"/>
    <cellStyle name="Title 2 11 8 2" xfId="16101"/>
    <cellStyle name="Title 2 11 9" xfId="16102"/>
    <cellStyle name="Title 2 12" xfId="16103"/>
    <cellStyle name="Title 2 12 2" xfId="16104"/>
    <cellStyle name="Title 2 12 2 2" xfId="16105"/>
    <cellStyle name="Title 2 12 3" xfId="16106"/>
    <cellStyle name="Title 2 12 3 2" xfId="16107"/>
    <cellStyle name="Title 2 12 4" xfId="16108"/>
    <cellStyle name="Title 2 12 5" xfId="16109"/>
    <cellStyle name="Title 2 13" xfId="16110"/>
    <cellStyle name="Title 2 13 2" xfId="16111"/>
    <cellStyle name="Title 2 13 2 2" xfId="16112"/>
    <cellStyle name="Title 2 13 3" xfId="16113"/>
    <cellStyle name="Title 2 13 3 2" xfId="16114"/>
    <cellStyle name="Title 2 13 4" xfId="16115"/>
    <cellStyle name="Title 2 14" xfId="16116"/>
    <cellStyle name="Title 2 14 2" xfId="16117"/>
    <cellStyle name="Title 2 14 2 2" xfId="16118"/>
    <cellStyle name="Title 2 14 3" xfId="16119"/>
    <cellStyle name="Title 2 14 3 2" xfId="16120"/>
    <cellStyle name="Title 2 14 4" xfId="16121"/>
    <cellStyle name="Title 2 15" xfId="16122"/>
    <cellStyle name="Title 2 15 2" xfId="16123"/>
    <cellStyle name="Title 2 15 2 2" xfId="16124"/>
    <cellStyle name="Title 2 15 3" xfId="16125"/>
    <cellStyle name="Title 2 15 3 2" xfId="16126"/>
    <cellStyle name="Title 2 15 4" xfId="16127"/>
    <cellStyle name="Title 2 15 4 2" xfId="16128"/>
    <cellStyle name="Title 2 15 5" xfId="16129"/>
    <cellStyle name="Title 2 16" xfId="16130"/>
    <cellStyle name="Title 2 16 2" xfId="16131"/>
    <cellStyle name="Title 2 16 2 2" xfId="16132"/>
    <cellStyle name="Title 2 16 3" xfId="16133"/>
    <cellStyle name="Title 2 16 3 2" xfId="16134"/>
    <cellStyle name="Title 2 16 4" xfId="16135"/>
    <cellStyle name="Title 2 17" xfId="16136"/>
    <cellStyle name="Title 2 17 2" xfId="16137"/>
    <cellStyle name="Title 2 18" xfId="16138"/>
    <cellStyle name="Title 2 18 2" xfId="16139"/>
    <cellStyle name="Title 2 19" xfId="16140"/>
    <cellStyle name="Title 2 19 2" xfId="16141"/>
    <cellStyle name="Title 2 2 11" xfId="16142"/>
    <cellStyle name="Title 2 2 10" xfId="16143"/>
    <cellStyle name="Title 2 2 2" xfId="16144"/>
    <cellStyle name="Title 2 2 2 2" xfId="16145"/>
    <cellStyle name="Title 2 2 2 2 2" xfId="16146"/>
    <cellStyle name="Title 2 2 2 3" xfId="16147"/>
    <cellStyle name="Title 2 2 2 3 2" xfId="16148"/>
    <cellStyle name="Title 2 2 2 4" xfId="16149"/>
    <cellStyle name="Title 2 2 3" xfId="16150"/>
    <cellStyle name="Title 2 2 3 2" xfId="16151"/>
    <cellStyle name="Title 2 2 3 2 2" xfId="16152"/>
    <cellStyle name="Title 2 2 3 3" xfId="16153"/>
    <cellStyle name="Title 2 2 3 3 2" xfId="16154"/>
    <cellStyle name="Title 2 2 3 4" xfId="16155"/>
    <cellStyle name="Title 2 2 4" xfId="16156"/>
    <cellStyle name="Title 2 2 4 2" xfId="16157"/>
    <cellStyle name="Title 2 2 4 2 2" xfId="16158"/>
    <cellStyle name="Title 2 2 4 3" xfId="16159"/>
    <cellStyle name="Title 2 2 4 3 2" xfId="16160"/>
    <cellStyle name="Title 2 2 4 4" xfId="16161"/>
    <cellStyle name="Title 2 2 4 4 2" xfId="16162"/>
    <cellStyle name="Title 2 2 4 5" xfId="16163"/>
    <cellStyle name="Title 2 2 5" xfId="16164"/>
    <cellStyle name="Title 2 2 5 2" xfId="16165"/>
    <cellStyle name="Title 2 2 5 2 2" xfId="16166"/>
    <cellStyle name="Title 2 2 5 3" xfId="16167"/>
    <cellStyle name="Title 2 2 5 3 2" xfId="16168"/>
    <cellStyle name="Title 2 2 5 4" xfId="16169"/>
    <cellStyle name="Title 2 2 6" xfId="16170"/>
    <cellStyle name="Title 2 2 6 2" xfId="16171"/>
    <cellStyle name="Title 2 2 7" xfId="16172"/>
    <cellStyle name="Title 2 2 7 2" xfId="16173"/>
    <cellStyle name="Title 2 2 8" xfId="16174"/>
    <cellStyle name="Title 2 2 8 2" xfId="16175"/>
    <cellStyle name="Title 2 2 9" xfId="16176"/>
    <cellStyle name="Title 2 20" xfId="16177"/>
    <cellStyle name="Title 2 21" xfId="16178"/>
    <cellStyle name="Title 2 3 11" xfId="16179"/>
    <cellStyle name="Title 2 3 10" xfId="16180"/>
    <cellStyle name="Title 2 3 2" xfId="16181"/>
    <cellStyle name="Title 2 3 2 2" xfId="16182"/>
    <cellStyle name="Title 2 3 2 2 2" xfId="16183"/>
    <cellStyle name="Title 2 3 2 3" xfId="16184"/>
    <cellStyle name="Title 2 3 2 3 2" xfId="16185"/>
    <cellStyle name="Title 2 3 2 4" xfId="16186"/>
    <cellStyle name="Title 2 3 3" xfId="16187"/>
    <cellStyle name="Title 2 3 3 2" xfId="16188"/>
    <cellStyle name="Title 2 3 3 2 2" xfId="16189"/>
    <cellStyle name="Title 2 3 3 3" xfId="16190"/>
    <cellStyle name="Title 2 3 3 3 2" xfId="16191"/>
    <cellStyle name="Title 2 3 3 4" xfId="16192"/>
    <cellStyle name="Title 2 3 4" xfId="16193"/>
    <cellStyle name="Title 2 3 4 2" xfId="16194"/>
    <cellStyle name="Title 2 3 4 2 2" xfId="16195"/>
    <cellStyle name="Title 2 3 4 3" xfId="16196"/>
    <cellStyle name="Title 2 3 4 3 2" xfId="16197"/>
    <cellStyle name="Title 2 3 4 4" xfId="16198"/>
    <cellStyle name="Title 2 3 4 4 2" xfId="16199"/>
    <cellStyle name="Title 2 3 4 5" xfId="16200"/>
    <cellStyle name="Title 2 3 5" xfId="16201"/>
    <cellStyle name="Title 2 3 5 2" xfId="16202"/>
    <cellStyle name="Title 2 3 5 2 2" xfId="16203"/>
    <cellStyle name="Title 2 3 5 3" xfId="16204"/>
    <cellStyle name="Title 2 3 5 3 2" xfId="16205"/>
    <cellStyle name="Title 2 3 5 4" xfId="16206"/>
    <cellStyle name="Title 2 3 6" xfId="16207"/>
    <cellStyle name="Title 2 3 6 2" xfId="16208"/>
    <cellStyle name="Title 2 3 7" xfId="16209"/>
    <cellStyle name="Title 2 3 7 2" xfId="16210"/>
    <cellStyle name="Title 2 3 8" xfId="16211"/>
    <cellStyle name="Title 2 3 8 2" xfId="16212"/>
    <cellStyle name="Title 2 3 9" xfId="16213"/>
    <cellStyle name="Title 2 4 11" xfId="16214"/>
    <cellStyle name="Title 2 4 10" xfId="16215"/>
    <cellStyle name="Title 2 4 2" xfId="16216"/>
    <cellStyle name="Title 2 4 2 2" xfId="16217"/>
    <cellStyle name="Title 2 4 2 2 2" xfId="16218"/>
    <cellStyle name="Title 2 4 2 3" xfId="16219"/>
    <cellStyle name="Title 2 4 2 3 2" xfId="16220"/>
    <cellStyle name="Title 2 4 2 4" xfId="16221"/>
    <cellStyle name="Title 2 4 3" xfId="16222"/>
    <cellStyle name="Title 2 4 3 2" xfId="16223"/>
    <cellStyle name="Title 2 4 3 2 2" xfId="16224"/>
    <cellStyle name="Title 2 4 3 3" xfId="16225"/>
    <cellStyle name="Title 2 4 3 3 2" xfId="16226"/>
    <cellStyle name="Title 2 4 3 4" xfId="16227"/>
    <cellStyle name="Title 2 4 4" xfId="16228"/>
    <cellStyle name="Title 2 4 4 2" xfId="16229"/>
    <cellStyle name="Title 2 4 4 2 2" xfId="16230"/>
    <cellStyle name="Title 2 4 4 3" xfId="16231"/>
    <cellStyle name="Title 2 4 4 3 2" xfId="16232"/>
    <cellStyle name="Title 2 4 4 4" xfId="16233"/>
    <cellStyle name="Title 2 4 4 4 2" xfId="16234"/>
    <cellStyle name="Title 2 4 4 5" xfId="16235"/>
    <cellStyle name="Title 2 4 5" xfId="16236"/>
    <cellStyle name="Title 2 4 5 2" xfId="16237"/>
    <cellStyle name="Title 2 4 5 2 2" xfId="16238"/>
    <cellStyle name="Title 2 4 5 3" xfId="16239"/>
    <cellStyle name="Title 2 4 5 3 2" xfId="16240"/>
    <cellStyle name="Title 2 4 5 4" xfId="16241"/>
    <cellStyle name="Title 2 4 6" xfId="16242"/>
    <cellStyle name="Title 2 4 6 2" xfId="16243"/>
    <cellStyle name="Title 2 4 7" xfId="16244"/>
    <cellStyle name="Title 2 4 7 2" xfId="16245"/>
    <cellStyle name="Title 2 4 8" xfId="16246"/>
    <cellStyle name="Title 2 4 8 2" xfId="16247"/>
    <cellStyle name="Title 2 4 9" xfId="16248"/>
    <cellStyle name="Title 2 5 11" xfId="16249"/>
    <cellStyle name="Title 2 5 10" xfId="16250"/>
    <cellStyle name="Title 2 5 2" xfId="16251"/>
    <cellStyle name="Title 2 5 2 2" xfId="16252"/>
    <cellStyle name="Title 2 5 2 2 2" xfId="16253"/>
    <cellStyle name="Title 2 5 2 3" xfId="16254"/>
    <cellStyle name="Title 2 5 2 3 2" xfId="16255"/>
    <cellStyle name="Title 2 5 2 4" xfId="16256"/>
    <cellStyle name="Title 2 5 3" xfId="16257"/>
    <cellStyle name="Title 2 5 3 2" xfId="16258"/>
    <cellStyle name="Title 2 5 3 2 2" xfId="16259"/>
    <cellStyle name="Title 2 5 3 3" xfId="16260"/>
    <cellStyle name="Title 2 5 3 3 2" xfId="16261"/>
    <cellStyle name="Title 2 5 3 4" xfId="16262"/>
    <cellStyle name="Title 2 5 4" xfId="16263"/>
    <cellStyle name="Title 2 5 4 2" xfId="16264"/>
    <cellStyle name="Title 2 5 4 2 2" xfId="16265"/>
    <cellStyle name="Title 2 5 4 3" xfId="16266"/>
    <cellStyle name="Title 2 5 4 3 2" xfId="16267"/>
    <cellStyle name="Title 2 5 4 4" xfId="16268"/>
    <cellStyle name="Title 2 5 4 4 2" xfId="16269"/>
    <cellStyle name="Title 2 5 4 5" xfId="16270"/>
    <cellStyle name="Title 2 5 5" xfId="16271"/>
    <cellStyle name="Title 2 5 5 2" xfId="16272"/>
    <cellStyle name="Title 2 5 5 2 2" xfId="16273"/>
    <cellStyle name="Title 2 5 5 3" xfId="16274"/>
    <cellStyle name="Title 2 5 5 3 2" xfId="16275"/>
    <cellStyle name="Title 2 5 5 4" xfId="16276"/>
    <cellStyle name="Title 2 5 6" xfId="16277"/>
    <cellStyle name="Title 2 5 6 2" xfId="16278"/>
    <cellStyle name="Title 2 5 7" xfId="16279"/>
    <cellStyle name="Title 2 5 7 2" xfId="16280"/>
    <cellStyle name="Title 2 5 8" xfId="16281"/>
    <cellStyle name="Title 2 5 8 2" xfId="16282"/>
    <cellStyle name="Title 2 5 9" xfId="16283"/>
    <cellStyle name="Title 2 6 11" xfId="16284"/>
    <cellStyle name="Title 2 6 10" xfId="16285"/>
    <cellStyle name="Title 2 6 2" xfId="16286"/>
    <cellStyle name="Title 2 6 2 2" xfId="16287"/>
    <cellStyle name="Title 2 6 2 2 2" xfId="16288"/>
    <cellStyle name="Title 2 6 2 3" xfId="16289"/>
    <cellStyle name="Title 2 6 2 3 2" xfId="16290"/>
    <cellStyle name="Title 2 6 2 4" xfId="16291"/>
    <cellStyle name="Title 2 6 3" xfId="16292"/>
    <cellStyle name="Title 2 6 3 2" xfId="16293"/>
    <cellStyle name="Title 2 6 3 2 2" xfId="16294"/>
    <cellStyle name="Title 2 6 3 3" xfId="16295"/>
    <cellStyle name="Title 2 6 3 3 2" xfId="16296"/>
    <cellStyle name="Title 2 6 3 4" xfId="16297"/>
    <cellStyle name="Title 2 6 4" xfId="16298"/>
    <cellStyle name="Title 2 6 4 2" xfId="16299"/>
    <cellStyle name="Title 2 6 4 2 2" xfId="16300"/>
    <cellStyle name="Title 2 6 4 3" xfId="16301"/>
    <cellStyle name="Title 2 6 4 3 2" xfId="16302"/>
    <cellStyle name="Title 2 6 4 4" xfId="16303"/>
    <cellStyle name="Title 2 6 4 4 2" xfId="16304"/>
    <cellStyle name="Title 2 6 4 5" xfId="16305"/>
    <cellStyle name="Title 2 6 5" xfId="16306"/>
    <cellStyle name="Title 2 6 5 2" xfId="16307"/>
    <cellStyle name="Title 2 6 5 2 2" xfId="16308"/>
    <cellStyle name="Title 2 6 5 3" xfId="16309"/>
    <cellStyle name="Title 2 6 5 3 2" xfId="16310"/>
    <cellStyle name="Title 2 6 5 4" xfId="16311"/>
    <cellStyle name="Title 2 6 6" xfId="16312"/>
    <cellStyle name="Title 2 6 6 2" xfId="16313"/>
    <cellStyle name="Title 2 6 7" xfId="16314"/>
    <cellStyle name="Title 2 6 7 2" xfId="16315"/>
    <cellStyle name="Title 2 6 8" xfId="16316"/>
    <cellStyle name="Title 2 6 8 2" xfId="16317"/>
    <cellStyle name="Title 2 6 9" xfId="16318"/>
    <cellStyle name="Title 2 7 11" xfId="16319"/>
    <cellStyle name="Title 2 7 10" xfId="16320"/>
    <cellStyle name="Title 2 7 2" xfId="16321"/>
    <cellStyle name="Title 2 7 2 2" xfId="16322"/>
    <cellStyle name="Title 2 7 2 2 2" xfId="16323"/>
    <cellStyle name="Title 2 7 2 3" xfId="16324"/>
    <cellStyle name="Title 2 7 2 3 2" xfId="16325"/>
    <cellStyle name="Title 2 7 2 4" xfId="16326"/>
    <cellStyle name="Title 2 7 3" xfId="16327"/>
    <cellStyle name="Title 2 7 3 2" xfId="16328"/>
    <cellStyle name="Title 2 7 3 2 2" xfId="16329"/>
    <cellStyle name="Title 2 7 3 3" xfId="16330"/>
    <cellStyle name="Title 2 7 3 3 2" xfId="16331"/>
    <cellStyle name="Title 2 7 3 4" xfId="16332"/>
    <cellStyle name="Title 2 7 4" xfId="16333"/>
    <cellStyle name="Title 2 7 4 2" xfId="16334"/>
    <cellStyle name="Title 2 7 4 2 2" xfId="16335"/>
    <cellStyle name="Title 2 7 4 3" xfId="16336"/>
    <cellStyle name="Title 2 7 4 3 2" xfId="16337"/>
    <cellStyle name="Title 2 7 4 4" xfId="16338"/>
    <cellStyle name="Title 2 7 4 4 2" xfId="16339"/>
    <cellStyle name="Title 2 7 4 5" xfId="16340"/>
    <cellStyle name="Title 2 7 5" xfId="16341"/>
    <cellStyle name="Title 2 7 5 2" xfId="16342"/>
    <cellStyle name="Title 2 7 5 2 2" xfId="16343"/>
    <cellStyle name="Title 2 7 5 3" xfId="16344"/>
    <cellStyle name="Title 2 7 5 3 2" xfId="16345"/>
    <cellStyle name="Title 2 7 5 4" xfId="16346"/>
    <cellStyle name="Title 2 7 6" xfId="16347"/>
    <cellStyle name="Title 2 7 6 2" xfId="16348"/>
    <cellStyle name="Title 2 7 7" xfId="16349"/>
    <cellStyle name="Title 2 7 7 2" xfId="16350"/>
    <cellStyle name="Title 2 7 8" xfId="16351"/>
    <cellStyle name="Title 2 7 8 2" xfId="16352"/>
    <cellStyle name="Title 2 7 9" xfId="16353"/>
    <cellStyle name="Title 2 8 11" xfId="16354"/>
    <cellStyle name="Title 2 8 10" xfId="16355"/>
    <cellStyle name="Title 2 8 2" xfId="16356"/>
    <cellStyle name="Title 2 8 2 2" xfId="16357"/>
    <cellStyle name="Title 2 8 2 2 2" xfId="16358"/>
    <cellStyle name="Title 2 8 2 3" xfId="16359"/>
    <cellStyle name="Title 2 8 2 3 2" xfId="16360"/>
    <cellStyle name="Title 2 8 2 4" xfId="16361"/>
    <cellStyle name="Title 2 8 3" xfId="16362"/>
    <cellStyle name="Title 2 8 3 2" xfId="16363"/>
    <cellStyle name="Title 2 8 3 2 2" xfId="16364"/>
    <cellStyle name="Title 2 8 3 3" xfId="16365"/>
    <cellStyle name="Title 2 8 3 3 2" xfId="16366"/>
    <cellStyle name="Title 2 8 3 4" xfId="16367"/>
    <cellStyle name="Title 2 8 4" xfId="16368"/>
    <cellStyle name="Title 2 8 4 2" xfId="16369"/>
    <cellStyle name="Title 2 8 4 2 2" xfId="16370"/>
    <cellStyle name="Title 2 8 4 3" xfId="16371"/>
    <cellStyle name="Title 2 8 4 3 2" xfId="16372"/>
    <cellStyle name="Title 2 8 4 4" xfId="16373"/>
    <cellStyle name="Title 2 8 4 4 2" xfId="16374"/>
    <cellStyle name="Title 2 8 4 5" xfId="16375"/>
    <cellStyle name="Title 2 8 5" xfId="16376"/>
    <cellStyle name="Title 2 8 5 2" xfId="16377"/>
    <cellStyle name="Title 2 8 5 2 2" xfId="16378"/>
    <cellStyle name="Title 2 8 5 3" xfId="16379"/>
    <cellStyle name="Title 2 8 5 3 2" xfId="16380"/>
    <cellStyle name="Title 2 8 5 4" xfId="16381"/>
    <cellStyle name="Title 2 8 6" xfId="16382"/>
    <cellStyle name="Title 2 8 6 2" xfId="16383"/>
    <cellStyle name="Title 2 8 7" xfId="16384"/>
    <cellStyle name="Title 2 8 7 2" xfId="16385"/>
    <cellStyle name="Title 2 8 8" xfId="16386"/>
    <cellStyle name="Title 2 8 8 2" xfId="16387"/>
    <cellStyle name="Title 2 8 9" xfId="16388"/>
    <cellStyle name="Title 2 9 11" xfId="16389"/>
    <cellStyle name="Title 2 9 10" xfId="16390"/>
    <cellStyle name="Title 2 9 2" xfId="16391"/>
    <cellStyle name="Title 2 9 2 2" xfId="16392"/>
    <cellStyle name="Title 2 9 2 2 2" xfId="16393"/>
    <cellStyle name="Title 2 9 2 3" xfId="16394"/>
    <cellStyle name="Title 2 9 2 3 2" xfId="16395"/>
    <cellStyle name="Title 2 9 2 4" xfId="16396"/>
    <cellStyle name="Title 2 9 3" xfId="16397"/>
    <cellStyle name="Title 2 9 3 2" xfId="16398"/>
    <cellStyle name="Title 2 9 3 2 2" xfId="16399"/>
    <cellStyle name="Title 2 9 3 3" xfId="16400"/>
    <cellStyle name="Title 2 9 3 3 2" xfId="16401"/>
    <cellStyle name="Title 2 9 3 4" xfId="16402"/>
    <cellStyle name="Title 2 9 4" xfId="16403"/>
    <cellStyle name="Title 2 9 4 2" xfId="16404"/>
    <cellStyle name="Title 2 9 4 2 2" xfId="16405"/>
    <cellStyle name="Title 2 9 4 3" xfId="16406"/>
    <cellStyle name="Title 2 9 4 3 2" xfId="16407"/>
    <cellStyle name="Title 2 9 4 4" xfId="16408"/>
    <cellStyle name="Title 2 9 4 4 2" xfId="16409"/>
    <cellStyle name="Title 2 9 4 5" xfId="16410"/>
    <cellStyle name="Title 2 9 5" xfId="16411"/>
    <cellStyle name="Title 2 9 5 2" xfId="16412"/>
    <cellStyle name="Title 2 9 5 2 2" xfId="16413"/>
    <cellStyle name="Title 2 9 5 3" xfId="16414"/>
    <cellStyle name="Title 2 9 5 3 2" xfId="16415"/>
    <cellStyle name="Title 2 9 5 4" xfId="16416"/>
    <cellStyle name="Title 2 9 6" xfId="16417"/>
    <cellStyle name="Title 2 9 6 2" xfId="16418"/>
    <cellStyle name="Title 2 9 7" xfId="16419"/>
    <cellStyle name="Title 2 9 7 2" xfId="16420"/>
    <cellStyle name="Title 2 9 8" xfId="16421"/>
    <cellStyle name="Title 2 9 8 2" xfId="16422"/>
    <cellStyle name="Title 2 9 9" xfId="16423"/>
    <cellStyle name="Title 20 12" xfId="16424"/>
    <cellStyle name="Title 20 10" xfId="16425"/>
    <cellStyle name="Title 20 11" xfId="16426"/>
    <cellStyle name="Title 20 2" xfId="16427"/>
    <cellStyle name="Title 20 2 2" xfId="16428"/>
    <cellStyle name="Title 20 2 2 2" xfId="16429"/>
    <cellStyle name="Title 20 2 3" xfId="16430"/>
    <cellStyle name="Title 20 2 3 2" xfId="16431"/>
    <cellStyle name="Title 20 2 4" xfId="16432"/>
    <cellStyle name="Title 20 2 5" xfId="16433"/>
    <cellStyle name="Title 20 3" xfId="16434"/>
    <cellStyle name="Title 20 3 2" xfId="16435"/>
    <cellStyle name="Title 20 3 2 2" xfId="16436"/>
    <cellStyle name="Title 20 3 3" xfId="16437"/>
    <cellStyle name="Title 20 3 3 2" xfId="16438"/>
    <cellStyle name="Title 20 3 4" xfId="16439"/>
    <cellStyle name="Title 20 4" xfId="16440"/>
    <cellStyle name="Title 20 4 2" xfId="16441"/>
    <cellStyle name="Title 20 4 2 2" xfId="16442"/>
    <cellStyle name="Title 20 4 3" xfId="16443"/>
    <cellStyle name="Title 20 4 3 2" xfId="16444"/>
    <cellStyle name="Title 20 4 4" xfId="16445"/>
    <cellStyle name="Title 20 5" xfId="16446"/>
    <cellStyle name="Title 20 5 2" xfId="16447"/>
    <cellStyle name="Title 20 5 2 2" xfId="16448"/>
    <cellStyle name="Title 20 5 3" xfId="16449"/>
    <cellStyle name="Title 20 5 3 2" xfId="16450"/>
    <cellStyle name="Title 20 5 4" xfId="16451"/>
    <cellStyle name="Title 20 5 4 2" xfId="16452"/>
    <cellStyle name="Title 20 5 5" xfId="16453"/>
    <cellStyle name="Title 20 6" xfId="16454"/>
    <cellStyle name="Title 20 6 2" xfId="16455"/>
    <cellStyle name="Title 20 6 2 2" xfId="16456"/>
    <cellStyle name="Title 20 6 3" xfId="16457"/>
    <cellStyle name="Title 20 6 3 2" xfId="16458"/>
    <cellStyle name="Title 20 6 4" xfId="16459"/>
    <cellStyle name="Title 20 7" xfId="16460"/>
    <cellStyle name="Title 20 7 2" xfId="16461"/>
    <cellStyle name="Title 20 8" xfId="16462"/>
    <cellStyle name="Title 20 8 2" xfId="16463"/>
    <cellStyle name="Title 20 9" xfId="16464"/>
    <cellStyle name="Title 20 9 2" xfId="16465"/>
    <cellStyle name="Title 21 12" xfId="16466"/>
    <cellStyle name="Title 21 10" xfId="16467"/>
    <cellStyle name="Title 21 11" xfId="16468"/>
    <cellStyle name="Title 21 2" xfId="16469"/>
    <cellStyle name="Title 21 2 2" xfId="16470"/>
    <cellStyle name="Title 21 2 2 2" xfId="16471"/>
    <cellStyle name="Title 21 2 3" xfId="16472"/>
    <cellStyle name="Title 21 2 3 2" xfId="16473"/>
    <cellStyle name="Title 21 2 4" xfId="16474"/>
    <cellStyle name="Title 21 2 5" xfId="16475"/>
    <cellStyle name="Title 21 3" xfId="16476"/>
    <cellStyle name="Title 21 3 2" xfId="16477"/>
    <cellStyle name="Title 21 3 2 2" xfId="16478"/>
    <cellStyle name="Title 21 3 3" xfId="16479"/>
    <cellStyle name="Title 21 3 3 2" xfId="16480"/>
    <cellStyle name="Title 21 3 4" xfId="16481"/>
    <cellStyle name="Title 21 4" xfId="16482"/>
    <cellStyle name="Title 21 4 2" xfId="16483"/>
    <cellStyle name="Title 21 4 2 2" xfId="16484"/>
    <cellStyle name="Title 21 4 3" xfId="16485"/>
    <cellStyle name="Title 21 4 3 2" xfId="16486"/>
    <cellStyle name="Title 21 4 4" xfId="16487"/>
    <cellStyle name="Title 21 5" xfId="16488"/>
    <cellStyle name="Title 21 5 2" xfId="16489"/>
    <cellStyle name="Title 21 5 2 2" xfId="16490"/>
    <cellStyle name="Title 21 5 3" xfId="16491"/>
    <cellStyle name="Title 21 5 3 2" xfId="16492"/>
    <cellStyle name="Title 21 5 4" xfId="16493"/>
    <cellStyle name="Title 21 5 4 2" xfId="16494"/>
    <cellStyle name="Title 21 5 5" xfId="16495"/>
    <cellStyle name="Title 21 6" xfId="16496"/>
    <cellStyle name="Title 21 6 2" xfId="16497"/>
    <cellStyle name="Title 21 6 2 2" xfId="16498"/>
    <cellStyle name="Title 21 6 3" xfId="16499"/>
    <cellStyle name="Title 21 6 3 2" xfId="16500"/>
    <cellStyle name="Title 21 6 4" xfId="16501"/>
    <cellStyle name="Title 21 7" xfId="16502"/>
    <cellStyle name="Title 21 7 2" xfId="16503"/>
    <cellStyle name="Title 21 8" xfId="16504"/>
    <cellStyle name="Title 21 8 2" xfId="16505"/>
    <cellStyle name="Title 21 9" xfId="16506"/>
    <cellStyle name="Title 21 9 2" xfId="16507"/>
    <cellStyle name="Title 22 12" xfId="16508"/>
    <cellStyle name="Title 22 10" xfId="16509"/>
    <cellStyle name="Title 22 11" xfId="16510"/>
    <cellStyle name="Title 22 2" xfId="16511"/>
    <cellStyle name="Title 22 2 2" xfId="16512"/>
    <cellStyle name="Title 22 2 2 2" xfId="16513"/>
    <cellStyle name="Title 22 2 3" xfId="16514"/>
    <cellStyle name="Title 22 2 3 2" xfId="16515"/>
    <cellStyle name="Title 22 2 4" xfId="16516"/>
    <cellStyle name="Title 22 2 5" xfId="16517"/>
    <cellStyle name="Title 22 3" xfId="16518"/>
    <cellStyle name="Title 22 3 2" xfId="16519"/>
    <cellStyle name="Title 22 3 2 2" xfId="16520"/>
    <cellStyle name="Title 22 3 3" xfId="16521"/>
    <cellStyle name="Title 22 3 3 2" xfId="16522"/>
    <cellStyle name="Title 22 3 4" xfId="16523"/>
    <cellStyle name="Title 22 4" xfId="16524"/>
    <cellStyle name="Title 22 4 2" xfId="16525"/>
    <cellStyle name="Title 22 4 2 2" xfId="16526"/>
    <cellStyle name="Title 22 4 3" xfId="16527"/>
    <cellStyle name="Title 22 4 3 2" xfId="16528"/>
    <cellStyle name="Title 22 4 4" xfId="16529"/>
    <cellStyle name="Title 22 5" xfId="16530"/>
    <cellStyle name="Title 22 5 2" xfId="16531"/>
    <cellStyle name="Title 22 5 2 2" xfId="16532"/>
    <cellStyle name="Title 22 5 3" xfId="16533"/>
    <cellStyle name="Title 22 5 3 2" xfId="16534"/>
    <cellStyle name="Title 22 5 4" xfId="16535"/>
    <cellStyle name="Title 22 5 4 2" xfId="16536"/>
    <cellStyle name="Title 22 5 5" xfId="16537"/>
    <cellStyle name="Title 22 6" xfId="16538"/>
    <cellStyle name="Title 22 6 2" xfId="16539"/>
    <cellStyle name="Title 22 6 2 2" xfId="16540"/>
    <cellStyle name="Title 22 6 3" xfId="16541"/>
    <cellStyle name="Title 22 6 3 2" xfId="16542"/>
    <cellStyle name="Title 22 6 4" xfId="16543"/>
    <cellStyle name="Title 22 7" xfId="16544"/>
    <cellStyle name="Title 22 7 2" xfId="16545"/>
    <cellStyle name="Title 22 8" xfId="16546"/>
    <cellStyle name="Title 22 8 2" xfId="16547"/>
    <cellStyle name="Title 22 9" xfId="16548"/>
    <cellStyle name="Title 22 9 2" xfId="16549"/>
    <cellStyle name="Title 23 12" xfId="16550"/>
    <cellStyle name="Title 23 10" xfId="16551"/>
    <cellStyle name="Title 23 11" xfId="16552"/>
    <cellStyle name="Title 23 2" xfId="16553"/>
    <cellStyle name="Title 23 2 2" xfId="16554"/>
    <cellStyle name="Title 23 2 2 2" xfId="16555"/>
    <cellStyle name="Title 23 2 3" xfId="16556"/>
    <cellStyle name="Title 23 2 3 2" xfId="16557"/>
    <cellStyle name="Title 23 2 4" xfId="16558"/>
    <cellStyle name="Title 23 2 5" xfId="16559"/>
    <cellStyle name="Title 23 3" xfId="16560"/>
    <cellStyle name="Title 23 3 2" xfId="16561"/>
    <cellStyle name="Title 23 3 2 2" xfId="16562"/>
    <cellStyle name="Title 23 3 3" xfId="16563"/>
    <cellStyle name="Title 23 3 3 2" xfId="16564"/>
    <cellStyle name="Title 23 3 4" xfId="16565"/>
    <cellStyle name="Title 23 4" xfId="16566"/>
    <cellStyle name="Title 23 4 2" xfId="16567"/>
    <cellStyle name="Title 23 4 2 2" xfId="16568"/>
    <cellStyle name="Title 23 4 3" xfId="16569"/>
    <cellStyle name="Title 23 4 3 2" xfId="16570"/>
    <cellStyle name="Title 23 4 4" xfId="16571"/>
    <cellStyle name="Title 23 5" xfId="16572"/>
    <cellStyle name="Title 23 5 2" xfId="16573"/>
    <cellStyle name="Title 23 5 2 2" xfId="16574"/>
    <cellStyle name="Title 23 5 3" xfId="16575"/>
    <cellStyle name="Title 23 5 3 2" xfId="16576"/>
    <cellStyle name="Title 23 5 4" xfId="16577"/>
    <cellStyle name="Title 23 5 4 2" xfId="16578"/>
    <cellStyle name="Title 23 5 5" xfId="16579"/>
    <cellStyle name="Title 23 6" xfId="16580"/>
    <cellStyle name="Title 23 6 2" xfId="16581"/>
    <cellStyle name="Title 23 6 2 2" xfId="16582"/>
    <cellStyle name="Title 23 6 3" xfId="16583"/>
    <cellStyle name="Title 23 6 3 2" xfId="16584"/>
    <cellStyle name="Title 23 6 4" xfId="16585"/>
    <cellStyle name="Title 23 7" xfId="16586"/>
    <cellStyle name="Title 23 7 2" xfId="16587"/>
    <cellStyle name="Title 23 8" xfId="16588"/>
    <cellStyle name="Title 23 8 2" xfId="16589"/>
    <cellStyle name="Title 23 9" xfId="16590"/>
    <cellStyle name="Title 23 9 2" xfId="16591"/>
    <cellStyle name="Title 24 12" xfId="16592"/>
    <cellStyle name="Title 24 10" xfId="16593"/>
    <cellStyle name="Title 24 11" xfId="16594"/>
    <cellStyle name="Title 24 2" xfId="16595"/>
    <cellStyle name="Title 24 2 2" xfId="16596"/>
    <cellStyle name="Title 24 2 2 2" xfId="16597"/>
    <cellStyle name="Title 24 2 3" xfId="16598"/>
    <cellStyle name="Title 24 2 3 2" xfId="16599"/>
    <cellStyle name="Title 24 2 4" xfId="16600"/>
    <cellStyle name="Title 24 2 5" xfId="16601"/>
    <cellStyle name="Title 24 3" xfId="16602"/>
    <cellStyle name="Title 24 3 2" xfId="16603"/>
    <cellStyle name="Title 24 3 2 2" xfId="16604"/>
    <cellStyle name="Title 24 3 3" xfId="16605"/>
    <cellStyle name="Title 24 3 3 2" xfId="16606"/>
    <cellStyle name="Title 24 3 4" xfId="16607"/>
    <cellStyle name="Title 24 4" xfId="16608"/>
    <cellStyle name="Title 24 4 2" xfId="16609"/>
    <cellStyle name="Title 24 4 2 2" xfId="16610"/>
    <cellStyle name="Title 24 4 3" xfId="16611"/>
    <cellStyle name="Title 24 4 3 2" xfId="16612"/>
    <cellStyle name="Title 24 4 4" xfId="16613"/>
    <cellStyle name="Title 24 5" xfId="16614"/>
    <cellStyle name="Title 24 5 2" xfId="16615"/>
    <cellStyle name="Title 24 5 2 2" xfId="16616"/>
    <cellStyle name="Title 24 5 3" xfId="16617"/>
    <cellStyle name="Title 24 5 3 2" xfId="16618"/>
    <cellStyle name="Title 24 5 4" xfId="16619"/>
    <cellStyle name="Title 24 5 4 2" xfId="16620"/>
    <cellStyle name="Title 24 5 5" xfId="16621"/>
    <cellStyle name="Title 24 6" xfId="16622"/>
    <cellStyle name="Title 24 6 2" xfId="16623"/>
    <cellStyle name="Title 24 6 2 2" xfId="16624"/>
    <cellStyle name="Title 24 6 3" xfId="16625"/>
    <cellStyle name="Title 24 6 3 2" xfId="16626"/>
    <cellStyle name="Title 24 6 4" xfId="16627"/>
    <cellStyle name="Title 24 7" xfId="16628"/>
    <cellStyle name="Title 24 7 2" xfId="16629"/>
    <cellStyle name="Title 24 8" xfId="16630"/>
    <cellStyle name="Title 24 8 2" xfId="16631"/>
    <cellStyle name="Title 24 9" xfId="16632"/>
    <cellStyle name="Title 24 9 2" xfId="16633"/>
    <cellStyle name="Title 25 12" xfId="16634"/>
    <cellStyle name="Title 25 10" xfId="16635"/>
    <cellStyle name="Title 25 11" xfId="16636"/>
    <cellStyle name="Title 25 2" xfId="16637"/>
    <cellStyle name="Title 25 2 2" xfId="16638"/>
    <cellStyle name="Title 25 2 2 2" xfId="16639"/>
    <cellStyle name="Title 25 2 3" xfId="16640"/>
    <cellStyle name="Title 25 2 3 2" xfId="16641"/>
    <cellStyle name="Title 25 2 4" xfId="16642"/>
    <cellStyle name="Title 25 2 5" xfId="16643"/>
    <cellStyle name="Title 25 3" xfId="16644"/>
    <cellStyle name="Title 25 3 2" xfId="16645"/>
    <cellStyle name="Title 25 3 2 2" xfId="16646"/>
    <cellStyle name="Title 25 3 3" xfId="16647"/>
    <cellStyle name="Title 25 3 3 2" xfId="16648"/>
    <cellStyle name="Title 25 3 4" xfId="16649"/>
    <cellStyle name="Title 25 4" xfId="16650"/>
    <cellStyle name="Title 25 4 2" xfId="16651"/>
    <cellStyle name="Title 25 4 2 2" xfId="16652"/>
    <cellStyle name="Title 25 4 3" xfId="16653"/>
    <cellStyle name="Title 25 4 3 2" xfId="16654"/>
    <cellStyle name="Title 25 4 4" xfId="16655"/>
    <cellStyle name="Title 25 5" xfId="16656"/>
    <cellStyle name="Title 25 5 2" xfId="16657"/>
    <cellStyle name="Title 25 5 2 2" xfId="16658"/>
    <cellStyle name="Title 25 5 3" xfId="16659"/>
    <cellStyle name="Title 25 5 3 2" xfId="16660"/>
    <cellStyle name="Title 25 5 4" xfId="16661"/>
    <cellStyle name="Title 25 5 4 2" xfId="16662"/>
    <cellStyle name="Title 25 5 5" xfId="16663"/>
    <cellStyle name="Title 25 6" xfId="16664"/>
    <cellStyle name="Title 25 6 2" xfId="16665"/>
    <cellStyle name="Title 25 6 2 2" xfId="16666"/>
    <cellStyle name="Title 25 6 3" xfId="16667"/>
    <cellStyle name="Title 25 6 3 2" xfId="16668"/>
    <cellStyle name="Title 25 6 4" xfId="16669"/>
    <cellStyle name="Title 25 7" xfId="16670"/>
    <cellStyle name="Title 25 7 2" xfId="16671"/>
    <cellStyle name="Title 25 8" xfId="16672"/>
    <cellStyle name="Title 25 8 2" xfId="16673"/>
    <cellStyle name="Title 25 9" xfId="16674"/>
    <cellStyle name="Title 25 9 2" xfId="16675"/>
    <cellStyle name="Title 26 12" xfId="16676"/>
    <cellStyle name="Title 26 10" xfId="16677"/>
    <cellStyle name="Title 26 11" xfId="16678"/>
    <cellStyle name="Title 26 2" xfId="16679"/>
    <cellStyle name="Title 26 2 2" xfId="16680"/>
    <cellStyle name="Title 26 2 2 2" xfId="16681"/>
    <cellStyle name="Title 26 2 3" xfId="16682"/>
    <cellStyle name="Title 26 2 3 2" xfId="16683"/>
    <cellStyle name="Title 26 2 4" xfId="16684"/>
    <cellStyle name="Title 26 2 5" xfId="16685"/>
    <cellStyle name="Title 26 3" xfId="16686"/>
    <cellStyle name="Title 26 3 2" xfId="16687"/>
    <cellStyle name="Title 26 3 2 2" xfId="16688"/>
    <cellStyle name="Title 26 3 3" xfId="16689"/>
    <cellStyle name="Title 26 3 3 2" xfId="16690"/>
    <cellStyle name="Title 26 3 4" xfId="16691"/>
    <cellStyle name="Title 26 4" xfId="16692"/>
    <cellStyle name="Title 26 4 2" xfId="16693"/>
    <cellStyle name="Title 26 4 2 2" xfId="16694"/>
    <cellStyle name="Title 26 4 3" xfId="16695"/>
    <cellStyle name="Title 26 4 3 2" xfId="16696"/>
    <cellStyle name="Title 26 4 4" xfId="16697"/>
    <cellStyle name="Title 26 5" xfId="16698"/>
    <cellStyle name="Title 26 5 2" xfId="16699"/>
    <cellStyle name="Title 26 5 2 2" xfId="16700"/>
    <cellStyle name="Title 26 5 3" xfId="16701"/>
    <cellStyle name="Title 26 5 3 2" xfId="16702"/>
    <cellStyle name="Title 26 5 4" xfId="16703"/>
    <cellStyle name="Title 26 5 4 2" xfId="16704"/>
    <cellStyle name="Title 26 5 5" xfId="16705"/>
    <cellStyle name="Title 26 6" xfId="16706"/>
    <cellStyle name="Title 26 6 2" xfId="16707"/>
    <cellStyle name="Title 26 6 2 2" xfId="16708"/>
    <cellStyle name="Title 26 6 3" xfId="16709"/>
    <cellStyle name="Title 26 6 3 2" xfId="16710"/>
    <cellStyle name="Title 26 6 4" xfId="16711"/>
    <cellStyle name="Title 26 7" xfId="16712"/>
    <cellStyle name="Title 26 7 2" xfId="16713"/>
    <cellStyle name="Title 26 8" xfId="16714"/>
    <cellStyle name="Title 26 8 2" xfId="16715"/>
    <cellStyle name="Title 26 9" xfId="16716"/>
    <cellStyle name="Title 26 9 2" xfId="16717"/>
    <cellStyle name="Title 27 12" xfId="16718"/>
    <cellStyle name="Title 27 10" xfId="16719"/>
    <cellStyle name="Title 27 11" xfId="16720"/>
    <cellStyle name="Title 27 2" xfId="16721"/>
    <cellStyle name="Title 27 2 2" xfId="16722"/>
    <cellStyle name="Title 27 2 2 2" xfId="16723"/>
    <cellStyle name="Title 27 2 3" xfId="16724"/>
    <cellStyle name="Title 27 2 3 2" xfId="16725"/>
    <cellStyle name="Title 27 2 4" xfId="16726"/>
    <cellStyle name="Title 27 2 5" xfId="16727"/>
    <cellStyle name="Title 27 3" xfId="16728"/>
    <cellStyle name="Title 27 3 2" xfId="16729"/>
    <cellStyle name="Title 27 3 2 2" xfId="16730"/>
    <cellStyle name="Title 27 3 3" xfId="16731"/>
    <cellStyle name="Title 27 3 3 2" xfId="16732"/>
    <cellStyle name="Title 27 3 4" xfId="16733"/>
    <cellStyle name="Title 27 4" xfId="16734"/>
    <cellStyle name="Title 27 4 2" xfId="16735"/>
    <cellStyle name="Title 27 4 2 2" xfId="16736"/>
    <cellStyle name="Title 27 4 3" xfId="16737"/>
    <cellStyle name="Title 27 4 3 2" xfId="16738"/>
    <cellStyle name="Title 27 4 4" xfId="16739"/>
    <cellStyle name="Title 27 5" xfId="16740"/>
    <cellStyle name="Title 27 5 2" xfId="16741"/>
    <cellStyle name="Title 27 5 2 2" xfId="16742"/>
    <cellStyle name="Title 27 5 3" xfId="16743"/>
    <cellStyle name="Title 27 5 3 2" xfId="16744"/>
    <cellStyle name="Title 27 5 4" xfId="16745"/>
    <cellStyle name="Title 27 5 4 2" xfId="16746"/>
    <cellStyle name="Title 27 5 5" xfId="16747"/>
    <cellStyle name="Title 27 6" xfId="16748"/>
    <cellStyle name="Title 27 6 2" xfId="16749"/>
    <cellStyle name="Title 27 6 2 2" xfId="16750"/>
    <cellStyle name="Title 27 6 3" xfId="16751"/>
    <cellStyle name="Title 27 6 3 2" xfId="16752"/>
    <cellStyle name="Title 27 6 4" xfId="16753"/>
    <cellStyle name="Title 27 7" xfId="16754"/>
    <cellStyle name="Title 27 7 2" xfId="16755"/>
    <cellStyle name="Title 27 8" xfId="16756"/>
    <cellStyle name="Title 27 8 2" xfId="16757"/>
    <cellStyle name="Title 27 9" xfId="16758"/>
    <cellStyle name="Title 27 9 2" xfId="16759"/>
    <cellStyle name="Title 28 12" xfId="16760"/>
    <cellStyle name="Title 28 10" xfId="16761"/>
    <cellStyle name="Title 28 11" xfId="16762"/>
    <cellStyle name="Title 28 2" xfId="16763"/>
    <cellStyle name="Title 28 2 2" xfId="16764"/>
    <cellStyle name="Title 28 2 2 2" xfId="16765"/>
    <cellStyle name="Title 28 2 3" xfId="16766"/>
    <cellStyle name="Title 28 2 3 2" xfId="16767"/>
    <cellStyle name="Title 28 2 4" xfId="16768"/>
    <cellStyle name="Title 28 2 5" xfId="16769"/>
    <cellStyle name="Title 28 3" xfId="16770"/>
    <cellStyle name="Title 28 3 2" xfId="16771"/>
    <cellStyle name="Title 28 3 2 2" xfId="16772"/>
    <cellStyle name="Title 28 3 3" xfId="16773"/>
    <cellStyle name="Title 28 3 3 2" xfId="16774"/>
    <cellStyle name="Title 28 3 4" xfId="16775"/>
    <cellStyle name="Title 28 4" xfId="16776"/>
    <cellStyle name="Title 28 4 2" xfId="16777"/>
    <cellStyle name="Title 28 4 2 2" xfId="16778"/>
    <cellStyle name="Title 28 4 3" xfId="16779"/>
    <cellStyle name="Title 28 4 3 2" xfId="16780"/>
    <cellStyle name="Title 28 4 4" xfId="16781"/>
    <cellStyle name="Title 28 5" xfId="16782"/>
    <cellStyle name="Title 28 5 2" xfId="16783"/>
    <cellStyle name="Title 28 5 2 2" xfId="16784"/>
    <cellStyle name="Title 28 5 3" xfId="16785"/>
    <cellStyle name="Title 28 5 3 2" xfId="16786"/>
    <cellStyle name="Title 28 5 4" xfId="16787"/>
    <cellStyle name="Title 28 5 4 2" xfId="16788"/>
    <cellStyle name="Title 28 5 5" xfId="16789"/>
    <cellStyle name="Title 28 6" xfId="16790"/>
    <cellStyle name="Title 28 6 2" xfId="16791"/>
    <cellStyle name="Title 28 6 2 2" xfId="16792"/>
    <cellStyle name="Title 28 6 3" xfId="16793"/>
    <cellStyle name="Title 28 6 3 2" xfId="16794"/>
    <cellStyle name="Title 28 6 4" xfId="16795"/>
    <cellStyle name="Title 28 7" xfId="16796"/>
    <cellStyle name="Title 28 7 2" xfId="16797"/>
    <cellStyle name="Title 28 8" xfId="16798"/>
    <cellStyle name="Title 28 8 2" xfId="16799"/>
    <cellStyle name="Title 28 9" xfId="16800"/>
    <cellStyle name="Title 28 9 2" xfId="16801"/>
    <cellStyle name="Title 29 12" xfId="16802"/>
    <cellStyle name="Title 29 10" xfId="16803"/>
    <cellStyle name="Title 29 11" xfId="16804"/>
    <cellStyle name="Title 29 2" xfId="16805"/>
    <cellStyle name="Title 29 2 2" xfId="16806"/>
    <cellStyle name="Title 29 2 2 2" xfId="16807"/>
    <cellStyle name="Title 29 2 3" xfId="16808"/>
    <cellStyle name="Title 29 2 3 2" xfId="16809"/>
    <cellStyle name="Title 29 2 4" xfId="16810"/>
    <cellStyle name="Title 29 2 5" xfId="16811"/>
    <cellStyle name="Title 29 3" xfId="16812"/>
    <cellStyle name="Title 29 3 2" xfId="16813"/>
    <cellStyle name="Title 29 3 2 2" xfId="16814"/>
    <cellStyle name="Title 29 3 3" xfId="16815"/>
    <cellStyle name="Title 29 3 3 2" xfId="16816"/>
    <cellStyle name="Title 29 3 4" xfId="16817"/>
    <cellStyle name="Title 29 4" xfId="16818"/>
    <cellStyle name="Title 29 4 2" xfId="16819"/>
    <cellStyle name="Title 29 4 2 2" xfId="16820"/>
    <cellStyle name="Title 29 4 3" xfId="16821"/>
    <cellStyle name="Title 29 4 3 2" xfId="16822"/>
    <cellStyle name="Title 29 4 4" xfId="16823"/>
    <cellStyle name="Title 29 5" xfId="16824"/>
    <cellStyle name="Title 29 5 2" xfId="16825"/>
    <cellStyle name="Title 29 5 2 2" xfId="16826"/>
    <cellStyle name="Title 29 5 3" xfId="16827"/>
    <cellStyle name="Title 29 5 3 2" xfId="16828"/>
    <cellStyle name="Title 29 5 4" xfId="16829"/>
    <cellStyle name="Title 29 5 4 2" xfId="16830"/>
    <cellStyle name="Title 29 5 5" xfId="16831"/>
    <cellStyle name="Title 29 6" xfId="16832"/>
    <cellStyle name="Title 29 6 2" xfId="16833"/>
    <cellStyle name="Title 29 6 2 2" xfId="16834"/>
    <cellStyle name="Title 29 6 3" xfId="16835"/>
    <cellStyle name="Title 29 6 3 2" xfId="16836"/>
    <cellStyle name="Title 29 6 4" xfId="16837"/>
    <cellStyle name="Title 29 7" xfId="16838"/>
    <cellStyle name="Title 29 7 2" xfId="16839"/>
    <cellStyle name="Title 29 8" xfId="16840"/>
    <cellStyle name="Title 29 8 2" xfId="16841"/>
    <cellStyle name="Title 29 9" xfId="16842"/>
    <cellStyle name="Title 29 9 2" xfId="16843"/>
    <cellStyle name="Title 3 13" xfId="16844"/>
    <cellStyle name="Title 3 10" xfId="16845"/>
    <cellStyle name="Title 3 10 2" xfId="16846"/>
    <cellStyle name="Title 3 11" xfId="16847"/>
    <cellStyle name="Title 3 12" xfId="16848"/>
    <cellStyle name="Title 3 2 11" xfId="16849"/>
    <cellStyle name="Title 3 2 10" xfId="16850"/>
    <cellStyle name="Title 3 2 2" xfId="16851"/>
    <cellStyle name="Title 3 2 2 2" xfId="16852"/>
    <cellStyle name="Title 3 2 2 2 2" xfId="16853"/>
    <cellStyle name="Title 3 2 2 3" xfId="16854"/>
    <cellStyle name="Title 3 2 2 3 2" xfId="16855"/>
    <cellStyle name="Title 3 2 2 4" xfId="16856"/>
    <cellStyle name="Title 3 2 3" xfId="16857"/>
    <cellStyle name="Title 3 2 3 2" xfId="16858"/>
    <cellStyle name="Title 3 2 3 2 2" xfId="16859"/>
    <cellStyle name="Title 3 2 3 3" xfId="16860"/>
    <cellStyle name="Title 3 2 3 3 2" xfId="16861"/>
    <cellStyle name="Title 3 2 3 4" xfId="16862"/>
    <cellStyle name="Title 3 2 4" xfId="16863"/>
    <cellStyle name="Title 3 2 4 2" xfId="16864"/>
    <cellStyle name="Title 3 2 4 2 2" xfId="16865"/>
    <cellStyle name="Title 3 2 4 3" xfId="16866"/>
    <cellStyle name="Title 3 2 4 3 2" xfId="16867"/>
    <cellStyle name="Title 3 2 4 4" xfId="16868"/>
    <cellStyle name="Title 3 2 4 4 2" xfId="16869"/>
    <cellStyle name="Title 3 2 4 5" xfId="16870"/>
    <cellStyle name="Title 3 2 5" xfId="16871"/>
    <cellStyle name="Title 3 2 5 2" xfId="16872"/>
    <cellStyle name="Title 3 2 5 2 2" xfId="16873"/>
    <cellStyle name="Title 3 2 5 3" xfId="16874"/>
    <cellStyle name="Title 3 2 5 3 2" xfId="16875"/>
    <cellStyle name="Title 3 2 5 4" xfId="16876"/>
    <cellStyle name="Title 3 2 6" xfId="16877"/>
    <cellStyle name="Title 3 2 6 2" xfId="16878"/>
    <cellStyle name="Title 3 2 7" xfId="16879"/>
    <cellStyle name="Title 3 2 7 2" xfId="16880"/>
    <cellStyle name="Title 3 2 8" xfId="16881"/>
    <cellStyle name="Title 3 2 8 2" xfId="16882"/>
    <cellStyle name="Title 3 2 9" xfId="16883"/>
    <cellStyle name="Title 3 3 6" xfId="16884"/>
    <cellStyle name="Title 3 3 2" xfId="16885"/>
    <cellStyle name="Title 3 3 2 2" xfId="16886"/>
    <cellStyle name="Title 3 3 3" xfId="16887"/>
    <cellStyle name="Title 3 3 3 2" xfId="16888"/>
    <cellStyle name="Title 3 3 4" xfId="16889"/>
    <cellStyle name="Title 3 3 5" xfId="16890"/>
    <cellStyle name="Title 3 4" xfId="16891"/>
    <cellStyle name="Title 3 4 2" xfId="16892"/>
    <cellStyle name="Title 3 4 2 2" xfId="16893"/>
    <cellStyle name="Title 3 4 3" xfId="16894"/>
    <cellStyle name="Title 3 4 3 2" xfId="16895"/>
    <cellStyle name="Title 3 4 4" xfId="16896"/>
    <cellStyle name="Title 3 5" xfId="16897"/>
    <cellStyle name="Title 3 5 2" xfId="16898"/>
    <cellStyle name="Title 3 5 2 2" xfId="16899"/>
    <cellStyle name="Title 3 5 3" xfId="16900"/>
    <cellStyle name="Title 3 5 3 2" xfId="16901"/>
    <cellStyle name="Title 3 5 4" xfId="16902"/>
    <cellStyle name="Title 3 6" xfId="16903"/>
    <cellStyle name="Title 3 6 2" xfId="16904"/>
    <cellStyle name="Title 3 6 2 2" xfId="16905"/>
    <cellStyle name="Title 3 6 3" xfId="16906"/>
    <cellStyle name="Title 3 6 3 2" xfId="16907"/>
    <cellStyle name="Title 3 6 4" xfId="16908"/>
    <cellStyle name="Title 3 6 4 2" xfId="16909"/>
    <cellStyle name="Title 3 6 5" xfId="16910"/>
    <cellStyle name="Title 3 7" xfId="16911"/>
    <cellStyle name="Title 3 7 2" xfId="16912"/>
    <cellStyle name="Title 3 7 2 2" xfId="16913"/>
    <cellStyle name="Title 3 7 3" xfId="16914"/>
    <cellStyle name="Title 3 7 3 2" xfId="16915"/>
    <cellStyle name="Title 3 7 4" xfId="16916"/>
    <cellStyle name="Title 3 8" xfId="16917"/>
    <cellStyle name="Title 3 8 2" xfId="16918"/>
    <cellStyle name="Title 3 9" xfId="16919"/>
    <cellStyle name="Title 3 9 2" xfId="16920"/>
    <cellStyle name="Title 30 12" xfId="16921"/>
    <cellStyle name="Title 30 10" xfId="16922"/>
    <cellStyle name="Title 30 11" xfId="16923"/>
    <cellStyle name="Title 30 2" xfId="16924"/>
    <cellStyle name="Title 30 2 2" xfId="16925"/>
    <cellStyle name="Title 30 2 2 2" xfId="16926"/>
    <cellStyle name="Title 30 2 3" xfId="16927"/>
    <cellStyle name="Title 30 2 3 2" xfId="16928"/>
    <cellStyle name="Title 30 2 4" xfId="16929"/>
    <cellStyle name="Title 30 2 5" xfId="16930"/>
    <cellStyle name="Title 30 3" xfId="16931"/>
    <cellStyle name="Title 30 3 2" xfId="16932"/>
    <cellStyle name="Title 30 3 2 2" xfId="16933"/>
    <cellStyle name="Title 30 3 3" xfId="16934"/>
    <cellStyle name="Title 30 3 3 2" xfId="16935"/>
    <cellStyle name="Title 30 3 4" xfId="16936"/>
    <cellStyle name="Title 30 4" xfId="16937"/>
    <cellStyle name="Title 30 4 2" xfId="16938"/>
    <cellStyle name="Title 30 4 2 2" xfId="16939"/>
    <cellStyle name="Title 30 4 3" xfId="16940"/>
    <cellStyle name="Title 30 4 3 2" xfId="16941"/>
    <cellStyle name="Title 30 4 4" xfId="16942"/>
    <cellStyle name="Title 30 5" xfId="16943"/>
    <cellStyle name="Title 30 5 2" xfId="16944"/>
    <cellStyle name="Title 30 5 2 2" xfId="16945"/>
    <cellStyle name="Title 30 5 3" xfId="16946"/>
    <cellStyle name="Title 30 5 3 2" xfId="16947"/>
    <cellStyle name="Title 30 5 4" xfId="16948"/>
    <cellStyle name="Title 30 5 4 2" xfId="16949"/>
    <cellStyle name="Title 30 5 5" xfId="16950"/>
    <cellStyle name="Title 30 6" xfId="16951"/>
    <cellStyle name="Title 30 6 2" xfId="16952"/>
    <cellStyle name="Title 30 6 2 2" xfId="16953"/>
    <cellStyle name="Title 30 6 3" xfId="16954"/>
    <cellStyle name="Title 30 6 3 2" xfId="16955"/>
    <cellStyle name="Title 30 6 4" xfId="16956"/>
    <cellStyle name="Title 30 7" xfId="16957"/>
    <cellStyle name="Title 30 7 2" xfId="16958"/>
    <cellStyle name="Title 30 8" xfId="16959"/>
    <cellStyle name="Title 30 8 2" xfId="16960"/>
    <cellStyle name="Title 30 9" xfId="16961"/>
    <cellStyle name="Title 30 9 2" xfId="16962"/>
    <cellStyle name="Title 31 12" xfId="16963"/>
    <cellStyle name="Title 31 10" xfId="16964"/>
    <cellStyle name="Title 31 11" xfId="16965"/>
    <cellStyle name="Title 31 2" xfId="16966"/>
    <cellStyle name="Title 31 2 2" xfId="16967"/>
    <cellStyle name="Title 31 2 2 2" xfId="16968"/>
    <cellStyle name="Title 31 2 3" xfId="16969"/>
    <cellStyle name="Title 31 2 3 2" xfId="16970"/>
    <cellStyle name="Title 31 2 4" xfId="16971"/>
    <cellStyle name="Title 31 2 5" xfId="16972"/>
    <cellStyle name="Title 31 3" xfId="16973"/>
    <cellStyle name="Title 31 3 2" xfId="16974"/>
    <cellStyle name="Title 31 3 2 2" xfId="16975"/>
    <cellStyle name="Title 31 3 3" xfId="16976"/>
    <cellStyle name="Title 31 3 3 2" xfId="16977"/>
    <cellStyle name="Title 31 3 4" xfId="16978"/>
    <cellStyle name="Title 31 4" xfId="16979"/>
    <cellStyle name="Title 31 4 2" xfId="16980"/>
    <cellStyle name="Title 31 4 2 2" xfId="16981"/>
    <cellStyle name="Title 31 4 3" xfId="16982"/>
    <cellStyle name="Title 31 4 3 2" xfId="16983"/>
    <cellStyle name="Title 31 4 4" xfId="16984"/>
    <cellStyle name="Title 31 5" xfId="16985"/>
    <cellStyle name="Title 31 5 2" xfId="16986"/>
    <cellStyle name="Title 31 5 2 2" xfId="16987"/>
    <cellStyle name="Title 31 5 3" xfId="16988"/>
    <cellStyle name="Title 31 5 3 2" xfId="16989"/>
    <cellStyle name="Title 31 5 4" xfId="16990"/>
    <cellStyle name="Title 31 5 4 2" xfId="16991"/>
    <cellStyle name="Title 31 5 5" xfId="16992"/>
    <cellStyle name="Title 31 6" xfId="16993"/>
    <cellStyle name="Title 31 6 2" xfId="16994"/>
    <cellStyle name="Title 31 6 2 2" xfId="16995"/>
    <cellStyle name="Title 31 6 3" xfId="16996"/>
    <cellStyle name="Title 31 6 3 2" xfId="16997"/>
    <cellStyle name="Title 31 6 4" xfId="16998"/>
    <cellStyle name="Title 31 7" xfId="16999"/>
    <cellStyle name="Title 31 7 2" xfId="17000"/>
    <cellStyle name="Title 31 8" xfId="17001"/>
    <cellStyle name="Title 31 8 2" xfId="17002"/>
    <cellStyle name="Title 31 9" xfId="17003"/>
    <cellStyle name="Title 31 9 2" xfId="17004"/>
    <cellStyle name="Title 32 12" xfId="17005"/>
    <cellStyle name="Title 32 10" xfId="17006"/>
    <cellStyle name="Title 32 11" xfId="17007"/>
    <cellStyle name="Title 32 2" xfId="17008"/>
    <cellStyle name="Title 32 2 2" xfId="17009"/>
    <cellStyle name="Title 32 2 2 2" xfId="17010"/>
    <cellStyle name="Title 32 2 3" xfId="17011"/>
    <cellStyle name="Title 32 2 3 2" xfId="17012"/>
    <cellStyle name="Title 32 2 4" xfId="17013"/>
    <cellStyle name="Title 32 2 5" xfId="17014"/>
    <cellStyle name="Title 32 3" xfId="17015"/>
    <cellStyle name="Title 32 3 2" xfId="17016"/>
    <cellStyle name="Title 32 3 2 2" xfId="17017"/>
    <cellStyle name="Title 32 3 3" xfId="17018"/>
    <cellStyle name="Title 32 3 3 2" xfId="17019"/>
    <cellStyle name="Title 32 3 4" xfId="17020"/>
    <cellStyle name="Title 32 4" xfId="17021"/>
    <cellStyle name="Title 32 4 2" xfId="17022"/>
    <cellStyle name="Title 32 4 2 2" xfId="17023"/>
    <cellStyle name="Title 32 4 3" xfId="17024"/>
    <cellStyle name="Title 32 4 3 2" xfId="17025"/>
    <cellStyle name="Title 32 4 4" xfId="17026"/>
    <cellStyle name="Title 32 5" xfId="17027"/>
    <cellStyle name="Title 32 5 2" xfId="17028"/>
    <cellStyle name="Title 32 5 2 2" xfId="17029"/>
    <cellStyle name="Title 32 5 3" xfId="17030"/>
    <cellStyle name="Title 32 5 3 2" xfId="17031"/>
    <cellStyle name="Title 32 5 4" xfId="17032"/>
    <cellStyle name="Title 32 5 4 2" xfId="17033"/>
    <cellStyle name="Title 32 5 5" xfId="17034"/>
    <cellStyle name="Title 32 6" xfId="17035"/>
    <cellStyle name="Title 32 6 2" xfId="17036"/>
    <cellStyle name="Title 32 6 2 2" xfId="17037"/>
    <cellStyle name="Title 32 6 3" xfId="17038"/>
    <cellStyle name="Title 32 6 3 2" xfId="17039"/>
    <cellStyle name="Title 32 6 4" xfId="17040"/>
    <cellStyle name="Title 32 7" xfId="17041"/>
    <cellStyle name="Title 32 7 2" xfId="17042"/>
    <cellStyle name="Title 32 8" xfId="17043"/>
    <cellStyle name="Title 32 8 2" xfId="17044"/>
    <cellStyle name="Title 32 9" xfId="17045"/>
    <cellStyle name="Title 32 9 2" xfId="17046"/>
    <cellStyle name="Title 33 12" xfId="17047"/>
    <cellStyle name="Title 33 10" xfId="17048"/>
    <cellStyle name="Title 33 11" xfId="17049"/>
    <cellStyle name="Title 33 2" xfId="17050"/>
    <cellStyle name="Title 33 2 2" xfId="17051"/>
    <cellStyle name="Title 33 2 2 2" xfId="17052"/>
    <cellStyle name="Title 33 2 3" xfId="17053"/>
    <cellStyle name="Title 33 2 3 2" xfId="17054"/>
    <cellStyle name="Title 33 2 4" xfId="17055"/>
    <cellStyle name="Title 33 2 5" xfId="17056"/>
    <cellStyle name="Title 33 3" xfId="17057"/>
    <cellStyle name="Title 33 3 2" xfId="17058"/>
    <cellStyle name="Title 33 3 2 2" xfId="17059"/>
    <cellStyle name="Title 33 3 3" xfId="17060"/>
    <cellStyle name="Title 33 3 3 2" xfId="17061"/>
    <cellStyle name="Title 33 3 4" xfId="17062"/>
    <cellStyle name="Title 33 4" xfId="17063"/>
    <cellStyle name="Title 33 4 2" xfId="17064"/>
    <cellStyle name="Title 33 4 2 2" xfId="17065"/>
    <cellStyle name="Title 33 4 3" xfId="17066"/>
    <cellStyle name="Title 33 4 3 2" xfId="17067"/>
    <cellStyle name="Title 33 4 4" xfId="17068"/>
    <cellStyle name="Title 33 5" xfId="17069"/>
    <cellStyle name="Title 33 5 2" xfId="17070"/>
    <cellStyle name="Title 33 5 2 2" xfId="17071"/>
    <cellStyle name="Title 33 5 3" xfId="17072"/>
    <cellStyle name="Title 33 5 3 2" xfId="17073"/>
    <cellStyle name="Title 33 5 4" xfId="17074"/>
    <cellStyle name="Title 33 5 4 2" xfId="17075"/>
    <cellStyle name="Title 33 5 5" xfId="17076"/>
    <cellStyle name="Title 33 6" xfId="17077"/>
    <cellStyle name="Title 33 6 2" xfId="17078"/>
    <cellStyle name="Title 33 6 2 2" xfId="17079"/>
    <cellStyle name="Title 33 6 3" xfId="17080"/>
    <cellStyle name="Title 33 6 3 2" xfId="17081"/>
    <cellStyle name="Title 33 6 4" xfId="17082"/>
    <cellStyle name="Title 33 7" xfId="17083"/>
    <cellStyle name="Title 33 7 2" xfId="17084"/>
    <cellStyle name="Title 33 8" xfId="17085"/>
    <cellStyle name="Title 33 8 2" xfId="17086"/>
    <cellStyle name="Title 33 9" xfId="17087"/>
    <cellStyle name="Title 33 9 2" xfId="17088"/>
    <cellStyle name="Title 34 12" xfId="17089"/>
    <cellStyle name="Title 34 10" xfId="17090"/>
    <cellStyle name="Title 34 11" xfId="17091"/>
    <cellStyle name="Title 34 2" xfId="17092"/>
    <cellStyle name="Title 34 2 2" xfId="17093"/>
    <cellStyle name="Title 34 2 2 2" xfId="17094"/>
    <cellStyle name="Title 34 2 3" xfId="17095"/>
    <cellStyle name="Title 34 2 3 2" xfId="17096"/>
    <cellStyle name="Title 34 2 4" xfId="17097"/>
    <cellStyle name="Title 34 2 5" xfId="17098"/>
    <cellStyle name="Title 34 3" xfId="17099"/>
    <cellStyle name="Title 34 3 2" xfId="17100"/>
    <cellStyle name="Title 34 3 2 2" xfId="17101"/>
    <cellStyle name="Title 34 3 3" xfId="17102"/>
    <cellStyle name="Title 34 3 3 2" xfId="17103"/>
    <cellStyle name="Title 34 3 4" xfId="17104"/>
    <cellStyle name="Title 34 4" xfId="17105"/>
    <cellStyle name="Title 34 4 2" xfId="17106"/>
    <cellStyle name="Title 34 4 2 2" xfId="17107"/>
    <cellStyle name="Title 34 4 3" xfId="17108"/>
    <cellStyle name="Title 34 4 3 2" xfId="17109"/>
    <cellStyle name="Title 34 4 4" xfId="17110"/>
    <cellStyle name="Title 34 5" xfId="17111"/>
    <cellStyle name="Title 34 5 2" xfId="17112"/>
    <cellStyle name="Title 34 5 2 2" xfId="17113"/>
    <cellStyle name="Title 34 5 3" xfId="17114"/>
    <cellStyle name="Title 34 5 3 2" xfId="17115"/>
    <cellStyle name="Title 34 5 4" xfId="17116"/>
    <cellStyle name="Title 34 5 4 2" xfId="17117"/>
    <cellStyle name="Title 34 5 5" xfId="17118"/>
    <cellStyle name="Title 34 6" xfId="17119"/>
    <cellStyle name="Title 34 6 2" xfId="17120"/>
    <cellStyle name="Title 34 6 2 2" xfId="17121"/>
    <cellStyle name="Title 34 6 3" xfId="17122"/>
    <cellStyle name="Title 34 6 3 2" xfId="17123"/>
    <cellStyle name="Title 34 6 4" xfId="17124"/>
    <cellStyle name="Title 34 7" xfId="17125"/>
    <cellStyle name="Title 34 7 2" xfId="17126"/>
    <cellStyle name="Title 34 8" xfId="17127"/>
    <cellStyle name="Title 34 8 2" xfId="17128"/>
    <cellStyle name="Title 34 9" xfId="17129"/>
    <cellStyle name="Title 34 9 2" xfId="17130"/>
    <cellStyle name="Title 35 12" xfId="17131"/>
    <cellStyle name="Title 35 10" xfId="17132"/>
    <cellStyle name="Title 35 11" xfId="17133"/>
    <cellStyle name="Title 35 2" xfId="17134"/>
    <cellStyle name="Title 35 2 2" xfId="17135"/>
    <cellStyle name="Title 35 2 2 2" xfId="17136"/>
    <cellStyle name="Title 35 2 3" xfId="17137"/>
    <cellStyle name="Title 35 2 3 2" xfId="17138"/>
    <cellStyle name="Title 35 2 4" xfId="17139"/>
    <cellStyle name="Title 35 2 5" xfId="17140"/>
    <cellStyle name="Title 35 3" xfId="17141"/>
    <cellStyle name="Title 35 3 2" xfId="17142"/>
    <cellStyle name="Title 35 3 2 2" xfId="17143"/>
    <cellStyle name="Title 35 3 3" xfId="17144"/>
    <cellStyle name="Title 35 3 3 2" xfId="17145"/>
    <cellStyle name="Title 35 3 4" xfId="17146"/>
    <cellStyle name="Title 35 4" xfId="17147"/>
    <cellStyle name="Title 35 4 2" xfId="17148"/>
    <cellStyle name="Title 35 4 2 2" xfId="17149"/>
    <cellStyle name="Title 35 4 3" xfId="17150"/>
    <cellStyle name="Title 35 4 3 2" xfId="17151"/>
    <cellStyle name="Title 35 4 4" xfId="17152"/>
    <cellStyle name="Title 35 5" xfId="17153"/>
    <cellStyle name="Title 35 5 2" xfId="17154"/>
    <cellStyle name="Title 35 5 2 2" xfId="17155"/>
    <cellStyle name="Title 35 5 3" xfId="17156"/>
    <cellStyle name="Title 35 5 3 2" xfId="17157"/>
    <cellStyle name="Title 35 5 4" xfId="17158"/>
    <cellStyle name="Title 35 5 4 2" xfId="17159"/>
    <cellStyle name="Title 35 5 5" xfId="17160"/>
    <cellStyle name="Title 35 6" xfId="17161"/>
    <cellStyle name="Title 35 6 2" xfId="17162"/>
    <cellStyle name="Title 35 6 2 2" xfId="17163"/>
    <cellStyle name="Title 35 6 3" xfId="17164"/>
    <cellStyle name="Title 35 6 3 2" xfId="17165"/>
    <cellStyle name="Title 35 6 4" xfId="17166"/>
    <cellStyle name="Title 35 7" xfId="17167"/>
    <cellStyle name="Title 35 7 2" xfId="17168"/>
    <cellStyle name="Title 35 8" xfId="17169"/>
    <cellStyle name="Title 35 8 2" xfId="17170"/>
    <cellStyle name="Title 35 9" xfId="17171"/>
    <cellStyle name="Title 35 9 2" xfId="17172"/>
    <cellStyle name="Title 36 12" xfId="17173"/>
    <cellStyle name="Title 36 10" xfId="17174"/>
    <cellStyle name="Title 36 11" xfId="17175"/>
    <cellStyle name="Title 36 2" xfId="17176"/>
    <cellStyle name="Title 36 2 2" xfId="17177"/>
    <cellStyle name="Title 36 2 2 2" xfId="17178"/>
    <cellStyle name="Title 36 2 3" xfId="17179"/>
    <cellStyle name="Title 36 2 3 2" xfId="17180"/>
    <cellStyle name="Title 36 2 4" xfId="17181"/>
    <cellStyle name="Title 36 2 5" xfId="17182"/>
    <cellStyle name="Title 36 3" xfId="17183"/>
    <cellStyle name="Title 36 3 2" xfId="17184"/>
    <cellStyle name="Title 36 3 2 2" xfId="17185"/>
    <cellStyle name="Title 36 3 3" xfId="17186"/>
    <cellStyle name="Title 36 3 3 2" xfId="17187"/>
    <cellStyle name="Title 36 3 4" xfId="17188"/>
    <cellStyle name="Title 36 4" xfId="17189"/>
    <cellStyle name="Title 36 4 2" xfId="17190"/>
    <cellStyle name="Title 36 4 2 2" xfId="17191"/>
    <cellStyle name="Title 36 4 3" xfId="17192"/>
    <cellStyle name="Title 36 4 3 2" xfId="17193"/>
    <cellStyle name="Title 36 4 4" xfId="17194"/>
    <cellStyle name="Title 36 5" xfId="17195"/>
    <cellStyle name="Title 36 5 2" xfId="17196"/>
    <cellStyle name="Title 36 5 2 2" xfId="17197"/>
    <cellStyle name="Title 36 5 3" xfId="17198"/>
    <cellStyle name="Title 36 5 3 2" xfId="17199"/>
    <cellStyle name="Title 36 5 4" xfId="17200"/>
    <cellStyle name="Title 36 5 4 2" xfId="17201"/>
    <cellStyle name="Title 36 5 5" xfId="17202"/>
    <cellStyle name="Title 36 6" xfId="17203"/>
    <cellStyle name="Title 36 6 2" xfId="17204"/>
    <cellStyle name="Title 36 6 2 2" xfId="17205"/>
    <cellStyle name="Title 36 6 3" xfId="17206"/>
    <cellStyle name="Title 36 6 3 2" xfId="17207"/>
    <cellStyle name="Title 36 6 4" xfId="17208"/>
    <cellStyle name="Title 36 7" xfId="17209"/>
    <cellStyle name="Title 36 7 2" xfId="17210"/>
    <cellStyle name="Title 36 8" xfId="17211"/>
    <cellStyle name="Title 36 8 2" xfId="17212"/>
    <cellStyle name="Title 36 9" xfId="17213"/>
    <cellStyle name="Title 36 9 2" xfId="17214"/>
    <cellStyle name="Title 37 12" xfId="17215"/>
    <cellStyle name="Title 37 10" xfId="17216"/>
    <cellStyle name="Title 37 11" xfId="17217"/>
    <cellStyle name="Title 37 2" xfId="17218"/>
    <cellStyle name="Title 37 2 2" xfId="17219"/>
    <cellStyle name="Title 37 2 2 2" xfId="17220"/>
    <cellStyle name="Title 37 2 3" xfId="17221"/>
    <cellStyle name="Title 37 2 3 2" xfId="17222"/>
    <cellStyle name="Title 37 2 4" xfId="17223"/>
    <cellStyle name="Title 37 2 5" xfId="17224"/>
    <cellStyle name="Title 37 3" xfId="17225"/>
    <cellStyle name="Title 37 3 2" xfId="17226"/>
    <cellStyle name="Title 37 3 2 2" xfId="17227"/>
    <cellStyle name="Title 37 3 3" xfId="17228"/>
    <cellStyle name="Title 37 3 3 2" xfId="17229"/>
    <cellStyle name="Title 37 3 4" xfId="17230"/>
    <cellStyle name="Title 37 4" xfId="17231"/>
    <cellStyle name="Title 37 4 2" xfId="17232"/>
    <cellStyle name="Title 37 4 2 2" xfId="17233"/>
    <cellStyle name="Title 37 4 3" xfId="17234"/>
    <cellStyle name="Title 37 4 3 2" xfId="17235"/>
    <cellStyle name="Title 37 4 4" xfId="17236"/>
    <cellStyle name="Title 37 5" xfId="17237"/>
    <cellStyle name="Title 37 5 2" xfId="17238"/>
    <cellStyle name="Title 37 5 2 2" xfId="17239"/>
    <cellStyle name="Title 37 5 3" xfId="17240"/>
    <cellStyle name="Title 37 5 3 2" xfId="17241"/>
    <cellStyle name="Title 37 5 4" xfId="17242"/>
    <cellStyle name="Title 37 5 4 2" xfId="17243"/>
    <cellStyle name="Title 37 5 5" xfId="17244"/>
    <cellStyle name="Title 37 6" xfId="17245"/>
    <cellStyle name="Title 37 6 2" xfId="17246"/>
    <cellStyle name="Title 37 6 2 2" xfId="17247"/>
    <cellStyle name="Title 37 6 3" xfId="17248"/>
    <cellStyle name="Title 37 6 3 2" xfId="17249"/>
    <cellStyle name="Title 37 6 4" xfId="17250"/>
    <cellStyle name="Title 37 7" xfId="17251"/>
    <cellStyle name="Title 37 7 2" xfId="17252"/>
    <cellStyle name="Title 37 8" xfId="17253"/>
    <cellStyle name="Title 37 8 2" xfId="17254"/>
    <cellStyle name="Title 37 9" xfId="17255"/>
    <cellStyle name="Title 37 9 2" xfId="17256"/>
    <cellStyle name="Title 38 12" xfId="17257"/>
    <cellStyle name="Title 38 10" xfId="17258"/>
    <cellStyle name="Title 38 11" xfId="17259"/>
    <cellStyle name="Title 38 2" xfId="17260"/>
    <cellStyle name="Title 38 2 2" xfId="17261"/>
    <cellStyle name="Title 38 2 2 2" xfId="17262"/>
    <cellStyle name="Title 38 2 3" xfId="17263"/>
    <cellStyle name="Title 38 2 3 2" xfId="17264"/>
    <cellStyle name="Title 38 2 4" xfId="17265"/>
    <cellStyle name="Title 38 2 5" xfId="17266"/>
    <cellStyle name="Title 38 3" xfId="17267"/>
    <cellStyle name="Title 38 3 2" xfId="17268"/>
    <cellStyle name="Title 38 3 2 2" xfId="17269"/>
    <cellStyle name="Title 38 3 3" xfId="17270"/>
    <cellStyle name="Title 38 3 3 2" xfId="17271"/>
    <cellStyle name="Title 38 3 4" xfId="17272"/>
    <cellStyle name="Title 38 4" xfId="17273"/>
    <cellStyle name="Title 38 4 2" xfId="17274"/>
    <cellStyle name="Title 38 4 2 2" xfId="17275"/>
    <cellStyle name="Title 38 4 3" xfId="17276"/>
    <cellStyle name="Title 38 4 3 2" xfId="17277"/>
    <cellStyle name="Title 38 4 4" xfId="17278"/>
    <cellStyle name="Title 38 5" xfId="17279"/>
    <cellStyle name="Title 38 5 2" xfId="17280"/>
    <cellStyle name="Title 38 5 2 2" xfId="17281"/>
    <cellStyle name="Title 38 5 3" xfId="17282"/>
    <cellStyle name="Title 38 5 3 2" xfId="17283"/>
    <cellStyle name="Title 38 5 4" xfId="17284"/>
    <cellStyle name="Title 38 5 4 2" xfId="17285"/>
    <cellStyle name="Title 38 5 5" xfId="17286"/>
    <cellStyle name="Title 38 6" xfId="17287"/>
    <cellStyle name="Title 38 6 2" xfId="17288"/>
    <cellStyle name="Title 38 6 2 2" xfId="17289"/>
    <cellStyle name="Title 38 6 3" xfId="17290"/>
    <cellStyle name="Title 38 6 3 2" xfId="17291"/>
    <cellStyle name="Title 38 6 4" xfId="17292"/>
    <cellStyle name="Title 38 7" xfId="17293"/>
    <cellStyle name="Title 38 7 2" xfId="17294"/>
    <cellStyle name="Title 38 8" xfId="17295"/>
    <cellStyle name="Title 38 8 2" xfId="17296"/>
    <cellStyle name="Title 38 9" xfId="17297"/>
    <cellStyle name="Title 38 9 2" xfId="17298"/>
    <cellStyle name="Title 39 12" xfId="17299"/>
    <cellStyle name="Title 39 10" xfId="17300"/>
    <cellStyle name="Title 39 11" xfId="17301"/>
    <cellStyle name="Title 39 2" xfId="17302"/>
    <cellStyle name="Title 39 2 2" xfId="17303"/>
    <cellStyle name="Title 39 2 2 2" xfId="17304"/>
    <cellStyle name="Title 39 2 3" xfId="17305"/>
    <cellStyle name="Title 39 2 3 2" xfId="17306"/>
    <cellStyle name="Title 39 2 4" xfId="17307"/>
    <cellStyle name="Title 39 2 5" xfId="17308"/>
    <cellStyle name="Title 39 3" xfId="17309"/>
    <cellStyle name="Title 39 3 2" xfId="17310"/>
    <cellStyle name="Title 39 3 2 2" xfId="17311"/>
    <cellStyle name="Title 39 3 3" xfId="17312"/>
    <cellStyle name="Title 39 3 3 2" xfId="17313"/>
    <cellStyle name="Title 39 3 4" xfId="17314"/>
    <cellStyle name="Title 39 4" xfId="17315"/>
    <cellStyle name="Title 39 4 2" xfId="17316"/>
    <cellStyle name="Title 39 4 2 2" xfId="17317"/>
    <cellStyle name="Title 39 4 3" xfId="17318"/>
    <cellStyle name="Title 39 4 3 2" xfId="17319"/>
    <cellStyle name="Title 39 4 4" xfId="17320"/>
    <cellStyle name="Title 39 5" xfId="17321"/>
    <cellStyle name="Title 39 5 2" xfId="17322"/>
    <cellStyle name="Title 39 5 2 2" xfId="17323"/>
    <cellStyle name="Title 39 5 3" xfId="17324"/>
    <cellStyle name="Title 39 5 3 2" xfId="17325"/>
    <cellStyle name="Title 39 5 4" xfId="17326"/>
    <cellStyle name="Title 39 5 4 2" xfId="17327"/>
    <cellStyle name="Title 39 5 5" xfId="17328"/>
    <cellStyle name="Title 39 6" xfId="17329"/>
    <cellStyle name="Title 39 6 2" xfId="17330"/>
    <cellStyle name="Title 39 6 2 2" xfId="17331"/>
    <cellStyle name="Title 39 6 3" xfId="17332"/>
    <cellStyle name="Title 39 6 3 2" xfId="17333"/>
    <cellStyle name="Title 39 6 4" xfId="17334"/>
    <cellStyle name="Title 39 7" xfId="17335"/>
    <cellStyle name="Title 39 7 2" xfId="17336"/>
    <cellStyle name="Title 39 8" xfId="17337"/>
    <cellStyle name="Title 39 8 2" xfId="17338"/>
    <cellStyle name="Title 39 9" xfId="17339"/>
    <cellStyle name="Title 39 9 2" xfId="17340"/>
    <cellStyle name="Title 4 13" xfId="17341"/>
    <cellStyle name="Title 4 10" xfId="17342"/>
    <cellStyle name="Title 4 10 2" xfId="17343"/>
    <cellStyle name="Title 4 11" xfId="17344"/>
    <cellStyle name="Title 4 12" xfId="17345"/>
    <cellStyle name="Title 4 2" xfId="17346"/>
    <cellStyle name="Title 4 2 10" xfId="17347"/>
    <cellStyle name="Title 4 2 2" xfId="17348"/>
    <cellStyle name="Title 4 2 2 2" xfId="17349"/>
    <cellStyle name="Title 4 2 2 2 2" xfId="17350"/>
    <cellStyle name="Title 4 2 2 3" xfId="17351"/>
    <cellStyle name="Title 4 2 2 3 2" xfId="17352"/>
    <cellStyle name="Title 4 2 2 4" xfId="17353"/>
    <cellStyle name="Title 4 2 3" xfId="17354"/>
    <cellStyle name="Title 4 2 3 2" xfId="17355"/>
    <cellStyle name="Title 4 2 3 2 2" xfId="17356"/>
    <cellStyle name="Title 4 2 3 3" xfId="17357"/>
    <cellStyle name="Title 4 2 3 3 2" xfId="17358"/>
    <cellStyle name="Title 4 2 3 4" xfId="17359"/>
    <cellStyle name="Title 4 2 4" xfId="17360"/>
    <cellStyle name="Title 4 2 4 2" xfId="17361"/>
    <cellStyle name="Title 4 2 4 2 2" xfId="17362"/>
    <cellStyle name="Title 4 2 4 3" xfId="17363"/>
    <cellStyle name="Title 4 2 4 3 2" xfId="17364"/>
    <cellStyle name="Title 4 2 4 4" xfId="17365"/>
    <cellStyle name="Title 4 2 4 4 2" xfId="17366"/>
    <cellStyle name="Title 4 2 4 5" xfId="17367"/>
    <cellStyle name="Title 4 2 5" xfId="17368"/>
    <cellStyle name="Title 4 2 5 2" xfId="17369"/>
    <cellStyle name="Title 4 2 5 2 2" xfId="17370"/>
    <cellStyle name="Title 4 2 5 3" xfId="17371"/>
    <cellStyle name="Title 4 2 5 3 2" xfId="17372"/>
    <cellStyle name="Title 4 2 5 4" xfId="17373"/>
    <cellStyle name="Title 4 2 6" xfId="17374"/>
    <cellStyle name="Title 4 2 6 2" xfId="17375"/>
    <cellStyle name="Title 4 2 7" xfId="17376"/>
    <cellStyle name="Title 4 2 7 2" xfId="17377"/>
    <cellStyle name="Title 4 2 8" xfId="17378"/>
    <cellStyle name="Title 4 2 8 2" xfId="17379"/>
    <cellStyle name="Title 4 2 9" xfId="17380"/>
    <cellStyle name="Title 4 3" xfId="17381"/>
    <cellStyle name="Title 4 3 2" xfId="17382"/>
    <cellStyle name="Title 4 3 2 2" xfId="17383"/>
    <cellStyle name="Title 4 3 3" xfId="17384"/>
    <cellStyle name="Title 4 3 3 2" xfId="17385"/>
    <cellStyle name="Title 4 3 4" xfId="17386"/>
    <cellStyle name="Title 4 3 5" xfId="17387"/>
    <cellStyle name="Title 4 4" xfId="17388"/>
    <cellStyle name="Title 4 4 2" xfId="17389"/>
    <cellStyle name="Title 4 4 2 2" xfId="17390"/>
    <cellStyle name="Title 4 4 3" xfId="17391"/>
    <cellStyle name="Title 4 4 3 2" xfId="17392"/>
    <cellStyle name="Title 4 4 4" xfId="17393"/>
    <cellStyle name="Title 4 5" xfId="17394"/>
    <cellStyle name="Title 4 5 2" xfId="17395"/>
    <cellStyle name="Title 4 5 2 2" xfId="17396"/>
    <cellStyle name="Title 4 5 3" xfId="17397"/>
    <cellStyle name="Title 4 5 3 2" xfId="17398"/>
    <cellStyle name="Title 4 5 4" xfId="17399"/>
    <cellStyle name="Title 4 6" xfId="17400"/>
    <cellStyle name="Title 4 6 2" xfId="17401"/>
    <cellStyle name="Title 4 6 2 2" xfId="17402"/>
    <cellStyle name="Title 4 6 3" xfId="17403"/>
    <cellStyle name="Title 4 6 3 2" xfId="17404"/>
    <cellStyle name="Title 4 6 4" xfId="17405"/>
    <cellStyle name="Title 4 6 4 2" xfId="17406"/>
    <cellStyle name="Title 4 6 5" xfId="17407"/>
    <cellStyle name="Title 4 7" xfId="17408"/>
    <cellStyle name="Title 4 7 2" xfId="17409"/>
    <cellStyle name="Title 4 7 2 2" xfId="17410"/>
    <cellStyle name="Title 4 7 3" xfId="17411"/>
    <cellStyle name="Title 4 7 3 2" xfId="17412"/>
    <cellStyle name="Title 4 7 4" xfId="17413"/>
    <cellStyle name="Title 4 8" xfId="17414"/>
    <cellStyle name="Title 4 8 2" xfId="17415"/>
    <cellStyle name="Title 4 9" xfId="17416"/>
    <cellStyle name="Title 4 9 2" xfId="17417"/>
    <cellStyle name="Title 40 12" xfId="17418"/>
    <cellStyle name="Title 40 10" xfId="17419"/>
    <cellStyle name="Title 40 11" xfId="17420"/>
    <cellStyle name="Title 40 2" xfId="17421"/>
    <cellStyle name="Title 40 2 2" xfId="17422"/>
    <cellStyle name="Title 40 2 2 2" xfId="17423"/>
    <cellStyle name="Title 40 2 3" xfId="17424"/>
    <cellStyle name="Title 40 2 3 2" xfId="17425"/>
    <cellStyle name="Title 40 2 4" xfId="17426"/>
    <cellStyle name="Title 40 2 5" xfId="17427"/>
    <cellStyle name="Title 40 3" xfId="17428"/>
    <cellStyle name="Title 40 3 2" xfId="17429"/>
    <cellStyle name="Title 40 3 2 2" xfId="17430"/>
    <cellStyle name="Title 40 3 3" xfId="17431"/>
    <cellStyle name="Title 40 3 3 2" xfId="17432"/>
    <cellStyle name="Title 40 3 4" xfId="17433"/>
    <cellStyle name="Title 40 4" xfId="17434"/>
    <cellStyle name="Title 40 4 2" xfId="17435"/>
    <cellStyle name="Title 40 4 2 2" xfId="17436"/>
    <cellStyle name="Title 40 4 3" xfId="17437"/>
    <cellStyle name="Title 40 4 3 2" xfId="17438"/>
    <cellStyle name="Title 40 4 4" xfId="17439"/>
    <cellStyle name="Title 40 5" xfId="17440"/>
    <cellStyle name="Title 40 5 2" xfId="17441"/>
    <cellStyle name="Title 40 5 2 2" xfId="17442"/>
    <cellStyle name="Title 40 5 3" xfId="17443"/>
    <cellStyle name="Title 40 5 3 2" xfId="17444"/>
    <cellStyle name="Title 40 5 4" xfId="17445"/>
    <cellStyle name="Title 40 5 4 2" xfId="17446"/>
    <cellStyle name="Title 40 5 5" xfId="17447"/>
    <cellStyle name="Title 40 6" xfId="17448"/>
    <cellStyle name="Title 40 6 2" xfId="17449"/>
    <cellStyle name="Title 40 6 2 2" xfId="17450"/>
    <cellStyle name="Title 40 6 3" xfId="17451"/>
    <cellStyle name="Title 40 6 3 2" xfId="17452"/>
    <cellStyle name="Title 40 6 4" xfId="17453"/>
    <cellStyle name="Title 40 7" xfId="17454"/>
    <cellStyle name="Title 40 7 2" xfId="17455"/>
    <cellStyle name="Title 40 8" xfId="17456"/>
    <cellStyle name="Title 40 8 2" xfId="17457"/>
    <cellStyle name="Title 40 9" xfId="17458"/>
    <cellStyle name="Title 40 9 2" xfId="17459"/>
    <cellStyle name="Title 41 12" xfId="17460"/>
    <cellStyle name="Title 41 10" xfId="17461"/>
    <cellStyle name="Title 41 11" xfId="17462"/>
    <cellStyle name="Title 41 2" xfId="17463"/>
    <cellStyle name="Title 41 2 2" xfId="17464"/>
    <cellStyle name="Title 41 2 2 2" xfId="17465"/>
    <cellStyle name="Title 41 2 3" xfId="17466"/>
    <cellStyle name="Title 41 2 3 2" xfId="17467"/>
    <cellStyle name="Title 41 2 4" xfId="17468"/>
    <cellStyle name="Title 41 2 5" xfId="17469"/>
    <cellStyle name="Title 41 3" xfId="17470"/>
    <cellStyle name="Title 41 3 2" xfId="17471"/>
    <cellStyle name="Title 41 3 2 2" xfId="17472"/>
    <cellStyle name="Title 41 3 3" xfId="17473"/>
    <cellStyle name="Title 41 3 3 2" xfId="17474"/>
    <cellStyle name="Title 41 3 4" xfId="17475"/>
    <cellStyle name="Title 41 4" xfId="17476"/>
    <cellStyle name="Title 41 4 2" xfId="17477"/>
    <cellStyle name="Title 41 4 2 2" xfId="17478"/>
    <cellStyle name="Title 41 4 3" xfId="17479"/>
    <cellStyle name="Title 41 4 3 2" xfId="17480"/>
    <cellStyle name="Title 41 4 4" xfId="17481"/>
    <cellStyle name="Title 41 5" xfId="17482"/>
    <cellStyle name="Title 41 5 2" xfId="17483"/>
    <cellStyle name="Title 41 5 2 2" xfId="17484"/>
    <cellStyle name="Title 41 5 3" xfId="17485"/>
    <cellStyle name="Title 41 5 3 2" xfId="17486"/>
    <cellStyle name="Title 41 5 4" xfId="17487"/>
    <cellStyle name="Title 41 5 4 2" xfId="17488"/>
    <cellStyle name="Title 41 5 5" xfId="17489"/>
    <cellStyle name="Title 41 6" xfId="17490"/>
    <cellStyle name="Title 41 6 2" xfId="17491"/>
    <cellStyle name="Title 41 6 2 2" xfId="17492"/>
    <cellStyle name="Title 41 6 3" xfId="17493"/>
    <cellStyle name="Title 41 6 3 2" xfId="17494"/>
    <cellStyle name="Title 41 6 4" xfId="17495"/>
    <cellStyle name="Title 41 7" xfId="17496"/>
    <cellStyle name="Title 41 7 2" xfId="17497"/>
    <cellStyle name="Title 41 8" xfId="17498"/>
    <cellStyle name="Title 41 8 2" xfId="17499"/>
    <cellStyle name="Title 41 9" xfId="17500"/>
    <cellStyle name="Title 41 9 2" xfId="17501"/>
    <cellStyle name="Title 42 12" xfId="17502"/>
    <cellStyle name="Title 42 10" xfId="17503"/>
    <cellStyle name="Title 42 11" xfId="17504"/>
    <cellStyle name="Title 42 2" xfId="17505"/>
    <cellStyle name="Title 42 2 2" xfId="17506"/>
    <cellStyle name="Title 42 2 2 2" xfId="17507"/>
    <cellStyle name="Title 42 2 3" xfId="17508"/>
    <cellStyle name="Title 42 2 3 2" xfId="17509"/>
    <cellStyle name="Title 42 2 4" xfId="17510"/>
    <cellStyle name="Title 42 2 5" xfId="17511"/>
    <cellStyle name="Title 42 3" xfId="17512"/>
    <cellStyle name="Title 42 3 2" xfId="17513"/>
    <cellStyle name="Title 42 3 2 2" xfId="17514"/>
    <cellStyle name="Title 42 3 3" xfId="17515"/>
    <cellStyle name="Title 42 3 3 2" xfId="17516"/>
    <cellStyle name="Title 42 3 4" xfId="17517"/>
    <cellStyle name="Title 42 4" xfId="17518"/>
    <cellStyle name="Title 42 4 2" xfId="17519"/>
    <cellStyle name="Title 42 4 2 2" xfId="17520"/>
    <cellStyle name="Title 42 4 3" xfId="17521"/>
    <cellStyle name="Title 42 4 3 2" xfId="17522"/>
    <cellStyle name="Title 42 4 4" xfId="17523"/>
    <cellStyle name="Title 42 5" xfId="17524"/>
    <cellStyle name="Title 42 5 2" xfId="17525"/>
    <cellStyle name="Title 42 5 2 2" xfId="17526"/>
    <cellStyle name="Title 42 5 3" xfId="17527"/>
    <cellStyle name="Title 42 5 3 2" xfId="17528"/>
    <cellStyle name="Title 42 5 4" xfId="17529"/>
    <cellStyle name="Title 42 5 4 2" xfId="17530"/>
    <cellStyle name="Title 42 5 5" xfId="17531"/>
    <cellStyle name="Title 42 6" xfId="17532"/>
    <cellStyle name="Title 42 6 2" xfId="17533"/>
    <cellStyle name="Title 42 6 2 2" xfId="17534"/>
    <cellStyle name="Title 42 6 3" xfId="17535"/>
    <cellStyle name="Title 42 6 3 2" xfId="17536"/>
    <cellStyle name="Title 42 6 4" xfId="17537"/>
    <cellStyle name="Title 42 7" xfId="17538"/>
    <cellStyle name="Title 42 7 2" xfId="17539"/>
    <cellStyle name="Title 42 8" xfId="17540"/>
    <cellStyle name="Title 42 8 2" xfId="17541"/>
    <cellStyle name="Title 42 9" xfId="17542"/>
    <cellStyle name="Title 42 9 2" xfId="17543"/>
    <cellStyle name="Title 43 12" xfId="17544"/>
    <cellStyle name="Title 43 10" xfId="17545"/>
    <cellStyle name="Title 43 11" xfId="17546"/>
    <cellStyle name="Title 43 2" xfId="17547"/>
    <cellStyle name="Title 43 2 2" xfId="17548"/>
    <cellStyle name="Title 43 2 2 2" xfId="17549"/>
    <cellStyle name="Title 43 2 3" xfId="17550"/>
    <cellStyle name="Title 43 2 3 2" xfId="17551"/>
    <cellStyle name="Title 43 2 4" xfId="17552"/>
    <cellStyle name="Title 43 2 5" xfId="17553"/>
    <cellStyle name="Title 43 3" xfId="17554"/>
    <cellStyle name="Title 43 3 2" xfId="17555"/>
    <cellStyle name="Title 43 3 2 2" xfId="17556"/>
    <cellStyle name="Title 43 3 3" xfId="17557"/>
    <cellStyle name="Title 43 3 3 2" xfId="17558"/>
    <cellStyle name="Title 43 3 4" xfId="17559"/>
    <cellStyle name="Title 43 4" xfId="17560"/>
    <cellStyle name="Title 43 4 2" xfId="17561"/>
    <cellStyle name="Title 43 4 2 2" xfId="17562"/>
    <cellStyle name="Title 43 4 3" xfId="17563"/>
    <cellStyle name="Title 43 4 3 2" xfId="17564"/>
    <cellStyle name="Title 43 4 4" xfId="17565"/>
    <cellStyle name="Title 43 5" xfId="17566"/>
    <cellStyle name="Title 43 5 2" xfId="17567"/>
    <cellStyle name="Title 43 5 2 2" xfId="17568"/>
    <cellStyle name="Title 43 5 3" xfId="17569"/>
    <cellStyle name="Title 43 5 3 2" xfId="17570"/>
    <cellStyle name="Title 43 5 4" xfId="17571"/>
    <cellStyle name="Title 43 5 4 2" xfId="17572"/>
    <cellStyle name="Title 43 5 5" xfId="17573"/>
    <cellStyle name="Title 43 6" xfId="17574"/>
    <cellStyle name="Title 43 6 2" xfId="17575"/>
    <cellStyle name="Title 43 6 2 2" xfId="17576"/>
    <cellStyle name="Title 43 6 3" xfId="17577"/>
    <cellStyle name="Title 43 6 3 2" xfId="17578"/>
    <cellStyle name="Title 43 6 4" xfId="17579"/>
    <cellStyle name="Title 43 7" xfId="17580"/>
    <cellStyle name="Title 43 7 2" xfId="17581"/>
    <cellStyle name="Title 43 8" xfId="17582"/>
    <cellStyle name="Title 43 8 2" xfId="17583"/>
    <cellStyle name="Title 43 9" xfId="17584"/>
    <cellStyle name="Title 43 9 2" xfId="17585"/>
    <cellStyle name="Title 5 13" xfId="17586"/>
    <cellStyle name="Title 5 10" xfId="17587"/>
    <cellStyle name="Title 5 10 2" xfId="17588"/>
    <cellStyle name="Title 5 11" xfId="17589"/>
    <cellStyle name="Title 5 12" xfId="17590"/>
    <cellStyle name="Title 5 2" xfId="17591"/>
    <cellStyle name="Title 5 2 10" xfId="17592"/>
    <cellStyle name="Title 5 2 2" xfId="17593"/>
    <cellStyle name="Title 5 2 2 2" xfId="17594"/>
    <cellStyle name="Title 5 2 2 2 2" xfId="17595"/>
    <cellStyle name="Title 5 2 2 3" xfId="17596"/>
    <cellStyle name="Title 5 2 2 3 2" xfId="17597"/>
    <cellStyle name="Title 5 2 2 4" xfId="17598"/>
    <cellStyle name="Title 5 2 3" xfId="17599"/>
    <cellStyle name="Title 5 2 3 2" xfId="17600"/>
    <cellStyle name="Title 5 2 3 2 2" xfId="17601"/>
    <cellStyle name="Title 5 2 3 3" xfId="17602"/>
    <cellStyle name="Title 5 2 3 3 2" xfId="17603"/>
    <cellStyle name="Title 5 2 3 4" xfId="17604"/>
    <cellStyle name="Title 5 2 4" xfId="17605"/>
    <cellStyle name="Title 5 2 4 2" xfId="17606"/>
    <cellStyle name="Title 5 2 4 2 2" xfId="17607"/>
    <cellStyle name="Title 5 2 4 3" xfId="17608"/>
    <cellStyle name="Title 5 2 4 3 2" xfId="17609"/>
    <cellStyle name="Title 5 2 4 4" xfId="17610"/>
    <cellStyle name="Title 5 2 4 4 2" xfId="17611"/>
    <cellStyle name="Title 5 2 4 5" xfId="17612"/>
    <cellStyle name="Title 5 2 5" xfId="17613"/>
    <cellStyle name="Title 5 2 5 2" xfId="17614"/>
    <cellStyle name="Title 5 2 5 2 2" xfId="17615"/>
    <cellStyle name="Title 5 2 5 3" xfId="17616"/>
    <cellStyle name="Title 5 2 5 3 2" xfId="17617"/>
    <cellStyle name="Title 5 2 5 4" xfId="17618"/>
    <cellStyle name="Title 5 2 6" xfId="17619"/>
    <cellStyle name="Title 5 2 6 2" xfId="17620"/>
    <cellStyle name="Title 5 2 7" xfId="17621"/>
    <cellStyle name="Title 5 2 7 2" xfId="17622"/>
    <cellStyle name="Title 5 2 8" xfId="17623"/>
    <cellStyle name="Title 5 2 8 2" xfId="17624"/>
    <cellStyle name="Title 5 2 9" xfId="17625"/>
    <cellStyle name="Title 5 3" xfId="17626"/>
    <cellStyle name="Title 5 3 2" xfId="17627"/>
    <cellStyle name="Title 5 3 2 2" xfId="17628"/>
    <cellStyle name="Title 5 3 3" xfId="17629"/>
    <cellStyle name="Title 5 3 3 2" xfId="17630"/>
    <cellStyle name="Title 5 3 4" xfId="17631"/>
    <cellStyle name="Title 5 3 5" xfId="17632"/>
    <cellStyle name="Title 5 4" xfId="17633"/>
    <cellStyle name="Title 5 4 2" xfId="17634"/>
    <cellStyle name="Title 5 4 2 2" xfId="17635"/>
    <cellStyle name="Title 5 4 3" xfId="17636"/>
    <cellStyle name="Title 5 4 3 2" xfId="17637"/>
    <cellStyle name="Title 5 4 4" xfId="17638"/>
    <cellStyle name="Title 5 5" xfId="17639"/>
    <cellStyle name="Title 5 5 2" xfId="17640"/>
    <cellStyle name="Title 5 5 2 2" xfId="17641"/>
    <cellStyle name="Title 5 5 3" xfId="17642"/>
    <cellStyle name="Title 5 5 3 2" xfId="17643"/>
    <cellStyle name="Title 5 5 4" xfId="17644"/>
    <cellStyle name="Title 5 6" xfId="17645"/>
    <cellStyle name="Title 5 6 2" xfId="17646"/>
    <cellStyle name="Title 5 6 2 2" xfId="17647"/>
    <cellStyle name="Title 5 6 3" xfId="17648"/>
    <cellStyle name="Title 5 6 3 2" xfId="17649"/>
    <cellStyle name="Title 5 6 4" xfId="17650"/>
    <cellStyle name="Title 5 6 4 2" xfId="17651"/>
    <cellStyle name="Title 5 6 5" xfId="17652"/>
    <cellStyle name="Title 5 7" xfId="17653"/>
    <cellStyle name="Title 5 7 2" xfId="17654"/>
    <cellStyle name="Title 5 7 2 2" xfId="17655"/>
    <cellStyle name="Title 5 7 3" xfId="17656"/>
    <cellStyle name="Title 5 7 3 2" xfId="17657"/>
    <cellStyle name="Title 5 7 4" xfId="17658"/>
    <cellStyle name="Title 5 8" xfId="17659"/>
    <cellStyle name="Title 5 8 2" xfId="17660"/>
    <cellStyle name="Title 5 9" xfId="17661"/>
    <cellStyle name="Title 5 9 2" xfId="17662"/>
    <cellStyle name="Title 6 13" xfId="17663"/>
    <cellStyle name="Title 6 10" xfId="17664"/>
    <cellStyle name="Title 6 10 2" xfId="17665"/>
    <cellStyle name="Title 6 11" xfId="17666"/>
    <cellStyle name="Title 6 12" xfId="17667"/>
    <cellStyle name="Title 6 2" xfId="17668"/>
    <cellStyle name="Title 6 2 10" xfId="17669"/>
    <cellStyle name="Title 6 2 2" xfId="17670"/>
    <cellStyle name="Title 6 2 2 2" xfId="17671"/>
    <cellStyle name="Title 6 2 2 2 2" xfId="17672"/>
    <cellStyle name="Title 6 2 2 3" xfId="17673"/>
    <cellStyle name="Title 6 2 2 3 2" xfId="17674"/>
    <cellStyle name="Title 6 2 2 4" xfId="17675"/>
    <cellStyle name="Title 6 2 3" xfId="17676"/>
    <cellStyle name="Title 6 2 3 2" xfId="17677"/>
    <cellStyle name="Title 6 2 3 2 2" xfId="17678"/>
    <cellStyle name="Title 6 2 3 3" xfId="17679"/>
    <cellStyle name="Title 6 2 3 3 2" xfId="17680"/>
    <cellStyle name="Title 6 2 3 4" xfId="17681"/>
    <cellStyle name="Title 6 2 4" xfId="17682"/>
    <cellStyle name="Title 6 2 4 2" xfId="17683"/>
    <cellStyle name="Title 6 2 4 2 2" xfId="17684"/>
    <cellStyle name="Title 6 2 4 3" xfId="17685"/>
    <cellStyle name="Title 6 2 4 3 2" xfId="17686"/>
    <cellStyle name="Title 6 2 4 4" xfId="17687"/>
    <cellStyle name="Title 6 2 4 4 2" xfId="17688"/>
    <cellStyle name="Title 6 2 4 5" xfId="17689"/>
    <cellStyle name="Title 6 2 5" xfId="17690"/>
    <cellStyle name="Title 6 2 5 2" xfId="17691"/>
    <cellStyle name="Title 6 2 5 2 2" xfId="17692"/>
    <cellStyle name="Title 6 2 5 3" xfId="17693"/>
    <cellStyle name="Title 6 2 5 3 2" xfId="17694"/>
    <cellStyle name="Title 6 2 5 4" xfId="17695"/>
    <cellStyle name="Title 6 2 6" xfId="17696"/>
    <cellStyle name="Title 6 2 6 2" xfId="17697"/>
    <cellStyle name="Title 6 2 7" xfId="17698"/>
    <cellStyle name="Title 6 2 7 2" xfId="17699"/>
    <cellStyle name="Title 6 2 8" xfId="17700"/>
    <cellStyle name="Title 6 2 8 2" xfId="17701"/>
    <cellStyle name="Title 6 2 9" xfId="17702"/>
    <cellStyle name="Title 6 3" xfId="17703"/>
    <cellStyle name="Title 6 3 2" xfId="17704"/>
    <cellStyle name="Title 6 3 2 2" xfId="17705"/>
    <cellStyle name="Title 6 3 3" xfId="17706"/>
    <cellStyle name="Title 6 3 3 2" xfId="17707"/>
    <cellStyle name="Title 6 3 4" xfId="17708"/>
    <cellStyle name="Title 6 3 5" xfId="17709"/>
    <cellStyle name="Title 6 4" xfId="17710"/>
    <cellStyle name="Title 6 4 2" xfId="17711"/>
    <cellStyle name="Title 6 4 2 2" xfId="17712"/>
    <cellStyle name="Title 6 4 3" xfId="17713"/>
    <cellStyle name="Title 6 4 3 2" xfId="17714"/>
    <cellStyle name="Title 6 4 4" xfId="17715"/>
    <cellStyle name="Title 6 5" xfId="17716"/>
    <cellStyle name="Title 6 5 2" xfId="17717"/>
    <cellStyle name="Title 6 5 2 2" xfId="17718"/>
    <cellStyle name="Title 6 5 3" xfId="17719"/>
    <cellStyle name="Title 6 5 3 2" xfId="17720"/>
    <cellStyle name="Title 6 5 4" xfId="17721"/>
    <cellStyle name="Title 6 6" xfId="17722"/>
    <cellStyle name="Title 6 6 2" xfId="17723"/>
    <cellStyle name="Title 6 6 2 2" xfId="17724"/>
    <cellStyle name="Title 6 6 3" xfId="17725"/>
    <cellStyle name="Title 6 6 3 2" xfId="17726"/>
    <cellStyle name="Title 6 6 4" xfId="17727"/>
    <cellStyle name="Title 6 6 4 2" xfId="17728"/>
    <cellStyle name="Title 6 6 5" xfId="17729"/>
    <cellStyle name="Title 6 7" xfId="17730"/>
    <cellStyle name="Title 6 7 2" xfId="17731"/>
    <cellStyle name="Title 6 7 2 2" xfId="17732"/>
    <cellStyle name="Title 6 7 3" xfId="17733"/>
    <cellStyle name="Title 6 7 3 2" xfId="17734"/>
    <cellStyle name="Title 6 7 4" xfId="17735"/>
    <cellStyle name="Title 6 8" xfId="17736"/>
    <cellStyle name="Title 6 8 2" xfId="17737"/>
    <cellStyle name="Title 6 9" xfId="17738"/>
    <cellStyle name="Title 6 9 2" xfId="17739"/>
    <cellStyle name="Title 7 12" xfId="17740"/>
    <cellStyle name="Title 7 10" xfId="17741"/>
    <cellStyle name="Title 7 11" xfId="17742"/>
    <cellStyle name="Title 7 2" xfId="17743"/>
    <cellStyle name="Title 7 2 2" xfId="17744"/>
    <cellStyle name="Title 7 2 2 2" xfId="17745"/>
    <cellStyle name="Title 7 2 3" xfId="17746"/>
    <cellStyle name="Title 7 2 3 2" xfId="17747"/>
    <cellStyle name="Title 7 2 4" xfId="17748"/>
    <cellStyle name="Title 7 2 5" xfId="17749"/>
    <cellStyle name="Title 7 3" xfId="17750"/>
    <cellStyle name="Title 7 3 2" xfId="17751"/>
    <cellStyle name="Title 7 3 2 2" xfId="17752"/>
    <cellStyle name="Title 7 3 3" xfId="17753"/>
    <cellStyle name="Title 7 3 3 2" xfId="17754"/>
    <cellStyle name="Title 7 3 4" xfId="17755"/>
    <cellStyle name="Title 7 4" xfId="17756"/>
    <cellStyle name="Title 7 4 2" xfId="17757"/>
    <cellStyle name="Title 7 4 2 2" xfId="17758"/>
    <cellStyle name="Title 7 4 3" xfId="17759"/>
    <cellStyle name="Title 7 4 3 2" xfId="17760"/>
    <cellStyle name="Title 7 4 4" xfId="17761"/>
    <cellStyle name="Title 7 5" xfId="17762"/>
    <cellStyle name="Title 7 5 2" xfId="17763"/>
    <cellStyle name="Title 7 5 2 2" xfId="17764"/>
    <cellStyle name="Title 7 5 3" xfId="17765"/>
    <cellStyle name="Title 7 5 3 2" xfId="17766"/>
    <cellStyle name="Title 7 5 4" xfId="17767"/>
    <cellStyle name="Title 7 5 4 2" xfId="17768"/>
    <cellStyle name="Title 7 5 5" xfId="17769"/>
    <cellStyle name="Title 7 6" xfId="17770"/>
    <cellStyle name="Title 7 6 2" xfId="17771"/>
    <cellStyle name="Title 7 6 2 2" xfId="17772"/>
    <cellStyle name="Title 7 6 3" xfId="17773"/>
    <cellStyle name="Title 7 6 3 2" xfId="17774"/>
    <cellStyle name="Title 7 6 4" xfId="17775"/>
    <cellStyle name="Title 7 7" xfId="17776"/>
    <cellStyle name="Title 7 7 2" xfId="17777"/>
    <cellStyle name="Title 7 8" xfId="17778"/>
    <cellStyle name="Title 7 8 2" xfId="17779"/>
    <cellStyle name="Title 7 9" xfId="17780"/>
    <cellStyle name="Title 7 9 2" xfId="17781"/>
    <cellStyle name="Title 8 12" xfId="17782"/>
    <cellStyle name="Title 8 10" xfId="17783"/>
    <cellStyle name="Title 8 11" xfId="17784"/>
    <cellStyle name="Title 8 2" xfId="17785"/>
    <cellStyle name="Title 8 2 2" xfId="17786"/>
    <cellStyle name="Title 8 2 2 2" xfId="17787"/>
    <cellStyle name="Title 8 2 3" xfId="17788"/>
    <cellStyle name="Title 8 2 3 2" xfId="17789"/>
    <cellStyle name="Title 8 2 4" xfId="17790"/>
    <cellStyle name="Title 8 2 5" xfId="17791"/>
    <cellStyle name="Title 8 3" xfId="17792"/>
    <cellStyle name="Title 8 3 2" xfId="17793"/>
    <cellStyle name="Title 8 3 2 2" xfId="17794"/>
    <cellStyle name="Title 8 3 3" xfId="17795"/>
    <cellStyle name="Title 8 3 3 2" xfId="17796"/>
    <cellStyle name="Title 8 3 4" xfId="17797"/>
    <cellStyle name="Title 8 4" xfId="17798"/>
    <cellStyle name="Title 8 4 2" xfId="17799"/>
    <cellStyle name="Title 8 4 2 2" xfId="17800"/>
    <cellStyle name="Title 8 4 3" xfId="17801"/>
    <cellStyle name="Title 8 4 3 2" xfId="17802"/>
    <cellStyle name="Title 8 4 4" xfId="17803"/>
    <cellStyle name="Title 8 5" xfId="17804"/>
    <cellStyle name="Title 8 5 2" xfId="17805"/>
    <cellStyle name="Title 8 5 2 2" xfId="17806"/>
    <cellStyle name="Title 8 5 3" xfId="17807"/>
    <cellStyle name="Title 8 5 3 2" xfId="17808"/>
    <cellStyle name="Title 8 5 4" xfId="17809"/>
    <cellStyle name="Title 8 5 4 2" xfId="17810"/>
    <cellStyle name="Title 8 5 5" xfId="17811"/>
    <cellStyle name="Title 8 6" xfId="17812"/>
    <cellStyle name="Title 8 6 2" xfId="17813"/>
    <cellStyle name="Title 8 6 2 2" xfId="17814"/>
    <cellStyle name="Title 8 6 3" xfId="17815"/>
    <cellStyle name="Title 8 6 3 2" xfId="17816"/>
    <cellStyle name="Title 8 6 4" xfId="17817"/>
    <cellStyle name="Title 8 7" xfId="17818"/>
    <cellStyle name="Title 8 7 2" xfId="17819"/>
    <cellStyle name="Title 8 8" xfId="17820"/>
    <cellStyle name="Title 8 8 2" xfId="17821"/>
    <cellStyle name="Title 8 9" xfId="17822"/>
    <cellStyle name="Title 8 9 2" xfId="17823"/>
    <cellStyle name="Title 9 12" xfId="17824"/>
    <cellStyle name="Title 9 10" xfId="17825"/>
    <cellStyle name="Title 9 11" xfId="17826"/>
    <cellStyle name="Title 9 2" xfId="17827"/>
    <cellStyle name="Title 9 2 2" xfId="17828"/>
    <cellStyle name="Title 9 2 2 2" xfId="17829"/>
    <cellStyle name="Title 9 2 3" xfId="17830"/>
    <cellStyle name="Title 9 2 3 2" xfId="17831"/>
    <cellStyle name="Title 9 2 4" xfId="17832"/>
    <cellStyle name="Title 9 2 5" xfId="17833"/>
    <cellStyle name="Title 9 3" xfId="17834"/>
    <cellStyle name="Title 9 3 2" xfId="17835"/>
    <cellStyle name="Title 9 3 2 2" xfId="17836"/>
    <cellStyle name="Title 9 3 3" xfId="17837"/>
    <cellStyle name="Title 9 3 3 2" xfId="17838"/>
    <cellStyle name="Title 9 3 4" xfId="17839"/>
    <cellStyle name="Title 9 4" xfId="17840"/>
    <cellStyle name="Title 9 4 2" xfId="17841"/>
    <cellStyle name="Title 9 4 2 2" xfId="17842"/>
    <cellStyle name="Title 9 4 3" xfId="17843"/>
    <cellStyle name="Title 9 4 3 2" xfId="17844"/>
    <cellStyle name="Title 9 4 4" xfId="17845"/>
    <cellStyle name="Title 9 5" xfId="17846"/>
    <cellStyle name="Title 9 5 2" xfId="17847"/>
    <cellStyle name="Title 9 5 2 2" xfId="17848"/>
    <cellStyle name="Title 9 5 3" xfId="17849"/>
    <cellStyle name="Title 9 5 3 2" xfId="17850"/>
    <cellStyle name="Title 9 5 4" xfId="17851"/>
    <cellStyle name="Title 9 5 4 2" xfId="17852"/>
    <cellStyle name="Title 9 5 5" xfId="17853"/>
    <cellStyle name="Title 9 6" xfId="17854"/>
    <cellStyle name="Title 9 6 2" xfId="17855"/>
    <cellStyle name="Title 9 6 2 2" xfId="17856"/>
    <cellStyle name="Title 9 6 3" xfId="17857"/>
    <cellStyle name="Title 9 6 3 2" xfId="17858"/>
    <cellStyle name="Title 9 6 4" xfId="17859"/>
    <cellStyle name="Title 9 7" xfId="17860"/>
    <cellStyle name="Title 9 7 2" xfId="17861"/>
    <cellStyle name="Title 9 8" xfId="17862"/>
    <cellStyle name="Title 9 8 2" xfId="17863"/>
    <cellStyle name="Title 9 9" xfId="17864"/>
    <cellStyle name="Title 9 9 2" xfId="17865"/>
    <cellStyle name="Total 10 12" xfId="17866"/>
    <cellStyle name="Total 10 10" xfId="17867"/>
    <cellStyle name="Total 10 11" xfId="17868"/>
    <cellStyle name="Total 10 2" xfId="17869"/>
    <cellStyle name="Total 10 2 2" xfId="17870"/>
    <cellStyle name="Total 10 2 2 2" xfId="17871"/>
    <cellStyle name="Total 10 2 3" xfId="17872"/>
    <cellStyle name="Total 10 2 3 2" xfId="17873"/>
    <cellStyle name="Total 10 2 4" xfId="17874"/>
    <cellStyle name="Total 10 2 5" xfId="17875"/>
    <cellStyle name="Total 10 3" xfId="17876"/>
    <cellStyle name="Total 10 3 2" xfId="17877"/>
    <cellStyle name="Total 10 3 2 2" xfId="17878"/>
    <cellStyle name="Total 10 3 3" xfId="17879"/>
    <cellStyle name="Total 10 3 3 2" xfId="17880"/>
    <cellStyle name="Total 10 3 4" xfId="17881"/>
    <cellStyle name="Total 10 4" xfId="17882"/>
    <cellStyle name="Total 10 4 2" xfId="17883"/>
    <cellStyle name="Total 10 4 2 2" xfId="17884"/>
    <cellStyle name="Total 10 4 3" xfId="17885"/>
    <cellStyle name="Total 10 4 3 2" xfId="17886"/>
    <cellStyle name="Total 10 4 4" xfId="17887"/>
    <cellStyle name="Total 10 5" xfId="17888"/>
    <cellStyle name="Total 10 5 2" xfId="17889"/>
    <cellStyle name="Total 10 5 2 2" xfId="17890"/>
    <cellStyle name="Total 10 5 3" xfId="17891"/>
    <cellStyle name="Total 10 5 3 2" xfId="17892"/>
    <cellStyle name="Total 10 5 4" xfId="17893"/>
    <cellStyle name="Total 10 5 4 2" xfId="17894"/>
    <cellStyle name="Total 10 5 5" xfId="17895"/>
    <cellStyle name="Total 10 6" xfId="17896"/>
    <cellStyle name="Total 10 6 2" xfId="17897"/>
    <cellStyle name="Total 10 6 2 2" xfId="17898"/>
    <cellStyle name="Total 10 6 3" xfId="17899"/>
    <cellStyle name="Total 10 6 3 2" xfId="17900"/>
    <cellStyle name="Total 10 6 4" xfId="17901"/>
    <cellStyle name="Total 10 7" xfId="17902"/>
    <cellStyle name="Total 10 7 2" xfId="17903"/>
    <cellStyle name="Total 10 8" xfId="17904"/>
    <cellStyle name="Total 10 8 2" xfId="17905"/>
    <cellStyle name="Total 10 9" xfId="17906"/>
    <cellStyle name="Total 10 9 2" xfId="17907"/>
    <cellStyle name="Total 11 12" xfId="17908"/>
    <cellStyle name="Total 11 10" xfId="17909"/>
    <cellStyle name="Total 11 11" xfId="17910"/>
    <cellStyle name="Total 11 2" xfId="17911"/>
    <cellStyle name="Total 11 2 2" xfId="17912"/>
    <cellStyle name="Total 11 2 2 2" xfId="17913"/>
    <cellStyle name="Total 11 2 3" xfId="17914"/>
    <cellStyle name="Total 11 2 3 2" xfId="17915"/>
    <cellStyle name="Total 11 2 4" xfId="17916"/>
    <cellStyle name="Total 11 2 5" xfId="17917"/>
    <cellStyle name="Total 11 3" xfId="17918"/>
    <cellStyle name="Total 11 3 2" xfId="17919"/>
    <cellStyle name="Total 11 3 2 2" xfId="17920"/>
    <cellStyle name="Total 11 3 3" xfId="17921"/>
    <cellStyle name="Total 11 3 3 2" xfId="17922"/>
    <cellStyle name="Total 11 3 4" xfId="17923"/>
    <cellStyle name="Total 11 4" xfId="17924"/>
    <cellStyle name="Total 11 4 2" xfId="17925"/>
    <cellStyle name="Total 11 4 2 2" xfId="17926"/>
    <cellStyle name="Total 11 4 3" xfId="17927"/>
    <cellStyle name="Total 11 4 3 2" xfId="17928"/>
    <cellStyle name="Total 11 4 4" xfId="17929"/>
    <cellStyle name="Total 11 5" xfId="17930"/>
    <cellStyle name="Total 11 5 2" xfId="17931"/>
    <cellStyle name="Total 11 5 2 2" xfId="17932"/>
    <cellStyle name="Total 11 5 3" xfId="17933"/>
    <cellStyle name="Total 11 5 3 2" xfId="17934"/>
    <cellStyle name="Total 11 5 4" xfId="17935"/>
    <cellStyle name="Total 11 5 4 2" xfId="17936"/>
    <cellStyle name="Total 11 5 5" xfId="17937"/>
    <cellStyle name="Total 11 6" xfId="17938"/>
    <cellStyle name="Total 11 6 2" xfId="17939"/>
    <cellStyle name="Total 11 6 2 2" xfId="17940"/>
    <cellStyle name="Total 11 6 3" xfId="17941"/>
    <cellStyle name="Total 11 6 3 2" xfId="17942"/>
    <cellStyle name="Total 11 6 4" xfId="17943"/>
    <cellStyle name="Total 11 7" xfId="17944"/>
    <cellStyle name="Total 11 7 2" xfId="17945"/>
    <cellStyle name="Total 11 8" xfId="17946"/>
    <cellStyle name="Total 11 8 2" xfId="17947"/>
    <cellStyle name="Total 11 9" xfId="17948"/>
    <cellStyle name="Total 11 9 2" xfId="17949"/>
    <cellStyle name="Total 12 12" xfId="17950"/>
    <cellStyle name="Total 12 10" xfId="17951"/>
    <cellStyle name="Total 12 11" xfId="17952"/>
    <cellStyle name="Total 12 2" xfId="17953"/>
    <cellStyle name="Total 12 2 2" xfId="17954"/>
    <cellStyle name="Total 12 2 2 2" xfId="17955"/>
    <cellStyle name="Total 12 2 3" xfId="17956"/>
    <cellStyle name="Total 12 2 3 2" xfId="17957"/>
    <cellStyle name="Total 12 2 4" xfId="17958"/>
    <cellStyle name="Total 12 2 5" xfId="17959"/>
    <cellStyle name="Total 12 3" xfId="17960"/>
    <cellStyle name="Total 12 3 2" xfId="17961"/>
    <cellStyle name="Total 12 3 2 2" xfId="17962"/>
    <cellStyle name="Total 12 3 3" xfId="17963"/>
    <cellStyle name="Total 12 3 3 2" xfId="17964"/>
    <cellStyle name="Total 12 3 4" xfId="17965"/>
    <cellStyle name="Total 12 4" xfId="17966"/>
    <cellStyle name="Total 12 4 2" xfId="17967"/>
    <cellStyle name="Total 12 4 2 2" xfId="17968"/>
    <cellStyle name="Total 12 4 3" xfId="17969"/>
    <cellStyle name="Total 12 4 3 2" xfId="17970"/>
    <cellStyle name="Total 12 4 4" xfId="17971"/>
    <cellStyle name="Total 12 5" xfId="17972"/>
    <cellStyle name="Total 12 5 2" xfId="17973"/>
    <cellStyle name="Total 12 5 2 2" xfId="17974"/>
    <cellStyle name="Total 12 5 3" xfId="17975"/>
    <cellStyle name="Total 12 5 3 2" xfId="17976"/>
    <cellStyle name="Total 12 5 4" xfId="17977"/>
    <cellStyle name="Total 12 5 4 2" xfId="17978"/>
    <cellStyle name="Total 12 5 5" xfId="17979"/>
    <cellStyle name="Total 12 6" xfId="17980"/>
    <cellStyle name="Total 12 6 2" xfId="17981"/>
    <cellStyle name="Total 12 6 2 2" xfId="17982"/>
    <cellStyle name="Total 12 6 3" xfId="17983"/>
    <cellStyle name="Total 12 6 3 2" xfId="17984"/>
    <cellStyle name="Total 12 6 4" xfId="17985"/>
    <cellStyle name="Total 12 7" xfId="17986"/>
    <cellStyle name="Total 12 7 2" xfId="17987"/>
    <cellStyle name="Total 12 8" xfId="17988"/>
    <cellStyle name="Total 12 8 2" xfId="17989"/>
    <cellStyle name="Total 12 9" xfId="17990"/>
    <cellStyle name="Total 12 9 2" xfId="17991"/>
    <cellStyle name="Total 13 12" xfId="17992"/>
    <cellStyle name="Total 13 10" xfId="17993"/>
    <cellStyle name="Total 13 11" xfId="17994"/>
    <cellStyle name="Total 13 2" xfId="17995"/>
    <cellStyle name="Total 13 2 2" xfId="17996"/>
    <cellStyle name="Total 13 2 2 2" xfId="17997"/>
    <cellStyle name="Total 13 2 3" xfId="17998"/>
    <cellStyle name="Total 13 2 3 2" xfId="17999"/>
    <cellStyle name="Total 13 2 4" xfId="18000"/>
    <cellStyle name="Total 13 2 5" xfId="18001"/>
    <cellStyle name="Total 13 3" xfId="18002"/>
    <cellStyle name="Total 13 3 2" xfId="18003"/>
    <cellStyle name="Total 13 3 2 2" xfId="18004"/>
    <cellStyle name="Total 13 3 3" xfId="18005"/>
    <cellStyle name="Total 13 3 3 2" xfId="18006"/>
    <cellStyle name="Total 13 3 4" xfId="18007"/>
    <cellStyle name="Total 13 4" xfId="18008"/>
    <cellStyle name="Total 13 4 2" xfId="18009"/>
    <cellStyle name="Total 13 4 2 2" xfId="18010"/>
    <cellStyle name="Total 13 4 3" xfId="18011"/>
    <cellStyle name="Total 13 4 3 2" xfId="18012"/>
    <cellStyle name="Total 13 4 4" xfId="18013"/>
    <cellStyle name="Total 13 5" xfId="18014"/>
    <cellStyle name="Total 13 5 2" xfId="18015"/>
    <cellStyle name="Total 13 5 2 2" xfId="18016"/>
    <cellStyle name="Total 13 5 3" xfId="18017"/>
    <cellStyle name="Total 13 5 3 2" xfId="18018"/>
    <cellStyle name="Total 13 5 4" xfId="18019"/>
    <cellStyle name="Total 13 5 4 2" xfId="18020"/>
    <cellStyle name="Total 13 5 5" xfId="18021"/>
    <cellStyle name="Total 13 6" xfId="18022"/>
    <cellStyle name="Total 13 6 2" xfId="18023"/>
    <cellStyle name="Total 13 6 2 2" xfId="18024"/>
    <cellStyle name="Total 13 6 3" xfId="18025"/>
    <cellStyle name="Total 13 6 3 2" xfId="18026"/>
    <cellStyle name="Total 13 6 4" xfId="18027"/>
    <cellStyle name="Total 13 7" xfId="18028"/>
    <cellStyle name="Total 13 7 2" xfId="18029"/>
    <cellStyle name="Total 13 8" xfId="18030"/>
    <cellStyle name="Total 13 8 2" xfId="18031"/>
    <cellStyle name="Total 13 9" xfId="18032"/>
    <cellStyle name="Total 13 9 2" xfId="18033"/>
    <cellStyle name="Total 14 12" xfId="18034"/>
    <cellStyle name="Total 14 10" xfId="18035"/>
    <cellStyle name="Total 14 11" xfId="18036"/>
    <cellStyle name="Total 14 2" xfId="18037"/>
    <cellStyle name="Total 14 2 2" xfId="18038"/>
    <cellStyle name="Total 14 2 2 2" xfId="18039"/>
    <cellStyle name="Total 14 2 3" xfId="18040"/>
    <cellStyle name="Total 14 2 3 2" xfId="18041"/>
    <cellStyle name="Total 14 2 4" xfId="18042"/>
    <cellStyle name="Total 14 2 5" xfId="18043"/>
    <cellStyle name="Total 14 3" xfId="18044"/>
    <cellStyle name="Total 14 3 2" xfId="18045"/>
    <cellStyle name="Total 14 3 2 2" xfId="18046"/>
    <cellStyle name="Total 14 3 3" xfId="18047"/>
    <cellStyle name="Total 14 3 3 2" xfId="18048"/>
    <cellStyle name="Total 14 3 4" xfId="18049"/>
    <cellStyle name="Total 14 4" xfId="18050"/>
    <cellStyle name="Total 14 4 2" xfId="18051"/>
    <cellStyle name="Total 14 4 2 2" xfId="18052"/>
    <cellStyle name="Total 14 4 3" xfId="18053"/>
    <cellStyle name="Total 14 4 3 2" xfId="18054"/>
    <cellStyle name="Total 14 4 4" xfId="18055"/>
    <cellStyle name="Total 14 5" xfId="18056"/>
    <cellStyle name="Total 14 5 2" xfId="18057"/>
    <cellStyle name="Total 14 5 2 2" xfId="18058"/>
    <cellStyle name="Total 14 5 3" xfId="18059"/>
    <cellStyle name="Total 14 5 3 2" xfId="18060"/>
    <cellStyle name="Total 14 5 4" xfId="18061"/>
    <cellStyle name="Total 14 5 4 2" xfId="18062"/>
    <cellStyle name="Total 14 5 5" xfId="18063"/>
    <cellStyle name="Total 14 6" xfId="18064"/>
    <cellStyle name="Total 14 6 2" xfId="18065"/>
    <cellStyle name="Total 14 6 2 2" xfId="18066"/>
    <cellStyle name="Total 14 6 3" xfId="18067"/>
    <cellStyle name="Total 14 6 3 2" xfId="18068"/>
    <cellStyle name="Total 14 6 4" xfId="18069"/>
    <cellStyle name="Total 14 7" xfId="18070"/>
    <cellStyle name="Total 14 7 2" xfId="18071"/>
    <cellStyle name="Total 14 8" xfId="18072"/>
    <cellStyle name="Total 14 8 2" xfId="18073"/>
    <cellStyle name="Total 14 9" xfId="18074"/>
    <cellStyle name="Total 14 9 2" xfId="18075"/>
    <cellStyle name="Total 15 12" xfId="18076"/>
    <cellStyle name="Total 15 10" xfId="18077"/>
    <cellStyle name="Total 15 11" xfId="18078"/>
    <cellStyle name="Total 15 2" xfId="18079"/>
    <cellStyle name="Total 15 2 2" xfId="18080"/>
    <cellStyle name="Total 15 2 2 2" xfId="18081"/>
    <cellStyle name="Total 15 2 3" xfId="18082"/>
    <cellStyle name="Total 15 2 3 2" xfId="18083"/>
    <cellStyle name="Total 15 2 4" xfId="18084"/>
    <cellStyle name="Total 15 2 5" xfId="18085"/>
    <cellStyle name="Total 15 3" xfId="18086"/>
    <cellStyle name="Total 15 3 2" xfId="18087"/>
    <cellStyle name="Total 15 3 2 2" xfId="18088"/>
    <cellStyle name="Total 15 3 3" xfId="18089"/>
    <cellStyle name="Total 15 3 3 2" xfId="18090"/>
    <cellStyle name="Total 15 3 4" xfId="18091"/>
    <cellStyle name="Total 15 4" xfId="18092"/>
    <cellStyle name="Total 15 4 2" xfId="18093"/>
    <cellStyle name="Total 15 4 2 2" xfId="18094"/>
    <cellStyle name="Total 15 4 3" xfId="18095"/>
    <cellStyle name="Total 15 4 3 2" xfId="18096"/>
    <cellStyle name="Total 15 4 4" xfId="18097"/>
    <cellStyle name="Total 15 5" xfId="18098"/>
    <cellStyle name="Total 15 5 2" xfId="18099"/>
    <cellStyle name="Total 15 5 2 2" xfId="18100"/>
    <cellStyle name="Total 15 5 3" xfId="18101"/>
    <cellStyle name="Total 15 5 3 2" xfId="18102"/>
    <cellStyle name="Total 15 5 4" xfId="18103"/>
    <cellStyle name="Total 15 5 4 2" xfId="18104"/>
    <cellStyle name="Total 15 5 5" xfId="18105"/>
    <cellStyle name="Total 15 6" xfId="18106"/>
    <cellStyle name="Total 15 6 2" xfId="18107"/>
    <cellStyle name="Total 15 6 2 2" xfId="18108"/>
    <cellStyle name="Total 15 6 3" xfId="18109"/>
    <cellStyle name="Total 15 6 3 2" xfId="18110"/>
    <cellStyle name="Total 15 6 4" xfId="18111"/>
    <cellStyle name="Total 15 7" xfId="18112"/>
    <cellStyle name="Total 15 7 2" xfId="18113"/>
    <cellStyle name="Total 15 8" xfId="18114"/>
    <cellStyle name="Total 15 8 2" xfId="18115"/>
    <cellStyle name="Total 15 9" xfId="18116"/>
    <cellStyle name="Total 15 9 2" xfId="18117"/>
    <cellStyle name="Total 16 12" xfId="18118"/>
    <cellStyle name="Total 16 10" xfId="18119"/>
    <cellStyle name="Total 16 11" xfId="18120"/>
    <cellStyle name="Total 16 2" xfId="18121"/>
    <cellStyle name="Total 16 2 2" xfId="18122"/>
    <cellStyle name="Total 16 2 2 2" xfId="18123"/>
    <cellStyle name="Total 16 2 3" xfId="18124"/>
    <cellStyle name="Total 16 2 3 2" xfId="18125"/>
    <cellStyle name="Total 16 2 4" xfId="18126"/>
    <cellStyle name="Total 16 2 5" xfId="18127"/>
    <cellStyle name="Total 16 3" xfId="18128"/>
    <cellStyle name="Total 16 3 2" xfId="18129"/>
    <cellStyle name="Total 16 3 2 2" xfId="18130"/>
    <cellStyle name="Total 16 3 3" xfId="18131"/>
    <cellStyle name="Total 16 3 3 2" xfId="18132"/>
    <cellStyle name="Total 16 3 4" xfId="18133"/>
    <cellStyle name="Total 16 4" xfId="18134"/>
    <cellStyle name="Total 16 4 2" xfId="18135"/>
    <cellStyle name="Total 16 4 2 2" xfId="18136"/>
    <cellStyle name="Total 16 4 3" xfId="18137"/>
    <cellStyle name="Total 16 4 3 2" xfId="18138"/>
    <cellStyle name="Total 16 4 4" xfId="18139"/>
    <cellStyle name="Total 16 5" xfId="18140"/>
    <cellStyle name="Total 16 5 2" xfId="18141"/>
    <cellStyle name="Total 16 5 2 2" xfId="18142"/>
    <cellStyle name="Total 16 5 3" xfId="18143"/>
    <cellStyle name="Total 16 5 3 2" xfId="18144"/>
    <cellStyle name="Total 16 5 4" xfId="18145"/>
    <cellStyle name="Total 16 5 4 2" xfId="18146"/>
    <cellStyle name="Total 16 5 5" xfId="18147"/>
    <cellStyle name="Total 16 6" xfId="18148"/>
    <cellStyle name="Total 16 6 2" xfId="18149"/>
    <cellStyle name="Total 16 6 2 2" xfId="18150"/>
    <cellStyle name="Total 16 6 3" xfId="18151"/>
    <cellStyle name="Total 16 6 3 2" xfId="18152"/>
    <cellStyle name="Total 16 6 4" xfId="18153"/>
    <cellStyle name="Total 16 7" xfId="18154"/>
    <cellStyle name="Total 16 7 2" xfId="18155"/>
    <cellStyle name="Total 16 8" xfId="18156"/>
    <cellStyle name="Total 16 8 2" xfId="18157"/>
    <cellStyle name="Total 16 9" xfId="18158"/>
    <cellStyle name="Total 16 9 2" xfId="18159"/>
    <cellStyle name="Total 17 12" xfId="18160"/>
    <cellStyle name="Total 17 10" xfId="18161"/>
    <cellStyle name="Total 17 11" xfId="18162"/>
    <cellStyle name="Total 17 2" xfId="18163"/>
    <cellStyle name="Total 17 2 2" xfId="18164"/>
    <cellStyle name="Total 17 2 2 2" xfId="18165"/>
    <cellStyle name="Total 17 2 3" xfId="18166"/>
    <cellStyle name="Total 17 2 3 2" xfId="18167"/>
    <cellStyle name="Total 17 2 4" xfId="18168"/>
    <cellStyle name="Total 17 2 5" xfId="18169"/>
    <cellStyle name="Total 17 3" xfId="18170"/>
    <cellStyle name="Total 17 3 2" xfId="18171"/>
    <cellStyle name="Total 17 3 2 2" xfId="18172"/>
    <cellStyle name="Total 17 3 3" xfId="18173"/>
    <cellStyle name="Total 17 3 3 2" xfId="18174"/>
    <cellStyle name="Total 17 3 4" xfId="18175"/>
    <cellStyle name="Total 17 4" xfId="18176"/>
    <cellStyle name="Total 17 4 2" xfId="18177"/>
    <cellStyle name="Total 17 4 2 2" xfId="18178"/>
    <cellStyle name="Total 17 4 3" xfId="18179"/>
    <cellStyle name="Total 17 4 3 2" xfId="18180"/>
    <cellStyle name="Total 17 4 4" xfId="18181"/>
    <cellStyle name="Total 17 5" xfId="18182"/>
    <cellStyle name="Total 17 5 2" xfId="18183"/>
    <cellStyle name="Total 17 5 2 2" xfId="18184"/>
    <cellStyle name="Total 17 5 3" xfId="18185"/>
    <cellStyle name="Total 17 5 3 2" xfId="18186"/>
    <cellStyle name="Total 17 5 4" xfId="18187"/>
    <cellStyle name="Total 17 5 4 2" xfId="18188"/>
    <cellStyle name="Total 17 5 5" xfId="18189"/>
    <cellStyle name="Total 17 6" xfId="18190"/>
    <cellStyle name="Total 17 6 2" xfId="18191"/>
    <cellStyle name="Total 17 6 2 2" xfId="18192"/>
    <cellStyle name="Total 17 6 3" xfId="18193"/>
    <cellStyle name="Total 17 6 3 2" xfId="18194"/>
    <cellStyle name="Total 17 6 4" xfId="18195"/>
    <cellStyle name="Total 17 7" xfId="18196"/>
    <cellStyle name="Total 17 7 2" xfId="18197"/>
    <cellStyle name="Total 17 8" xfId="18198"/>
    <cellStyle name="Total 17 8 2" xfId="18199"/>
    <cellStyle name="Total 17 9" xfId="18200"/>
    <cellStyle name="Total 17 9 2" xfId="18201"/>
    <cellStyle name="Total 18 12" xfId="18202"/>
    <cellStyle name="Total 18 10" xfId="18203"/>
    <cellStyle name="Total 18 11" xfId="18204"/>
    <cellStyle name="Total 18 2" xfId="18205"/>
    <cellStyle name="Total 18 2 2" xfId="18206"/>
    <cellStyle name="Total 18 2 2 2" xfId="18207"/>
    <cellStyle name="Total 18 2 3" xfId="18208"/>
    <cellStyle name="Total 18 2 3 2" xfId="18209"/>
    <cellStyle name="Total 18 2 4" xfId="18210"/>
    <cellStyle name="Total 18 2 5" xfId="18211"/>
    <cellStyle name="Total 18 3" xfId="18212"/>
    <cellStyle name="Total 18 3 2" xfId="18213"/>
    <cellStyle name="Total 18 3 2 2" xfId="18214"/>
    <cellStyle name="Total 18 3 3" xfId="18215"/>
    <cellStyle name="Total 18 3 3 2" xfId="18216"/>
    <cellStyle name="Total 18 3 4" xfId="18217"/>
    <cellStyle name="Total 18 4" xfId="18218"/>
    <cellStyle name="Total 18 4 2" xfId="18219"/>
    <cellStyle name="Total 18 4 2 2" xfId="18220"/>
    <cellStyle name="Total 18 4 3" xfId="18221"/>
    <cellStyle name="Total 18 4 3 2" xfId="18222"/>
    <cellStyle name="Total 18 4 4" xfId="18223"/>
    <cellStyle name="Total 18 5" xfId="18224"/>
    <cellStyle name="Total 18 5 2" xfId="18225"/>
    <cellStyle name="Total 18 5 2 2" xfId="18226"/>
    <cellStyle name="Total 18 5 3" xfId="18227"/>
    <cellStyle name="Total 18 5 3 2" xfId="18228"/>
    <cellStyle name="Total 18 5 4" xfId="18229"/>
    <cellStyle name="Total 18 5 4 2" xfId="18230"/>
    <cellStyle name="Total 18 5 5" xfId="18231"/>
    <cellStyle name="Total 18 6" xfId="18232"/>
    <cellStyle name="Total 18 6 2" xfId="18233"/>
    <cellStyle name="Total 18 6 2 2" xfId="18234"/>
    <cellStyle name="Total 18 6 3" xfId="18235"/>
    <cellStyle name="Total 18 6 3 2" xfId="18236"/>
    <cellStyle name="Total 18 6 4" xfId="18237"/>
    <cellStyle name="Total 18 7" xfId="18238"/>
    <cellStyle name="Total 18 7 2" xfId="18239"/>
    <cellStyle name="Total 18 8" xfId="18240"/>
    <cellStyle name="Total 18 8 2" xfId="18241"/>
    <cellStyle name="Total 18 9" xfId="18242"/>
    <cellStyle name="Total 18 9 2" xfId="18243"/>
    <cellStyle name="Total 19 12" xfId="18244"/>
    <cellStyle name="Total 19 10" xfId="18245"/>
    <cellStyle name="Total 19 11" xfId="18246"/>
    <cellStyle name="Total 19 2" xfId="18247"/>
    <cellStyle name="Total 19 2 2" xfId="18248"/>
    <cellStyle name="Total 19 2 2 2" xfId="18249"/>
    <cellStyle name="Total 19 2 3" xfId="18250"/>
    <cellStyle name="Total 19 2 3 2" xfId="18251"/>
    <cellStyle name="Total 19 2 4" xfId="18252"/>
    <cellStyle name="Total 19 2 5" xfId="18253"/>
    <cellStyle name="Total 19 3" xfId="18254"/>
    <cellStyle name="Total 19 3 2" xfId="18255"/>
    <cellStyle name="Total 19 3 2 2" xfId="18256"/>
    <cellStyle name="Total 19 3 3" xfId="18257"/>
    <cellStyle name="Total 19 3 3 2" xfId="18258"/>
    <cellStyle name="Total 19 3 4" xfId="18259"/>
    <cellStyle name="Total 19 4" xfId="18260"/>
    <cellStyle name="Total 19 4 2" xfId="18261"/>
    <cellStyle name="Total 19 4 2 2" xfId="18262"/>
    <cellStyle name="Total 19 4 3" xfId="18263"/>
    <cellStyle name="Total 19 4 3 2" xfId="18264"/>
    <cellStyle name="Total 19 4 4" xfId="18265"/>
    <cellStyle name="Total 19 5" xfId="18266"/>
    <cellStyle name="Total 19 5 2" xfId="18267"/>
    <cellStyle name="Total 19 5 2 2" xfId="18268"/>
    <cellStyle name="Total 19 5 3" xfId="18269"/>
    <cellStyle name="Total 19 5 3 2" xfId="18270"/>
    <cellStyle name="Total 19 5 4" xfId="18271"/>
    <cellStyle name="Total 19 5 4 2" xfId="18272"/>
    <cellStyle name="Total 19 5 5" xfId="18273"/>
    <cellStyle name="Total 19 6" xfId="18274"/>
    <cellStyle name="Total 19 6 2" xfId="18275"/>
    <cellStyle name="Total 19 6 2 2" xfId="18276"/>
    <cellStyle name="Total 19 6 3" xfId="18277"/>
    <cellStyle name="Total 19 6 3 2" xfId="18278"/>
    <cellStyle name="Total 19 6 4" xfId="18279"/>
    <cellStyle name="Total 19 7" xfId="18280"/>
    <cellStyle name="Total 19 7 2" xfId="18281"/>
    <cellStyle name="Total 19 8" xfId="18282"/>
    <cellStyle name="Total 19 8 2" xfId="18283"/>
    <cellStyle name="Total 19 9" xfId="18284"/>
    <cellStyle name="Total 19 9 2" xfId="18285"/>
    <cellStyle name="Total 2 22" xfId="18286"/>
    <cellStyle name="Total 2 10 11" xfId="18287"/>
    <cellStyle name="Total 2 10 10" xfId="18288"/>
    <cellStyle name="Total 2 10 2" xfId="18289"/>
    <cellStyle name="Total 2 10 2 2" xfId="18290"/>
    <cellStyle name="Total 2 10 2 2 2" xfId="18291"/>
    <cellStyle name="Total 2 10 2 3" xfId="18292"/>
    <cellStyle name="Total 2 10 2 3 2" xfId="18293"/>
    <cellStyle name="Total 2 10 2 4" xfId="18294"/>
    <cellStyle name="Total 2 10 3" xfId="18295"/>
    <cellStyle name="Total 2 10 3 2" xfId="18296"/>
    <cellStyle name="Total 2 10 3 2 2" xfId="18297"/>
    <cellStyle name="Total 2 10 3 3" xfId="18298"/>
    <cellStyle name="Total 2 10 3 3 2" xfId="18299"/>
    <cellStyle name="Total 2 10 3 4" xfId="18300"/>
    <cellStyle name="Total 2 10 4" xfId="18301"/>
    <cellStyle name="Total 2 10 4 2" xfId="18302"/>
    <cellStyle name="Total 2 10 4 2 2" xfId="18303"/>
    <cellStyle name="Total 2 10 4 3" xfId="18304"/>
    <cellStyle name="Total 2 10 4 3 2" xfId="18305"/>
    <cellStyle name="Total 2 10 4 4" xfId="18306"/>
    <cellStyle name="Total 2 10 4 4 2" xfId="18307"/>
    <cellStyle name="Total 2 10 4 5" xfId="18308"/>
    <cellStyle name="Total 2 10 5" xfId="18309"/>
    <cellStyle name="Total 2 10 5 2" xfId="18310"/>
    <cellStyle name="Total 2 10 5 2 2" xfId="18311"/>
    <cellStyle name="Total 2 10 5 3" xfId="18312"/>
    <cellStyle name="Total 2 10 5 3 2" xfId="18313"/>
    <cellStyle name="Total 2 10 5 4" xfId="18314"/>
    <cellStyle name="Total 2 10 6" xfId="18315"/>
    <cellStyle name="Total 2 10 6 2" xfId="18316"/>
    <cellStyle name="Total 2 10 7" xfId="18317"/>
    <cellStyle name="Total 2 10 7 2" xfId="18318"/>
    <cellStyle name="Total 2 10 8" xfId="18319"/>
    <cellStyle name="Total 2 10 8 2" xfId="18320"/>
    <cellStyle name="Total 2 10 9" xfId="18321"/>
    <cellStyle name="Total 2 11" xfId="18322"/>
    <cellStyle name="Total 2 11 10" xfId="18323"/>
    <cellStyle name="Total 2 11 2" xfId="18324"/>
    <cellStyle name="Total 2 11 2 2" xfId="18325"/>
    <cellStyle name="Total 2 11 2 2 2" xfId="18326"/>
    <cellStyle name="Total 2 11 2 3" xfId="18327"/>
    <cellStyle name="Total 2 11 2 3 2" xfId="18328"/>
    <cellStyle name="Total 2 11 2 4" xfId="18329"/>
    <cellStyle name="Total 2 11 3" xfId="18330"/>
    <cellStyle name="Total 2 11 3 2" xfId="18331"/>
    <cellStyle name="Total 2 11 3 2 2" xfId="18332"/>
    <cellStyle name="Total 2 11 3 3" xfId="18333"/>
    <cellStyle name="Total 2 11 3 3 2" xfId="18334"/>
    <cellStyle name="Total 2 11 3 4" xfId="18335"/>
    <cellStyle name="Total 2 11 4" xfId="18336"/>
    <cellStyle name="Total 2 11 4 2" xfId="18337"/>
    <cellStyle name="Total 2 11 4 2 2" xfId="18338"/>
    <cellStyle name="Total 2 11 4 3" xfId="18339"/>
    <cellStyle name="Total 2 11 4 3 2" xfId="18340"/>
    <cellStyle name="Total 2 11 4 4" xfId="18341"/>
    <cellStyle name="Total 2 11 4 4 2" xfId="18342"/>
    <cellStyle name="Total 2 11 4 5" xfId="18343"/>
    <cellStyle name="Total 2 11 5" xfId="18344"/>
    <cellStyle name="Total 2 11 5 2" xfId="18345"/>
    <cellStyle name="Total 2 11 5 2 2" xfId="18346"/>
    <cellStyle name="Total 2 11 5 3" xfId="18347"/>
    <cellStyle name="Total 2 11 5 3 2" xfId="18348"/>
    <cellStyle name="Total 2 11 5 4" xfId="18349"/>
    <cellStyle name="Total 2 11 6" xfId="18350"/>
    <cellStyle name="Total 2 11 6 2" xfId="18351"/>
    <cellStyle name="Total 2 11 7" xfId="18352"/>
    <cellStyle name="Total 2 11 7 2" xfId="18353"/>
    <cellStyle name="Total 2 11 8" xfId="18354"/>
    <cellStyle name="Total 2 11 8 2" xfId="18355"/>
    <cellStyle name="Total 2 11 9" xfId="18356"/>
    <cellStyle name="Total 2 12" xfId="18357"/>
    <cellStyle name="Total 2 12 2" xfId="18358"/>
    <cellStyle name="Total 2 12 2 2" xfId="18359"/>
    <cellStyle name="Total 2 12 3" xfId="18360"/>
    <cellStyle name="Total 2 12 3 2" xfId="18361"/>
    <cellStyle name="Total 2 12 4" xfId="18362"/>
    <cellStyle name="Total 2 12 5" xfId="18363"/>
    <cellStyle name="Total 2 13" xfId="18364"/>
    <cellStyle name="Total 2 13 2" xfId="18365"/>
    <cellStyle name="Total 2 13 2 2" xfId="18366"/>
    <cellStyle name="Total 2 13 3" xfId="18367"/>
    <cellStyle name="Total 2 13 3 2" xfId="18368"/>
    <cellStyle name="Total 2 13 4" xfId="18369"/>
    <cellStyle name="Total 2 14" xfId="18370"/>
    <cellStyle name="Total 2 14 2" xfId="18371"/>
    <cellStyle name="Total 2 14 2 2" xfId="18372"/>
    <cellStyle name="Total 2 14 3" xfId="18373"/>
    <cellStyle name="Total 2 14 3 2" xfId="18374"/>
    <cellStyle name="Total 2 14 4" xfId="18375"/>
    <cellStyle name="Total 2 15" xfId="18376"/>
    <cellStyle name="Total 2 15 2" xfId="18377"/>
    <cellStyle name="Total 2 15 2 2" xfId="18378"/>
    <cellStyle name="Total 2 15 3" xfId="18379"/>
    <cellStyle name="Total 2 15 3 2" xfId="18380"/>
    <cellStyle name="Total 2 15 4" xfId="18381"/>
    <cellStyle name="Total 2 15 4 2" xfId="18382"/>
    <cellStyle name="Total 2 15 5" xfId="18383"/>
    <cellStyle name="Total 2 16" xfId="18384"/>
    <cellStyle name="Total 2 16 2" xfId="18385"/>
    <cellStyle name="Total 2 16 2 2" xfId="18386"/>
    <cellStyle name="Total 2 16 3" xfId="18387"/>
    <cellStyle name="Total 2 16 3 2" xfId="18388"/>
    <cellStyle name="Total 2 16 4" xfId="18389"/>
    <cellStyle name="Total 2 17" xfId="18390"/>
    <cellStyle name="Total 2 17 2" xfId="18391"/>
    <cellStyle name="Total 2 18" xfId="18392"/>
    <cellStyle name="Total 2 18 2" xfId="18393"/>
    <cellStyle name="Total 2 19" xfId="18394"/>
    <cellStyle name="Total 2 19 2" xfId="18395"/>
    <cellStyle name="Total 2 2 11" xfId="18396"/>
    <cellStyle name="Total 2 2 10" xfId="18397"/>
    <cellStyle name="Total 2 2 2" xfId="18398"/>
    <cellStyle name="Total 2 2 2 2" xfId="18399"/>
    <cellStyle name="Total 2 2 2 2 2" xfId="18400"/>
    <cellStyle name="Total 2 2 2 3" xfId="18401"/>
    <cellStyle name="Total 2 2 2 3 2" xfId="18402"/>
    <cellStyle name="Total 2 2 2 4" xfId="18403"/>
    <cellStyle name="Total 2 2 3" xfId="18404"/>
    <cellStyle name="Total 2 2 3 2" xfId="18405"/>
    <cellStyle name="Total 2 2 3 2 2" xfId="18406"/>
    <cellStyle name="Total 2 2 3 3" xfId="18407"/>
    <cellStyle name="Total 2 2 3 3 2" xfId="18408"/>
    <cellStyle name="Total 2 2 3 4" xfId="18409"/>
    <cellStyle name="Total 2 2 4" xfId="18410"/>
    <cellStyle name="Total 2 2 4 2" xfId="18411"/>
    <cellStyle name="Total 2 2 4 2 2" xfId="18412"/>
    <cellStyle name="Total 2 2 4 3" xfId="18413"/>
    <cellStyle name="Total 2 2 4 3 2" xfId="18414"/>
    <cellStyle name="Total 2 2 4 4" xfId="18415"/>
    <cellStyle name="Total 2 2 4 4 2" xfId="18416"/>
    <cellStyle name="Total 2 2 4 5" xfId="18417"/>
    <cellStyle name="Total 2 2 5" xfId="18418"/>
    <cellStyle name="Total 2 2 5 2" xfId="18419"/>
    <cellStyle name="Total 2 2 5 2 2" xfId="18420"/>
    <cellStyle name="Total 2 2 5 3" xfId="18421"/>
    <cellStyle name="Total 2 2 5 3 2" xfId="18422"/>
    <cellStyle name="Total 2 2 5 4" xfId="18423"/>
    <cellStyle name="Total 2 2 6" xfId="18424"/>
    <cellStyle name="Total 2 2 6 2" xfId="18425"/>
    <cellStyle name="Total 2 2 7" xfId="18426"/>
    <cellStyle name="Total 2 2 7 2" xfId="18427"/>
    <cellStyle name="Total 2 2 8" xfId="18428"/>
    <cellStyle name="Total 2 2 8 2" xfId="18429"/>
    <cellStyle name="Total 2 2 9" xfId="18430"/>
    <cellStyle name="Total 2 20" xfId="18431"/>
    <cellStyle name="Total 2 21" xfId="18432"/>
    <cellStyle name="Total 2 3 11" xfId="18433"/>
    <cellStyle name="Total 2 3 10" xfId="18434"/>
    <cellStyle name="Total 2 3 2" xfId="18435"/>
    <cellStyle name="Total 2 3 2 2" xfId="18436"/>
    <cellStyle name="Total 2 3 2 2 2" xfId="18437"/>
    <cellStyle name="Total 2 3 2 3" xfId="18438"/>
    <cellStyle name="Total 2 3 2 3 2" xfId="18439"/>
    <cellStyle name="Total 2 3 2 4" xfId="18440"/>
    <cellStyle name="Total 2 3 3" xfId="18441"/>
    <cellStyle name="Total 2 3 3 2" xfId="18442"/>
    <cellStyle name="Total 2 3 3 2 2" xfId="18443"/>
    <cellStyle name="Total 2 3 3 3" xfId="18444"/>
    <cellStyle name="Total 2 3 3 3 2" xfId="18445"/>
    <cellStyle name="Total 2 3 3 4" xfId="18446"/>
    <cellStyle name="Total 2 3 4" xfId="18447"/>
    <cellStyle name="Total 2 3 4 2" xfId="18448"/>
    <cellStyle name="Total 2 3 4 2 2" xfId="18449"/>
    <cellStyle name="Total 2 3 4 3" xfId="18450"/>
    <cellStyle name="Total 2 3 4 3 2" xfId="18451"/>
    <cellStyle name="Total 2 3 4 4" xfId="18452"/>
    <cellStyle name="Total 2 3 4 4 2" xfId="18453"/>
    <cellStyle name="Total 2 3 4 5" xfId="18454"/>
    <cellStyle name="Total 2 3 5" xfId="18455"/>
    <cellStyle name="Total 2 3 5 2" xfId="18456"/>
    <cellStyle name="Total 2 3 5 2 2" xfId="18457"/>
    <cellStyle name="Total 2 3 5 3" xfId="18458"/>
    <cellStyle name="Total 2 3 5 3 2" xfId="18459"/>
    <cellStyle name="Total 2 3 5 4" xfId="18460"/>
    <cellStyle name="Total 2 3 6" xfId="18461"/>
    <cellStyle name="Total 2 3 6 2" xfId="18462"/>
    <cellStyle name="Total 2 3 7" xfId="18463"/>
    <cellStyle name="Total 2 3 7 2" xfId="18464"/>
    <cellStyle name="Total 2 3 8" xfId="18465"/>
    <cellStyle name="Total 2 3 8 2" xfId="18466"/>
    <cellStyle name="Total 2 3 9" xfId="18467"/>
    <cellStyle name="Total 2 4 11" xfId="18468"/>
    <cellStyle name="Total 2 4 10" xfId="18469"/>
    <cellStyle name="Total 2 4 2" xfId="18470"/>
    <cellStyle name="Total 2 4 2 2" xfId="18471"/>
    <cellStyle name="Total 2 4 2 2 2" xfId="18472"/>
    <cellStyle name="Total 2 4 2 3" xfId="18473"/>
    <cellStyle name="Total 2 4 2 3 2" xfId="18474"/>
    <cellStyle name="Total 2 4 2 4" xfId="18475"/>
    <cellStyle name="Total 2 4 3" xfId="18476"/>
    <cellStyle name="Total 2 4 3 2" xfId="18477"/>
    <cellStyle name="Total 2 4 3 2 2" xfId="18478"/>
    <cellStyle name="Total 2 4 3 3" xfId="18479"/>
    <cellStyle name="Total 2 4 3 3 2" xfId="18480"/>
    <cellStyle name="Total 2 4 3 4" xfId="18481"/>
    <cellStyle name="Total 2 4 4" xfId="18482"/>
    <cellStyle name="Total 2 4 4 2" xfId="18483"/>
    <cellStyle name="Total 2 4 4 2 2" xfId="18484"/>
    <cellStyle name="Total 2 4 4 3" xfId="18485"/>
    <cellStyle name="Total 2 4 4 3 2" xfId="18486"/>
    <cellStyle name="Total 2 4 4 4" xfId="18487"/>
    <cellStyle name="Total 2 4 4 4 2" xfId="18488"/>
    <cellStyle name="Total 2 4 4 5" xfId="18489"/>
    <cellStyle name="Total 2 4 5" xfId="18490"/>
    <cellStyle name="Total 2 4 5 2" xfId="18491"/>
    <cellStyle name="Total 2 4 5 2 2" xfId="18492"/>
    <cellStyle name="Total 2 4 5 3" xfId="18493"/>
    <cellStyle name="Total 2 4 5 3 2" xfId="18494"/>
    <cellStyle name="Total 2 4 5 4" xfId="18495"/>
    <cellStyle name="Total 2 4 6" xfId="18496"/>
    <cellStyle name="Total 2 4 6 2" xfId="18497"/>
    <cellStyle name="Total 2 4 7" xfId="18498"/>
    <cellStyle name="Total 2 4 7 2" xfId="18499"/>
    <cellStyle name="Total 2 4 8" xfId="18500"/>
    <cellStyle name="Total 2 4 8 2" xfId="18501"/>
    <cellStyle name="Total 2 4 9" xfId="18502"/>
    <cellStyle name="Total 2 5 11" xfId="18503"/>
    <cellStyle name="Total 2 5 10" xfId="18504"/>
    <cellStyle name="Total 2 5 2" xfId="18505"/>
    <cellStyle name="Total 2 5 2 2" xfId="18506"/>
    <cellStyle name="Total 2 5 2 2 2" xfId="18507"/>
    <cellStyle name="Total 2 5 2 3" xfId="18508"/>
    <cellStyle name="Total 2 5 2 3 2" xfId="18509"/>
    <cellStyle name="Total 2 5 2 4" xfId="18510"/>
    <cellStyle name="Total 2 5 3" xfId="18511"/>
    <cellStyle name="Total 2 5 3 2" xfId="18512"/>
    <cellStyle name="Total 2 5 3 2 2" xfId="18513"/>
    <cellStyle name="Total 2 5 3 3" xfId="18514"/>
    <cellStyle name="Total 2 5 3 3 2" xfId="18515"/>
    <cellStyle name="Total 2 5 3 4" xfId="18516"/>
    <cellStyle name="Total 2 5 4" xfId="18517"/>
    <cellStyle name="Total 2 5 4 2" xfId="18518"/>
    <cellStyle name="Total 2 5 4 2 2" xfId="18519"/>
    <cellStyle name="Total 2 5 4 3" xfId="18520"/>
    <cellStyle name="Total 2 5 4 3 2" xfId="18521"/>
    <cellStyle name="Total 2 5 4 4" xfId="18522"/>
    <cellStyle name="Total 2 5 4 4 2" xfId="18523"/>
    <cellStyle name="Total 2 5 4 5" xfId="18524"/>
    <cellStyle name="Total 2 5 5" xfId="18525"/>
    <cellStyle name="Total 2 5 5 2" xfId="18526"/>
    <cellStyle name="Total 2 5 5 2 2" xfId="18527"/>
    <cellStyle name="Total 2 5 5 3" xfId="18528"/>
    <cellStyle name="Total 2 5 5 3 2" xfId="18529"/>
    <cellStyle name="Total 2 5 5 4" xfId="18530"/>
    <cellStyle name="Total 2 5 6" xfId="18531"/>
    <cellStyle name="Total 2 5 6 2" xfId="18532"/>
    <cellStyle name="Total 2 5 7" xfId="18533"/>
    <cellStyle name="Total 2 5 7 2" xfId="18534"/>
    <cellStyle name="Total 2 5 8" xfId="18535"/>
    <cellStyle name="Total 2 5 8 2" xfId="18536"/>
    <cellStyle name="Total 2 5 9" xfId="18537"/>
    <cellStyle name="Total 2 6 11" xfId="18538"/>
    <cellStyle name="Total 2 6 10" xfId="18539"/>
    <cellStyle name="Total 2 6 2" xfId="18540"/>
    <cellStyle name="Total 2 6 2 2" xfId="18541"/>
    <cellStyle name="Total 2 6 2 2 2" xfId="18542"/>
    <cellStyle name="Total 2 6 2 3" xfId="18543"/>
    <cellStyle name="Total 2 6 2 3 2" xfId="18544"/>
    <cellStyle name="Total 2 6 2 4" xfId="18545"/>
    <cellStyle name="Total 2 6 3" xfId="18546"/>
    <cellStyle name="Total 2 6 3 2" xfId="18547"/>
    <cellStyle name="Total 2 6 3 2 2" xfId="18548"/>
    <cellStyle name="Total 2 6 3 3" xfId="18549"/>
    <cellStyle name="Total 2 6 3 3 2" xfId="18550"/>
    <cellStyle name="Total 2 6 3 4" xfId="18551"/>
    <cellStyle name="Total 2 6 4" xfId="18552"/>
    <cellStyle name="Total 2 6 4 2" xfId="18553"/>
    <cellStyle name="Total 2 6 4 2 2" xfId="18554"/>
    <cellStyle name="Total 2 6 4 3" xfId="18555"/>
    <cellStyle name="Total 2 6 4 3 2" xfId="18556"/>
    <cellStyle name="Total 2 6 4 4" xfId="18557"/>
    <cellStyle name="Total 2 6 4 4 2" xfId="18558"/>
    <cellStyle name="Total 2 6 4 5" xfId="18559"/>
    <cellStyle name="Total 2 6 5" xfId="18560"/>
    <cellStyle name="Total 2 6 5 2" xfId="18561"/>
    <cellStyle name="Total 2 6 5 2 2" xfId="18562"/>
    <cellStyle name="Total 2 6 5 3" xfId="18563"/>
    <cellStyle name="Total 2 6 5 3 2" xfId="18564"/>
    <cellStyle name="Total 2 6 5 4" xfId="18565"/>
    <cellStyle name="Total 2 6 6" xfId="18566"/>
    <cellStyle name="Total 2 6 6 2" xfId="18567"/>
    <cellStyle name="Total 2 6 7" xfId="18568"/>
    <cellStyle name="Total 2 6 7 2" xfId="18569"/>
    <cellStyle name="Total 2 6 8" xfId="18570"/>
    <cellStyle name="Total 2 6 8 2" xfId="18571"/>
    <cellStyle name="Total 2 6 9" xfId="18572"/>
    <cellStyle name="Total 2 7 11" xfId="18573"/>
    <cellStyle name="Total 2 7 10" xfId="18574"/>
    <cellStyle name="Total 2 7 2" xfId="18575"/>
    <cellStyle name="Total 2 7 2 2" xfId="18576"/>
    <cellStyle name="Total 2 7 2 2 2" xfId="18577"/>
    <cellStyle name="Total 2 7 2 3" xfId="18578"/>
    <cellStyle name="Total 2 7 2 3 2" xfId="18579"/>
    <cellStyle name="Total 2 7 2 4" xfId="18580"/>
    <cellStyle name="Total 2 7 3" xfId="18581"/>
    <cellStyle name="Total 2 7 3 2" xfId="18582"/>
    <cellStyle name="Total 2 7 3 2 2" xfId="18583"/>
    <cellStyle name="Total 2 7 3 3" xfId="18584"/>
    <cellStyle name="Total 2 7 3 3 2" xfId="18585"/>
    <cellStyle name="Total 2 7 3 4" xfId="18586"/>
    <cellStyle name="Total 2 7 4" xfId="18587"/>
    <cellStyle name="Total 2 7 4 2" xfId="18588"/>
    <cellStyle name="Total 2 7 4 2 2" xfId="18589"/>
    <cellStyle name="Total 2 7 4 3" xfId="18590"/>
    <cellStyle name="Total 2 7 4 3 2" xfId="18591"/>
    <cellStyle name="Total 2 7 4 4" xfId="18592"/>
    <cellStyle name="Total 2 7 4 4 2" xfId="18593"/>
    <cellStyle name="Total 2 7 4 5" xfId="18594"/>
    <cellStyle name="Total 2 7 5" xfId="18595"/>
    <cellStyle name="Total 2 7 5 2" xfId="18596"/>
    <cellStyle name="Total 2 7 5 2 2" xfId="18597"/>
    <cellStyle name="Total 2 7 5 3" xfId="18598"/>
    <cellStyle name="Total 2 7 5 3 2" xfId="18599"/>
    <cellStyle name="Total 2 7 5 4" xfId="18600"/>
    <cellStyle name="Total 2 7 6" xfId="18601"/>
    <cellStyle name="Total 2 7 6 2" xfId="18602"/>
    <cellStyle name="Total 2 7 7" xfId="18603"/>
    <cellStyle name="Total 2 7 7 2" xfId="18604"/>
    <cellStyle name="Total 2 7 8" xfId="18605"/>
    <cellStyle name="Total 2 7 8 2" xfId="18606"/>
    <cellStyle name="Total 2 7 9" xfId="18607"/>
    <cellStyle name="Total 2 8 11" xfId="18608"/>
    <cellStyle name="Total 2 8 10" xfId="18609"/>
    <cellStyle name="Total 2 8 2" xfId="18610"/>
    <cellStyle name="Total 2 8 2 2" xfId="18611"/>
    <cellStyle name="Total 2 8 2 2 2" xfId="18612"/>
    <cellStyle name="Total 2 8 2 3" xfId="18613"/>
    <cellStyle name="Total 2 8 2 3 2" xfId="18614"/>
    <cellStyle name="Total 2 8 2 4" xfId="18615"/>
    <cellStyle name="Total 2 8 3" xfId="18616"/>
    <cellStyle name="Total 2 8 3 2" xfId="18617"/>
    <cellStyle name="Total 2 8 3 2 2" xfId="18618"/>
    <cellStyle name="Total 2 8 3 3" xfId="18619"/>
    <cellStyle name="Total 2 8 3 3 2" xfId="18620"/>
    <cellStyle name="Total 2 8 3 4" xfId="18621"/>
    <cellStyle name="Total 2 8 4" xfId="18622"/>
    <cellStyle name="Total 2 8 4 2" xfId="18623"/>
    <cellStyle name="Total 2 8 4 2 2" xfId="18624"/>
    <cellStyle name="Total 2 8 4 3" xfId="18625"/>
    <cellStyle name="Total 2 8 4 3 2" xfId="18626"/>
    <cellStyle name="Total 2 8 4 4" xfId="18627"/>
    <cellStyle name="Total 2 8 4 4 2" xfId="18628"/>
    <cellStyle name="Total 2 8 4 5" xfId="18629"/>
    <cellStyle name="Total 2 8 5" xfId="18630"/>
    <cellStyle name="Total 2 8 5 2" xfId="18631"/>
    <cellStyle name="Total 2 8 5 2 2" xfId="18632"/>
    <cellStyle name="Total 2 8 5 3" xfId="18633"/>
    <cellStyle name="Total 2 8 5 3 2" xfId="18634"/>
    <cellStyle name="Total 2 8 5 4" xfId="18635"/>
    <cellStyle name="Total 2 8 6" xfId="18636"/>
    <cellStyle name="Total 2 8 6 2" xfId="18637"/>
    <cellStyle name="Total 2 8 7" xfId="18638"/>
    <cellStyle name="Total 2 8 7 2" xfId="18639"/>
    <cellStyle name="Total 2 8 8" xfId="18640"/>
    <cellStyle name="Total 2 8 8 2" xfId="18641"/>
    <cellStyle name="Total 2 8 9" xfId="18642"/>
    <cellStyle name="Total 2 9 11" xfId="18643"/>
    <cellStyle name="Total 2 9 10" xfId="18644"/>
    <cellStyle name="Total 2 9 2" xfId="18645"/>
    <cellStyle name="Total 2 9 2 2" xfId="18646"/>
    <cellStyle name="Total 2 9 2 2 2" xfId="18647"/>
    <cellStyle name="Total 2 9 2 3" xfId="18648"/>
    <cellStyle name="Total 2 9 2 3 2" xfId="18649"/>
    <cellStyle name="Total 2 9 2 4" xfId="18650"/>
    <cellStyle name="Total 2 9 3" xfId="18651"/>
    <cellStyle name="Total 2 9 3 2" xfId="18652"/>
    <cellStyle name="Total 2 9 3 2 2" xfId="18653"/>
    <cellStyle name="Total 2 9 3 3" xfId="18654"/>
    <cellStyle name="Total 2 9 3 3 2" xfId="18655"/>
    <cellStyle name="Total 2 9 3 4" xfId="18656"/>
    <cellStyle name="Total 2 9 4" xfId="18657"/>
    <cellStyle name="Total 2 9 4 2" xfId="18658"/>
    <cellStyle name="Total 2 9 4 2 2" xfId="18659"/>
    <cellStyle name="Total 2 9 4 3" xfId="18660"/>
    <cellStyle name="Total 2 9 4 3 2" xfId="18661"/>
    <cellStyle name="Total 2 9 4 4" xfId="18662"/>
    <cellStyle name="Total 2 9 4 4 2" xfId="18663"/>
    <cellStyle name="Total 2 9 4 5" xfId="18664"/>
    <cellStyle name="Total 2 9 5" xfId="18665"/>
    <cellStyle name="Total 2 9 5 2" xfId="18666"/>
    <cellStyle name="Total 2 9 5 2 2" xfId="18667"/>
    <cellStyle name="Total 2 9 5 3" xfId="18668"/>
    <cellStyle name="Total 2 9 5 3 2" xfId="18669"/>
    <cellStyle name="Total 2 9 5 4" xfId="18670"/>
    <cellStyle name="Total 2 9 6" xfId="18671"/>
    <cellStyle name="Total 2 9 6 2" xfId="18672"/>
    <cellStyle name="Total 2 9 7" xfId="18673"/>
    <cellStyle name="Total 2 9 7 2" xfId="18674"/>
    <cellStyle name="Total 2 9 8" xfId="18675"/>
    <cellStyle name="Total 2 9 8 2" xfId="18676"/>
    <cellStyle name="Total 2 9 9" xfId="18677"/>
    <cellStyle name="Total 20 12" xfId="18678"/>
    <cellStyle name="Total 20 10" xfId="18679"/>
    <cellStyle name="Total 20 11" xfId="18680"/>
    <cellStyle name="Total 20 2" xfId="18681"/>
    <cellStyle name="Total 20 2 2" xfId="18682"/>
    <cellStyle name="Total 20 2 2 2" xfId="18683"/>
    <cellStyle name="Total 20 2 3" xfId="18684"/>
    <cellStyle name="Total 20 2 3 2" xfId="18685"/>
    <cellStyle name="Total 20 2 4" xfId="18686"/>
    <cellStyle name="Total 20 2 5" xfId="18687"/>
    <cellStyle name="Total 20 3" xfId="18688"/>
    <cellStyle name="Total 20 3 2" xfId="18689"/>
    <cellStyle name="Total 20 3 2 2" xfId="18690"/>
    <cellStyle name="Total 20 3 3" xfId="18691"/>
    <cellStyle name="Total 20 3 3 2" xfId="18692"/>
    <cellStyle name="Total 20 3 4" xfId="18693"/>
    <cellStyle name="Total 20 4" xfId="18694"/>
    <cellStyle name="Total 20 4 2" xfId="18695"/>
    <cellStyle name="Total 20 4 2 2" xfId="18696"/>
    <cellStyle name="Total 20 4 3" xfId="18697"/>
    <cellStyle name="Total 20 4 3 2" xfId="18698"/>
    <cellStyle name="Total 20 4 4" xfId="18699"/>
    <cellStyle name="Total 20 5" xfId="18700"/>
    <cellStyle name="Total 20 5 2" xfId="18701"/>
    <cellStyle name="Total 20 5 2 2" xfId="18702"/>
    <cellStyle name="Total 20 5 3" xfId="18703"/>
    <cellStyle name="Total 20 5 3 2" xfId="18704"/>
    <cellStyle name="Total 20 5 4" xfId="18705"/>
    <cellStyle name="Total 20 5 4 2" xfId="18706"/>
    <cellStyle name="Total 20 5 5" xfId="18707"/>
    <cellStyle name="Total 20 6" xfId="18708"/>
    <cellStyle name="Total 20 6 2" xfId="18709"/>
    <cellStyle name="Total 20 6 2 2" xfId="18710"/>
    <cellStyle name="Total 20 6 3" xfId="18711"/>
    <cellStyle name="Total 20 6 3 2" xfId="18712"/>
    <cellStyle name="Total 20 6 4" xfId="18713"/>
    <cellStyle name="Total 20 7" xfId="18714"/>
    <cellStyle name="Total 20 7 2" xfId="18715"/>
    <cellStyle name="Total 20 8" xfId="18716"/>
    <cellStyle name="Total 20 8 2" xfId="18717"/>
    <cellStyle name="Total 20 9" xfId="18718"/>
    <cellStyle name="Total 20 9 2" xfId="18719"/>
    <cellStyle name="Total 21 12" xfId="18720"/>
    <cellStyle name="Total 21 10" xfId="18721"/>
    <cellStyle name="Total 21 11" xfId="18722"/>
    <cellStyle name="Total 21 2" xfId="18723"/>
    <cellStyle name="Total 21 2 2" xfId="18724"/>
    <cellStyle name="Total 21 2 2 2" xfId="18725"/>
    <cellStyle name="Total 21 2 3" xfId="18726"/>
    <cellStyle name="Total 21 2 3 2" xfId="18727"/>
    <cellStyle name="Total 21 2 4" xfId="18728"/>
    <cellStyle name="Total 21 2 5" xfId="18729"/>
    <cellStyle name="Total 21 3" xfId="18730"/>
    <cellStyle name="Total 21 3 2" xfId="18731"/>
    <cellStyle name="Total 21 3 2 2" xfId="18732"/>
    <cellStyle name="Total 21 3 3" xfId="18733"/>
    <cellStyle name="Total 21 3 3 2" xfId="18734"/>
    <cellStyle name="Total 21 3 4" xfId="18735"/>
    <cellStyle name="Total 21 4" xfId="18736"/>
    <cellStyle name="Total 21 4 2" xfId="18737"/>
    <cellStyle name="Total 21 4 2 2" xfId="18738"/>
    <cellStyle name="Total 21 4 3" xfId="18739"/>
    <cellStyle name="Total 21 4 3 2" xfId="18740"/>
    <cellStyle name="Total 21 4 4" xfId="18741"/>
    <cellStyle name="Total 21 5" xfId="18742"/>
    <cellStyle name="Total 21 5 2" xfId="18743"/>
    <cellStyle name="Total 21 5 2 2" xfId="18744"/>
    <cellStyle name="Total 21 5 3" xfId="18745"/>
    <cellStyle name="Total 21 5 3 2" xfId="18746"/>
    <cellStyle name="Total 21 5 4" xfId="18747"/>
    <cellStyle name="Total 21 5 4 2" xfId="18748"/>
    <cellStyle name="Total 21 5 5" xfId="18749"/>
    <cellStyle name="Total 21 6" xfId="18750"/>
    <cellStyle name="Total 21 6 2" xfId="18751"/>
    <cellStyle name="Total 21 6 2 2" xfId="18752"/>
    <cellStyle name="Total 21 6 3" xfId="18753"/>
    <cellStyle name="Total 21 6 3 2" xfId="18754"/>
    <cellStyle name="Total 21 6 4" xfId="18755"/>
    <cellStyle name="Total 21 7" xfId="18756"/>
    <cellStyle name="Total 21 7 2" xfId="18757"/>
    <cellStyle name="Total 21 8" xfId="18758"/>
    <cellStyle name="Total 21 8 2" xfId="18759"/>
    <cellStyle name="Total 21 9" xfId="18760"/>
    <cellStyle name="Total 21 9 2" xfId="18761"/>
    <cellStyle name="Total 22 12" xfId="18762"/>
    <cellStyle name="Total 22 10" xfId="18763"/>
    <cellStyle name="Total 22 11" xfId="18764"/>
    <cellStyle name="Total 22 2" xfId="18765"/>
    <cellStyle name="Total 22 2 2" xfId="18766"/>
    <cellStyle name="Total 22 2 2 2" xfId="18767"/>
    <cellStyle name="Total 22 2 3" xfId="18768"/>
    <cellStyle name="Total 22 2 3 2" xfId="18769"/>
    <cellStyle name="Total 22 2 4" xfId="18770"/>
    <cellStyle name="Total 22 2 5" xfId="18771"/>
    <cellStyle name="Total 22 3" xfId="18772"/>
    <cellStyle name="Total 22 3 2" xfId="18773"/>
    <cellStyle name="Total 22 3 2 2" xfId="18774"/>
    <cellStyle name="Total 22 3 3" xfId="18775"/>
    <cellStyle name="Total 22 3 3 2" xfId="18776"/>
    <cellStyle name="Total 22 3 4" xfId="18777"/>
    <cellStyle name="Total 22 4" xfId="18778"/>
    <cellStyle name="Total 22 4 2" xfId="18779"/>
    <cellStyle name="Total 22 4 2 2" xfId="18780"/>
    <cellStyle name="Total 22 4 3" xfId="18781"/>
    <cellStyle name="Total 22 4 3 2" xfId="18782"/>
    <cellStyle name="Total 22 4 4" xfId="18783"/>
    <cellStyle name="Total 22 5" xfId="18784"/>
    <cellStyle name="Total 22 5 2" xfId="18785"/>
    <cellStyle name="Total 22 5 2 2" xfId="18786"/>
    <cellStyle name="Total 22 5 3" xfId="18787"/>
    <cellStyle name="Total 22 5 3 2" xfId="18788"/>
    <cellStyle name="Total 22 5 4" xfId="18789"/>
    <cellStyle name="Total 22 5 4 2" xfId="18790"/>
    <cellStyle name="Total 22 5 5" xfId="18791"/>
    <cellStyle name="Total 22 6" xfId="18792"/>
    <cellStyle name="Total 22 6 2" xfId="18793"/>
    <cellStyle name="Total 22 6 2 2" xfId="18794"/>
    <cellStyle name="Total 22 6 3" xfId="18795"/>
    <cellStyle name="Total 22 6 3 2" xfId="18796"/>
    <cellStyle name="Total 22 6 4" xfId="18797"/>
    <cellStyle name="Total 22 7" xfId="18798"/>
    <cellStyle name="Total 22 7 2" xfId="18799"/>
    <cellStyle name="Total 22 8" xfId="18800"/>
    <cellStyle name="Total 22 8 2" xfId="18801"/>
    <cellStyle name="Total 22 9" xfId="18802"/>
    <cellStyle name="Total 22 9 2" xfId="18803"/>
    <cellStyle name="Total 23 12" xfId="18804"/>
    <cellStyle name="Total 23 10" xfId="18805"/>
    <cellStyle name="Total 23 11" xfId="18806"/>
    <cellStyle name="Total 23 2" xfId="18807"/>
    <cellStyle name="Total 23 2 2" xfId="18808"/>
    <cellStyle name="Total 23 2 2 2" xfId="18809"/>
    <cellStyle name="Total 23 2 3" xfId="18810"/>
    <cellStyle name="Total 23 2 3 2" xfId="18811"/>
    <cellStyle name="Total 23 2 4" xfId="18812"/>
    <cellStyle name="Total 23 2 5" xfId="18813"/>
    <cellStyle name="Total 23 3" xfId="18814"/>
    <cellStyle name="Total 23 3 2" xfId="18815"/>
    <cellStyle name="Total 23 3 2 2" xfId="18816"/>
    <cellStyle name="Total 23 3 3" xfId="18817"/>
    <cellStyle name="Total 23 3 3 2" xfId="18818"/>
    <cellStyle name="Total 23 3 4" xfId="18819"/>
    <cellStyle name="Total 23 4" xfId="18820"/>
    <cellStyle name="Total 23 4 2" xfId="18821"/>
    <cellStyle name="Total 23 4 2 2" xfId="18822"/>
    <cellStyle name="Total 23 4 3" xfId="18823"/>
    <cellStyle name="Total 23 4 3 2" xfId="18824"/>
    <cellStyle name="Total 23 4 4" xfId="18825"/>
    <cellStyle name="Total 23 5" xfId="18826"/>
    <cellStyle name="Total 23 5 2" xfId="18827"/>
    <cellStyle name="Total 23 5 2 2" xfId="18828"/>
    <cellStyle name="Total 23 5 3" xfId="18829"/>
    <cellStyle name="Total 23 5 3 2" xfId="18830"/>
    <cellStyle name="Total 23 5 4" xfId="18831"/>
    <cellStyle name="Total 23 5 4 2" xfId="18832"/>
    <cellStyle name="Total 23 5 5" xfId="18833"/>
    <cellStyle name="Total 23 6" xfId="18834"/>
    <cellStyle name="Total 23 6 2" xfId="18835"/>
    <cellStyle name="Total 23 6 2 2" xfId="18836"/>
    <cellStyle name="Total 23 6 3" xfId="18837"/>
    <cellStyle name="Total 23 6 3 2" xfId="18838"/>
    <cellStyle name="Total 23 6 4" xfId="18839"/>
    <cellStyle name="Total 23 7" xfId="18840"/>
    <cellStyle name="Total 23 7 2" xfId="18841"/>
    <cellStyle name="Total 23 8" xfId="18842"/>
    <cellStyle name="Total 23 8 2" xfId="18843"/>
    <cellStyle name="Total 23 9" xfId="18844"/>
    <cellStyle name="Total 23 9 2" xfId="18845"/>
    <cellStyle name="Total 24 12" xfId="18846"/>
    <cellStyle name="Total 24 10" xfId="18847"/>
    <cellStyle name="Total 24 11" xfId="18848"/>
    <cellStyle name="Total 24 2" xfId="18849"/>
    <cellStyle name="Total 24 2 2" xfId="18850"/>
    <cellStyle name="Total 24 2 2 2" xfId="18851"/>
    <cellStyle name="Total 24 2 3" xfId="18852"/>
    <cellStyle name="Total 24 2 3 2" xfId="18853"/>
    <cellStyle name="Total 24 2 4" xfId="18854"/>
    <cellStyle name="Total 24 2 5" xfId="18855"/>
    <cellStyle name="Total 24 3" xfId="18856"/>
    <cellStyle name="Total 24 3 2" xfId="18857"/>
    <cellStyle name="Total 24 3 2 2" xfId="18858"/>
    <cellStyle name="Total 24 3 3" xfId="18859"/>
    <cellStyle name="Total 24 3 3 2" xfId="18860"/>
    <cellStyle name="Total 24 3 4" xfId="18861"/>
    <cellStyle name="Total 24 4" xfId="18862"/>
    <cellStyle name="Total 24 4 2" xfId="18863"/>
    <cellStyle name="Total 24 4 2 2" xfId="18864"/>
    <cellStyle name="Total 24 4 3" xfId="18865"/>
    <cellStyle name="Total 24 4 3 2" xfId="18866"/>
    <cellStyle name="Total 24 4 4" xfId="18867"/>
    <cellStyle name="Total 24 5" xfId="18868"/>
    <cellStyle name="Total 24 5 2" xfId="18869"/>
    <cellStyle name="Total 24 5 2 2" xfId="18870"/>
    <cellStyle name="Total 24 5 3" xfId="18871"/>
    <cellStyle name="Total 24 5 3 2" xfId="18872"/>
    <cellStyle name="Total 24 5 4" xfId="18873"/>
    <cellStyle name="Total 24 5 4 2" xfId="18874"/>
    <cellStyle name="Total 24 5 5" xfId="18875"/>
    <cellStyle name="Total 24 6" xfId="18876"/>
    <cellStyle name="Total 24 6 2" xfId="18877"/>
    <cellStyle name="Total 24 6 2 2" xfId="18878"/>
    <cellStyle name="Total 24 6 3" xfId="18879"/>
    <cellStyle name="Total 24 6 3 2" xfId="18880"/>
    <cellStyle name="Total 24 6 4" xfId="18881"/>
    <cellStyle name="Total 24 7" xfId="18882"/>
    <cellStyle name="Total 24 7 2" xfId="18883"/>
    <cellStyle name="Total 24 8" xfId="18884"/>
    <cellStyle name="Total 24 8 2" xfId="18885"/>
    <cellStyle name="Total 24 9" xfId="18886"/>
    <cellStyle name="Total 24 9 2" xfId="18887"/>
    <cellStyle name="Total 25 12" xfId="18888"/>
    <cellStyle name="Total 25 10" xfId="18889"/>
    <cellStyle name="Total 25 11" xfId="18890"/>
    <cellStyle name="Total 25 2" xfId="18891"/>
    <cellStyle name="Total 25 2 2" xfId="18892"/>
    <cellStyle name="Total 25 2 2 2" xfId="18893"/>
    <cellStyle name="Total 25 2 3" xfId="18894"/>
    <cellStyle name="Total 25 2 3 2" xfId="18895"/>
    <cellStyle name="Total 25 2 4" xfId="18896"/>
    <cellStyle name="Total 25 2 5" xfId="18897"/>
    <cellStyle name="Total 25 3" xfId="18898"/>
    <cellStyle name="Total 25 3 2" xfId="18899"/>
    <cellStyle name="Total 25 3 2 2" xfId="18900"/>
    <cellStyle name="Total 25 3 3" xfId="18901"/>
    <cellStyle name="Total 25 3 3 2" xfId="18902"/>
    <cellStyle name="Total 25 3 4" xfId="18903"/>
    <cellStyle name="Total 25 4" xfId="18904"/>
    <cellStyle name="Total 25 4 2" xfId="18905"/>
    <cellStyle name="Total 25 4 2 2" xfId="18906"/>
    <cellStyle name="Total 25 4 3" xfId="18907"/>
    <cellStyle name="Total 25 4 3 2" xfId="18908"/>
    <cellStyle name="Total 25 4 4" xfId="18909"/>
    <cellStyle name="Total 25 5" xfId="18910"/>
    <cellStyle name="Total 25 5 2" xfId="18911"/>
    <cellStyle name="Total 25 5 2 2" xfId="18912"/>
    <cellStyle name="Total 25 5 3" xfId="18913"/>
    <cellStyle name="Total 25 5 3 2" xfId="18914"/>
    <cellStyle name="Total 25 5 4" xfId="18915"/>
    <cellStyle name="Total 25 5 4 2" xfId="18916"/>
    <cellStyle name="Total 25 5 5" xfId="18917"/>
    <cellStyle name="Total 25 6" xfId="18918"/>
    <cellStyle name="Total 25 6 2" xfId="18919"/>
    <cellStyle name="Total 25 6 2 2" xfId="18920"/>
    <cellStyle name="Total 25 6 3" xfId="18921"/>
    <cellStyle name="Total 25 6 3 2" xfId="18922"/>
    <cellStyle name="Total 25 6 4" xfId="18923"/>
    <cellStyle name="Total 25 7" xfId="18924"/>
    <cellStyle name="Total 25 7 2" xfId="18925"/>
    <cellStyle name="Total 25 8" xfId="18926"/>
    <cellStyle name="Total 25 8 2" xfId="18927"/>
    <cellStyle name="Total 25 9" xfId="18928"/>
    <cellStyle name="Total 25 9 2" xfId="18929"/>
    <cellStyle name="Total 26 12" xfId="18930"/>
    <cellStyle name="Total 26 10" xfId="18931"/>
    <cellStyle name="Total 26 11" xfId="18932"/>
    <cellStyle name="Total 26 2" xfId="18933"/>
    <cellStyle name="Total 26 2 2" xfId="18934"/>
    <cellStyle name="Total 26 2 2 2" xfId="18935"/>
    <cellStyle name="Total 26 2 3" xfId="18936"/>
    <cellStyle name="Total 26 2 3 2" xfId="18937"/>
    <cellStyle name="Total 26 2 4" xfId="18938"/>
    <cellStyle name="Total 26 2 5" xfId="18939"/>
    <cellStyle name="Total 26 3" xfId="18940"/>
    <cellStyle name="Total 26 3 2" xfId="18941"/>
    <cellStyle name="Total 26 3 2 2" xfId="18942"/>
    <cellStyle name="Total 26 3 3" xfId="18943"/>
    <cellStyle name="Total 26 3 3 2" xfId="18944"/>
    <cellStyle name="Total 26 3 4" xfId="18945"/>
    <cellStyle name="Total 26 4" xfId="18946"/>
    <cellStyle name="Total 26 4 2" xfId="18947"/>
    <cellStyle name="Total 26 4 2 2" xfId="18948"/>
    <cellStyle name="Total 26 4 3" xfId="18949"/>
    <cellStyle name="Total 26 4 3 2" xfId="18950"/>
    <cellStyle name="Total 26 4 4" xfId="18951"/>
    <cellStyle name="Total 26 5" xfId="18952"/>
    <cellStyle name="Total 26 5 2" xfId="18953"/>
    <cellStyle name="Total 26 5 2 2" xfId="18954"/>
    <cellStyle name="Total 26 5 3" xfId="18955"/>
    <cellStyle name="Total 26 5 3 2" xfId="18956"/>
    <cellStyle name="Total 26 5 4" xfId="18957"/>
    <cellStyle name="Total 26 5 4 2" xfId="18958"/>
    <cellStyle name="Total 26 5 5" xfId="18959"/>
    <cellStyle name="Total 26 6" xfId="18960"/>
    <cellStyle name="Total 26 6 2" xfId="18961"/>
    <cellStyle name="Total 26 6 2 2" xfId="18962"/>
    <cellStyle name="Total 26 6 3" xfId="18963"/>
    <cellStyle name="Total 26 6 3 2" xfId="18964"/>
    <cellStyle name="Total 26 6 4" xfId="18965"/>
    <cellStyle name="Total 26 7" xfId="18966"/>
    <cellStyle name="Total 26 7 2" xfId="18967"/>
    <cellStyle name="Total 26 8" xfId="18968"/>
    <cellStyle name="Total 26 8 2" xfId="18969"/>
    <cellStyle name="Total 26 9" xfId="18970"/>
    <cellStyle name="Total 26 9 2" xfId="18971"/>
    <cellStyle name="Total 27 12" xfId="18972"/>
    <cellStyle name="Total 27 10" xfId="18973"/>
    <cellStyle name="Total 27 11" xfId="18974"/>
    <cellStyle name="Total 27 2" xfId="18975"/>
    <cellStyle name="Total 27 2 2" xfId="18976"/>
    <cellStyle name="Total 27 2 2 2" xfId="18977"/>
    <cellStyle name="Total 27 2 3" xfId="18978"/>
    <cellStyle name="Total 27 2 3 2" xfId="18979"/>
    <cellStyle name="Total 27 2 4" xfId="18980"/>
    <cellStyle name="Total 27 2 5" xfId="18981"/>
    <cellStyle name="Total 27 3" xfId="18982"/>
    <cellStyle name="Total 27 3 2" xfId="18983"/>
    <cellStyle name="Total 27 3 2 2" xfId="18984"/>
    <cellStyle name="Total 27 3 3" xfId="18985"/>
    <cellStyle name="Total 27 3 3 2" xfId="18986"/>
    <cellStyle name="Total 27 3 4" xfId="18987"/>
    <cellStyle name="Total 27 4" xfId="18988"/>
    <cellStyle name="Total 27 4 2" xfId="18989"/>
    <cellStyle name="Total 27 4 2 2" xfId="18990"/>
    <cellStyle name="Total 27 4 3" xfId="18991"/>
    <cellStyle name="Total 27 4 3 2" xfId="18992"/>
    <cellStyle name="Total 27 4 4" xfId="18993"/>
    <cellStyle name="Total 27 5" xfId="18994"/>
    <cellStyle name="Total 27 5 2" xfId="18995"/>
    <cellStyle name="Total 27 5 2 2" xfId="18996"/>
    <cellStyle name="Total 27 5 3" xfId="18997"/>
    <cellStyle name="Total 27 5 3 2" xfId="18998"/>
    <cellStyle name="Total 27 5 4" xfId="18999"/>
    <cellStyle name="Total 27 5 4 2" xfId="19000"/>
    <cellStyle name="Total 27 5 5" xfId="19001"/>
    <cellStyle name="Total 27 6" xfId="19002"/>
    <cellStyle name="Total 27 6 2" xfId="19003"/>
    <cellStyle name="Total 27 6 2 2" xfId="19004"/>
    <cellStyle name="Total 27 6 3" xfId="19005"/>
    <cellStyle name="Total 27 6 3 2" xfId="19006"/>
    <cellStyle name="Total 27 6 4" xfId="19007"/>
    <cellStyle name="Total 27 7" xfId="19008"/>
    <cellStyle name="Total 27 7 2" xfId="19009"/>
    <cellStyle name="Total 27 8" xfId="19010"/>
    <cellStyle name="Total 27 8 2" xfId="19011"/>
    <cellStyle name="Total 27 9" xfId="19012"/>
    <cellStyle name="Total 27 9 2" xfId="19013"/>
    <cellStyle name="Total 28 12" xfId="19014"/>
    <cellStyle name="Total 28 10" xfId="19015"/>
    <cellStyle name="Total 28 11" xfId="19016"/>
    <cellStyle name="Total 28 2" xfId="19017"/>
    <cellStyle name="Total 28 2 2" xfId="19018"/>
    <cellStyle name="Total 28 2 2 2" xfId="19019"/>
    <cellStyle name="Total 28 2 3" xfId="19020"/>
    <cellStyle name="Total 28 2 3 2" xfId="19021"/>
    <cellStyle name="Total 28 2 4" xfId="19022"/>
    <cellStyle name="Total 28 2 5" xfId="19023"/>
    <cellStyle name="Total 28 3" xfId="19024"/>
    <cellStyle name="Total 28 3 2" xfId="19025"/>
    <cellStyle name="Total 28 3 2 2" xfId="19026"/>
    <cellStyle name="Total 28 3 3" xfId="19027"/>
    <cellStyle name="Total 28 3 3 2" xfId="19028"/>
    <cellStyle name="Total 28 3 4" xfId="19029"/>
    <cellStyle name="Total 28 4" xfId="19030"/>
    <cellStyle name="Total 28 4 2" xfId="19031"/>
    <cellStyle name="Total 28 4 2 2" xfId="19032"/>
    <cellStyle name="Total 28 4 3" xfId="19033"/>
    <cellStyle name="Total 28 4 3 2" xfId="19034"/>
    <cellStyle name="Total 28 4 4" xfId="19035"/>
    <cellStyle name="Total 28 5" xfId="19036"/>
    <cellStyle name="Total 28 5 2" xfId="19037"/>
    <cellStyle name="Total 28 5 2 2" xfId="19038"/>
    <cellStyle name="Total 28 5 3" xfId="19039"/>
    <cellStyle name="Total 28 5 3 2" xfId="19040"/>
    <cellStyle name="Total 28 5 4" xfId="19041"/>
    <cellStyle name="Total 28 5 4 2" xfId="19042"/>
    <cellStyle name="Total 28 5 5" xfId="19043"/>
    <cellStyle name="Total 28 6" xfId="19044"/>
    <cellStyle name="Total 28 6 2" xfId="19045"/>
    <cellStyle name="Total 28 6 2 2" xfId="19046"/>
    <cellStyle name="Total 28 6 3" xfId="19047"/>
    <cellStyle name="Total 28 6 3 2" xfId="19048"/>
    <cellStyle name="Total 28 6 4" xfId="19049"/>
    <cellStyle name="Total 28 7" xfId="19050"/>
    <cellStyle name="Total 28 7 2" xfId="19051"/>
    <cellStyle name="Total 28 8" xfId="19052"/>
    <cellStyle name="Total 28 8 2" xfId="19053"/>
    <cellStyle name="Total 28 9" xfId="19054"/>
    <cellStyle name="Total 28 9 2" xfId="19055"/>
    <cellStyle name="Total 29 12" xfId="19056"/>
    <cellStyle name="Total 29 10" xfId="19057"/>
    <cellStyle name="Total 29 11" xfId="19058"/>
    <cellStyle name="Total 29 2" xfId="19059"/>
    <cellStyle name="Total 29 2 2" xfId="19060"/>
    <cellStyle name="Total 29 2 2 2" xfId="19061"/>
    <cellStyle name="Total 29 2 3" xfId="19062"/>
    <cellStyle name="Total 29 2 3 2" xfId="19063"/>
    <cellStyle name="Total 29 2 4" xfId="19064"/>
    <cellStyle name="Total 29 2 5" xfId="19065"/>
    <cellStyle name="Total 29 3" xfId="19066"/>
    <cellStyle name="Total 29 3 2" xfId="19067"/>
    <cellStyle name="Total 29 3 2 2" xfId="19068"/>
    <cellStyle name="Total 29 3 3" xfId="19069"/>
    <cellStyle name="Total 29 3 3 2" xfId="19070"/>
    <cellStyle name="Total 29 3 4" xfId="19071"/>
    <cellStyle name="Total 29 4" xfId="19072"/>
    <cellStyle name="Total 29 4 2" xfId="19073"/>
    <cellStyle name="Total 29 4 2 2" xfId="19074"/>
    <cellStyle name="Total 29 4 3" xfId="19075"/>
    <cellStyle name="Total 29 4 3 2" xfId="19076"/>
    <cellStyle name="Total 29 4 4" xfId="19077"/>
    <cellStyle name="Total 29 5" xfId="19078"/>
    <cellStyle name="Total 29 5 2" xfId="19079"/>
    <cellStyle name="Total 29 5 2 2" xfId="19080"/>
    <cellStyle name="Total 29 5 3" xfId="19081"/>
    <cellStyle name="Total 29 5 3 2" xfId="19082"/>
    <cellStyle name="Total 29 5 4" xfId="19083"/>
    <cellStyle name="Total 29 5 4 2" xfId="19084"/>
    <cellStyle name="Total 29 5 5" xfId="19085"/>
    <cellStyle name="Total 29 6" xfId="19086"/>
    <cellStyle name="Total 29 6 2" xfId="19087"/>
    <cellStyle name="Total 29 6 2 2" xfId="19088"/>
    <cellStyle name="Total 29 6 3" xfId="19089"/>
    <cellStyle name="Total 29 6 3 2" xfId="19090"/>
    <cellStyle name="Total 29 6 4" xfId="19091"/>
    <cellStyle name="Total 29 7" xfId="19092"/>
    <cellStyle name="Total 29 7 2" xfId="19093"/>
    <cellStyle name="Total 29 8" xfId="19094"/>
    <cellStyle name="Total 29 8 2" xfId="19095"/>
    <cellStyle name="Total 29 9" xfId="19096"/>
    <cellStyle name="Total 29 9 2" xfId="19097"/>
    <cellStyle name="Total 3 13" xfId="19098"/>
    <cellStyle name="Total 3 10" xfId="19099"/>
    <cellStyle name="Total 3 10 2" xfId="19100"/>
    <cellStyle name="Total 3 11" xfId="19101"/>
    <cellStyle name="Total 3 12" xfId="19102"/>
    <cellStyle name="Total 3 2 11" xfId="19103"/>
    <cellStyle name="Total 3 2 10" xfId="19104"/>
    <cellStyle name="Total 3 2 2" xfId="19105"/>
    <cellStyle name="Total 3 2 2 2" xfId="19106"/>
    <cellStyle name="Total 3 2 2 2 2" xfId="19107"/>
    <cellStyle name="Total 3 2 2 3" xfId="19108"/>
    <cellStyle name="Total 3 2 2 3 2" xfId="19109"/>
    <cellStyle name="Total 3 2 2 4" xfId="19110"/>
    <cellStyle name="Total 3 2 3" xfId="19111"/>
    <cellStyle name="Total 3 2 3 2" xfId="19112"/>
    <cellStyle name="Total 3 2 3 2 2" xfId="19113"/>
    <cellStyle name="Total 3 2 3 3" xfId="19114"/>
    <cellStyle name="Total 3 2 3 3 2" xfId="19115"/>
    <cellStyle name="Total 3 2 3 4" xfId="19116"/>
    <cellStyle name="Total 3 2 4" xfId="19117"/>
    <cellStyle name="Total 3 2 4 2" xfId="19118"/>
    <cellStyle name="Total 3 2 4 2 2" xfId="19119"/>
    <cellStyle name="Total 3 2 4 3" xfId="19120"/>
    <cellStyle name="Total 3 2 4 3 2" xfId="19121"/>
    <cellStyle name="Total 3 2 4 4" xfId="19122"/>
    <cellStyle name="Total 3 2 4 4 2" xfId="19123"/>
    <cellStyle name="Total 3 2 4 5" xfId="19124"/>
    <cellStyle name="Total 3 2 5" xfId="19125"/>
    <cellStyle name="Total 3 2 5 2" xfId="19126"/>
    <cellStyle name="Total 3 2 5 2 2" xfId="19127"/>
    <cellStyle name="Total 3 2 5 3" xfId="19128"/>
    <cellStyle name="Total 3 2 5 3 2" xfId="19129"/>
    <cellStyle name="Total 3 2 5 4" xfId="19130"/>
    <cellStyle name="Total 3 2 6" xfId="19131"/>
    <cellStyle name="Total 3 2 6 2" xfId="19132"/>
    <cellStyle name="Total 3 2 7" xfId="19133"/>
    <cellStyle name="Total 3 2 7 2" xfId="19134"/>
    <cellStyle name="Total 3 2 8" xfId="19135"/>
    <cellStyle name="Total 3 2 8 2" xfId="19136"/>
    <cellStyle name="Total 3 2 9" xfId="19137"/>
    <cellStyle name="Total 3 3 6" xfId="19138"/>
    <cellStyle name="Total 3 3 2" xfId="19139"/>
    <cellStyle name="Total 3 3 2 2" xfId="19140"/>
    <cellStyle name="Total 3 3 3" xfId="19141"/>
    <cellStyle name="Total 3 3 3 2" xfId="19142"/>
    <cellStyle name="Total 3 3 4" xfId="19143"/>
    <cellStyle name="Total 3 3 5" xfId="19144"/>
    <cellStyle name="Total 3 4" xfId="19145"/>
    <cellStyle name="Total 3 4 2" xfId="19146"/>
    <cellStyle name="Total 3 4 2 2" xfId="19147"/>
    <cellStyle name="Total 3 4 3" xfId="19148"/>
    <cellStyle name="Total 3 4 3 2" xfId="19149"/>
    <cellStyle name="Total 3 4 4" xfId="19150"/>
    <cellStyle name="Total 3 5" xfId="19151"/>
    <cellStyle name="Total 3 5 2" xfId="19152"/>
    <cellStyle name="Total 3 5 2 2" xfId="19153"/>
    <cellStyle name="Total 3 5 3" xfId="19154"/>
    <cellStyle name="Total 3 5 3 2" xfId="19155"/>
    <cellStyle name="Total 3 5 4" xfId="19156"/>
    <cellStyle name="Total 3 6" xfId="19157"/>
    <cellStyle name="Total 3 6 2" xfId="19158"/>
    <cellStyle name="Total 3 6 2 2" xfId="19159"/>
    <cellStyle name="Total 3 6 3" xfId="19160"/>
    <cellStyle name="Total 3 6 3 2" xfId="19161"/>
    <cellStyle name="Total 3 6 4" xfId="19162"/>
    <cellStyle name="Total 3 6 4 2" xfId="19163"/>
    <cellStyle name="Total 3 6 5" xfId="19164"/>
    <cellStyle name="Total 3 7" xfId="19165"/>
    <cellStyle name="Total 3 7 2" xfId="19166"/>
    <cellStyle name="Total 3 7 2 2" xfId="19167"/>
    <cellStyle name="Total 3 7 3" xfId="19168"/>
    <cellStyle name="Total 3 7 3 2" xfId="19169"/>
    <cellStyle name="Total 3 7 4" xfId="19170"/>
    <cellStyle name="Total 3 8" xfId="19171"/>
    <cellStyle name="Total 3 8 2" xfId="19172"/>
    <cellStyle name="Total 3 9" xfId="19173"/>
    <cellStyle name="Total 3 9 2" xfId="19174"/>
    <cellStyle name="Total 30 12" xfId="19175"/>
    <cellStyle name="Total 30 10" xfId="19176"/>
    <cellStyle name="Total 30 11" xfId="19177"/>
    <cellStyle name="Total 30 2" xfId="19178"/>
    <cellStyle name="Total 30 2 2" xfId="19179"/>
    <cellStyle name="Total 30 2 2 2" xfId="19180"/>
    <cellStyle name="Total 30 2 3" xfId="19181"/>
    <cellStyle name="Total 30 2 3 2" xfId="19182"/>
    <cellStyle name="Total 30 2 4" xfId="19183"/>
    <cellStyle name="Total 30 2 5" xfId="19184"/>
    <cellStyle name="Total 30 3" xfId="19185"/>
    <cellStyle name="Total 30 3 2" xfId="19186"/>
    <cellStyle name="Total 30 3 2 2" xfId="19187"/>
    <cellStyle name="Total 30 3 3" xfId="19188"/>
    <cellStyle name="Total 30 3 3 2" xfId="19189"/>
    <cellStyle name="Total 30 3 4" xfId="19190"/>
    <cellStyle name="Total 30 4" xfId="19191"/>
    <cellStyle name="Total 30 4 2" xfId="19192"/>
    <cellStyle name="Total 30 4 2 2" xfId="19193"/>
    <cellStyle name="Total 30 4 3" xfId="19194"/>
    <cellStyle name="Total 30 4 3 2" xfId="19195"/>
    <cellStyle name="Total 30 4 4" xfId="19196"/>
    <cellStyle name="Total 30 5" xfId="19197"/>
    <cellStyle name="Total 30 5 2" xfId="19198"/>
    <cellStyle name="Total 30 5 2 2" xfId="19199"/>
    <cellStyle name="Total 30 5 3" xfId="19200"/>
    <cellStyle name="Total 30 5 3 2" xfId="19201"/>
    <cellStyle name="Total 30 5 4" xfId="19202"/>
    <cellStyle name="Total 30 5 4 2" xfId="19203"/>
    <cellStyle name="Total 30 5 5" xfId="19204"/>
    <cellStyle name="Total 30 6" xfId="19205"/>
    <cellStyle name="Total 30 6 2" xfId="19206"/>
    <cellStyle name="Total 30 6 2 2" xfId="19207"/>
    <cellStyle name="Total 30 6 3" xfId="19208"/>
    <cellStyle name="Total 30 6 3 2" xfId="19209"/>
    <cellStyle name="Total 30 6 4" xfId="19210"/>
    <cellStyle name="Total 30 7" xfId="19211"/>
    <cellStyle name="Total 30 7 2" xfId="19212"/>
    <cellStyle name="Total 30 8" xfId="19213"/>
    <cellStyle name="Total 30 8 2" xfId="19214"/>
    <cellStyle name="Total 30 9" xfId="19215"/>
    <cellStyle name="Total 30 9 2" xfId="19216"/>
    <cellStyle name="Total 31 12" xfId="19217"/>
    <cellStyle name="Total 31 10" xfId="19218"/>
    <cellStyle name="Total 31 11" xfId="19219"/>
    <cellStyle name="Total 31 2" xfId="19220"/>
    <cellStyle name="Total 31 2 2" xfId="19221"/>
    <cellStyle name="Total 31 2 2 2" xfId="19222"/>
    <cellStyle name="Total 31 2 3" xfId="19223"/>
    <cellStyle name="Total 31 2 3 2" xfId="19224"/>
    <cellStyle name="Total 31 2 4" xfId="19225"/>
    <cellStyle name="Total 31 2 5" xfId="19226"/>
    <cellStyle name="Total 31 3" xfId="19227"/>
    <cellStyle name="Total 31 3 2" xfId="19228"/>
    <cellStyle name="Total 31 3 2 2" xfId="19229"/>
    <cellStyle name="Total 31 3 3" xfId="19230"/>
    <cellStyle name="Total 31 3 3 2" xfId="19231"/>
    <cellStyle name="Total 31 3 4" xfId="19232"/>
    <cellStyle name="Total 31 4" xfId="19233"/>
    <cellStyle name="Total 31 4 2" xfId="19234"/>
    <cellStyle name="Total 31 4 2 2" xfId="19235"/>
    <cellStyle name="Total 31 4 3" xfId="19236"/>
    <cellStyle name="Total 31 4 3 2" xfId="19237"/>
    <cellStyle name="Total 31 4 4" xfId="19238"/>
    <cellStyle name="Total 31 5" xfId="19239"/>
    <cellStyle name="Total 31 5 2" xfId="19240"/>
    <cellStyle name="Total 31 5 2 2" xfId="19241"/>
    <cellStyle name="Total 31 5 3" xfId="19242"/>
    <cellStyle name="Total 31 5 3 2" xfId="19243"/>
    <cellStyle name="Total 31 5 4" xfId="19244"/>
    <cellStyle name="Total 31 5 4 2" xfId="19245"/>
    <cellStyle name="Total 31 5 5" xfId="19246"/>
    <cellStyle name="Total 31 6" xfId="19247"/>
    <cellStyle name="Total 31 6 2" xfId="19248"/>
    <cellStyle name="Total 31 6 2 2" xfId="19249"/>
    <cellStyle name="Total 31 6 3" xfId="19250"/>
    <cellStyle name="Total 31 6 3 2" xfId="19251"/>
    <cellStyle name="Total 31 6 4" xfId="19252"/>
    <cellStyle name="Total 31 7" xfId="19253"/>
    <cellStyle name="Total 31 7 2" xfId="19254"/>
    <cellStyle name="Total 31 8" xfId="19255"/>
    <cellStyle name="Total 31 8 2" xfId="19256"/>
    <cellStyle name="Total 31 9" xfId="19257"/>
    <cellStyle name="Total 31 9 2" xfId="19258"/>
    <cellStyle name="Total 32 12" xfId="19259"/>
    <cellStyle name="Total 32 10" xfId="19260"/>
    <cellStyle name="Total 32 11" xfId="19261"/>
    <cellStyle name="Total 32 2" xfId="19262"/>
    <cellStyle name="Total 32 2 2" xfId="19263"/>
    <cellStyle name="Total 32 2 2 2" xfId="19264"/>
    <cellStyle name="Total 32 2 3" xfId="19265"/>
    <cellStyle name="Total 32 2 3 2" xfId="19266"/>
    <cellStyle name="Total 32 2 4" xfId="19267"/>
    <cellStyle name="Total 32 2 5" xfId="19268"/>
    <cellStyle name="Total 32 3" xfId="19269"/>
    <cellStyle name="Total 32 3 2" xfId="19270"/>
    <cellStyle name="Total 32 3 2 2" xfId="19271"/>
    <cellStyle name="Total 32 3 3" xfId="19272"/>
    <cellStyle name="Total 32 3 3 2" xfId="19273"/>
    <cellStyle name="Total 32 3 4" xfId="19274"/>
    <cellStyle name="Total 32 4" xfId="19275"/>
    <cellStyle name="Total 32 4 2" xfId="19276"/>
    <cellStyle name="Total 32 4 2 2" xfId="19277"/>
    <cellStyle name="Total 32 4 3" xfId="19278"/>
    <cellStyle name="Total 32 4 3 2" xfId="19279"/>
    <cellStyle name="Total 32 4 4" xfId="19280"/>
    <cellStyle name="Total 32 5" xfId="19281"/>
    <cellStyle name="Total 32 5 2" xfId="19282"/>
    <cellStyle name="Total 32 5 2 2" xfId="19283"/>
    <cellStyle name="Total 32 5 3" xfId="19284"/>
    <cellStyle name="Total 32 5 3 2" xfId="19285"/>
    <cellStyle name="Total 32 5 4" xfId="19286"/>
    <cellStyle name="Total 32 5 4 2" xfId="19287"/>
    <cellStyle name="Total 32 5 5" xfId="19288"/>
    <cellStyle name="Total 32 6" xfId="19289"/>
    <cellStyle name="Total 32 6 2" xfId="19290"/>
    <cellStyle name="Total 32 6 2 2" xfId="19291"/>
    <cellStyle name="Total 32 6 3" xfId="19292"/>
    <cellStyle name="Total 32 6 3 2" xfId="19293"/>
    <cellStyle name="Total 32 6 4" xfId="19294"/>
    <cellStyle name="Total 32 7" xfId="19295"/>
    <cellStyle name="Total 32 7 2" xfId="19296"/>
    <cellStyle name="Total 32 8" xfId="19297"/>
    <cellStyle name="Total 32 8 2" xfId="19298"/>
    <cellStyle name="Total 32 9" xfId="19299"/>
    <cellStyle name="Total 32 9 2" xfId="19300"/>
    <cellStyle name="Total 33 12" xfId="19301"/>
    <cellStyle name="Total 33 10" xfId="19302"/>
    <cellStyle name="Total 33 11" xfId="19303"/>
    <cellStyle name="Total 33 2" xfId="19304"/>
    <cellStyle name="Total 33 2 2" xfId="19305"/>
    <cellStyle name="Total 33 2 2 2" xfId="19306"/>
    <cellStyle name="Total 33 2 3" xfId="19307"/>
    <cellStyle name="Total 33 2 3 2" xfId="19308"/>
    <cellStyle name="Total 33 2 4" xfId="19309"/>
    <cellStyle name="Total 33 2 5" xfId="19310"/>
    <cellStyle name="Total 33 3" xfId="19311"/>
    <cellStyle name="Total 33 3 2" xfId="19312"/>
    <cellStyle name="Total 33 3 2 2" xfId="19313"/>
    <cellStyle name="Total 33 3 3" xfId="19314"/>
    <cellStyle name="Total 33 3 3 2" xfId="19315"/>
    <cellStyle name="Total 33 3 4" xfId="19316"/>
    <cellStyle name="Total 33 4" xfId="19317"/>
    <cellStyle name="Total 33 4 2" xfId="19318"/>
    <cellStyle name="Total 33 4 2 2" xfId="19319"/>
    <cellStyle name="Total 33 4 3" xfId="19320"/>
    <cellStyle name="Total 33 4 3 2" xfId="19321"/>
    <cellStyle name="Total 33 4 4" xfId="19322"/>
    <cellStyle name="Total 33 5" xfId="19323"/>
    <cellStyle name="Total 33 5 2" xfId="19324"/>
    <cellStyle name="Total 33 5 2 2" xfId="19325"/>
    <cellStyle name="Total 33 5 3" xfId="19326"/>
    <cellStyle name="Total 33 5 3 2" xfId="19327"/>
    <cellStyle name="Total 33 5 4" xfId="19328"/>
    <cellStyle name="Total 33 5 4 2" xfId="19329"/>
    <cellStyle name="Total 33 5 5" xfId="19330"/>
    <cellStyle name="Total 33 6" xfId="19331"/>
    <cellStyle name="Total 33 6 2" xfId="19332"/>
    <cellStyle name="Total 33 6 2 2" xfId="19333"/>
    <cellStyle name="Total 33 6 3" xfId="19334"/>
    <cellStyle name="Total 33 6 3 2" xfId="19335"/>
    <cellStyle name="Total 33 6 4" xfId="19336"/>
    <cellStyle name="Total 33 7" xfId="19337"/>
    <cellStyle name="Total 33 7 2" xfId="19338"/>
    <cellStyle name="Total 33 8" xfId="19339"/>
    <cellStyle name="Total 33 8 2" xfId="19340"/>
    <cellStyle name="Total 33 9" xfId="19341"/>
    <cellStyle name="Total 33 9 2" xfId="19342"/>
    <cellStyle name="Total 34 12" xfId="19343"/>
    <cellStyle name="Total 34 10" xfId="19344"/>
    <cellStyle name="Total 34 11" xfId="19345"/>
    <cellStyle name="Total 34 2" xfId="19346"/>
    <cellStyle name="Total 34 2 2" xfId="19347"/>
    <cellStyle name="Total 34 2 2 2" xfId="19348"/>
    <cellStyle name="Total 34 2 3" xfId="19349"/>
    <cellStyle name="Total 34 2 3 2" xfId="19350"/>
    <cellStyle name="Total 34 2 4" xfId="19351"/>
    <cellStyle name="Total 34 2 5" xfId="19352"/>
    <cellStyle name="Total 34 3" xfId="19353"/>
    <cellStyle name="Total 34 3 2" xfId="19354"/>
    <cellStyle name="Total 34 3 2 2" xfId="19355"/>
    <cellStyle name="Total 34 3 3" xfId="19356"/>
    <cellStyle name="Total 34 3 3 2" xfId="19357"/>
    <cellStyle name="Total 34 3 4" xfId="19358"/>
    <cellStyle name="Total 34 4" xfId="19359"/>
    <cellStyle name="Total 34 4 2" xfId="19360"/>
    <cellStyle name="Total 34 4 2 2" xfId="19361"/>
    <cellStyle name="Total 34 4 3" xfId="19362"/>
    <cellStyle name="Total 34 4 3 2" xfId="19363"/>
    <cellStyle name="Total 34 4 4" xfId="19364"/>
    <cellStyle name="Total 34 5" xfId="19365"/>
    <cellStyle name="Total 34 5 2" xfId="19366"/>
    <cellStyle name="Total 34 5 2 2" xfId="19367"/>
    <cellStyle name="Total 34 5 3" xfId="19368"/>
    <cellStyle name="Total 34 5 3 2" xfId="19369"/>
    <cellStyle name="Total 34 5 4" xfId="19370"/>
    <cellStyle name="Total 34 5 4 2" xfId="19371"/>
    <cellStyle name="Total 34 5 5" xfId="19372"/>
    <cellStyle name="Total 34 6" xfId="19373"/>
    <cellStyle name="Total 34 6 2" xfId="19374"/>
    <cellStyle name="Total 34 6 2 2" xfId="19375"/>
    <cellStyle name="Total 34 6 3" xfId="19376"/>
    <cellStyle name="Total 34 6 3 2" xfId="19377"/>
    <cellStyle name="Total 34 6 4" xfId="19378"/>
    <cellStyle name="Total 34 7" xfId="19379"/>
    <cellStyle name="Total 34 7 2" xfId="19380"/>
    <cellStyle name="Total 34 8" xfId="19381"/>
    <cellStyle name="Total 34 8 2" xfId="19382"/>
    <cellStyle name="Total 34 9" xfId="19383"/>
    <cellStyle name="Total 34 9 2" xfId="19384"/>
    <cellStyle name="Total 35 12" xfId="19385"/>
    <cellStyle name="Total 35 10" xfId="19386"/>
    <cellStyle name="Total 35 11" xfId="19387"/>
    <cellStyle name="Total 35 2" xfId="19388"/>
    <cellStyle name="Total 35 2 2" xfId="19389"/>
    <cellStyle name="Total 35 2 2 2" xfId="19390"/>
    <cellStyle name="Total 35 2 3" xfId="19391"/>
    <cellStyle name="Total 35 2 3 2" xfId="19392"/>
    <cellStyle name="Total 35 2 4" xfId="19393"/>
    <cellStyle name="Total 35 2 5" xfId="19394"/>
    <cellStyle name="Total 35 3" xfId="19395"/>
    <cellStyle name="Total 35 3 2" xfId="19396"/>
    <cellStyle name="Total 35 3 2 2" xfId="19397"/>
    <cellStyle name="Total 35 3 3" xfId="19398"/>
    <cellStyle name="Total 35 3 3 2" xfId="19399"/>
    <cellStyle name="Total 35 3 4" xfId="19400"/>
    <cellStyle name="Total 35 4" xfId="19401"/>
    <cellStyle name="Total 35 4 2" xfId="19402"/>
    <cellStyle name="Total 35 4 2 2" xfId="19403"/>
    <cellStyle name="Total 35 4 3" xfId="19404"/>
    <cellStyle name="Total 35 4 3 2" xfId="19405"/>
    <cellStyle name="Total 35 4 4" xfId="19406"/>
    <cellStyle name="Total 35 5" xfId="19407"/>
    <cellStyle name="Total 35 5 2" xfId="19408"/>
    <cellStyle name="Total 35 5 2 2" xfId="19409"/>
    <cellStyle name="Total 35 5 3" xfId="19410"/>
    <cellStyle name="Total 35 5 3 2" xfId="19411"/>
    <cellStyle name="Total 35 5 4" xfId="19412"/>
    <cellStyle name="Total 35 5 4 2" xfId="19413"/>
    <cellStyle name="Total 35 5 5" xfId="19414"/>
    <cellStyle name="Total 35 6" xfId="19415"/>
    <cellStyle name="Total 35 6 2" xfId="19416"/>
    <cellStyle name="Total 35 6 2 2" xfId="19417"/>
    <cellStyle name="Total 35 6 3" xfId="19418"/>
    <cellStyle name="Total 35 6 3 2" xfId="19419"/>
    <cellStyle name="Total 35 6 4" xfId="19420"/>
    <cellStyle name="Total 35 7" xfId="19421"/>
    <cellStyle name="Total 35 7 2" xfId="19422"/>
    <cellStyle name="Total 35 8" xfId="19423"/>
    <cellStyle name="Total 35 8 2" xfId="19424"/>
    <cellStyle name="Total 35 9" xfId="19425"/>
    <cellStyle name="Total 35 9 2" xfId="19426"/>
    <cellStyle name="Total 36 12" xfId="19427"/>
    <cellStyle name="Total 36 10" xfId="19428"/>
    <cellStyle name="Total 36 11" xfId="19429"/>
    <cellStyle name="Total 36 2" xfId="19430"/>
    <cellStyle name="Total 36 2 2" xfId="19431"/>
    <cellStyle name="Total 36 2 2 2" xfId="19432"/>
    <cellStyle name="Total 36 2 3" xfId="19433"/>
    <cellStyle name="Total 36 2 3 2" xfId="19434"/>
    <cellStyle name="Total 36 2 4" xfId="19435"/>
    <cellStyle name="Total 36 2 5" xfId="19436"/>
    <cellStyle name="Total 36 3" xfId="19437"/>
    <cellStyle name="Total 36 3 2" xfId="19438"/>
    <cellStyle name="Total 36 3 2 2" xfId="19439"/>
    <cellStyle name="Total 36 3 3" xfId="19440"/>
    <cellStyle name="Total 36 3 3 2" xfId="19441"/>
    <cellStyle name="Total 36 3 4" xfId="19442"/>
    <cellStyle name="Total 36 4" xfId="19443"/>
    <cellStyle name="Total 36 4 2" xfId="19444"/>
    <cellStyle name="Total 36 4 2 2" xfId="19445"/>
    <cellStyle name="Total 36 4 3" xfId="19446"/>
    <cellStyle name="Total 36 4 3 2" xfId="19447"/>
    <cellStyle name="Total 36 4 4" xfId="19448"/>
    <cellStyle name="Total 36 5" xfId="19449"/>
    <cellStyle name="Total 36 5 2" xfId="19450"/>
    <cellStyle name="Total 36 5 2 2" xfId="19451"/>
    <cellStyle name="Total 36 5 3" xfId="19452"/>
    <cellStyle name="Total 36 5 3 2" xfId="19453"/>
    <cellStyle name="Total 36 5 4" xfId="19454"/>
    <cellStyle name="Total 36 5 4 2" xfId="19455"/>
    <cellStyle name="Total 36 5 5" xfId="19456"/>
    <cellStyle name="Total 36 6" xfId="19457"/>
    <cellStyle name="Total 36 6 2" xfId="19458"/>
    <cellStyle name="Total 36 6 2 2" xfId="19459"/>
    <cellStyle name="Total 36 6 3" xfId="19460"/>
    <cellStyle name="Total 36 6 3 2" xfId="19461"/>
    <cellStyle name="Total 36 6 4" xfId="19462"/>
    <cellStyle name="Total 36 7" xfId="19463"/>
    <cellStyle name="Total 36 7 2" xfId="19464"/>
    <cellStyle name="Total 36 8" xfId="19465"/>
    <cellStyle name="Total 36 8 2" xfId="19466"/>
    <cellStyle name="Total 36 9" xfId="19467"/>
    <cellStyle name="Total 36 9 2" xfId="19468"/>
    <cellStyle name="Total 37 12" xfId="19469"/>
    <cellStyle name="Total 37 10" xfId="19470"/>
    <cellStyle name="Total 37 11" xfId="19471"/>
    <cellStyle name="Total 37 2" xfId="19472"/>
    <cellStyle name="Total 37 2 2" xfId="19473"/>
    <cellStyle name="Total 37 2 2 2" xfId="19474"/>
    <cellStyle name="Total 37 2 3" xfId="19475"/>
    <cellStyle name="Total 37 2 3 2" xfId="19476"/>
    <cellStyle name="Total 37 2 4" xfId="19477"/>
    <cellStyle name="Total 37 2 5" xfId="19478"/>
    <cellStyle name="Total 37 3" xfId="19479"/>
    <cellStyle name="Total 37 3 2" xfId="19480"/>
    <cellStyle name="Total 37 3 2 2" xfId="19481"/>
    <cellStyle name="Total 37 3 3" xfId="19482"/>
    <cellStyle name="Total 37 3 3 2" xfId="19483"/>
    <cellStyle name="Total 37 3 4" xfId="19484"/>
    <cellStyle name="Total 37 4" xfId="19485"/>
    <cellStyle name="Total 37 4 2" xfId="19486"/>
    <cellStyle name="Total 37 4 2 2" xfId="19487"/>
    <cellStyle name="Total 37 4 3" xfId="19488"/>
    <cellStyle name="Total 37 4 3 2" xfId="19489"/>
    <cellStyle name="Total 37 4 4" xfId="19490"/>
    <cellStyle name="Total 37 5" xfId="19491"/>
    <cellStyle name="Total 37 5 2" xfId="19492"/>
    <cellStyle name="Total 37 5 2 2" xfId="19493"/>
    <cellStyle name="Total 37 5 3" xfId="19494"/>
    <cellStyle name="Total 37 5 3 2" xfId="19495"/>
    <cellStyle name="Total 37 5 4" xfId="19496"/>
    <cellStyle name="Total 37 5 4 2" xfId="19497"/>
    <cellStyle name="Total 37 5 5" xfId="19498"/>
    <cellStyle name="Total 37 6" xfId="19499"/>
    <cellStyle name="Total 37 6 2" xfId="19500"/>
    <cellStyle name="Total 37 6 2 2" xfId="19501"/>
    <cellStyle name="Total 37 6 3" xfId="19502"/>
    <cellStyle name="Total 37 6 3 2" xfId="19503"/>
    <cellStyle name="Total 37 6 4" xfId="19504"/>
    <cellStyle name="Total 37 7" xfId="19505"/>
    <cellStyle name="Total 37 7 2" xfId="19506"/>
    <cellStyle name="Total 37 8" xfId="19507"/>
    <cellStyle name="Total 37 8 2" xfId="19508"/>
    <cellStyle name="Total 37 9" xfId="19509"/>
    <cellStyle name="Total 37 9 2" xfId="19510"/>
    <cellStyle name="Total 38 12" xfId="19511"/>
    <cellStyle name="Total 38 10" xfId="19512"/>
    <cellStyle name="Total 38 11" xfId="19513"/>
    <cellStyle name="Total 38 2" xfId="19514"/>
    <cellStyle name="Total 38 2 2" xfId="19515"/>
    <cellStyle name="Total 38 2 2 2" xfId="19516"/>
    <cellStyle name="Total 38 2 3" xfId="19517"/>
    <cellStyle name="Total 38 2 3 2" xfId="19518"/>
    <cellStyle name="Total 38 2 4" xfId="19519"/>
    <cellStyle name="Total 38 2 5" xfId="19520"/>
    <cellStyle name="Total 38 3" xfId="19521"/>
    <cellStyle name="Total 38 3 2" xfId="19522"/>
    <cellStyle name="Total 38 3 2 2" xfId="19523"/>
    <cellStyle name="Total 38 3 3" xfId="19524"/>
    <cellStyle name="Total 38 3 3 2" xfId="19525"/>
    <cellStyle name="Total 38 3 4" xfId="19526"/>
    <cellStyle name="Total 38 4" xfId="19527"/>
    <cellStyle name="Total 38 4 2" xfId="19528"/>
    <cellStyle name="Total 38 4 2 2" xfId="19529"/>
    <cellStyle name="Total 38 4 3" xfId="19530"/>
    <cellStyle name="Total 38 4 3 2" xfId="19531"/>
    <cellStyle name="Total 38 4 4" xfId="19532"/>
    <cellStyle name="Total 38 5" xfId="19533"/>
    <cellStyle name="Total 38 5 2" xfId="19534"/>
    <cellStyle name="Total 38 5 2 2" xfId="19535"/>
    <cellStyle name="Total 38 5 3" xfId="19536"/>
    <cellStyle name="Total 38 5 3 2" xfId="19537"/>
    <cellStyle name="Total 38 5 4" xfId="19538"/>
    <cellStyle name="Total 38 5 4 2" xfId="19539"/>
    <cellStyle name="Total 38 5 5" xfId="19540"/>
    <cellStyle name="Total 38 6" xfId="19541"/>
    <cellStyle name="Total 38 6 2" xfId="19542"/>
    <cellStyle name="Total 38 6 2 2" xfId="19543"/>
    <cellStyle name="Total 38 6 3" xfId="19544"/>
    <cellStyle name="Total 38 6 3 2" xfId="19545"/>
    <cellStyle name="Total 38 6 4" xfId="19546"/>
    <cellStyle name="Total 38 7" xfId="19547"/>
    <cellStyle name="Total 38 7 2" xfId="19548"/>
    <cellStyle name="Total 38 8" xfId="19549"/>
    <cellStyle name="Total 38 8 2" xfId="19550"/>
    <cellStyle name="Total 38 9" xfId="19551"/>
    <cellStyle name="Total 38 9 2" xfId="19552"/>
    <cellStyle name="Total 39 12" xfId="19553"/>
    <cellStyle name="Total 39 10" xfId="19554"/>
    <cellStyle name="Total 39 11" xfId="19555"/>
    <cellStyle name="Total 39 2" xfId="19556"/>
    <cellStyle name="Total 39 2 2" xfId="19557"/>
    <cellStyle name="Total 39 2 2 2" xfId="19558"/>
    <cellStyle name="Total 39 2 3" xfId="19559"/>
    <cellStyle name="Total 39 2 3 2" xfId="19560"/>
    <cellStyle name="Total 39 2 4" xfId="19561"/>
    <cellStyle name="Total 39 2 5" xfId="19562"/>
    <cellStyle name="Total 39 3" xfId="19563"/>
    <cellStyle name="Total 39 3 2" xfId="19564"/>
    <cellStyle name="Total 39 3 2 2" xfId="19565"/>
    <cellStyle name="Total 39 3 3" xfId="19566"/>
    <cellStyle name="Total 39 3 3 2" xfId="19567"/>
    <cellStyle name="Total 39 3 4" xfId="19568"/>
    <cellStyle name="Total 39 4" xfId="19569"/>
    <cellStyle name="Total 39 4 2" xfId="19570"/>
    <cellStyle name="Total 39 4 2 2" xfId="19571"/>
    <cellStyle name="Total 39 4 3" xfId="19572"/>
    <cellStyle name="Total 39 4 3 2" xfId="19573"/>
    <cellStyle name="Total 39 4 4" xfId="19574"/>
    <cellStyle name="Total 39 5" xfId="19575"/>
    <cellStyle name="Total 39 5 2" xfId="19576"/>
    <cellStyle name="Total 39 5 2 2" xfId="19577"/>
    <cellStyle name="Total 39 5 3" xfId="19578"/>
    <cellStyle name="Total 39 5 3 2" xfId="19579"/>
    <cellStyle name="Total 39 5 4" xfId="19580"/>
    <cellStyle name="Total 39 5 4 2" xfId="19581"/>
    <cellStyle name="Total 39 5 5" xfId="19582"/>
    <cellStyle name="Total 39 6" xfId="19583"/>
    <cellStyle name="Total 39 6 2" xfId="19584"/>
    <cellStyle name="Total 39 6 2 2" xfId="19585"/>
    <cellStyle name="Total 39 6 3" xfId="19586"/>
    <cellStyle name="Total 39 6 3 2" xfId="19587"/>
    <cellStyle name="Total 39 6 4" xfId="19588"/>
    <cellStyle name="Total 39 7" xfId="19589"/>
    <cellStyle name="Total 39 7 2" xfId="19590"/>
    <cellStyle name="Total 39 8" xfId="19591"/>
    <cellStyle name="Total 39 8 2" xfId="19592"/>
    <cellStyle name="Total 39 9" xfId="19593"/>
    <cellStyle name="Total 39 9 2" xfId="19594"/>
    <cellStyle name="Total 4 13" xfId="19595"/>
    <cellStyle name="Total 4 10" xfId="19596"/>
    <cellStyle name="Total 4 10 2" xfId="19597"/>
    <cellStyle name="Total 4 11" xfId="19598"/>
    <cellStyle name="Total 4 12" xfId="19599"/>
    <cellStyle name="Total 4 2" xfId="19600"/>
    <cellStyle name="Total 4 2 10" xfId="19601"/>
    <cellStyle name="Total 4 2 2" xfId="19602"/>
    <cellStyle name="Total 4 2 2 2" xfId="19603"/>
    <cellStyle name="Total 4 2 2 2 2" xfId="19604"/>
    <cellStyle name="Total 4 2 2 3" xfId="19605"/>
    <cellStyle name="Total 4 2 2 3 2" xfId="19606"/>
    <cellStyle name="Total 4 2 2 4" xfId="19607"/>
    <cellStyle name="Total 4 2 3" xfId="19608"/>
    <cellStyle name="Total 4 2 3 2" xfId="19609"/>
    <cellStyle name="Total 4 2 3 2 2" xfId="19610"/>
    <cellStyle name="Total 4 2 3 3" xfId="19611"/>
    <cellStyle name="Total 4 2 3 3 2" xfId="19612"/>
    <cellStyle name="Total 4 2 3 4" xfId="19613"/>
    <cellStyle name="Total 4 2 4" xfId="19614"/>
    <cellStyle name="Total 4 2 4 2" xfId="19615"/>
    <cellStyle name="Total 4 2 4 2 2" xfId="19616"/>
    <cellStyle name="Total 4 2 4 3" xfId="19617"/>
    <cellStyle name="Total 4 2 4 3 2" xfId="19618"/>
    <cellStyle name="Total 4 2 4 4" xfId="19619"/>
    <cellStyle name="Total 4 2 4 4 2" xfId="19620"/>
    <cellStyle name="Total 4 2 4 5" xfId="19621"/>
    <cellStyle name="Total 4 2 5" xfId="19622"/>
    <cellStyle name="Total 4 2 5 2" xfId="19623"/>
    <cellStyle name="Total 4 2 5 2 2" xfId="19624"/>
    <cellStyle name="Total 4 2 5 3" xfId="19625"/>
    <cellStyle name="Total 4 2 5 3 2" xfId="19626"/>
    <cellStyle name="Total 4 2 5 4" xfId="19627"/>
    <cellStyle name="Total 4 2 6" xfId="19628"/>
    <cellStyle name="Total 4 2 6 2" xfId="19629"/>
    <cellStyle name="Total 4 2 7" xfId="19630"/>
    <cellStyle name="Total 4 2 7 2" xfId="19631"/>
    <cellStyle name="Total 4 2 8" xfId="19632"/>
    <cellStyle name="Total 4 2 8 2" xfId="19633"/>
    <cellStyle name="Total 4 2 9" xfId="19634"/>
    <cellStyle name="Total 4 3" xfId="19635"/>
    <cellStyle name="Total 4 3 2" xfId="19636"/>
    <cellStyle name="Total 4 3 2 2" xfId="19637"/>
    <cellStyle name="Total 4 3 3" xfId="19638"/>
    <cellStyle name="Total 4 3 3 2" xfId="19639"/>
    <cellStyle name="Total 4 3 4" xfId="19640"/>
    <cellStyle name="Total 4 3 5" xfId="19641"/>
    <cellStyle name="Total 4 4" xfId="19642"/>
    <cellStyle name="Total 4 4 2" xfId="19643"/>
    <cellStyle name="Total 4 4 2 2" xfId="19644"/>
    <cellStyle name="Total 4 4 3" xfId="19645"/>
    <cellStyle name="Total 4 4 3 2" xfId="19646"/>
    <cellStyle name="Total 4 4 4" xfId="19647"/>
    <cellStyle name="Total 4 5" xfId="19648"/>
    <cellStyle name="Total 4 5 2" xfId="19649"/>
    <cellStyle name="Total 4 5 2 2" xfId="19650"/>
    <cellStyle name="Total 4 5 3" xfId="19651"/>
    <cellStyle name="Total 4 5 3 2" xfId="19652"/>
    <cellStyle name="Total 4 5 4" xfId="19653"/>
    <cellStyle name="Total 4 6" xfId="19654"/>
    <cellStyle name="Total 4 6 2" xfId="19655"/>
    <cellStyle name="Total 4 6 2 2" xfId="19656"/>
    <cellStyle name="Total 4 6 3" xfId="19657"/>
    <cellStyle name="Total 4 6 3 2" xfId="19658"/>
    <cellStyle name="Total 4 6 4" xfId="19659"/>
    <cellStyle name="Total 4 6 4 2" xfId="19660"/>
    <cellStyle name="Total 4 6 5" xfId="19661"/>
    <cellStyle name="Total 4 7" xfId="19662"/>
    <cellStyle name="Total 4 7 2" xfId="19663"/>
    <cellStyle name="Total 4 7 2 2" xfId="19664"/>
    <cellStyle name="Total 4 7 3" xfId="19665"/>
    <cellStyle name="Total 4 7 3 2" xfId="19666"/>
    <cellStyle name="Total 4 7 4" xfId="19667"/>
    <cellStyle name="Total 4 8" xfId="19668"/>
    <cellStyle name="Total 4 8 2" xfId="19669"/>
    <cellStyle name="Total 4 9" xfId="19670"/>
    <cellStyle name="Total 4 9 2" xfId="19671"/>
    <cellStyle name="Total 40 12" xfId="19672"/>
    <cellStyle name="Total 40 10" xfId="19673"/>
    <cellStyle name="Total 40 11" xfId="19674"/>
    <cellStyle name="Total 40 2" xfId="19675"/>
    <cellStyle name="Total 40 2 2" xfId="19676"/>
    <cellStyle name="Total 40 2 2 2" xfId="19677"/>
    <cellStyle name="Total 40 2 3" xfId="19678"/>
    <cellStyle name="Total 40 2 3 2" xfId="19679"/>
    <cellStyle name="Total 40 2 4" xfId="19680"/>
    <cellStyle name="Total 40 2 5" xfId="19681"/>
    <cellStyle name="Total 40 3" xfId="19682"/>
    <cellStyle name="Total 40 3 2" xfId="19683"/>
    <cellStyle name="Total 40 3 2 2" xfId="19684"/>
    <cellStyle name="Total 40 3 3" xfId="19685"/>
    <cellStyle name="Total 40 3 3 2" xfId="19686"/>
    <cellStyle name="Total 40 3 4" xfId="19687"/>
    <cellStyle name="Total 40 4" xfId="19688"/>
    <cellStyle name="Total 40 4 2" xfId="19689"/>
    <cellStyle name="Total 40 4 2 2" xfId="19690"/>
    <cellStyle name="Total 40 4 3" xfId="19691"/>
    <cellStyle name="Total 40 4 3 2" xfId="19692"/>
    <cellStyle name="Total 40 4 4" xfId="19693"/>
    <cellStyle name="Total 40 5" xfId="19694"/>
    <cellStyle name="Total 40 5 2" xfId="19695"/>
    <cellStyle name="Total 40 5 2 2" xfId="19696"/>
    <cellStyle name="Total 40 5 3" xfId="19697"/>
    <cellStyle name="Total 40 5 3 2" xfId="19698"/>
    <cellStyle name="Total 40 5 4" xfId="19699"/>
    <cellStyle name="Total 40 5 4 2" xfId="19700"/>
    <cellStyle name="Total 40 5 5" xfId="19701"/>
    <cellStyle name="Total 40 6" xfId="19702"/>
    <cellStyle name="Total 40 6 2" xfId="19703"/>
    <cellStyle name="Total 40 6 2 2" xfId="19704"/>
    <cellStyle name="Total 40 6 3" xfId="19705"/>
    <cellStyle name="Total 40 6 3 2" xfId="19706"/>
    <cellStyle name="Total 40 6 4" xfId="19707"/>
    <cellStyle name="Total 40 7" xfId="19708"/>
    <cellStyle name="Total 40 7 2" xfId="19709"/>
    <cellStyle name="Total 40 8" xfId="19710"/>
    <cellStyle name="Total 40 8 2" xfId="19711"/>
    <cellStyle name="Total 40 9" xfId="19712"/>
    <cellStyle name="Total 40 9 2" xfId="19713"/>
    <cellStyle name="Total 41 12" xfId="19714"/>
    <cellStyle name="Total 41 10" xfId="19715"/>
    <cellStyle name="Total 41 11" xfId="19716"/>
    <cellStyle name="Total 41 2" xfId="19717"/>
    <cellStyle name="Total 41 2 2" xfId="19718"/>
    <cellStyle name="Total 41 2 2 2" xfId="19719"/>
    <cellStyle name="Total 41 2 3" xfId="19720"/>
    <cellStyle name="Total 41 2 3 2" xfId="19721"/>
    <cellStyle name="Total 41 2 4" xfId="19722"/>
    <cellStyle name="Total 41 2 5" xfId="19723"/>
    <cellStyle name="Total 41 3" xfId="19724"/>
    <cellStyle name="Total 41 3 2" xfId="19725"/>
    <cellStyle name="Total 41 3 2 2" xfId="19726"/>
    <cellStyle name="Total 41 3 3" xfId="19727"/>
    <cellStyle name="Total 41 3 3 2" xfId="19728"/>
    <cellStyle name="Total 41 3 4" xfId="19729"/>
    <cellStyle name="Total 41 4" xfId="19730"/>
    <cellStyle name="Total 41 4 2" xfId="19731"/>
    <cellStyle name="Total 41 4 2 2" xfId="19732"/>
    <cellStyle name="Total 41 4 3" xfId="19733"/>
    <cellStyle name="Total 41 4 3 2" xfId="19734"/>
    <cellStyle name="Total 41 4 4" xfId="19735"/>
    <cellStyle name="Total 41 5" xfId="19736"/>
    <cellStyle name="Total 41 5 2" xfId="19737"/>
    <cellStyle name="Total 41 5 2 2" xfId="19738"/>
    <cellStyle name="Total 41 5 3" xfId="19739"/>
    <cellStyle name="Total 41 5 3 2" xfId="19740"/>
    <cellStyle name="Total 41 5 4" xfId="19741"/>
    <cellStyle name="Total 41 5 4 2" xfId="19742"/>
    <cellStyle name="Total 41 5 5" xfId="19743"/>
    <cellStyle name="Total 41 6" xfId="19744"/>
    <cellStyle name="Total 41 6 2" xfId="19745"/>
    <cellStyle name="Total 41 6 2 2" xfId="19746"/>
    <cellStyle name="Total 41 6 3" xfId="19747"/>
    <cellStyle name="Total 41 6 3 2" xfId="19748"/>
    <cellStyle name="Total 41 6 4" xfId="19749"/>
    <cellStyle name="Total 41 7" xfId="19750"/>
    <cellStyle name="Total 41 7 2" xfId="19751"/>
    <cellStyle name="Total 41 8" xfId="19752"/>
    <cellStyle name="Total 41 8 2" xfId="19753"/>
    <cellStyle name="Total 41 9" xfId="19754"/>
    <cellStyle name="Total 41 9 2" xfId="19755"/>
    <cellStyle name="Total 42 12" xfId="19756"/>
    <cellStyle name="Total 42 10" xfId="19757"/>
    <cellStyle name="Total 42 11" xfId="19758"/>
    <cellStyle name="Total 42 2" xfId="19759"/>
    <cellStyle name="Total 42 2 2" xfId="19760"/>
    <cellStyle name="Total 42 2 2 2" xfId="19761"/>
    <cellStyle name="Total 42 2 3" xfId="19762"/>
    <cellStyle name="Total 42 2 3 2" xfId="19763"/>
    <cellStyle name="Total 42 2 4" xfId="19764"/>
    <cellStyle name="Total 42 2 5" xfId="19765"/>
    <cellStyle name="Total 42 3" xfId="19766"/>
    <cellStyle name="Total 42 3 2" xfId="19767"/>
    <cellStyle name="Total 42 3 2 2" xfId="19768"/>
    <cellStyle name="Total 42 3 3" xfId="19769"/>
    <cellStyle name="Total 42 3 3 2" xfId="19770"/>
    <cellStyle name="Total 42 3 4" xfId="19771"/>
    <cellStyle name="Total 42 4" xfId="19772"/>
    <cellStyle name="Total 42 4 2" xfId="19773"/>
    <cellStyle name="Total 42 4 2 2" xfId="19774"/>
    <cellStyle name="Total 42 4 3" xfId="19775"/>
    <cellStyle name="Total 42 4 3 2" xfId="19776"/>
    <cellStyle name="Total 42 4 4" xfId="19777"/>
    <cellStyle name="Total 42 5" xfId="19778"/>
    <cellStyle name="Total 42 5 2" xfId="19779"/>
    <cellStyle name="Total 42 5 2 2" xfId="19780"/>
    <cellStyle name="Total 42 5 3" xfId="19781"/>
    <cellStyle name="Total 42 5 3 2" xfId="19782"/>
    <cellStyle name="Total 42 5 4" xfId="19783"/>
    <cellStyle name="Total 42 5 4 2" xfId="19784"/>
    <cellStyle name="Total 42 5 5" xfId="19785"/>
    <cellStyle name="Total 42 6" xfId="19786"/>
    <cellStyle name="Total 42 6 2" xfId="19787"/>
    <cellStyle name="Total 42 6 2 2" xfId="19788"/>
    <cellStyle name="Total 42 6 3" xfId="19789"/>
    <cellStyle name="Total 42 6 3 2" xfId="19790"/>
    <cellStyle name="Total 42 6 4" xfId="19791"/>
    <cellStyle name="Total 42 7" xfId="19792"/>
    <cellStyle name="Total 42 7 2" xfId="19793"/>
    <cellStyle name="Total 42 8" xfId="19794"/>
    <cellStyle name="Total 42 8 2" xfId="19795"/>
    <cellStyle name="Total 42 9" xfId="19796"/>
    <cellStyle name="Total 42 9 2" xfId="19797"/>
    <cellStyle name="Total 5 13" xfId="19798"/>
    <cellStyle name="Total 5 10" xfId="19799"/>
    <cellStyle name="Total 5 10 2" xfId="19800"/>
    <cellStyle name="Total 5 11" xfId="19801"/>
    <cellStyle name="Total 5 12" xfId="19802"/>
    <cellStyle name="Total 5 2" xfId="19803"/>
    <cellStyle name="Total 5 2 10" xfId="19804"/>
    <cellStyle name="Total 5 2 2" xfId="19805"/>
    <cellStyle name="Total 5 2 2 2" xfId="19806"/>
    <cellStyle name="Total 5 2 2 2 2" xfId="19807"/>
    <cellStyle name="Total 5 2 2 3" xfId="19808"/>
    <cellStyle name="Total 5 2 2 3 2" xfId="19809"/>
    <cellStyle name="Total 5 2 2 4" xfId="19810"/>
    <cellStyle name="Total 5 2 3" xfId="19811"/>
    <cellStyle name="Total 5 2 3 2" xfId="19812"/>
    <cellStyle name="Total 5 2 3 2 2" xfId="19813"/>
    <cellStyle name="Total 5 2 3 3" xfId="19814"/>
    <cellStyle name="Total 5 2 3 3 2" xfId="19815"/>
    <cellStyle name="Total 5 2 3 4" xfId="19816"/>
    <cellStyle name="Total 5 2 4" xfId="19817"/>
    <cellStyle name="Total 5 2 4 2" xfId="19818"/>
    <cellStyle name="Total 5 2 4 2 2" xfId="19819"/>
    <cellStyle name="Total 5 2 4 3" xfId="19820"/>
    <cellStyle name="Total 5 2 4 3 2" xfId="19821"/>
    <cellStyle name="Total 5 2 4 4" xfId="19822"/>
    <cellStyle name="Total 5 2 4 4 2" xfId="19823"/>
    <cellStyle name="Total 5 2 4 5" xfId="19824"/>
    <cellStyle name="Total 5 2 5" xfId="19825"/>
    <cellStyle name="Total 5 2 5 2" xfId="19826"/>
    <cellStyle name="Total 5 2 5 2 2" xfId="19827"/>
    <cellStyle name="Total 5 2 5 3" xfId="19828"/>
    <cellStyle name="Total 5 2 5 3 2" xfId="19829"/>
    <cellStyle name="Total 5 2 5 4" xfId="19830"/>
    <cellStyle name="Total 5 2 6" xfId="19831"/>
    <cellStyle name="Total 5 2 6 2" xfId="19832"/>
    <cellStyle name="Total 5 2 7" xfId="19833"/>
    <cellStyle name="Total 5 2 7 2" xfId="19834"/>
    <cellStyle name="Total 5 2 8" xfId="19835"/>
    <cellStyle name="Total 5 2 8 2" xfId="19836"/>
    <cellStyle name="Total 5 2 9" xfId="19837"/>
    <cellStyle name="Total 5 3" xfId="19838"/>
    <cellStyle name="Total 5 3 2" xfId="19839"/>
    <cellStyle name="Total 5 3 2 2" xfId="19840"/>
    <cellStyle name="Total 5 3 3" xfId="19841"/>
    <cellStyle name="Total 5 3 3 2" xfId="19842"/>
    <cellStyle name="Total 5 3 4" xfId="19843"/>
    <cellStyle name="Total 5 3 5" xfId="19844"/>
    <cellStyle name="Total 5 4" xfId="19845"/>
    <cellStyle name="Total 5 4 2" xfId="19846"/>
    <cellStyle name="Total 5 4 2 2" xfId="19847"/>
    <cellStyle name="Total 5 4 3" xfId="19848"/>
    <cellStyle name="Total 5 4 3 2" xfId="19849"/>
    <cellStyle name="Total 5 4 4" xfId="19850"/>
    <cellStyle name="Total 5 5" xfId="19851"/>
    <cellStyle name="Total 5 5 2" xfId="19852"/>
    <cellStyle name="Total 5 5 2 2" xfId="19853"/>
    <cellStyle name="Total 5 5 3" xfId="19854"/>
    <cellStyle name="Total 5 5 3 2" xfId="19855"/>
    <cellStyle name="Total 5 5 4" xfId="19856"/>
    <cellStyle name="Total 5 6" xfId="19857"/>
    <cellStyle name="Total 5 6 2" xfId="19858"/>
    <cellStyle name="Total 5 6 2 2" xfId="19859"/>
    <cellStyle name="Total 5 6 3" xfId="19860"/>
    <cellStyle name="Total 5 6 3 2" xfId="19861"/>
    <cellStyle name="Total 5 6 4" xfId="19862"/>
    <cellStyle name="Total 5 6 4 2" xfId="19863"/>
    <cellStyle name="Total 5 6 5" xfId="19864"/>
    <cellStyle name="Total 5 7" xfId="19865"/>
    <cellStyle name="Total 5 7 2" xfId="19866"/>
    <cellStyle name="Total 5 7 2 2" xfId="19867"/>
    <cellStyle name="Total 5 7 3" xfId="19868"/>
    <cellStyle name="Total 5 7 3 2" xfId="19869"/>
    <cellStyle name="Total 5 7 4" xfId="19870"/>
    <cellStyle name="Total 5 8" xfId="19871"/>
    <cellStyle name="Total 5 8 2" xfId="19872"/>
    <cellStyle name="Total 5 9" xfId="19873"/>
    <cellStyle name="Total 5 9 2" xfId="19874"/>
    <cellStyle name="Total 6 13" xfId="19875"/>
    <cellStyle name="Total 6 10" xfId="19876"/>
    <cellStyle name="Total 6 10 2" xfId="19877"/>
    <cellStyle name="Total 6 11" xfId="19878"/>
    <cellStyle name="Total 6 12" xfId="19879"/>
    <cellStyle name="Total 6 2" xfId="19880"/>
    <cellStyle name="Total 6 2 10" xfId="19881"/>
    <cellStyle name="Total 6 2 2" xfId="19882"/>
    <cellStyle name="Total 6 2 2 2" xfId="19883"/>
    <cellStyle name="Total 6 2 2 2 2" xfId="19884"/>
    <cellStyle name="Total 6 2 2 3" xfId="19885"/>
    <cellStyle name="Total 6 2 2 3 2" xfId="19886"/>
    <cellStyle name="Total 6 2 2 4" xfId="19887"/>
    <cellStyle name="Total 6 2 3" xfId="19888"/>
    <cellStyle name="Total 6 2 3 2" xfId="19889"/>
    <cellStyle name="Total 6 2 3 2 2" xfId="19890"/>
    <cellStyle name="Total 6 2 3 3" xfId="19891"/>
    <cellStyle name="Total 6 2 3 3 2" xfId="19892"/>
    <cellStyle name="Total 6 2 3 4" xfId="19893"/>
    <cellStyle name="Total 6 2 4" xfId="19894"/>
    <cellStyle name="Total 6 2 4 2" xfId="19895"/>
    <cellStyle name="Total 6 2 4 2 2" xfId="19896"/>
    <cellStyle name="Total 6 2 4 3" xfId="19897"/>
    <cellStyle name="Total 6 2 4 3 2" xfId="19898"/>
    <cellStyle name="Total 6 2 4 4" xfId="19899"/>
    <cellStyle name="Total 6 2 4 4 2" xfId="19900"/>
    <cellStyle name="Total 6 2 4 5" xfId="19901"/>
    <cellStyle name="Total 6 2 5" xfId="19902"/>
    <cellStyle name="Total 6 2 5 2" xfId="19903"/>
    <cellStyle name="Total 6 2 5 2 2" xfId="19904"/>
    <cellStyle name="Total 6 2 5 3" xfId="19905"/>
    <cellStyle name="Total 6 2 5 3 2" xfId="19906"/>
    <cellStyle name="Total 6 2 5 4" xfId="19907"/>
    <cellStyle name="Total 6 2 6" xfId="19908"/>
    <cellStyle name="Total 6 2 6 2" xfId="19909"/>
    <cellStyle name="Total 6 2 7" xfId="19910"/>
    <cellStyle name="Total 6 2 7 2" xfId="19911"/>
    <cellStyle name="Total 6 2 8" xfId="19912"/>
    <cellStyle name="Total 6 2 8 2" xfId="19913"/>
    <cellStyle name="Total 6 2 9" xfId="19914"/>
    <cellStyle name="Total 6 3" xfId="19915"/>
    <cellStyle name="Total 6 3 2" xfId="19916"/>
    <cellStyle name="Total 6 3 2 2" xfId="19917"/>
    <cellStyle name="Total 6 3 3" xfId="19918"/>
    <cellStyle name="Total 6 3 3 2" xfId="19919"/>
    <cellStyle name="Total 6 3 4" xfId="19920"/>
    <cellStyle name="Total 6 3 5" xfId="19921"/>
    <cellStyle name="Total 6 4" xfId="19922"/>
    <cellStyle name="Total 6 4 2" xfId="19923"/>
    <cellStyle name="Total 6 4 2 2" xfId="19924"/>
    <cellStyle name="Total 6 4 3" xfId="19925"/>
    <cellStyle name="Total 6 4 3 2" xfId="19926"/>
    <cellStyle name="Total 6 4 4" xfId="19927"/>
    <cellStyle name="Total 6 5" xfId="19928"/>
    <cellStyle name="Total 6 5 2" xfId="19929"/>
    <cellStyle name="Total 6 5 2 2" xfId="19930"/>
    <cellStyle name="Total 6 5 3" xfId="19931"/>
    <cellStyle name="Total 6 5 3 2" xfId="19932"/>
    <cellStyle name="Total 6 5 4" xfId="19933"/>
    <cellStyle name="Total 6 6" xfId="19934"/>
    <cellStyle name="Total 6 6 2" xfId="19935"/>
    <cellStyle name="Total 6 6 2 2" xfId="19936"/>
    <cellStyle name="Total 6 6 3" xfId="19937"/>
    <cellStyle name="Total 6 6 3 2" xfId="19938"/>
    <cellStyle name="Total 6 6 4" xfId="19939"/>
    <cellStyle name="Total 6 6 4 2" xfId="19940"/>
    <cellStyle name="Total 6 6 5" xfId="19941"/>
    <cellStyle name="Total 6 7" xfId="19942"/>
    <cellStyle name="Total 6 7 2" xfId="19943"/>
    <cellStyle name="Total 6 7 2 2" xfId="19944"/>
    <cellStyle name="Total 6 7 3" xfId="19945"/>
    <cellStyle name="Total 6 7 3 2" xfId="19946"/>
    <cellStyle name="Total 6 7 4" xfId="19947"/>
    <cellStyle name="Total 6 8" xfId="19948"/>
    <cellStyle name="Total 6 8 2" xfId="19949"/>
    <cellStyle name="Total 6 9" xfId="19950"/>
    <cellStyle name="Total 6 9 2" xfId="19951"/>
    <cellStyle name="Total 7 12" xfId="19952"/>
    <cellStyle name="Total 7 10" xfId="19953"/>
    <cellStyle name="Total 7 11" xfId="19954"/>
    <cellStyle name="Total 7 2" xfId="19955"/>
    <cellStyle name="Total 7 2 2" xfId="19956"/>
    <cellStyle name="Total 7 2 2 2" xfId="19957"/>
    <cellStyle name="Total 7 2 3" xfId="19958"/>
    <cellStyle name="Total 7 2 3 2" xfId="19959"/>
    <cellStyle name="Total 7 2 4" xfId="19960"/>
    <cellStyle name="Total 7 2 5" xfId="19961"/>
    <cellStyle name="Total 7 3" xfId="19962"/>
    <cellStyle name="Total 7 3 2" xfId="19963"/>
    <cellStyle name="Total 7 3 2 2" xfId="19964"/>
    <cellStyle name="Total 7 3 3" xfId="19965"/>
    <cellStyle name="Total 7 3 3 2" xfId="19966"/>
    <cellStyle name="Total 7 3 4" xfId="19967"/>
    <cellStyle name="Total 7 4" xfId="19968"/>
    <cellStyle name="Total 7 4 2" xfId="19969"/>
    <cellStyle name="Total 7 4 2 2" xfId="19970"/>
    <cellStyle name="Total 7 4 3" xfId="19971"/>
    <cellStyle name="Total 7 4 3 2" xfId="19972"/>
    <cellStyle name="Total 7 4 4" xfId="19973"/>
    <cellStyle name="Total 7 5" xfId="19974"/>
    <cellStyle name="Total 7 5 2" xfId="19975"/>
    <cellStyle name="Total 7 5 2 2" xfId="19976"/>
    <cellStyle name="Total 7 5 3" xfId="19977"/>
    <cellStyle name="Total 7 5 3 2" xfId="19978"/>
    <cellStyle name="Total 7 5 4" xfId="19979"/>
    <cellStyle name="Total 7 5 4 2" xfId="19980"/>
    <cellStyle name="Total 7 5 5" xfId="19981"/>
    <cellStyle name="Total 7 6" xfId="19982"/>
    <cellStyle name="Total 7 6 2" xfId="19983"/>
    <cellStyle name="Total 7 6 2 2" xfId="19984"/>
    <cellStyle name="Total 7 6 3" xfId="19985"/>
    <cellStyle name="Total 7 6 3 2" xfId="19986"/>
    <cellStyle name="Total 7 6 4" xfId="19987"/>
    <cellStyle name="Total 7 7" xfId="19988"/>
    <cellStyle name="Total 7 7 2" xfId="19989"/>
    <cellStyle name="Total 7 8" xfId="19990"/>
    <cellStyle name="Total 7 8 2" xfId="19991"/>
    <cellStyle name="Total 7 9" xfId="19992"/>
    <cellStyle name="Total 7 9 2" xfId="19993"/>
    <cellStyle name="Total 8 12" xfId="19994"/>
    <cellStyle name="Total 8 10" xfId="19995"/>
    <cellStyle name="Total 8 11" xfId="19996"/>
    <cellStyle name="Total 8 2" xfId="19997"/>
    <cellStyle name="Total 8 2 2" xfId="19998"/>
    <cellStyle name="Total 8 2 2 2" xfId="19999"/>
    <cellStyle name="Total 8 2 3" xfId="20000"/>
    <cellStyle name="Total 8 2 3 2" xfId="20001"/>
    <cellStyle name="Total 8 2 4" xfId="20002"/>
    <cellStyle name="Total 8 2 5" xfId="20003"/>
    <cellStyle name="Total 8 3" xfId="20004"/>
    <cellStyle name="Total 8 3 2" xfId="20005"/>
    <cellStyle name="Total 8 3 2 2" xfId="20006"/>
    <cellStyle name="Total 8 3 3" xfId="20007"/>
    <cellStyle name="Total 8 3 3 2" xfId="20008"/>
    <cellStyle name="Total 8 3 4" xfId="20009"/>
    <cellStyle name="Total 8 4" xfId="20010"/>
    <cellStyle name="Total 8 4 2" xfId="20011"/>
    <cellStyle name="Total 8 4 2 2" xfId="20012"/>
    <cellStyle name="Total 8 4 3" xfId="20013"/>
    <cellStyle name="Total 8 4 3 2" xfId="20014"/>
    <cellStyle name="Total 8 4 4" xfId="20015"/>
    <cellStyle name="Total 8 5" xfId="20016"/>
    <cellStyle name="Total 8 5 2" xfId="20017"/>
    <cellStyle name="Total 8 5 2 2" xfId="20018"/>
    <cellStyle name="Total 8 5 3" xfId="20019"/>
    <cellStyle name="Total 8 5 3 2" xfId="20020"/>
    <cellStyle name="Total 8 5 4" xfId="20021"/>
    <cellStyle name="Total 8 5 4 2" xfId="20022"/>
    <cellStyle name="Total 8 5 5" xfId="20023"/>
    <cellStyle name="Total 8 6" xfId="20024"/>
    <cellStyle name="Total 8 6 2" xfId="20025"/>
    <cellStyle name="Total 8 6 2 2" xfId="20026"/>
    <cellStyle name="Total 8 6 3" xfId="20027"/>
    <cellStyle name="Total 8 6 3 2" xfId="20028"/>
    <cellStyle name="Total 8 6 4" xfId="20029"/>
    <cellStyle name="Total 8 7" xfId="20030"/>
    <cellStyle name="Total 8 7 2" xfId="20031"/>
    <cellStyle name="Total 8 8" xfId="20032"/>
    <cellStyle name="Total 8 8 2" xfId="20033"/>
    <cellStyle name="Total 8 9" xfId="20034"/>
    <cellStyle name="Total 8 9 2" xfId="20035"/>
    <cellStyle name="Total 9 12" xfId="20036"/>
    <cellStyle name="Total 9 10" xfId="20037"/>
    <cellStyle name="Total 9 11" xfId="20038"/>
    <cellStyle name="Total 9 2" xfId="20039"/>
    <cellStyle name="Total 9 2 2" xfId="20040"/>
    <cellStyle name="Total 9 2 2 2" xfId="20041"/>
    <cellStyle name="Total 9 2 3" xfId="20042"/>
    <cellStyle name="Total 9 2 3 2" xfId="20043"/>
    <cellStyle name="Total 9 2 4" xfId="20044"/>
    <cellStyle name="Total 9 2 5" xfId="20045"/>
    <cellStyle name="Total 9 3" xfId="20046"/>
    <cellStyle name="Total 9 3 2" xfId="20047"/>
    <cellStyle name="Total 9 3 2 2" xfId="20048"/>
    <cellStyle name="Total 9 3 3" xfId="20049"/>
    <cellStyle name="Total 9 3 3 2" xfId="20050"/>
    <cellStyle name="Total 9 3 4" xfId="20051"/>
    <cellStyle name="Total 9 4" xfId="20052"/>
    <cellStyle name="Total 9 4 2" xfId="20053"/>
    <cellStyle name="Total 9 4 2 2" xfId="20054"/>
    <cellStyle name="Total 9 4 3" xfId="20055"/>
    <cellStyle name="Total 9 4 3 2" xfId="20056"/>
    <cellStyle name="Total 9 4 4" xfId="20057"/>
    <cellStyle name="Total 9 5" xfId="20058"/>
    <cellStyle name="Total 9 5 2" xfId="20059"/>
    <cellStyle name="Total 9 5 2 2" xfId="20060"/>
    <cellStyle name="Total 9 5 3" xfId="20061"/>
    <cellStyle name="Total 9 5 3 2" xfId="20062"/>
    <cellStyle name="Total 9 5 4" xfId="20063"/>
    <cellStyle name="Total 9 5 4 2" xfId="20064"/>
    <cellStyle name="Total 9 5 5" xfId="20065"/>
    <cellStyle name="Total 9 6" xfId="20066"/>
    <cellStyle name="Total 9 6 2" xfId="20067"/>
    <cellStyle name="Total 9 6 2 2" xfId="20068"/>
    <cellStyle name="Total 9 6 3" xfId="20069"/>
    <cellStyle name="Total 9 6 3 2" xfId="20070"/>
    <cellStyle name="Total 9 6 4" xfId="20071"/>
    <cellStyle name="Total 9 7" xfId="20072"/>
    <cellStyle name="Total 9 7 2" xfId="20073"/>
    <cellStyle name="Total 9 8" xfId="20074"/>
    <cellStyle name="Total 9 8 2" xfId="20075"/>
    <cellStyle name="Total 9 9" xfId="20076"/>
    <cellStyle name="Total 9 9 2" xfId="20077"/>
    <cellStyle name="Überschrift 15" xfId="20078"/>
    <cellStyle name="Überschrift 1 12" xfId="20079"/>
    <cellStyle name="Überschrift 1 10" xfId="20080"/>
    <cellStyle name="Überschrift 1 11" xfId="20081"/>
    <cellStyle name="Überschrift 1 2" xfId="20082"/>
    <cellStyle name="Überschrift 1 2 2" xfId="20083"/>
    <cellStyle name="Überschrift 1 2 2 2" xfId="20084"/>
    <cellStyle name="Überschrift 1 2 3" xfId="20085"/>
    <cellStyle name="Überschrift 1 2 3 2" xfId="20086"/>
    <cellStyle name="Überschrift 1 2 4" xfId="20087"/>
    <cellStyle name="Überschrift 1 2 5" xfId="20088"/>
    <cellStyle name="Überschrift 1 3" xfId="20089"/>
    <cellStyle name="Überschrift 1 3 2" xfId="20090"/>
    <cellStyle name="Überschrift 1 3 2 2" xfId="20091"/>
    <cellStyle name="Überschrift 1 3 3" xfId="20092"/>
    <cellStyle name="Überschrift 1 3 3 2" xfId="20093"/>
    <cellStyle name="Überschrift 1 3 4" xfId="20094"/>
    <cellStyle name="Überschrift 1 4" xfId="20095"/>
    <cellStyle name="Überschrift 1 4 2" xfId="20096"/>
    <cellStyle name="Überschrift 1 4 2 2" xfId="20097"/>
    <cellStyle name="Überschrift 1 4 3" xfId="20098"/>
    <cellStyle name="Überschrift 1 4 3 2" xfId="20099"/>
    <cellStyle name="Überschrift 1 4 4" xfId="20100"/>
    <cellStyle name="Überschrift 1 5" xfId="20101"/>
    <cellStyle name="Überschrift 1 5 2" xfId="20102"/>
    <cellStyle name="Überschrift 1 5 2 2" xfId="20103"/>
    <cellStyle name="Überschrift 1 5 3" xfId="20104"/>
    <cellStyle name="Überschrift 1 5 3 2" xfId="20105"/>
    <cellStyle name="Überschrift 1 5 4" xfId="20106"/>
    <cellStyle name="Überschrift 1 5 4 2" xfId="20107"/>
    <cellStyle name="Überschrift 1 5 5" xfId="20108"/>
    <cellStyle name="Überschrift 1 6" xfId="20109"/>
    <cellStyle name="Überschrift 1 6 2" xfId="20110"/>
    <cellStyle name="Überschrift 1 6 2 2" xfId="20111"/>
    <cellStyle name="Überschrift 1 6 3" xfId="20112"/>
    <cellStyle name="Überschrift 1 6 3 2" xfId="20113"/>
    <cellStyle name="Überschrift 1 6 4" xfId="20114"/>
    <cellStyle name="Überschrift 1 7" xfId="20115"/>
    <cellStyle name="Überschrift 1 7 2" xfId="20116"/>
    <cellStyle name="Überschrift 1 8" xfId="20117"/>
    <cellStyle name="Überschrift 1 8 2" xfId="20118"/>
    <cellStyle name="Überschrift 1 9" xfId="20119"/>
    <cellStyle name="Überschrift 1 9 2" xfId="20120"/>
    <cellStyle name="Überschrift 10" xfId="20121"/>
    <cellStyle name="Überschrift 10 2" xfId="20122"/>
    <cellStyle name="Überschrift 11" xfId="20123"/>
    <cellStyle name="Überschrift 11 2" xfId="20124"/>
    <cellStyle name="Überschrift 12" xfId="20125"/>
    <cellStyle name="Überschrift 12 2" xfId="20126"/>
    <cellStyle name="Überschrift 13" xfId="20127"/>
    <cellStyle name="Überschrift 14" xfId="20128"/>
    <cellStyle name="Überschrift 2 12" xfId="20129"/>
    <cellStyle name="Überschrift 2 10" xfId="20130"/>
    <cellStyle name="Überschrift 2 11" xfId="20131"/>
    <cellStyle name="Überschrift 2 2" xfId="20132"/>
    <cellStyle name="Überschrift 2 2 2" xfId="20133"/>
    <cellStyle name="Überschrift 2 2 2 2" xfId="20134"/>
    <cellStyle name="Überschrift 2 2 3" xfId="20135"/>
    <cellStyle name="Überschrift 2 2 3 2" xfId="20136"/>
    <cellStyle name="Überschrift 2 2 4" xfId="20137"/>
    <cellStyle name="Überschrift 2 2 5" xfId="20138"/>
    <cellStyle name="Überschrift 2 3" xfId="20139"/>
    <cellStyle name="Überschrift 2 3 2" xfId="20140"/>
    <cellStyle name="Überschrift 2 3 2 2" xfId="20141"/>
    <cellStyle name="Überschrift 2 3 3" xfId="20142"/>
    <cellStyle name="Überschrift 2 3 3 2" xfId="20143"/>
    <cellStyle name="Überschrift 2 3 4" xfId="20144"/>
    <cellStyle name="Überschrift 2 4" xfId="20145"/>
    <cellStyle name="Überschrift 2 4 2" xfId="20146"/>
    <cellStyle name="Überschrift 2 4 2 2" xfId="20147"/>
    <cellStyle name="Überschrift 2 4 3" xfId="20148"/>
    <cellStyle name="Überschrift 2 4 3 2" xfId="20149"/>
    <cellStyle name="Überschrift 2 4 4" xfId="20150"/>
    <cellStyle name="Überschrift 2 5" xfId="20151"/>
    <cellStyle name="Überschrift 2 5 2" xfId="20152"/>
    <cellStyle name="Überschrift 2 5 2 2" xfId="20153"/>
    <cellStyle name="Überschrift 2 5 3" xfId="20154"/>
    <cellStyle name="Überschrift 2 5 3 2" xfId="20155"/>
    <cellStyle name="Überschrift 2 5 4" xfId="20156"/>
    <cellStyle name="Überschrift 2 5 4 2" xfId="20157"/>
    <cellStyle name="Überschrift 2 5 5" xfId="20158"/>
    <cellStyle name="Überschrift 2 6" xfId="20159"/>
    <cellStyle name="Überschrift 2 6 2" xfId="20160"/>
    <cellStyle name="Überschrift 2 6 2 2" xfId="20161"/>
    <cellStyle name="Überschrift 2 6 3" xfId="20162"/>
    <cellStyle name="Überschrift 2 6 3 2" xfId="20163"/>
    <cellStyle name="Überschrift 2 6 4" xfId="20164"/>
    <cellStyle name="Überschrift 2 7" xfId="20165"/>
    <cellStyle name="Überschrift 2 7 2" xfId="20166"/>
    <cellStyle name="Überschrift 2 8" xfId="20167"/>
    <cellStyle name="Überschrift 2 8 2" xfId="20168"/>
    <cellStyle name="Überschrift 2 9" xfId="20169"/>
    <cellStyle name="Überschrift 2 9 2" xfId="20170"/>
    <cellStyle name="Überschrift 3 12" xfId="20171"/>
    <cellStyle name="Überschrift 3 10" xfId="20172"/>
    <cellStyle name="Überschrift 3 11" xfId="20173"/>
    <cellStyle name="Überschrift 3 2" xfId="20174"/>
    <cellStyle name="Überschrift 3 2 2" xfId="20175"/>
    <cellStyle name="Überschrift 3 2 2 2" xfId="20176"/>
    <cellStyle name="Überschrift 3 2 3" xfId="20177"/>
    <cellStyle name="Überschrift 3 2 3 2" xfId="20178"/>
    <cellStyle name="Überschrift 3 2 4" xfId="20179"/>
    <cellStyle name="Überschrift 3 2 5" xfId="20180"/>
    <cellStyle name="Überschrift 3 3" xfId="20181"/>
    <cellStyle name="Überschrift 3 3 2" xfId="20182"/>
    <cellStyle name="Überschrift 3 3 2 2" xfId="20183"/>
    <cellStyle name="Überschrift 3 3 3" xfId="20184"/>
    <cellStyle name="Überschrift 3 3 3 2" xfId="20185"/>
    <cellStyle name="Überschrift 3 3 4" xfId="20186"/>
    <cellStyle name="Überschrift 3 4" xfId="20187"/>
    <cellStyle name="Überschrift 3 4 2" xfId="20188"/>
    <cellStyle name="Überschrift 3 4 2 2" xfId="20189"/>
    <cellStyle name="Überschrift 3 4 3" xfId="20190"/>
    <cellStyle name="Überschrift 3 4 3 2" xfId="20191"/>
    <cellStyle name="Überschrift 3 4 4" xfId="20192"/>
    <cellStyle name="Überschrift 3 5" xfId="20193"/>
    <cellStyle name="Überschrift 3 5 2" xfId="20194"/>
    <cellStyle name="Überschrift 3 5 2 2" xfId="20195"/>
    <cellStyle name="Überschrift 3 5 3" xfId="20196"/>
    <cellStyle name="Überschrift 3 5 3 2" xfId="20197"/>
    <cellStyle name="Überschrift 3 5 4" xfId="20198"/>
    <cellStyle name="Überschrift 3 5 4 2" xfId="20199"/>
    <cellStyle name="Überschrift 3 5 5" xfId="20200"/>
    <cellStyle name="Überschrift 3 6" xfId="20201"/>
    <cellStyle name="Überschrift 3 6 2" xfId="20202"/>
    <cellStyle name="Überschrift 3 6 2 2" xfId="20203"/>
    <cellStyle name="Überschrift 3 6 3" xfId="20204"/>
    <cellStyle name="Überschrift 3 6 3 2" xfId="20205"/>
    <cellStyle name="Überschrift 3 6 4" xfId="20206"/>
    <cellStyle name="Überschrift 3 7" xfId="20207"/>
    <cellStyle name="Überschrift 3 7 2" xfId="20208"/>
    <cellStyle name="Überschrift 3 8" xfId="20209"/>
    <cellStyle name="Überschrift 3 8 2" xfId="20210"/>
    <cellStyle name="Überschrift 3 9" xfId="20211"/>
    <cellStyle name="Überschrift 3 9 2" xfId="20212"/>
    <cellStyle name="Überschrift 4 12" xfId="20213"/>
    <cellStyle name="Überschrift 4 10" xfId="20214"/>
    <cellStyle name="Überschrift 4 11" xfId="20215"/>
    <cellStyle name="Überschrift 4 2" xfId="20216"/>
    <cellStyle name="Überschrift 4 2 2" xfId="20217"/>
    <cellStyle name="Überschrift 4 2 2 2" xfId="20218"/>
    <cellStyle name="Überschrift 4 2 3" xfId="20219"/>
    <cellStyle name="Überschrift 4 2 3 2" xfId="20220"/>
    <cellStyle name="Überschrift 4 2 4" xfId="20221"/>
    <cellStyle name="Überschrift 4 2 5" xfId="20222"/>
    <cellStyle name="Überschrift 4 3" xfId="20223"/>
    <cellStyle name="Überschrift 4 3 2" xfId="20224"/>
    <cellStyle name="Überschrift 4 3 2 2" xfId="20225"/>
    <cellStyle name="Überschrift 4 3 3" xfId="20226"/>
    <cellStyle name="Überschrift 4 3 3 2" xfId="20227"/>
    <cellStyle name="Überschrift 4 3 4" xfId="20228"/>
    <cellStyle name="Überschrift 4 4" xfId="20229"/>
    <cellStyle name="Überschrift 4 4 2" xfId="20230"/>
    <cellStyle name="Überschrift 4 4 2 2" xfId="20231"/>
    <cellStyle name="Überschrift 4 4 3" xfId="20232"/>
    <cellStyle name="Überschrift 4 4 3 2" xfId="20233"/>
    <cellStyle name="Überschrift 4 4 4" xfId="20234"/>
    <cellStyle name="Überschrift 4 5" xfId="20235"/>
    <cellStyle name="Überschrift 4 5 2" xfId="20236"/>
    <cellStyle name="Überschrift 4 5 2 2" xfId="20237"/>
    <cellStyle name="Überschrift 4 5 3" xfId="20238"/>
    <cellStyle name="Überschrift 4 5 3 2" xfId="20239"/>
    <cellStyle name="Überschrift 4 5 4" xfId="20240"/>
    <cellStyle name="Überschrift 4 5 4 2" xfId="20241"/>
    <cellStyle name="Überschrift 4 5 5" xfId="20242"/>
    <cellStyle name="Überschrift 4 6" xfId="20243"/>
    <cellStyle name="Überschrift 4 6 2" xfId="20244"/>
    <cellStyle name="Überschrift 4 6 2 2" xfId="20245"/>
    <cellStyle name="Überschrift 4 6 3" xfId="20246"/>
    <cellStyle name="Überschrift 4 6 3 2" xfId="20247"/>
    <cellStyle name="Überschrift 4 6 4" xfId="20248"/>
    <cellStyle name="Überschrift 4 7" xfId="20249"/>
    <cellStyle name="Überschrift 4 7 2" xfId="20250"/>
    <cellStyle name="Überschrift 4 8" xfId="20251"/>
    <cellStyle name="Überschrift 4 8 2" xfId="20252"/>
    <cellStyle name="Überschrift 4 9" xfId="20253"/>
    <cellStyle name="Überschrift 4 9 2" xfId="20254"/>
    <cellStyle name="Überschrift 5" xfId="20255"/>
    <cellStyle name="Überschrift 5 2" xfId="20256"/>
    <cellStyle name="Überschrift 5 2 2" xfId="20257"/>
    <cellStyle name="Überschrift 5 3" xfId="20258"/>
    <cellStyle name="Überschrift 5 3 2" xfId="20259"/>
    <cellStyle name="Überschrift 5 4" xfId="20260"/>
    <cellStyle name="Überschrift 5 5" xfId="20261"/>
    <cellStyle name="Überschrift 6" xfId="20262"/>
    <cellStyle name="Überschrift 6 2" xfId="20263"/>
    <cellStyle name="Überschrift 6 2 2" xfId="20264"/>
    <cellStyle name="Überschrift 6 3" xfId="20265"/>
    <cellStyle name="Überschrift 6 3 2" xfId="20266"/>
    <cellStyle name="Überschrift 6 4" xfId="20267"/>
    <cellStyle name="Überschrift 7" xfId="20268"/>
    <cellStyle name="Überschrift 7 2" xfId="20269"/>
    <cellStyle name="Überschrift 7 2 2" xfId="20270"/>
    <cellStyle name="Überschrift 7 3" xfId="20271"/>
    <cellStyle name="Überschrift 7 3 2" xfId="20272"/>
    <cellStyle name="Überschrift 7 4" xfId="20273"/>
    <cellStyle name="Überschrift 8" xfId="20274"/>
    <cellStyle name="Überschrift 8 2" xfId="20275"/>
    <cellStyle name="Überschrift 8 2 2" xfId="20276"/>
    <cellStyle name="Überschrift 8 3" xfId="20277"/>
    <cellStyle name="Überschrift 8 3 2" xfId="20278"/>
    <cellStyle name="Überschrift 8 4" xfId="20279"/>
    <cellStyle name="Überschrift 8 4 2" xfId="20280"/>
    <cellStyle name="Überschrift 8 5" xfId="20281"/>
    <cellStyle name="Überschrift 9" xfId="20282"/>
    <cellStyle name="Überschrift 9 2" xfId="20283"/>
    <cellStyle name="Überschrift 9 2 2" xfId="20284"/>
    <cellStyle name="Überschrift 9 3" xfId="20285"/>
    <cellStyle name="Überschrift 9 3 2" xfId="20286"/>
    <cellStyle name="Überschrift 9 4" xfId="20287"/>
    <cellStyle name="Verknüpfte Zelle 12" xfId="20288"/>
    <cellStyle name="Verknüpfte Zelle 10" xfId="20289"/>
    <cellStyle name="Verknüpfte Zelle 11" xfId="20290"/>
    <cellStyle name="Verknüpfte Zelle 2" xfId="20291"/>
    <cellStyle name="Verknüpfte Zelle 2 2" xfId="20292"/>
    <cellStyle name="Verknüpfte Zelle 2 2 2" xfId="20293"/>
    <cellStyle name="Verknüpfte Zelle 2 3" xfId="20294"/>
    <cellStyle name="Verknüpfte Zelle 2 3 2" xfId="20295"/>
    <cellStyle name="Verknüpfte Zelle 2 4" xfId="20296"/>
    <cellStyle name="Verknüpfte Zelle 2 5" xfId="20297"/>
    <cellStyle name="Verknüpfte Zelle 3" xfId="20298"/>
    <cellStyle name="Verknüpfte Zelle 3 2" xfId="20299"/>
    <cellStyle name="Verknüpfte Zelle 3 2 2" xfId="20300"/>
    <cellStyle name="Verknüpfte Zelle 3 3" xfId="20301"/>
    <cellStyle name="Verknüpfte Zelle 3 3 2" xfId="20302"/>
    <cellStyle name="Verknüpfte Zelle 3 4" xfId="20303"/>
    <cellStyle name="Verknüpfte Zelle 4" xfId="20304"/>
    <cellStyle name="Verknüpfte Zelle 4 2" xfId="20305"/>
    <cellStyle name="Verknüpfte Zelle 4 2 2" xfId="20306"/>
    <cellStyle name="Verknüpfte Zelle 4 3" xfId="20307"/>
    <cellStyle name="Verknüpfte Zelle 4 3 2" xfId="20308"/>
    <cellStyle name="Verknüpfte Zelle 4 4" xfId="20309"/>
    <cellStyle name="Verknüpfte Zelle 5" xfId="20310"/>
    <cellStyle name="Verknüpfte Zelle 5 2" xfId="20311"/>
    <cellStyle name="Verknüpfte Zelle 5 2 2" xfId="20312"/>
    <cellStyle name="Verknüpfte Zelle 5 3" xfId="20313"/>
    <cellStyle name="Verknüpfte Zelle 5 3 2" xfId="20314"/>
    <cellStyle name="Verknüpfte Zelle 5 4" xfId="20315"/>
    <cellStyle name="Verknüpfte Zelle 5 4 2" xfId="20316"/>
    <cellStyle name="Verknüpfte Zelle 5 5" xfId="20317"/>
    <cellStyle name="Verknüpfte Zelle 6" xfId="20318"/>
    <cellStyle name="Verknüpfte Zelle 6 2" xfId="20319"/>
    <cellStyle name="Verknüpfte Zelle 6 2 2" xfId="20320"/>
    <cellStyle name="Verknüpfte Zelle 6 3" xfId="20321"/>
    <cellStyle name="Verknüpfte Zelle 6 3 2" xfId="20322"/>
    <cellStyle name="Verknüpfte Zelle 6 4" xfId="20323"/>
    <cellStyle name="Verknüpfte Zelle 7" xfId="20324"/>
    <cellStyle name="Verknüpfte Zelle 7 2" xfId="20325"/>
    <cellStyle name="Verknüpfte Zelle 8" xfId="20326"/>
    <cellStyle name="Verknüpfte Zelle 8 2" xfId="20327"/>
    <cellStyle name="Verknüpfte Zelle 9" xfId="20328"/>
    <cellStyle name="Verknüpfte Zelle 9 2" xfId="20329"/>
    <cellStyle name="Warnender Text 12" xfId="20330"/>
    <cellStyle name="Warnender Text 10" xfId="20331"/>
    <cellStyle name="Warnender Text 11" xfId="20332"/>
    <cellStyle name="Warnender Text 2" xfId="20333"/>
    <cellStyle name="Warnender Text 2 2" xfId="20334"/>
    <cellStyle name="Warnender Text 2 2 2" xfId="20335"/>
    <cellStyle name="Warnender Text 2 3" xfId="20336"/>
    <cellStyle name="Warnender Text 2 3 2" xfId="20337"/>
    <cellStyle name="Warnender Text 2 4" xfId="20338"/>
    <cellStyle name="Warnender Text 2 5" xfId="20339"/>
    <cellStyle name="Warnender Text 3" xfId="20340"/>
    <cellStyle name="Warnender Text 3 2" xfId="20341"/>
    <cellStyle name="Warnender Text 3 2 2" xfId="20342"/>
    <cellStyle name="Warnender Text 3 3" xfId="20343"/>
    <cellStyle name="Warnender Text 3 3 2" xfId="20344"/>
    <cellStyle name="Warnender Text 3 4" xfId="20345"/>
    <cellStyle name="Warnender Text 4" xfId="20346"/>
    <cellStyle name="Warnender Text 4 2" xfId="20347"/>
    <cellStyle name="Warnender Text 4 2 2" xfId="20348"/>
    <cellStyle name="Warnender Text 4 3" xfId="20349"/>
    <cellStyle name="Warnender Text 4 3 2" xfId="20350"/>
    <cellStyle name="Warnender Text 4 4" xfId="20351"/>
    <cellStyle name="Warnender Text 5" xfId="20352"/>
    <cellStyle name="Warnender Text 5 2" xfId="20353"/>
    <cellStyle name="Warnender Text 5 2 2" xfId="20354"/>
    <cellStyle name="Warnender Text 5 3" xfId="20355"/>
    <cellStyle name="Warnender Text 5 3 2" xfId="20356"/>
    <cellStyle name="Warnender Text 5 4" xfId="20357"/>
    <cellStyle name="Warnender Text 5 4 2" xfId="20358"/>
    <cellStyle name="Warnender Text 5 5" xfId="20359"/>
    <cellStyle name="Warnender Text 6" xfId="20360"/>
    <cellStyle name="Warnender Text 6 2" xfId="20361"/>
    <cellStyle name="Warnender Text 6 2 2" xfId="20362"/>
    <cellStyle name="Warnender Text 6 3" xfId="20363"/>
    <cellStyle name="Warnender Text 6 3 2" xfId="20364"/>
    <cellStyle name="Warnender Text 6 4" xfId="20365"/>
    <cellStyle name="Warnender Text 7" xfId="20366"/>
    <cellStyle name="Warnender Text 7 2" xfId="20367"/>
    <cellStyle name="Warnender Text 8" xfId="20368"/>
    <cellStyle name="Warnender Text 8 2" xfId="20369"/>
    <cellStyle name="Warnender Text 9" xfId="20370"/>
    <cellStyle name="Warnender Text 9 2" xfId="20371"/>
    <cellStyle name="Warning Text 10 12" xfId="20372"/>
    <cellStyle name="Warning Text 10 10" xfId="20373"/>
    <cellStyle name="Warning Text 10 11" xfId="20374"/>
    <cellStyle name="Warning Text 10 2" xfId="20375"/>
    <cellStyle name="Warning Text 10 2 2" xfId="20376"/>
    <cellStyle name="Warning Text 10 2 2 2" xfId="20377"/>
    <cellStyle name="Warning Text 10 2 3" xfId="20378"/>
    <cellStyle name="Warning Text 10 2 3 2" xfId="20379"/>
    <cellStyle name="Warning Text 10 2 4" xfId="20380"/>
    <cellStyle name="Warning Text 10 2 5" xfId="20381"/>
    <cellStyle name="Warning Text 10 3" xfId="20382"/>
    <cellStyle name="Warning Text 10 3 2" xfId="20383"/>
    <cellStyle name="Warning Text 10 3 2 2" xfId="20384"/>
    <cellStyle name="Warning Text 10 3 3" xfId="20385"/>
    <cellStyle name="Warning Text 10 3 3 2" xfId="20386"/>
    <cellStyle name="Warning Text 10 3 4" xfId="20387"/>
    <cellStyle name="Warning Text 10 4" xfId="20388"/>
    <cellStyle name="Warning Text 10 4 2" xfId="20389"/>
    <cellStyle name="Warning Text 10 4 2 2" xfId="20390"/>
    <cellStyle name="Warning Text 10 4 3" xfId="20391"/>
    <cellStyle name="Warning Text 10 4 3 2" xfId="20392"/>
    <cellStyle name="Warning Text 10 4 4" xfId="20393"/>
    <cellStyle name="Warning Text 10 5" xfId="20394"/>
    <cellStyle name="Warning Text 10 5 2" xfId="20395"/>
    <cellStyle name="Warning Text 10 5 2 2" xfId="20396"/>
    <cellStyle name="Warning Text 10 5 3" xfId="20397"/>
    <cellStyle name="Warning Text 10 5 3 2" xfId="20398"/>
    <cellStyle name="Warning Text 10 5 4" xfId="20399"/>
    <cellStyle name="Warning Text 10 5 4 2" xfId="20400"/>
    <cellStyle name="Warning Text 10 5 5" xfId="20401"/>
    <cellStyle name="Warning Text 10 6" xfId="20402"/>
    <cellStyle name="Warning Text 10 6 2" xfId="20403"/>
    <cellStyle name="Warning Text 10 6 2 2" xfId="20404"/>
    <cellStyle name="Warning Text 10 6 3" xfId="20405"/>
    <cellStyle name="Warning Text 10 6 3 2" xfId="20406"/>
    <cellStyle name="Warning Text 10 6 4" xfId="20407"/>
    <cellStyle name="Warning Text 10 7" xfId="20408"/>
    <cellStyle name="Warning Text 10 7 2" xfId="20409"/>
    <cellStyle name="Warning Text 10 8" xfId="20410"/>
    <cellStyle name="Warning Text 10 8 2" xfId="20411"/>
    <cellStyle name="Warning Text 10 9" xfId="20412"/>
    <cellStyle name="Warning Text 10 9 2" xfId="20413"/>
    <cellStyle name="Warning Text 11 12" xfId="20414"/>
    <cellStyle name="Warning Text 11 10" xfId="20415"/>
    <cellStyle name="Warning Text 11 11" xfId="20416"/>
    <cellStyle name="Warning Text 11 2" xfId="20417"/>
    <cellStyle name="Warning Text 11 2 2" xfId="20418"/>
    <cellStyle name="Warning Text 11 2 2 2" xfId="20419"/>
    <cellStyle name="Warning Text 11 2 3" xfId="20420"/>
    <cellStyle name="Warning Text 11 2 3 2" xfId="20421"/>
    <cellStyle name="Warning Text 11 2 4" xfId="20422"/>
    <cellStyle name="Warning Text 11 2 5" xfId="20423"/>
    <cellStyle name="Warning Text 11 3" xfId="20424"/>
    <cellStyle name="Warning Text 11 3 2" xfId="20425"/>
    <cellStyle name="Warning Text 11 3 2 2" xfId="20426"/>
    <cellStyle name="Warning Text 11 3 3" xfId="20427"/>
    <cellStyle name="Warning Text 11 3 3 2" xfId="20428"/>
    <cellStyle name="Warning Text 11 3 4" xfId="20429"/>
    <cellStyle name="Warning Text 11 4" xfId="20430"/>
    <cellStyle name="Warning Text 11 4 2" xfId="20431"/>
    <cellStyle name="Warning Text 11 4 2 2" xfId="20432"/>
    <cellStyle name="Warning Text 11 4 3" xfId="20433"/>
    <cellStyle name="Warning Text 11 4 3 2" xfId="20434"/>
    <cellStyle name="Warning Text 11 4 4" xfId="20435"/>
    <cellStyle name="Warning Text 11 5" xfId="20436"/>
    <cellStyle name="Warning Text 11 5 2" xfId="20437"/>
    <cellStyle name="Warning Text 11 5 2 2" xfId="20438"/>
    <cellStyle name="Warning Text 11 5 3" xfId="20439"/>
    <cellStyle name="Warning Text 11 5 3 2" xfId="20440"/>
    <cellStyle name="Warning Text 11 5 4" xfId="20441"/>
    <cellStyle name="Warning Text 11 5 4 2" xfId="20442"/>
    <cellStyle name="Warning Text 11 5 5" xfId="20443"/>
    <cellStyle name="Warning Text 11 6" xfId="20444"/>
    <cellStyle name="Warning Text 11 6 2" xfId="20445"/>
    <cellStyle name="Warning Text 11 6 2 2" xfId="20446"/>
    <cellStyle name="Warning Text 11 6 3" xfId="20447"/>
    <cellStyle name="Warning Text 11 6 3 2" xfId="20448"/>
    <cellStyle name="Warning Text 11 6 4" xfId="20449"/>
    <cellStyle name="Warning Text 11 7" xfId="20450"/>
    <cellStyle name="Warning Text 11 7 2" xfId="20451"/>
    <cellStyle name="Warning Text 11 8" xfId="20452"/>
    <cellStyle name="Warning Text 11 8 2" xfId="20453"/>
    <cellStyle name="Warning Text 11 9" xfId="20454"/>
    <cellStyle name="Warning Text 11 9 2" xfId="20455"/>
    <cellStyle name="Warning Text 12 12" xfId="20456"/>
    <cellStyle name="Warning Text 12 10" xfId="20457"/>
    <cellStyle name="Warning Text 12 11" xfId="20458"/>
    <cellStyle name="Warning Text 12 2" xfId="20459"/>
    <cellStyle name="Warning Text 12 2 2" xfId="20460"/>
    <cellStyle name="Warning Text 12 2 2 2" xfId="20461"/>
    <cellStyle name="Warning Text 12 2 3" xfId="20462"/>
    <cellStyle name="Warning Text 12 2 3 2" xfId="20463"/>
    <cellStyle name="Warning Text 12 2 4" xfId="20464"/>
    <cellStyle name="Warning Text 12 2 5" xfId="20465"/>
    <cellStyle name="Warning Text 12 3" xfId="20466"/>
    <cellStyle name="Warning Text 12 3 2" xfId="20467"/>
    <cellStyle name="Warning Text 12 3 2 2" xfId="20468"/>
    <cellStyle name="Warning Text 12 3 3" xfId="20469"/>
    <cellStyle name="Warning Text 12 3 3 2" xfId="20470"/>
    <cellStyle name="Warning Text 12 3 4" xfId="20471"/>
    <cellStyle name="Warning Text 12 4" xfId="20472"/>
    <cellStyle name="Warning Text 12 4 2" xfId="20473"/>
    <cellStyle name="Warning Text 12 4 2 2" xfId="20474"/>
    <cellStyle name="Warning Text 12 4 3" xfId="20475"/>
    <cellStyle name="Warning Text 12 4 3 2" xfId="20476"/>
    <cellStyle name="Warning Text 12 4 4" xfId="20477"/>
    <cellStyle name="Warning Text 12 5" xfId="20478"/>
    <cellStyle name="Warning Text 12 5 2" xfId="20479"/>
    <cellStyle name="Warning Text 12 5 2 2" xfId="20480"/>
    <cellStyle name="Warning Text 12 5 3" xfId="20481"/>
    <cellStyle name="Warning Text 12 5 3 2" xfId="20482"/>
    <cellStyle name="Warning Text 12 5 4" xfId="20483"/>
    <cellStyle name="Warning Text 12 5 4 2" xfId="20484"/>
    <cellStyle name="Warning Text 12 5 5" xfId="20485"/>
    <cellStyle name="Warning Text 12 6" xfId="20486"/>
    <cellStyle name="Warning Text 12 6 2" xfId="20487"/>
    <cellStyle name="Warning Text 12 6 2 2" xfId="20488"/>
    <cellStyle name="Warning Text 12 6 3" xfId="20489"/>
    <cellStyle name="Warning Text 12 6 3 2" xfId="20490"/>
    <cellStyle name="Warning Text 12 6 4" xfId="20491"/>
    <cellStyle name="Warning Text 12 7" xfId="20492"/>
    <cellStyle name="Warning Text 12 7 2" xfId="20493"/>
    <cellStyle name="Warning Text 12 8" xfId="20494"/>
    <cellStyle name="Warning Text 12 8 2" xfId="20495"/>
    <cellStyle name="Warning Text 12 9" xfId="20496"/>
    <cellStyle name="Warning Text 12 9 2" xfId="20497"/>
    <cellStyle name="Warning Text 13 12" xfId="20498"/>
    <cellStyle name="Warning Text 13 10" xfId="20499"/>
    <cellStyle name="Warning Text 13 11" xfId="20500"/>
    <cellStyle name="Warning Text 13 2" xfId="20501"/>
    <cellStyle name="Warning Text 13 2 2" xfId="20502"/>
    <cellStyle name="Warning Text 13 2 2 2" xfId="20503"/>
    <cellStyle name="Warning Text 13 2 3" xfId="20504"/>
    <cellStyle name="Warning Text 13 2 3 2" xfId="20505"/>
    <cellStyle name="Warning Text 13 2 4" xfId="20506"/>
    <cellStyle name="Warning Text 13 2 5" xfId="20507"/>
    <cellStyle name="Warning Text 13 3" xfId="20508"/>
    <cellStyle name="Warning Text 13 3 2" xfId="20509"/>
    <cellStyle name="Warning Text 13 3 2 2" xfId="20510"/>
    <cellStyle name="Warning Text 13 3 3" xfId="20511"/>
    <cellStyle name="Warning Text 13 3 3 2" xfId="20512"/>
    <cellStyle name="Warning Text 13 3 4" xfId="20513"/>
    <cellStyle name="Warning Text 13 4" xfId="20514"/>
    <cellStyle name="Warning Text 13 4 2" xfId="20515"/>
    <cellStyle name="Warning Text 13 4 2 2" xfId="20516"/>
    <cellStyle name="Warning Text 13 4 3" xfId="20517"/>
    <cellStyle name="Warning Text 13 4 3 2" xfId="20518"/>
    <cellStyle name="Warning Text 13 4 4" xfId="20519"/>
    <cellStyle name="Warning Text 13 5" xfId="20520"/>
    <cellStyle name="Warning Text 13 5 2" xfId="20521"/>
    <cellStyle name="Warning Text 13 5 2 2" xfId="20522"/>
    <cellStyle name="Warning Text 13 5 3" xfId="20523"/>
    <cellStyle name="Warning Text 13 5 3 2" xfId="20524"/>
    <cellStyle name="Warning Text 13 5 4" xfId="20525"/>
    <cellStyle name="Warning Text 13 5 4 2" xfId="20526"/>
    <cellStyle name="Warning Text 13 5 5" xfId="20527"/>
    <cellStyle name="Warning Text 13 6" xfId="20528"/>
    <cellStyle name="Warning Text 13 6 2" xfId="20529"/>
    <cellStyle name="Warning Text 13 6 2 2" xfId="20530"/>
    <cellStyle name="Warning Text 13 6 3" xfId="20531"/>
    <cellStyle name="Warning Text 13 6 3 2" xfId="20532"/>
    <cellStyle name="Warning Text 13 6 4" xfId="20533"/>
    <cellStyle name="Warning Text 13 7" xfId="20534"/>
    <cellStyle name="Warning Text 13 7 2" xfId="20535"/>
    <cellStyle name="Warning Text 13 8" xfId="20536"/>
    <cellStyle name="Warning Text 13 8 2" xfId="20537"/>
    <cellStyle name="Warning Text 13 9" xfId="20538"/>
    <cellStyle name="Warning Text 13 9 2" xfId="20539"/>
    <cellStyle name="Warning Text 14 12" xfId="20540"/>
    <cellStyle name="Warning Text 14 10" xfId="20541"/>
    <cellStyle name="Warning Text 14 11" xfId="20542"/>
    <cellStyle name="Warning Text 14 2" xfId="20543"/>
    <cellStyle name="Warning Text 14 2 2" xfId="20544"/>
    <cellStyle name="Warning Text 14 2 2 2" xfId="20545"/>
    <cellStyle name="Warning Text 14 2 3" xfId="20546"/>
    <cellStyle name="Warning Text 14 2 3 2" xfId="20547"/>
    <cellStyle name="Warning Text 14 2 4" xfId="20548"/>
    <cellStyle name="Warning Text 14 2 5" xfId="20549"/>
    <cellStyle name="Warning Text 14 3" xfId="20550"/>
    <cellStyle name="Warning Text 14 3 2" xfId="20551"/>
    <cellStyle name="Warning Text 14 3 2 2" xfId="20552"/>
    <cellStyle name="Warning Text 14 3 3" xfId="20553"/>
    <cellStyle name="Warning Text 14 3 3 2" xfId="20554"/>
    <cellStyle name="Warning Text 14 3 4" xfId="20555"/>
    <cellStyle name="Warning Text 14 4" xfId="20556"/>
    <cellStyle name="Warning Text 14 4 2" xfId="20557"/>
    <cellStyle name="Warning Text 14 4 2 2" xfId="20558"/>
    <cellStyle name="Warning Text 14 4 3" xfId="20559"/>
    <cellStyle name="Warning Text 14 4 3 2" xfId="20560"/>
    <cellStyle name="Warning Text 14 4 4" xfId="20561"/>
    <cellStyle name="Warning Text 14 5" xfId="20562"/>
    <cellStyle name="Warning Text 14 5 2" xfId="20563"/>
    <cellStyle name="Warning Text 14 5 2 2" xfId="20564"/>
    <cellStyle name="Warning Text 14 5 3" xfId="20565"/>
    <cellStyle name="Warning Text 14 5 3 2" xfId="20566"/>
    <cellStyle name="Warning Text 14 5 4" xfId="20567"/>
    <cellStyle name="Warning Text 14 5 4 2" xfId="20568"/>
    <cellStyle name="Warning Text 14 5 5" xfId="20569"/>
    <cellStyle name="Warning Text 14 6" xfId="20570"/>
    <cellStyle name="Warning Text 14 6 2" xfId="20571"/>
    <cellStyle name="Warning Text 14 6 2 2" xfId="20572"/>
    <cellStyle name="Warning Text 14 6 3" xfId="20573"/>
    <cellStyle name="Warning Text 14 6 3 2" xfId="20574"/>
    <cellStyle name="Warning Text 14 6 4" xfId="20575"/>
    <cellStyle name="Warning Text 14 7" xfId="20576"/>
    <cellStyle name="Warning Text 14 7 2" xfId="20577"/>
    <cellStyle name="Warning Text 14 8" xfId="20578"/>
    <cellStyle name="Warning Text 14 8 2" xfId="20579"/>
    <cellStyle name="Warning Text 14 9" xfId="20580"/>
    <cellStyle name="Warning Text 14 9 2" xfId="20581"/>
    <cellStyle name="Warning Text 15 12" xfId="20582"/>
    <cellStyle name="Warning Text 15 10" xfId="20583"/>
    <cellStyle name="Warning Text 15 11" xfId="20584"/>
    <cellStyle name="Warning Text 15 2" xfId="20585"/>
    <cellStyle name="Warning Text 15 2 2" xfId="20586"/>
    <cellStyle name="Warning Text 15 2 2 2" xfId="20587"/>
    <cellStyle name="Warning Text 15 2 3" xfId="20588"/>
    <cellStyle name="Warning Text 15 2 3 2" xfId="20589"/>
    <cellStyle name="Warning Text 15 2 4" xfId="20590"/>
    <cellStyle name="Warning Text 15 2 5" xfId="20591"/>
    <cellStyle name="Warning Text 15 3" xfId="20592"/>
    <cellStyle name="Warning Text 15 3 2" xfId="20593"/>
    <cellStyle name="Warning Text 15 3 2 2" xfId="20594"/>
    <cellStyle name="Warning Text 15 3 3" xfId="20595"/>
    <cellStyle name="Warning Text 15 3 3 2" xfId="20596"/>
    <cellStyle name="Warning Text 15 3 4" xfId="20597"/>
    <cellStyle name="Warning Text 15 4" xfId="20598"/>
    <cellStyle name="Warning Text 15 4 2" xfId="20599"/>
    <cellStyle name="Warning Text 15 4 2 2" xfId="20600"/>
    <cellStyle name="Warning Text 15 4 3" xfId="20601"/>
    <cellStyle name="Warning Text 15 4 3 2" xfId="20602"/>
    <cellStyle name="Warning Text 15 4 4" xfId="20603"/>
    <cellStyle name="Warning Text 15 5" xfId="20604"/>
    <cellStyle name="Warning Text 15 5 2" xfId="20605"/>
    <cellStyle name="Warning Text 15 5 2 2" xfId="20606"/>
    <cellStyle name="Warning Text 15 5 3" xfId="20607"/>
    <cellStyle name="Warning Text 15 5 3 2" xfId="20608"/>
    <cellStyle name="Warning Text 15 5 4" xfId="20609"/>
    <cellStyle name="Warning Text 15 5 4 2" xfId="20610"/>
    <cellStyle name="Warning Text 15 5 5" xfId="20611"/>
    <cellStyle name="Warning Text 15 6" xfId="20612"/>
    <cellStyle name="Warning Text 15 6 2" xfId="20613"/>
    <cellStyle name="Warning Text 15 6 2 2" xfId="20614"/>
    <cellStyle name="Warning Text 15 6 3" xfId="20615"/>
    <cellStyle name="Warning Text 15 6 3 2" xfId="20616"/>
    <cellStyle name="Warning Text 15 6 4" xfId="20617"/>
    <cellStyle name="Warning Text 15 7" xfId="20618"/>
    <cellStyle name="Warning Text 15 7 2" xfId="20619"/>
    <cellStyle name="Warning Text 15 8" xfId="20620"/>
    <cellStyle name="Warning Text 15 8 2" xfId="20621"/>
    <cellStyle name="Warning Text 15 9" xfId="20622"/>
    <cellStyle name="Warning Text 15 9 2" xfId="20623"/>
    <cellStyle name="Warning Text 16 12" xfId="20624"/>
    <cellStyle name="Warning Text 16 10" xfId="20625"/>
    <cellStyle name="Warning Text 16 11" xfId="20626"/>
    <cellStyle name="Warning Text 16 2" xfId="20627"/>
    <cellStyle name="Warning Text 16 2 2" xfId="20628"/>
    <cellStyle name="Warning Text 16 2 2 2" xfId="20629"/>
    <cellStyle name="Warning Text 16 2 3" xfId="20630"/>
    <cellStyle name="Warning Text 16 2 3 2" xfId="20631"/>
    <cellStyle name="Warning Text 16 2 4" xfId="20632"/>
    <cellStyle name="Warning Text 16 2 5" xfId="20633"/>
    <cellStyle name="Warning Text 16 3" xfId="20634"/>
    <cellStyle name="Warning Text 16 3 2" xfId="20635"/>
    <cellStyle name="Warning Text 16 3 2 2" xfId="20636"/>
    <cellStyle name="Warning Text 16 3 3" xfId="20637"/>
    <cellStyle name="Warning Text 16 3 3 2" xfId="20638"/>
    <cellStyle name="Warning Text 16 3 4" xfId="20639"/>
    <cellStyle name="Warning Text 16 4" xfId="20640"/>
    <cellStyle name="Warning Text 16 4 2" xfId="20641"/>
    <cellStyle name="Warning Text 16 4 2 2" xfId="20642"/>
    <cellStyle name="Warning Text 16 4 3" xfId="20643"/>
    <cellStyle name="Warning Text 16 4 3 2" xfId="20644"/>
    <cellStyle name="Warning Text 16 4 4" xfId="20645"/>
    <cellStyle name="Warning Text 16 5" xfId="20646"/>
    <cellStyle name="Warning Text 16 5 2" xfId="20647"/>
    <cellStyle name="Warning Text 16 5 2 2" xfId="20648"/>
    <cellStyle name="Warning Text 16 5 3" xfId="20649"/>
    <cellStyle name="Warning Text 16 5 3 2" xfId="20650"/>
    <cellStyle name="Warning Text 16 5 4" xfId="20651"/>
    <cellStyle name="Warning Text 16 5 4 2" xfId="20652"/>
    <cellStyle name="Warning Text 16 5 5" xfId="20653"/>
    <cellStyle name="Warning Text 16 6" xfId="20654"/>
    <cellStyle name="Warning Text 16 6 2" xfId="20655"/>
    <cellStyle name="Warning Text 16 6 2 2" xfId="20656"/>
    <cellStyle name="Warning Text 16 6 3" xfId="20657"/>
    <cellStyle name="Warning Text 16 6 3 2" xfId="20658"/>
    <cellStyle name="Warning Text 16 6 4" xfId="20659"/>
    <cellStyle name="Warning Text 16 7" xfId="20660"/>
    <cellStyle name="Warning Text 16 7 2" xfId="20661"/>
    <cellStyle name="Warning Text 16 8" xfId="20662"/>
    <cellStyle name="Warning Text 16 8 2" xfId="20663"/>
    <cellStyle name="Warning Text 16 9" xfId="20664"/>
    <cellStyle name="Warning Text 16 9 2" xfId="20665"/>
    <cellStyle name="Warning Text 17 12" xfId="20666"/>
    <cellStyle name="Warning Text 17 10" xfId="20667"/>
    <cellStyle name="Warning Text 17 11" xfId="20668"/>
    <cellStyle name="Warning Text 17 2" xfId="20669"/>
    <cellStyle name="Warning Text 17 2 2" xfId="20670"/>
    <cellStyle name="Warning Text 17 2 2 2" xfId="20671"/>
    <cellStyle name="Warning Text 17 2 3" xfId="20672"/>
    <cellStyle name="Warning Text 17 2 3 2" xfId="20673"/>
    <cellStyle name="Warning Text 17 2 4" xfId="20674"/>
    <cellStyle name="Warning Text 17 2 5" xfId="20675"/>
    <cellStyle name="Warning Text 17 3" xfId="20676"/>
    <cellStyle name="Warning Text 17 3 2" xfId="20677"/>
    <cellStyle name="Warning Text 17 3 2 2" xfId="20678"/>
    <cellStyle name="Warning Text 17 3 3" xfId="20679"/>
    <cellStyle name="Warning Text 17 3 3 2" xfId="20680"/>
    <cellStyle name="Warning Text 17 3 4" xfId="20681"/>
    <cellStyle name="Warning Text 17 4" xfId="20682"/>
    <cellStyle name="Warning Text 17 4 2" xfId="20683"/>
    <cellStyle name="Warning Text 17 4 2 2" xfId="20684"/>
    <cellStyle name="Warning Text 17 4 3" xfId="20685"/>
    <cellStyle name="Warning Text 17 4 3 2" xfId="20686"/>
    <cellStyle name="Warning Text 17 4 4" xfId="20687"/>
    <cellStyle name="Warning Text 17 5" xfId="20688"/>
    <cellStyle name="Warning Text 17 5 2" xfId="20689"/>
    <cellStyle name="Warning Text 17 5 2 2" xfId="20690"/>
    <cellStyle name="Warning Text 17 5 3" xfId="20691"/>
    <cellStyle name="Warning Text 17 5 3 2" xfId="20692"/>
    <cellStyle name="Warning Text 17 5 4" xfId="20693"/>
    <cellStyle name="Warning Text 17 5 4 2" xfId="20694"/>
    <cellStyle name="Warning Text 17 5 5" xfId="20695"/>
    <cellStyle name="Warning Text 17 6" xfId="20696"/>
    <cellStyle name="Warning Text 17 6 2" xfId="20697"/>
    <cellStyle name="Warning Text 17 6 2 2" xfId="20698"/>
    <cellStyle name="Warning Text 17 6 3" xfId="20699"/>
    <cellStyle name="Warning Text 17 6 3 2" xfId="20700"/>
    <cellStyle name="Warning Text 17 6 4" xfId="20701"/>
    <cellStyle name="Warning Text 17 7" xfId="20702"/>
    <cellStyle name="Warning Text 17 7 2" xfId="20703"/>
    <cellStyle name="Warning Text 17 8" xfId="20704"/>
    <cellStyle name="Warning Text 17 8 2" xfId="20705"/>
    <cellStyle name="Warning Text 17 9" xfId="20706"/>
    <cellStyle name="Warning Text 17 9 2" xfId="20707"/>
    <cellStyle name="Warning Text 18 12" xfId="20708"/>
    <cellStyle name="Warning Text 18 10" xfId="20709"/>
    <cellStyle name="Warning Text 18 11" xfId="20710"/>
    <cellStyle name="Warning Text 18 2" xfId="20711"/>
    <cellStyle name="Warning Text 18 2 2" xfId="20712"/>
    <cellStyle name="Warning Text 18 2 2 2" xfId="20713"/>
    <cellStyle name="Warning Text 18 2 3" xfId="20714"/>
    <cellStyle name="Warning Text 18 2 3 2" xfId="20715"/>
    <cellStyle name="Warning Text 18 2 4" xfId="20716"/>
    <cellStyle name="Warning Text 18 2 5" xfId="20717"/>
    <cellStyle name="Warning Text 18 3" xfId="20718"/>
    <cellStyle name="Warning Text 18 3 2" xfId="20719"/>
    <cellStyle name="Warning Text 18 3 2 2" xfId="20720"/>
    <cellStyle name="Warning Text 18 3 3" xfId="20721"/>
    <cellStyle name="Warning Text 18 3 3 2" xfId="20722"/>
    <cellStyle name="Warning Text 18 3 4" xfId="20723"/>
    <cellStyle name="Warning Text 18 4" xfId="20724"/>
    <cellStyle name="Warning Text 18 4 2" xfId="20725"/>
    <cellStyle name="Warning Text 18 4 2 2" xfId="20726"/>
    <cellStyle name="Warning Text 18 4 3" xfId="20727"/>
    <cellStyle name="Warning Text 18 4 3 2" xfId="20728"/>
    <cellStyle name="Warning Text 18 4 4" xfId="20729"/>
    <cellStyle name="Warning Text 18 5" xfId="20730"/>
    <cellStyle name="Warning Text 18 5 2" xfId="20731"/>
    <cellStyle name="Warning Text 18 5 2 2" xfId="20732"/>
    <cellStyle name="Warning Text 18 5 3" xfId="20733"/>
    <cellStyle name="Warning Text 18 5 3 2" xfId="20734"/>
    <cellStyle name="Warning Text 18 5 4" xfId="20735"/>
    <cellStyle name="Warning Text 18 5 4 2" xfId="20736"/>
    <cellStyle name="Warning Text 18 5 5" xfId="20737"/>
    <cellStyle name="Warning Text 18 6" xfId="20738"/>
    <cellStyle name="Warning Text 18 6 2" xfId="20739"/>
    <cellStyle name="Warning Text 18 6 2 2" xfId="20740"/>
    <cellStyle name="Warning Text 18 6 3" xfId="20741"/>
    <cellStyle name="Warning Text 18 6 3 2" xfId="20742"/>
    <cellStyle name="Warning Text 18 6 4" xfId="20743"/>
    <cellStyle name="Warning Text 18 7" xfId="20744"/>
    <cellStyle name="Warning Text 18 7 2" xfId="20745"/>
    <cellStyle name="Warning Text 18 8" xfId="20746"/>
    <cellStyle name="Warning Text 18 8 2" xfId="20747"/>
    <cellStyle name="Warning Text 18 9" xfId="20748"/>
    <cellStyle name="Warning Text 18 9 2" xfId="20749"/>
    <cellStyle name="Warning Text 19 12" xfId="20750"/>
    <cellStyle name="Warning Text 19 10" xfId="20751"/>
    <cellStyle name="Warning Text 19 11" xfId="20752"/>
    <cellStyle name="Warning Text 19 2" xfId="20753"/>
    <cellStyle name="Warning Text 19 2 2" xfId="20754"/>
    <cellStyle name="Warning Text 19 2 2 2" xfId="20755"/>
    <cellStyle name="Warning Text 19 2 3" xfId="20756"/>
    <cellStyle name="Warning Text 19 2 3 2" xfId="20757"/>
    <cellStyle name="Warning Text 19 2 4" xfId="20758"/>
    <cellStyle name="Warning Text 19 2 5" xfId="20759"/>
    <cellStyle name="Warning Text 19 3" xfId="20760"/>
    <cellStyle name="Warning Text 19 3 2" xfId="20761"/>
    <cellStyle name="Warning Text 19 3 2 2" xfId="20762"/>
    <cellStyle name="Warning Text 19 3 3" xfId="20763"/>
    <cellStyle name="Warning Text 19 3 3 2" xfId="20764"/>
    <cellStyle name="Warning Text 19 3 4" xfId="20765"/>
    <cellStyle name="Warning Text 19 4" xfId="20766"/>
    <cellStyle name="Warning Text 19 4 2" xfId="20767"/>
    <cellStyle name="Warning Text 19 4 2 2" xfId="20768"/>
    <cellStyle name="Warning Text 19 4 3" xfId="20769"/>
    <cellStyle name="Warning Text 19 4 3 2" xfId="20770"/>
    <cellStyle name="Warning Text 19 4 4" xfId="20771"/>
    <cellStyle name="Warning Text 19 5" xfId="20772"/>
    <cellStyle name="Warning Text 19 5 2" xfId="20773"/>
    <cellStyle name="Warning Text 19 5 2 2" xfId="20774"/>
    <cellStyle name="Warning Text 19 5 3" xfId="20775"/>
    <cellStyle name="Warning Text 19 5 3 2" xfId="20776"/>
    <cellStyle name="Warning Text 19 5 4" xfId="20777"/>
    <cellStyle name="Warning Text 19 5 4 2" xfId="20778"/>
    <cellStyle name="Warning Text 19 5 5" xfId="20779"/>
    <cellStyle name="Warning Text 19 6" xfId="20780"/>
    <cellStyle name="Warning Text 19 6 2" xfId="20781"/>
    <cellStyle name="Warning Text 19 6 2 2" xfId="20782"/>
    <cellStyle name="Warning Text 19 6 3" xfId="20783"/>
    <cellStyle name="Warning Text 19 6 3 2" xfId="20784"/>
    <cellStyle name="Warning Text 19 6 4" xfId="20785"/>
    <cellStyle name="Warning Text 19 7" xfId="20786"/>
    <cellStyle name="Warning Text 19 7 2" xfId="20787"/>
    <cellStyle name="Warning Text 19 8" xfId="20788"/>
    <cellStyle name="Warning Text 19 8 2" xfId="20789"/>
    <cellStyle name="Warning Text 19 9" xfId="20790"/>
    <cellStyle name="Warning Text 19 9 2" xfId="20791"/>
    <cellStyle name="Warning Text 2 21" xfId="20792"/>
    <cellStyle name="Warning Text 2 10 11" xfId="20793"/>
    <cellStyle name="Warning Text 2 10 10" xfId="20794"/>
    <cellStyle name="Warning Text 2 10 2" xfId="20795"/>
    <cellStyle name="Warning Text 2 10 2 2" xfId="20796"/>
    <cellStyle name="Warning Text 2 10 2 2 2" xfId="20797"/>
    <cellStyle name="Warning Text 2 10 2 3" xfId="20798"/>
    <cellStyle name="Warning Text 2 10 2 3 2" xfId="20799"/>
    <cellStyle name="Warning Text 2 10 2 4" xfId="20800"/>
    <cellStyle name="Warning Text 2 10 3" xfId="20801"/>
    <cellStyle name="Warning Text 2 10 3 2" xfId="20802"/>
    <cellStyle name="Warning Text 2 10 3 2 2" xfId="20803"/>
    <cellStyle name="Warning Text 2 10 3 3" xfId="20804"/>
    <cellStyle name="Warning Text 2 10 3 3 2" xfId="20805"/>
    <cellStyle name="Warning Text 2 10 3 4" xfId="20806"/>
    <cellStyle name="Warning Text 2 10 4" xfId="20807"/>
    <cellStyle name="Warning Text 2 10 4 2" xfId="20808"/>
    <cellStyle name="Warning Text 2 10 4 2 2" xfId="20809"/>
    <cellStyle name="Warning Text 2 10 4 3" xfId="20810"/>
    <cellStyle name="Warning Text 2 10 4 3 2" xfId="20811"/>
    <cellStyle name="Warning Text 2 10 4 4" xfId="20812"/>
    <cellStyle name="Warning Text 2 10 4 4 2" xfId="20813"/>
    <cellStyle name="Warning Text 2 10 4 5" xfId="20814"/>
    <cellStyle name="Warning Text 2 10 5" xfId="20815"/>
    <cellStyle name="Warning Text 2 10 5 2" xfId="20816"/>
    <cellStyle name="Warning Text 2 10 5 2 2" xfId="20817"/>
    <cellStyle name="Warning Text 2 10 5 3" xfId="20818"/>
    <cellStyle name="Warning Text 2 10 5 3 2" xfId="20819"/>
    <cellStyle name="Warning Text 2 10 5 4" xfId="20820"/>
    <cellStyle name="Warning Text 2 10 6" xfId="20821"/>
    <cellStyle name="Warning Text 2 10 6 2" xfId="20822"/>
    <cellStyle name="Warning Text 2 10 7" xfId="20823"/>
    <cellStyle name="Warning Text 2 10 7 2" xfId="20824"/>
    <cellStyle name="Warning Text 2 10 8" xfId="20825"/>
    <cellStyle name="Warning Text 2 10 8 2" xfId="20826"/>
    <cellStyle name="Warning Text 2 10 9" xfId="20827"/>
    <cellStyle name="Warning Text 2 11" xfId="20828"/>
    <cellStyle name="Warning Text 2 11 2" xfId="20829"/>
    <cellStyle name="Warning Text 2 11 2 2" xfId="20830"/>
    <cellStyle name="Warning Text 2 11 3" xfId="20831"/>
    <cellStyle name="Warning Text 2 11 3 2" xfId="20832"/>
    <cellStyle name="Warning Text 2 11 4" xfId="20833"/>
    <cellStyle name="Warning Text 2 11 5" xfId="20834"/>
    <cellStyle name="Warning Text 2 12" xfId="20835"/>
    <cellStyle name="Warning Text 2 12 2" xfId="20836"/>
    <cellStyle name="Warning Text 2 12 2 2" xfId="20837"/>
    <cellStyle name="Warning Text 2 12 3" xfId="20838"/>
    <cellStyle name="Warning Text 2 12 3 2" xfId="20839"/>
    <cellStyle name="Warning Text 2 12 4" xfId="20840"/>
    <cellStyle name="Warning Text 2 13" xfId="20841"/>
    <cellStyle name="Warning Text 2 13 2" xfId="20842"/>
    <cellStyle name="Warning Text 2 13 2 2" xfId="20843"/>
    <cellStyle name="Warning Text 2 13 3" xfId="20844"/>
    <cellStyle name="Warning Text 2 13 3 2" xfId="20845"/>
    <cellStyle name="Warning Text 2 13 4" xfId="20846"/>
    <cellStyle name="Warning Text 2 14" xfId="20847"/>
    <cellStyle name="Warning Text 2 14 2" xfId="20848"/>
    <cellStyle name="Warning Text 2 14 2 2" xfId="20849"/>
    <cellStyle name="Warning Text 2 14 3" xfId="20850"/>
    <cellStyle name="Warning Text 2 14 3 2" xfId="20851"/>
    <cellStyle name="Warning Text 2 14 4" xfId="20852"/>
    <cellStyle name="Warning Text 2 14 4 2" xfId="20853"/>
    <cellStyle name="Warning Text 2 14 5" xfId="20854"/>
    <cellStyle name="Warning Text 2 15" xfId="20855"/>
    <cellStyle name="Warning Text 2 15 2" xfId="20856"/>
    <cellStyle name="Warning Text 2 15 2 2" xfId="20857"/>
    <cellStyle name="Warning Text 2 15 3" xfId="20858"/>
    <cellStyle name="Warning Text 2 15 3 2" xfId="20859"/>
    <cellStyle name="Warning Text 2 15 4" xfId="20860"/>
    <cellStyle name="Warning Text 2 16" xfId="20861"/>
    <cellStyle name="Warning Text 2 16 2" xfId="20862"/>
    <cellStyle name="Warning Text 2 17" xfId="20863"/>
    <cellStyle name="Warning Text 2 17 2" xfId="20864"/>
    <cellStyle name="Warning Text 2 18" xfId="20865"/>
    <cellStyle name="Warning Text 2 18 2" xfId="20866"/>
    <cellStyle name="Warning Text 2 19" xfId="20867"/>
    <cellStyle name="Warning Text 2 2 11" xfId="20868"/>
    <cellStyle name="Warning Text 2 2 10" xfId="20869"/>
    <cellStyle name="Warning Text 2 2 2" xfId="20870"/>
    <cellStyle name="Warning Text 2 2 2 2" xfId="20871"/>
    <cellStyle name="Warning Text 2 2 2 2 2" xfId="20872"/>
    <cellStyle name="Warning Text 2 2 2 3" xfId="20873"/>
    <cellStyle name="Warning Text 2 2 2 3 2" xfId="20874"/>
    <cellStyle name="Warning Text 2 2 2 4" xfId="20875"/>
    <cellStyle name="Warning Text 2 2 3" xfId="20876"/>
    <cellStyle name="Warning Text 2 2 3 2" xfId="20877"/>
    <cellStyle name="Warning Text 2 2 3 2 2" xfId="20878"/>
    <cellStyle name="Warning Text 2 2 3 3" xfId="20879"/>
    <cellStyle name="Warning Text 2 2 3 3 2" xfId="20880"/>
    <cellStyle name="Warning Text 2 2 3 4" xfId="20881"/>
    <cellStyle name="Warning Text 2 2 4" xfId="20882"/>
    <cellStyle name="Warning Text 2 2 4 2" xfId="20883"/>
    <cellStyle name="Warning Text 2 2 4 2 2" xfId="20884"/>
    <cellStyle name="Warning Text 2 2 4 3" xfId="20885"/>
    <cellStyle name="Warning Text 2 2 4 3 2" xfId="20886"/>
    <cellStyle name="Warning Text 2 2 4 4" xfId="20887"/>
    <cellStyle name="Warning Text 2 2 4 4 2" xfId="20888"/>
    <cellStyle name="Warning Text 2 2 4 5" xfId="20889"/>
    <cellStyle name="Warning Text 2 2 5" xfId="20890"/>
    <cellStyle name="Warning Text 2 2 5 2" xfId="20891"/>
    <cellStyle name="Warning Text 2 2 5 2 2" xfId="20892"/>
    <cellStyle name="Warning Text 2 2 5 3" xfId="20893"/>
    <cellStyle name="Warning Text 2 2 5 3 2" xfId="20894"/>
    <cellStyle name="Warning Text 2 2 5 4" xfId="20895"/>
    <cellStyle name="Warning Text 2 2 6" xfId="20896"/>
    <cellStyle name="Warning Text 2 2 6 2" xfId="20897"/>
    <cellStyle name="Warning Text 2 2 7" xfId="20898"/>
    <cellStyle name="Warning Text 2 2 7 2" xfId="20899"/>
    <cellStyle name="Warning Text 2 2 8" xfId="20900"/>
    <cellStyle name="Warning Text 2 2 8 2" xfId="20901"/>
    <cellStyle name="Warning Text 2 2 9" xfId="20902"/>
    <cellStyle name="Warning Text 2 20" xfId="20903"/>
    <cellStyle name="Warning Text 2 3 11" xfId="20904"/>
    <cellStyle name="Warning Text 2 3 10" xfId="20905"/>
    <cellStyle name="Warning Text 2 3 2" xfId="20906"/>
    <cellStyle name="Warning Text 2 3 2 2" xfId="20907"/>
    <cellStyle name="Warning Text 2 3 2 2 2" xfId="20908"/>
    <cellStyle name="Warning Text 2 3 2 3" xfId="20909"/>
    <cellStyle name="Warning Text 2 3 2 3 2" xfId="20910"/>
    <cellStyle name="Warning Text 2 3 2 4" xfId="20911"/>
    <cellStyle name="Warning Text 2 3 3" xfId="20912"/>
    <cellStyle name="Warning Text 2 3 3 2" xfId="20913"/>
    <cellStyle name="Warning Text 2 3 3 2 2" xfId="20914"/>
    <cellStyle name="Warning Text 2 3 3 3" xfId="20915"/>
    <cellStyle name="Warning Text 2 3 3 3 2" xfId="20916"/>
    <cellStyle name="Warning Text 2 3 3 4" xfId="20917"/>
    <cellStyle name="Warning Text 2 3 4" xfId="20918"/>
    <cellStyle name="Warning Text 2 3 4 2" xfId="20919"/>
    <cellStyle name="Warning Text 2 3 4 2 2" xfId="20920"/>
    <cellStyle name="Warning Text 2 3 4 3" xfId="20921"/>
    <cellStyle name="Warning Text 2 3 4 3 2" xfId="20922"/>
    <cellStyle name="Warning Text 2 3 4 4" xfId="20923"/>
    <cellStyle name="Warning Text 2 3 4 4 2" xfId="20924"/>
    <cellStyle name="Warning Text 2 3 4 5" xfId="20925"/>
    <cellStyle name="Warning Text 2 3 5" xfId="20926"/>
    <cellStyle name="Warning Text 2 3 5 2" xfId="20927"/>
    <cellStyle name="Warning Text 2 3 5 2 2" xfId="20928"/>
    <cellStyle name="Warning Text 2 3 5 3" xfId="20929"/>
    <cellStyle name="Warning Text 2 3 5 3 2" xfId="20930"/>
    <cellStyle name="Warning Text 2 3 5 4" xfId="20931"/>
    <cellStyle name="Warning Text 2 3 6" xfId="20932"/>
    <cellStyle name="Warning Text 2 3 6 2" xfId="20933"/>
    <cellStyle name="Warning Text 2 3 7" xfId="20934"/>
    <cellStyle name="Warning Text 2 3 7 2" xfId="20935"/>
    <cellStyle name="Warning Text 2 3 8" xfId="20936"/>
    <cellStyle name="Warning Text 2 3 8 2" xfId="20937"/>
    <cellStyle name="Warning Text 2 3 9" xfId="20938"/>
    <cellStyle name="Warning Text 2 4 11" xfId="20939"/>
    <cellStyle name="Warning Text 2 4 10" xfId="20940"/>
    <cellStyle name="Warning Text 2 4 2" xfId="20941"/>
    <cellStyle name="Warning Text 2 4 2 2" xfId="20942"/>
    <cellStyle name="Warning Text 2 4 2 2 2" xfId="20943"/>
    <cellStyle name="Warning Text 2 4 2 3" xfId="20944"/>
    <cellStyle name="Warning Text 2 4 2 3 2" xfId="20945"/>
    <cellStyle name="Warning Text 2 4 2 4" xfId="20946"/>
    <cellStyle name="Warning Text 2 4 3" xfId="20947"/>
    <cellStyle name="Warning Text 2 4 3 2" xfId="20948"/>
    <cellStyle name="Warning Text 2 4 3 2 2" xfId="20949"/>
    <cellStyle name="Warning Text 2 4 3 3" xfId="20950"/>
    <cellStyle name="Warning Text 2 4 3 3 2" xfId="20951"/>
    <cellStyle name="Warning Text 2 4 3 4" xfId="20952"/>
    <cellStyle name="Warning Text 2 4 4" xfId="20953"/>
    <cellStyle name="Warning Text 2 4 4 2" xfId="20954"/>
    <cellStyle name="Warning Text 2 4 4 2 2" xfId="20955"/>
    <cellStyle name="Warning Text 2 4 4 3" xfId="20956"/>
    <cellStyle name="Warning Text 2 4 4 3 2" xfId="20957"/>
    <cellStyle name="Warning Text 2 4 4 4" xfId="20958"/>
    <cellStyle name="Warning Text 2 4 4 4 2" xfId="20959"/>
    <cellStyle name="Warning Text 2 4 4 5" xfId="20960"/>
    <cellStyle name="Warning Text 2 4 5" xfId="20961"/>
    <cellStyle name="Warning Text 2 4 5 2" xfId="20962"/>
    <cellStyle name="Warning Text 2 4 5 2 2" xfId="20963"/>
    <cellStyle name="Warning Text 2 4 5 3" xfId="20964"/>
    <cellStyle name="Warning Text 2 4 5 3 2" xfId="20965"/>
    <cellStyle name="Warning Text 2 4 5 4" xfId="20966"/>
    <cellStyle name="Warning Text 2 4 6" xfId="20967"/>
    <cellStyle name="Warning Text 2 4 6 2" xfId="20968"/>
    <cellStyle name="Warning Text 2 4 7" xfId="20969"/>
    <cellStyle name="Warning Text 2 4 7 2" xfId="20970"/>
    <cellStyle name="Warning Text 2 4 8" xfId="20971"/>
    <cellStyle name="Warning Text 2 4 8 2" xfId="20972"/>
    <cellStyle name="Warning Text 2 4 9" xfId="20973"/>
    <cellStyle name="Warning Text 2 5 11" xfId="20974"/>
    <cellStyle name="Warning Text 2 5 10" xfId="20975"/>
    <cellStyle name="Warning Text 2 5 2" xfId="20976"/>
    <cellStyle name="Warning Text 2 5 2 2" xfId="20977"/>
    <cellStyle name="Warning Text 2 5 2 2 2" xfId="20978"/>
    <cellStyle name="Warning Text 2 5 2 3" xfId="20979"/>
    <cellStyle name="Warning Text 2 5 2 3 2" xfId="20980"/>
    <cellStyle name="Warning Text 2 5 2 4" xfId="20981"/>
    <cellStyle name="Warning Text 2 5 3" xfId="20982"/>
    <cellStyle name="Warning Text 2 5 3 2" xfId="20983"/>
    <cellStyle name="Warning Text 2 5 3 2 2" xfId="20984"/>
    <cellStyle name="Warning Text 2 5 3 3" xfId="20985"/>
    <cellStyle name="Warning Text 2 5 3 3 2" xfId="20986"/>
    <cellStyle name="Warning Text 2 5 3 4" xfId="20987"/>
    <cellStyle name="Warning Text 2 5 4" xfId="20988"/>
    <cellStyle name="Warning Text 2 5 4 2" xfId="20989"/>
    <cellStyle name="Warning Text 2 5 4 2 2" xfId="20990"/>
    <cellStyle name="Warning Text 2 5 4 3" xfId="20991"/>
    <cellStyle name="Warning Text 2 5 4 3 2" xfId="20992"/>
    <cellStyle name="Warning Text 2 5 4 4" xfId="20993"/>
    <cellStyle name="Warning Text 2 5 4 4 2" xfId="20994"/>
    <cellStyle name="Warning Text 2 5 4 5" xfId="20995"/>
    <cellStyle name="Warning Text 2 5 5" xfId="20996"/>
    <cellStyle name="Warning Text 2 5 5 2" xfId="20997"/>
    <cellStyle name="Warning Text 2 5 5 2 2" xfId="20998"/>
    <cellStyle name="Warning Text 2 5 5 3" xfId="20999"/>
    <cellStyle name="Warning Text 2 5 5 3 2" xfId="21000"/>
    <cellStyle name="Warning Text 2 5 5 4" xfId="21001"/>
    <cellStyle name="Warning Text 2 5 6" xfId="21002"/>
    <cellStyle name="Warning Text 2 5 6 2" xfId="21003"/>
    <cellStyle name="Warning Text 2 5 7" xfId="21004"/>
    <cellStyle name="Warning Text 2 5 7 2" xfId="21005"/>
    <cellStyle name="Warning Text 2 5 8" xfId="21006"/>
    <cellStyle name="Warning Text 2 5 8 2" xfId="21007"/>
    <cellStyle name="Warning Text 2 5 9" xfId="21008"/>
    <cellStyle name="Warning Text 2 6 11" xfId="21009"/>
    <cellStyle name="Warning Text 2 6 10" xfId="21010"/>
    <cellStyle name="Warning Text 2 6 2" xfId="21011"/>
    <cellStyle name="Warning Text 2 6 2 2" xfId="21012"/>
    <cellStyle name="Warning Text 2 6 2 2 2" xfId="21013"/>
    <cellStyle name="Warning Text 2 6 2 3" xfId="21014"/>
    <cellStyle name="Warning Text 2 6 2 3 2" xfId="21015"/>
    <cellStyle name="Warning Text 2 6 2 4" xfId="21016"/>
    <cellStyle name="Warning Text 2 6 3" xfId="21017"/>
    <cellStyle name="Warning Text 2 6 3 2" xfId="21018"/>
    <cellStyle name="Warning Text 2 6 3 2 2" xfId="21019"/>
    <cellStyle name="Warning Text 2 6 3 3" xfId="21020"/>
    <cellStyle name="Warning Text 2 6 3 3 2" xfId="21021"/>
    <cellStyle name="Warning Text 2 6 3 4" xfId="21022"/>
    <cellStyle name="Warning Text 2 6 4" xfId="21023"/>
    <cellStyle name="Warning Text 2 6 4 2" xfId="21024"/>
    <cellStyle name="Warning Text 2 6 4 2 2" xfId="21025"/>
    <cellStyle name="Warning Text 2 6 4 3" xfId="21026"/>
    <cellStyle name="Warning Text 2 6 4 3 2" xfId="21027"/>
    <cellStyle name="Warning Text 2 6 4 4" xfId="21028"/>
    <cellStyle name="Warning Text 2 6 4 4 2" xfId="21029"/>
    <cellStyle name="Warning Text 2 6 4 5" xfId="21030"/>
    <cellStyle name="Warning Text 2 6 5" xfId="21031"/>
    <cellStyle name="Warning Text 2 6 5 2" xfId="21032"/>
    <cellStyle name="Warning Text 2 6 5 2 2" xfId="21033"/>
    <cellStyle name="Warning Text 2 6 5 3" xfId="21034"/>
    <cellStyle name="Warning Text 2 6 5 3 2" xfId="21035"/>
    <cellStyle name="Warning Text 2 6 5 4" xfId="21036"/>
    <cellStyle name="Warning Text 2 6 6" xfId="21037"/>
    <cellStyle name="Warning Text 2 6 6 2" xfId="21038"/>
    <cellStyle name="Warning Text 2 6 7" xfId="21039"/>
    <cellStyle name="Warning Text 2 6 7 2" xfId="21040"/>
    <cellStyle name="Warning Text 2 6 8" xfId="21041"/>
    <cellStyle name="Warning Text 2 6 8 2" xfId="21042"/>
    <cellStyle name="Warning Text 2 6 9" xfId="21043"/>
    <cellStyle name="Warning Text 2 7 11" xfId="21044"/>
    <cellStyle name="Warning Text 2 7 10" xfId="21045"/>
    <cellStyle name="Warning Text 2 7 2" xfId="21046"/>
    <cellStyle name="Warning Text 2 7 2 2" xfId="21047"/>
    <cellStyle name="Warning Text 2 7 2 2 2" xfId="21048"/>
    <cellStyle name="Warning Text 2 7 2 3" xfId="21049"/>
    <cellStyle name="Warning Text 2 7 2 3 2" xfId="21050"/>
    <cellStyle name="Warning Text 2 7 2 4" xfId="21051"/>
    <cellStyle name="Warning Text 2 7 3" xfId="21052"/>
    <cellStyle name="Warning Text 2 7 3 2" xfId="21053"/>
    <cellStyle name="Warning Text 2 7 3 2 2" xfId="21054"/>
    <cellStyle name="Warning Text 2 7 3 3" xfId="21055"/>
    <cellStyle name="Warning Text 2 7 3 3 2" xfId="21056"/>
    <cellStyle name="Warning Text 2 7 3 4" xfId="21057"/>
    <cellStyle name="Warning Text 2 7 4" xfId="21058"/>
    <cellStyle name="Warning Text 2 7 4 2" xfId="21059"/>
    <cellStyle name="Warning Text 2 7 4 2 2" xfId="21060"/>
    <cellStyle name="Warning Text 2 7 4 3" xfId="21061"/>
    <cellStyle name="Warning Text 2 7 4 3 2" xfId="21062"/>
    <cellStyle name="Warning Text 2 7 4 4" xfId="21063"/>
    <cellStyle name="Warning Text 2 7 4 4 2" xfId="21064"/>
    <cellStyle name="Warning Text 2 7 4 5" xfId="21065"/>
    <cellStyle name="Warning Text 2 7 5" xfId="21066"/>
    <cellStyle name="Warning Text 2 7 5 2" xfId="21067"/>
    <cellStyle name="Warning Text 2 7 5 2 2" xfId="21068"/>
    <cellStyle name="Warning Text 2 7 5 3" xfId="21069"/>
    <cellStyle name="Warning Text 2 7 5 3 2" xfId="21070"/>
    <cellStyle name="Warning Text 2 7 5 4" xfId="21071"/>
    <cellStyle name="Warning Text 2 7 6" xfId="21072"/>
    <cellStyle name="Warning Text 2 7 6 2" xfId="21073"/>
    <cellStyle name="Warning Text 2 7 7" xfId="21074"/>
    <cellStyle name="Warning Text 2 7 7 2" xfId="21075"/>
    <cellStyle name="Warning Text 2 7 8" xfId="21076"/>
    <cellStyle name="Warning Text 2 7 8 2" xfId="21077"/>
    <cellStyle name="Warning Text 2 7 9" xfId="21078"/>
    <cellStyle name="Warning Text 2 8 11" xfId="21079"/>
    <cellStyle name="Warning Text 2 8 10" xfId="21080"/>
    <cellStyle name="Warning Text 2 8 2" xfId="21081"/>
    <cellStyle name="Warning Text 2 8 2 2" xfId="21082"/>
    <cellStyle name="Warning Text 2 8 2 2 2" xfId="21083"/>
    <cellStyle name="Warning Text 2 8 2 3" xfId="21084"/>
    <cellStyle name="Warning Text 2 8 2 3 2" xfId="21085"/>
    <cellStyle name="Warning Text 2 8 2 4" xfId="21086"/>
    <cellStyle name="Warning Text 2 8 3" xfId="21087"/>
    <cellStyle name="Warning Text 2 8 3 2" xfId="21088"/>
    <cellStyle name="Warning Text 2 8 3 2 2" xfId="21089"/>
    <cellStyle name="Warning Text 2 8 3 3" xfId="21090"/>
    <cellStyle name="Warning Text 2 8 3 3 2" xfId="21091"/>
    <cellStyle name="Warning Text 2 8 3 4" xfId="21092"/>
    <cellStyle name="Warning Text 2 8 4" xfId="21093"/>
    <cellStyle name="Warning Text 2 8 4 2" xfId="21094"/>
    <cellStyle name="Warning Text 2 8 4 2 2" xfId="21095"/>
    <cellStyle name="Warning Text 2 8 4 3" xfId="21096"/>
    <cellStyle name="Warning Text 2 8 4 3 2" xfId="21097"/>
    <cellStyle name="Warning Text 2 8 4 4" xfId="21098"/>
    <cellStyle name="Warning Text 2 8 4 4 2" xfId="21099"/>
    <cellStyle name="Warning Text 2 8 4 5" xfId="21100"/>
    <cellStyle name="Warning Text 2 8 5" xfId="21101"/>
    <cellStyle name="Warning Text 2 8 5 2" xfId="21102"/>
    <cellStyle name="Warning Text 2 8 5 2 2" xfId="21103"/>
    <cellStyle name="Warning Text 2 8 5 3" xfId="21104"/>
    <cellStyle name="Warning Text 2 8 5 3 2" xfId="21105"/>
    <cellStyle name="Warning Text 2 8 5 4" xfId="21106"/>
    <cellStyle name="Warning Text 2 8 6" xfId="21107"/>
    <cellStyle name="Warning Text 2 8 6 2" xfId="21108"/>
    <cellStyle name="Warning Text 2 8 7" xfId="21109"/>
    <cellStyle name="Warning Text 2 8 7 2" xfId="21110"/>
    <cellStyle name="Warning Text 2 8 8" xfId="21111"/>
    <cellStyle name="Warning Text 2 8 8 2" xfId="21112"/>
    <cellStyle name="Warning Text 2 8 9" xfId="21113"/>
    <cellStyle name="Warning Text 2 9 11" xfId="21114"/>
    <cellStyle name="Warning Text 2 9 10" xfId="21115"/>
    <cellStyle name="Warning Text 2 9 2" xfId="21116"/>
    <cellStyle name="Warning Text 2 9 2 2" xfId="21117"/>
    <cellStyle name="Warning Text 2 9 2 2 2" xfId="21118"/>
    <cellStyle name="Warning Text 2 9 2 3" xfId="21119"/>
    <cellStyle name="Warning Text 2 9 2 3 2" xfId="21120"/>
    <cellStyle name="Warning Text 2 9 2 4" xfId="21121"/>
    <cellStyle name="Warning Text 2 9 3" xfId="21122"/>
    <cellStyle name="Warning Text 2 9 3 2" xfId="21123"/>
    <cellStyle name="Warning Text 2 9 3 2 2" xfId="21124"/>
    <cellStyle name="Warning Text 2 9 3 3" xfId="21125"/>
    <cellStyle name="Warning Text 2 9 3 3 2" xfId="21126"/>
    <cellStyle name="Warning Text 2 9 3 4" xfId="21127"/>
    <cellStyle name="Warning Text 2 9 4" xfId="21128"/>
    <cellStyle name="Warning Text 2 9 4 2" xfId="21129"/>
    <cellStyle name="Warning Text 2 9 4 2 2" xfId="21130"/>
    <cellStyle name="Warning Text 2 9 4 3" xfId="21131"/>
    <cellStyle name="Warning Text 2 9 4 3 2" xfId="21132"/>
    <cellStyle name="Warning Text 2 9 4 4" xfId="21133"/>
    <cellStyle name="Warning Text 2 9 4 4 2" xfId="21134"/>
    <cellStyle name="Warning Text 2 9 4 5" xfId="21135"/>
    <cellStyle name="Warning Text 2 9 5" xfId="21136"/>
    <cellStyle name="Warning Text 2 9 5 2" xfId="21137"/>
    <cellStyle name="Warning Text 2 9 5 2 2" xfId="21138"/>
    <cellStyle name="Warning Text 2 9 5 3" xfId="21139"/>
    <cellStyle name="Warning Text 2 9 5 3 2" xfId="21140"/>
    <cellStyle name="Warning Text 2 9 5 4" xfId="21141"/>
    <cellStyle name="Warning Text 2 9 6" xfId="21142"/>
    <cellStyle name="Warning Text 2 9 6 2" xfId="21143"/>
    <cellStyle name="Warning Text 2 9 7" xfId="21144"/>
    <cellStyle name="Warning Text 2 9 7 2" xfId="21145"/>
    <cellStyle name="Warning Text 2 9 8" xfId="21146"/>
    <cellStyle name="Warning Text 2 9 8 2" xfId="21147"/>
    <cellStyle name="Warning Text 2 9 9" xfId="21148"/>
    <cellStyle name="Warning Text 20 12" xfId="21149"/>
    <cellStyle name="Warning Text 20 10" xfId="21150"/>
    <cellStyle name="Warning Text 20 11" xfId="21151"/>
    <cellStyle name="Warning Text 20 2" xfId="21152"/>
    <cellStyle name="Warning Text 20 2 2" xfId="21153"/>
    <cellStyle name="Warning Text 20 2 2 2" xfId="21154"/>
    <cellStyle name="Warning Text 20 2 3" xfId="21155"/>
    <cellStyle name="Warning Text 20 2 3 2" xfId="21156"/>
    <cellStyle name="Warning Text 20 2 4" xfId="21157"/>
    <cellStyle name="Warning Text 20 2 5" xfId="21158"/>
    <cellStyle name="Warning Text 20 3" xfId="21159"/>
    <cellStyle name="Warning Text 20 3 2" xfId="21160"/>
    <cellStyle name="Warning Text 20 3 2 2" xfId="21161"/>
    <cellStyle name="Warning Text 20 3 3" xfId="21162"/>
    <cellStyle name="Warning Text 20 3 3 2" xfId="21163"/>
    <cellStyle name="Warning Text 20 3 4" xfId="21164"/>
    <cellStyle name="Warning Text 20 4" xfId="21165"/>
    <cellStyle name="Warning Text 20 4 2" xfId="21166"/>
    <cellStyle name="Warning Text 20 4 2 2" xfId="21167"/>
    <cellStyle name="Warning Text 20 4 3" xfId="21168"/>
    <cellStyle name="Warning Text 20 4 3 2" xfId="21169"/>
    <cellStyle name="Warning Text 20 4 4" xfId="21170"/>
    <cellStyle name="Warning Text 20 5" xfId="21171"/>
    <cellStyle name="Warning Text 20 5 2" xfId="21172"/>
    <cellStyle name="Warning Text 20 5 2 2" xfId="21173"/>
    <cellStyle name="Warning Text 20 5 3" xfId="21174"/>
    <cellStyle name="Warning Text 20 5 3 2" xfId="21175"/>
    <cellStyle name="Warning Text 20 5 4" xfId="21176"/>
    <cellStyle name="Warning Text 20 5 4 2" xfId="21177"/>
    <cellStyle name="Warning Text 20 5 5" xfId="21178"/>
    <cellStyle name="Warning Text 20 6" xfId="21179"/>
    <cellStyle name="Warning Text 20 6 2" xfId="21180"/>
    <cellStyle name="Warning Text 20 6 2 2" xfId="21181"/>
    <cellStyle name="Warning Text 20 6 3" xfId="21182"/>
    <cellStyle name="Warning Text 20 6 3 2" xfId="21183"/>
    <cellStyle name="Warning Text 20 6 4" xfId="21184"/>
    <cellStyle name="Warning Text 20 7" xfId="21185"/>
    <cellStyle name="Warning Text 20 7 2" xfId="21186"/>
    <cellStyle name="Warning Text 20 8" xfId="21187"/>
    <cellStyle name="Warning Text 20 8 2" xfId="21188"/>
    <cellStyle name="Warning Text 20 9" xfId="21189"/>
    <cellStyle name="Warning Text 20 9 2" xfId="21190"/>
    <cellStyle name="Warning Text 21 12" xfId="21191"/>
    <cellStyle name="Warning Text 21 10" xfId="21192"/>
    <cellStyle name="Warning Text 21 11" xfId="21193"/>
    <cellStyle name="Warning Text 21 2" xfId="21194"/>
    <cellStyle name="Warning Text 21 2 2" xfId="21195"/>
    <cellStyle name="Warning Text 21 2 2 2" xfId="21196"/>
    <cellStyle name="Warning Text 21 2 3" xfId="21197"/>
    <cellStyle name="Warning Text 21 2 3 2" xfId="21198"/>
    <cellStyle name="Warning Text 21 2 4" xfId="21199"/>
    <cellStyle name="Warning Text 21 2 5" xfId="21200"/>
    <cellStyle name="Warning Text 21 3" xfId="21201"/>
    <cellStyle name="Warning Text 21 3 2" xfId="21202"/>
    <cellStyle name="Warning Text 21 3 2 2" xfId="21203"/>
    <cellStyle name="Warning Text 21 3 3" xfId="21204"/>
    <cellStyle name="Warning Text 21 3 3 2" xfId="21205"/>
    <cellStyle name="Warning Text 21 3 4" xfId="21206"/>
    <cellStyle name="Warning Text 21 4" xfId="21207"/>
    <cellStyle name="Warning Text 21 4 2" xfId="21208"/>
    <cellStyle name="Warning Text 21 4 2 2" xfId="21209"/>
    <cellStyle name="Warning Text 21 4 3" xfId="21210"/>
    <cellStyle name="Warning Text 21 4 3 2" xfId="21211"/>
    <cellStyle name="Warning Text 21 4 4" xfId="21212"/>
    <cellStyle name="Warning Text 21 5" xfId="21213"/>
    <cellStyle name="Warning Text 21 5 2" xfId="21214"/>
    <cellStyle name="Warning Text 21 5 2 2" xfId="21215"/>
    <cellStyle name="Warning Text 21 5 3" xfId="21216"/>
    <cellStyle name="Warning Text 21 5 3 2" xfId="21217"/>
    <cellStyle name="Warning Text 21 5 4" xfId="21218"/>
    <cellStyle name="Warning Text 21 5 4 2" xfId="21219"/>
    <cellStyle name="Warning Text 21 5 5" xfId="21220"/>
    <cellStyle name="Warning Text 21 6" xfId="21221"/>
    <cellStyle name="Warning Text 21 6 2" xfId="21222"/>
    <cellStyle name="Warning Text 21 6 2 2" xfId="21223"/>
    <cellStyle name="Warning Text 21 6 3" xfId="21224"/>
    <cellStyle name="Warning Text 21 6 3 2" xfId="21225"/>
    <cellStyle name="Warning Text 21 6 4" xfId="21226"/>
    <cellStyle name="Warning Text 21 7" xfId="21227"/>
    <cellStyle name="Warning Text 21 7 2" xfId="21228"/>
    <cellStyle name="Warning Text 21 8" xfId="21229"/>
    <cellStyle name="Warning Text 21 8 2" xfId="21230"/>
    <cellStyle name="Warning Text 21 9" xfId="21231"/>
    <cellStyle name="Warning Text 21 9 2" xfId="21232"/>
    <cellStyle name="Warning Text 22 12" xfId="21233"/>
    <cellStyle name="Warning Text 22 10" xfId="21234"/>
    <cellStyle name="Warning Text 22 11" xfId="21235"/>
    <cellStyle name="Warning Text 22 2" xfId="21236"/>
    <cellStyle name="Warning Text 22 2 2" xfId="21237"/>
    <cellStyle name="Warning Text 22 2 2 2" xfId="21238"/>
    <cellStyle name="Warning Text 22 2 3" xfId="21239"/>
    <cellStyle name="Warning Text 22 2 3 2" xfId="21240"/>
    <cellStyle name="Warning Text 22 2 4" xfId="21241"/>
    <cellStyle name="Warning Text 22 2 5" xfId="21242"/>
    <cellStyle name="Warning Text 22 3" xfId="21243"/>
    <cellStyle name="Warning Text 22 3 2" xfId="21244"/>
    <cellStyle name="Warning Text 22 3 2 2" xfId="21245"/>
    <cellStyle name="Warning Text 22 3 3" xfId="21246"/>
    <cellStyle name="Warning Text 22 3 3 2" xfId="21247"/>
    <cellStyle name="Warning Text 22 3 4" xfId="21248"/>
    <cellStyle name="Warning Text 22 4" xfId="21249"/>
    <cellStyle name="Warning Text 22 4 2" xfId="21250"/>
    <cellStyle name="Warning Text 22 4 2 2" xfId="21251"/>
    <cellStyle name="Warning Text 22 4 3" xfId="21252"/>
    <cellStyle name="Warning Text 22 4 3 2" xfId="21253"/>
    <cellStyle name="Warning Text 22 4 4" xfId="21254"/>
    <cellStyle name="Warning Text 22 5" xfId="21255"/>
    <cellStyle name="Warning Text 22 5 2" xfId="21256"/>
    <cellStyle name="Warning Text 22 5 2 2" xfId="21257"/>
    <cellStyle name="Warning Text 22 5 3" xfId="21258"/>
    <cellStyle name="Warning Text 22 5 3 2" xfId="21259"/>
    <cellStyle name="Warning Text 22 5 4" xfId="21260"/>
    <cellStyle name="Warning Text 22 5 4 2" xfId="21261"/>
    <cellStyle name="Warning Text 22 5 5" xfId="21262"/>
    <cellStyle name="Warning Text 22 6" xfId="21263"/>
    <cellStyle name="Warning Text 22 6 2" xfId="21264"/>
    <cellStyle name="Warning Text 22 6 2 2" xfId="21265"/>
    <cellStyle name="Warning Text 22 6 3" xfId="21266"/>
    <cellStyle name="Warning Text 22 6 3 2" xfId="21267"/>
    <cellStyle name="Warning Text 22 6 4" xfId="21268"/>
    <cellStyle name="Warning Text 22 7" xfId="21269"/>
    <cellStyle name="Warning Text 22 7 2" xfId="21270"/>
    <cellStyle name="Warning Text 22 8" xfId="21271"/>
    <cellStyle name="Warning Text 22 8 2" xfId="21272"/>
    <cellStyle name="Warning Text 22 9" xfId="21273"/>
    <cellStyle name="Warning Text 22 9 2" xfId="21274"/>
    <cellStyle name="Warning Text 23 12" xfId="21275"/>
    <cellStyle name="Warning Text 23 10" xfId="21276"/>
    <cellStyle name="Warning Text 23 11" xfId="21277"/>
    <cellStyle name="Warning Text 23 2" xfId="21278"/>
    <cellStyle name="Warning Text 23 2 2" xfId="21279"/>
    <cellStyle name="Warning Text 23 2 2 2" xfId="21280"/>
    <cellStyle name="Warning Text 23 2 3" xfId="21281"/>
    <cellStyle name="Warning Text 23 2 3 2" xfId="21282"/>
    <cellStyle name="Warning Text 23 2 4" xfId="21283"/>
    <cellStyle name="Warning Text 23 2 5" xfId="21284"/>
    <cellStyle name="Warning Text 23 3" xfId="21285"/>
    <cellStyle name="Warning Text 23 3 2" xfId="21286"/>
    <cellStyle name="Warning Text 23 3 2 2" xfId="21287"/>
    <cellStyle name="Warning Text 23 3 3" xfId="21288"/>
    <cellStyle name="Warning Text 23 3 3 2" xfId="21289"/>
    <cellStyle name="Warning Text 23 3 4" xfId="21290"/>
    <cellStyle name="Warning Text 23 4" xfId="21291"/>
    <cellStyle name="Warning Text 23 4 2" xfId="21292"/>
    <cellStyle name="Warning Text 23 4 2 2" xfId="21293"/>
    <cellStyle name="Warning Text 23 4 3" xfId="21294"/>
    <cellStyle name="Warning Text 23 4 3 2" xfId="21295"/>
    <cellStyle name="Warning Text 23 4 4" xfId="21296"/>
    <cellStyle name="Warning Text 23 5" xfId="21297"/>
    <cellStyle name="Warning Text 23 5 2" xfId="21298"/>
    <cellStyle name="Warning Text 23 5 2 2" xfId="21299"/>
    <cellStyle name="Warning Text 23 5 3" xfId="21300"/>
    <cellStyle name="Warning Text 23 5 3 2" xfId="21301"/>
    <cellStyle name="Warning Text 23 5 4" xfId="21302"/>
    <cellStyle name="Warning Text 23 5 4 2" xfId="21303"/>
    <cellStyle name="Warning Text 23 5 5" xfId="21304"/>
    <cellStyle name="Warning Text 23 6" xfId="21305"/>
    <cellStyle name="Warning Text 23 6 2" xfId="21306"/>
    <cellStyle name="Warning Text 23 6 2 2" xfId="21307"/>
    <cellStyle name="Warning Text 23 6 3" xfId="21308"/>
    <cellStyle name="Warning Text 23 6 3 2" xfId="21309"/>
    <cellStyle name="Warning Text 23 6 4" xfId="21310"/>
    <cellStyle name="Warning Text 23 7" xfId="21311"/>
    <cellStyle name="Warning Text 23 7 2" xfId="21312"/>
    <cellStyle name="Warning Text 23 8" xfId="21313"/>
    <cellStyle name="Warning Text 23 8 2" xfId="21314"/>
    <cellStyle name="Warning Text 23 9" xfId="21315"/>
    <cellStyle name="Warning Text 23 9 2" xfId="21316"/>
    <cellStyle name="Warning Text 24 12" xfId="21317"/>
    <cellStyle name="Warning Text 24 10" xfId="21318"/>
    <cellStyle name="Warning Text 24 11" xfId="21319"/>
    <cellStyle name="Warning Text 24 2" xfId="21320"/>
    <cellStyle name="Warning Text 24 2 2" xfId="21321"/>
    <cellStyle name="Warning Text 24 2 2 2" xfId="21322"/>
    <cellStyle name="Warning Text 24 2 3" xfId="21323"/>
    <cellStyle name="Warning Text 24 2 3 2" xfId="21324"/>
    <cellStyle name="Warning Text 24 2 4" xfId="21325"/>
    <cellStyle name="Warning Text 24 2 5" xfId="21326"/>
    <cellStyle name="Warning Text 24 3" xfId="21327"/>
    <cellStyle name="Warning Text 24 3 2" xfId="21328"/>
    <cellStyle name="Warning Text 24 3 2 2" xfId="21329"/>
    <cellStyle name="Warning Text 24 3 3" xfId="21330"/>
    <cellStyle name="Warning Text 24 3 3 2" xfId="21331"/>
    <cellStyle name="Warning Text 24 3 4" xfId="21332"/>
    <cellStyle name="Warning Text 24 4" xfId="21333"/>
    <cellStyle name="Warning Text 24 4 2" xfId="21334"/>
    <cellStyle name="Warning Text 24 4 2 2" xfId="21335"/>
    <cellStyle name="Warning Text 24 4 3" xfId="21336"/>
    <cellStyle name="Warning Text 24 4 3 2" xfId="21337"/>
    <cellStyle name="Warning Text 24 4 4" xfId="21338"/>
    <cellStyle name="Warning Text 24 5" xfId="21339"/>
    <cellStyle name="Warning Text 24 5 2" xfId="21340"/>
    <cellStyle name="Warning Text 24 5 2 2" xfId="21341"/>
    <cellStyle name="Warning Text 24 5 3" xfId="21342"/>
    <cellStyle name="Warning Text 24 5 3 2" xfId="21343"/>
    <cellStyle name="Warning Text 24 5 4" xfId="21344"/>
    <cellStyle name="Warning Text 24 5 4 2" xfId="21345"/>
    <cellStyle name="Warning Text 24 5 5" xfId="21346"/>
    <cellStyle name="Warning Text 24 6" xfId="21347"/>
    <cellStyle name="Warning Text 24 6 2" xfId="21348"/>
    <cellStyle name="Warning Text 24 6 2 2" xfId="21349"/>
    <cellStyle name="Warning Text 24 6 3" xfId="21350"/>
    <cellStyle name="Warning Text 24 6 3 2" xfId="21351"/>
    <cellStyle name="Warning Text 24 6 4" xfId="21352"/>
    <cellStyle name="Warning Text 24 7" xfId="21353"/>
    <cellStyle name="Warning Text 24 7 2" xfId="21354"/>
    <cellStyle name="Warning Text 24 8" xfId="21355"/>
    <cellStyle name="Warning Text 24 8 2" xfId="21356"/>
    <cellStyle name="Warning Text 24 9" xfId="21357"/>
    <cellStyle name="Warning Text 24 9 2" xfId="21358"/>
    <cellStyle name="Warning Text 25 12" xfId="21359"/>
    <cellStyle name="Warning Text 25 10" xfId="21360"/>
    <cellStyle name="Warning Text 25 11" xfId="21361"/>
    <cellStyle name="Warning Text 25 2" xfId="21362"/>
    <cellStyle name="Warning Text 25 2 2" xfId="21363"/>
    <cellStyle name="Warning Text 25 2 2 2" xfId="21364"/>
    <cellStyle name="Warning Text 25 2 3" xfId="21365"/>
    <cellStyle name="Warning Text 25 2 3 2" xfId="21366"/>
    <cellStyle name="Warning Text 25 2 4" xfId="21367"/>
    <cellStyle name="Warning Text 25 2 5" xfId="21368"/>
    <cellStyle name="Warning Text 25 3" xfId="21369"/>
    <cellStyle name="Warning Text 25 3 2" xfId="21370"/>
    <cellStyle name="Warning Text 25 3 2 2" xfId="21371"/>
    <cellStyle name="Warning Text 25 3 3" xfId="21372"/>
    <cellStyle name="Warning Text 25 3 3 2" xfId="21373"/>
    <cellStyle name="Warning Text 25 3 4" xfId="21374"/>
    <cellStyle name="Warning Text 25 4" xfId="21375"/>
    <cellStyle name="Warning Text 25 4 2" xfId="21376"/>
    <cellStyle name="Warning Text 25 4 2 2" xfId="21377"/>
    <cellStyle name="Warning Text 25 4 3" xfId="21378"/>
    <cellStyle name="Warning Text 25 4 3 2" xfId="21379"/>
    <cellStyle name="Warning Text 25 4 4" xfId="21380"/>
    <cellStyle name="Warning Text 25 5" xfId="21381"/>
    <cellStyle name="Warning Text 25 5 2" xfId="21382"/>
    <cellStyle name="Warning Text 25 5 2 2" xfId="21383"/>
    <cellStyle name="Warning Text 25 5 3" xfId="21384"/>
    <cellStyle name="Warning Text 25 5 3 2" xfId="21385"/>
    <cellStyle name="Warning Text 25 5 4" xfId="21386"/>
    <cellStyle name="Warning Text 25 5 4 2" xfId="21387"/>
    <cellStyle name="Warning Text 25 5 5" xfId="21388"/>
    <cellStyle name="Warning Text 25 6" xfId="21389"/>
    <cellStyle name="Warning Text 25 6 2" xfId="21390"/>
    <cellStyle name="Warning Text 25 6 2 2" xfId="21391"/>
    <cellStyle name="Warning Text 25 6 3" xfId="21392"/>
    <cellStyle name="Warning Text 25 6 3 2" xfId="21393"/>
    <cellStyle name="Warning Text 25 6 4" xfId="21394"/>
    <cellStyle name="Warning Text 25 7" xfId="21395"/>
    <cellStyle name="Warning Text 25 7 2" xfId="21396"/>
    <cellStyle name="Warning Text 25 8" xfId="21397"/>
    <cellStyle name="Warning Text 25 8 2" xfId="21398"/>
    <cellStyle name="Warning Text 25 9" xfId="21399"/>
    <cellStyle name="Warning Text 25 9 2" xfId="21400"/>
    <cellStyle name="Warning Text 26 12" xfId="21401"/>
    <cellStyle name="Warning Text 26 10" xfId="21402"/>
    <cellStyle name="Warning Text 26 11" xfId="21403"/>
    <cellStyle name="Warning Text 26 2" xfId="21404"/>
    <cellStyle name="Warning Text 26 2 2" xfId="21405"/>
    <cellStyle name="Warning Text 26 2 2 2" xfId="21406"/>
    <cellStyle name="Warning Text 26 2 3" xfId="21407"/>
    <cellStyle name="Warning Text 26 2 3 2" xfId="21408"/>
    <cellStyle name="Warning Text 26 2 4" xfId="21409"/>
    <cellStyle name="Warning Text 26 2 5" xfId="21410"/>
    <cellStyle name="Warning Text 26 3" xfId="21411"/>
    <cellStyle name="Warning Text 26 3 2" xfId="21412"/>
    <cellStyle name="Warning Text 26 3 2 2" xfId="21413"/>
    <cellStyle name="Warning Text 26 3 3" xfId="21414"/>
    <cellStyle name="Warning Text 26 3 3 2" xfId="21415"/>
    <cellStyle name="Warning Text 26 3 4" xfId="21416"/>
    <cellStyle name="Warning Text 26 4" xfId="21417"/>
    <cellStyle name="Warning Text 26 4 2" xfId="21418"/>
    <cellStyle name="Warning Text 26 4 2 2" xfId="21419"/>
    <cellStyle name="Warning Text 26 4 3" xfId="21420"/>
    <cellStyle name="Warning Text 26 4 3 2" xfId="21421"/>
    <cellStyle name="Warning Text 26 4 4" xfId="21422"/>
    <cellStyle name="Warning Text 26 5" xfId="21423"/>
    <cellStyle name="Warning Text 26 5 2" xfId="21424"/>
    <cellStyle name="Warning Text 26 5 2 2" xfId="21425"/>
    <cellStyle name="Warning Text 26 5 3" xfId="21426"/>
    <cellStyle name="Warning Text 26 5 3 2" xfId="21427"/>
    <cellStyle name="Warning Text 26 5 4" xfId="21428"/>
    <cellStyle name="Warning Text 26 5 4 2" xfId="21429"/>
    <cellStyle name="Warning Text 26 5 5" xfId="21430"/>
    <cellStyle name="Warning Text 26 6" xfId="21431"/>
    <cellStyle name="Warning Text 26 6 2" xfId="21432"/>
    <cellStyle name="Warning Text 26 6 2 2" xfId="21433"/>
    <cellStyle name="Warning Text 26 6 3" xfId="21434"/>
    <cellStyle name="Warning Text 26 6 3 2" xfId="21435"/>
    <cellStyle name="Warning Text 26 6 4" xfId="21436"/>
    <cellStyle name="Warning Text 26 7" xfId="21437"/>
    <cellStyle name="Warning Text 26 7 2" xfId="21438"/>
    <cellStyle name="Warning Text 26 8" xfId="21439"/>
    <cellStyle name="Warning Text 26 8 2" xfId="21440"/>
    <cellStyle name="Warning Text 26 9" xfId="21441"/>
    <cellStyle name="Warning Text 26 9 2" xfId="21442"/>
    <cellStyle name="Warning Text 27 12" xfId="21443"/>
    <cellStyle name="Warning Text 27 10" xfId="21444"/>
    <cellStyle name="Warning Text 27 11" xfId="21445"/>
    <cellStyle name="Warning Text 27 2" xfId="21446"/>
    <cellStyle name="Warning Text 27 2 2" xfId="21447"/>
    <cellStyle name="Warning Text 27 2 2 2" xfId="21448"/>
    <cellStyle name="Warning Text 27 2 3" xfId="21449"/>
    <cellStyle name="Warning Text 27 2 3 2" xfId="21450"/>
    <cellStyle name="Warning Text 27 2 4" xfId="21451"/>
    <cellStyle name="Warning Text 27 2 5" xfId="21452"/>
    <cellStyle name="Warning Text 27 3" xfId="21453"/>
    <cellStyle name="Warning Text 27 3 2" xfId="21454"/>
    <cellStyle name="Warning Text 27 3 2 2" xfId="21455"/>
    <cellStyle name="Warning Text 27 3 3" xfId="21456"/>
    <cellStyle name="Warning Text 27 3 3 2" xfId="21457"/>
    <cellStyle name="Warning Text 27 3 4" xfId="21458"/>
    <cellStyle name="Warning Text 27 4" xfId="21459"/>
    <cellStyle name="Warning Text 27 4 2" xfId="21460"/>
    <cellStyle name="Warning Text 27 4 2 2" xfId="21461"/>
    <cellStyle name="Warning Text 27 4 3" xfId="21462"/>
    <cellStyle name="Warning Text 27 4 3 2" xfId="21463"/>
    <cellStyle name="Warning Text 27 4 4" xfId="21464"/>
    <cellStyle name="Warning Text 27 5" xfId="21465"/>
    <cellStyle name="Warning Text 27 5 2" xfId="21466"/>
    <cellStyle name="Warning Text 27 5 2 2" xfId="21467"/>
    <cellStyle name="Warning Text 27 5 3" xfId="21468"/>
    <cellStyle name="Warning Text 27 5 3 2" xfId="21469"/>
    <cellStyle name="Warning Text 27 5 4" xfId="21470"/>
    <cellStyle name="Warning Text 27 5 4 2" xfId="21471"/>
    <cellStyle name="Warning Text 27 5 5" xfId="21472"/>
    <cellStyle name="Warning Text 27 6" xfId="21473"/>
    <cellStyle name="Warning Text 27 6 2" xfId="21474"/>
    <cellStyle name="Warning Text 27 6 2 2" xfId="21475"/>
    <cellStyle name="Warning Text 27 6 3" xfId="21476"/>
    <cellStyle name="Warning Text 27 6 3 2" xfId="21477"/>
    <cellStyle name="Warning Text 27 6 4" xfId="21478"/>
    <cellStyle name="Warning Text 27 7" xfId="21479"/>
    <cellStyle name="Warning Text 27 7 2" xfId="21480"/>
    <cellStyle name="Warning Text 27 8" xfId="21481"/>
    <cellStyle name="Warning Text 27 8 2" xfId="21482"/>
    <cellStyle name="Warning Text 27 9" xfId="21483"/>
    <cellStyle name="Warning Text 27 9 2" xfId="21484"/>
    <cellStyle name="Warning Text 28 12" xfId="21485"/>
    <cellStyle name="Warning Text 28 10" xfId="21486"/>
    <cellStyle name="Warning Text 28 11" xfId="21487"/>
    <cellStyle name="Warning Text 28 2" xfId="21488"/>
    <cellStyle name="Warning Text 28 2 2" xfId="21489"/>
    <cellStyle name="Warning Text 28 2 2 2" xfId="21490"/>
    <cellStyle name="Warning Text 28 2 3" xfId="21491"/>
    <cellStyle name="Warning Text 28 2 3 2" xfId="21492"/>
    <cellStyle name="Warning Text 28 2 4" xfId="21493"/>
    <cellStyle name="Warning Text 28 2 5" xfId="21494"/>
    <cellStyle name="Warning Text 28 3" xfId="21495"/>
    <cellStyle name="Warning Text 28 3 2" xfId="21496"/>
    <cellStyle name="Warning Text 28 3 2 2" xfId="21497"/>
    <cellStyle name="Warning Text 28 3 3" xfId="21498"/>
    <cellStyle name="Warning Text 28 3 3 2" xfId="21499"/>
    <cellStyle name="Warning Text 28 3 4" xfId="21500"/>
    <cellStyle name="Warning Text 28 4" xfId="21501"/>
    <cellStyle name="Warning Text 28 4 2" xfId="21502"/>
    <cellStyle name="Warning Text 28 4 2 2" xfId="21503"/>
    <cellStyle name="Warning Text 28 4 3" xfId="21504"/>
    <cellStyle name="Warning Text 28 4 3 2" xfId="21505"/>
    <cellStyle name="Warning Text 28 4 4" xfId="21506"/>
    <cellStyle name="Warning Text 28 5" xfId="21507"/>
    <cellStyle name="Warning Text 28 5 2" xfId="21508"/>
    <cellStyle name="Warning Text 28 5 2 2" xfId="21509"/>
    <cellStyle name="Warning Text 28 5 3" xfId="21510"/>
    <cellStyle name="Warning Text 28 5 3 2" xfId="21511"/>
    <cellStyle name="Warning Text 28 5 4" xfId="21512"/>
    <cellStyle name="Warning Text 28 5 4 2" xfId="21513"/>
    <cellStyle name="Warning Text 28 5 5" xfId="21514"/>
    <cellStyle name="Warning Text 28 6" xfId="21515"/>
    <cellStyle name="Warning Text 28 6 2" xfId="21516"/>
    <cellStyle name="Warning Text 28 6 2 2" xfId="21517"/>
    <cellStyle name="Warning Text 28 6 3" xfId="21518"/>
    <cellStyle name="Warning Text 28 6 3 2" xfId="21519"/>
    <cellStyle name="Warning Text 28 6 4" xfId="21520"/>
    <cellStyle name="Warning Text 28 7" xfId="21521"/>
    <cellStyle name="Warning Text 28 7 2" xfId="21522"/>
    <cellStyle name="Warning Text 28 8" xfId="21523"/>
    <cellStyle name="Warning Text 28 8 2" xfId="21524"/>
    <cellStyle name="Warning Text 28 9" xfId="21525"/>
    <cellStyle name="Warning Text 28 9 2" xfId="21526"/>
    <cellStyle name="Warning Text 29 12" xfId="21527"/>
    <cellStyle name="Warning Text 29 10" xfId="21528"/>
    <cellStyle name="Warning Text 29 11" xfId="21529"/>
    <cellStyle name="Warning Text 29 2" xfId="21530"/>
    <cellStyle name="Warning Text 29 2 2" xfId="21531"/>
    <cellStyle name="Warning Text 29 2 2 2" xfId="21532"/>
    <cellStyle name="Warning Text 29 2 3" xfId="21533"/>
    <cellStyle name="Warning Text 29 2 3 2" xfId="21534"/>
    <cellStyle name="Warning Text 29 2 4" xfId="21535"/>
    <cellStyle name="Warning Text 29 2 5" xfId="21536"/>
    <cellStyle name="Warning Text 29 3" xfId="21537"/>
    <cellStyle name="Warning Text 29 3 2" xfId="21538"/>
    <cellStyle name="Warning Text 29 3 2 2" xfId="21539"/>
    <cellStyle name="Warning Text 29 3 3" xfId="21540"/>
    <cellStyle name="Warning Text 29 3 3 2" xfId="21541"/>
    <cellStyle name="Warning Text 29 3 4" xfId="21542"/>
    <cellStyle name="Warning Text 29 4" xfId="21543"/>
    <cellStyle name="Warning Text 29 4 2" xfId="21544"/>
    <cellStyle name="Warning Text 29 4 2 2" xfId="21545"/>
    <cellStyle name="Warning Text 29 4 3" xfId="21546"/>
    <cellStyle name="Warning Text 29 4 3 2" xfId="21547"/>
    <cellStyle name="Warning Text 29 4 4" xfId="21548"/>
    <cellStyle name="Warning Text 29 5" xfId="21549"/>
    <cellStyle name="Warning Text 29 5 2" xfId="21550"/>
    <cellStyle name="Warning Text 29 5 2 2" xfId="21551"/>
    <cellStyle name="Warning Text 29 5 3" xfId="21552"/>
    <cellStyle name="Warning Text 29 5 3 2" xfId="21553"/>
    <cellStyle name="Warning Text 29 5 4" xfId="21554"/>
    <cellStyle name="Warning Text 29 5 4 2" xfId="21555"/>
    <cellStyle name="Warning Text 29 5 5" xfId="21556"/>
    <cellStyle name="Warning Text 29 6" xfId="21557"/>
    <cellStyle name="Warning Text 29 6 2" xfId="21558"/>
    <cellStyle name="Warning Text 29 6 2 2" xfId="21559"/>
    <cellStyle name="Warning Text 29 6 3" xfId="21560"/>
    <cellStyle name="Warning Text 29 6 3 2" xfId="21561"/>
    <cellStyle name="Warning Text 29 6 4" xfId="21562"/>
    <cellStyle name="Warning Text 29 7" xfId="21563"/>
    <cellStyle name="Warning Text 29 7 2" xfId="21564"/>
    <cellStyle name="Warning Text 29 8" xfId="21565"/>
    <cellStyle name="Warning Text 29 8 2" xfId="21566"/>
    <cellStyle name="Warning Text 29 9" xfId="21567"/>
    <cellStyle name="Warning Text 29 9 2" xfId="21568"/>
    <cellStyle name="Warning Text 3 12" xfId="21569"/>
    <cellStyle name="Warning Text 3 10" xfId="21570"/>
    <cellStyle name="Warning Text 3 11" xfId="21571"/>
    <cellStyle name="Warning Text 3 2 6" xfId="21572"/>
    <cellStyle name="Warning Text 3 2 2" xfId="21573"/>
    <cellStyle name="Warning Text 3 2 2 2" xfId="21574"/>
    <cellStyle name="Warning Text 3 2 3" xfId="21575"/>
    <cellStyle name="Warning Text 3 2 3 2" xfId="21576"/>
    <cellStyle name="Warning Text 3 2 4" xfId="21577"/>
    <cellStyle name="Warning Text 3 2 5" xfId="21578"/>
    <cellStyle name="Warning Text 3 3" xfId="21579"/>
    <cellStyle name="Warning Text 3 3 2" xfId="21580"/>
    <cellStyle name="Warning Text 3 3 2 2" xfId="21581"/>
    <cellStyle name="Warning Text 3 3 3" xfId="21582"/>
    <cellStyle name="Warning Text 3 3 3 2" xfId="21583"/>
    <cellStyle name="Warning Text 3 3 4" xfId="21584"/>
    <cellStyle name="Warning Text 3 4" xfId="21585"/>
    <cellStyle name="Warning Text 3 4 2" xfId="21586"/>
    <cellStyle name="Warning Text 3 4 2 2" xfId="21587"/>
    <cellStyle name="Warning Text 3 4 3" xfId="21588"/>
    <cellStyle name="Warning Text 3 4 3 2" xfId="21589"/>
    <cellStyle name="Warning Text 3 4 4" xfId="21590"/>
    <cellStyle name="Warning Text 3 5" xfId="21591"/>
    <cellStyle name="Warning Text 3 5 2" xfId="21592"/>
    <cellStyle name="Warning Text 3 5 2 2" xfId="21593"/>
    <cellStyle name="Warning Text 3 5 3" xfId="21594"/>
    <cellStyle name="Warning Text 3 5 3 2" xfId="21595"/>
    <cellStyle name="Warning Text 3 5 4" xfId="21596"/>
    <cellStyle name="Warning Text 3 5 4 2" xfId="21597"/>
    <cellStyle name="Warning Text 3 5 5" xfId="21598"/>
    <cellStyle name="Warning Text 3 6" xfId="21599"/>
    <cellStyle name="Warning Text 3 6 2" xfId="21600"/>
    <cellStyle name="Warning Text 3 6 2 2" xfId="21601"/>
    <cellStyle name="Warning Text 3 6 3" xfId="21602"/>
    <cellStyle name="Warning Text 3 6 3 2" xfId="21603"/>
    <cellStyle name="Warning Text 3 6 4" xfId="21604"/>
    <cellStyle name="Warning Text 3 7" xfId="21605"/>
    <cellStyle name="Warning Text 3 7 2" xfId="21606"/>
    <cellStyle name="Warning Text 3 8" xfId="21607"/>
    <cellStyle name="Warning Text 3 8 2" xfId="21608"/>
    <cellStyle name="Warning Text 3 9" xfId="21609"/>
    <cellStyle name="Warning Text 3 9 2" xfId="21610"/>
    <cellStyle name="Warning Text 30 12" xfId="21611"/>
    <cellStyle name="Warning Text 30 10" xfId="21612"/>
    <cellStyle name="Warning Text 30 11" xfId="21613"/>
    <cellStyle name="Warning Text 30 2" xfId="21614"/>
    <cellStyle name="Warning Text 30 2 2" xfId="21615"/>
    <cellStyle name="Warning Text 30 2 2 2" xfId="21616"/>
    <cellStyle name="Warning Text 30 2 3" xfId="21617"/>
    <cellStyle name="Warning Text 30 2 3 2" xfId="21618"/>
    <cellStyle name="Warning Text 30 2 4" xfId="21619"/>
    <cellStyle name="Warning Text 30 2 5" xfId="21620"/>
    <cellStyle name="Warning Text 30 3" xfId="21621"/>
    <cellStyle name="Warning Text 30 3 2" xfId="21622"/>
    <cellStyle name="Warning Text 30 3 2 2" xfId="21623"/>
    <cellStyle name="Warning Text 30 3 3" xfId="21624"/>
    <cellStyle name="Warning Text 30 3 3 2" xfId="21625"/>
    <cellStyle name="Warning Text 30 3 4" xfId="21626"/>
    <cellStyle name="Warning Text 30 4" xfId="21627"/>
    <cellStyle name="Warning Text 30 4 2" xfId="21628"/>
    <cellStyle name="Warning Text 30 4 2 2" xfId="21629"/>
    <cellStyle name="Warning Text 30 4 3" xfId="21630"/>
    <cellStyle name="Warning Text 30 4 3 2" xfId="21631"/>
    <cellStyle name="Warning Text 30 4 4" xfId="21632"/>
    <cellStyle name="Warning Text 30 5" xfId="21633"/>
    <cellStyle name="Warning Text 30 5 2" xfId="21634"/>
    <cellStyle name="Warning Text 30 5 2 2" xfId="21635"/>
    <cellStyle name="Warning Text 30 5 3" xfId="21636"/>
    <cellStyle name="Warning Text 30 5 3 2" xfId="21637"/>
    <cellStyle name="Warning Text 30 5 4" xfId="21638"/>
    <cellStyle name="Warning Text 30 5 4 2" xfId="21639"/>
    <cellStyle name="Warning Text 30 5 5" xfId="21640"/>
    <cellStyle name="Warning Text 30 6" xfId="21641"/>
    <cellStyle name="Warning Text 30 6 2" xfId="21642"/>
    <cellStyle name="Warning Text 30 6 2 2" xfId="21643"/>
    <cellStyle name="Warning Text 30 6 3" xfId="21644"/>
    <cellStyle name="Warning Text 30 6 3 2" xfId="21645"/>
    <cellStyle name="Warning Text 30 6 4" xfId="21646"/>
    <cellStyle name="Warning Text 30 7" xfId="21647"/>
    <cellStyle name="Warning Text 30 7 2" xfId="21648"/>
    <cellStyle name="Warning Text 30 8" xfId="21649"/>
    <cellStyle name="Warning Text 30 8 2" xfId="21650"/>
    <cellStyle name="Warning Text 30 9" xfId="21651"/>
    <cellStyle name="Warning Text 30 9 2" xfId="21652"/>
    <cellStyle name="Warning Text 31 12" xfId="21653"/>
    <cellStyle name="Warning Text 31 10" xfId="21654"/>
    <cellStyle name="Warning Text 31 11" xfId="21655"/>
    <cellStyle name="Warning Text 31 2" xfId="21656"/>
    <cellStyle name="Warning Text 31 2 2" xfId="21657"/>
    <cellStyle name="Warning Text 31 2 2 2" xfId="21658"/>
    <cellStyle name="Warning Text 31 2 3" xfId="21659"/>
    <cellStyle name="Warning Text 31 2 3 2" xfId="21660"/>
    <cellStyle name="Warning Text 31 2 4" xfId="21661"/>
    <cellStyle name="Warning Text 31 2 5" xfId="21662"/>
    <cellStyle name="Warning Text 31 3" xfId="21663"/>
    <cellStyle name="Warning Text 31 3 2" xfId="21664"/>
    <cellStyle name="Warning Text 31 3 2 2" xfId="21665"/>
    <cellStyle name="Warning Text 31 3 3" xfId="21666"/>
    <cellStyle name="Warning Text 31 3 3 2" xfId="21667"/>
    <cellStyle name="Warning Text 31 3 4" xfId="21668"/>
    <cellStyle name="Warning Text 31 4" xfId="21669"/>
    <cellStyle name="Warning Text 31 4 2" xfId="21670"/>
    <cellStyle name="Warning Text 31 4 2 2" xfId="21671"/>
    <cellStyle name="Warning Text 31 4 3" xfId="21672"/>
    <cellStyle name="Warning Text 31 4 3 2" xfId="21673"/>
    <cellStyle name="Warning Text 31 4 4" xfId="21674"/>
    <cellStyle name="Warning Text 31 5" xfId="21675"/>
    <cellStyle name="Warning Text 31 5 2" xfId="21676"/>
    <cellStyle name="Warning Text 31 5 2 2" xfId="21677"/>
    <cellStyle name="Warning Text 31 5 3" xfId="21678"/>
    <cellStyle name="Warning Text 31 5 3 2" xfId="21679"/>
    <cellStyle name="Warning Text 31 5 4" xfId="21680"/>
    <cellStyle name="Warning Text 31 5 4 2" xfId="21681"/>
    <cellStyle name="Warning Text 31 5 5" xfId="21682"/>
    <cellStyle name="Warning Text 31 6" xfId="21683"/>
    <cellStyle name="Warning Text 31 6 2" xfId="21684"/>
    <cellStyle name="Warning Text 31 6 2 2" xfId="21685"/>
    <cellStyle name="Warning Text 31 6 3" xfId="21686"/>
    <cellStyle name="Warning Text 31 6 3 2" xfId="21687"/>
    <cellStyle name="Warning Text 31 6 4" xfId="21688"/>
    <cellStyle name="Warning Text 31 7" xfId="21689"/>
    <cellStyle name="Warning Text 31 7 2" xfId="21690"/>
    <cellStyle name="Warning Text 31 8" xfId="21691"/>
    <cellStyle name="Warning Text 31 8 2" xfId="21692"/>
    <cellStyle name="Warning Text 31 9" xfId="21693"/>
    <cellStyle name="Warning Text 31 9 2" xfId="21694"/>
    <cellStyle name="Warning Text 32 12" xfId="21695"/>
    <cellStyle name="Warning Text 32 10" xfId="21696"/>
    <cellStyle name="Warning Text 32 11" xfId="21697"/>
    <cellStyle name="Warning Text 32 2" xfId="21698"/>
    <cellStyle name="Warning Text 32 2 2" xfId="21699"/>
    <cellStyle name="Warning Text 32 2 2 2" xfId="21700"/>
    <cellStyle name="Warning Text 32 2 3" xfId="21701"/>
    <cellStyle name="Warning Text 32 2 3 2" xfId="21702"/>
    <cellStyle name="Warning Text 32 2 4" xfId="21703"/>
    <cellStyle name="Warning Text 32 2 5" xfId="21704"/>
    <cellStyle name="Warning Text 32 3" xfId="21705"/>
    <cellStyle name="Warning Text 32 3 2" xfId="21706"/>
    <cellStyle name="Warning Text 32 3 2 2" xfId="21707"/>
    <cellStyle name="Warning Text 32 3 3" xfId="21708"/>
    <cellStyle name="Warning Text 32 3 3 2" xfId="21709"/>
    <cellStyle name="Warning Text 32 3 4" xfId="21710"/>
    <cellStyle name="Warning Text 32 4" xfId="21711"/>
    <cellStyle name="Warning Text 32 4 2" xfId="21712"/>
    <cellStyle name="Warning Text 32 4 2 2" xfId="21713"/>
    <cellStyle name="Warning Text 32 4 3" xfId="21714"/>
    <cellStyle name="Warning Text 32 4 3 2" xfId="21715"/>
    <cellStyle name="Warning Text 32 4 4" xfId="21716"/>
    <cellStyle name="Warning Text 32 5" xfId="21717"/>
    <cellStyle name="Warning Text 32 5 2" xfId="21718"/>
    <cellStyle name="Warning Text 32 5 2 2" xfId="21719"/>
    <cellStyle name="Warning Text 32 5 3" xfId="21720"/>
    <cellStyle name="Warning Text 32 5 3 2" xfId="21721"/>
    <cellStyle name="Warning Text 32 5 4" xfId="21722"/>
    <cellStyle name="Warning Text 32 5 4 2" xfId="21723"/>
    <cellStyle name="Warning Text 32 5 5" xfId="21724"/>
    <cellStyle name="Warning Text 32 6" xfId="21725"/>
    <cellStyle name="Warning Text 32 6 2" xfId="21726"/>
    <cellStyle name="Warning Text 32 6 2 2" xfId="21727"/>
    <cellStyle name="Warning Text 32 6 3" xfId="21728"/>
    <cellStyle name="Warning Text 32 6 3 2" xfId="21729"/>
    <cellStyle name="Warning Text 32 6 4" xfId="21730"/>
    <cellStyle name="Warning Text 32 7" xfId="21731"/>
    <cellStyle name="Warning Text 32 7 2" xfId="21732"/>
    <cellStyle name="Warning Text 32 8" xfId="21733"/>
    <cellStyle name="Warning Text 32 8 2" xfId="21734"/>
    <cellStyle name="Warning Text 32 9" xfId="21735"/>
    <cellStyle name="Warning Text 32 9 2" xfId="21736"/>
    <cellStyle name="Warning Text 33 12" xfId="21737"/>
    <cellStyle name="Warning Text 33 10" xfId="21738"/>
    <cellStyle name="Warning Text 33 11" xfId="21739"/>
    <cellStyle name="Warning Text 33 2" xfId="21740"/>
    <cellStyle name="Warning Text 33 2 2" xfId="21741"/>
    <cellStyle name="Warning Text 33 2 2 2" xfId="21742"/>
    <cellStyle name="Warning Text 33 2 3" xfId="21743"/>
    <cellStyle name="Warning Text 33 2 3 2" xfId="21744"/>
    <cellStyle name="Warning Text 33 2 4" xfId="21745"/>
    <cellStyle name="Warning Text 33 2 5" xfId="21746"/>
    <cellStyle name="Warning Text 33 3" xfId="21747"/>
    <cellStyle name="Warning Text 33 3 2" xfId="21748"/>
    <cellStyle name="Warning Text 33 3 2 2" xfId="21749"/>
    <cellStyle name="Warning Text 33 3 3" xfId="21750"/>
    <cellStyle name="Warning Text 33 3 3 2" xfId="21751"/>
    <cellStyle name="Warning Text 33 3 4" xfId="21752"/>
    <cellStyle name="Warning Text 33 4" xfId="21753"/>
    <cellStyle name="Warning Text 33 4 2" xfId="21754"/>
    <cellStyle name="Warning Text 33 4 2 2" xfId="21755"/>
    <cellStyle name="Warning Text 33 4 3" xfId="21756"/>
    <cellStyle name="Warning Text 33 4 3 2" xfId="21757"/>
    <cellStyle name="Warning Text 33 4 4" xfId="21758"/>
    <cellStyle name="Warning Text 33 5" xfId="21759"/>
    <cellStyle name="Warning Text 33 5 2" xfId="21760"/>
    <cellStyle name="Warning Text 33 5 2 2" xfId="21761"/>
    <cellStyle name="Warning Text 33 5 3" xfId="21762"/>
    <cellStyle name="Warning Text 33 5 3 2" xfId="21763"/>
    <cellStyle name="Warning Text 33 5 4" xfId="21764"/>
    <cellStyle name="Warning Text 33 5 4 2" xfId="21765"/>
    <cellStyle name="Warning Text 33 5 5" xfId="21766"/>
    <cellStyle name="Warning Text 33 6" xfId="21767"/>
    <cellStyle name="Warning Text 33 6 2" xfId="21768"/>
    <cellStyle name="Warning Text 33 6 2 2" xfId="21769"/>
    <cellStyle name="Warning Text 33 6 3" xfId="21770"/>
    <cellStyle name="Warning Text 33 6 3 2" xfId="21771"/>
    <cellStyle name="Warning Text 33 6 4" xfId="21772"/>
    <cellStyle name="Warning Text 33 7" xfId="21773"/>
    <cellStyle name="Warning Text 33 7 2" xfId="21774"/>
    <cellStyle name="Warning Text 33 8" xfId="21775"/>
    <cellStyle name="Warning Text 33 8 2" xfId="21776"/>
    <cellStyle name="Warning Text 33 9" xfId="21777"/>
    <cellStyle name="Warning Text 33 9 2" xfId="21778"/>
    <cellStyle name="Warning Text 34 12" xfId="21779"/>
    <cellStyle name="Warning Text 34 10" xfId="21780"/>
    <cellStyle name="Warning Text 34 11" xfId="21781"/>
    <cellStyle name="Warning Text 34 2" xfId="21782"/>
    <cellStyle name="Warning Text 34 2 2" xfId="21783"/>
    <cellStyle name="Warning Text 34 2 2 2" xfId="21784"/>
    <cellStyle name="Warning Text 34 2 3" xfId="21785"/>
    <cellStyle name="Warning Text 34 2 3 2" xfId="21786"/>
    <cellStyle name="Warning Text 34 2 4" xfId="21787"/>
    <cellStyle name="Warning Text 34 2 5" xfId="21788"/>
    <cellStyle name="Warning Text 34 3" xfId="21789"/>
    <cellStyle name="Warning Text 34 3 2" xfId="21790"/>
    <cellStyle name="Warning Text 34 3 2 2" xfId="21791"/>
    <cellStyle name="Warning Text 34 3 3" xfId="21792"/>
    <cellStyle name="Warning Text 34 3 3 2" xfId="21793"/>
    <cellStyle name="Warning Text 34 3 4" xfId="21794"/>
    <cellStyle name="Warning Text 34 4" xfId="21795"/>
    <cellStyle name="Warning Text 34 4 2" xfId="21796"/>
    <cellStyle name="Warning Text 34 4 2 2" xfId="21797"/>
    <cellStyle name="Warning Text 34 4 3" xfId="21798"/>
    <cellStyle name="Warning Text 34 4 3 2" xfId="21799"/>
    <cellStyle name="Warning Text 34 4 4" xfId="21800"/>
    <cellStyle name="Warning Text 34 5" xfId="21801"/>
    <cellStyle name="Warning Text 34 5 2" xfId="21802"/>
    <cellStyle name="Warning Text 34 5 2 2" xfId="21803"/>
    <cellStyle name="Warning Text 34 5 3" xfId="21804"/>
    <cellStyle name="Warning Text 34 5 3 2" xfId="21805"/>
    <cellStyle name="Warning Text 34 5 4" xfId="21806"/>
    <cellStyle name="Warning Text 34 5 4 2" xfId="21807"/>
    <cellStyle name="Warning Text 34 5 5" xfId="21808"/>
    <cellStyle name="Warning Text 34 6" xfId="21809"/>
    <cellStyle name="Warning Text 34 6 2" xfId="21810"/>
    <cellStyle name="Warning Text 34 6 2 2" xfId="21811"/>
    <cellStyle name="Warning Text 34 6 3" xfId="21812"/>
    <cellStyle name="Warning Text 34 6 3 2" xfId="21813"/>
    <cellStyle name="Warning Text 34 6 4" xfId="21814"/>
    <cellStyle name="Warning Text 34 7" xfId="21815"/>
    <cellStyle name="Warning Text 34 7 2" xfId="21816"/>
    <cellStyle name="Warning Text 34 8" xfId="21817"/>
    <cellStyle name="Warning Text 34 8 2" xfId="21818"/>
    <cellStyle name="Warning Text 34 9" xfId="21819"/>
    <cellStyle name="Warning Text 34 9 2" xfId="21820"/>
    <cellStyle name="Warning Text 35 12" xfId="21821"/>
    <cellStyle name="Warning Text 35 10" xfId="21822"/>
    <cellStyle name="Warning Text 35 11" xfId="21823"/>
    <cellStyle name="Warning Text 35 2" xfId="21824"/>
    <cellStyle name="Warning Text 35 2 2" xfId="21825"/>
    <cellStyle name="Warning Text 35 2 2 2" xfId="21826"/>
    <cellStyle name="Warning Text 35 2 3" xfId="21827"/>
    <cellStyle name="Warning Text 35 2 3 2" xfId="21828"/>
    <cellStyle name="Warning Text 35 2 4" xfId="21829"/>
    <cellStyle name="Warning Text 35 2 5" xfId="21830"/>
    <cellStyle name="Warning Text 35 3" xfId="21831"/>
    <cellStyle name="Warning Text 35 3 2" xfId="21832"/>
    <cellStyle name="Warning Text 35 3 2 2" xfId="21833"/>
    <cellStyle name="Warning Text 35 3 3" xfId="21834"/>
    <cellStyle name="Warning Text 35 3 3 2" xfId="21835"/>
    <cellStyle name="Warning Text 35 3 4" xfId="21836"/>
    <cellStyle name="Warning Text 35 4" xfId="21837"/>
    <cellStyle name="Warning Text 35 4 2" xfId="21838"/>
    <cellStyle name="Warning Text 35 4 2 2" xfId="21839"/>
    <cellStyle name="Warning Text 35 4 3" xfId="21840"/>
    <cellStyle name="Warning Text 35 4 3 2" xfId="21841"/>
    <cellStyle name="Warning Text 35 4 4" xfId="21842"/>
    <cellStyle name="Warning Text 35 5" xfId="21843"/>
    <cellStyle name="Warning Text 35 5 2" xfId="21844"/>
    <cellStyle name="Warning Text 35 5 2 2" xfId="21845"/>
    <cellStyle name="Warning Text 35 5 3" xfId="21846"/>
    <cellStyle name="Warning Text 35 5 3 2" xfId="21847"/>
    <cellStyle name="Warning Text 35 5 4" xfId="21848"/>
    <cellStyle name="Warning Text 35 5 4 2" xfId="21849"/>
    <cellStyle name="Warning Text 35 5 5" xfId="21850"/>
    <cellStyle name="Warning Text 35 6" xfId="21851"/>
    <cellStyle name="Warning Text 35 6 2" xfId="21852"/>
    <cellStyle name="Warning Text 35 6 2 2" xfId="21853"/>
    <cellStyle name="Warning Text 35 6 3" xfId="21854"/>
    <cellStyle name="Warning Text 35 6 3 2" xfId="21855"/>
    <cellStyle name="Warning Text 35 6 4" xfId="21856"/>
    <cellStyle name="Warning Text 35 7" xfId="21857"/>
    <cellStyle name="Warning Text 35 7 2" xfId="21858"/>
    <cellStyle name="Warning Text 35 8" xfId="21859"/>
    <cellStyle name="Warning Text 35 8 2" xfId="21860"/>
    <cellStyle name="Warning Text 35 9" xfId="21861"/>
    <cellStyle name="Warning Text 35 9 2" xfId="21862"/>
    <cellStyle name="Warning Text 36 12" xfId="21863"/>
    <cellStyle name="Warning Text 36 10" xfId="21864"/>
    <cellStyle name="Warning Text 36 11" xfId="21865"/>
    <cellStyle name="Warning Text 36 2" xfId="21866"/>
    <cellStyle name="Warning Text 36 2 2" xfId="21867"/>
    <cellStyle name="Warning Text 36 2 2 2" xfId="21868"/>
    <cellStyle name="Warning Text 36 2 3" xfId="21869"/>
    <cellStyle name="Warning Text 36 2 3 2" xfId="21870"/>
    <cellStyle name="Warning Text 36 2 4" xfId="21871"/>
    <cellStyle name="Warning Text 36 2 5" xfId="21872"/>
    <cellStyle name="Warning Text 36 3" xfId="21873"/>
    <cellStyle name="Warning Text 36 3 2" xfId="21874"/>
    <cellStyle name="Warning Text 36 3 2 2" xfId="21875"/>
    <cellStyle name="Warning Text 36 3 3" xfId="21876"/>
    <cellStyle name="Warning Text 36 3 3 2" xfId="21877"/>
    <cellStyle name="Warning Text 36 3 4" xfId="21878"/>
    <cellStyle name="Warning Text 36 4" xfId="21879"/>
    <cellStyle name="Warning Text 36 4 2" xfId="21880"/>
    <cellStyle name="Warning Text 36 4 2 2" xfId="21881"/>
    <cellStyle name="Warning Text 36 4 3" xfId="21882"/>
    <cellStyle name="Warning Text 36 4 3 2" xfId="21883"/>
    <cellStyle name="Warning Text 36 4 4" xfId="21884"/>
    <cellStyle name="Warning Text 36 5" xfId="21885"/>
    <cellStyle name="Warning Text 36 5 2" xfId="21886"/>
    <cellStyle name="Warning Text 36 5 2 2" xfId="21887"/>
    <cellStyle name="Warning Text 36 5 3" xfId="21888"/>
    <cellStyle name="Warning Text 36 5 3 2" xfId="21889"/>
    <cellStyle name="Warning Text 36 5 4" xfId="21890"/>
    <cellStyle name="Warning Text 36 5 4 2" xfId="21891"/>
    <cellStyle name="Warning Text 36 5 5" xfId="21892"/>
    <cellStyle name="Warning Text 36 6" xfId="21893"/>
    <cellStyle name="Warning Text 36 6 2" xfId="21894"/>
    <cellStyle name="Warning Text 36 6 2 2" xfId="21895"/>
    <cellStyle name="Warning Text 36 6 3" xfId="21896"/>
    <cellStyle name="Warning Text 36 6 3 2" xfId="21897"/>
    <cellStyle name="Warning Text 36 6 4" xfId="21898"/>
    <cellStyle name="Warning Text 36 7" xfId="21899"/>
    <cellStyle name="Warning Text 36 7 2" xfId="21900"/>
    <cellStyle name="Warning Text 36 8" xfId="21901"/>
    <cellStyle name="Warning Text 36 8 2" xfId="21902"/>
    <cellStyle name="Warning Text 36 9" xfId="21903"/>
    <cellStyle name="Warning Text 36 9 2" xfId="21904"/>
    <cellStyle name="Warning Text 37 12" xfId="21905"/>
    <cellStyle name="Warning Text 37 10" xfId="21906"/>
    <cellStyle name="Warning Text 37 11" xfId="21907"/>
    <cellStyle name="Warning Text 37 2" xfId="21908"/>
    <cellStyle name="Warning Text 37 2 2" xfId="21909"/>
    <cellStyle name="Warning Text 37 2 2 2" xfId="21910"/>
    <cellStyle name="Warning Text 37 2 3" xfId="21911"/>
    <cellStyle name="Warning Text 37 2 3 2" xfId="21912"/>
    <cellStyle name="Warning Text 37 2 4" xfId="21913"/>
    <cellStyle name="Warning Text 37 2 5" xfId="21914"/>
    <cellStyle name="Warning Text 37 3" xfId="21915"/>
    <cellStyle name="Warning Text 37 3 2" xfId="21916"/>
    <cellStyle name="Warning Text 37 3 2 2" xfId="21917"/>
    <cellStyle name="Warning Text 37 3 3" xfId="21918"/>
    <cellStyle name="Warning Text 37 3 3 2" xfId="21919"/>
    <cellStyle name="Warning Text 37 3 4" xfId="21920"/>
    <cellStyle name="Warning Text 37 4" xfId="21921"/>
    <cellStyle name="Warning Text 37 4 2" xfId="21922"/>
    <cellStyle name="Warning Text 37 4 2 2" xfId="21923"/>
    <cellStyle name="Warning Text 37 4 3" xfId="21924"/>
    <cellStyle name="Warning Text 37 4 3 2" xfId="21925"/>
    <cellStyle name="Warning Text 37 4 4" xfId="21926"/>
    <cellStyle name="Warning Text 37 5" xfId="21927"/>
    <cellStyle name="Warning Text 37 5 2" xfId="21928"/>
    <cellStyle name="Warning Text 37 5 2 2" xfId="21929"/>
    <cellStyle name="Warning Text 37 5 3" xfId="21930"/>
    <cellStyle name="Warning Text 37 5 3 2" xfId="21931"/>
    <cellStyle name="Warning Text 37 5 4" xfId="21932"/>
    <cellStyle name="Warning Text 37 5 4 2" xfId="21933"/>
    <cellStyle name="Warning Text 37 5 5" xfId="21934"/>
    <cellStyle name="Warning Text 37 6" xfId="21935"/>
    <cellStyle name="Warning Text 37 6 2" xfId="21936"/>
    <cellStyle name="Warning Text 37 6 2 2" xfId="21937"/>
    <cellStyle name="Warning Text 37 6 3" xfId="21938"/>
    <cellStyle name="Warning Text 37 6 3 2" xfId="21939"/>
    <cellStyle name="Warning Text 37 6 4" xfId="21940"/>
    <cellStyle name="Warning Text 37 7" xfId="21941"/>
    <cellStyle name="Warning Text 37 7 2" xfId="21942"/>
    <cellStyle name="Warning Text 37 8" xfId="21943"/>
    <cellStyle name="Warning Text 37 8 2" xfId="21944"/>
    <cellStyle name="Warning Text 37 9" xfId="21945"/>
    <cellStyle name="Warning Text 37 9 2" xfId="21946"/>
    <cellStyle name="Warning Text 38 12" xfId="21947"/>
    <cellStyle name="Warning Text 38 10" xfId="21948"/>
    <cellStyle name="Warning Text 38 11" xfId="21949"/>
    <cellStyle name="Warning Text 38 2" xfId="21950"/>
    <cellStyle name="Warning Text 38 2 2" xfId="21951"/>
    <cellStyle name="Warning Text 38 2 2 2" xfId="21952"/>
    <cellStyle name="Warning Text 38 2 3" xfId="21953"/>
    <cellStyle name="Warning Text 38 2 3 2" xfId="21954"/>
    <cellStyle name="Warning Text 38 2 4" xfId="21955"/>
    <cellStyle name="Warning Text 38 2 5" xfId="21956"/>
    <cellStyle name="Warning Text 38 3" xfId="21957"/>
    <cellStyle name="Warning Text 38 3 2" xfId="21958"/>
    <cellStyle name="Warning Text 38 3 2 2" xfId="21959"/>
    <cellStyle name="Warning Text 38 3 3" xfId="21960"/>
    <cellStyle name="Warning Text 38 3 3 2" xfId="21961"/>
    <cellStyle name="Warning Text 38 3 4" xfId="21962"/>
    <cellStyle name="Warning Text 38 4" xfId="21963"/>
    <cellStyle name="Warning Text 38 4 2" xfId="21964"/>
    <cellStyle name="Warning Text 38 4 2 2" xfId="21965"/>
    <cellStyle name="Warning Text 38 4 3" xfId="21966"/>
    <cellStyle name="Warning Text 38 4 3 2" xfId="21967"/>
    <cellStyle name="Warning Text 38 4 4" xfId="21968"/>
    <cellStyle name="Warning Text 38 5" xfId="21969"/>
    <cellStyle name="Warning Text 38 5 2" xfId="21970"/>
    <cellStyle name="Warning Text 38 5 2 2" xfId="21971"/>
    <cellStyle name="Warning Text 38 5 3" xfId="21972"/>
    <cellStyle name="Warning Text 38 5 3 2" xfId="21973"/>
    <cellStyle name="Warning Text 38 5 4" xfId="21974"/>
    <cellStyle name="Warning Text 38 5 4 2" xfId="21975"/>
    <cellStyle name="Warning Text 38 5 5" xfId="21976"/>
    <cellStyle name="Warning Text 38 6" xfId="21977"/>
    <cellStyle name="Warning Text 38 6 2" xfId="21978"/>
    <cellStyle name="Warning Text 38 6 2 2" xfId="21979"/>
    <cellStyle name="Warning Text 38 6 3" xfId="21980"/>
    <cellStyle name="Warning Text 38 6 3 2" xfId="21981"/>
    <cellStyle name="Warning Text 38 6 4" xfId="21982"/>
    <cellStyle name="Warning Text 38 7" xfId="21983"/>
    <cellStyle name="Warning Text 38 7 2" xfId="21984"/>
    <cellStyle name="Warning Text 38 8" xfId="21985"/>
    <cellStyle name="Warning Text 38 8 2" xfId="21986"/>
    <cellStyle name="Warning Text 38 9" xfId="21987"/>
    <cellStyle name="Warning Text 38 9 2" xfId="21988"/>
    <cellStyle name="Warning Text 39 12" xfId="21989"/>
    <cellStyle name="Warning Text 39 10" xfId="21990"/>
    <cellStyle name="Warning Text 39 11" xfId="21991"/>
    <cellStyle name="Warning Text 39 2" xfId="21992"/>
    <cellStyle name="Warning Text 39 2 2" xfId="21993"/>
    <cellStyle name="Warning Text 39 2 2 2" xfId="21994"/>
    <cellStyle name="Warning Text 39 2 3" xfId="21995"/>
    <cellStyle name="Warning Text 39 2 3 2" xfId="21996"/>
    <cellStyle name="Warning Text 39 2 4" xfId="21997"/>
    <cellStyle name="Warning Text 39 2 5" xfId="21998"/>
    <cellStyle name="Warning Text 39 3" xfId="21999"/>
    <cellStyle name="Warning Text 39 3 2" xfId="22000"/>
    <cellStyle name="Warning Text 39 3 2 2" xfId="22001"/>
    <cellStyle name="Warning Text 39 3 3" xfId="22002"/>
    <cellStyle name="Warning Text 39 3 3 2" xfId="22003"/>
    <cellStyle name="Warning Text 39 3 4" xfId="22004"/>
    <cellStyle name="Warning Text 39 4" xfId="22005"/>
    <cellStyle name="Warning Text 39 4 2" xfId="22006"/>
    <cellStyle name="Warning Text 39 4 2 2" xfId="22007"/>
    <cellStyle name="Warning Text 39 4 3" xfId="22008"/>
    <cellStyle name="Warning Text 39 4 3 2" xfId="22009"/>
    <cellStyle name="Warning Text 39 4 4" xfId="22010"/>
    <cellStyle name="Warning Text 39 5" xfId="22011"/>
    <cellStyle name="Warning Text 39 5 2" xfId="22012"/>
    <cellStyle name="Warning Text 39 5 2 2" xfId="22013"/>
    <cellStyle name="Warning Text 39 5 3" xfId="22014"/>
    <cellStyle name="Warning Text 39 5 3 2" xfId="22015"/>
    <cellStyle name="Warning Text 39 5 4" xfId="22016"/>
    <cellStyle name="Warning Text 39 5 4 2" xfId="22017"/>
    <cellStyle name="Warning Text 39 5 5" xfId="22018"/>
    <cellStyle name="Warning Text 39 6" xfId="22019"/>
    <cellStyle name="Warning Text 39 6 2" xfId="22020"/>
    <cellStyle name="Warning Text 39 6 2 2" xfId="22021"/>
    <cellStyle name="Warning Text 39 6 3" xfId="22022"/>
    <cellStyle name="Warning Text 39 6 3 2" xfId="22023"/>
    <cellStyle name="Warning Text 39 6 4" xfId="22024"/>
    <cellStyle name="Warning Text 39 7" xfId="22025"/>
    <cellStyle name="Warning Text 39 7 2" xfId="22026"/>
    <cellStyle name="Warning Text 39 8" xfId="22027"/>
    <cellStyle name="Warning Text 39 8 2" xfId="22028"/>
    <cellStyle name="Warning Text 39 9" xfId="22029"/>
    <cellStyle name="Warning Text 39 9 2" xfId="22030"/>
    <cellStyle name="Warning Text 4 13" xfId="22031"/>
    <cellStyle name="Warning Text 4 10" xfId="22032"/>
    <cellStyle name="Warning Text 4 10 2" xfId="22033"/>
    <cellStyle name="Warning Text 4 11" xfId="22034"/>
    <cellStyle name="Warning Text 4 12" xfId="22035"/>
    <cellStyle name="Warning Text 4 2" xfId="22036"/>
    <cellStyle name="Warning Text 4 2 10" xfId="22037"/>
    <cellStyle name="Warning Text 4 2 2" xfId="22038"/>
    <cellStyle name="Warning Text 4 2 2 2" xfId="22039"/>
    <cellStyle name="Warning Text 4 2 2 2 2" xfId="22040"/>
    <cellStyle name="Warning Text 4 2 2 3" xfId="22041"/>
    <cellStyle name="Warning Text 4 2 2 3 2" xfId="22042"/>
    <cellStyle name="Warning Text 4 2 2 4" xfId="22043"/>
    <cellStyle name="Warning Text 4 2 3" xfId="22044"/>
    <cellStyle name="Warning Text 4 2 3 2" xfId="22045"/>
    <cellStyle name="Warning Text 4 2 3 2 2" xfId="22046"/>
    <cellStyle name="Warning Text 4 2 3 3" xfId="22047"/>
    <cellStyle name="Warning Text 4 2 3 3 2" xfId="22048"/>
    <cellStyle name="Warning Text 4 2 3 4" xfId="22049"/>
    <cellStyle name="Warning Text 4 2 4" xfId="22050"/>
    <cellStyle name="Warning Text 4 2 4 2" xfId="22051"/>
    <cellStyle name="Warning Text 4 2 4 2 2" xfId="22052"/>
    <cellStyle name="Warning Text 4 2 4 3" xfId="22053"/>
    <cellStyle name="Warning Text 4 2 4 3 2" xfId="22054"/>
    <cellStyle name="Warning Text 4 2 4 4" xfId="22055"/>
    <cellStyle name="Warning Text 4 2 4 4 2" xfId="22056"/>
    <cellStyle name="Warning Text 4 2 4 5" xfId="22057"/>
    <cellStyle name="Warning Text 4 2 5" xfId="22058"/>
    <cellStyle name="Warning Text 4 2 5 2" xfId="22059"/>
    <cellStyle name="Warning Text 4 2 5 2 2" xfId="22060"/>
    <cellStyle name="Warning Text 4 2 5 3" xfId="22061"/>
    <cellStyle name="Warning Text 4 2 5 3 2" xfId="22062"/>
    <cellStyle name="Warning Text 4 2 5 4" xfId="22063"/>
    <cellStyle name="Warning Text 4 2 6" xfId="22064"/>
    <cellStyle name="Warning Text 4 2 6 2" xfId="22065"/>
    <cellStyle name="Warning Text 4 2 7" xfId="22066"/>
    <cellStyle name="Warning Text 4 2 7 2" xfId="22067"/>
    <cellStyle name="Warning Text 4 2 8" xfId="22068"/>
    <cellStyle name="Warning Text 4 2 8 2" xfId="22069"/>
    <cellStyle name="Warning Text 4 2 9" xfId="22070"/>
    <cellStyle name="Warning Text 4 3" xfId="22071"/>
    <cellStyle name="Warning Text 4 3 2" xfId="22072"/>
    <cellStyle name="Warning Text 4 3 2 2" xfId="22073"/>
    <cellStyle name="Warning Text 4 3 3" xfId="22074"/>
    <cellStyle name="Warning Text 4 3 3 2" xfId="22075"/>
    <cellStyle name="Warning Text 4 3 4" xfId="22076"/>
    <cellStyle name="Warning Text 4 3 5" xfId="22077"/>
    <cellStyle name="Warning Text 4 4" xfId="22078"/>
    <cellStyle name="Warning Text 4 4 2" xfId="22079"/>
    <cellStyle name="Warning Text 4 4 2 2" xfId="22080"/>
    <cellStyle name="Warning Text 4 4 3" xfId="22081"/>
    <cellStyle name="Warning Text 4 4 3 2" xfId="22082"/>
    <cellStyle name="Warning Text 4 4 4" xfId="22083"/>
    <cellStyle name="Warning Text 4 5" xfId="22084"/>
    <cellStyle name="Warning Text 4 5 2" xfId="22085"/>
    <cellStyle name="Warning Text 4 5 2 2" xfId="22086"/>
    <cellStyle name="Warning Text 4 5 3" xfId="22087"/>
    <cellStyle name="Warning Text 4 5 3 2" xfId="22088"/>
    <cellStyle name="Warning Text 4 5 4" xfId="22089"/>
    <cellStyle name="Warning Text 4 6" xfId="22090"/>
    <cellStyle name="Warning Text 4 6 2" xfId="22091"/>
    <cellStyle name="Warning Text 4 6 2 2" xfId="22092"/>
    <cellStyle name="Warning Text 4 6 3" xfId="22093"/>
    <cellStyle name="Warning Text 4 6 3 2" xfId="22094"/>
    <cellStyle name="Warning Text 4 6 4" xfId="22095"/>
    <cellStyle name="Warning Text 4 6 4 2" xfId="22096"/>
    <cellStyle name="Warning Text 4 6 5" xfId="22097"/>
    <cellStyle name="Warning Text 4 7" xfId="22098"/>
    <cellStyle name="Warning Text 4 7 2" xfId="22099"/>
    <cellStyle name="Warning Text 4 7 2 2" xfId="22100"/>
    <cellStyle name="Warning Text 4 7 3" xfId="22101"/>
    <cellStyle name="Warning Text 4 7 3 2" xfId="22102"/>
    <cellStyle name="Warning Text 4 7 4" xfId="22103"/>
    <cellStyle name="Warning Text 4 8" xfId="22104"/>
    <cellStyle name="Warning Text 4 8 2" xfId="22105"/>
    <cellStyle name="Warning Text 4 9" xfId="22106"/>
    <cellStyle name="Warning Text 4 9 2" xfId="22107"/>
    <cellStyle name="Warning Text 40 12" xfId="22108"/>
    <cellStyle name="Warning Text 40 10" xfId="22109"/>
    <cellStyle name="Warning Text 40 11" xfId="22110"/>
    <cellStyle name="Warning Text 40 2" xfId="22111"/>
    <cellStyle name="Warning Text 40 2 2" xfId="22112"/>
    <cellStyle name="Warning Text 40 2 2 2" xfId="22113"/>
    <cellStyle name="Warning Text 40 2 3" xfId="22114"/>
    <cellStyle name="Warning Text 40 2 3 2" xfId="22115"/>
    <cellStyle name="Warning Text 40 2 4" xfId="22116"/>
    <cellStyle name="Warning Text 40 2 5" xfId="22117"/>
    <cellStyle name="Warning Text 40 3" xfId="22118"/>
    <cellStyle name="Warning Text 40 3 2" xfId="22119"/>
    <cellStyle name="Warning Text 40 3 2 2" xfId="22120"/>
    <cellStyle name="Warning Text 40 3 3" xfId="22121"/>
    <cellStyle name="Warning Text 40 3 3 2" xfId="22122"/>
    <cellStyle name="Warning Text 40 3 4" xfId="22123"/>
    <cellStyle name="Warning Text 40 4" xfId="22124"/>
    <cellStyle name="Warning Text 40 4 2" xfId="22125"/>
    <cellStyle name="Warning Text 40 4 2 2" xfId="22126"/>
    <cellStyle name="Warning Text 40 4 3" xfId="22127"/>
    <cellStyle name="Warning Text 40 4 3 2" xfId="22128"/>
    <cellStyle name="Warning Text 40 4 4" xfId="22129"/>
    <cellStyle name="Warning Text 40 5" xfId="22130"/>
    <cellStyle name="Warning Text 40 5 2" xfId="22131"/>
    <cellStyle name="Warning Text 40 5 2 2" xfId="22132"/>
    <cellStyle name="Warning Text 40 5 3" xfId="22133"/>
    <cellStyle name="Warning Text 40 5 3 2" xfId="22134"/>
    <cellStyle name="Warning Text 40 5 4" xfId="22135"/>
    <cellStyle name="Warning Text 40 5 4 2" xfId="22136"/>
    <cellStyle name="Warning Text 40 5 5" xfId="22137"/>
    <cellStyle name="Warning Text 40 6" xfId="22138"/>
    <cellStyle name="Warning Text 40 6 2" xfId="22139"/>
    <cellStyle name="Warning Text 40 6 2 2" xfId="22140"/>
    <cellStyle name="Warning Text 40 6 3" xfId="22141"/>
    <cellStyle name="Warning Text 40 6 3 2" xfId="22142"/>
    <cellStyle name="Warning Text 40 6 4" xfId="22143"/>
    <cellStyle name="Warning Text 40 7" xfId="22144"/>
    <cellStyle name="Warning Text 40 7 2" xfId="22145"/>
    <cellStyle name="Warning Text 40 8" xfId="22146"/>
    <cellStyle name="Warning Text 40 8 2" xfId="22147"/>
    <cellStyle name="Warning Text 40 9" xfId="22148"/>
    <cellStyle name="Warning Text 40 9 2" xfId="22149"/>
    <cellStyle name="Warning Text 41 12" xfId="22150"/>
    <cellStyle name="Warning Text 41 10" xfId="22151"/>
    <cellStyle name="Warning Text 41 11" xfId="22152"/>
    <cellStyle name="Warning Text 41 2" xfId="22153"/>
    <cellStyle name="Warning Text 41 2 2" xfId="22154"/>
    <cellStyle name="Warning Text 41 2 2 2" xfId="22155"/>
    <cellStyle name="Warning Text 41 2 3" xfId="22156"/>
    <cellStyle name="Warning Text 41 2 3 2" xfId="22157"/>
    <cellStyle name="Warning Text 41 2 4" xfId="22158"/>
    <cellStyle name="Warning Text 41 2 5" xfId="22159"/>
    <cellStyle name="Warning Text 41 3" xfId="22160"/>
    <cellStyle name="Warning Text 41 3 2" xfId="22161"/>
    <cellStyle name="Warning Text 41 3 2 2" xfId="22162"/>
    <cellStyle name="Warning Text 41 3 3" xfId="22163"/>
    <cellStyle name="Warning Text 41 3 3 2" xfId="22164"/>
    <cellStyle name="Warning Text 41 3 4" xfId="22165"/>
    <cellStyle name="Warning Text 41 4" xfId="22166"/>
    <cellStyle name="Warning Text 41 4 2" xfId="22167"/>
    <cellStyle name="Warning Text 41 4 2 2" xfId="22168"/>
    <cellStyle name="Warning Text 41 4 3" xfId="22169"/>
    <cellStyle name="Warning Text 41 4 3 2" xfId="22170"/>
    <cellStyle name="Warning Text 41 4 4" xfId="22171"/>
    <cellStyle name="Warning Text 41 5" xfId="22172"/>
    <cellStyle name="Warning Text 41 5 2" xfId="22173"/>
    <cellStyle name="Warning Text 41 5 2 2" xfId="22174"/>
    <cellStyle name="Warning Text 41 5 3" xfId="22175"/>
    <cellStyle name="Warning Text 41 5 3 2" xfId="22176"/>
    <cellStyle name="Warning Text 41 5 4" xfId="22177"/>
    <cellStyle name="Warning Text 41 5 4 2" xfId="22178"/>
    <cellStyle name="Warning Text 41 5 5" xfId="22179"/>
    <cellStyle name="Warning Text 41 6" xfId="22180"/>
    <cellStyle name="Warning Text 41 6 2" xfId="22181"/>
    <cellStyle name="Warning Text 41 6 2 2" xfId="22182"/>
    <cellStyle name="Warning Text 41 6 3" xfId="22183"/>
    <cellStyle name="Warning Text 41 6 3 2" xfId="22184"/>
    <cellStyle name="Warning Text 41 6 4" xfId="22185"/>
    <cellStyle name="Warning Text 41 7" xfId="22186"/>
    <cellStyle name="Warning Text 41 7 2" xfId="22187"/>
    <cellStyle name="Warning Text 41 8" xfId="22188"/>
    <cellStyle name="Warning Text 41 8 2" xfId="22189"/>
    <cellStyle name="Warning Text 41 9" xfId="22190"/>
    <cellStyle name="Warning Text 41 9 2" xfId="22191"/>
    <cellStyle name="Warning Text 5 13" xfId="22192"/>
    <cellStyle name="Warning Text 5 10" xfId="22193"/>
    <cellStyle name="Warning Text 5 10 2" xfId="22194"/>
    <cellStyle name="Warning Text 5 11" xfId="22195"/>
    <cellStyle name="Warning Text 5 12" xfId="22196"/>
    <cellStyle name="Warning Text 5 2" xfId="22197"/>
    <cellStyle name="Warning Text 5 2 10" xfId="22198"/>
    <cellStyle name="Warning Text 5 2 2" xfId="22199"/>
    <cellStyle name="Warning Text 5 2 2 2" xfId="22200"/>
    <cellStyle name="Warning Text 5 2 2 2 2" xfId="22201"/>
    <cellStyle name="Warning Text 5 2 2 3" xfId="22202"/>
    <cellStyle name="Warning Text 5 2 2 3 2" xfId="22203"/>
    <cellStyle name="Warning Text 5 2 2 4" xfId="22204"/>
    <cellStyle name="Warning Text 5 2 3" xfId="22205"/>
    <cellStyle name="Warning Text 5 2 3 2" xfId="22206"/>
    <cellStyle name="Warning Text 5 2 3 2 2" xfId="22207"/>
    <cellStyle name="Warning Text 5 2 3 3" xfId="22208"/>
    <cellStyle name="Warning Text 5 2 3 3 2" xfId="22209"/>
    <cellStyle name="Warning Text 5 2 3 4" xfId="22210"/>
    <cellStyle name="Warning Text 5 2 4" xfId="22211"/>
    <cellStyle name="Warning Text 5 2 4 2" xfId="22212"/>
    <cellStyle name="Warning Text 5 2 4 2 2" xfId="22213"/>
    <cellStyle name="Warning Text 5 2 4 3" xfId="22214"/>
    <cellStyle name="Warning Text 5 2 4 3 2" xfId="22215"/>
    <cellStyle name="Warning Text 5 2 4 4" xfId="22216"/>
    <cellStyle name="Warning Text 5 2 4 4 2" xfId="22217"/>
    <cellStyle name="Warning Text 5 2 4 5" xfId="22218"/>
    <cellStyle name="Warning Text 5 2 5" xfId="22219"/>
    <cellStyle name="Warning Text 5 2 5 2" xfId="22220"/>
    <cellStyle name="Warning Text 5 2 5 2 2" xfId="22221"/>
    <cellStyle name="Warning Text 5 2 5 3" xfId="22222"/>
    <cellStyle name="Warning Text 5 2 5 3 2" xfId="22223"/>
    <cellStyle name="Warning Text 5 2 5 4" xfId="22224"/>
    <cellStyle name="Warning Text 5 2 6" xfId="22225"/>
    <cellStyle name="Warning Text 5 2 6 2" xfId="22226"/>
    <cellStyle name="Warning Text 5 2 7" xfId="22227"/>
    <cellStyle name="Warning Text 5 2 7 2" xfId="22228"/>
    <cellStyle name="Warning Text 5 2 8" xfId="22229"/>
    <cellStyle name="Warning Text 5 2 8 2" xfId="22230"/>
    <cellStyle name="Warning Text 5 2 9" xfId="22231"/>
    <cellStyle name="Warning Text 5 3" xfId="22232"/>
    <cellStyle name="Warning Text 5 3 2" xfId="22233"/>
    <cellStyle name="Warning Text 5 3 2 2" xfId="22234"/>
    <cellStyle name="Warning Text 5 3 3" xfId="22235"/>
    <cellStyle name="Warning Text 5 3 3 2" xfId="22236"/>
    <cellStyle name="Warning Text 5 3 4" xfId="22237"/>
    <cellStyle name="Warning Text 5 3 5" xfId="22238"/>
    <cellStyle name="Warning Text 5 4" xfId="22239"/>
    <cellStyle name="Warning Text 5 4 2" xfId="22240"/>
    <cellStyle name="Warning Text 5 4 2 2" xfId="22241"/>
    <cellStyle name="Warning Text 5 4 3" xfId="22242"/>
    <cellStyle name="Warning Text 5 4 3 2" xfId="22243"/>
    <cellStyle name="Warning Text 5 4 4" xfId="22244"/>
    <cellStyle name="Warning Text 5 5" xfId="22245"/>
    <cellStyle name="Warning Text 5 5 2" xfId="22246"/>
    <cellStyle name="Warning Text 5 5 2 2" xfId="22247"/>
    <cellStyle name="Warning Text 5 5 3" xfId="22248"/>
    <cellStyle name="Warning Text 5 5 3 2" xfId="22249"/>
    <cellStyle name="Warning Text 5 5 4" xfId="22250"/>
    <cellStyle name="Warning Text 5 6" xfId="22251"/>
    <cellStyle name="Warning Text 5 6 2" xfId="22252"/>
    <cellStyle name="Warning Text 5 6 2 2" xfId="22253"/>
    <cellStyle name="Warning Text 5 6 3" xfId="22254"/>
    <cellStyle name="Warning Text 5 6 3 2" xfId="22255"/>
    <cellStyle name="Warning Text 5 6 4" xfId="22256"/>
    <cellStyle name="Warning Text 5 6 4 2" xfId="22257"/>
    <cellStyle name="Warning Text 5 6 5" xfId="22258"/>
    <cellStyle name="Warning Text 5 7" xfId="22259"/>
    <cellStyle name="Warning Text 5 7 2" xfId="22260"/>
    <cellStyle name="Warning Text 5 7 2 2" xfId="22261"/>
    <cellStyle name="Warning Text 5 7 3" xfId="22262"/>
    <cellStyle name="Warning Text 5 7 3 2" xfId="22263"/>
    <cellStyle name="Warning Text 5 7 4" xfId="22264"/>
    <cellStyle name="Warning Text 5 8" xfId="22265"/>
    <cellStyle name="Warning Text 5 8 2" xfId="22266"/>
    <cellStyle name="Warning Text 5 9" xfId="22267"/>
    <cellStyle name="Warning Text 5 9 2" xfId="22268"/>
    <cellStyle name="Warning Text 6 13" xfId="22269"/>
    <cellStyle name="Warning Text 6 10" xfId="22270"/>
    <cellStyle name="Warning Text 6 10 2" xfId="22271"/>
    <cellStyle name="Warning Text 6 11" xfId="22272"/>
    <cellStyle name="Warning Text 6 12" xfId="22273"/>
    <cellStyle name="Warning Text 6 2" xfId="22274"/>
    <cellStyle name="Warning Text 6 2 10" xfId="22275"/>
    <cellStyle name="Warning Text 6 2 2" xfId="22276"/>
    <cellStyle name="Warning Text 6 2 2 2" xfId="22277"/>
    <cellStyle name="Warning Text 6 2 2 2 2" xfId="22278"/>
    <cellStyle name="Warning Text 6 2 2 3" xfId="22279"/>
    <cellStyle name="Warning Text 6 2 2 3 2" xfId="22280"/>
    <cellStyle name="Warning Text 6 2 2 4" xfId="22281"/>
    <cellStyle name="Warning Text 6 2 3" xfId="22282"/>
    <cellStyle name="Warning Text 6 2 3 2" xfId="22283"/>
    <cellStyle name="Warning Text 6 2 3 2 2" xfId="22284"/>
    <cellStyle name="Warning Text 6 2 3 3" xfId="22285"/>
    <cellStyle name="Warning Text 6 2 3 3 2" xfId="22286"/>
    <cellStyle name="Warning Text 6 2 3 4" xfId="22287"/>
    <cellStyle name="Warning Text 6 2 4" xfId="22288"/>
    <cellStyle name="Warning Text 6 2 4 2" xfId="22289"/>
    <cellStyle name="Warning Text 6 2 4 2 2" xfId="22290"/>
    <cellStyle name="Warning Text 6 2 4 3" xfId="22291"/>
    <cellStyle name="Warning Text 6 2 4 3 2" xfId="22292"/>
    <cellStyle name="Warning Text 6 2 4 4" xfId="22293"/>
    <cellStyle name="Warning Text 6 2 4 4 2" xfId="22294"/>
    <cellStyle name="Warning Text 6 2 4 5" xfId="22295"/>
    <cellStyle name="Warning Text 6 2 5" xfId="22296"/>
    <cellStyle name="Warning Text 6 2 5 2" xfId="22297"/>
    <cellStyle name="Warning Text 6 2 5 2 2" xfId="22298"/>
    <cellStyle name="Warning Text 6 2 5 3" xfId="22299"/>
    <cellStyle name="Warning Text 6 2 5 3 2" xfId="22300"/>
    <cellStyle name="Warning Text 6 2 5 4" xfId="22301"/>
    <cellStyle name="Warning Text 6 2 6" xfId="22302"/>
    <cellStyle name="Warning Text 6 2 6 2" xfId="22303"/>
    <cellStyle name="Warning Text 6 2 7" xfId="22304"/>
    <cellStyle name="Warning Text 6 2 7 2" xfId="22305"/>
    <cellStyle name="Warning Text 6 2 8" xfId="22306"/>
    <cellStyle name="Warning Text 6 2 8 2" xfId="22307"/>
    <cellStyle name="Warning Text 6 2 9" xfId="22308"/>
    <cellStyle name="Warning Text 6 3" xfId="22309"/>
    <cellStyle name="Warning Text 6 3 2" xfId="22310"/>
    <cellStyle name="Warning Text 6 3 2 2" xfId="22311"/>
    <cellStyle name="Warning Text 6 3 3" xfId="22312"/>
    <cellStyle name="Warning Text 6 3 3 2" xfId="22313"/>
    <cellStyle name="Warning Text 6 3 4" xfId="22314"/>
    <cellStyle name="Warning Text 6 3 5" xfId="22315"/>
    <cellStyle name="Warning Text 6 4" xfId="22316"/>
    <cellStyle name="Warning Text 6 4 2" xfId="22317"/>
    <cellStyle name="Warning Text 6 4 2 2" xfId="22318"/>
    <cellStyle name="Warning Text 6 4 3" xfId="22319"/>
    <cellStyle name="Warning Text 6 4 3 2" xfId="22320"/>
    <cellStyle name="Warning Text 6 4 4" xfId="22321"/>
    <cellStyle name="Warning Text 6 5" xfId="22322"/>
    <cellStyle name="Warning Text 6 5 2" xfId="22323"/>
    <cellStyle name="Warning Text 6 5 2 2" xfId="22324"/>
    <cellStyle name="Warning Text 6 5 3" xfId="22325"/>
    <cellStyle name="Warning Text 6 5 3 2" xfId="22326"/>
    <cellStyle name="Warning Text 6 5 4" xfId="22327"/>
    <cellStyle name="Warning Text 6 6" xfId="22328"/>
    <cellStyle name="Warning Text 6 6 2" xfId="22329"/>
    <cellStyle name="Warning Text 6 6 2 2" xfId="22330"/>
    <cellStyle name="Warning Text 6 6 3" xfId="22331"/>
    <cellStyle name="Warning Text 6 6 3 2" xfId="22332"/>
    <cellStyle name="Warning Text 6 6 4" xfId="22333"/>
    <cellStyle name="Warning Text 6 6 4 2" xfId="22334"/>
    <cellStyle name="Warning Text 6 6 5" xfId="22335"/>
    <cellStyle name="Warning Text 6 7" xfId="22336"/>
    <cellStyle name="Warning Text 6 7 2" xfId="22337"/>
    <cellStyle name="Warning Text 6 7 2 2" xfId="22338"/>
    <cellStyle name="Warning Text 6 7 3" xfId="22339"/>
    <cellStyle name="Warning Text 6 7 3 2" xfId="22340"/>
    <cellStyle name="Warning Text 6 7 4" xfId="22341"/>
    <cellStyle name="Warning Text 6 8" xfId="22342"/>
    <cellStyle name="Warning Text 6 8 2" xfId="22343"/>
    <cellStyle name="Warning Text 6 9" xfId="22344"/>
    <cellStyle name="Warning Text 6 9 2" xfId="22345"/>
    <cellStyle name="Warning Text 7 12" xfId="22346"/>
    <cellStyle name="Warning Text 7 10" xfId="22347"/>
    <cellStyle name="Warning Text 7 11" xfId="22348"/>
    <cellStyle name="Warning Text 7 2" xfId="22349"/>
    <cellStyle name="Warning Text 7 2 2" xfId="22350"/>
    <cellStyle name="Warning Text 7 2 2 2" xfId="22351"/>
    <cellStyle name="Warning Text 7 2 3" xfId="22352"/>
    <cellStyle name="Warning Text 7 2 3 2" xfId="22353"/>
    <cellStyle name="Warning Text 7 2 4" xfId="22354"/>
    <cellStyle name="Warning Text 7 2 5" xfId="22355"/>
    <cellStyle name="Warning Text 7 3" xfId="22356"/>
    <cellStyle name="Warning Text 7 3 2" xfId="22357"/>
    <cellStyle name="Warning Text 7 3 2 2" xfId="22358"/>
    <cellStyle name="Warning Text 7 3 3" xfId="22359"/>
    <cellStyle name="Warning Text 7 3 3 2" xfId="22360"/>
    <cellStyle name="Warning Text 7 3 4" xfId="22361"/>
    <cellStyle name="Warning Text 7 4" xfId="22362"/>
    <cellStyle name="Warning Text 7 4 2" xfId="22363"/>
    <cellStyle name="Warning Text 7 4 2 2" xfId="22364"/>
    <cellStyle name="Warning Text 7 4 3" xfId="22365"/>
    <cellStyle name="Warning Text 7 4 3 2" xfId="22366"/>
    <cellStyle name="Warning Text 7 4 4" xfId="22367"/>
    <cellStyle name="Warning Text 7 5" xfId="22368"/>
    <cellStyle name="Warning Text 7 5 2" xfId="22369"/>
    <cellStyle name="Warning Text 7 5 2 2" xfId="22370"/>
    <cellStyle name="Warning Text 7 5 3" xfId="22371"/>
    <cellStyle name="Warning Text 7 5 3 2" xfId="22372"/>
    <cellStyle name="Warning Text 7 5 4" xfId="22373"/>
    <cellStyle name="Warning Text 7 5 4 2" xfId="22374"/>
    <cellStyle name="Warning Text 7 5 5" xfId="22375"/>
    <cellStyle name="Warning Text 7 6" xfId="22376"/>
    <cellStyle name="Warning Text 7 6 2" xfId="22377"/>
    <cellStyle name="Warning Text 7 6 2 2" xfId="22378"/>
    <cellStyle name="Warning Text 7 6 3" xfId="22379"/>
    <cellStyle name="Warning Text 7 6 3 2" xfId="22380"/>
    <cellStyle name="Warning Text 7 6 4" xfId="22381"/>
    <cellStyle name="Warning Text 7 7" xfId="22382"/>
    <cellStyle name="Warning Text 7 7 2" xfId="22383"/>
    <cellStyle name="Warning Text 7 8" xfId="22384"/>
    <cellStyle name="Warning Text 7 8 2" xfId="22385"/>
    <cellStyle name="Warning Text 7 9" xfId="22386"/>
    <cellStyle name="Warning Text 7 9 2" xfId="22387"/>
    <cellStyle name="Warning Text 8 12" xfId="22388"/>
    <cellStyle name="Warning Text 8 10" xfId="22389"/>
    <cellStyle name="Warning Text 8 11" xfId="22390"/>
    <cellStyle name="Warning Text 8 2" xfId="22391"/>
    <cellStyle name="Warning Text 8 2 2" xfId="22392"/>
    <cellStyle name="Warning Text 8 2 2 2" xfId="22393"/>
    <cellStyle name="Warning Text 8 2 3" xfId="22394"/>
    <cellStyle name="Warning Text 8 2 3 2" xfId="22395"/>
    <cellStyle name="Warning Text 8 2 4" xfId="22396"/>
    <cellStyle name="Warning Text 8 2 5" xfId="22397"/>
    <cellStyle name="Warning Text 8 3" xfId="22398"/>
    <cellStyle name="Warning Text 8 3 2" xfId="22399"/>
    <cellStyle name="Warning Text 8 3 2 2" xfId="22400"/>
    <cellStyle name="Warning Text 8 3 3" xfId="22401"/>
    <cellStyle name="Warning Text 8 3 3 2" xfId="22402"/>
    <cellStyle name="Warning Text 8 3 4" xfId="22403"/>
    <cellStyle name="Warning Text 8 4" xfId="22404"/>
    <cellStyle name="Warning Text 8 4 2" xfId="22405"/>
    <cellStyle name="Warning Text 8 4 2 2" xfId="22406"/>
    <cellStyle name="Warning Text 8 4 3" xfId="22407"/>
    <cellStyle name="Warning Text 8 4 3 2" xfId="22408"/>
    <cellStyle name="Warning Text 8 4 4" xfId="22409"/>
    <cellStyle name="Warning Text 8 5" xfId="22410"/>
    <cellStyle name="Warning Text 8 5 2" xfId="22411"/>
    <cellStyle name="Warning Text 8 5 2 2" xfId="22412"/>
    <cellStyle name="Warning Text 8 5 3" xfId="22413"/>
    <cellStyle name="Warning Text 8 5 3 2" xfId="22414"/>
    <cellStyle name="Warning Text 8 5 4" xfId="22415"/>
    <cellStyle name="Warning Text 8 5 4 2" xfId="22416"/>
    <cellStyle name="Warning Text 8 5 5" xfId="22417"/>
    <cellStyle name="Warning Text 8 6" xfId="22418"/>
    <cellStyle name="Warning Text 8 6 2" xfId="22419"/>
    <cellStyle name="Warning Text 8 6 2 2" xfId="22420"/>
    <cellStyle name="Warning Text 8 6 3" xfId="22421"/>
    <cellStyle name="Warning Text 8 6 3 2" xfId="22422"/>
    <cellStyle name="Warning Text 8 6 4" xfId="22423"/>
    <cellStyle name="Warning Text 8 7" xfId="22424"/>
    <cellStyle name="Warning Text 8 7 2" xfId="22425"/>
    <cellStyle name="Warning Text 8 8" xfId="22426"/>
    <cellStyle name="Warning Text 8 8 2" xfId="22427"/>
    <cellStyle name="Warning Text 8 9" xfId="22428"/>
    <cellStyle name="Warning Text 8 9 2" xfId="22429"/>
    <cellStyle name="Warning Text 9 12" xfId="22430"/>
    <cellStyle name="Warning Text 9 10" xfId="22431"/>
    <cellStyle name="Warning Text 9 11" xfId="22432"/>
    <cellStyle name="Warning Text 9 2" xfId="22433"/>
    <cellStyle name="Warning Text 9 2 2" xfId="22434"/>
    <cellStyle name="Warning Text 9 2 2 2" xfId="22435"/>
    <cellStyle name="Warning Text 9 2 3" xfId="22436"/>
    <cellStyle name="Warning Text 9 2 3 2" xfId="22437"/>
    <cellStyle name="Warning Text 9 2 4" xfId="22438"/>
    <cellStyle name="Warning Text 9 2 5" xfId="22439"/>
    <cellStyle name="Warning Text 9 3" xfId="22440"/>
    <cellStyle name="Warning Text 9 3 2" xfId="22441"/>
    <cellStyle name="Warning Text 9 3 2 2" xfId="22442"/>
    <cellStyle name="Warning Text 9 3 3" xfId="22443"/>
    <cellStyle name="Warning Text 9 3 3 2" xfId="22444"/>
    <cellStyle name="Warning Text 9 3 4" xfId="22445"/>
    <cellStyle name="Warning Text 9 4" xfId="22446"/>
    <cellStyle name="Warning Text 9 4 2" xfId="22447"/>
    <cellStyle name="Warning Text 9 4 2 2" xfId="22448"/>
    <cellStyle name="Warning Text 9 4 3" xfId="22449"/>
    <cellStyle name="Warning Text 9 4 3 2" xfId="22450"/>
    <cellStyle name="Warning Text 9 4 4" xfId="22451"/>
    <cellStyle name="Warning Text 9 5" xfId="22452"/>
    <cellStyle name="Warning Text 9 5 2" xfId="22453"/>
    <cellStyle name="Warning Text 9 5 2 2" xfId="22454"/>
    <cellStyle name="Warning Text 9 5 3" xfId="22455"/>
    <cellStyle name="Warning Text 9 5 3 2" xfId="22456"/>
    <cellStyle name="Warning Text 9 5 4" xfId="22457"/>
    <cellStyle name="Warning Text 9 5 4 2" xfId="22458"/>
    <cellStyle name="Warning Text 9 5 5" xfId="22459"/>
    <cellStyle name="Warning Text 9 6" xfId="22460"/>
    <cellStyle name="Warning Text 9 6 2" xfId="22461"/>
    <cellStyle name="Warning Text 9 6 2 2" xfId="22462"/>
    <cellStyle name="Warning Text 9 6 3" xfId="22463"/>
    <cellStyle name="Warning Text 9 6 3 2" xfId="22464"/>
    <cellStyle name="Warning Text 9 6 4" xfId="22465"/>
    <cellStyle name="Warning Text 9 7" xfId="22466"/>
    <cellStyle name="Warning Text 9 7 2" xfId="22467"/>
    <cellStyle name="Warning Text 9 8" xfId="22468"/>
    <cellStyle name="Warning Text 9 8 2" xfId="22469"/>
    <cellStyle name="Warning Text 9 9" xfId="22470"/>
    <cellStyle name="Warning Text 9 9 2" xfId="22471"/>
    <cellStyle name="Zelle überprüfen 12" xfId="22472"/>
    <cellStyle name="Zelle überprüfen 10" xfId="22473"/>
    <cellStyle name="Zelle überprüfen 11" xfId="22474"/>
    <cellStyle name="Zelle überprüfen 2" xfId="22475"/>
    <cellStyle name="Zelle überprüfen 2 2" xfId="22476"/>
    <cellStyle name="Zelle überprüfen 2 2 2" xfId="22477"/>
    <cellStyle name="Zelle überprüfen 2 3" xfId="22478"/>
    <cellStyle name="Zelle überprüfen 2 3 2" xfId="22479"/>
    <cellStyle name="Zelle überprüfen 2 4" xfId="22480"/>
    <cellStyle name="Zelle überprüfen 2 5" xfId="22481"/>
    <cellStyle name="Zelle überprüfen 3" xfId="22482"/>
    <cellStyle name="Zelle überprüfen 3 2" xfId="22483"/>
    <cellStyle name="Zelle überprüfen 3 2 2" xfId="22484"/>
    <cellStyle name="Zelle überprüfen 3 3" xfId="22485"/>
    <cellStyle name="Zelle überprüfen 3 3 2" xfId="22486"/>
    <cellStyle name="Zelle überprüfen 3 4" xfId="22487"/>
    <cellStyle name="Zelle überprüfen 4" xfId="22488"/>
    <cellStyle name="Zelle überprüfen 4 2" xfId="22489"/>
    <cellStyle name="Zelle überprüfen 4 2 2" xfId="22490"/>
    <cellStyle name="Zelle überprüfen 4 3" xfId="22491"/>
    <cellStyle name="Zelle überprüfen 4 3 2" xfId="22492"/>
    <cellStyle name="Zelle überprüfen 4 4" xfId="22493"/>
    <cellStyle name="Zelle überprüfen 5" xfId="22494"/>
    <cellStyle name="Zelle überprüfen 5 2" xfId="22495"/>
    <cellStyle name="Zelle überprüfen 5 2 2" xfId="22496"/>
    <cellStyle name="Zelle überprüfen 5 3" xfId="22497"/>
    <cellStyle name="Zelle überprüfen 5 3 2" xfId="22498"/>
    <cellStyle name="Zelle überprüfen 5 4" xfId="22499"/>
    <cellStyle name="Zelle überprüfen 5 4 2" xfId="22500"/>
    <cellStyle name="Zelle überprüfen 5 5" xfId="22501"/>
    <cellStyle name="Zelle überprüfen 6" xfId="22502"/>
    <cellStyle name="Zelle überprüfen 6 2" xfId="22503"/>
    <cellStyle name="Zelle überprüfen 6 2 2" xfId="22504"/>
    <cellStyle name="Zelle überprüfen 6 3" xfId="22505"/>
    <cellStyle name="Zelle überprüfen 6 3 2" xfId="22506"/>
    <cellStyle name="Zelle überprüfen 6 4" xfId="22507"/>
    <cellStyle name="Zelle überprüfen 7" xfId="22508"/>
    <cellStyle name="Zelle überprüfen 7 2" xfId="22509"/>
    <cellStyle name="Zelle überprüfen 8" xfId="22510"/>
    <cellStyle name="Zelle überprüfen 8 2" xfId="22511"/>
    <cellStyle name="Zelle überprüfen 9" xfId="22512"/>
    <cellStyle name="Zelle überprüfen 9 2" xfId="22513"/>
    <cellStyle name="Гиперссылка 12" xfId="22514"/>
    <cellStyle name="Гиперссылка 10" xfId="22515"/>
    <cellStyle name="Гиперссылка 11" xfId="22516"/>
    <cellStyle name="Гиперссылка 2" xfId="22517"/>
    <cellStyle name="Гиперссылка 2 2" xfId="22518"/>
    <cellStyle name="Гиперссылка 2 2 2" xfId="22519"/>
    <cellStyle name="Гиперссылка 2 3" xfId="22520"/>
    <cellStyle name="Гиперссылка 2 3 2" xfId="22521"/>
    <cellStyle name="Гиперссылка 2 4" xfId="22522"/>
    <cellStyle name="Гиперссылка 2 5" xfId="22523"/>
    <cellStyle name="Гиперссылка 3" xfId="22524"/>
    <cellStyle name="Гиперссылка 3 2" xfId="22525"/>
    <cellStyle name="Гиперссылка 3 2 2" xfId="22526"/>
    <cellStyle name="Гиперссылка 3 3" xfId="22527"/>
    <cellStyle name="Гиперссылка 3 3 2" xfId="22528"/>
    <cellStyle name="Гиперссылка 3 4" xfId="22529"/>
    <cellStyle name="Гиперссылка 4" xfId="22530"/>
    <cellStyle name="Гиперссылка 4 2" xfId="22531"/>
    <cellStyle name="Гиперссылка 4 2 2" xfId="22532"/>
    <cellStyle name="Гиперссылка 4 3" xfId="22533"/>
    <cellStyle name="Гиперссылка 4 3 2" xfId="22534"/>
    <cellStyle name="Гиперссылка 4 4" xfId="22535"/>
    <cellStyle name="Гиперссылка 5" xfId="22536"/>
    <cellStyle name="Гиперссылка 5 2" xfId="22537"/>
    <cellStyle name="Гиперссылка 5 2 2" xfId="22538"/>
    <cellStyle name="Гиперссылка 5 3" xfId="22539"/>
    <cellStyle name="Гиперссылка 5 3 2" xfId="22540"/>
    <cellStyle name="Гиперссылка 5 4" xfId="22541"/>
    <cellStyle name="Гиперссылка 5 4 2" xfId="22542"/>
    <cellStyle name="Гиперссылка 5 5" xfId="22543"/>
    <cellStyle name="Гиперссылка 6" xfId="22544"/>
    <cellStyle name="Гиперссылка 6 2" xfId="22545"/>
    <cellStyle name="Гиперссылка 6 2 2" xfId="22546"/>
    <cellStyle name="Гиперссылка 6 3" xfId="22547"/>
    <cellStyle name="Гиперссылка 6 3 2" xfId="22548"/>
    <cellStyle name="Гиперссылка 6 4" xfId="22549"/>
    <cellStyle name="Гиперссылка 7" xfId="22550"/>
    <cellStyle name="Гиперссылка 7 2" xfId="22551"/>
    <cellStyle name="Гиперссылка 8" xfId="22552"/>
    <cellStyle name="Гиперссылка 8 2" xfId="22553"/>
    <cellStyle name="Гиперссылка 9" xfId="22554"/>
    <cellStyle name="Гиперссылка 9 2" xfId="22555"/>
    <cellStyle name="已访问的超链接 12" xfId="22556"/>
    <cellStyle name="已访问的超链接 10" xfId="22557"/>
    <cellStyle name="已访问的超链接 11" xfId="22558"/>
    <cellStyle name="已访问的超链接 2" xfId="22559"/>
    <cellStyle name="已访问的超链接 2 2" xfId="22560"/>
    <cellStyle name="已访问的超链接 2 2 2" xfId="22561"/>
    <cellStyle name="已访问的超链接 2 3" xfId="22562"/>
    <cellStyle name="已访问的超链接 2 3 2" xfId="22563"/>
    <cellStyle name="已访问的超链接 2 4" xfId="22564"/>
    <cellStyle name="已访问的超链接 2 5" xfId="22565"/>
    <cellStyle name="已访问的超链接 3" xfId="22566"/>
    <cellStyle name="已访问的超链接 3 2" xfId="22567"/>
    <cellStyle name="已访问的超链接 3 2 2" xfId="22568"/>
    <cellStyle name="已访问的超链接 3 3" xfId="22569"/>
    <cellStyle name="已访问的超链接 3 3 2" xfId="22570"/>
    <cellStyle name="已访问的超链接 3 4" xfId="22571"/>
    <cellStyle name="已访问的超链接 4" xfId="22572"/>
    <cellStyle name="已访问的超链接 4 2" xfId="22573"/>
    <cellStyle name="已访问的超链接 4 2 2" xfId="22574"/>
    <cellStyle name="已访问的超链接 4 3" xfId="22575"/>
    <cellStyle name="已访问的超链接 4 3 2" xfId="22576"/>
    <cellStyle name="已访问的超链接 4 4" xfId="22577"/>
    <cellStyle name="已访问的超链接 5" xfId="22578"/>
    <cellStyle name="已访问的超链接 5 2" xfId="22579"/>
    <cellStyle name="已访问的超链接 5 2 2" xfId="22580"/>
    <cellStyle name="已访问的超链接 5 3" xfId="22581"/>
    <cellStyle name="已访问的超链接 5 3 2" xfId="22582"/>
    <cellStyle name="已访问的超链接 5 4" xfId="22583"/>
    <cellStyle name="已访问的超链接 5 4 2" xfId="22584"/>
    <cellStyle name="已访问的超链接 5 5" xfId="22585"/>
    <cellStyle name="已访问的超链接 6" xfId="22586"/>
    <cellStyle name="已访问的超链接 6 2" xfId="22587"/>
    <cellStyle name="已访问的超链接 6 2 2" xfId="22588"/>
    <cellStyle name="已访问的超链接 6 3" xfId="22589"/>
    <cellStyle name="已访问的超链接 6 3 2" xfId="22590"/>
    <cellStyle name="已访问的超链接 6 4" xfId="22591"/>
    <cellStyle name="已访问的超链接 7" xfId="22592"/>
    <cellStyle name="已访问的超链接 7 2" xfId="22593"/>
    <cellStyle name="已访问的超链接 8" xfId="22594"/>
    <cellStyle name="已访问的超链接 8 2" xfId="22595"/>
    <cellStyle name="已访问的超链接 9" xfId="22596"/>
    <cellStyle name="已访问的超链接 9 2" xfId="22597"/>
    <cellStyle name="Percent 24" xfId="22598"/>
    <cellStyle name="Normal 39 2" xfId="22599"/>
    <cellStyle name="20% - Accent1 3 2 2 3" xfId="22600"/>
    <cellStyle name="20% - Accent1 3 2 2 2" xfId="22601"/>
    <cellStyle name="20% - Accent1 44" xfId="22602"/>
    <cellStyle name="20% - Accent2 3 2 2 3" xfId="22603"/>
    <cellStyle name="20% - Accent2 3 2 2 2" xfId="22604"/>
    <cellStyle name="20% - Accent2 44" xfId="22605"/>
    <cellStyle name="20% - Accent3 3 2 2 3" xfId="22606"/>
    <cellStyle name="20% - Accent3 3 2 2 2" xfId="22607"/>
    <cellStyle name="20% - Accent3 44" xfId="22608"/>
    <cellStyle name="20% - Accent4 3 2 2 3" xfId="22609"/>
    <cellStyle name="20% - Accent4 3 2 2 2" xfId="22610"/>
    <cellStyle name="20% - Accent4 44" xfId="22611"/>
    <cellStyle name="20% - Accent5 44" xfId="22612"/>
    <cellStyle name="20% - Accent6 3 2 2 3" xfId="22613"/>
    <cellStyle name="20% - Accent6 3 2 2 2" xfId="22614"/>
    <cellStyle name="20% - Accent6 44 3" xfId="22615"/>
    <cellStyle name="20% - Accent6 44 2 2" xfId="22616"/>
    <cellStyle name="20% - Accent6 45" xfId="22617"/>
    <cellStyle name="40% - Accent1 3 2 2 3" xfId="22618"/>
    <cellStyle name="40% - Accent1 3 2 2 2" xfId="22619"/>
    <cellStyle name="40% - Accent1 44" xfId="22620"/>
    <cellStyle name="40% - Accent2 44" xfId="22621"/>
    <cellStyle name="40% - Accent3 3 2 2 3" xfId="22622"/>
    <cellStyle name="40% - Accent3 3 2 2 2" xfId="22623"/>
    <cellStyle name="40% - Accent3 44" xfId="22624"/>
    <cellStyle name="40% - Accent4 3 2 2 3" xfId="22625"/>
    <cellStyle name="40% - Accent4 3 2 2 2" xfId="22626"/>
    <cellStyle name="40% - Accent4 44" xfId="22627"/>
    <cellStyle name="40% - Accent5 3 2 2 3" xfId="22628"/>
    <cellStyle name="40% - Accent5 3 2 2 2" xfId="22629"/>
    <cellStyle name="40% - Accent5 44" xfId="22630"/>
    <cellStyle name="40% - Accent6 3 2 2 3" xfId="22631"/>
    <cellStyle name="40% - Accent6 3 2 2 2" xfId="22632"/>
    <cellStyle name="40% - Accent6 44" xfId="22633"/>
    <cellStyle name="60% - Accent1 3 2 2 3" xfId="22634"/>
    <cellStyle name="60% - Accent1 3 2 2 2" xfId="22635"/>
    <cellStyle name="60% - Accent1 44" xfId="22636"/>
    <cellStyle name="60% - Accent2 3 2 2 3" xfId="22637"/>
    <cellStyle name="60% - Accent2 3 2 2 2" xfId="22638"/>
    <cellStyle name="60% - Accent2 44" xfId="22639"/>
    <cellStyle name="60% - Accent3 3 2 2 3" xfId="22640"/>
    <cellStyle name="60% - Accent3 3 2 2 2" xfId="22641"/>
    <cellStyle name="60% - Accent3 44" xfId="22642"/>
    <cellStyle name="60% - Accent4 3 2 2 3" xfId="22643"/>
    <cellStyle name="60% - Accent4 3 2 2 2" xfId="22644"/>
    <cellStyle name="60% - Accent4 44" xfId="22645"/>
    <cellStyle name="60% - Accent5 3 2 2 3" xfId="22646"/>
    <cellStyle name="60% - Accent5 3 2 2 2" xfId="22647"/>
    <cellStyle name="60% - Accent5 44" xfId="22648"/>
    <cellStyle name="60% - Accent6 3 2 2 3" xfId="22649"/>
    <cellStyle name="60% - Accent6 3 2 2 2" xfId="22650"/>
    <cellStyle name="60% - Accent6 44" xfId="22651"/>
    <cellStyle name="Accent1 3 2 2 3" xfId="22652"/>
    <cellStyle name="Accent1 3 2 2 2" xfId="22653"/>
    <cellStyle name="Accent1 44" xfId="22654"/>
    <cellStyle name="Accent2 3 2 2 3" xfId="22655"/>
    <cellStyle name="Accent2 3 2 2 2" xfId="22656"/>
    <cellStyle name="Accent2 44" xfId="22657"/>
    <cellStyle name="Accent3 3 2 2 3" xfId="22658"/>
    <cellStyle name="Accent3 3 2 2 2" xfId="22659"/>
    <cellStyle name="Accent3 44" xfId="22660"/>
    <cellStyle name="Accent4 3 2 2 3" xfId="22661"/>
    <cellStyle name="Accent4 3 2 2 2" xfId="22662"/>
    <cellStyle name="Accent4 44" xfId="22663"/>
    <cellStyle name="Accent5 44" xfId="22664"/>
    <cellStyle name="Accent6 3 2 2 3" xfId="22665"/>
    <cellStyle name="Accent6 3 2 2 2" xfId="22666"/>
    <cellStyle name="Accent6 44" xfId="22667"/>
    <cellStyle name="Bad 3 2 2 3" xfId="22668"/>
    <cellStyle name="Bad 3 2 2 2" xfId="22669"/>
    <cellStyle name="Bad 45" xfId="22670"/>
    <cellStyle name="Bad 46" xfId="22671"/>
    <cellStyle name="Calculation 3 2 2 3" xfId="22672"/>
    <cellStyle name="Calculation 3 2 2 2" xfId="22673"/>
    <cellStyle name="Calculation 44" xfId="22674"/>
    <cellStyle name="Check Cell 44" xfId="22675"/>
    <cellStyle name="Comma 10 10 4" xfId="22676"/>
    <cellStyle name="Comma 2 13 3" xfId="22677"/>
    <cellStyle name="Comma 2 19 3 4" xfId="22678"/>
    <cellStyle name="Comma 2 23" xfId="22679"/>
    <cellStyle name="Comma 2 23 2" xfId="22680"/>
    <cellStyle name="Comma 2 24" xfId="22681"/>
    <cellStyle name="Comma 2 3 2 6 2" xfId="22682"/>
    <cellStyle name="Comma 2 4 2 2 2" xfId="22683"/>
    <cellStyle name="Comma 2 4 2 3 2" xfId="22684"/>
    <cellStyle name="Comma 2 4 3 2 2" xfId="22685"/>
    <cellStyle name="Comma 2 4 6 2 3" xfId="22686"/>
    <cellStyle name="Comma 2 4 6 2 2" xfId="22687"/>
    <cellStyle name="Comma 2 4 8" xfId="22688"/>
    <cellStyle name="Comma 2 4 9" xfId="22689"/>
    <cellStyle name="Comma 2 8 4 2 3" xfId="22690"/>
    <cellStyle name="Comma 2 8 4 2 2" xfId="22691"/>
    <cellStyle name="Comma 2 9 2 2 3" xfId="22692"/>
    <cellStyle name="Comma 2 9 2 2 2" xfId="22693"/>
    <cellStyle name="Comma 3 12" xfId="22694"/>
    <cellStyle name="Comma 3 2 2 2 3" xfId="22695"/>
    <cellStyle name="Comma 3 2 2 2 2" xfId="22696"/>
    <cellStyle name="Comma 3 2 4" xfId="22697"/>
    <cellStyle name="Comma 3 3 2 2 3" xfId="22698"/>
    <cellStyle name="Comma 3 3 2 2 2" xfId="22699"/>
    <cellStyle name="Comma 3 3 3 2" xfId="22700"/>
    <cellStyle name="Comma 3 3 5" xfId="22701"/>
    <cellStyle name="Comma 3 4 3" xfId="22702"/>
    <cellStyle name="Comma 4 10" xfId="22703"/>
    <cellStyle name="Comma 4 2 3" xfId="22704"/>
    <cellStyle name="Currency 2 4 2" xfId="22705"/>
    <cellStyle name="Euro 2 2 4 3" xfId="22706"/>
    <cellStyle name="Euro 2 4 3 4" xfId="22707"/>
    <cellStyle name="Euro 4 4 2 2 3" xfId="22708"/>
    <cellStyle name="Euro 4 4 2 2 2" xfId="22709"/>
    <cellStyle name="Euro 5 6" xfId="22710"/>
    <cellStyle name="Euro 58 3 4" xfId="22711"/>
    <cellStyle name="Euro 61" xfId="22712"/>
    <cellStyle name="Explanatory Text 44" xfId="22713"/>
    <cellStyle name="Good 2 12 2" xfId="22714"/>
    <cellStyle name="Good 2 12 3" xfId="22715"/>
    <cellStyle name="Good 2 2 2 2 3" xfId="22716"/>
    <cellStyle name="Good 2 2 2 2 2" xfId="22717"/>
    <cellStyle name="Good 2 3 3" xfId="22718"/>
    <cellStyle name="Good 3 2 2 3" xfId="22719"/>
    <cellStyle name="Good 3 2 2 2" xfId="22720"/>
    <cellStyle name="Good 43" xfId="22721"/>
    <cellStyle name="Good 5 3 2" xfId="22722"/>
    <cellStyle name="Heading 1 3 2 2 3" xfId="22723"/>
    <cellStyle name="Heading 1 3 2 2 2" xfId="22724"/>
    <cellStyle name="Heading 1 42" xfId="22725"/>
    <cellStyle name="Heading 2 3 2 2 3" xfId="22726"/>
    <cellStyle name="Heading 2 3 2 2 2" xfId="22727"/>
    <cellStyle name="Heading 2 42" xfId="22728"/>
    <cellStyle name="Heading 3 3 2 2 3" xfId="22729"/>
    <cellStyle name="Heading 3 3 2 2 2" xfId="22730"/>
    <cellStyle name="Heading 3 42" xfId="22731"/>
    <cellStyle name="Heading 4 3 2 2 3" xfId="22732"/>
    <cellStyle name="Heading 4 3 2 2 2" xfId="22733"/>
    <cellStyle name="Heading 4 42" xfId="22734"/>
    <cellStyle name="Input 2 12 2" xfId="22735"/>
    <cellStyle name="Input 2 12 3" xfId="22736"/>
    <cellStyle name="Input 2 3 2 2 3" xfId="22737"/>
    <cellStyle name="Input 2 3 2 2 2" xfId="22738"/>
    <cellStyle name="Input 2 3 3" xfId="22739"/>
    <cellStyle name="Input 3 3 2 3" xfId="22740"/>
    <cellStyle name="Input 3 3 2 2" xfId="22741"/>
    <cellStyle name="Input 3 5" xfId="22742"/>
    <cellStyle name="Linked Cell 3 2 2 3" xfId="22743"/>
    <cellStyle name="Linked Cell 3 2 2 2" xfId="22744"/>
    <cellStyle name="Linked Cell 42" xfId="22745"/>
    <cellStyle name="Neutral 3 3 2 3" xfId="22746"/>
    <cellStyle name="Neutral 3 3 2 2" xfId="22747"/>
    <cellStyle name="Neutral 44" xfId="22748"/>
    <cellStyle name="Normal 10 2 7" xfId="22749"/>
    <cellStyle name="Normal 10 2 2 2 2 3" xfId="22750"/>
    <cellStyle name="Normal 10 2 2 2 2 2" xfId="22751"/>
    <cellStyle name="Normal 10 2 2 3" xfId="22752"/>
    <cellStyle name="Normal 10 2 3 2" xfId="22753"/>
    <cellStyle name="Normal 10 2 5 2" xfId="22754"/>
    <cellStyle name="Normal 11 10" xfId="22755"/>
    <cellStyle name="Normal 11 5 4" xfId="22756"/>
    <cellStyle name="Normal 11 5 3 2" xfId="22757"/>
    <cellStyle name="Normal 11 9 2" xfId="22758"/>
    <cellStyle name="Normal 13 10 4" xfId="22759"/>
    <cellStyle name="Normal 13 10 2 2" xfId="22760"/>
    <cellStyle name="Normal 13 11 3" xfId="22761"/>
    <cellStyle name="Normal 13 11 2 2" xfId="22762"/>
    <cellStyle name="Normal 13 13 3" xfId="22763"/>
    <cellStyle name="Normal 13 13 2 2" xfId="22764"/>
    <cellStyle name="Normal 13 14 3" xfId="22765"/>
    <cellStyle name="Normal 13 14 2 2" xfId="22766"/>
    <cellStyle name="Normal 13 15 3" xfId="22767"/>
    <cellStyle name="Normal 13 15 2 2" xfId="22768"/>
    <cellStyle name="Normal 13 16 3" xfId="22769"/>
    <cellStyle name="Normal 13 16 2 2" xfId="22770"/>
    <cellStyle name="Normal 13 2 2 3" xfId="22771"/>
    <cellStyle name="Normal 13 2 2 2 2" xfId="22772"/>
    <cellStyle name="Normal 13 2 3 3" xfId="22773"/>
    <cellStyle name="Normal 13 2 3 2 2" xfId="22774"/>
    <cellStyle name="Normal 13 2 4 3" xfId="22775"/>
    <cellStyle name="Normal 13 2 4 2 2" xfId="22776"/>
    <cellStyle name="Normal 13 2 5 3" xfId="22777"/>
    <cellStyle name="Normal 13 2 5 2 2" xfId="22778"/>
    <cellStyle name="Normal 13 2 6 3" xfId="22779"/>
    <cellStyle name="Normal 13 2 6 2 2" xfId="22780"/>
    <cellStyle name="Normal 13 2 7 3" xfId="22781"/>
    <cellStyle name="Normal 13 2 7 2 2" xfId="22782"/>
    <cellStyle name="Normal 13 2 8 3" xfId="22783"/>
    <cellStyle name="Normal 13 2 8 2 2" xfId="22784"/>
    <cellStyle name="Normal 13 3 2 3" xfId="22785"/>
    <cellStyle name="Normal 13 3 2 2 2" xfId="22786"/>
    <cellStyle name="Normal 13 4 4" xfId="22787"/>
    <cellStyle name="Normal 13 4 2 2" xfId="22788"/>
    <cellStyle name="Normal 13 4 3 2" xfId="22789"/>
    <cellStyle name="Normal 13 9 3" xfId="22790"/>
    <cellStyle name="Normal 13 9 2 2" xfId="22791"/>
    <cellStyle name="Normal 14 10 3" xfId="22792"/>
    <cellStyle name="Normal 14 10 2 2" xfId="22793"/>
    <cellStyle name="Normal 14 11 3" xfId="22794"/>
    <cellStyle name="Normal 14 11 2 2" xfId="22795"/>
    <cellStyle name="Normal 14 12 3" xfId="22796"/>
    <cellStyle name="Normal 14 12 2 2" xfId="22797"/>
    <cellStyle name="Normal 14 13 3" xfId="22798"/>
    <cellStyle name="Normal 14 13 2 2" xfId="22799"/>
    <cellStyle name="Normal 14 14 3" xfId="22800"/>
    <cellStyle name="Normal 14 14 2 2" xfId="22801"/>
    <cellStyle name="Normal 14 15 3" xfId="22802"/>
    <cellStyle name="Normal 14 15 2 2" xfId="22803"/>
    <cellStyle name="Normal 14 2 8 3" xfId="22804"/>
    <cellStyle name="Normal 14 2 8 2 2" xfId="22805"/>
    <cellStyle name="Normal 14 4 3" xfId="22806"/>
    <cellStyle name="Normal 14 4 2 2" xfId="22807"/>
    <cellStyle name="Normal 14 5 3" xfId="22808"/>
    <cellStyle name="Normal 14 5 2 2" xfId="22809"/>
    <cellStyle name="Normal 16 7 3" xfId="22810"/>
    <cellStyle name="Normal 16 7 2 2" xfId="22811"/>
    <cellStyle name="Normal 17 14 3" xfId="22812"/>
    <cellStyle name="Normal 17 14 2 2" xfId="22813"/>
    <cellStyle name="Normal 18 3 3" xfId="22814"/>
    <cellStyle name="Normal 18 3 2 2" xfId="22815"/>
    <cellStyle name="Normal 2 10 3" xfId="22816"/>
    <cellStyle name="Normal 2 18 2 3" xfId="22817"/>
    <cellStyle name="Normal 2 18 2 2 2" xfId="22818"/>
    <cellStyle name="Normal 2 2 10 3" xfId="22819"/>
    <cellStyle name="Normal 2 2 10 2 2" xfId="22820"/>
    <cellStyle name="Normal 2 2 11 3" xfId="22821"/>
    <cellStyle name="Normal 2 2 11 2 2" xfId="22822"/>
    <cellStyle name="Normal 2 2 12 3" xfId="22823"/>
    <cellStyle name="Normal 2 2 12 2 2" xfId="22824"/>
    <cellStyle name="Normal 2 2 13 3" xfId="22825"/>
    <cellStyle name="Normal 2 2 13 2 2" xfId="22826"/>
    <cellStyle name="Normal 2 2 15 2" xfId="22827"/>
    <cellStyle name="Normal 2 2 2 3 2 2" xfId="22828"/>
    <cellStyle name="Normal 2 2 2 5 2" xfId="22829"/>
    <cellStyle name="Normal 2 2 2 6 2" xfId="22830"/>
    <cellStyle name="Normal 2 2 3 2 3" xfId="22831"/>
    <cellStyle name="Normal 2 2 3 2 2 2" xfId="22832"/>
    <cellStyle name="Normal 2 2 4 2 2 2" xfId="22833"/>
    <cellStyle name="Normal 2 2 4 3 2" xfId="22834"/>
    <cellStyle name="Normal 2 2 5 2 3" xfId="22835"/>
    <cellStyle name="Normal 2 2 5 2 2 2" xfId="22836"/>
    <cellStyle name="Normal 2 2 5 3 2" xfId="22837"/>
    <cellStyle name="Normal 2 2 6 4" xfId="22838"/>
    <cellStyle name="Normal 2 2 6 2 2 3" xfId="22839"/>
    <cellStyle name="Normal 2 2 6 2 2 2" xfId="22840"/>
    <cellStyle name="Normal 2 2 6 3 2" xfId="22841"/>
    <cellStyle name="Normal 2 2 7 4" xfId="22842"/>
    <cellStyle name="Normal 2 2 7 2 2" xfId="22843"/>
    <cellStyle name="Normal 2 2 7 3 2" xfId="22844"/>
    <cellStyle name="Normal 2 2 8 4" xfId="22845"/>
    <cellStyle name="Normal 2 2 8 2 2" xfId="22846"/>
    <cellStyle name="Normal 2 2 8 3 3" xfId="22847"/>
    <cellStyle name="Normal 2 2 8 3 2" xfId="22848"/>
    <cellStyle name="Normal 2 2 9 3" xfId="22849"/>
    <cellStyle name="Normal 2 2 9 2 2" xfId="22850"/>
    <cellStyle name="Normal 2 3 10 3" xfId="22851"/>
    <cellStyle name="Normal 2 3 10 2 2" xfId="22852"/>
    <cellStyle name="Normal 2 3 11 3" xfId="22853"/>
    <cellStyle name="Normal 2 3 11 2 2" xfId="22854"/>
    <cellStyle name="Normal 2 3 12 3" xfId="22855"/>
    <cellStyle name="Normal 2 3 12 2 2" xfId="22856"/>
    <cellStyle name="Normal 2 3 13 3" xfId="22857"/>
    <cellStyle name="Normal 2 3 13 2 2" xfId="22858"/>
    <cellStyle name="Normal 2 3 2 8" xfId="22859"/>
    <cellStyle name="Normal 2 3 2 2 5" xfId="22860"/>
    <cellStyle name="Normal 2 3 2 2 2 2" xfId="22861"/>
    <cellStyle name="Normal 2 3 2 2 3 2" xfId="22862"/>
    <cellStyle name="Normal 2 3 2 2 4 2" xfId="22863"/>
    <cellStyle name="Normal 2 3 2 3 2" xfId="22864"/>
    <cellStyle name="Normal 2 3 2 4 2" xfId="22865"/>
    <cellStyle name="Normal 2 3 2 5 2" xfId="22866"/>
    <cellStyle name="Normal 2 3 2 6 2" xfId="22867"/>
    <cellStyle name="Normal 2 3 3 2 3" xfId="22868"/>
    <cellStyle name="Normal 2 3 3 2 2 2" xfId="22869"/>
    <cellStyle name="Normal 2 3 4 7" xfId="22870"/>
    <cellStyle name="Normal 2 3 4 2 3" xfId="22871"/>
    <cellStyle name="Normal 2 3 4 2 2 2" xfId="22872"/>
    <cellStyle name="Normal 2 3 4 3 2" xfId="22873"/>
    <cellStyle name="Normal 2 3 4 4 2" xfId="22874"/>
    <cellStyle name="Normal 2 3 4 5 2" xfId="22875"/>
    <cellStyle name="Normal 2 3 5 6" xfId="22876"/>
    <cellStyle name="Normal 2 3 5 2 2" xfId="22877"/>
    <cellStyle name="Normal 2 3 5 3 2" xfId="22878"/>
    <cellStyle name="Normal 2 3 5 4 2" xfId="22879"/>
    <cellStyle name="Normal 2 3 6 2 3" xfId="22880"/>
    <cellStyle name="Normal 2 3 6 2 2 3" xfId="22881"/>
    <cellStyle name="Normal 2 3 6 2 2 2" xfId="22882"/>
    <cellStyle name="Normal 2 3 6 3 2" xfId="22883"/>
    <cellStyle name="Normal 2 3 7 3" xfId="22884"/>
    <cellStyle name="Normal 2 3 7 2 2" xfId="22885"/>
    <cellStyle name="Normal 2 3 8 3" xfId="22886"/>
    <cellStyle name="Normal 2 3 8 2 2" xfId="22887"/>
    <cellStyle name="Normal 2 3 9 3" xfId="22888"/>
    <cellStyle name="Normal 2 3 9 2 2" xfId="22889"/>
    <cellStyle name="Normal 2 4 10 3" xfId="22890"/>
    <cellStyle name="Normal 2 4 10 2 2" xfId="22891"/>
    <cellStyle name="Normal 2 4 11 3" xfId="22892"/>
    <cellStyle name="Normal 2 4 11 2 2" xfId="22893"/>
    <cellStyle name="Normal 2 4 12 3" xfId="22894"/>
    <cellStyle name="Normal 2 4 12 2 2" xfId="22895"/>
    <cellStyle name="Normal 2 4 13 3" xfId="22896"/>
    <cellStyle name="Normal 2 4 13 2 2" xfId="22897"/>
    <cellStyle name="Normal 2 4 2 2 3" xfId="22898"/>
    <cellStyle name="Normal 2 4 2 2 2 2" xfId="22899"/>
    <cellStyle name="Normal 2 4 3 2 3" xfId="22900"/>
    <cellStyle name="Normal 2 4 3 2 2 2" xfId="22901"/>
    <cellStyle name="Normal 2 4 4 2 3" xfId="22902"/>
    <cellStyle name="Normal 2 4 4 2 2 2" xfId="22903"/>
    <cellStyle name="Normal 2 4 5 4" xfId="22904"/>
    <cellStyle name="Normal 2 4 5 2 2" xfId="22905"/>
    <cellStyle name="Normal 2 4 5 3 2" xfId="22906"/>
    <cellStyle name="Normal 2 4 6 3" xfId="22907"/>
    <cellStyle name="Normal 2 4 6 2 2" xfId="22908"/>
    <cellStyle name="Normal 2 4 7 3" xfId="22909"/>
    <cellStyle name="Normal 2 4 7 2 2" xfId="22910"/>
    <cellStyle name="Normal 2 4 8 3" xfId="22911"/>
    <cellStyle name="Normal 2 4 8 2 2" xfId="22912"/>
    <cellStyle name="Normal 2 4 9 3" xfId="22913"/>
    <cellStyle name="Normal 2 4 9 2 2" xfId="22914"/>
    <cellStyle name="Normal 2 45 2 3" xfId="22915"/>
    <cellStyle name="Normal 2 45 2 2" xfId="22916"/>
    <cellStyle name="Normal 2 46 3" xfId="22917"/>
    <cellStyle name="Normal 2 46 2" xfId="22918"/>
    <cellStyle name="Normal 2 47 3" xfId="22919"/>
    <cellStyle name="Normal 2 47 2" xfId="22920"/>
    <cellStyle name="Normal 2 48 3" xfId="22921"/>
    <cellStyle name="Normal 2 48 2" xfId="22922"/>
    <cellStyle name="Normal 2 49" xfId="22923"/>
    <cellStyle name="Normal 2 5 2 6" xfId="22924"/>
    <cellStyle name="Normal 2 5 2 2 3" xfId="22925"/>
    <cellStyle name="Normal 2 5 2 3 2" xfId="22926"/>
    <cellStyle name="Normal 2 5 2 4 2" xfId="22927"/>
    <cellStyle name="Normal 2 5 2 5 2" xfId="22928"/>
    <cellStyle name="Normal 2 6 20" xfId="22929"/>
    <cellStyle name="Normal 2 6 17 2" xfId="22930"/>
    <cellStyle name="Normal 2 6 18 2" xfId="22931"/>
    <cellStyle name="Normal 2 6 2 6" xfId="22932"/>
    <cellStyle name="Normal 2 6 2 3 2" xfId="22933"/>
    <cellStyle name="Normal 2 6 2 4 2" xfId="22934"/>
    <cellStyle name="Normal 2 6 2 5 2" xfId="22935"/>
    <cellStyle name="Normal 2 6 3 3" xfId="22936"/>
    <cellStyle name="Normal 2 9 5" xfId="22937"/>
    <cellStyle name="Normal 2 9 2 3" xfId="22938"/>
    <cellStyle name="Normal 2 9 3 2" xfId="22939"/>
    <cellStyle name="Normal 2 9 4 2" xfId="22940"/>
    <cellStyle name="Normal 25 4 3" xfId="22941"/>
    <cellStyle name="Normal 25 4 2" xfId="22942"/>
    <cellStyle name="Normal 26 3" xfId="22943"/>
    <cellStyle name="Normal 3 2 11 2" xfId="22944"/>
    <cellStyle name="Normal 3 2 2 4 2" xfId="22945"/>
    <cellStyle name="Normal 3 2 3 5" xfId="22946"/>
    <cellStyle name="Normal 3 2 3 3 2" xfId="22947"/>
    <cellStyle name="Normal 3 2 9 2 3" xfId="22948"/>
    <cellStyle name="Normal 3 2 9 2 2 2" xfId="22949"/>
    <cellStyle name="Normal 3 29 2 3" xfId="22950"/>
    <cellStyle name="Normal 3 29 2 2" xfId="22951"/>
    <cellStyle name="Normal 3 30 3" xfId="22952"/>
    <cellStyle name="Normal 3 31 3" xfId="22953"/>
    <cellStyle name="Normal 3 37 2" xfId="22954"/>
    <cellStyle name="Normal 3 38" xfId="22955"/>
    <cellStyle name="Normal 3 4 4 2 2 3" xfId="22956"/>
    <cellStyle name="Normal 3 4 4 2 2 2" xfId="22957"/>
    <cellStyle name="Normal 3 5 3 3" xfId="22958"/>
    <cellStyle name="Normal 3 5 4 3" xfId="22959"/>
    <cellStyle name="Normal 3 7 6" xfId="22960"/>
    <cellStyle name="Normal 3 7 4 2" xfId="22961"/>
    <cellStyle name="Normal 31 6 3" xfId="22962"/>
    <cellStyle name="Normal 31 6 2" xfId="22963"/>
    <cellStyle name="Normal 34 2 3" xfId="22964"/>
    <cellStyle name="Normal 34 2 2" xfId="22965"/>
    <cellStyle name="Normal 36 2" xfId="22966"/>
    <cellStyle name="Normal 37 2" xfId="22967"/>
    <cellStyle name="Normal 38 3" xfId="22968"/>
    <cellStyle name="Normal 38 2" xfId="22969"/>
    <cellStyle name="Normal 4 10 3" xfId="22970"/>
    <cellStyle name="Normal 4 11 3" xfId="22971"/>
    <cellStyle name="Normal 4 13 2 3 4" xfId="22972"/>
    <cellStyle name="Normal 4 2 10 2" xfId="22973"/>
    <cellStyle name="Normal 4 2 2 10 3" xfId="22974"/>
    <cellStyle name="Normal 4 2 2 10 2 2" xfId="22975"/>
    <cellStyle name="Normal 4 2 2 11 3" xfId="22976"/>
    <cellStyle name="Normal 4 2 2 11 2 2" xfId="22977"/>
    <cellStyle name="Normal 4 2 2 12 3" xfId="22978"/>
    <cellStyle name="Normal 4 2 2 12 2 2" xfId="22979"/>
    <cellStyle name="Normal 4 2 2 13 3" xfId="22980"/>
    <cellStyle name="Normal 4 2 2 13 2 2" xfId="22981"/>
    <cellStyle name="Normal 4 2 2 14 2" xfId="22982"/>
    <cellStyle name="Normal 4 2 2 15" xfId="22983"/>
    <cellStyle name="Normal 4 2 2 2 16" xfId="22984"/>
    <cellStyle name="Normal 4 2 2 2 14 2" xfId="22985"/>
    <cellStyle name="Normal 4 2 2 2 15 2" xfId="22986"/>
    <cellStyle name="Normal 4 2 2 3 3" xfId="22987"/>
    <cellStyle name="Normal 4 2 2 3 2 2" xfId="22988"/>
    <cellStyle name="Normal 4 2 2 4 3" xfId="22989"/>
    <cellStyle name="Normal 4 2 2 4 2 2" xfId="22990"/>
    <cellStyle name="Normal 4 2 2 5 3" xfId="22991"/>
    <cellStyle name="Normal 4 2 2 5 2 2" xfId="22992"/>
    <cellStyle name="Normal 4 2 2 6 3" xfId="22993"/>
    <cellStyle name="Normal 4 2 2 6 2 2" xfId="22994"/>
    <cellStyle name="Normal 4 2 2 7 3" xfId="22995"/>
    <cellStyle name="Normal 4 2 2 7 2 2" xfId="22996"/>
    <cellStyle name="Normal 4 2 2 8 3" xfId="22997"/>
    <cellStyle name="Normal 4 2 2 8 2 2" xfId="22998"/>
    <cellStyle name="Normal 4 2 2 9 3" xfId="22999"/>
    <cellStyle name="Normal 4 2 2 9 2 2" xfId="23000"/>
    <cellStyle name="Normal 4 2 3 6" xfId="23001"/>
    <cellStyle name="Normal 4 2 3 2 2 3" xfId="23002"/>
    <cellStyle name="Normal 4 2 3 2 2 2" xfId="23003"/>
    <cellStyle name="Normal 4 2 3 4 3" xfId="23004"/>
    <cellStyle name="Normal 4 2 3 4 2" xfId="23005"/>
    <cellStyle name="Normal 4 3 11" xfId="23006"/>
    <cellStyle name="Normal 4 3 3 5" xfId="23007"/>
    <cellStyle name="Normal 4 3 3 2 2 3" xfId="23008"/>
    <cellStyle name="Normal 4 3 3 2 2 2" xfId="23009"/>
    <cellStyle name="Normal 4 3 3 4 2" xfId="23010"/>
    <cellStyle name="Normal 4 3 4 5" xfId="23011"/>
    <cellStyle name="Normal 4 3 4 2 2 3" xfId="23012"/>
    <cellStyle name="Normal 4 3 4 2 2 2" xfId="23013"/>
    <cellStyle name="Normal 4 3 4 4" xfId="23014"/>
    <cellStyle name="Normal 4 3 5 3" xfId="23015"/>
    <cellStyle name="Normal 4 3 9 2" xfId="23016"/>
    <cellStyle name="Normal 4 4 3 3" xfId="23017"/>
    <cellStyle name="Normal 4 5 11" xfId="23018"/>
    <cellStyle name="Normal 4 5 2 3" xfId="23019"/>
    <cellStyle name="Normal 4 5 3 3" xfId="23020"/>
    <cellStyle name="Normal 4 5 9 2" xfId="23021"/>
    <cellStyle name="Normal 4 6 7" xfId="23022"/>
    <cellStyle name="Normal 4 6 2 3" xfId="23023"/>
    <cellStyle name="Normal 4 6 4 2" xfId="23024"/>
    <cellStyle name="Normal 4 6 5 2" xfId="23025"/>
    <cellStyle name="Normal 4 7 6" xfId="23026"/>
    <cellStyle name="Normal 4 7 2 2 3" xfId="23027"/>
    <cellStyle name="Normal 4 7 2 2 2" xfId="23028"/>
    <cellStyle name="Normal 4 7 4 2" xfId="23029"/>
    <cellStyle name="Normal 4 8 6" xfId="23030"/>
    <cellStyle name="Normal 4 8 2 2 3" xfId="23031"/>
    <cellStyle name="Normal 4 8 2 2 2" xfId="23032"/>
    <cellStyle name="Normal 4 8 4 2" xfId="23033"/>
    <cellStyle name="Normal 4 9 4" xfId="23034"/>
    <cellStyle name="Normal 4 9 3 3" xfId="23035"/>
    <cellStyle name="Normal 4 9 3 2" xfId="23036"/>
    <cellStyle name="Normal 41 2" xfId="23037"/>
    <cellStyle name="Normal 5 11 3" xfId="23038"/>
    <cellStyle name="Normal 5 12 3" xfId="23039"/>
    <cellStyle name="Normal 5 13 2 3" xfId="23040"/>
    <cellStyle name="Normal 5 13 2 2" xfId="23041"/>
    <cellStyle name="Normal 5 2 10 2" xfId="23042"/>
    <cellStyle name="Normal 5 2 2 10 3" xfId="23043"/>
    <cellStyle name="Normal 5 2 2 10 2 2" xfId="23044"/>
    <cellStyle name="Normal 5 2 2 11 3" xfId="23045"/>
    <cellStyle name="Normal 5 2 2 11 2 2" xfId="23046"/>
    <cellStyle name="Normal 5 2 2 12 3" xfId="23047"/>
    <cellStyle name="Normal 5 2 2 12 2 2" xfId="23048"/>
    <cellStyle name="Normal 5 2 2 13 3" xfId="23049"/>
    <cellStyle name="Normal 5 2 2 13 2 2" xfId="23050"/>
    <cellStyle name="Normal 5 2 2 2 16" xfId="23051"/>
    <cellStyle name="Normal 5 2 2 2 14 2" xfId="23052"/>
    <cellStyle name="Normal 5 2 2 2 15 3" xfId="23053"/>
    <cellStyle name="Normal 5 2 2 2 15 2" xfId="23054"/>
    <cellStyle name="Normal 5 2 2 3 4" xfId="23055"/>
    <cellStyle name="Normal 5 2 2 3 2 2" xfId="23056"/>
    <cellStyle name="Normal 5 2 2 3 3 2" xfId="23057"/>
    <cellStyle name="Normal 5 2 2 4 3" xfId="23058"/>
    <cellStyle name="Normal 5 2 2 4 2 2" xfId="23059"/>
    <cellStyle name="Normal 5 2 2 5 3" xfId="23060"/>
    <cellStyle name="Normal 5 2 2 5 2 2" xfId="23061"/>
    <cellStyle name="Normal 5 2 2 6 3" xfId="23062"/>
    <cellStyle name="Normal 5 2 2 6 2 2" xfId="23063"/>
    <cellStyle name="Normal 5 2 2 7 3" xfId="23064"/>
    <cellStyle name="Normal 5 2 2 7 2 2" xfId="23065"/>
    <cellStyle name="Normal 5 2 2 8 3" xfId="23066"/>
    <cellStyle name="Normal 5 2 2 8 2 2" xfId="23067"/>
    <cellStyle name="Normal 5 2 2 9 3" xfId="23068"/>
    <cellStyle name="Normal 5 2 2 9 2 2" xfId="23069"/>
    <cellStyle name="Normal 5 2 3 4" xfId="23070"/>
    <cellStyle name="Normal 5 2 3 3 2" xfId="23071"/>
    <cellStyle name="Normal 5 3 10 2" xfId="23072"/>
    <cellStyle name="Normal 5 3 3 4" xfId="23073"/>
    <cellStyle name="Normal 5 3 3 3 2" xfId="23074"/>
    <cellStyle name="Normal 5 5 11" xfId="23075"/>
    <cellStyle name="Normal 5 5 2 5" xfId="23076"/>
    <cellStyle name="Normal 5 5 2 2 2 3" xfId="23077"/>
    <cellStyle name="Normal 5 5 2 2 2 2" xfId="23078"/>
    <cellStyle name="Normal 5 5 2 4 2" xfId="23079"/>
    <cellStyle name="Normal 5 5 3 3" xfId="23080"/>
    <cellStyle name="Normal 5 5 4 3" xfId="23081"/>
    <cellStyle name="Normal 5 5 9 2" xfId="23082"/>
    <cellStyle name="Normal 6 12 3" xfId="23083"/>
    <cellStyle name="Normal 6 2 2 10 3" xfId="23084"/>
    <cellStyle name="Normal 6 2 2 10 2 2" xfId="23085"/>
    <cellStyle name="Normal 6 2 2 11 3" xfId="23086"/>
    <cellStyle name="Normal 6 2 2 11 2 2" xfId="23087"/>
    <cellStyle name="Normal 6 2 2 12 3" xfId="23088"/>
    <cellStyle name="Normal 6 2 2 12 2 2" xfId="23089"/>
    <cellStyle name="Normal 6 2 2 13 3" xfId="23090"/>
    <cellStyle name="Normal 6 2 2 13 2 2" xfId="23091"/>
    <cellStyle name="Normal 6 2 2 2 3" xfId="23092"/>
    <cellStyle name="Normal 6 2 2 2 2 2" xfId="23093"/>
    <cellStyle name="Normal 6 2 2 3 3" xfId="23094"/>
    <cellStyle name="Normal 6 2 2 3 2 2" xfId="23095"/>
    <cellStyle name="Normal 6 2 2 4 3" xfId="23096"/>
    <cellStyle name="Normal 6 2 2 4 2 2" xfId="23097"/>
    <cellStyle name="Normal 6 2 2 5 3" xfId="23098"/>
    <cellStyle name="Normal 6 2 2 5 2 2" xfId="23099"/>
    <cellStyle name="Normal 6 2 2 6 3" xfId="23100"/>
    <cellStyle name="Normal 6 2 2 6 2 2" xfId="23101"/>
    <cellStyle name="Normal 6 2 2 7 3" xfId="23102"/>
    <cellStyle name="Normal 6 2 2 7 2 2" xfId="23103"/>
    <cellStyle name="Normal 6 2 2 8 3" xfId="23104"/>
    <cellStyle name="Normal 6 2 2 8 2 2" xfId="23105"/>
    <cellStyle name="Normal 6 2 2 9 3" xfId="23106"/>
    <cellStyle name="Normal 6 2 2 9 2 2" xfId="23107"/>
    <cellStyle name="Normal 6 3 17 2" xfId="23108"/>
    <cellStyle name="Normal 7 3 12" xfId="23109"/>
    <cellStyle name="Normal 7 3 10 2" xfId="23110"/>
    <cellStyle name="Normal 8 11 4" xfId="23111"/>
    <cellStyle name="Normal 8 11 3 2" xfId="23112"/>
    <cellStyle name="Normal 9 13" xfId="23113"/>
    <cellStyle name="Normal 9 10 2 3" xfId="23114"/>
    <cellStyle name="Normal 9 10 2 2" xfId="23115"/>
    <cellStyle name="Normal 9 11 2" xfId="23116"/>
    <cellStyle name="Normal 9 2 5" xfId="23117"/>
    <cellStyle name="Normal 9 2 2 3" xfId="23118"/>
    <cellStyle name="Normal 9 2 3 2" xfId="23119"/>
    <cellStyle name="Normal 9 2 4 2" xfId="23120"/>
    <cellStyle name="Normal 9 3 3" xfId="23121"/>
    <cellStyle name="Note 2 2 2 2 3" xfId="23122"/>
    <cellStyle name="Note 2 2 2 2 2" xfId="23123"/>
    <cellStyle name="Note 3 9" xfId="23124"/>
    <cellStyle name="Note 3 2 4" xfId="23125"/>
    <cellStyle name="Note 3 2 2 2" xfId="23126"/>
    <cellStyle name="Note 3 3 2" xfId="23127"/>
    <cellStyle name="Note 3 4 4" xfId="23128"/>
    <cellStyle name="Note 3 4 2 2" xfId="23129"/>
    <cellStyle name="Note 3 4 3" xfId="23130"/>
    <cellStyle name="Note 3 5 2" xfId="23131"/>
    <cellStyle name="Note 3 6 2" xfId="23132"/>
    <cellStyle name="Note 3 7 2" xfId="23133"/>
    <cellStyle name="Note 30 2" xfId="23134"/>
    <cellStyle name="Note 31 2" xfId="23135"/>
    <cellStyle name="Note 32 2" xfId="23136"/>
    <cellStyle name="Note 33 2" xfId="23137"/>
    <cellStyle name="Note 34 3" xfId="23138"/>
    <cellStyle name="Note 34 2" xfId="23139"/>
    <cellStyle name="Note 35 3" xfId="23140"/>
    <cellStyle name="Note 35 2" xfId="23141"/>
    <cellStyle name="Note 36 3" xfId="23142"/>
    <cellStyle name="Note 36 2" xfId="23143"/>
    <cellStyle name="Note 37 3" xfId="23144"/>
    <cellStyle name="Note 37 2" xfId="23145"/>
    <cellStyle name="Note 38 3" xfId="23146"/>
    <cellStyle name="Note 38 2" xfId="23147"/>
    <cellStyle name="Note 39 3" xfId="23148"/>
    <cellStyle name="Note 39 2" xfId="23149"/>
    <cellStyle name="Note 4 11" xfId="23150"/>
    <cellStyle name="Note 4 10" xfId="23151"/>
    <cellStyle name="Note 4 2 3" xfId="23152"/>
    <cellStyle name="Note 4 2 2 2" xfId="23153"/>
    <cellStyle name="Note 4 3 4" xfId="23154"/>
    <cellStyle name="Note 4 3 2 3" xfId="23155"/>
    <cellStyle name="Note 4 3 2 2" xfId="23156"/>
    <cellStyle name="Note 4 3 3 2" xfId="23157"/>
    <cellStyle name="Note 4 4 3" xfId="23158"/>
    <cellStyle name="Note 4 4 2" xfId="23159"/>
    <cellStyle name="Note 4 5 2" xfId="23160"/>
    <cellStyle name="Note 4 6" xfId="23161"/>
    <cellStyle name="Note 4 7" xfId="23162"/>
    <cellStyle name="Note 4 8" xfId="23163"/>
    <cellStyle name="Note 4 9" xfId="23164"/>
    <cellStyle name="Note 40 3" xfId="23165"/>
    <cellStyle name="Note 40 2" xfId="23166"/>
    <cellStyle name="Note 41 3" xfId="23167"/>
    <cellStyle name="Note 41 2" xfId="23168"/>
    <cellStyle name="Note 42 4" xfId="23169"/>
    <cellStyle name="Note 42 2" xfId="23170"/>
    <cellStyle name="Note 42 3" xfId="23171"/>
    <cellStyle name="Note 43 3" xfId="23172"/>
    <cellStyle name="Note 43 2" xfId="23173"/>
    <cellStyle name="Note 44" xfId="23174"/>
    <cellStyle name="Note 44 2" xfId="23175"/>
    <cellStyle name="Note 45" xfId="23176"/>
    <cellStyle name="Note 46" xfId="23177"/>
    <cellStyle name="Note 47" xfId="23178"/>
    <cellStyle name="Note 48" xfId="23179"/>
    <cellStyle name="Note 5 11" xfId="23180"/>
    <cellStyle name="Note 5 10" xfId="23181"/>
    <cellStyle name="Note 5 2 3" xfId="23182"/>
    <cellStyle name="Note 5 2 2" xfId="23183"/>
    <cellStyle name="Note 5 3 4" xfId="23184"/>
    <cellStyle name="Note 5 3 2 3" xfId="23185"/>
    <cellStyle name="Note 5 3 2 2" xfId="23186"/>
    <cellStyle name="Note 5 3 3" xfId="23187"/>
    <cellStyle name="Note 5 4 3" xfId="23188"/>
    <cellStyle name="Note 5 4 2" xfId="23189"/>
    <cellStyle name="Note 5 5 3" xfId="23190"/>
    <cellStyle name="Note 5 5 2" xfId="23191"/>
    <cellStyle name="Note 5 6" xfId="23192"/>
    <cellStyle name="Note 5 7" xfId="23193"/>
    <cellStyle name="Note 5 8" xfId="23194"/>
    <cellStyle name="Note 5 9" xfId="23195"/>
    <cellStyle name="Note 6 6" xfId="23196"/>
    <cellStyle name="Note 6 2 3" xfId="23197"/>
    <cellStyle name="Note 6 2 2" xfId="23198"/>
    <cellStyle name="Note 6 3 4" xfId="23199"/>
    <cellStyle name="Note 6 3 2 3" xfId="23200"/>
    <cellStyle name="Note 6 3 2 2" xfId="23201"/>
    <cellStyle name="Note 6 3 3" xfId="23202"/>
    <cellStyle name="Note 6 4 3" xfId="23203"/>
    <cellStyle name="Note 6 4 2" xfId="23204"/>
    <cellStyle name="Note 6 5 2" xfId="23205"/>
    <cellStyle name="Note 7 6" xfId="23206"/>
    <cellStyle name="Note 7 2 3" xfId="23207"/>
    <cellStyle name="Note 7 2 2" xfId="23208"/>
    <cellStyle name="Note 7 3 4" xfId="23209"/>
    <cellStyle name="Note 7 3 2 3" xfId="23210"/>
    <cellStyle name="Note 7 3 2 2" xfId="23211"/>
    <cellStyle name="Note 7 3 3" xfId="23212"/>
    <cellStyle name="Note 7 4 3" xfId="23213"/>
    <cellStyle name="Note 7 4 2" xfId="23214"/>
    <cellStyle name="Note 7 5" xfId="23215"/>
    <cellStyle name="Note 8 6" xfId="23216"/>
    <cellStyle name="Note 8 2 3" xfId="23217"/>
    <cellStyle name="Note 8 2 2" xfId="23218"/>
    <cellStyle name="Note 8 3 4" xfId="23219"/>
    <cellStyle name="Note 8 3 2 3" xfId="23220"/>
    <cellStyle name="Note 8 3 2 2" xfId="23221"/>
    <cellStyle name="Note 8 3 3" xfId="23222"/>
    <cellStyle name="Note 8 4 3" xfId="23223"/>
    <cellStyle name="Note 8 4 2" xfId="23224"/>
    <cellStyle name="Note 8 5" xfId="23225"/>
    <cellStyle name="Note 9 6" xfId="23226"/>
    <cellStyle name="Note 9 2 3" xfId="23227"/>
    <cellStyle name="Note 9 2 2" xfId="23228"/>
    <cellStyle name="Note 9 3 4" xfId="23229"/>
    <cellStyle name="Note 9 3 2 3" xfId="23230"/>
    <cellStyle name="Note 9 3 2 2" xfId="23231"/>
    <cellStyle name="Note 9 3 3" xfId="23232"/>
    <cellStyle name="Note 9 4 3" xfId="23233"/>
    <cellStyle name="Note 9 4 2" xfId="23234"/>
    <cellStyle name="Note 9 5" xfId="23235"/>
    <cellStyle name="Notiz 6" xfId="23236"/>
    <cellStyle name="Notiz 2 2" xfId="23237"/>
    <cellStyle name="Notiz 3 2" xfId="23238"/>
    <cellStyle name="Notiz 4" xfId="23239"/>
    <cellStyle name="Notiz 5" xfId="23240"/>
    <cellStyle name="Nuovo 41" xfId="23241"/>
    <cellStyle name="Nuovo 10 3" xfId="23242"/>
    <cellStyle name="Nuovo 10 2" xfId="23243"/>
    <cellStyle name="Nuovo 11 3" xfId="23244"/>
    <cellStyle name="Nuovo 11 2" xfId="23245"/>
    <cellStyle name="Nuovo 12 3" xfId="23246"/>
    <cellStyle name="Nuovo 12 2" xfId="23247"/>
    <cellStyle name="Nuovo 13 3" xfId="23248"/>
    <cellStyle name="Nuovo 13 2" xfId="23249"/>
    <cellStyle name="Nuovo 14 3" xfId="23250"/>
    <cellStyle name="Nuovo 14 2" xfId="23251"/>
    <cellStyle name="Nuovo 15 3" xfId="23252"/>
    <cellStyle name="Nuovo 15 2" xfId="23253"/>
    <cellStyle name="Nuovo 16 3" xfId="23254"/>
    <cellStyle name="Nuovo 16 2" xfId="23255"/>
    <cellStyle name="Nuovo 17 3" xfId="23256"/>
    <cellStyle name="Nuovo 17 2" xfId="23257"/>
    <cellStyle name="Nuovo 18 3" xfId="23258"/>
    <cellStyle name="Nuovo 18 2" xfId="23259"/>
    <cellStyle name="Nuovo 19 3" xfId="23260"/>
    <cellStyle name="Nuovo 19 2" xfId="23261"/>
    <cellStyle name="Nuovo 2 7" xfId="23262"/>
    <cellStyle name="Nuovo 2 2 2" xfId="23263"/>
    <cellStyle name="Nuovo 2 3 2" xfId="23264"/>
    <cellStyle name="Nuovo 2 4 2" xfId="23265"/>
    <cellStyle name="Nuovo 2 5" xfId="23266"/>
    <cellStyle name="Nuovo 2 6" xfId="23267"/>
    <cellStyle name="Nuovo 20 3" xfId="23268"/>
    <cellStyle name="Nuovo 20 2" xfId="23269"/>
    <cellStyle name="Nuovo 21 3" xfId="23270"/>
    <cellStyle name="Nuovo 21 2" xfId="23271"/>
    <cellStyle name="Nuovo 22 3" xfId="23272"/>
    <cellStyle name="Nuovo 22 2" xfId="23273"/>
    <cellStyle name="Nuovo 23 3" xfId="23274"/>
    <cellStyle name="Nuovo 23 2" xfId="23275"/>
    <cellStyle name="Nuovo 24 3" xfId="23276"/>
    <cellStyle name="Nuovo 24 2" xfId="23277"/>
    <cellStyle name="Nuovo 25 3" xfId="23278"/>
    <cellStyle name="Nuovo 25 2" xfId="23279"/>
    <cellStyle name="Nuovo 26 3" xfId="23280"/>
    <cellStyle name="Nuovo 26 2" xfId="23281"/>
    <cellStyle name="Nuovo 27 3" xfId="23282"/>
    <cellStyle name="Nuovo 27 2" xfId="23283"/>
    <cellStyle name="Nuovo 28 3" xfId="23284"/>
    <cellStyle name="Nuovo 28 2" xfId="23285"/>
    <cellStyle name="Nuovo 29 3" xfId="23286"/>
    <cellStyle name="Nuovo 29 2" xfId="23287"/>
    <cellStyle name="Nuovo 3 3" xfId="23288"/>
    <cellStyle name="Nuovo 3 2 2" xfId="23289"/>
    <cellStyle name="Nuovo 30 3" xfId="23290"/>
    <cellStyle name="Nuovo 30 2" xfId="23291"/>
    <cellStyle name="Nuovo 31 3" xfId="23292"/>
    <cellStyle name="Nuovo 31 2" xfId="23293"/>
    <cellStyle name="Nuovo 32 3" xfId="23294"/>
    <cellStyle name="Nuovo 32 2" xfId="23295"/>
    <cellStyle name="Nuovo 33 3" xfId="23296"/>
    <cellStyle name="Nuovo 33 2" xfId="23297"/>
    <cellStyle name="Nuovo 34 3" xfId="23298"/>
    <cellStyle name="Nuovo 34 2" xfId="23299"/>
    <cellStyle name="Nuovo 35 3" xfId="23300"/>
    <cellStyle name="Nuovo 35 2" xfId="23301"/>
    <cellStyle name="Nuovo 36 3" xfId="23302"/>
    <cellStyle name="Nuovo 36 2" xfId="23303"/>
    <cellStyle name="Nuovo 37 3" xfId="23304"/>
    <cellStyle name="Nuovo 37 2" xfId="23305"/>
    <cellStyle name="Nuovo 38 6" xfId="23306"/>
    <cellStyle name="Nuovo 38 2 4" xfId="23307"/>
    <cellStyle name="Nuovo 38 2 2 2" xfId="23308"/>
    <cellStyle name="Nuovo 38 2 3" xfId="23309"/>
    <cellStyle name="Nuovo 38 3 5" xfId="23310"/>
    <cellStyle name="Nuovo 38 3 2 3" xfId="23311"/>
    <cellStyle name="Nuovo 38 3 2 2" xfId="23312"/>
    <cellStyle name="Nuovo 38 3 3 3" xfId="23313"/>
    <cellStyle name="Nuovo 38 3 3 2" xfId="23314"/>
    <cellStyle name="Nuovo 38 3 4" xfId="23315"/>
    <cellStyle name="Nuovo 38 4 3" xfId="23316"/>
    <cellStyle name="Nuovo 38 4 2" xfId="23317"/>
    <cellStyle name="Nuovo 38 5" xfId="23318"/>
    <cellStyle name="Nuovo 39" xfId="23319"/>
    <cellStyle name="Nuovo 4 4" xfId="23320"/>
    <cellStyle name="Nuovo 4 2 2" xfId="23321"/>
    <cellStyle name="Nuovo 4 3" xfId="23322"/>
    <cellStyle name="Nuovo 40" xfId="23323"/>
    <cellStyle name="Nuovo 5 3" xfId="23324"/>
    <cellStyle name="Nuovo 5 2" xfId="23325"/>
    <cellStyle name="Nuovo 6 3" xfId="23326"/>
    <cellStyle name="Nuovo 6 2" xfId="23327"/>
    <cellStyle name="Nuovo 7 3" xfId="23328"/>
    <cellStyle name="Nuovo 7 2" xfId="23329"/>
    <cellStyle name="Nuovo 8 3" xfId="23330"/>
    <cellStyle name="Nuovo 8 2" xfId="23331"/>
    <cellStyle name="Nuovo 9 3" xfId="23332"/>
    <cellStyle name="Nuovo 9 2" xfId="23333"/>
    <cellStyle name="Output 10 3" xfId="23334"/>
    <cellStyle name="Output 10 2" xfId="23335"/>
    <cellStyle name="Output 11 3" xfId="23336"/>
    <cellStyle name="Output 11 2" xfId="23337"/>
    <cellStyle name="Output 12 3" xfId="23338"/>
    <cellStyle name="Output 12 2" xfId="23339"/>
    <cellStyle name="Output 13 3" xfId="23340"/>
    <cellStyle name="Output 13 2" xfId="23341"/>
    <cellStyle name="Output 14 3" xfId="23342"/>
    <cellStyle name="Output 14 2" xfId="23343"/>
    <cellStyle name="Output 15 3" xfId="23344"/>
    <cellStyle name="Output 15 2" xfId="23345"/>
    <cellStyle name="Output 16 3" xfId="23346"/>
    <cellStyle name="Output 16 2" xfId="23347"/>
    <cellStyle name="Output 17 3" xfId="23348"/>
    <cellStyle name="Output 17 2" xfId="23349"/>
    <cellStyle name="Output 18 3" xfId="23350"/>
    <cellStyle name="Output 18 2" xfId="23351"/>
    <cellStyle name="Output 19 3" xfId="23352"/>
    <cellStyle name="Output 19 2" xfId="23353"/>
    <cellStyle name="Output 2 13" xfId="23354"/>
    <cellStyle name="Output 2 10 3" xfId="23355"/>
    <cellStyle name="Output 2 10 2" xfId="23356"/>
    <cellStyle name="Output 2 11 3" xfId="23357"/>
    <cellStyle name="Output 2 11 2" xfId="23358"/>
    <cellStyle name="Output 2 12" xfId="23359"/>
    <cellStyle name="Output 2 2 3" xfId="23360"/>
    <cellStyle name="Output 2 2 2" xfId="23361"/>
    <cellStyle name="Output 2 3 3" xfId="23362"/>
    <cellStyle name="Output 2 3 2" xfId="23363"/>
    <cellStyle name="Output 2 4 3" xfId="23364"/>
    <cellStyle name="Output 2 4 2" xfId="23365"/>
    <cellStyle name="Output 2 5 3" xfId="23366"/>
    <cellStyle name="Output 2 5 2" xfId="23367"/>
    <cellStyle name="Output 2 6 3" xfId="23368"/>
    <cellStyle name="Output 2 6 2" xfId="23369"/>
    <cellStyle name="Output 2 7 3" xfId="23370"/>
    <cellStyle name="Output 2 7 2" xfId="23371"/>
    <cellStyle name="Output 2 8 3" xfId="23372"/>
    <cellStyle name="Output 2 8 2" xfId="23373"/>
    <cellStyle name="Output 2 9 3" xfId="23374"/>
    <cellStyle name="Output 2 9 2" xfId="23375"/>
    <cellStyle name="Output 20 3" xfId="23376"/>
    <cellStyle name="Output 20 2" xfId="23377"/>
    <cellStyle name="Output 21 3" xfId="23378"/>
    <cellStyle name="Output 21 2" xfId="23379"/>
    <cellStyle name="Output 22 3" xfId="23380"/>
    <cellStyle name="Output 22 2" xfId="23381"/>
    <cellStyle name="Output 23 3" xfId="23382"/>
    <cellStyle name="Output 23 2" xfId="23383"/>
    <cellStyle name="Output 24 3" xfId="23384"/>
    <cellStyle name="Output 24 2" xfId="23385"/>
    <cellStyle name="Output 25 3" xfId="23386"/>
    <cellStyle name="Output 25 2" xfId="23387"/>
    <cellStyle name="Output 26 3" xfId="23388"/>
    <cellStyle name="Output 26 2" xfId="23389"/>
    <cellStyle name="Output 27 3" xfId="23390"/>
    <cellStyle name="Output 27 2" xfId="23391"/>
    <cellStyle name="Output 28 3" xfId="23392"/>
    <cellStyle name="Output 28 2" xfId="23393"/>
    <cellStyle name="Output 29 3" xfId="23394"/>
    <cellStyle name="Output 29 2" xfId="23395"/>
    <cellStyle name="Output 3 5" xfId="23396"/>
    <cellStyle name="Output 3 2 4" xfId="23397"/>
    <cellStyle name="Output 3 2 2 3" xfId="23398"/>
    <cellStyle name="Output 3 2 2 2" xfId="23399"/>
    <cellStyle name="Output 3 2 3" xfId="23400"/>
    <cellStyle name="Output 3 3 2" xfId="23401"/>
    <cellStyle name="Output 3 4" xfId="23402"/>
    <cellStyle name="Output 30 3" xfId="23403"/>
    <cellStyle name="Output 30 2" xfId="23404"/>
    <cellStyle name="Output 31 3" xfId="23405"/>
    <cellStyle name="Output 31 2" xfId="23406"/>
    <cellStyle name="Output 32 3" xfId="23407"/>
    <cellStyle name="Output 32 2" xfId="23408"/>
    <cellStyle name="Output 33 3" xfId="23409"/>
    <cellStyle name="Output 33 2" xfId="23410"/>
    <cellStyle name="Output 34 3" xfId="23411"/>
    <cellStyle name="Output 34 2" xfId="23412"/>
    <cellStyle name="Output 35 3" xfId="23413"/>
    <cellStyle name="Output 35 2" xfId="23414"/>
    <cellStyle name="Output 36 3" xfId="23415"/>
    <cellStyle name="Output 36 2" xfId="23416"/>
    <cellStyle name="Output 37 3" xfId="23417"/>
    <cellStyle name="Output 37 2" xfId="23418"/>
    <cellStyle name="Output 38 3" xfId="23419"/>
    <cellStyle name="Output 38 2" xfId="23420"/>
    <cellStyle name="Output 39 3" xfId="23421"/>
    <cellStyle name="Output 39 2" xfId="23422"/>
    <cellStyle name="Output 4 4" xfId="23423"/>
    <cellStyle name="Output 4 2 3" xfId="23424"/>
    <cellStyle name="Output 4 2 2" xfId="23425"/>
    <cellStyle name="Output 4 3" xfId="23426"/>
    <cellStyle name="Output 40 3" xfId="23427"/>
    <cellStyle name="Output 40 2" xfId="23428"/>
    <cellStyle name="Output 41 3" xfId="23429"/>
    <cellStyle name="Output 41 2" xfId="23430"/>
    <cellStyle name="Output 42 3" xfId="23431"/>
    <cellStyle name="Output 42 2" xfId="23432"/>
    <cellStyle name="Output 43 3" xfId="23433"/>
    <cellStyle name="Output 43 2" xfId="23434"/>
    <cellStyle name="Output 44" xfId="23435"/>
    <cellStyle name="Output 5 4" xfId="23436"/>
    <cellStyle name="Output 5 2 3" xfId="23437"/>
    <cellStyle name="Output 5 2 2" xfId="23438"/>
    <cellStyle name="Output 5 3" xfId="23439"/>
    <cellStyle name="Output 6 4" xfId="23440"/>
    <cellStyle name="Output 6 2 3" xfId="23441"/>
    <cellStyle name="Output 6 2 2" xfId="23442"/>
    <cellStyle name="Output 6 3" xfId="23443"/>
    <cellStyle name="Output 7 3" xfId="23444"/>
    <cellStyle name="Output 7 2" xfId="23445"/>
    <cellStyle name="Output 8 3" xfId="23446"/>
    <cellStyle name="Output 8 2" xfId="23447"/>
    <cellStyle name="Output 9 3" xfId="23448"/>
    <cellStyle name="Output 9 2" xfId="23449"/>
    <cellStyle name="Pattern 3" xfId="23450"/>
    <cellStyle name="Pattern 2" xfId="23451"/>
    <cellStyle name="Percent 10 22" xfId="23452"/>
    <cellStyle name="Percent 10 10 3" xfId="23453"/>
    <cellStyle name="Percent 10 10 2" xfId="23454"/>
    <cellStyle name="Percent 10 11 3" xfId="23455"/>
    <cellStyle name="Percent 10 11 2" xfId="23456"/>
    <cellStyle name="Percent 10 12 3" xfId="23457"/>
    <cellStyle name="Percent 10 12 2" xfId="23458"/>
    <cellStyle name="Percent 10 13 3" xfId="23459"/>
    <cellStyle name="Percent 10 13 2" xfId="23460"/>
    <cellStyle name="Percent 10 14 3" xfId="23461"/>
    <cellStyle name="Percent 10 14 2" xfId="23462"/>
    <cellStyle name="Percent 10 15 3" xfId="23463"/>
    <cellStyle name="Percent 10 15 2" xfId="23464"/>
    <cellStyle name="Percent 10 16 3" xfId="23465"/>
    <cellStyle name="Percent 10 16 2" xfId="23466"/>
    <cellStyle name="Percent 10 17 3" xfId="23467"/>
    <cellStyle name="Percent 10 17 2" xfId="23468"/>
    <cellStyle name="Percent 10 18 3" xfId="23469"/>
    <cellStyle name="Percent 10 18 2" xfId="23470"/>
    <cellStyle name="Percent 10 19 3" xfId="23471"/>
    <cellStyle name="Percent 10 19 2" xfId="23472"/>
    <cellStyle name="Percent 10 2 4" xfId="23473"/>
    <cellStyle name="Percent 10 2 2 3" xfId="23474"/>
    <cellStyle name="Percent 10 2 2 2" xfId="23475"/>
    <cellStyle name="Percent 10 2 3" xfId="23476"/>
    <cellStyle name="Percent 10 20 3" xfId="23477"/>
    <cellStyle name="Percent 10 20 2" xfId="23478"/>
    <cellStyle name="Percent 10 21" xfId="23479"/>
    <cellStyle name="Percent 10 3 4" xfId="23480"/>
    <cellStyle name="Percent 10 3 2 3" xfId="23481"/>
    <cellStyle name="Percent 10 3 2 2" xfId="23482"/>
    <cellStyle name="Percent 10 3 3" xfId="23483"/>
    <cellStyle name="Percent 10 4 4" xfId="23484"/>
    <cellStyle name="Percent 10 4 2 3" xfId="23485"/>
    <cellStyle name="Percent 10 4 2 2" xfId="23486"/>
    <cellStyle name="Percent 10 4 3" xfId="23487"/>
    <cellStyle name="Percent 10 5 4" xfId="23488"/>
    <cellStyle name="Percent 10 5 2 3" xfId="23489"/>
    <cellStyle name="Percent 10 5 2 2" xfId="23490"/>
    <cellStyle name="Percent 10 5 3" xfId="23491"/>
    <cellStyle name="Percent 10 6 4" xfId="23492"/>
    <cellStyle name="Percent 10 6 2 3" xfId="23493"/>
    <cellStyle name="Percent 10 6 2 2" xfId="23494"/>
    <cellStyle name="Percent 10 6 3" xfId="23495"/>
    <cellStyle name="Percent 10 7 6" xfId="23496"/>
    <cellStyle name="Percent 10 7 2 3" xfId="23497"/>
    <cellStyle name="Percent 10 7 2 2" xfId="23498"/>
    <cellStyle name="Percent 10 7 3 3" xfId="23499"/>
    <cellStyle name="Percent 10 7 3 2" xfId="23500"/>
    <cellStyle name="Percent 10 7 4 3" xfId="23501"/>
    <cellStyle name="Percent 10 7 4 2" xfId="23502"/>
    <cellStyle name="Percent 10 7 5" xfId="23503"/>
    <cellStyle name="Percent 10 8 4" xfId="23504"/>
    <cellStyle name="Percent 10 8 2 3" xfId="23505"/>
    <cellStyle name="Percent 10 8 2 2" xfId="23506"/>
    <cellStyle name="Percent 10 8 3" xfId="23507"/>
    <cellStyle name="Percent 10 9 3" xfId="23508"/>
    <cellStyle name="Percent 10 9 2" xfId="23509"/>
    <cellStyle name="Percent 11 12" xfId="23510"/>
    <cellStyle name="Percent 11 10 3" xfId="23511"/>
    <cellStyle name="Percent 11 10 2" xfId="23512"/>
    <cellStyle name="Percent 11 11" xfId="23513"/>
    <cellStyle name="Percent 11 2 4" xfId="23514"/>
    <cellStyle name="Percent 11 2 2 3" xfId="23515"/>
    <cellStyle name="Percent 11 2 2 2" xfId="23516"/>
    <cellStyle name="Percent 11 2 3" xfId="23517"/>
    <cellStyle name="Percent 11 3 4" xfId="23518"/>
    <cellStyle name="Percent 11 3 2 3" xfId="23519"/>
    <cellStyle name="Percent 11 3 2 2" xfId="23520"/>
    <cellStyle name="Percent 11 3 3" xfId="23521"/>
    <cellStyle name="Percent 11 4 4" xfId="23522"/>
    <cellStyle name="Percent 11 4 2 3" xfId="23523"/>
    <cellStyle name="Percent 11 4 2 2" xfId="23524"/>
    <cellStyle name="Percent 11 4 3" xfId="23525"/>
    <cellStyle name="Percent 11 5 4" xfId="23526"/>
    <cellStyle name="Percent 11 5 2 3" xfId="23527"/>
    <cellStyle name="Percent 11 5 2 2" xfId="23528"/>
    <cellStyle name="Percent 11 5 3" xfId="23529"/>
    <cellStyle name="Percent 11 6 4" xfId="23530"/>
    <cellStyle name="Percent 11 6 2 3" xfId="23531"/>
    <cellStyle name="Percent 11 6 2 2" xfId="23532"/>
    <cellStyle name="Percent 11 6 3" xfId="23533"/>
    <cellStyle name="Percent 11 7 6" xfId="23534"/>
    <cellStyle name="Percent 11 7 2 3" xfId="23535"/>
    <cellStyle name="Percent 11 7 2 2" xfId="23536"/>
    <cellStyle name="Percent 11 7 3 3" xfId="23537"/>
    <cellStyle name="Percent 11 7 3 2" xfId="23538"/>
    <cellStyle name="Percent 11 7 4 3" xfId="23539"/>
    <cellStyle name="Percent 11 7 4 2" xfId="23540"/>
    <cellStyle name="Percent 11 7 5" xfId="23541"/>
    <cellStyle name="Percent 11 8 4" xfId="23542"/>
    <cellStyle name="Percent 11 8 2 3" xfId="23543"/>
    <cellStyle name="Percent 11 8 2 2" xfId="23544"/>
    <cellStyle name="Percent 11 8 3" xfId="23545"/>
    <cellStyle name="Percent 11 9 3" xfId="23546"/>
    <cellStyle name="Percent 11 9 2" xfId="23547"/>
    <cellStyle name="Percent 12 12" xfId="23548"/>
    <cellStyle name="Percent 12 10 3" xfId="23549"/>
    <cellStyle name="Percent 12 10 2" xfId="23550"/>
    <cellStyle name="Percent 12 11" xfId="23551"/>
    <cellStyle name="Percent 12 2 4" xfId="23552"/>
    <cellStyle name="Percent 12 2 2 3" xfId="23553"/>
    <cellStyle name="Percent 12 2 2 2" xfId="23554"/>
    <cellStyle name="Percent 12 2 3" xfId="23555"/>
    <cellStyle name="Percent 12 3 4" xfId="23556"/>
    <cellStyle name="Percent 12 3 2 3" xfId="23557"/>
    <cellStyle name="Percent 12 3 2 2" xfId="23558"/>
    <cellStyle name="Percent 12 3 3" xfId="23559"/>
    <cellStyle name="Percent 12 4 4" xfId="23560"/>
    <cellStyle name="Percent 12 4 2 3" xfId="23561"/>
    <cellStyle name="Percent 12 4 2 2" xfId="23562"/>
    <cellStyle name="Percent 12 4 3" xfId="23563"/>
    <cellStyle name="Percent 12 5 4" xfId="23564"/>
    <cellStyle name="Percent 12 5 2 3" xfId="23565"/>
    <cellStyle name="Percent 12 5 2 2" xfId="23566"/>
    <cellStyle name="Percent 12 5 3" xfId="23567"/>
    <cellStyle name="Percent 12 6 4" xfId="23568"/>
    <cellStyle name="Percent 12 6 2 3" xfId="23569"/>
    <cellStyle name="Percent 12 6 2 2" xfId="23570"/>
    <cellStyle name="Percent 12 6 3" xfId="23571"/>
    <cellStyle name="Percent 12 7 6" xfId="23572"/>
    <cellStyle name="Percent 12 7 2 3" xfId="23573"/>
    <cellStyle name="Percent 12 7 2 2" xfId="23574"/>
    <cellStyle name="Percent 12 7 3 3" xfId="23575"/>
    <cellStyle name="Percent 12 7 3 2" xfId="23576"/>
    <cellStyle name="Percent 12 7 4 3" xfId="23577"/>
    <cellStyle name="Percent 12 7 4 2" xfId="23578"/>
    <cellStyle name="Percent 12 7 5" xfId="23579"/>
    <cellStyle name="Percent 12 8 4" xfId="23580"/>
    <cellStyle name="Percent 12 8 2 3" xfId="23581"/>
    <cellStyle name="Percent 12 8 2 2" xfId="23582"/>
    <cellStyle name="Percent 12 8 3" xfId="23583"/>
    <cellStyle name="Percent 12 9 3" xfId="23584"/>
    <cellStyle name="Percent 12 9 2" xfId="23585"/>
    <cellStyle name="Percent 13 12" xfId="23586"/>
    <cellStyle name="Percent 13 10 3" xfId="23587"/>
    <cellStyle name="Percent 13 10 2" xfId="23588"/>
    <cellStyle name="Percent 13 11" xfId="23589"/>
    <cellStyle name="Percent 13 2 5" xfId="23590"/>
    <cellStyle name="Percent 13 2 2 4" xfId="23591"/>
    <cellStyle name="Percent 13 2 2 2" xfId="23592"/>
    <cellStyle name="Percent 13 2 2 3" xfId="23593"/>
    <cellStyle name="Percent 13 2 3" xfId="23594"/>
    <cellStyle name="Percent 13 2 4" xfId="23595"/>
    <cellStyle name="Percent 13 3 5" xfId="23596"/>
    <cellStyle name="Percent 13 3 2 4" xfId="23597"/>
    <cellStyle name="Percent 13 3 2 2" xfId="23598"/>
    <cellStyle name="Percent 13 3 2 3" xfId="23599"/>
    <cellStyle name="Percent 13 3 3" xfId="23600"/>
    <cellStyle name="Percent 13 3 4" xfId="23601"/>
    <cellStyle name="Percent 13 4 5" xfId="23602"/>
    <cellStyle name="Percent 13 4 2 4" xfId="23603"/>
    <cellStyle name="Percent 13 4 2 2" xfId="23604"/>
    <cellStyle name="Percent 13 4 2 3" xfId="23605"/>
    <cellStyle name="Percent 13 4 3" xfId="23606"/>
    <cellStyle name="Percent 13 4 4" xfId="23607"/>
    <cellStyle name="Percent 13 5 5" xfId="23608"/>
    <cellStyle name="Percent 13 5 2 4" xfId="23609"/>
    <cellStyle name="Percent 13 5 2 2" xfId="23610"/>
    <cellStyle name="Percent 13 5 2 3" xfId="23611"/>
    <cellStyle name="Percent 13 5 3" xfId="23612"/>
    <cellStyle name="Percent 13 5 4" xfId="23613"/>
    <cellStyle name="Percent 13 6 5" xfId="23614"/>
    <cellStyle name="Percent 13 6 2 4" xfId="23615"/>
    <cellStyle name="Percent 13 6 2 2" xfId="23616"/>
    <cellStyle name="Percent 13 6 2 3" xfId="23617"/>
    <cellStyle name="Percent 13 6 3" xfId="23618"/>
    <cellStyle name="Percent 13 6 4" xfId="23619"/>
    <cellStyle name="Percent 13 7 7" xfId="23620"/>
    <cellStyle name="Percent 13 7 2 4" xfId="23621"/>
    <cellStyle name="Percent 13 7 2 2" xfId="23622"/>
    <cellStyle name="Percent 13 7 2 3" xfId="23623"/>
    <cellStyle name="Percent 13 7 3 4" xfId="23624"/>
    <cellStyle name="Percent 13 7 3 2" xfId="23625"/>
    <cellStyle name="Percent 13 7 3 3" xfId="23626"/>
    <cellStyle name="Percent 13 7 4 4" xfId="23627"/>
    <cellStyle name="Percent 13 7 4 2" xfId="23628"/>
    <cellStyle name="Percent 13 7 4 3" xfId="23629"/>
    <cellStyle name="Percent 13 7 5" xfId="23630"/>
    <cellStyle name="Percent 13 7 6" xfId="23631"/>
    <cellStyle name="Percent 13 8 5" xfId="23632"/>
    <cellStyle name="Percent 13 8 2 4" xfId="23633"/>
    <cellStyle name="Percent 13 8 2 2" xfId="23634"/>
    <cellStyle name="Percent 13 8 2 3" xfId="23635"/>
    <cellStyle name="Percent 13 8 3" xfId="23636"/>
    <cellStyle name="Percent 13 8 4" xfId="23637"/>
    <cellStyle name="Percent 13 9 4" xfId="23638"/>
    <cellStyle name="Percent 13 9 2" xfId="23639"/>
    <cellStyle name="Percent 13 9 3" xfId="23640"/>
    <cellStyle name="Percent 14 13" xfId="23641"/>
    <cellStyle name="Percent 14 10 4" xfId="23642"/>
    <cellStyle name="Percent 14 10 2" xfId="23643"/>
    <cellStyle name="Percent 14 10 3" xfId="23644"/>
    <cellStyle name="Percent 14 11" xfId="23645"/>
    <cellStyle name="Percent 14 12" xfId="23646"/>
    <cellStyle name="Percent 14 2 5" xfId="23647"/>
    <cellStyle name="Percent 14 2 2 4" xfId="23648"/>
    <cellStyle name="Percent 14 2 2 2" xfId="23649"/>
    <cellStyle name="Percent 14 2 2 3" xfId="23650"/>
    <cellStyle name="Percent 14 2 3" xfId="23651"/>
    <cellStyle name="Percent 14 2 4" xfId="23652"/>
    <cellStyle name="Percent 14 3 5" xfId="23653"/>
    <cellStyle name="Percent 14 3 2 4" xfId="23654"/>
    <cellStyle name="Percent 14 3 2 2" xfId="23655"/>
    <cellStyle name="Percent 14 3 2 3" xfId="23656"/>
    <cellStyle name="Percent 14 3 3" xfId="23657"/>
    <cellStyle name="Percent 14 3 4" xfId="23658"/>
    <cellStyle name="Percent 14 4 5" xfId="23659"/>
    <cellStyle name="Percent 14 4 2 4" xfId="23660"/>
    <cellStyle name="Percent 14 4 2 2" xfId="23661"/>
    <cellStyle name="Percent 14 4 2 3" xfId="23662"/>
    <cellStyle name="Percent 14 4 3" xfId="23663"/>
    <cellStyle name="Percent 14 4 4" xfId="23664"/>
    <cellStyle name="Percent 14 5 5" xfId="23665"/>
    <cellStyle name="Percent 14 5 2 4" xfId="23666"/>
    <cellStyle name="Percent 14 5 2 2" xfId="23667"/>
    <cellStyle name="Percent 14 5 2 3" xfId="23668"/>
    <cellStyle name="Percent 14 5 3" xfId="23669"/>
    <cellStyle name="Percent 14 5 4" xfId="23670"/>
    <cellStyle name="Percent 14 6 5" xfId="23671"/>
    <cellStyle name="Percent 14 6 2 4" xfId="23672"/>
    <cellStyle name="Percent 14 6 2 2" xfId="23673"/>
    <cellStyle name="Percent 14 6 2 3" xfId="23674"/>
    <cellStyle name="Percent 14 6 3" xfId="23675"/>
    <cellStyle name="Percent 14 6 4" xfId="23676"/>
    <cellStyle name="Percent 14 7 7" xfId="23677"/>
    <cellStyle name="Percent 14 7 2 4" xfId="23678"/>
    <cellStyle name="Percent 14 7 2 2" xfId="23679"/>
    <cellStyle name="Percent 14 7 2 3" xfId="23680"/>
    <cellStyle name="Percent 14 7 3 4" xfId="23681"/>
    <cellStyle name="Percent 14 7 3 2" xfId="23682"/>
    <cellStyle name="Percent 14 7 3 3" xfId="23683"/>
    <cellStyle name="Percent 14 7 4 4" xfId="23684"/>
    <cellStyle name="Percent 14 7 4 2" xfId="23685"/>
    <cellStyle name="Percent 14 7 4 3" xfId="23686"/>
    <cellStyle name="Percent 14 7 5" xfId="23687"/>
    <cellStyle name="Percent 14 7 6" xfId="23688"/>
    <cellStyle name="Percent 14 8 5" xfId="23689"/>
    <cellStyle name="Percent 14 8 2 4" xfId="23690"/>
    <cellStyle name="Percent 14 8 2 2" xfId="23691"/>
    <cellStyle name="Percent 14 8 2 3" xfId="23692"/>
    <cellStyle name="Percent 14 8 3" xfId="23693"/>
    <cellStyle name="Percent 14 8 4" xfId="23694"/>
    <cellStyle name="Percent 14 9 4" xfId="23695"/>
    <cellStyle name="Percent 14 9 2" xfId="23696"/>
    <cellStyle name="Percent 14 9 3" xfId="23697"/>
    <cellStyle name="Percent 15 18" xfId="23698"/>
    <cellStyle name="Percent 15 10 4" xfId="23699"/>
    <cellStyle name="Percent 15 10 2" xfId="23700"/>
    <cellStyle name="Percent 15 10 3" xfId="23701"/>
    <cellStyle name="Percent 15 11 4" xfId="23702"/>
    <cellStyle name="Percent 15 11 2" xfId="23703"/>
    <cellStyle name="Percent 15 11 3" xfId="23704"/>
    <cellStyle name="Percent 15 12 4" xfId="23705"/>
    <cellStyle name="Percent 15 12 2" xfId="23706"/>
    <cellStyle name="Percent 15 12 3" xfId="23707"/>
    <cellStyle name="Percent 15 13 4" xfId="23708"/>
    <cellStyle name="Percent 15 13 2" xfId="23709"/>
    <cellStyle name="Percent 15 13 3" xfId="23710"/>
    <cellStyle name="Percent 15 14 4" xfId="23711"/>
    <cellStyle name="Percent 15 14 2" xfId="23712"/>
    <cellStyle name="Percent 15 14 3" xfId="23713"/>
    <cellStyle name="Percent 15 15 4" xfId="23714"/>
    <cellStyle name="Percent 15 15 2" xfId="23715"/>
    <cellStyle name="Percent 15 15 3" xfId="23716"/>
    <cellStyle name="Percent 15 16" xfId="23717"/>
    <cellStyle name="Percent 15 17" xfId="23718"/>
    <cellStyle name="Percent 15 2 11" xfId="23719"/>
    <cellStyle name="Percent 15 2 10" xfId="23720"/>
    <cellStyle name="Percent 15 2 2 5" xfId="23721"/>
    <cellStyle name="Percent 15 2 2 2 4" xfId="23722"/>
    <cellStyle name="Percent 15 2 2 2 2" xfId="23723"/>
    <cellStyle name="Percent 15 2 2 2 3" xfId="23724"/>
    <cellStyle name="Percent 15 2 2 3" xfId="23725"/>
    <cellStyle name="Percent 15 2 2 4" xfId="23726"/>
    <cellStyle name="Percent 15 2 3 5" xfId="23727"/>
    <cellStyle name="Percent 15 2 3 2 4" xfId="23728"/>
    <cellStyle name="Percent 15 2 3 2 2" xfId="23729"/>
    <cellStyle name="Percent 15 2 3 2 3" xfId="23730"/>
    <cellStyle name="Percent 15 2 3 3" xfId="23731"/>
    <cellStyle name="Percent 15 2 3 4" xfId="23732"/>
    <cellStyle name="Percent 15 2 4 5" xfId="23733"/>
    <cellStyle name="Percent 15 2 4 2 4" xfId="23734"/>
    <cellStyle name="Percent 15 2 4 2 2" xfId="23735"/>
    <cellStyle name="Percent 15 2 4 2 3" xfId="23736"/>
    <cellStyle name="Percent 15 2 4 3" xfId="23737"/>
    <cellStyle name="Percent 15 2 4 4" xfId="23738"/>
    <cellStyle name="Percent 15 2 5 5" xfId="23739"/>
    <cellStyle name="Percent 15 2 5 2 4" xfId="23740"/>
    <cellStyle name="Percent 15 2 5 2 2" xfId="23741"/>
    <cellStyle name="Percent 15 2 5 2 3" xfId="23742"/>
    <cellStyle name="Percent 15 2 5 3" xfId="23743"/>
    <cellStyle name="Percent 15 2 5 4" xfId="23744"/>
    <cellStyle name="Percent 15 2 6 5" xfId="23745"/>
    <cellStyle name="Percent 15 2 6 2 4" xfId="23746"/>
    <cellStyle name="Percent 15 2 6 2 2" xfId="23747"/>
    <cellStyle name="Percent 15 2 6 2 3" xfId="23748"/>
    <cellStyle name="Percent 15 2 6 3" xfId="23749"/>
    <cellStyle name="Percent 15 2 6 4" xfId="23750"/>
    <cellStyle name="Percent 15 2 7 5" xfId="23751"/>
    <cellStyle name="Percent 15 2 7 2 4" xfId="23752"/>
    <cellStyle name="Percent 15 2 7 2 2" xfId="23753"/>
    <cellStyle name="Percent 15 2 7 2 3" xfId="23754"/>
    <cellStyle name="Percent 15 2 7 3" xfId="23755"/>
    <cellStyle name="Percent 15 2 7 4" xfId="23756"/>
    <cellStyle name="Percent 15 2 8 4" xfId="23757"/>
    <cellStyle name="Percent 15 2 8 2" xfId="23758"/>
    <cellStyle name="Percent 15 2 8 3" xfId="23759"/>
    <cellStyle name="Percent 15 2 9" xfId="23760"/>
    <cellStyle name="Percent 15 3 6" xfId="23761"/>
    <cellStyle name="Percent 15 3 2 4" xfId="23762"/>
    <cellStyle name="Percent 15 3 2 2" xfId="23763"/>
    <cellStyle name="Percent 15 3 2 3" xfId="23764"/>
    <cellStyle name="Percent 15 3 3 5" xfId="23765"/>
    <cellStyle name="Percent 15 3 3 2 4" xfId="23766"/>
    <cellStyle name="Percent 15 3 3 2 2" xfId="23767"/>
    <cellStyle name="Percent 15 3 3 2 3" xfId="23768"/>
    <cellStyle name="Percent 15 3 3 3" xfId="23769"/>
    <cellStyle name="Percent 15 3 3 4" xfId="23770"/>
    <cellStyle name="Percent 15 3 4" xfId="23771"/>
    <cellStyle name="Percent 15 3 5" xfId="23772"/>
    <cellStyle name="Percent 15 4 5" xfId="23773"/>
    <cellStyle name="Percent 15 4 2 4" xfId="23774"/>
    <cellStyle name="Percent 15 4 2 2" xfId="23775"/>
    <cellStyle name="Percent 15 4 2 3" xfId="23776"/>
    <cellStyle name="Percent 15 4 3" xfId="23777"/>
    <cellStyle name="Percent 15 4 4" xfId="23778"/>
    <cellStyle name="Percent 15 5 6" xfId="23779"/>
    <cellStyle name="Percent 15 5 2 4" xfId="23780"/>
    <cellStyle name="Percent 15 5 2 2" xfId="23781"/>
    <cellStyle name="Percent 15 5 2 3" xfId="23782"/>
    <cellStyle name="Percent 15 5 3 5" xfId="23783"/>
    <cellStyle name="Percent 15 5 3 2 4" xfId="23784"/>
    <cellStyle name="Percent 15 5 3 2 2" xfId="23785"/>
    <cellStyle name="Percent 15 5 3 2 3" xfId="23786"/>
    <cellStyle name="Percent 15 5 3 3" xfId="23787"/>
    <cellStyle name="Percent 15 5 3 4" xfId="23788"/>
    <cellStyle name="Percent 15 5 4" xfId="23789"/>
    <cellStyle name="Percent 15 5 5" xfId="23790"/>
    <cellStyle name="Percent 15 6 6" xfId="23791"/>
    <cellStyle name="Percent 15 6 2 4" xfId="23792"/>
    <cellStyle name="Percent 15 6 2 2" xfId="23793"/>
    <cellStyle name="Percent 15 6 2 3" xfId="23794"/>
    <cellStyle name="Percent 15 6 3 5" xfId="23795"/>
    <cellStyle name="Percent 15 6 3 2 4" xfId="23796"/>
    <cellStyle name="Percent 15 6 3 2 2" xfId="23797"/>
    <cellStyle name="Percent 15 6 3 2 3" xfId="23798"/>
    <cellStyle name="Percent 15 6 3 3" xfId="23799"/>
    <cellStyle name="Percent 15 6 3 4" xfId="23800"/>
    <cellStyle name="Percent 15 6 4" xfId="23801"/>
    <cellStyle name="Percent 15 6 5" xfId="23802"/>
    <cellStyle name="Percent 15 7 7" xfId="23803"/>
    <cellStyle name="Percent 15 7 2 4" xfId="23804"/>
    <cellStyle name="Percent 15 7 2 2" xfId="23805"/>
    <cellStyle name="Percent 15 7 2 3" xfId="23806"/>
    <cellStyle name="Percent 15 7 3 4" xfId="23807"/>
    <cellStyle name="Percent 15 7 3 2" xfId="23808"/>
    <cellStyle name="Percent 15 7 3 3" xfId="23809"/>
    <cellStyle name="Percent 15 7 4 5" xfId="23810"/>
    <cellStyle name="Percent 15 7 4 2 4" xfId="23811"/>
    <cellStyle name="Percent 15 7 4 2 2" xfId="23812"/>
    <cellStyle name="Percent 15 7 4 2 3" xfId="23813"/>
    <cellStyle name="Percent 15 7 4 3" xfId="23814"/>
    <cellStyle name="Percent 15 7 4 4" xfId="23815"/>
    <cellStyle name="Percent 15 7 5" xfId="23816"/>
    <cellStyle name="Percent 15 7 6" xfId="23817"/>
    <cellStyle name="Percent 15 8 5" xfId="23818"/>
    <cellStyle name="Percent 15 8 2 4" xfId="23819"/>
    <cellStyle name="Percent 15 8 2 2" xfId="23820"/>
    <cellStyle name="Percent 15 8 2 3" xfId="23821"/>
    <cellStyle name="Percent 15 8 3" xfId="23822"/>
    <cellStyle name="Percent 15 8 4" xfId="23823"/>
    <cellStyle name="Percent 15 9 4" xfId="23824"/>
    <cellStyle name="Percent 15 9 2" xfId="23825"/>
    <cellStyle name="Percent 15 9 3" xfId="23826"/>
    <cellStyle name="Percent 16 12" xfId="23827"/>
    <cellStyle name="Percent 16 10" xfId="23828"/>
    <cellStyle name="Percent 16 11" xfId="23829"/>
    <cellStyle name="Percent 16 2 5" xfId="23830"/>
    <cellStyle name="Percent 16 2 2 4" xfId="23831"/>
    <cellStyle name="Percent 16 2 2 2" xfId="23832"/>
    <cellStyle name="Percent 16 2 2 3" xfId="23833"/>
    <cellStyle name="Percent 16 2 3" xfId="23834"/>
    <cellStyle name="Percent 16 2 4" xfId="23835"/>
    <cellStyle name="Percent 16 3 21" xfId="23836"/>
    <cellStyle name="Percent 16 3 10 4" xfId="23837"/>
    <cellStyle name="Percent 16 3 10 2" xfId="23838"/>
    <cellStyle name="Percent 16 3 10 3" xfId="23839"/>
    <cellStyle name="Percent 16 3 11 4" xfId="23840"/>
    <cellStyle name="Percent 16 3 11 2" xfId="23841"/>
    <cellStyle name="Percent 16 3 11 3" xfId="23842"/>
    <cellStyle name="Percent 16 3 12 4" xfId="23843"/>
    <cellStyle name="Percent 16 3 12 2" xfId="23844"/>
    <cellStyle name="Percent 16 3 12 3" xfId="23845"/>
    <cellStyle name="Percent 16 3 13 4" xfId="23846"/>
    <cellStyle name="Percent 16 3 13 2" xfId="23847"/>
    <cellStyle name="Percent 16 3 13 3" xfId="23848"/>
    <cellStyle name="Percent 16 3 14 4" xfId="23849"/>
    <cellStyle name="Percent 16 3 14 2" xfId="23850"/>
    <cellStyle name="Percent 16 3 14 3" xfId="23851"/>
    <cellStyle name="Percent 16 3 15 4" xfId="23852"/>
    <cellStyle name="Percent 16 3 15 2" xfId="23853"/>
    <cellStyle name="Percent 16 3 15 3" xfId="23854"/>
    <cellStyle name="Percent 16 3 16 4" xfId="23855"/>
    <cellStyle name="Percent 16 3 16 2" xfId="23856"/>
    <cellStyle name="Percent 16 3 16 3" xfId="23857"/>
    <cellStyle name="Percent 16 3 17 4" xfId="23858"/>
    <cellStyle name="Percent 16 3 17 2" xfId="23859"/>
    <cellStyle name="Percent 16 3 17 3" xfId="23860"/>
    <cellStyle name="Percent 16 3 18 4" xfId="23861"/>
    <cellStyle name="Percent 16 3 18 2" xfId="23862"/>
    <cellStyle name="Percent 16 3 18 3" xfId="23863"/>
    <cellStyle name="Percent 16 3 19" xfId="23864"/>
    <cellStyle name="Percent 16 3 2 4" xfId="23865"/>
    <cellStyle name="Percent 16 3 2 2" xfId="23866"/>
    <cellStyle name="Percent 16 3 2 3" xfId="23867"/>
    <cellStyle name="Percent 16 3 20" xfId="23868"/>
    <cellStyle name="Percent 16 3 3 4" xfId="23869"/>
    <cellStyle name="Percent 16 3 3 2" xfId="23870"/>
    <cellStyle name="Percent 16 3 3 3" xfId="23871"/>
    <cellStyle name="Percent 16 3 4 4" xfId="23872"/>
    <cellStyle name="Percent 16 3 4 2" xfId="23873"/>
    <cellStyle name="Percent 16 3 4 3" xfId="23874"/>
    <cellStyle name="Percent 16 3 5 4" xfId="23875"/>
    <cellStyle name="Percent 16 3 5 2" xfId="23876"/>
    <cellStyle name="Percent 16 3 5 3" xfId="23877"/>
    <cellStyle name="Percent 16 3 6 4" xfId="23878"/>
    <cellStyle name="Percent 16 3 6 2" xfId="23879"/>
    <cellStyle name="Percent 16 3 6 3" xfId="23880"/>
    <cellStyle name="Percent 16 3 7 4" xfId="23881"/>
    <cellStyle name="Percent 16 3 7 2" xfId="23882"/>
    <cellStyle name="Percent 16 3 7 3" xfId="23883"/>
    <cellStyle name="Percent 16 3 8 4" xfId="23884"/>
    <cellStyle name="Percent 16 3 8 2" xfId="23885"/>
    <cellStyle name="Percent 16 3 8 3" xfId="23886"/>
    <cellStyle name="Percent 16 3 9 4" xfId="23887"/>
    <cellStyle name="Percent 16 3 9 2" xfId="23888"/>
    <cellStyle name="Percent 16 3 9 3" xfId="23889"/>
    <cellStyle name="Percent 16 4 21" xfId="23890"/>
    <cellStyle name="Percent 16 4 10 4" xfId="23891"/>
    <cellStyle name="Percent 16 4 10 2" xfId="23892"/>
    <cellStyle name="Percent 16 4 10 3" xfId="23893"/>
    <cellStyle name="Percent 16 4 11 4" xfId="23894"/>
    <cellStyle name="Percent 16 4 11 2" xfId="23895"/>
    <cellStyle name="Percent 16 4 11 3" xfId="23896"/>
    <cellStyle name="Percent 16 4 12 4" xfId="23897"/>
    <cellStyle name="Percent 16 4 12 2" xfId="23898"/>
    <cellStyle name="Percent 16 4 12 3" xfId="23899"/>
    <cellStyle name="Percent 16 4 13 4" xfId="23900"/>
    <cellStyle name="Percent 16 4 13 2" xfId="23901"/>
    <cellStyle name="Percent 16 4 13 3" xfId="23902"/>
    <cellStyle name="Percent 16 4 14 4" xfId="23903"/>
    <cellStyle name="Percent 16 4 14 2" xfId="23904"/>
    <cellStyle name="Percent 16 4 14 3" xfId="23905"/>
    <cellStyle name="Percent 16 4 15 4" xfId="23906"/>
    <cellStyle name="Percent 16 4 15 2" xfId="23907"/>
    <cellStyle name="Percent 16 4 15 3" xfId="23908"/>
    <cellStyle name="Percent 16 4 16 4" xfId="23909"/>
    <cellStyle name="Percent 16 4 16 2" xfId="23910"/>
    <cellStyle name="Percent 16 4 16 3" xfId="23911"/>
    <cellStyle name="Percent 16 4 17 4" xfId="23912"/>
    <cellStyle name="Percent 16 4 17 2" xfId="23913"/>
    <cellStyle name="Percent 16 4 17 3" xfId="23914"/>
    <cellStyle name="Percent 16 4 18 4" xfId="23915"/>
    <cellStyle name="Percent 16 4 18 2" xfId="23916"/>
    <cellStyle name="Percent 16 4 18 3" xfId="23917"/>
    <cellStyle name="Percent 16 4 19" xfId="23918"/>
    <cellStyle name="Percent 16 4 2 4" xfId="23919"/>
    <cellStyle name="Percent 16 4 2 2" xfId="23920"/>
    <cellStyle name="Percent 16 4 2 3" xfId="23921"/>
    <cellStyle name="Percent 16 4 20" xfId="23922"/>
    <cellStyle name="Percent 16 4 3 4" xfId="23923"/>
    <cellStyle name="Percent 16 4 3 2" xfId="23924"/>
    <cellStyle name="Percent 16 4 3 3" xfId="23925"/>
    <cellStyle name="Percent 16 4 4 4" xfId="23926"/>
    <cellStyle name="Percent 16 4 4 2" xfId="23927"/>
    <cellStyle name="Percent 16 4 4 3" xfId="23928"/>
    <cellStyle name="Percent 16 4 5 4" xfId="23929"/>
    <cellStyle name="Percent 16 4 5 2" xfId="23930"/>
    <cellStyle name="Percent 16 4 5 3" xfId="23931"/>
    <cellStyle name="Percent 16 4 6 4" xfId="23932"/>
    <cellStyle name="Percent 16 4 6 2" xfId="23933"/>
    <cellStyle name="Percent 16 4 6 3" xfId="23934"/>
    <cellStyle name="Percent 16 4 7 4" xfId="23935"/>
    <cellStyle name="Percent 16 4 7 2" xfId="23936"/>
    <cellStyle name="Percent 16 4 7 3" xfId="23937"/>
    <cellStyle name="Percent 16 4 8 4" xfId="23938"/>
    <cellStyle name="Percent 16 4 8 2" xfId="23939"/>
    <cellStyle name="Percent 16 4 8 3" xfId="23940"/>
    <cellStyle name="Percent 16 4 9 4" xfId="23941"/>
    <cellStyle name="Percent 16 4 9 2" xfId="23942"/>
    <cellStyle name="Percent 16 4 9 3" xfId="23943"/>
    <cellStyle name="Percent 16 5 21" xfId="23944"/>
    <cellStyle name="Percent 16 5 10 4" xfId="23945"/>
    <cellStyle name="Percent 16 5 10 2" xfId="23946"/>
    <cellStyle name="Percent 16 5 10 3" xfId="23947"/>
    <cellStyle name="Percent 16 5 11 4" xfId="23948"/>
    <cellStyle name="Percent 16 5 11 2" xfId="23949"/>
    <cellStyle name="Percent 16 5 11 3" xfId="23950"/>
    <cellStyle name="Percent 16 5 12 4" xfId="23951"/>
    <cellStyle name="Percent 16 5 12 2" xfId="23952"/>
    <cellStyle name="Percent 16 5 12 3" xfId="23953"/>
    <cellStyle name="Percent 16 5 13 4" xfId="23954"/>
    <cellStyle name="Percent 16 5 13 2" xfId="23955"/>
    <cellStyle name="Percent 16 5 13 3" xfId="23956"/>
    <cellStyle name="Percent 16 5 14 4" xfId="23957"/>
    <cellStyle name="Percent 16 5 14 2" xfId="23958"/>
    <cellStyle name="Percent 16 5 14 3" xfId="23959"/>
    <cellStyle name="Percent 16 5 15 4" xfId="23960"/>
    <cellStyle name="Percent 16 5 15 2" xfId="23961"/>
    <cellStyle name="Percent 16 5 15 3" xfId="23962"/>
    <cellStyle name="Percent 16 5 16 4" xfId="23963"/>
    <cellStyle name="Percent 16 5 16 2" xfId="23964"/>
    <cellStyle name="Percent 16 5 16 3" xfId="23965"/>
    <cellStyle name="Percent 16 5 17 4" xfId="23966"/>
    <cellStyle name="Percent 16 5 17 2" xfId="23967"/>
    <cellStyle name="Percent 16 5 17 3" xfId="23968"/>
    <cellStyle name="Percent 16 5 18 4" xfId="23969"/>
    <cellStyle name="Percent 16 5 18 2" xfId="23970"/>
    <cellStyle name="Percent 16 5 18 3" xfId="23971"/>
    <cellStyle name="Percent 16 5 19" xfId="23972"/>
    <cellStyle name="Percent 16 5 2 4" xfId="23973"/>
    <cellStyle name="Percent 16 5 2 2" xfId="23974"/>
    <cellStyle name="Percent 16 5 2 3" xfId="23975"/>
    <cellStyle name="Percent 16 5 20" xfId="23976"/>
    <cellStyle name="Percent 16 5 3 4" xfId="23977"/>
    <cellStyle name="Percent 16 5 3 2" xfId="23978"/>
    <cellStyle name="Percent 16 5 3 3" xfId="23979"/>
    <cellStyle name="Percent 16 5 4 4" xfId="23980"/>
    <cellStyle name="Percent 16 5 4 2" xfId="23981"/>
    <cellStyle name="Percent 16 5 4 3" xfId="23982"/>
    <cellStyle name="Percent 16 5 5 4" xfId="23983"/>
    <cellStyle name="Percent 16 5 5 2" xfId="23984"/>
    <cellStyle name="Percent 16 5 5 3" xfId="23985"/>
    <cellStyle name="Percent 16 5 6 4" xfId="23986"/>
    <cellStyle name="Percent 16 5 6 2" xfId="23987"/>
    <cellStyle name="Percent 16 5 6 3" xfId="23988"/>
    <cellStyle name="Percent 16 5 7 4" xfId="23989"/>
    <cellStyle name="Percent 16 5 7 2" xfId="23990"/>
    <cellStyle name="Percent 16 5 7 3" xfId="23991"/>
    <cellStyle name="Percent 16 5 8 4" xfId="23992"/>
    <cellStyle name="Percent 16 5 8 2" xfId="23993"/>
    <cellStyle name="Percent 16 5 8 3" xfId="23994"/>
    <cellStyle name="Percent 16 5 9 4" xfId="23995"/>
    <cellStyle name="Percent 16 5 9 2" xfId="23996"/>
    <cellStyle name="Percent 16 5 9 3" xfId="23997"/>
    <cellStyle name="Percent 16 6 21" xfId="23998"/>
    <cellStyle name="Percent 16 6 10 4" xfId="23999"/>
    <cellStyle name="Percent 16 6 10 2" xfId="24000"/>
    <cellStyle name="Percent 16 6 10 3" xfId="24001"/>
    <cellStyle name="Percent 16 6 11 4" xfId="24002"/>
    <cellStyle name="Percent 16 6 11 2" xfId="24003"/>
    <cellStyle name="Percent 16 6 11 3" xfId="24004"/>
    <cellStyle name="Percent 16 6 12 4" xfId="24005"/>
    <cellStyle name="Percent 16 6 12 2" xfId="24006"/>
    <cellStyle name="Percent 16 6 12 3" xfId="24007"/>
    <cellStyle name="Percent 16 6 13 4" xfId="24008"/>
    <cellStyle name="Percent 16 6 13 2" xfId="24009"/>
    <cellStyle name="Percent 16 6 13 3" xfId="24010"/>
    <cellStyle name="Percent 16 6 14 4" xfId="24011"/>
    <cellStyle name="Percent 16 6 14 2" xfId="24012"/>
    <cellStyle name="Percent 16 6 14 3" xfId="24013"/>
    <cellStyle name="Percent 16 6 15 4" xfId="24014"/>
    <cellStyle name="Percent 16 6 15 2" xfId="24015"/>
    <cellStyle name="Percent 16 6 15 3" xfId="24016"/>
    <cellStyle name="Percent 16 6 16 4" xfId="24017"/>
    <cellStyle name="Percent 16 6 16 2" xfId="24018"/>
    <cellStyle name="Percent 16 6 16 3" xfId="24019"/>
    <cellStyle name="Percent 16 6 17 4" xfId="24020"/>
    <cellStyle name="Percent 16 6 17 2" xfId="24021"/>
    <cellStyle name="Percent 16 6 17 3" xfId="24022"/>
    <cellStyle name="Percent 16 6 18 4" xfId="24023"/>
    <cellStyle name="Percent 16 6 18 2" xfId="24024"/>
    <cellStyle name="Percent 16 6 18 3" xfId="24025"/>
    <cellStyle name="Percent 16 6 19" xfId="24026"/>
    <cellStyle name="Percent 16 6 2 4" xfId="24027"/>
    <cellStyle name="Percent 16 6 2 2" xfId="24028"/>
    <cellStyle name="Percent 16 6 2 3" xfId="24029"/>
    <cellStyle name="Percent 16 6 20" xfId="24030"/>
    <cellStyle name="Percent 16 6 3 4" xfId="24031"/>
    <cellStyle name="Percent 16 6 3 2" xfId="24032"/>
    <cellStyle name="Percent 16 6 3 3" xfId="24033"/>
    <cellStyle name="Percent 16 6 4 4" xfId="24034"/>
    <cellStyle name="Percent 16 6 4 2" xfId="24035"/>
    <cellStyle name="Percent 16 6 4 3" xfId="24036"/>
    <cellStyle name="Percent 16 6 5 4" xfId="24037"/>
    <cellStyle name="Percent 16 6 5 2" xfId="24038"/>
    <cellStyle name="Percent 16 6 5 3" xfId="24039"/>
    <cellStyle name="Percent 16 6 6 4" xfId="24040"/>
    <cellStyle name="Percent 16 6 6 2" xfId="24041"/>
    <cellStyle name="Percent 16 6 6 3" xfId="24042"/>
    <cellStyle name="Percent 16 6 7 4" xfId="24043"/>
    <cellStyle name="Percent 16 6 7 2" xfId="24044"/>
    <cellStyle name="Percent 16 6 7 3" xfId="24045"/>
    <cellStyle name="Percent 16 6 8 4" xfId="24046"/>
    <cellStyle name="Percent 16 6 8 2" xfId="24047"/>
    <cellStyle name="Percent 16 6 8 3" xfId="24048"/>
    <cellStyle name="Percent 16 6 9 4" xfId="24049"/>
    <cellStyle name="Percent 16 6 9 2" xfId="24050"/>
    <cellStyle name="Percent 16 6 9 3" xfId="24051"/>
    <cellStyle name="Percent 16 7 21" xfId="24052"/>
    <cellStyle name="Percent 16 7 10 4" xfId="24053"/>
    <cellStyle name="Percent 16 7 10 2" xfId="24054"/>
    <cellStyle name="Percent 16 7 10 3" xfId="24055"/>
    <cellStyle name="Percent 16 7 11 4" xfId="24056"/>
    <cellStyle name="Percent 16 7 11 2" xfId="24057"/>
    <cellStyle name="Percent 16 7 11 3" xfId="24058"/>
    <cellStyle name="Percent 16 7 12 4" xfId="24059"/>
    <cellStyle name="Percent 16 7 12 2" xfId="24060"/>
    <cellStyle name="Percent 16 7 12 3" xfId="24061"/>
    <cellStyle name="Percent 16 7 13 4" xfId="24062"/>
    <cellStyle name="Percent 16 7 13 2" xfId="24063"/>
    <cellStyle name="Percent 16 7 13 3" xfId="24064"/>
    <cellStyle name="Percent 16 7 14 4" xfId="24065"/>
    <cellStyle name="Percent 16 7 14 2" xfId="24066"/>
    <cellStyle name="Percent 16 7 14 3" xfId="24067"/>
    <cellStyle name="Percent 16 7 15 4" xfId="24068"/>
    <cellStyle name="Percent 16 7 15 2" xfId="24069"/>
    <cellStyle name="Percent 16 7 15 3" xfId="24070"/>
    <cellStyle name="Percent 16 7 16 4" xfId="24071"/>
    <cellStyle name="Percent 16 7 16 2" xfId="24072"/>
    <cellStyle name="Percent 16 7 16 3" xfId="24073"/>
    <cellStyle name="Percent 16 7 17 4" xfId="24074"/>
    <cellStyle name="Percent 16 7 17 2" xfId="24075"/>
    <cellStyle name="Percent 16 7 17 3" xfId="24076"/>
    <cellStyle name="Percent 16 7 18 4" xfId="24077"/>
    <cellStyle name="Percent 16 7 18 2" xfId="24078"/>
    <cellStyle name="Percent 16 7 18 3" xfId="24079"/>
    <cellStyle name="Percent 16 7 19" xfId="24080"/>
    <cellStyle name="Percent 16 7 2 5" xfId="24081"/>
    <cellStyle name="Percent 16 7 2 2 4" xfId="24082"/>
    <cellStyle name="Percent 16 7 2 2 2" xfId="24083"/>
    <cellStyle name="Percent 16 7 2 2 3" xfId="24084"/>
    <cellStyle name="Percent 16 7 2 3" xfId="24085"/>
    <cellStyle name="Percent 16 7 2 4" xfId="24086"/>
    <cellStyle name="Percent 16 7 20" xfId="24087"/>
    <cellStyle name="Percent 16 7 3 5" xfId="24088"/>
    <cellStyle name="Percent 16 7 3 2 4" xfId="24089"/>
    <cellStyle name="Percent 16 7 3 2 2" xfId="24090"/>
    <cellStyle name="Percent 16 7 3 2 3" xfId="24091"/>
    <cellStyle name="Percent 16 7 3 3" xfId="24092"/>
    <cellStyle name="Percent 16 7 3 4" xfId="24093"/>
    <cellStyle name="Percent 16 7 4 4" xfId="24094"/>
    <cellStyle name="Percent 16 7 4 2" xfId="24095"/>
    <cellStyle name="Percent 16 7 4 3" xfId="24096"/>
    <cellStyle name="Percent 16 7 5 4" xfId="24097"/>
    <cellStyle name="Percent 16 7 5 2" xfId="24098"/>
    <cellStyle name="Percent 16 7 5 3" xfId="24099"/>
    <cellStyle name="Percent 16 7 6 4" xfId="24100"/>
    <cellStyle name="Percent 16 7 6 2" xfId="24101"/>
    <cellStyle name="Percent 16 7 6 3" xfId="24102"/>
    <cellStyle name="Percent 16 7 7 4" xfId="24103"/>
    <cellStyle name="Percent 16 7 7 2" xfId="24104"/>
    <cellStyle name="Percent 16 7 7 3" xfId="24105"/>
    <cellStyle name="Percent 16 7 8 4" xfId="24106"/>
    <cellStyle name="Percent 16 7 8 2" xfId="24107"/>
    <cellStyle name="Percent 16 7 8 3" xfId="24108"/>
    <cellStyle name="Percent 16 7 9 4" xfId="24109"/>
    <cellStyle name="Percent 16 7 9 2" xfId="24110"/>
    <cellStyle name="Percent 16 7 9 3" xfId="24111"/>
    <cellStyle name="Percent 16 8 20" xfId="24112"/>
    <cellStyle name="Percent 16 8 10 4" xfId="24113"/>
    <cellStyle name="Percent 16 8 10 2" xfId="24114"/>
    <cellStyle name="Percent 16 8 10 3" xfId="24115"/>
    <cellStyle name="Percent 16 8 11 4" xfId="24116"/>
    <cellStyle name="Percent 16 8 11 2" xfId="24117"/>
    <cellStyle name="Percent 16 8 11 3" xfId="24118"/>
    <cellStyle name="Percent 16 8 12 4" xfId="24119"/>
    <cellStyle name="Percent 16 8 12 2" xfId="24120"/>
    <cellStyle name="Percent 16 8 12 3" xfId="24121"/>
    <cellStyle name="Percent 16 8 13 4" xfId="24122"/>
    <cellStyle name="Percent 16 8 13 2" xfId="24123"/>
    <cellStyle name="Percent 16 8 13 3" xfId="24124"/>
    <cellStyle name="Percent 16 8 14 4" xfId="24125"/>
    <cellStyle name="Percent 16 8 14 2" xfId="24126"/>
    <cellStyle name="Percent 16 8 14 3" xfId="24127"/>
    <cellStyle name="Percent 16 8 15 4" xfId="24128"/>
    <cellStyle name="Percent 16 8 15 2" xfId="24129"/>
    <cellStyle name="Percent 16 8 15 3" xfId="24130"/>
    <cellStyle name="Percent 16 8 16 4" xfId="24131"/>
    <cellStyle name="Percent 16 8 16 2" xfId="24132"/>
    <cellStyle name="Percent 16 8 16 3" xfId="24133"/>
    <cellStyle name="Percent 16 8 17 4" xfId="24134"/>
    <cellStyle name="Percent 16 8 17 2" xfId="24135"/>
    <cellStyle name="Percent 16 8 17 3" xfId="24136"/>
    <cellStyle name="Percent 16 8 18" xfId="24137"/>
    <cellStyle name="Percent 16 8 19" xfId="24138"/>
    <cellStyle name="Percent 16 8 2 4" xfId="24139"/>
    <cellStyle name="Percent 16 8 2 2" xfId="24140"/>
    <cellStyle name="Percent 16 8 2 3" xfId="24141"/>
    <cellStyle name="Percent 16 8 3 4" xfId="24142"/>
    <cellStyle name="Percent 16 8 3 2" xfId="24143"/>
    <cellStyle name="Percent 16 8 3 3" xfId="24144"/>
    <cellStyle name="Percent 16 8 4 4" xfId="24145"/>
    <cellStyle name="Percent 16 8 4 2" xfId="24146"/>
    <cellStyle name="Percent 16 8 4 3" xfId="24147"/>
    <cellStyle name="Percent 16 8 5 4" xfId="24148"/>
    <cellStyle name="Percent 16 8 5 2" xfId="24149"/>
    <cellStyle name="Percent 16 8 5 3" xfId="24150"/>
    <cellStyle name="Percent 16 8 6 4" xfId="24151"/>
    <cellStyle name="Percent 16 8 6 2" xfId="24152"/>
    <cellStyle name="Percent 16 8 6 3" xfId="24153"/>
    <cellStyle name="Percent 16 8 7 4" xfId="24154"/>
    <cellStyle name="Percent 16 8 7 2" xfId="24155"/>
    <cellStyle name="Percent 16 8 7 3" xfId="24156"/>
    <cellStyle name="Percent 16 8 8 4" xfId="24157"/>
    <cellStyle name="Percent 16 8 8 2" xfId="24158"/>
    <cellStyle name="Percent 16 8 8 3" xfId="24159"/>
    <cellStyle name="Percent 16 8 9 4" xfId="24160"/>
    <cellStyle name="Percent 16 8 9 2" xfId="24161"/>
    <cellStyle name="Percent 16 8 9 3" xfId="24162"/>
    <cellStyle name="Percent 16 9 20" xfId="24163"/>
    <cellStyle name="Percent 16 9 10 4" xfId="24164"/>
    <cellStyle name="Percent 16 9 10 2" xfId="24165"/>
    <cellStyle name="Percent 16 9 10 3" xfId="24166"/>
    <cellStyle name="Percent 16 9 11 4" xfId="24167"/>
    <cellStyle name="Percent 16 9 11 2" xfId="24168"/>
    <cellStyle name="Percent 16 9 11 3" xfId="24169"/>
    <cellStyle name="Percent 16 9 12 4" xfId="24170"/>
    <cellStyle name="Percent 16 9 12 2" xfId="24171"/>
    <cellStyle name="Percent 16 9 12 3" xfId="24172"/>
    <cellStyle name="Percent 16 9 13 4" xfId="24173"/>
    <cellStyle name="Percent 16 9 13 2" xfId="24174"/>
    <cellStyle name="Percent 16 9 13 3" xfId="24175"/>
    <cellStyle name="Percent 16 9 14 4" xfId="24176"/>
    <cellStyle name="Percent 16 9 14 2" xfId="24177"/>
    <cellStyle name="Percent 16 9 14 3" xfId="24178"/>
    <cellStyle name="Percent 16 9 15 4" xfId="24179"/>
    <cellStyle name="Percent 16 9 15 2" xfId="24180"/>
    <cellStyle name="Percent 16 9 15 3" xfId="24181"/>
    <cellStyle name="Percent 16 9 16 4" xfId="24182"/>
    <cellStyle name="Percent 16 9 16 2" xfId="24183"/>
    <cellStyle name="Percent 16 9 16 3" xfId="24184"/>
    <cellStyle name="Percent 16 9 17 4" xfId="24185"/>
    <cellStyle name="Percent 16 9 17 2" xfId="24186"/>
    <cellStyle name="Percent 16 9 17 3" xfId="24187"/>
    <cellStyle name="Percent 16 9 18" xfId="24188"/>
    <cellStyle name="Percent 16 9 19" xfId="24189"/>
    <cellStyle name="Percent 16 9 2 4" xfId="24190"/>
    <cellStyle name="Percent 16 9 2 2" xfId="24191"/>
    <cellStyle name="Percent 16 9 2 3" xfId="24192"/>
    <cellStyle name="Percent 16 9 3 4" xfId="24193"/>
    <cellStyle name="Percent 16 9 3 2" xfId="24194"/>
    <cellStyle name="Percent 16 9 3 3" xfId="24195"/>
    <cellStyle name="Percent 16 9 4 4" xfId="24196"/>
    <cellStyle name="Percent 16 9 4 2" xfId="24197"/>
    <cellStyle name="Percent 16 9 4 3" xfId="24198"/>
    <cellStyle name="Percent 16 9 5 4" xfId="24199"/>
    <cellStyle name="Percent 16 9 5 2" xfId="24200"/>
    <cellStyle name="Percent 16 9 5 3" xfId="24201"/>
    <cellStyle name="Percent 16 9 6 4" xfId="24202"/>
    <cellStyle name="Percent 16 9 6 2" xfId="24203"/>
    <cellStyle name="Percent 16 9 6 3" xfId="24204"/>
    <cellStyle name="Percent 16 9 7 4" xfId="24205"/>
    <cellStyle name="Percent 16 9 7 2" xfId="24206"/>
    <cellStyle name="Percent 16 9 7 3" xfId="24207"/>
    <cellStyle name="Percent 16 9 8 4" xfId="24208"/>
    <cellStyle name="Percent 16 9 8 2" xfId="24209"/>
    <cellStyle name="Percent 16 9 8 3" xfId="24210"/>
    <cellStyle name="Percent 16 9 9 4" xfId="24211"/>
    <cellStyle name="Percent 16 9 9 2" xfId="24212"/>
    <cellStyle name="Percent 16 9 9 3" xfId="24213"/>
    <cellStyle name="Percent 17 12" xfId="24214"/>
    <cellStyle name="Percent 17 10" xfId="24215"/>
    <cellStyle name="Percent 17 11" xfId="24216"/>
    <cellStyle name="Percent 17 2 5" xfId="24217"/>
    <cellStyle name="Percent 17 2 2 4" xfId="24218"/>
    <cellStyle name="Percent 17 2 2 2" xfId="24219"/>
    <cellStyle name="Percent 17 2 2 3" xfId="24220"/>
    <cellStyle name="Percent 17 2 3" xfId="24221"/>
    <cellStyle name="Percent 17 2 4" xfId="24222"/>
    <cellStyle name="Percent 17 3 4" xfId="24223"/>
    <cellStyle name="Percent 17 3 2" xfId="24224"/>
    <cellStyle name="Percent 17 3 3" xfId="24225"/>
    <cellStyle name="Percent 17 4 4" xfId="24226"/>
    <cellStyle name="Percent 17 4 2" xfId="24227"/>
    <cellStyle name="Percent 17 4 3" xfId="24228"/>
    <cellStyle name="Percent 17 5 4" xfId="24229"/>
    <cellStyle name="Percent 17 5 2" xfId="24230"/>
    <cellStyle name="Percent 17 5 3" xfId="24231"/>
    <cellStyle name="Percent 17 6 4" xfId="24232"/>
    <cellStyle name="Percent 17 6 2" xfId="24233"/>
    <cellStyle name="Percent 17 6 3" xfId="24234"/>
    <cellStyle name="Percent 17 7 6" xfId="24235"/>
    <cellStyle name="Percent 17 7 2 4" xfId="24236"/>
    <cellStyle name="Percent 17 7 2 2" xfId="24237"/>
    <cellStyle name="Percent 17 7 2 3" xfId="24238"/>
    <cellStyle name="Percent 17 7 3 4" xfId="24239"/>
    <cellStyle name="Percent 17 7 3 2" xfId="24240"/>
    <cellStyle name="Percent 17 7 3 3" xfId="24241"/>
    <cellStyle name="Percent 17 7 4" xfId="24242"/>
    <cellStyle name="Percent 17 7 5" xfId="24243"/>
    <cellStyle name="Percent 17 8 5" xfId="24244"/>
    <cellStyle name="Percent 17 8 2 4" xfId="24245"/>
    <cellStyle name="Percent 17 8 2 2" xfId="24246"/>
    <cellStyle name="Percent 17 8 2 3" xfId="24247"/>
    <cellStyle name="Percent 17 8 3" xfId="24248"/>
    <cellStyle name="Percent 17 8 4" xfId="24249"/>
    <cellStyle name="Percent 17 9 8" xfId="24250"/>
    <cellStyle name="Percent 17 9 2 4" xfId="24251"/>
    <cellStyle name="Percent 17 9 2 2" xfId="24252"/>
    <cellStyle name="Percent 17 9 2 3" xfId="24253"/>
    <cellStyle name="Percent 17 9 3 6" xfId="24254"/>
    <cellStyle name="Percent 17 9 3 2 4" xfId="24255"/>
    <cellStyle name="Percent 17 9 3 2 2" xfId="24256"/>
    <cellStyle name="Percent 17 9 3 2 3" xfId="24257"/>
    <cellStyle name="Percent 17 9 3 3 4" xfId="24258"/>
    <cellStyle name="Percent 17 9 3 3 2" xfId="24259"/>
    <cellStyle name="Percent 17 9 3 3 3" xfId="24260"/>
    <cellStyle name="Percent 17 9 3 4" xfId="24261"/>
    <cellStyle name="Percent 17 9 3 4 2" xfId="24262"/>
    <cellStyle name="Percent 17 9 3 5" xfId="24263"/>
    <cellStyle name="Percent 17 9 4 4" xfId="24264"/>
    <cellStyle name="Percent 17 9 4 2" xfId="24265"/>
    <cellStyle name="Percent 17 9 4 3" xfId="24266"/>
    <cellStyle name="Percent 17 9 5 3" xfId="24267"/>
    <cellStyle name="Percent 17 9 5 2" xfId="24268"/>
    <cellStyle name="Percent 17 9 6" xfId="24269"/>
    <cellStyle name="Percent 17 9 7" xfId="24270"/>
    <cellStyle name="Percent 18 6" xfId="24271"/>
    <cellStyle name="Percent 18 2 4" xfId="24272"/>
    <cellStyle name="Percent 18 2 2" xfId="24273"/>
    <cellStyle name="Percent 18 2 3" xfId="24274"/>
    <cellStyle name="Percent 18 3 3" xfId="24275"/>
    <cellStyle name="Percent 18 3 2" xfId="24276"/>
    <cellStyle name="Percent 18 4" xfId="24277"/>
    <cellStyle name="Percent 18 5" xfId="24278"/>
    <cellStyle name="Percent 19 4" xfId="24279"/>
    <cellStyle name="Percent 19 2" xfId="24280"/>
    <cellStyle name="Percent 19 2 2" xfId="24281"/>
    <cellStyle name="Percent 19 3" xfId="24282"/>
    <cellStyle name="Percent 2 54" xfId="24283"/>
    <cellStyle name="Percent 2 10 11" xfId="24284"/>
    <cellStyle name="Percent 2 10 10" xfId="24285"/>
    <cellStyle name="Percent 2 10 2 4" xfId="24286"/>
    <cellStyle name="Percent 2 10 2 2" xfId="24287"/>
    <cellStyle name="Percent 2 10 2 3" xfId="24288"/>
    <cellStyle name="Percent 2 10 3 4" xfId="24289"/>
    <cellStyle name="Percent 2 10 3 2" xfId="24290"/>
    <cellStyle name="Percent 2 10 3 3" xfId="24291"/>
    <cellStyle name="Percent 2 10 4 4" xfId="24292"/>
    <cellStyle name="Percent 2 10 4 2" xfId="24293"/>
    <cellStyle name="Percent 2 10 4 3" xfId="24294"/>
    <cellStyle name="Percent 2 10 5 4" xfId="24295"/>
    <cellStyle name="Percent 2 10 5 2" xfId="24296"/>
    <cellStyle name="Percent 2 10 5 3" xfId="24297"/>
    <cellStyle name="Percent 2 10 6 4" xfId="24298"/>
    <cellStyle name="Percent 2 10 6 2" xfId="24299"/>
    <cellStyle name="Percent 2 10 6 3" xfId="24300"/>
    <cellStyle name="Percent 2 10 7 4" xfId="24301"/>
    <cellStyle name="Percent 2 10 7 2" xfId="24302"/>
    <cellStyle name="Percent 2 10 7 3" xfId="24303"/>
    <cellStyle name="Percent 2 10 8 4" xfId="24304"/>
    <cellStyle name="Percent 2 10 8 2" xfId="24305"/>
    <cellStyle name="Percent 2 10 8 3" xfId="24306"/>
    <cellStyle name="Percent 2 10 9" xfId="24307"/>
    <cellStyle name="Percent 2 11 11" xfId="24308"/>
    <cellStyle name="Percent 2 11 10" xfId="24309"/>
    <cellStyle name="Percent 2 11 2 4" xfId="24310"/>
    <cellStyle name="Percent 2 11 2 2" xfId="24311"/>
    <cellStyle name="Percent 2 11 2 3" xfId="24312"/>
    <cellStyle name="Percent 2 11 3 4" xfId="24313"/>
    <cellStyle name="Percent 2 11 3 2" xfId="24314"/>
    <cellStyle name="Percent 2 11 3 3" xfId="24315"/>
    <cellStyle name="Percent 2 11 4 4" xfId="24316"/>
    <cellStyle name="Percent 2 11 4 2" xfId="24317"/>
    <cellStyle name="Percent 2 11 4 3" xfId="24318"/>
    <cellStyle name="Percent 2 11 5 4" xfId="24319"/>
    <cellStyle name="Percent 2 11 5 2" xfId="24320"/>
    <cellStyle name="Percent 2 11 5 3" xfId="24321"/>
    <cellStyle name="Percent 2 11 6 4" xfId="24322"/>
    <cellStyle name="Percent 2 11 6 2" xfId="24323"/>
    <cellStyle name="Percent 2 11 6 3" xfId="24324"/>
    <cellStyle name="Percent 2 11 7 4" xfId="24325"/>
    <cellStyle name="Percent 2 11 7 2" xfId="24326"/>
    <cellStyle name="Percent 2 11 7 3" xfId="24327"/>
    <cellStyle name="Percent 2 11 8 4" xfId="24328"/>
    <cellStyle name="Percent 2 11 8 2" xfId="24329"/>
    <cellStyle name="Percent 2 11 8 3" xfId="24330"/>
    <cellStyle name="Percent 2 11 9" xfId="24331"/>
    <cellStyle name="Percent 2 12 4" xfId="24332"/>
    <cellStyle name="Percent 2 12 2" xfId="24333"/>
    <cellStyle name="Percent 2 12 3" xfId="24334"/>
    <cellStyle name="Percent 2 13 4" xfId="24335"/>
    <cellStyle name="Percent 2 13 2" xfId="24336"/>
    <cellStyle name="Percent 2 13 3" xfId="24337"/>
    <cellStyle name="Percent 2 14 4" xfId="24338"/>
    <cellStyle name="Percent 2 14 2" xfId="24339"/>
    <cellStyle name="Percent 2 14 3" xfId="24340"/>
    <cellStyle name="Percent 2 15 4" xfId="24341"/>
    <cellStyle name="Percent 2 15 2" xfId="24342"/>
    <cellStyle name="Percent 2 15 3" xfId="24343"/>
    <cellStyle name="Percent 2 16 4" xfId="24344"/>
    <cellStyle name="Percent 2 16 2" xfId="24345"/>
    <cellStyle name="Percent 2 16 3" xfId="24346"/>
    <cellStyle name="Percent 2 17 4" xfId="24347"/>
    <cellStyle name="Percent 2 17 2" xfId="24348"/>
    <cellStyle name="Percent 2 17 3" xfId="24349"/>
    <cellStyle name="Percent 2 18 4" xfId="24350"/>
    <cellStyle name="Percent 2 18 2" xfId="24351"/>
    <cellStyle name="Percent 2 18 3" xfId="24352"/>
    <cellStyle name="Percent 2 19 4" xfId="24353"/>
    <cellStyle name="Percent 2 19 2" xfId="24354"/>
    <cellStyle name="Percent 2 19 3" xfId="24355"/>
    <cellStyle name="Percent 2 2 12" xfId="24356"/>
    <cellStyle name="Percent 2 2 10 2" xfId="24357"/>
    <cellStyle name="Percent 2 2 11" xfId="24358"/>
    <cellStyle name="Percent 2 2 2 4" xfId="24359"/>
    <cellStyle name="Percent 2 2 2 2 2" xfId="24360"/>
    <cellStyle name="Percent 2 2 2 3" xfId="24361"/>
    <cellStyle name="Percent 2 2 3 7" xfId="24362"/>
    <cellStyle name="Percent 2 2 3 2 3" xfId="24363"/>
    <cellStyle name="Percent 2 2 3 2 2 2" xfId="24364"/>
    <cellStyle name="Percent 2 2 3 3 3" xfId="24365"/>
    <cellStyle name="Percent 2 2 3 3 2" xfId="24366"/>
    <cellStyle name="Percent 2 2 3 4 3" xfId="24367"/>
    <cellStyle name="Percent 2 2 3 4 2" xfId="24368"/>
    <cellStyle name="Percent 2 2 3 5 2" xfId="24369"/>
    <cellStyle name="Percent 2 2 3 6" xfId="24370"/>
    <cellStyle name="Percent 2 2 4 5" xfId="24371"/>
    <cellStyle name="Percent 2 2 4 2 3" xfId="24372"/>
    <cellStyle name="Percent 2 2 4 2 2" xfId="24373"/>
    <cellStyle name="Percent 2 2 4 3" xfId="24374"/>
    <cellStyle name="Percent 2 2 4 4" xfId="24375"/>
    <cellStyle name="Percent 2 2 5 4" xfId="24376"/>
    <cellStyle name="Percent 2 2 5 2" xfId="24377"/>
    <cellStyle name="Percent 2 2 5 3" xfId="24378"/>
    <cellStyle name="Percent 2 2 6 6" xfId="24379"/>
    <cellStyle name="Percent 2 2 6 2 3" xfId="24380"/>
    <cellStyle name="Percent 2 2 6 2 2" xfId="24381"/>
    <cellStyle name="Percent 2 2 6 3" xfId="24382"/>
    <cellStyle name="Percent 2 2 6 4" xfId="24383"/>
    <cellStyle name="Percent 2 2 6 5" xfId="24384"/>
    <cellStyle name="Percent 2 2 7 6" xfId="24385"/>
    <cellStyle name="Percent 2 2 7 2 3" xfId="24386"/>
    <cellStyle name="Percent 2 2 7 2 2" xfId="24387"/>
    <cellStyle name="Percent 2 2 7 3" xfId="24388"/>
    <cellStyle name="Percent 2 2 7 4" xfId="24389"/>
    <cellStyle name="Percent 2 2 7 5" xfId="24390"/>
    <cellStyle name="Percent 2 2 8 4" xfId="24391"/>
    <cellStyle name="Percent 2 2 8 2" xfId="24392"/>
    <cellStyle name="Percent 2 2 8 3" xfId="24393"/>
    <cellStyle name="Percent 2 2 9 3" xfId="24394"/>
    <cellStyle name="Percent 2 2 9 2" xfId="24395"/>
    <cellStyle name="Percent 2 20 5" xfId="24396"/>
    <cellStyle name="Percent 2 20 2 8" xfId="24397"/>
    <cellStyle name="Percent 2 20 2 2 4" xfId="24398"/>
    <cellStyle name="Percent 2 20 2 2 2" xfId="24399"/>
    <cellStyle name="Percent 2 20 2 2 3" xfId="24400"/>
    <cellStyle name="Percent 2 20 2 3 6" xfId="24401"/>
    <cellStyle name="Percent 2 20 2 3 2 4" xfId="24402"/>
    <cellStyle name="Percent 2 20 2 3 2 2" xfId="24403"/>
    <cellStyle name="Percent 2 20 2 3 2 3" xfId="24404"/>
    <cellStyle name="Percent 2 20 2 3 3 4" xfId="24405"/>
    <cellStyle name="Percent 2 20 2 3 3 2" xfId="24406"/>
    <cellStyle name="Percent 2 20 2 3 3 3" xfId="24407"/>
    <cellStyle name="Percent 2 20 2 3 4" xfId="24408"/>
    <cellStyle name="Percent 2 20 2 3 4 2" xfId="24409"/>
    <cellStyle name="Percent 2 20 2 3 5" xfId="24410"/>
    <cellStyle name="Percent 2 20 2 4 4" xfId="24411"/>
    <cellStyle name="Percent 2 20 2 4 2" xfId="24412"/>
    <cellStyle name="Percent 2 20 2 4 3" xfId="24413"/>
    <cellStyle name="Percent 2 20 2 5 3" xfId="24414"/>
    <cellStyle name="Percent 2 20 2 5 2" xfId="24415"/>
    <cellStyle name="Percent 2 20 2 6" xfId="24416"/>
    <cellStyle name="Percent 2 20 2 7" xfId="24417"/>
    <cellStyle name="Percent 2 20 3" xfId="24418"/>
    <cellStyle name="Percent 2 20 4" xfId="24419"/>
    <cellStyle name="Percent 2 21 4" xfId="24420"/>
    <cellStyle name="Percent 2 21 2" xfId="24421"/>
    <cellStyle name="Percent 2 21 3" xfId="24422"/>
    <cellStyle name="Percent 2 22 4" xfId="24423"/>
    <cellStyle name="Percent 2 22 2" xfId="24424"/>
    <cellStyle name="Percent 2 22 3" xfId="24425"/>
    <cellStyle name="Percent 2 23 4" xfId="24426"/>
    <cellStyle name="Percent 2 23 2" xfId="24427"/>
    <cellStyle name="Percent 2 23 3" xfId="24428"/>
    <cellStyle name="Percent 2 24 4" xfId="24429"/>
    <cellStyle name="Percent 2 24 2" xfId="24430"/>
    <cellStyle name="Percent 2 24 3" xfId="24431"/>
    <cellStyle name="Percent 2 25 4" xfId="24432"/>
    <cellStyle name="Percent 2 25 2" xfId="24433"/>
    <cellStyle name="Percent 2 25 3" xfId="24434"/>
    <cellStyle name="Percent 2 26 4" xfId="24435"/>
    <cellStyle name="Percent 2 26 2" xfId="24436"/>
    <cellStyle name="Percent 2 26 3" xfId="24437"/>
    <cellStyle name="Percent 2 27 4" xfId="24438"/>
    <cellStyle name="Percent 2 27 2" xfId="24439"/>
    <cellStyle name="Percent 2 27 3" xfId="24440"/>
    <cellStyle name="Percent 2 28 4" xfId="24441"/>
    <cellStyle name="Percent 2 28 2" xfId="24442"/>
    <cellStyle name="Percent 2 28 3" xfId="24443"/>
    <cellStyle name="Percent 2 29 4" xfId="24444"/>
    <cellStyle name="Percent 2 29 2" xfId="24445"/>
    <cellStyle name="Percent 2 29 3" xfId="24446"/>
    <cellStyle name="Percent 2 3 19" xfId="24447"/>
    <cellStyle name="Percent 2 3 10 4" xfId="24448"/>
    <cellStyle name="Percent 2 3 10 2" xfId="24449"/>
    <cellStyle name="Percent 2 3 10 3" xfId="24450"/>
    <cellStyle name="Percent 2 3 11 4" xfId="24451"/>
    <cellStyle name="Percent 2 3 11 2" xfId="24452"/>
    <cellStyle name="Percent 2 3 11 3" xfId="24453"/>
    <cellStyle name="Percent 2 3 12 4" xfId="24454"/>
    <cellStyle name="Percent 2 3 12 2" xfId="24455"/>
    <cellStyle name="Percent 2 3 12 3" xfId="24456"/>
    <cellStyle name="Percent 2 3 13 4" xfId="24457"/>
    <cellStyle name="Percent 2 3 13 2" xfId="24458"/>
    <cellStyle name="Percent 2 3 13 3" xfId="24459"/>
    <cellStyle name="Percent 2 3 14 4" xfId="24460"/>
    <cellStyle name="Percent 2 3 14 2" xfId="24461"/>
    <cellStyle name="Percent 2 3 14 3" xfId="24462"/>
    <cellStyle name="Percent 2 3 15 4" xfId="24463"/>
    <cellStyle name="Percent 2 3 15 2" xfId="24464"/>
    <cellStyle name="Percent 2 3 15 3" xfId="24465"/>
    <cellStyle name="Percent 2 3 16 3" xfId="24466"/>
    <cellStyle name="Percent 2 3 16 2" xfId="24467"/>
    <cellStyle name="Percent 2 3 17 2" xfId="24468"/>
    <cellStyle name="Percent 2 3 18" xfId="24469"/>
    <cellStyle name="Percent 2 3 2 4" xfId="24470"/>
    <cellStyle name="Percent 2 3 2 2 2" xfId="24471"/>
    <cellStyle name="Percent 2 3 2 3" xfId="24472"/>
    <cellStyle name="Percent 2 3 3 6" xfId="24473"/>
    <cellStyle name="Percent 2 3 3 2 3" xfId="24474"/>
    <cellStyle name="Percent 2 3 3 2 2 2" xfId="24475"/>
    <cellStyle name="Percent 2 3 3 3 6" xfId="24476"/>
    <cellStyle name="Percent 2 3 3 3 2 3" xfId="24477"/>
    <cellStyle name="Percent 2 3 3 3 2 2" xfId="24478"/>
    <cellStyle name="Percent 2 3 3 3 3 3" xfId="24479"/>
    <cellStyle name="Percent 2 3 3 3 3 2" xfId="24480"/>
    <cellStyle name="Percent 2 3 3 3 4 4" xfId="24481"/>
    <cellStyle name="Percent 2 3 3 3 4 2 3" xfId="24482"/>
    <cellStyle name="Percent 2 3 3 3 4 2 2" xfId="24483"/>
    <cellStyle name="Percent 2 3 3 3 4 3" xfId="24484"/>
    <cellStyle name="Percent 2 3 3 3 5" xfId="24485"/>
    <cellStyle name="Percent 2 3 3 4 2" xfId="24486"/>
    <cellStyle name="Percent 2 3 3 5" xfId="24487"/>
    <cellStyle name="Percent 2 3 4 4" xfId="24488"/>
    <cellStyle name="Percent 2 3 4 2" xfId="24489"/>
    <cellStyle name="Percent 2 3 4 3" xfId="24490"/>
    <cellStyle name="Percent 2 3 5 5" xfId="24491"/>
    <cellStyle name="Percent 2 3 5 2 3" xfId="24492"/>
    <cellStyle name="Percent 2 3 5 2 2" xfId="24493"/>
    <cellStyle name="Percent 2 3 5 3" xfId="24494"/>
    <cellStyle name="Percent 2 3 5 4" xfId="24495"/>
    <cellStyle name="Percent 2 3 6 4" xfId="24496"/>
    <cellStyle name="Percent 2 3 6 2" xfId="24497"/>
    <cellStyle name="Percent 2 3 6 3" xfId="24498"/>
    <cellStyle name="Percent 2 3 7 4" xfId="24499"/>
    <cellStyle name="Percent 2 3 7 2" xfId="24500"/>
    <cellStyle name="Percent 2 3 7 3" xfId="24501"/>
    <cellStyle name="Percent 2 3 8 4" xfId="24502"/>
    <cellStyle name="Percent 2 3 8 2" xfId="24503"/>
    <cellStyle name="Percent 2 3 8 3" xfId="24504"/>
    <cellStyle name="Percent 2 3 9 4" xfId="24505"/>
    <cellStyle name="Percent 2 3 9 2" xfId="24506"/>
    <cellStyle name="Percent 2 3 9 3" xfId="24507"/>
    <cellStyle name="Percent 2 30 4" xfId="24508"/>
    <cellStyle name="Percent 2 30 2" xfId="24509"/>
    <cellStyle name="Percent 2 30 3" xfId="24510"/>
    <cellStyle name="Percent 2 31 4" xfId="24511"/>
    <cellStyle name="Percent 2 31 2" xfId="24512"/>
    <cellStyle name="Percent 2 31 3" xfId="24513"/>
    <cellStyle name="Percent 2 32 4" xfId="24514"/>
    <cellStyle name="Percent 2 32 2" xfId="24515"/>
    <cellStyle name="Percent 2 32 3" xfId="24516"/>
    <cellStyle name="Percent 2 33 5" xfId="24517"/>
    <cellStyle name="Percent 2 33 2 2" xfId="24518"/>
    <cellStyle name="Percent 2 33 3" xfId="24519"/>
    <cellStyle name="Percent 2 33 4" xfId="24520"/>
    <cellStyle name="Percent 2 34 5" xfId="24521"/>
    <cellStyle name="Percent 2 34 2 2" xfId="24522"/>
    <cellStyle name="Percent 2 34 3" xfId="24523"/>
    <cellStyle name="Percent 2 34 4" xfId="24524"/>
    <cellStyle name="Percent 2 35 5" xfId="24525"/>
    <cellStyle name="Percent 2 35 2 2" xfId="24526"/>
    <cellStyle name="Percent 2 35 3" xfId="24527"/>
    <cellStyle name="Percent 2 35 4" xfId="24528"/>
    <cellStyle name="Percent 2 36 5" xfId="24529"/>
    <cellStyle name="Percent 2 36 2 2" xfId="24530"/>
    <cellStyle name="Percent 2 36 3" xfId="24531"/>
    <cellStyle name="Percent 2 36 4" xfId="24532"/>
    <cellStyle name="Percent 2 37 5" xfId="24533"/>
    <cellStyle name="Percent 2 37 2 2" xfId="24534"/>
    <cellStyle name="Percent 2 37 3" xfId="24535"/>
    <cellStyle name="Percent 2 37 4" xfId="24536"/>
    <cellStyle name="Percent 2 38 5" xfId="24537"/>
    <cellStyle name="Percent 2 38 2 2" xfId="24538"/>
    <cellStyle name="Percent 2 38 3" xfId="24539"/>
    <cellStyle name="Percent 2 38 4" xfId="24540"/>
    <cellStyle name="Percent 2 39 5" xfId="24541"/>
    <cellStyle name="Percent 2 39 2 2" xfId="24542"/>
    <cellStyle name="Percent 2 39 3" xfId="24543"/>
    <cellStyle name="Percent 2 39 4" xfId="24544"/>
    <cellStyle name="Percent 2 4 20" xfId="24545"/>
    <cellStyle name="Percent 2 4 10 5" xfId="24546"/>
    <cellStyle name="Percent 2 4 10 2 2" xfId="24547"/>
    <cellStyle name="Percent 2 4 10 3" xfId="24548"/>
    <cellStyle name="Percent 2 4 10 4" xfId="24549"/>
    <cellStyle name="Percent 2 4 11 5" xfId="24550"/>
    <cellStyle name="Percent 2 4 11 2 2" xfId="24551"/>
    <cellStyle name="Percent 2 4 11 3" xfId="24552"/>
    <cellStyle name="Percent 2 4 11 4" xfId="24553"/>
    <cellStyle name="Percent 2 4 12 5" xfId="24554"/>
    <cellStyle name="Percent 2 4 12 2 2" xfId="24555"/>
    <cellStyle name="Percent 2 4 12 3" xfId="24556"/>
    <cellStyle name="Percent 2 4 12 4" xfId="24557"/>
    <cellStyle name="Percent 2 4 13 5" xfId="24558"/>
    <cellStyle name="Percent 2 4 13 2 2" xfId="24559"/>
    <cellStyle name="Percent 2 4 13 3" xfId="24560"/>
    <cellStyle name="Percent 2 4 13 4" xfId="24561"/>
    <cellStyle name="Percent 2 4 14 5" xfId="24562"/>
    <cellStyle name="Percent 2 4 14 2 2" xfId="24563"/>
    <cellStyle name="Percent 2 4 14 3" xfId="24564"/>
    <cellStyle name="Percent 2 4 14 4" xfId="24565"/>
    <cellStyle name="Percent 2 4 15 5" xfId="24566"/>
    <cellStyle name="Percent 2 4 15 2 2" xfId="24567"/>
    <cellStyle name="Percent 2 4 15 3" xfId="24568"/>
    <cellStyle name="Percent 2 4 15 4" xfId="24569"/>
    <cellStyle name="Percent 2 4 16 4" xfId="24570"/>
    <cellStyle name="Percent 2 4 16 2 2" xfId="24571"/>
    <cellStyle name="Percent 2 4 16 3" xfId="24572"/>
    <cellStyle name="Percent 2 4 17 2" xfId="24573"/>
    <cellStyle name="Percent 2 4 18" xfId="24574"/>
    <cellStyle name="Percent 2 4 19" xfId="24575"/>
    <cellStyle name="Percent 2 4 2 5" xfId="24576"/>
    <cellStyle name="Percent 2 4 2 2 2" xfId="24577"/>
    <cellStyle name="Percent 2 4 2 3" xfId="24578"/>
    <cellStyle name="Percent 2 4 2 4" xfId="24579"/>
    <cellStyle name="Percent 2 4 3 5" xfId="24580"/>
    <cellStyle name="Percent 2 4 3 2 2" xfId="24581"/>
    <cellStyle name="Percent 2 4 3 3" xfId="24582"/>
    <cellStyle name="Percent 2 4 3 4" xfId="24583"/>
    <cellStyle name="Percent 2 4 4 5" xfId="24584"/>
    <cellStyle name="Percent 2 4 4 2 2" xfId="24585"/>
    <cellStyle name="Percent 2 4 4 3" xfId="24586"/>
    <cellStyle name="Percent 2 4 4 4" xfId="24587"/>
    <cellStyle name="Percent 2 4 5 5" xfId="24588"/>
    <cellStyle name="Percent 2 4 5 2 2" xfId="24589"/>
    <cellStyle name="Percent 2 4 5 3" xfId="24590"/>
    <cellStyle name="Percent 2 4 5 4" xfId="24591"/>
    <cellStyle name="Percent 2 4 6 5" xfId="24592"/>
    <cellStyle name="Percent 2 4 6 2 2" xfId="24593"/>
    <cellStyle name="Percent 2 4 6 3" xfId="24594"/>
    <cellStyle name="Percent 2 4 6 4" xfId="24595"/>
    <cellStyle name="Percent 2 4 7 5" xfId="24596"/>
    <cellStyle name="Percent 2 4 7 2 2" xfId="24597"/>
    <cellStyle name="Percent 2 4 7 3" xfId="24598"/>
    <cellStyle name="Percent 2 4 7 4" xfId="24599"/>
    <cellStyle name="Percent 2 4 8 5" xfId="24600"/>
    <cellStyle name="Percent 2 4 8 2 2" xfId="24601"/>
    <cellStyle name="Percent 2 4 8 3" xfId="24602"/>
    <cellStyle name="Percent 2 4 8 4" xfId="24603"/>
    <cellStyle name="Percent 2 4 9 5" xfId="24604"/>
    <cellStyle name="Percent 2 4 9 2 2" xfId="24605"/>
    <cellStyle name="Percent 2 4 9 3" xfId="24606"/>
    <cellStyle name="Percent 2 4 9 4" xfId="24607"/>
    <cellStyle name="Percent 2 40 5" xfId="24608"/>
    <cellStyle name="Percent 2 40 2 2" xfId="24609"/>
    <cellStyle name="Percent 2 40 3" xfId="24610"/>
    <cellStyle name="Percent 2 40 4" xfId="24611"/>
    <cellStyle name="Percent 2 41 5" xfId="24612"/>
    <cellStyle name="Percent 2 41 2 2" xfId="24613"/>
    <cellStyle name="Percent 2 41 3" xfId="24614"/>
    <cellStyle name="Percent 2 41 4" xfId="24615"/>
    <cellStyle name="Percent 2 42 5" xfId="24616"/>
    <cellStyle name="Percent 2 42 2 2" xfId="24617"/>
    <cellStyle name="Percent 2 42 3" xfId="24618"/>
    <cellStyle name="Percent 2 42 4" xfId="24619"/>
    <cellStyle name="Percent 2 43 5" xfId="24620"/>
    <cellStyle name="Percent 2 43 2 2" xfId="24621"/>
    <cellStyle name="Percent 2 43 3" xfId="24622"/>
    <cellStyle name="Percent 2 43 4" xfId="24623"/>
    <cellStyle name="Percent 2 44 5" xfId="24624"/>
    <cellStyle name="Percent 2 44 2 2" xfId="24625"/>
    <cellStyle name="Percent 2 44 3" xfId="24626"/>
    <cellStyle name="Percent 2 44 4" xfId="24627"/>
    <cellStyle name="Percent 2 45 5" xfId="24628"/>
    <cellStyle name="Percent 2 45 2 2" xfId="24629"/>
    <cellStyle name="Percent 2 45 3" xfId="24630"/>
    <cellStyle name="Percent 2 45 4" xfId="24631"/>
    <cellStyle name="Percent 2 46 5" xfId="24632"/>
    <cellStyle name="Percent 2 46 2 2" xfId="24633"/>
    <cellStyle name="Percent 2 46 3" xfId="24634"/>
    <cellStyle name="Percent 2 46 4" xfId="24635"/>
    <cellStyle name="Percent 2 47 6" xfId="24636"/>
    <cellStyle name="Percent 2 47 2 2" xfId="24637"/>
    <cellStyle name="Percent 2 47 3" xfId="24638"/>
    <cellStyle name="Percent 2 47 4" xfId="24639"/>
    <cellStyle name="Percent 2 47 5" xfId="24640"/>
    <cellStyle name="Percent 2 48 8" xfId="24641"/>
    <cellStyle name="Percent 2 48 2 8" xfId="24642"/>
    <cellStyle name="Percent 2 48 2 2 2" xfId="24643"/>
    <cellStyle name="Percent 2 48 2 3" xfId="24644"/>
    <cellStyle name="Percent 2 48 2 4" xfId="24645"/>
    <cellStyle name="Percent 2 48 2 5" xfId="24646"/>
    <cellStyle name="Percent 2 48 2 6" xfId="24647"/>
    <cellStyle name="Percent 2 48 2 7" xfId="24648"/>
    <cellStyle name="Percent 2 48 3 3" xfId="24649"/>
    <cellStyle name="Percent 2 48 3 2" xfId="24650"/>
    <cellStyle name="Percent 2 48 4 2" xfId="24651"/>
    <cellStyle name="Percent 2 48 5" xfId="24652"/>
    <cellStyle name="Percent 2 48 6" xfId="24653"/>
    <cellStyle name="Percent 2 48 7" xfId="24654"/>
    <cellStyle name="Percent 2 49 8" xfId="24655"/>
    <cellStyle name="Percent 2 49 2 3" xfId="24656"/>
    <cellStyle name="Percent 2 49 2 2" xfId="24657"/>
    <cellStyle name="Percent 2 49 3 2" xfId="24658"/>
    <cellStyle name="Percent 2 49 4" xfId="24659"/>
    <cellStyle name="Percent 2 49 5" xfId="24660"/>
    <cellStyle name="Percent 2 49 6" xfId="24661"/>
    <cellStyle name="Percent 2 49 7" xfId="24662"/>
    <cellStyle name="Percent 2 5 23" xfId="24663"/>
    <cellStyle name="Percent 2 5 10 8" xfId="24664"/>
    <cellStyle name="Percent 2 5 10 2 2" xfId="24665"/>
    <cellStyle name="Percent 2 5 10 3" xfId="24666"/>
    <cellStyle name="Percent 2 5 10 4" xfId="24667"/>
    <cellStyle name="Percent 2 5 10 5" xfId="24668"/>
    <cellStyle name="Percent 2 5 10 6" xfId="24669"/>
    <cellStyle name="Percent 2 5 10 7" xfId="24670"/>
    <cellStyle name="Percent 2 5 11 8" xfId="24671"/>
    <cellStyle name="Percent 2 5 11 2 2" xfId="24672"/>
    <cellStyle name="Percent 2 5 11 3" xfId="24673"/>
    <cellStyle name="Percent 2 5 11 4" xfId="24674"/>
    <cellStyle name="Percent 2 5 11 5" xfId="24675"/>
    <cellStyle name="Percent 2 5 11 6" xfId="24676"/>
    <cellStyle name="Percent 2 5 11 7" xfId="24677"/>
    <cellStyle name="Percent 2 5 12 8" xfId="24678"/>
    <cellStyle name="Percent 2 5 12 2 2" xfId="24679"/>
    <cellStyle name="Percent 2 5 12 3" xfId="24680"/>
    <cellStyle name="Percent 2 5 12 4" xfId="24681"/>
    <cellStyle name="Percent 2 5 12 5" xfId="24682"/>
    <cellStyle name="Percent 2 5 12 6" xfId="24683"/>
    <cellStyle name="Percent 2 5 12 7" xfId="24684"/>
    <cellStyle name="Percent 2 5 13 8" xfId="24685"/>
    <cellStyle name="Percent 2 5 13 2 2" xfId="24686"/>
    <cellStyle name="Percent 2 5 13 3" xfId="24687"/>
    <cellStyle name="Percent 2 5 13 4" xfId="24688"/>
    <cellStyle name="Percent 2 5 13 5" xfId="24689"/>
    <cellStyle name="Percent 2 5 13 6" xfId="24690"/>
    <cellStyle name="Percent 2 5 13 7" xfId="24691"/>
    <cellStyle name="Percent 2 5 14 8" xfId="24692"/>
    <cellStyle name="Percent 2 5 14 2 2" xfId="24693"/>
    <cellStyle name="Percent 2 5 14 3" xfId="24694"/>
    <cellStyle name="Percent 2 5 14 4" xfId="24695"/>
    <cellStyle name="Percent 2 5 14 5" xfId="24696"/>
    <cellStyle name="Percent 2 5 14 6" xfId="24697"/>
    <cellStyle name="Percent 2 5 14 7" xfId="24698"/>
    <cellStyle name="Percent 2 5 15 8" xfId="24699"/>
    <cellStyle name="Percent 2 5 15 2 2" xfId="24700"/>
    <cellStyle name="Percent 2 5 15 3" xfId="24701"/>
    <cellStyle name="Percent 2 5 15 4" xfId="24702"/>
    <cellStyle name="Percent 2 5 15 5" xfId="24703"/>
    <cellStyle name="Percent 2 5 15 6" xfId="24704"/>
    <cellStyle name="Percent 2 5 15 7" xfId="24705"/>
    <cellStyle name="Percent 2 5 16 3" xfId="24706"/>
    <cellStyle name="Percent 2 5 16 2" xfId="24707"/>
    <cellStyle name="Percent 2 5 17 2" xfId="24708"/>
    <cellStyle name="Percent 2 5 18" xfId="24709"/>
    <cellStyle name="Percent 2 5 19" xfId="24710"/>
    <cellStyle name="Percent 2 5 2 9" xfId="24711"/>
    <cellStyle name="Percent 2 5 2 2 2" xfId="24712"/>
    <cellStyle name="Percent 2 5 2 3 2" xfId="24713"/>
    <cellStyle name="Percent 2 5 2 4" xfId="24714"/>
    <cellStyle name="Percent 2 5 2 5" xfId="24715"/>
    <cellStyle name="Percent 2 5 2 6" xfId="24716"/>
    <cellStyle name="Percent 2 5 2 7" xfId="24717"/>
    <cellStyle name="Percent 2 5 2 8" xfId="24718"/>
    <cellStyle name="Percent 2 5 20" xfId="24719"/>
    <cellStyle name="Percent 2 5 21" xfId="24720"/>
    <cellStyle name="Percent 2 5 22" xfId="24721"/>
    <cellStyle name="Percent 2 5 3 8" xfId="24722"/>
    <cellStyle name="Percent 2 5 3 2 2" xfId="24723"/>
    <cellStyle name="Percent 2 5 3 3 2" xfId="24724"/>
    <cellStyle name="Percent 2 5 3 4" xfId="24725"/>
    <cellStyle name="Percent 2 5 3 5" xfId="24726"/>
    <cellStyle name="Percent 2 5 3 6" xfId="24727"/>
    <cellStyle name="Percent 2 5 3 7" xfId="24728"/>
    <cellStyle name="Percent 2 5 4 8" xfId="24729"/>
    <cellStyle name="Percent 2 5 4 2 2" xfId="24730"/>
    <cellStyle name="Percent 2 5 4 3" xfId="24731"/>
    <cellStyle name="Percent 2 5 4 4" xfId="24732"/>
    <cellStyle name="Percent 2 5 4 5" xfId="24733"/>
    <cellStyle name="Percent 2 5 4 6" xfId="24734"/>
    <cellStyle name="Percent 2 5 4 7" xfId="24735"/>
    <cellStyle name="Percent 2 5 5 8" xfId="24736"/>
    <cellStyle name="Percent 2 5 5 2 2" xfId="24737"/>
    <cellStyle name="Percent 2 5 5 3" xfId="24738"/>
    <cellStyle name="Percent 2 5 5 4" xfId="24739"/>
    <cellStyle name="Percent 2 5 5 5" xfId="24740"/>
    <cellStyle name="Percent 2 5 5 6" xfId="24741"/>
    <cellStyle name="Percent 2 5 5 7" xfId="24742"/>
    <cellStyle name="Percent 2 5 6 8" xfId="24743"/>
    <cellStyle name="Percent 2 5 6 2 2" xfId="24744"/>
    <cellStyle name="Percent 2 5 6 3" xfId="24745"/>
    <cellStyle name="Percent 2 5 6 4" xfId="24746"/>
    <cellStyle name="Percent 2 5 6 5" xfId="24747"/>
    <cellStyle name="Percent 2 5 6 6" xfId="24748"/>
    <cellStyle name="Percent 2 5 6 7" xfId="24749"/>
    <cellStyle name="Percent 2 5 7 8" xfId="24750"/>
    <cellStyle name="Percent 2 5 7 2 2" xfId="24751"/>
    <cellStyle name="Percent 2 5 7 3" xfId="24752"/>
    <cellStyle name="Percent 2 5 7 4" xfId="24753"/>
    <cellStyle name="Percent 2 5 7 5" xfId="24754"/>
    <cellStyle name="Percent 2 5 7 6" xfId="24755"/>
    <cellStyle name="Percent 2 5 7 7" xfId="24756"/>
    <cellStyle name="Percent 2 5 8 8" xfId="24757"/>
    <cellStyle name="Percent 2 5 8 2 2" xfId="24758"/>
    <cellStyle name="Percent 2 5 8 3" xfId="24759"/>
    <cellStyle name="Percent 2 5 8 4" xfId="24760"/>
    <cellStyle name="Percent 2 5 8 5" xfId="24761"/>
    <cellStyle name="Percent 2 5 8 6" xfId="24762"/>
    <cellStyle name="Percent 2 5 8 7" xfId="24763"/>
    <cellStyle name="Percent 2 5 9 8" xfId="24764"/>
    <cellStyle name="Percent 2 5 9 2 2" xfId="24765"/>
    <cellStyle name="Percent 2 5 9 3" xfId="24766"/>
    <cellStyle name="Percent 2 5 9 4" xfId="24767"/>
    <cellStyle name="Percent 2 5 9 5" xfId="24768"/>
    <cellStyle name="Percent 2 5 9 6" xfId="24769"/>
    <cellStyle name="Percent 2 5 9 7" xfId="24770"/>
    <cellStyle name="Percent 2 50" xfId="24771"/>
    <cellStyle name="Percent 2 50 2" xfId="24772"/>
    <cellStyle name="Percent 2 51" xfId="24773"/>
    <cellStyle name="Percent 2 52" xfId="24774"/>
    <cellStyle name="Percent 2 53" xfId="24775"/>
    <cellStyle name="Percent 2 6 22" xfId="24776"/>
    <cellStyle name="Percent 2 6 10 8" xfId="24777"/>
    <cellStyle name="Percent 2 6 10 2 2" xfId="24778"/>
    <cellStyle name="Percent 2 6 10 3" xfId="24779"/>
    <cellStyle name="Percent 2 6 10 4" xfId="24780"/>
    <cellStyle name="Percent 2 6 10 5" xfId="24781"/>
    <cellStyle name="Percent 2 6 10 6" xfId="24782"/>
    <cellStyle name="Percent 2 6 10 7" xfId="24783"/>
    <cellStyle name="Percent 2 6 11 8" xfId="24784"/>
    <cellStyle name="Percent 2 6 11 2 2" xfId="24785"/>
    <cellStyle name="Percent 2 6 11 3" xfId="24786"/>
    <cellStyle name="Percent 2 6 11 4" xfId="24787"/>
    <cellStyle name="Percent 2 6 11 5" xfId="24788"/>
    <cellStyle name="Percent 2 6 11 6" xfId="24789"/>
    <cellStyle name="Percent 2 6 11 7" xfId="24790"/>
    <cellStyle name="Percent 2 6 12 8" xfId="24791"/>
    <cellStyle name="Percent 2 6 12 2 2" xfId="24792"/>
    <cellStyle name="Percent 2 6 12 3" xfId="24793"/>
    <cellStyle name="Percent 2 6 12 4" xfId="24794"/>
    <cellStyle name="Percent 2 6 12 5" xfId="24795"/>
    <cellStyle name="Percent 2 6 12 6" xfId="24796"/>
    <cellStyle name="Percent 2 6 12 7" xfId="24797"/>
    <cellStyle name="Percent 2 6 13 8" xfId="24798"/>
    <cellStyle name="Percent 2 6 13 2 2" xfId="24799"/>
    <cellStyle name="Percent 2 6 13 3" xfId="24800"/>
    <cellStyle name="Percent 2 6 13 4" xfId="24801"/>
    <cellStyle name="Percent 2 6 13 5" xfId="24802"/>
    <cellStyle name="Percent 2 6 13 6" xfId="24803"/>
    <cellStyle name="Percent 2 6 13 7" xfId="24804"/>
    <cellStyle name="Percent 2 6 14 8" xfId="24805"/>
    <cellStyle name="Percent 2 6 14 2 2" xfId="24806"/>
    <cellStyle name="Percent 2 6 14 3" xfId="24807"/>
    <cellStyle name="Percent 2 6 14 4" xfId="24808"/>
    <cellStyle name="Percent 2 6 14 5" xfId="24809"/>
    <cellStyle name="Percent 2 6 14 6" xfId="24810"/>
    <cellStyle name="Percent 2 6 14 7" xfId="24811"/>
    <cellStyle name="Percent 2 6 15 8" xfId="24812"/>
    <cellStyle name="Percent 2 6 15 2 2" xfId="24813"/>
    <cellStyle name="Percent 2 6 15 3" xfId="24814"/>
    <cellStyle name="Percent 2 6 15 4" xfId="24815"/>
    <cellStyle name="Percent 2 6 15 5" xfId="24816"/>
    <cellStyle name="Percent 2 6 15 6" xfId="24817"/>
    <cellStyle name="Percent 2 6 15 7" xfId="24818"/>
    <cellStyle name="Percent 2 6 16 2" xfId="24819"/>
    <cellStyle name="Percent 2 6 17" xfId="24820"/>
    <cellStyle name="Percent 2 6 18" xfId="24821"/>
    <cellStyle name="Percent 2 6 19" xfId="24822"/>
    <cellStyle name="Percent 2 6 2 8" xfId="24823"/>
    <cellStyle name="Percent 2 6 2 2 2" xfId="24824"/>
    <cellStyle name="Percent 2 6 2 3" xfId="24825"/>
    <cellStyle name="Percent 2 6 2 4" xfId="24826"/>
    <cellStyle name="Percent 2 6 2 5" xfId="24827"/>
    <cellStyle name="Percent 2 6 2 6" xfId="24828"/>
    <cellStyle name="Percent 2 6 2 7" xfId="24829"/>
    <cellStyle name="Percent 2 6 20" xfId="24830"/>
    <cellStyle name="Percent 2 6 21" xfId="24831"/>
    <cellStyle name="Percent 2 6 3 8" xfId="24832"/>
    <cellStyle name="Percent 2 6 3 2 2" xfId="24833"/>
    <cellStyle name="Percent 2 6 3 3" xfId="24834"/>
    <cellStyle name="Percent 2 6 3 4" xfId="24835"/>
    <cellStyle name="Percent 2 6 3 5" xfId="24836"/>
    <cellStyle name="Percent 2 6 3 6" xfId="24837"/>
    <cellStyle name="Percent 2 6 3 7" xfId="24838"/>
    <cellStyle name="Percent 2 6 4 8" xfId="24839"/>
    <cellStyle name="Percent 2 6 4 2 2" xfId="24840"/>
    <cellStyle name="Percent 2 6 4 3" xfId="24841"/>
    <cellStyle name="Percent 2 6 4 4" xfId="24842"/>
    <cellStyle name="Percent 2 6 4 5" xfId="24843"/>
    <cellStyle name="Percent 2 6 4 6" xfId="24844"/>
    <cellStyle name="Percent 2 6 4 7" xfId="24845"/>
    <cellStyle name="Percent 2 6 5 8" xfId="24846"/>
    <cellStyle name="Percent 2 6 5 2 2" xfId="24847"/>
    <cellStyle name="Percent 2 6 5 3" xfId="24848"/>
    <cellStyle name="Percent 2 6 5 4" xfId="24849"/>
    <cellStyle name="Percent 2 6 5 5" xfId="24850"/>
    <cellStyle name="Percent 2 6 5 6" xfId="24851"/>
    <cellStyle name="Percent 2 6 5 7" xfId="24852"/>
    <cellStyle name="Percent 2 6 6 8" xfId="24853"/>
    <cellStyle name="Percent 2 6 6 2 2" xfId="24854"/>
    <cellStyle name="Percent 2 6 6 3" xfId="24855"/>
    <cellStyle name="Percent 2 6 6 4" xfId="24856"/>
    <cellStyle name="Percent 2 6 6 5" xfId="24857"/>
    <cellStyle name="Percent 2 6 6 6" xfId="24858"/>
    <cellStyle name="Percent 2 6 6 7" xfId="24859"/>
    <cellStyle name="Percent 2 6 7 8" xfId="24860"/>
    <cellStyle name="Percent 2 6 7 2 2" xfId="24861"/>
    <cellStyle name="Percent 2 6 7 3" xfId="24862"/>
    <cellStyle name="Percent 2 6 7 4" xfId="24863"/>
    <cellStyle name="Percent 2 6 7 5" xfId="24864"/>
    <cellStyle name="Percent 2 6 7 6" xfId="24865"/>
    <cellStyle name="Percent 2 6 7 7" xfId="24866"/>
    <cellStyle name="Percent 2 6 8 8" xfId="24867"/>
    <cellStyle name="Percent 2 6 8 2 2" xfId="24868"/>
    <cellStyle name="Percent 2 6 8 3" xfId="24869"/>
    <cellStyle name="Percent 2 6 8 4" xfId="24870"/>
    <cellStyle name="Percent 2 6 8 5" xfId="24871"/>
    <cellStyle name="Percent 2 6 8 6" xfId="24872"/>
    <cellStyle name="Percent 2 6 8 7" xfId="24873"/>
    <cellStyle name="Percent 2 6 9 8" xfId="24874"/>
    <cellStyle name="Percent 2 6 9 2 2" xfId="24875"/>
    <cellStyle name="Percent 2 6 9 3" xfId="24876"/>
    <cellStyle name="Percent 2 6 9 4" xfId="24877"/>
    <cellStyle name="Percent 2 6 9 5" xfId="24878"/>
    <cellStyle name="Percent 2 6 9 6" xfId="24879"/>
    <cellStyle name="Percent 2 6 9 7" xfId="24880"/>
    <cellStyle name="Percent 2 7 15" xfId="24881"/>
    <cellStyle name="Percent 2 7 10" xfId="24882"/>
    <cellStyle name="Percent 2 7 11" xfId="24883"/>
    <cellStyle name="Percent 2 7 12" xfId="24884"/>
    <cellStyle name="Percent 2 7 13" xfId="24885"/>
    <cellStyle name="Percent 2 7 14" xfId="24886"/>
    <cellStyle name="Percent 2 7 2 8" xfId="24887"/>
    <cellStyle name="Percent 2 7 2 2 2" xfId="24888"/>
    <cellStyle name="Percent 2 7 2 3" xfId="24889"/>
    <cellStyle name="Percent 2 7 2 4" xfId="24890"/>
    <cellStyle name="Percent 2 7 2 5" xfId="24891"/>
    <cellStyle name="Percent 2 7 2 6" xfId="24892"/>
    <cellStyle name="Percent 2 7 2 7" xfId="24893"/>
    <cellStyle name="Percent 2 7 3 8" xfId="24894"/>
    <cellStyle name="Percent 2 7 3 2 2" xfId="24895"/>
    <cellStyle name="Percent 2 7 3 3" xfId="24896"/>
    <cellStyle name="Percent 2 7 3 4" xfId="24897"/>
    <cellStyle name="Percent 2 7 3 5" xfId="24898"/>
    <cellStyle name="Percent 2 7 3 6" xfId="24899"/>
    <cellStyle name="Percent 2 7 3 7" xfId="24900"/>
    <cellStyle name="Percent 2 7 4 8" xfId="24901"/>
    <cellStyle name="Percent 2 7 4 2 2" xfId="24902"/>
    <cellStyle name="Percent 2 7 4 3" xfId="24903"/>
    <cellStyle name="Percent 2 7 4 4" xfId="24904"/>
    <cellStyle name="Percent 2 7 4 5" xfId="24905"/>
    <cellStyle name="Percent 2 7 4 6" xfId="24906"/>
    <cellStyle name="Percent 2 7 4 7" xfId="24907"/>
    <cellStyle name="Percent 2 7 5 8" xfId="24908"/>
    <cellStyle name="Percent 2 7 5 2 2" xfId="24909"/>
    <cellStyle name="Percent 2 7 5 3" xfId="24910"/>
    <cellStyle name="Percent 2 7 5 4" xfId="24911"/>
    <cellStyle name="Percent 2 7 5 5" xfId="24912"/>
    <cellStyle name="Percent 2 7 5 6" xfId="24913"/>
    <cellStyle name="Percent 2 7 5 7" xfId="24914"/>
    <cellStyle name="Percent 2 7 6 8" xfId="24915"/>
    <cellStyle name="Percent 2 7 6 2 2" xfId="24916"/>
    <cellStyle name="Percent 2 7 6 3" xfId="24917"/>
    <cellStyle name="Percent 2 7 6 4" xfId="24918"/>
    <cellStyle name="Percent 2 7 6 5" xfId="24919"/>
    <cellStyle name="Percent 2 7 6 6" xfId="24920"/>
    <cellStyle name="Percent 2 7 6 7" xfId="24921"/>
    <cellStyle name="Percent 2 7 7 8" xfId="24922"/>
    <cellStyle name="Percent 2 7 7 2 2" xfId="24923"/>
    <cellStyle name="Percent 2 7 7 3" xfId="24924"/>
    <cellStyle name="Percent 2 7 7 4" xfId="24925"/>
    <cellStyle name="Percent 2 7 7 5" xfId="24926"/>
    <cellStyle name="Percent 2 7 7 6" xfId="24927"/>
    <cellStyle name="Percent 2 7 7 7" xfId="24928"/>
    <cellStyle name="Percent 2 7 8 8" xfId="24929"/>
    <cellStyle name="Percent 2 7 8 2 2" xfId="24930"/>
    <cellStyle name="Percent 2 7 8 3" xfId="24931"/>
    <cellStyle name="Percent 2 7 8 4" xfId="24932"/>
    <cellStyle name="Percent 2 7 8 5" xfId="24933"/>
    <cellStyle name="Percent 2 7 8 6" xfId="24934"/>
    <cellStyle name="Percent 2 7 8 7" xfId="24935"/>
    <cellStyle name="Percent 2 7 9 2" xfId="24936"/>
    <cellStyle name="Percent 2 8 15" xfId="24937"/>
    <cellStyle name="Percent 2 8 10 2" xfId="24938"/>
    <cellStyle name="Percent 2 8 11" xfId="24939"/>
    <cellStyle name="Percent 2 8 12" xfId="24940"/>
    <cellStyle name="Percent 2 8 13" xfId="24941"/>
    <cellStyle name="Percent 2 8 14" xfId="24942"/>
    <cellStyle name="Percent 2 8 2 8" xfId="24943"/>
    <cellStyle name="Percent 2 8 2 2 2" xfId="24944"/>
    <cellStyle name="Percent 2 8 2 3 2" xfId="24945"/>
    <cellStyle name="Percent 2 8 2 4" xfId="24946"/>
    <cellStyle name="Percent 2 8 2 5" xfId="24947"/>
    <cellStyle name="Percent 2 8 2 6" xfId="24948"/>
    <cellStyle name="Percent 2 8 2 7" xfId="24949"/>
    <cellStyle name="Percent 2 8 3 8" xfId="24950"/>
    <cellStyle name="Percent 2 8 3 2 2" xfId="24951"/>
    <cellStyle name="Percent 2 8 3 3 2" xfId="24952"/>
    <cellStyle name="Percent 2 8 3 4" xfId="24953"/>
    <cellStyle name="Percent 2 8 3 5" xfId="24954"/>
    <cellStyle name="Percent 2 8 3 6" xfId="24955"/>
    <cellStyle name="Percent 2 8 3 7" xfId="24956"/>
    <cellStyle name="Percent 2 8 4 8" xfId="24957"/>
    <cellStyle name="Percent 2 8 4 2 2" xfId="24958"/>
    <cellStyle name="Percent 2 8 4 3 2" xfId="24959"/>
    <cellStyle name="Percent 2 8 4 4" xfId="24960"/>
    <cellStyle name="Percent 2 8 4 5" xfId="24961"/>
    <cellStyle name="Percent 2 8 4 6" xfId="24962"/>
    <cellStyle name="Percent 2 8 4 7" xfId="24963"/>
    <cellStyle name="Percent 2 8 5 8" xfId="24964"/>
    <cellStyle name="Percent 2 8 5 2 2" xfId="24965"/>
    <cellStyle name="Percent 2 8 5 3 2" xfId="24966"/>
    <cellStyle name="Percent 2 8 5 4" xfId="24967"/>
    <cellStyle name="Percent 2 8 5 5" xfId="24968"/>
    <cellStyle name="Percent 2 8 5 6" xfId="24969"/>
    <cellStyle name="Percent 2 8 5 7" xfId="24970"/>
    <cellStyle name="Percent 2 8 6 8" xfId="24971"/>
    <cellStyle name="Percent 2 8 6 2 2" xfId="24972"/>
    <cellStyle name="Percent 2 8 6 3 2" xfId="24973"/>
    <cellStyle name="Percent 2 8 6 4" xfId="24974"/>
    <cellStyle name="Percent 2 8 6 5" xfId="24975"/>
    <cellStyle name="Percent 2 8 6 6" xfId="24976"/>
    <cellStyle name="Percent 2 8 6 7" xfId="24977"/>
    <cellStyle name="Percent 2 8 7 8" xfId="24978"/>
    <cellStyle name="Percent 2 8 7 2 2" xfId="24979"/>
    <cellStyle name="Percent 2 8 7 3 2" xfId="24980"/>
    <cellStyle name="Percent 2 8 7 4" xfId="24981"/>
    <cellStyle name="Percent 2 8 7 5" xfId="24982"/>
    <cellStyle name="Percent 2 8 7 6" xfId="24983"/>
    <cellStyle name="Percent 2 8 7 7" xfId="24984"/>
    <cellStyle name="Percent 2 8 8 8" xfId="24985"/>
    <cellStyle name="Percent 2 8 8 2 2" xfId="24986"/>
    <cellStyle name="Percent 2 8 8 3 2" xfId="24987"/>
    <cellStyle name="Percent 2 8 8 4" xfId="24988"/>
    <cellStyle name="Percent 2 8 8 5" xfId="24989"/>
    <cellStyle name="Percent 2 8 8 6" xfId="24990"/>
    <cellStyle name="Percent 2 8 8 7" xfId="24991"/>
    <cellStyle name="Percent 2 8 9 2" xfId="24992"/>
    <cellStyle name="Percent 2 9 15" xfId="24993"/>
    <cellStyle name="Percent 2 9 10 2" xfId="24994"/>
    <cellStyle name="Percent 2 9 11" xfId="24995"/>
    <cellStyle name="Percent 2 9 12" xfId="24996"/>
    <cellStyle name="Percent 2 9 13" xfId="24997"/>
    <cellStyle name="Percent 2 9 14" xfId="24998"/>
    <cellStyle name="Percent 2 9 2 8" xfId="24999"/>
    <cellStyle name="Percent 2 9 2 2 2" xfId="25000"/>
    <cellStyle name="Percent 2 9 2 3 2" xfId="25001"/>
    <cellStyle name="Percent 2 9 2 4" xfId="25002"/>
    <cellStyle name="Percent 2 9 2 5" xfId="25003"/>
    <cellStyle name="Percent 2 9 2 6" xfId="25004"/>
    <cellStyle name="Percent 2 9 2 7" xfId="25005"/>
    <cellStyle name="Percent 2 9 3 8" xfId="25006"/>
    <cellStyle name="Percent 2 9 3 2 2" xfId="25007"/>
    <cellStyle name="Percent 2 9 3 3 2" xfId="25008"/>
    <cellStyle name="Percent 2 9 3 4" xfId="25009"/>
    <cellStyle name="Percent 2 9 3 5" xfId="25010"/>
    <cellStyle name="Percent 2 9 3 6" xfId="25011"/>
    <cellStyle name="Percent 2 9 3 7" xfId="25012"/>
    <cellStyle name="Percent 2 9 4 8" xfId="25013"/>
    <cellStyle name="Percent 2 9 4 2 2" xfId="25014"/>
    <cellStyle name="Percent 2 9 4 3 2" xfId="25015"/>
    <cellStyle name="Percent 2 9 4 4" xfId="25016"/>
    <cellStyle name="Percent 2 9 4 5" xfId="25017"/>
    <cellStyle name="Percent 2 9 4 6" xfId="25018"/>
    <cellStyle name="Percent 2 9 4 7" xfId="25019"/>
    <cellStyle name="Percent 2 9 5 8" xfId="25020"/>
    <cellStyle name="Percent 2 9 5 2 2" xfId="25021"/>
    <cellStyle name="Percent 2 9 5 3 2" xfId="25022"/>
    <cellStyle name="Percent 2 9 5 4" xfId="25023"/>
    <cellStyle name="Percent 2 9 5 5" xfId="25024"/>
    <cellStyle name="Percent 2 9 5 6" xfId="25025"/>
    <cellStyle name="Percent 2 9 5 7" xfId="25026"/>
    <cellStyle name="Percent 2 9 6 8" xfId="25027"/>
    <cellStyle name="Percent 2 9 6 2 2" xfId="25028"/>
    <cellStyle name="Percent 2 9 6 3 2" xfId="25029"/>
    <cellStyle name="Percent 2 9 6 4" xfId="25030"/>
    <cellStyle name="Percent 2 9 6 5" xfId="25031"/>
    <cellStyle name="Percent 2 9 6 6" xfId="25032"/>
    <cellStyle name="Percent 2 9 6 7" xfId="25033"/>
    <cellStyle name="Percent 2 9 7 8" xfId="25034"/>
    <cellStyle name="Percent 2 9 7 2 2" xfId="25035"/>
    <cellStyle name="Percent 2 9 7 3 2" xfId="25036"/>
    <cellStyle name="Percent 2 9 7 4" xfId="25037"/>
    <cellStyle name="Percent 2 9 7 5" xfId="25038"/>
    <cellStyle name="Percent 2 9 7 6" xfId="25039"/>
    <cellStyle name="Percent 2 9 7 7" xfId="25040"/>
    <cellStyle name="Percent 2 9 8 8" xfId="25041"/>
    <cellStyle name="Percent 2 9 8 2 2" xfId="25042"/>
    <cellStyle name="Percent 2 9 8 3 2" xfId="25043"/>
    <cellStyle name="Percent 2 9 8 4" xfId="25044"/>
    <cellStyle name="Percent 2 9 8 5" xfId="25045"/>
    <cellStyle name="Percent 2 9 8 6" xfId="25046"/>
    <cellStyle name="Percent 2 9 8 7" xfId="25047"/>
    <cellStyle name="Percent 2 9 9 2" xfId="25048"/>
    <cellStyle name="Percent 20 14" xfId="25049"/>
    <cellStyle name="Percent 20 10 2" xfId="25050"/>
    <cellStyle name="Percent 20 11" xfId="25051"/>
    <cellStyle name="Percent 20 12" xfId="25052"/>
    <cellStyle name="Percent 20 13" xfId="25053"/>
    <cellStyle name="Percent 20 2 8" xfId="25054"/>
    <cellStyle name="Percent 20 2 2 4" xfId="25055"/>
    <cellStyle name="Percent 20 2 2 2 2" xfId="25056"/>
    <cellStyle name="Percent 20 2 2 3" xfId="25057"/>
    <cellStyle name="Percent 20 2 3 2" xfId="25058"/>
    <cellStyle name="Percent 20 2 4 2" xfId="25059"/>
    <cellStyle name="Percent 20 2 5" xfId="25060"/>
    <cellStyle name="Percent 20 2 6" xfId="25061"/>
    <cellStyle name="Percent 20 2 7" xfId="25062"/>
    <cellStyle name="Percent 20 3 8" xfId="25063"/>
    <cellStyle name="Percent 20 3 2 2" xfId="25064"/>
    <cellStyle name="Percent 20 3 3 2" xfId="25065"/>
    <cellStyle name="Percent 20 3 4" xfId="25066"/>
    <cellStyle name="Percent 20 3 5" xfId="25067"/>
    <cellStyle name="Percent 20 3 6" xfId="25068"/>
    <cellStyle name="Percent 20 3 7" xfId="25069"/>
    <cellStyle name="Percent 20 4 8" xfId="25070"/>
    <cellStyle name="Percent 20 4 2 2" xfId="25071"/>
    <cellStyle name="Percent 20 4 3 2" xfId="25072"/>
    <cellStyle name="Percent 20 4 4" xfId="25073"/>
    <cellStyle name="Percent 20 4 5" xfId="25074"/>
    <cellStyle name="Percent 20 4 6" xfId="25075"/>
    <cellStyle name="Percent 20 4 7" xfId="25076"/>
    <cellStyle name="Percent 20 5 8" xfId="25077"/>
    <cellStyle name="Percent 20 5 2 2" xfId="25078"/>
    <cellStyle name="Percent 20 5 3 2" xfId="25079"/>
    <cellStyle name="Percent 20 5 4" xfId="25080"/>
    <cellStyle name="Percent 20 5 5" xfId="25081"/>
    <cellStyle name="Percent 20 5 6" xfId="25082"/>
    <cellStyle name="Percent 20 5 7" xfId="25083"/>
    <cellStyle name="Percent 20 6 8" xfId="25084"/>
    <cellStyle name="Percent 20 6 2 2" xfId="25085"/>
    <cellStyle name="Percent 20 6 3 2" xfId="25086"/>
    <cellStyle name="Percent 20 6 4" xfId="25087"/>
    <cellStyle name="Percent 20 6 5" xfId="25088"/>
    <cellStyle name="Percent 20 6 6" xfId="25089"/>
    <cellStyle name="Percent 20 6 7" xfId="25090"/>
    <cellStyle name="Percent 20 7 10" xfId="25091"/>
    <cellStyle name="Percent 20 7 2 8" xfId="25092"/>
    <cellStyle name="Percent 20 7 2 2 2" xfId="25093"/>
    <cellStyle name="Percent 20 7 2 3 2" xfId="25094"/>
    <cellStyle name="Percent 20 7 2 4" xfId="25095"/>
    <cellStyle name="Percent 20 7 2 5" xfId="25096"/>
    <cellStyle name="Percent 20 7 2 6" xfId="25097"/>
    <cellStyle name="Percent 20 7 2 7" xfId="25098"/>
    <cellStyle name="Percent 20 7 3 8" xfId="25099"/>
    <cellStyle name="Percent 20 7 3 2 2" xfId="25100"/>
    <cellStyle name="Percent 20 7 3 3 2" xfId="25101"/>
    <cellStyle name="Percent 20 7 3 4" xfId="25102"/>
    <cellStyle name="Percent 20 7 3 5" xfId="25103"/>
    <cellStyle name="Percent 20 7 3 6" xfId="25104"/>
    <cellStyle name="Percent 20 7 3 7" xfId="25105"/>
    <cellStyle name="Percent 20 7 4 2" xfId="25106"/>
    <cellStyle name="Percent 20 7 5 2" xfId="25107"/>
    <cellStyle name="Percent 20 7 6" xfId="25108"/>
    <cellStyle name="Percent 20 7 7" xfId="25109"/>
    <cellStyle name="Percent 20 7 8" xfId="25110"/>
    <cellStyle name="Percent 20 7 9" xfId="25111"/>
    <cellStyle name="Percent 20 8 4" xfId="25112"/>
    <cellStyle name="Percent 20 8 2 2" xfId="25113"/>
    <cellStyle name="Percent 20 8 3" xfId="25114"/>
    <cellStyle name="Percent 20 9 2" xfId="25115"/>
    <cellStyle name="Percent 21 14" xfId="25116"/>
    <cellStyle name="Percent 21 10" xfId="25117"/>
    <cellStyle name="Percent 21 11" xfId="25118"/>
    <cellStyle name="Percent 21 12" xfId="25119"/>
    <cellStyle name="Percent 21 13" xfId="25120"/>
    <cellStyle name="Percent 21 2 8" xfId="25121"/>
    <cellStyle name="Percent 21 2 2 2" xfId="25122"/>
    <cellStyle name="Percent 21 2 3 2" xfId="25123"/>
    <cellStyle name="Percent 21 2 4" xfId="25124"/>
    <cellStyle name="Percent 21 2 5" xfId="25125"/>
    <cellStyle name="Percent 21 2 6" xfId="25126"/>
    <cellStyle name="Percent 21 2 7" xfId="25127"/>
    <cellStyle name="Percent 21 3 8" xfId="25128"/>
    <cellStyle name="Percent 21 3 2 2" xfId="25129"/>
    <cellStyle name="Percent 21 3 3 2" xfId="25130"/>
    <cellStyle name="Percent 21 3 4" xfId="25131"/>
    <cellStyle name="Percent 21 3 5" xfId="25132"/>
    <cellStyle name="Percent 21 3 6" xfId="25133"/>
    <cellStyle name="Percent 21 3 7" xfId="25134"/>
    <cellStyle name="Percent 21 4 8" xfId="25135"/>
    <cellStyle name="Percent 21 4 2 2" xfId="25136"/>
    <cellStyle name="Percent 21 4 3 2" xfId="25137"/>
    <cellStyle name="Percent 21 4 4" xfId="25138"/>
    <cellStyle name="Percent 21 4 5" xfId="25139"/>
    <cellStyle name="Percent 21 4 6" xfId="25140"/>
    <cellStyle name="Percent 21 4 7" xfId="25141"/>
    <cellStyle name="Percent 21 5 8" xfId="25142"/>
    <cellStyle name="Percent 21 5 2 2" xfId="25143"/>
    <cellStyle name="Percent 21 5 3 2" xfId="25144"/>
    <cellStyle name="Percent 21 5 4" xfId="25145"/>
    <cellStyle name="Percent 21 5 5" xfId="25146"/>
    <cellStyle name="Percent 21 5 6" xfId="25147"/>
    <cellStyle name="Percent 21 5 7" xfId="25148"/>
    <cellStyle name="Percent 21 6 8" xfId="25149"/>
    <cellStyle name="Percent 21 6 2 2" xfId="25150"/>
    <cellStyle name="Percent 21 6 3 2" xfId="25151"/>
    <cellStyle name="Percent 21 6 4" xfId="25152"/>
    <cellStyle name="Percent 21 6 5" xfId="25153"/>
    <cellStyle name="Percent 21 6 6" xfId="25154"/>
    <cellStyle name="Percent 21 6 7" xfId="25155"/>
    <cellStyle name="Percent 21 7 10" xfId="25156"/>
    <cellStyle name="Percent 21 7 2 8" xfId="25157"/>
    <cellStyle name="Percent 21 7 2 2 2" xfId="25158"/>
    <cellStyle name="Percent 21 7 2 3 2" xfId="25159"/>
    <cellStyle name="Percent 21 7 2 4" xfId="25160"/>
    <cellStyle name="Percent 21 7 2 5" xfId="25161"/>
    <cellStyle name="Percent 21 7 2 6" xfId="25162"/>
    <cellStyle name="Percent 21 7 2 7" xfId="25163"/>
    <cellStyle name="Percent 21 7 3 8" xfId="25164"/>
    <cellStyle name="Percent 21 7 3 2 2" xfId="25165"/>
    <cellStyle name="Percent 21 7 3 3 2" xfId="25166"/>
    <cellStyle name="Percent 21 7 3 4" xfId="25167"/>
    <cellStyle name="Percent 21 7 3 5" xfId="25168"/>
    <cellStyle name="Percent 21 7 3 6" xfId="25169"/>
    <cellStyle name="Percent 21 7 3 7" xfId="25170"/>
    <cellStyle name="Percent 21 7 4 2" xfId="25171"/>
    <cellStyle name="Percent 21 7 5 2" xfId="25172"/>
    <cellStyle name="Percent 21 7 6" xfId="25173"/>
    <cellStyle name="Percent 21 7 7" xfId="25174"/>
    <cellStyle name="Percent 21 7 8" xfId="25175"/>
    <cellStyle name="Percent 21 7 9" xfId="25176"/>
    <cellStyle name="Percent 21 8 2" xfId="25177"/>
    <cellStyle name="Percent 21 9 2" xfId="25178"/>
    <cellStyle name="Percent 22 14" xfId="25179"/>
    <cellStyle name="Percent 22 10" xfId="25180"/>
    <cellStyle name="Percent 22 11" xfId="25181"/>
    <cellStyle name="Percent 22 12" xfId="25182"/>
    <cellStyle name="Percent 22 13" xfId="25183"/>
    <cellStyle name="Percent 22 2 8" xfId="25184"/>
    <cellStyle name="Percent 22 2 2 2" xfId="25185"/>
    <cellStyle name="Percent 22 2 3 2" xfId="25186"/>
    <cellStyle name="Percent 22 2 4" xfId="25187"/>
    <cellStyle name="Percent 22 2 5" xfId="25188"/>
    <cellStyle name="Percent 22 2 6" xfId="25189"/>
    <cellStyle name="Percent 22 2 7" xfId="25190"/>
    <cellStyle name="Percent 22 3 8" xfId="25191"/>
    <cellStyle name="Percent 22 3 2 2" xfId="25192"/>
    <cellStyle name="Percent 22 3 3 2" xfId="25193"/>
    <cellStyle name="Percent 22 3 4" xfId="25194"/>
    <cellStyle name="Percent 22 3 5" xfId="25195"/>
    <cellStyle name="Percent 22 3 6" xfId="25196"/>
    <cellStyle name="Percent 22 3 7" xfId="25197"/>
    <cellStyle name="Percent 22 4 8" xfId="25198"/>
    <cellStyle name="Percent 22 4 2 2" xfId="25199"/>
    <cellStyle name="Percent 22 4 3 2" xfId="25200"/>
    <cellStyle name="Percent 22 4 4" xfId="25201"/>
    <cellStyle name="Percent 22 4 5" xfId="25202"/>
    <cellStyle name="Percent 22 4 6" xfId="25203"/>
    <cellStyle name="Percent 22 4 7" xfId="25204"/>
    <cellStyle name="Percent 22 5 8" xfId="25205"/>
    <cellStyle name="Percent 22 5 2 2" xfId="25206"/>
    <cellStyle name="Percent 22 5 3 2" xfId="25207"/>
    <cellStyle name="Percent 22 5 4" xfId="25208"/>
    <cellStyle name="Percent 22 5 5" xfId="25209"/>
    <cellStyle name="Percent 22 5 6" xfId="25210"/>
    <cellStyle name="Percent 22 5 7" xfId="25211"/>
    <cellStyle name="Percent 22 6 8" xfId="25212"/>
    <cellStyle name="Percent 22 6 2 2" xfId="25213"/>
    <cellStyle name="Percent 22 6 3 2" xfId="25214"/>
    <cellStyle name="Percent 22 6 4" xfId="25215"/>
    <cellStyle name="Percent 22 6 5" xfId="25216"/>
    <cellStyle name="Percent 22 6 6" xfId="25217"/>
    <cellStyle name="Percent 22 6 7" xfId="25218"/>
    <cellStyle name="Percent 22 7 10" xfId="25219"/>
    <cellStyle name="Percent 22 7 2 8" xfId="25220"/>
    <cellStyle name="Percent 22 7 2 2 2" xfId="25221"/>
    <cellStyle name="Percent 22 7 2 3 2" xfId="25222"/>
    <cellStyle name="Percent 22 7 2 4" xfId="25223"/>
    <cellStyle name="Percent 22 7 2 5" xfId="25224"/>
    <cellStyle name="Percent 22 7 2 6" xfId="25225"/>
    <cellStyle name="Percent 22 7 2 7" xfId="25226"/>
    <cellStyle name="Percent 22 7 3 8" xfId="25227"/>
    <cellStyle name="Percent 22 7 3 2 2" xfId="25228"/>
    <cellStyle name="Percent 22 7 3 3 2" xfId="25229"/>
    <cellStyle name="Percent 22 7 3 4" xfId="25230"/>
    <cellStyle name="Percent 22 7 3 5" xfId="25231"/>
    <cellStyle name="Percent 22 7 3 6" xfId="25232"/>
    <cellStyle name="Percent 22 7 3 7" xfId="25233"/>
    <cellStyle name="Percent 22 7 4 2" xfId="25234"/>
    <cellStyle name="Percent 22 7 5 2" xfId="25235"/>
    <cellStyle name="Percent 22 7 6" xfId="25236"/>
    <cellStyle name="Percent 22 7 7" xfId="25237"/>
    <cellStyle name="Percent 22 7 8" xfId="25238"/>
    <cellStyle name="Percent 22 7 9" xfId="25239"/>
    <cellStyle name="Percent 22 8 2" xfId="25240"/>
    <cellStyle name="Percent 22 9 2" xfId="25241"/>
    <cellStyle name="Percent 23 14" xfId="25242"/>
    <cellStyle name="Percent 23 10" xfId="25243"/>
    <cellStyle name="Percent 23 11" xfId="25244"/>
    <cellStyle name="Percent 23 12" xfId="25245"/>
    <cellStyle name="Percent 23 13" xfId="25246"/>
    <cellStyle name="Percent 23 2 8" xfId="25247"/>
    <cellStyle name="Percent 23 2 2 2" xfId="25248"/>
    <cellStyle name="Percent 23 2 3 2" xfId="25249"/>
    <cellStyle name="Percent 23 2 4" xfId="25250"/>
    <cellStyle name="Percent 23 2 5" xfId="25251"/>
    <cellStyle name="Percent 23 2 6" xfId="25252"/>
    <cellStyle name="Percent 23 2 7" xfId="25253"/>
    <cellStyle name="Percent 23 3 8" xfId="25254"/>
    <cellStyle name="Percent 23 3 2 2" xfId="25255"/>
    <cellStyle name="Percent 23 3 3 2" xfId="25256"/>
    <cellStyle name="Percent 23 3 4" xfId="25257"/>
    <cellStyle name="Percent 23 3 5" xfId="25258"/>
    <cellStyle name="Percent 23 3 6" xfId="25259"/>
    <cellStyle name="Percent 23 3 7" xfId="25260"/>
    <cellStyle name="Percent 23 4 8" xfId="25261"/>
    <cellStyle name="Percent 23 4 2 2" xfId="25262"/>
    <cellStyle name="Percent 23 4 3 2" xfId="25263"/>
    <cellStyle name="Percent 23 4 4" xfId="25264"/>
    <cellStyle name="Percent 23 4 5" xfId="25265"/>
    <cellStyle name="Percent 23 4 6" xfId="25266"/>
    <cellStyle name="Percent 23 4 7" xfId="25267"/>
    <cellStyle name="Percent 23 5 8" xfId="25268"/>
    <cellStyle name="Percent 23 5 2 2" xfId="25269"/>
    <cellStyle name="Percent 23 5 3 2" xfId="25270"/>
    <cellStyle name="Percent 23 5 4" xfId="25271"/>
    <cellStyle name="Percent 23 5 5" xfId="25272"/>
    <cellStyle name="Percent 23 5 6" xfId="25273"/>
    <cellStyle name="Percent 23 5 7" xfId="25274"/>
    <cellStyle name="Percent 23 6 8" xfId="25275"/>
    <cellStyle name="Percent 23 6 2 2" xfId="25276"/>
    <cellStyle name="Percent 23 6 3 2" xfId="25277"/>
    <cellStyle name="Percent 23 6 4" xfId="25278"/>
    <cellStyle name="Percent 23 6 5" xfId="25279"/>
    <cellStyle name="Percent 23 6 6" xfId="25280"/>
    <cellStyle name="Percent 23 6 7" xfId="25281"/>
    <cellStyle name="Percent 23 7 10" xfId="25282"/>
    <cellStyle name="Percent 23 7 2 8" xfId="25283"/>
    <cellStyle name="Percent 23 7 2 2 2" xfId="25284"/>
    <cellStyle name="Percent 23 7 2 3 2" xfId="25285"/>
    <cellStyle name="Percent 23 7 2 4" xfId="25286"/>
    <cellStyle name="Percent 23 7 2 5" xfId="25287"/>
    <cellStyle name="Percent 23 7 2 6" xfId="25288"/>
    <cellStyle name="Percent 23 7 2 7" xfId="25289"/>
    <cellStyle name="Percent 23 7 3 8" xfId="25290"/>
    <cellStyle name="Percent 23 7 3 2 2" xfId="25291"/>
    <cellStyle name="Percent 23 7 3 3 2" xfId="25292"/>
    <cellStyle name="Percent 23 7 3 4" xfId="25293"/>
    <cellStyle name="Percent 23 7 3 5" xfId="25294"/>
    <cellStyle name="Percent 23 7 3 6" xfId="25295"/>
    <cellStyle name="Percent 23 7 3 7" xfId="25296"/>
    <cellStyle name="Percent 23 7 4 2" xfId="25297"/>
    <cellStyle name="Percent 23 7 5 2" xfId="25298"/>
    <cellStyle name="Percent 23 7 6" xfId="25299"/>
    <cellStyle name="Percent 23 7 7" xfId="25300"/>
    <cellStyle name="Percent 23 7 8" xfId="25301"/>
    <cellStyle name="Percent 23 7 9" xfId="25302"/>
    <cellStyle name="Percent 23 8 2" xfId="25303"/>
    <cellStyle name="Percent 23 9 2" xfId="25304"/>
    <cellStyle name="Percent 24 10" xfId="25305"/>
    <cellStyle name="Percent 24 2 8" xfId="25306"/>
    <cellStyle name="Percent 24 2 2 2" xfId="25307"/>
    <cellStyle name="Percent 24 2 3 2" xfId="25308"/>
    <cellStyle name="Percent 24 2 4" xfId="25309"/>
    <cellStyle name="Percent 24 2 5" xfId="25310"/>
    <cellStyle name="Percent 24 2 6" xfId="25311"/>
    <cellStyle name="Percent 24 2 7" xfId="25312"/>
    <cellStyle name="Percent 24 3 8" xfId="25313"/>
    <cellStyle name="Percent 24 3 2 2" xfId="25314"/>
    <cellStyle name="Percent 24 3 3 2" xfId="25315"/>
    <cellStyle name="Percent 24 3 4" xfId="25316"/>
    <cellStyle name="Percent 24 3 5" xfId="25317"/>
    <cellStyle name="Percent 24 3 6" xfId="25318"/>
    <cellStyle name="Percent 24 3 7" xfId="25319"/>
    <cellStyle name="Percent 24 4 8" xfId="25320"/>
    <cellStyle name="Percent 24 4 2 2" xfId="25321"/>
    <cellStyle name="Percent 24 4 3 2" xfId="25322"/>
    <cellStyle name="Percent 24 4 4" xfId="25323"/>
    <cellStyle name="Percent 24 4 5" xfId="25324"/>
    <cellStyle name="Percent 24 4 6" xfId="25325"/>
    <cellStyle name="Percent 24 4 7" xfId="25326"/>
    <cellStyle name="Percent 24 5 8" xfId="25327"/>
    <cellStyle name="Percent 24 5 2 2" xfId="25328"/>
    <cellStyle name="Percent 24 5 3 2" xfId="25329"/>
    <cellStyle name="Percent 24 5 4" xfId="25330"/>
    <cellStyle name="Percent 24 5 5" xfId="25331"/>
    <cellStyle name="Percent 24 5 6" xfId="25332"/>
    <cellStyle name="Percent 24 5 7" xfId="25333"/>
    <cellStyle name="Percent 24 6 8" xfId="25334"/>
    <cellStyle name="Percent 24 6 2 2" xfId="25335"/>
    <cellStyle name="Percent 24 6 3 2" xfId="25336"/>
    <cellStyle name="Percent 24 6 4" xfId="25337"/>
    <cellStyle name="Percent 24 6 5" xfId="25338"/>
    <cellStyle name="Percent 24 6 6" xfId="25339"/>
    <cellStyle name="Percent 24 6 7" xfId="25340"/>
    <cellStyle name="Percent 24 7 10" xfId="25341"/>
    <cellStyle name="Percent 24 7 2 8" xfId="25342"/>
    <cellStyle name="Percent 24 7 2 2 2" xfId="25343"/>
    <cellStyle name="Percent 24 7 2 3 2" xfId="25344"/>
    <cellStyle name="Percent 24 7 2 4" xfId="25345"/>
    <cellStyle name="Percent 24 7 2 5" xfId="25346"/>
    <cellStyle name="Percent 24 7 2 6" xfId="25347"/>
    <cellStyle name="Percent 24 7 2 7" xfId="25348"/>
    <cellStyle name="Percent 24 7 3 8" xfId="25349"/>
    <cellStyle name="Percent 24 7 3 2 2" xfId="25350"/>
    <cellStyle name="Percent 24 7 3 3 2" xfId="25351"/>
    <cellStyle name="Percent 24 7 3 4" xfId="25352"/>
    <cellStyle name="Percent 24 7 3 5" xfId="25353"/>
    <cellStyle name="Percent 24 7 3 6" xfId="25354"/>
    <cellStyle name="Percent 24 7 3 7" xfId="25355"/>
    <cellStyle name="Percent 24 7 4 2" xfId="25356"/>
    <cellStyle name="Percent 24 7 5 2" xfId="25357"/>
    <cellStyle name="Percent 24 7 6" xfId="25358"/>
    <cellStyle name="Percent 24 7 7" xfId="25359"/>
    <cellStyle name="Percent 24 7 8" xfId="25360"/>
    <cellStyle name="Percent 24 7 9" xfId="25361"/>
    <cellStyle name="Percent 24 8" xfId="25362"/>
    <cellStyle name="Percent 24 9" xfId="25363"/>
    <cellStyle name="Percent 25 14" xfId="25364"/>
    <cellStyle name="Percent 25 10" xfId="25365"/>
    <cellStyle name="Percent 25 11" xfId="25366"/>
    <cellStyle name="Percent 25 12" xfId="25367"/>
    <cellStyle name="Percent 25 13" xfId="25368"/>
    <cellStyle name="Percent 25 2 8" xfId="25369"/>
    <cellStyle name="Percent 25 2 2 2" xfId="25370"/>
    <cellStyle name="Percent 25 2 3 2" xfId="25371"/>
    <cellStyle name="Percent 25 2 4" xfId="25372"/>
    <cellStyle name="Percent 25 2 5" xfId="25373"/>
    <cellStyle name="Percent 25 2 6" xfId="25374"/>
    <cellStyle name="Percent 25 2 7" xfId="25375"/>
    <cellStyle name="Percent 25 3 8" xfId="25376"/>
    <cellStyle name="Percent 25 3 2 2" xfId="25377"/>
    <cellStyle name="Percent 25 3 3 2" xfId="25378"/>
    <cellStyle name="Percent 25 3 4" xfId="25379"/>
    <cellStyle name="Percent 25 3 5" xfId="25380"/>
    <cellStyle name="Percent 25 3 6" xfId="25381"/>
    <cellStyle name="Percent 25 3 7" xfId="25382"/>
    <cellStyle name="Percent 25 4 8" xfId="25383"/>
    <cellStyle name="Percent 25 4 2 2" xfId="25384"/>
    <cellStyle name="Percent 25 4 3 2" xfId="25385"/>
    <cellStyle name="Percent 25 4 4" xfId="25386"/>
    <cellStyle name="Percent 25 4 5" xfId="25387"/>
    <cellStyle name="Percent 25 4 6" xfId="25388"/>
    <cellStyle name="Percent 25 4 7" xfId="25389"/>
    <cellStyle name="Percent 25 5 8" xfId="25390"/>
    <cellStyle name="Percent 25 5 2 2" xfId="25391"/>
    <cellStyle name="Percent 25 5 3 2" xfId="25392"/>
    <cellStyle name="Percent 25 5 4" xfId="25393"/>
    <cellStyle name="Percent 25 5 5" xfId="25394"/>
    <cellStyle name="Percent 25 5 6" xfId="25395"/>
    <cellStyle name="Percent 25 5 7" xfId="25396"/>
    <cellStyle name="Percent 25 6 8" xfId="25397"/>
    <cellStyle name="Percent 25 6 2 2" xfId="25398"/>
    <cellStyle name="Percent 25 6 3 2" xfId="25399"/>
    <cellStyle name="Percent 25 6 4" xfId="25400"/>
    <cellStyle name="Percent 25 6 5" xfId="25401"/>
    <cellStyle name="Percent 25 6 6" xfId="25402"/>
    <cellStyle name="Percent 25 6 7" xfId="25403"/>
    <cellStyle name="Percent 25 7 10" xfId="25404"/>
    <cellStyle name="Percent 25 7 2 8" xfId="25405"/>
    <cellStyle name="Percent 25 7 2 2 2" xfId="25406"/>
    <cellStyle name="Percent 25 7 2 3 2" xfId="25407"/>
    <cellStyle name="Percent 25 7 2 4" xfId="25408"/>
    <cellStyle name="Percent 25 7 2 5" xfId="25409"/>
    <cellStyle name="Percent 25 7 2 6" xfId="25410"/>
    <cellStyle name="Percent 25 7 2 7" xfId="25411"/>
    <cellStyle name="Percent 25 7 3 8" xfId="25412"/>
    <cellStyle name="Percent 25 7 3 2 2" xfId="25413"/>
    <cellStyle name="Percent 25 7 3 3 2" xfId="25414"/>
    <cellStyle name="Percent 25 7 3 4" xfId="25415"/>
    <cellStyle name="Percent 25 7 3 5" xfId="25416"/>
    <cellStyle name="Percent 25 7 3 6" xfId="25417"/>
    <cellStyle name="Percent 25 7 3 7" xfId="25418"/>
    <cellStyle name="Percent 25 7 4 2" xfId="25419"/>
    <cellStyle name="Percent 25 7 5 2" xfId="25420"/>
    <cellStyle name="Percent 25 7 6" xfId="25421"/>
    <cellStyle name="Percent 25 7 7" xfId="25422"/>
    <cellStyle name="Percent 25 7 8" xfId="25423"/>
    <cellStyle name="Percent 25 7 9" xfId="25424"/>
    <cellStyle name="Percent 25 8 2" xfId="25425"/>
    <cellStyle name="Percent 25 9 2" xfId="25426"/>
    <cellStyle name="Percent 26 14" xfId="25427"/>
    <cellStyle name="Percent 26 10" xfId="25428"/>
    <cellStyle name="Percent 26 11" xfId="25429"/>
    <cellStyle name="Percent 26 12" xfId="25430"/>
    <cellStyle name="Percent 26 13" xfId="25431"/>
    <cellStyle name="Percent 26 2 8" xfId="25432"/>
    <cellStyle name="Percent 26 2 2 2" xfId="25433"/>
    <cellStyle name="Percent 26 2 3 2" xfId="25434"/>
    <cellStyle name="Percent 26 2 4" xfId="25435"/>
    <cellStyle name="Percent 26 2 5" xfId="25436"/>
    <cellStyle name="Percent 26 2 6" xfId="25437"/>
    <cellStyle name="Percent 26 2 7" xfId="25438"/>
    <cellStyle name="Percent 26 3 9" xfId="25439"/>
    <cellStyle name="Percent 26 3 2 2" xfId="25440"/>
    <cellStyle name="Percent 26 3 3 2" xfId="25441"/>
    <cellStyle name="Percent 26 3 4" xfId="25442"/>
    <cellStyle name="Percent 26 3 5" xfId="25443"/>
    <cellStyle name="Percent 26 3 6" xfId="25444"/>
    <cellStyle name="Percent 26 3 7" xfId="25445"/>
    <cellStyle name="Percent 26 3 8" xfId="25446"/>
    <cellStyle name="Percent 26 4 9" xfId="25447"/>
    <cellStyle name="Percent 26 4 2 2" xfId="25448"/>
    <cellStyle name="Percent 26 4 3 2" xfId="25449"/>
    <cellStyle name="Percent 26 4 4" xfId="25450"/>
    <cellStyle name="Percent 26 4 5" xfId="25451"/>
    <cellStyle name="Percent 26 4 6" xfId="25452"/>
    <cellStyle name="Percent 26 4 7" xfId="25453"/>
    <cellStyle name="Percent 26 4 8" xfId="25454"/>
    <cellStyle name="Percent 26 5 9" xfId="25455"/>
    <cellStyle name="Percent 26 5 2 2" xfId="25456"/>
    <cellStyle name="Percent 26 5 3 2" xfId="25457"/>
    <cellStyle name="Percent 26 5 4" xfId="25458"/>
    <cellStyle name="Percent 26 5 5" xfId="25459"/>
    <cellStyle name="Percent 26 5 6" xfId="25460"/>
    <cellStyle name="Percent 26 5 7" xfId="25461"/>
    <cellStyle name="Percent 26 5 8" xfId="25462"/>
    <cellStyle name="Percent 26 6 9" xfId="25463"/>
    <cellStyle name="Percent 26 6 2 2" xfId="25464"/>
    <cellStyle name="Percent 26 6 3 2" xfId="25465"/>
    <cellStyle name="Percent 26 6 4" xfId="25466"/>
    <cellStyle name="Percent 26 6 5" xfId="25467"/>
    <cellStyle name="Percent 26 6 6" xfId="25468"/>
    <cellStyle name="Percent 26 6 7" xfId="25469"/>
    <cellStyle name="Percent 26 6 8" xfId="25470"/>
    <cellStyle name="Percent 26 7 11" xfId="25471"/>
    <cellStyle name="Percent 26 7 10" xfId="25472"/>
    <cellStyle name="Percent 26 7 2 9" xfId="25473"/>
    <cellStyle name="Percent 26 7 2 2 2" xfId="25474"/>
    <cellStyle name="Percent 26 7 2 3 2" xfId="25475"/>
    <cellStyle name="Percent 26 7 2 4" xfId="25476"/>
    <cellStyle name="Percent 26 7 2 5" xfId="25477"/>
    <cellStyle name="Percent 26 7 2 6" xfId="25478"/>
    <cellStyle name="Percent 26 7 2 7" xfId="25479"/>
    <cellStyle name="Percent 26 7 2 8" xfId="25480"/>
    <cellStyle name="Percent 26 7 3 9" xfId="25481"/>
    <cellStyle name="Percent 26 7 3 2 2" xfId="25482"/>
    <cellStyle name="Percent 26 7 3 3 2" xfId="25483"/>
    <cellStyle name="Percent 26 7 3 4" xfId="25484"/>
    <cellStyle name="Percent 26 7 3 5" xfId="25485"/>
    <cellStyle name="Percent 26 7 3 6" xfId="25486"/>
    <cellStyle name="Percent 26 7 3 7" xfId="25487"/>
    <cellStyle name="Percent 26 7 3 8" xfId="25488"/>
    <cellStyle name="Percent 26 7 4 2" xfId="25489"/>
    <cellStyle name="Percent 26 7 5 2" xfId="25490"/>
    <cellStyle name="Percent 26 7 6" xfId="25491"/>
    <cellStyle name="Percent 26 7 7" xfId="25492"/>
    <cellStyle name="Percent 26 7 8" xfId="25493"/>
    <cellStyle name="Percent 26 7 9" xfId="25494"/>
    <cellStyle name="Percent 26 8 2" xfId="25495"/>
    <cellStyle name="Percent 26 9 2" xfId="25496"/>
    <cellStyle name="Percent 27 9" xfId="25497"/>
    <cellStyle name="Percent 27 2 2" xfId="25498"/>
    <cellStyle name="Percent 27 3 2" xfId="25499"/>
    <cellStyle name="Percent 27 4" xfId="25500"/>
    <cellStyle name="Percent 27 5" xfId="25501"/>
    <cellStyle name="Percent 27 6" xfId="25502"/>
    <cellStyle name="Percent 27 7" xfId="25503"/>
    <cellStyle name="Percent 27 8" xfId="25504"/>
    <cellStyle name="Percent 28 2" xfId="25505"/>
    <cellStyle name="Percent 3 39" xfId="25506"/>
    <cellStyle name="Percent 3 10 23" xfId="25507"/>
    <cellStyle name="Percent 3 10 10 9" xfId="25508"/>
    <cellStyle name="Percent 3 10 10 2 2" xfId="25509"/>
    <cellStyle name="Percent 3 10 10 3 2" xfId="25510"/>
    <cellStyle name="Percent 3 10 10 4" xfId="25511"/>
    <cellStyle name="Percent 3 10 10 5" xfId="25512"/>
    <cellStyle name="Percent 3 10 10 6" xfId="25513"/>
    <cellStyle name="Percent 3 10 10 7" xfId="25514"/>
    <cellStyle name="Percent 3 10 10 8" xfId="25515"/>
    <cellStyle name="Percent 3 10 11 9" xfId="25516"/>
    <cellStyle name="Percent 3 10 11 2 3" xfId="25517"/>
    <cellStyle name="Percent 3 10 11 2 2" xfId="25518"/>
    <cellStyle name="Percent 3 10 11 3 2" xfId="25519"/>
    <cellStyle name="Percent 3 10 11 4" xfId="25520"/>
    <cellStyle name="Percent 3 10 11 5" xfId="25521"/>
    <cellStyle name="Percent 3 10 11 6" xfId="25522"/>
    <cellStyle name="Percent 3 10 11 7" xfId="25523"/>
    <cellStyle name="Percent 3 10 11 8" xfId="25524"/>
    <cellStyle name="Percent 3 10 12 9" xfId="25525"/>
    <cellStyle name="Percent 3 10 12 2 3" xfId="25526"/>
    <cellStyle name="Percent 3 10 12 2 2" xfId="25527"/>
    <cellStyle name="Percent 3 10 12 3 2" xfId="25528"/>
    <cellStyle name="Percent 3 10 12 4" xfId="25529"/>
    <cellStyle name="Percent 3 10 12 5" xfId="25530"/>
    <cellStyle name="Percent 3 10 12 6" xfId="25531"/>
    <cellStyle name="Percent 3 10 12 7" xfId="25532"/>
    <cellStyle name="Percent 3 10 12 8" xfId="25533"/>
    <cellStyle name="Percent 3 10 13 9" xfId="25534"/>
    <cellStyle name="Percent 3 10 13 2 3" xfId="25535"/>
    <cellStyle name="Percent 3 10 13 2 2" xfId="25536"/>
    <cellStyle name="Percent 3 10 13 3 3" xfId="25537"/>
    <cellStyle name="Percent 3 10 13 3 2" xfId="25538"/>
    <cellStyle name="Percent 3 10 13 4" xfId="25539"/>
    <cellStyle name="Percent 3 10 13 5" xfId="25540"/>
    <cellStyle name="Percent 3 10 13 6" xfId="25541"/>
    <cellStyle name="Percent 3 10 13 7" xfId="25542"/>
    <cellStyle name="Percent 3 10 13 8" xfId="25543"/>
    <cellStyle name="Percent 3 10 14 9" xfId="25544"/>
    <cellStyle name="Percent 3 10 14 2 3" xfId="25545"/>
    <cellStyle name="Percent 3 10 14 2 2" xfId="25546"/>
    <cellStyle name="Percent 3 10 14 3 3" xfId="25547"/>
    <cellStyle name="Percent 3 10 14 3 2" xfId="25548"/>
    <cellStyle name="Percent 3 10 14 4" xfId="25549"/>
    <cellStyle name="Percent 3 10 14 5" xfId="25550"/>
    <cellStyle name="Percent 3 10 14 6" xfId="25551"/>
    <cellStyle name="Percent 3 10 14 7" xfId="25552"/>
    <cellStyle name="Percent 3 10 14 8" xfId="25553"/>
    <cellStyle name="Percent 3 10 15 9" xfId="25554"/>
    <cellStyle name="Percent 3 10 15 2 3" xfId="25555"/>
    <cellStyle name="Percent 3 10 15 2 2" xfId="25556"/>
    <cellStyle name="Percent 3 10 15 3 3" xfId="25557"/>
    <cellStyle name="Percent 3 10 15 3 2" xfId="25558"/>
    <cellStyle name="Percent 3 10 15 4" xfId="25559"/>
    <cellStyle name="Percent 3 10 15 5" xfId="25560"/>
    <cellStyle name="Percent 3 10 15 6" xfId="25561"/>
    <cellStyle name="Percent 3 10 15 7" xfId="25562"/>
    <cellStyle name="Percent 3 10 15 8" xfId="25563"/>
    <cellStyle name="Percent 3 10 16 2" xfId="25564"/>
    <cellStyle name="Percent 3 10 17 2" xfId="25565"/>
    <cellStyle name="Percent 3 10 18" xfId="25566"/>
    <cellStyle name="Percent 3 10 19" xfId="25567"/>
    <cellStyle name="Percent 3 10 2 9" xfId="25568"/>
    <cellStyle name="Percent 3 10 2 2 3" xfId="25569"/>
    <cellStyle name="Percent 3 10 2 2 2" xfId="25570"/>
    <cellStyle name="Percent 3 10 2 3 3" xfId="25571"/>
    <cellStyle name="Percent 3 10 2 3 2" xfId="25572"/>
    <cellStyle name="Percent 3 10 2 4" xfId="25573"/>
    <cellStyle name="Percent 3 10 2 5" xfId="25574"/>
    <cellStyle name="Percent 3 10 2 6" xfId="25575"/>
    <cellStyle name="Percent 3 10 2 7" xfId="25576"/>
    <cellStyle name="Percent 3 10 2 8" xfId="25577"/>
    <cellStyle name="Percent 3 10 20" xfId="25578"/>
    <cellStyle name="Percent 3 10 21" xfId="25579"/>
    <cellStyle name="Percent 3 10 22" xfId="25580"/>
    <cellStyle name="Percent 3 10 3 9" xfId="25581"/>
    <cellStyle name="Percent 3 10 3 2 3" xfId="25582"/>
    <cellStyle name="Percent 3 10 3 2 2" xfId="25583"/>
    <cellStyle name="Percent 3 10 3 3 3" xfId="25584"/>
    <cellStyle name="Percent 3 10 3 3 2" xfId="25585"/>
    <cellStyle name="Percent 3 10 3 4 2" xfId="25586"/>
    <cellStyle name="Percent 3 10 3 5" xfId="25587"/>
    <cellStyle name="Percent 3 10 3 6" xfId="25588"/>
    <cellStyle name="Percent 3 10 3 7" xfId="25589"/>
    <cellStyle name="Percent 3 10 3 8" xfId="25590"/>
    <cellStyle name="Percent 3 10 4 9" xfId="25591"/>
    <cellStyle name="Percent 3 10 4 2 3" xfId="25592"/>
    <cellStyle name="Percent 3 10 4 2 2" xfId="25593"/>
    <cellStyle name="Percent 3 10 4 3 3" xfId="25594"/>
    <cellStyle name="Percent 3 10 4 3 2" xfId="25595"/>
    <cellStyle name="Percent 3 10 4 4 2" xfId="25596"/>
    <cellStyle name="Percent 3 10 4 5" xfId="25597"/>
    <cellStyle name="Percent 3 10 4 6" xfId="25598"/>
    <cellStyle name="Percent 3 10 4 7" xfId="25599"/>
    <cellStyle name="Percent 3 10 4 8" xfId="25600"/>
    <cellStyle name="Percent 3 10 5 9" xfId="25601"/>
    <cellStyle name="Percent 3 10 5 2 3" xfId="25602"/>
    <cellStyle name="Percent 3 10 5 2 2" xfId="25603"/>
    <cellStyle name="Percent 3 10 5 3 3" xfId="25604"/>
    <cellStyle name="Percent 3 10 5 3 2" xfId="25605"/>
    <cellStyle name="Percent 3 10 5 4 2" xfId="25606"/>
    <cellStyle name="Percent 3 10 5 5" xfId="25607"/>
    <cellStyle name="Percent 3 10 5 6" xfId="25608"/>
    <cellStyle name="Percent 3 10 5 7" xfId="25609"/>
    <cellStyle name="Percent 3 10 5 8" xfId="25610"/>
    <cellStyle name="Percent 3 10 6 9" xfId="25611"/>
    <cellStyle name="Percent 3 10 6 2 3" xfId="25612"/>
    <cellStyle name="Percent 3 10 6 2 2" xfId="25613"/>
    <cellStyle name="Percent 3 10 6 3 3" xfId="25614"/>
    <cellStyle name="Percent 3 10 6 3 2" xfId="25615"/>
    <cellStyle name="Percent 3 10 6 4 2" xfId="25616"/>
    <cellStyle name="Percent 3 10 6 5" xfId="25617"/>
    <cellStyle name="Percent 3 10 6 6" xfId="25618"/>
    <cellStyle name="Percent 3 10 6 7" xfId="25619"/>
    <cellStyle name="Percent 3 10 6 8" xfId="25620"/>
    <cellStyle name="Percent 3 10 7 9" xfId="25621"/>
    <cellStyle name="Percent 3 10 7 2 3" xfId="25622"/>
    <cellStyle name="Percent 3 10 7 2 2" xfId="25623"/>
    <cellStyle name="Percent 3 10 7 3 3" xfId="25624"/>
    <cellStyle name="Percent 3 10 7 3 2" xfId="25625"/>
    <cellStyle name="Percent 3 10 7 4 2" xfId="25626"/>
    <cellStyle name="Percent 3 10 7 5" xfId="25627"/>
    <cellStyle name="Percent 3 10 7 6" xfId="25628"/>
    <cellStyle name="Percent 3 10 7 7" xfId="25629"/>
    <cellStyle name="Percent 3 10 7 8" xfId="25630"/>
    <cellStyle name="Percent 3 10 8 9" xfId="25631"/>
    <cellStyle name="Percent 3 10 8 2 3" xfId="25632"/>
    <cellStyle name="Percent 3 10 8 2 2" xfId="25633"/>
    <cellStyle name="Percent 3 10 8 3 3" xfId="25634"/>
    <cellStyle name="Percent 3 10 8 3 2" xfId="25635"/>
    <cellStyle name="Percent 3 10 8 4 2" xfId="25636"/>
    <cellStyle name="Percent 3 10 8 5" xfId="25637"/>
    <cellStyle name="Percent 3 10 8 6" xfId="25638"/>
    <cellStyle name="Percent 3 10 8 7" xfId="25639"/>
    <cellStyle name="Percent 3 10 8 8" xfId="25640"/>
    <cellStyle name="Percent 3 10 9 9" xfId="25641"/>
    <cellStyle name="Percent 3 10 9 2 3" xfId="25642"/>
    <cellStyle name="Percent 3 10 9 2 2" xfId="25643"/>
    <cellStyle name="Percent 3 10 9 3 3" xfId="25644"/>
    <cellStyle name="Percent 3 10 9 3 2" xfId="25645"/>
    <cellStyle name="Percent 3 10 9 4 2" xfId="25646"/>
    <cellStyle name="Percent 3 10 9 5" xfId="25647"/>
    <cellStyle name="Percent 3 10 9 6" xfId="25648"/>
    <cellStyle name="Percent 3 10 9 7" xfId="25649"/>
    <cellStyle name="Percent 3 10 9 8" xfId="25650"/>
    <cellStyle name="Percent 3 11 9" xfId="25651"/>
    <cellStyle name="Percent 3 11 2 3" xfId="25652"/>
    <cellStyle name="Percent 3 11 2 2" xfId="25653"/>
    <cellStyle name="Percent 3 11 3 3" xfId="25654"/>
    <cellStyle name="Percent 3 11 3 2" xfId="25655"/>
    <cellStyle name="Percent 3 11 4 2" xfId="25656"/>
    <cellStyle name="Percent 3 11 5" xfId="25657"/>
    <cellStyle name="Percent 3 11 6" xfId="25658"/>
    <cellStyle name="Percent 3 11 7" xfId="25659"/>
    <cellStyle name="Percent 3 11 8" xfId="25660"/>
    <cellStyle name="Percent 3 12 9" xfId="25661"/>
    <cellStyle name="Percent 3 12 2 3" xfId="25662"/>
    <cellStyle name="Percent 3 12 2 2" xfId="25663"/>
    <cellStyle name="Percent 3 12 3 3" xfId="25664"/>
    <cellStyle name="Percent 3 12 3 2" xfId="25665"/>
    <cellStyle name="Percent 3 12 4 2" xfId="25666"/>
    <cellStyle name="Percent 3 12 5" xfId="25667"/>
    <cellStyle name="Percent 3 12 6" xfId="25668"/>
    <cellStyle name="Percent 3 12 7" xfId="25669"/>
    <cellStyle name="Percent 3 12 8" xfId="25670"/>
    <cellStyle name="Percent 3 13 9" xfId="25671"/>
    <cellStyle name="Percent 3 13 2 3" xfId="25672"/>
    <cellStyle name="Percent 3 13 2 2" xfId="25673"/>
    <cellStyle name="Percent 3 13 3 3" xfId="25674"/>
    <cellStyle name="Percent 3 13 3 2" xfId="25675"/>
    <cellStyle name="Percent 3 13 4 2" xfId="25676"/>
    <cellStyle name="Percent 3 13 5" xfId="25677"/>
    <cellStyle name="Percent 3 13 6" xfId="25678"/>
    <cellStyle name="Percent 3 13 7" xfId="25679"/>
    <cellStyle name="Percent 3 13 8" xfId="25680"/>
    <cellStyle name="Percent 3 14 9" xfId="25681"/>
    <cellStyle name="Percent 3 14 2 3" xfId="25682"/>
    <cellStyle name="Percent 3 14 2 2" xfId="25683"/>
    <cellStyle name="Percent 3 14 3 3" xfId="25684"/>
    <cellStyle name="Percent 3 14 3 2" xfId="25685"/>
    <cellStyle name="Percent 3 14 4 2" xfId="25686"/>
    <cellStyle name="Percent 3 14 5" xfId="25687"/>
    <cellStyle name="Percent 3 14 6" xfId="25688"/>
    <cellStyle name="Percent 3 14 7" xfId="25689"/>
    <cellStyle name="Percent 3 14 8" xfId="25690"/>
    <cellStyle name="Percent 3 15 9" xfId="25691"/>
    <cellStyle name="Percent 3 15 2 3" xfId="25692"/>
    <cellStyle name="Percent 3 15 2 2" xfId="25693"/>
    <cellStyle name="Percent 3 15 3 3" xfId="25694"/>
    <cellStyle name="Percent 3 15 3 2" xfId="25695"/>
    <cellStyle name="Percent 3 15 4 2" xfId="25696"/>
    <cellStyle name="Percent 3 15 5" xfId="25697"/>
    <cellStyle name="Percent 3 15 6" xfId="25698"/>
    <cellStyle name="Percent 3 15 7" xfId="25699"/>
    <cellStyle name="Percent 3 15 8" xfId="25700"/>
    <cellStyle name="Percent 3 16 9" xfId="25701"/>
    <cellStyle name="Percent 3 16 2 3" xfId="25702"/>
    <cellStyle name="Percent 3 16 2 2" xfId="25703"/>
    <cellStyle name="Percent 3 16 3 3" xfId="25704"/>
    <cellStyle name="Percent 3 16 3 2" xfId="25705"/>
    <cellStyle name="Percent 3 16 4 2" xfId="25706"/>
    <cellStyle name="Percent 3 16 5" xfId="25707"/>
    <cellStyle name="Percent 3 16 6" xfId="25708"/>
    <cellStyle name="Percent 3 16 7" xfId="25709"/>
    <cellStyle name="Percent 3 16 8" xfId="25710"/>
    <cellStyle name="Percent 3 17 9" xfId="25711"/>
    <cellStyle name="Percent 3 17 2 3" xfId="25712"/>
    <cellStyle name="Percent 3 17 2 2" xfId="25713"/>
    <cellStyle name="Percent 3 17 3 3" xfId="25714"/>
    <cellStyle name="Percent 3 17 3 2" xfId="25715"/>
    <cellStyle name="Percent 3 17 4 2" xfId="25716"/>
    <cellStyle name="Percent 3 17 5" xfId="25717"/>
    <cellStyle name="Percent 3 17 6" xfId="25718"/>
    <cellStyle name="Percent 3 17 7" xfId="25719"/>
    <cellStyle name="Percent 3 17 8" xfId="25720"/>
    <cellStyle name="Percent 3 18 9" xfId="25721"/>
    <cellStyle name="Percent 3 18 2 3" xfId="25722"/>
    <cellStyle name="Percent 3 18 2 2" xfId="25723"/>
    <cellStyle name="Percent 3 18 3 3" xfId="25724"/>
    <cellStyle name="Percent 3 18 3 2" xfId="25725"/>
    <cellStyle name="Percent 3 18 4 2" xfId="25726"/>
    <cellStyle name="Percent 3 18 5" xfId="25727"/>
    <cellStyle name="Percent 3 18 6" xfId="25728"/>
    <cellStyle name="Percent 3 18 7" xfId="25729"/>
    <cellStyle name="Percent 3 18 8" xfId="25730"/>
    <cellStyle name="Percent 3 19 10" xfId="25731"/>
    <cellStyle name="Percent 3 19 2 4" xfId="25732"/>
    <cellStyle name="Percent 3 19 2 2 2" xfId="25733"/>
    <cellStyle name="Percent 3 19 2 3" xfId="25734"/>
    <cellStyle name="Percent 3 19 3 3" xfId="25735"/>
    <cellStyle name="Percent 3 19 3 2" xfId="25736"/>
    <cellStyle name="Percent 3 19 4 3" xfId="25737"/>
    <cellStyle name="Percent 3 19 4 2" xfId="25738"/>
    <cellStyle name="Percent 3 19 5 2" xfId="25739"/>
    <cellStyle name="Percent 3 19 6" xfId="25740"/>
    <cellStyle name="Percent 3 19 7" xfId="25741"/>
    <cellStyle name="Percent 3 19 8" xfId="25742"/>
    <cellStyle name="Percent 3 19 9" xfId="25743"/>
    <cellStyle name="Percent 3 2 26" xfId="25744"/>
    <cellStyle name="Percent 3 2 10 11" xfId="25745"/>
    <cellStyle name="Percent 3 2 10 10" xfId="25746"/>
    <cellStyle name="Percent 3 2 10 2 4" xfId="25747"/>
    <cellStyle name="Percent 3 2 10 2 2 2" xfId="25748"/>
    <cellStyle name="Percent 3 2 10 2 3" xfId="25749"/>
    <cellStyle name="Percent 3 2 10 3 4" xfId="25750"/>
    <cellStyle name="Percent 3 2 10 3 2 2" xfId="25751"/>
    <cellStyle name="Percent 3 2 10 3 3" xfId="25752"/>
    <cellStyle name="Percent 3 2 10 4 3" xfId="25753"/>
    <cellStyle name="Percent 3 2 10 4 2" xfId="25754"/>
    <cellStyle name="Percent 3 2 10 5 3" xfId="25755"/>
    <cellStyle name="Percent 3 2 10 5 2" xfId="25756"/>
    <cellStyle name="Percent 3 2 10 6 2" xfId="25757"/>
    <cellStyle name="Percent 3 2 10 7" xfId="25758"/>
    <cellStyle name="Percent 3 2 10 8" xfId="25759"/>
    <cellStyle name="Percent 3 2 10 9" xfId="25760"/>
    <cellStyle name="Percent 3 2 11 11" xfId="25761"/>
    <cellStyle name="Percent 3 2 11 10" xfId="25762"/>
    <cellStyle name="Percent 3 2 11 2 4" xfId="25763"/>
    <cellStyle name="Percent 3 2 11 2 2 2" xfId="25764"/>
    <cellStyle name="Percent 3 2 11 2 3" xfId="25765"/>
    <cellStyle name="Percent 3 2 11 3 4" xfId="25766"/>
    <cellStyle name="Percent 3 2 11 3 2 2" xfId="25767"/>
    <cellStyle name="Percent 3 2 11 3 3" xfId="25768"/>
    <cellStyle name="Percent 3 2 11 4 3" xfId="25769"/>
    <cellStyle name="Percent 3 2 11 4 2" xfId="25770"/>
    <cellStyle name="Percent 3 2 11 5 3" xfId="25771"/>
    <cellStyle name="Percent 3 2 11 5 2" xfId="25772"/>
    <cellStyle name="Percent 3 2 11 6 2" xfId="25773"/>
    <cellStyle name="Percent 3 2 11 7" xfId="25774"/>
    <cellStyle name="Percent 3 2 11 8" xfId="25775"/>
    <cellStyle name="Percent 3 2 11 9" xfId="25776"/>
    <cellStyle name="Percent 3 2 12 11" xfId="25777"/>
    <cellStyle name="Percent 3 2 12 10" xfId="25778"/>
    <cellStyle name="Percent 3 2 12 2 4" xfId="25779"/>
    <cellStyle name="Percent 3 2 12 2 2 2" xfId="25780"/>
    <cellStyle name="Percent 3 2 12 2 3" xfId="25781"/>
    <cellStyle name="Percent 3 2 12 3 4" xfId="25782"/>
    <cellStyle name="Percent 3 2 12 3 2 2" xfId="25783"/>
    <cellStyle name="Percent 3 2 12 3 3" xfId="25784"/>
    <cellStyle name="Percent 3 2 12 4 3" xfId="25785"/>
    <cellStyle name="Percent 3 2 12 4 2" xfId="25786"/>
    <cellStyle name="Percent 3 2 12 5 3" xfId="25787"/>
    <cellStyle name="Percent 3 2 12 5 2" xfId="25788"/>
    <cellStyle name="Percent 3 2 12 6 2" xfId="25789"/>
    <cellStyle name="Percent 3 2 12 7" xfId="25790"/>
    <cellStyle name="Percent 3 2 12 8" xfId="25791"/>
    <cellStyle name="Percent 3 2 12 9" xfId="25792"/>
    <cellStyle name="Percent 3 2 13 11" xfId="25793"/>
    <cellStyle name="Percent 3 2 13 10" xfId="25794"/>
    <cellStyle name="Percent 3 2 13 2 4" xfId="25795"/>
    <cellStyle name="Percent 3 2 13 2 2 2" xfId="25796"/>
    <cellStyle name="Percent 3 2 13 2 3" xfId="25797"/>
    <cellStyle name="Percent 3 2 13 3 4" xfId="25798"/>
    <cellStyle name="Percent 3 2 13 3 2 2" xfId="25799"/>
    <cellStyle name="Percent 3 2 13 3 3" xfId="25800"/>
    <cellStyle name="Percent 3 2 13 4 3" xfId="25801"/>
    <cellStyle name="Percent 3 2 13 4 2" xfId="25802"/>
    <cellStyle name="Percent 3 2 13 5 3" xfId="25803"/>
    <cellStyle name="Percent 3 2 13 5 2" xfId="25804"/>
    <cellStyle name="Percent 3 2 13 6 2" xfId="25805"/>
    <cellStyle name="Percent 3 2 13 7" xfId="25806"/>
    <cellStyle name="Percent 3 2 13 8" xfId="25807"/>
    <cellStyle name="Percent 3 2 13 9" xfId="25808"/>
    <cellStyle name="Percent 3 2 14 10" xfId="25809"/>
    <cellStyle name="Percent 3 2 14 2 4" xfId="25810"/>
    <cellStyle name="Percent 3 2 14 2 2 2" xfId="25811"/>
    <cellStyle name="Percent 3 2 14 2 3" xfId="25812"/>
    <cellStyle name="Percent 3 2 14 3 4" xfId="25813"/>
    <cellStyle name="Percent 3 2 14 3 2 2" xfId="25814"/>
    <cellStyle name="Percent 3 2 14 3 3" xfId="25815"/>
    <cellStyle name="Percent 3 2 14 4 2" xfId="25816"/>
    <cellStyle name="Percent 3 2 14 5 2" xfId="25817"/>
    <cellStyle name="Percent 3 2 14 6 2" xfId="25818"/>
    <cellStyle name="Percent 3 2 14 7" xfId="25819"/>
    <cellStyle name="Percent 3 2 14 8" xfId="25820"/>
    <cellStyle name="Percent 3 2 14 9" xfId="25821"/>
    <cellStyle name="Percent 3 2 15 10" xfId="25822"/>
    <cellStyle name="Percent 3 2 15 2 4" xfId="25823"/>
    <cellStyle name="Percent 3 2 15 2 2 2" xfId="25824"/>
    <cellStyle name="Percent 3 2 15 2 3" xfId="25825"/>
    <cellStyle name="Percent 3 2 15 3 4" xfId="25826"/>
    <cellStyle name="Percent 3 2 15 3 2 2" xfId="25827"/>
    <cellStyle name="Percent 3 2 15 3 3" xfId="25828"/>
    <cellStyle name="Percent 3 2 15 4 2" xfId="25829"/>
    <cellStyle name="Percent 3 2 15 5 2" xfId="25830"/>
    <cellStyle name="Percent 3 2 15 6 2" xfId="25831"/>
    <cellStyle name="Percent 3 2 15 7" xfId="25832"/>
    <cellStyle name="Percent 3 2 15 8" xfId="25833"/>
    <cellStyle name="Percent 3 2 15 9" xfId="25834"/>
    <cellStyle name="Percent 3 2 16 10" xfId="25835"/>
    <cellStyle name="Percent 3 2 16 2 4" xfId="25836"/>
    <cellStyle name="Percent 3 2 16 2 2 2" xfId="25837"/>
    <cellStyle name="Percent 3 2 16 2 3" xfId="25838"/>
    <cellStyle name="Percent 3 2 16 3 4" xfId="25839"/>
    <cellStyle name="Percent 3 2 16 3 2 2" xfId="25840"/>
    <cellStyle name="Percent 3 2 16 3 3" xfId="25841"/>
    <cellStyle name="Percent 3 2 16 4 2" xfId="25842"/>
    <cellStyle name="Percent 3 2 16 5 2" xfId="25843"/>
    <cellStyle name="Percent 3 2 16 6 2" xfId="25844"/>
    <cellStyle name="Percent 3 2 16 7" xfId="25845"/>
    <cellStyle name="Percent 3 2 16 8" xfId="25846"/>
    <cellStyle name="Percent 3 2 16 9" xfId="25847"/>
    <cellStyle name="Percent 3 2 17 8" xfId="25848"/>
    <cellStyle name="Percent 3 2 17 2 2" xfId="25849"/>
    <cellStyle name="Percent 3 2 17 3 2" xfId="25850"/>
    <cellStyle name="Percent 3 2 17 4" xfId="25851"/>
    <cellStyle name="Percent 3 2 17 5" xfId="25852"/>
    <cellStyle name="Percent 3 2 17 6" xfId="25853"/>
    <cellStyle name="Percent 3 2 17 7" xfId="25854"/>
    <cellStyle name="Percent 3 2 18 4" xfId="25855"/>
    <cellStyle name="Percent 3 2 18 2" xfId="25856"/>
    <cellStyle name="Percent 3 2 18 3" xfId="25857"/>
    <cellStyle name="Percent 3 2 19 2" xfId="25858"/>
    <cellStyle name="Percent 3 2 2 12" xfId="25859"/>
    <cellStyle name="Percent 3 2 2 10" xfId="25860"/>
    <cellStyle name="Percent 3 2 2 11" xfId="25861"/>
    <cellStyle name="Percent 3 2 2 2 10" xfId="25862"/>
    <cellStyle name="Percent 3 2 2 2 2 8" xfId="25863"/>
    <cellStyle name="Percent 3 2 2 2 2 2 2" xfId="25864"/>
    <cellStyle name="Percent 3 2 2 2 2 3 2" xfId="25865"/>
    <cellStyle name="Percent 3 2 2 2 2 4" xfId="25866"/>
    <cellStyle name="Percent 3 2 2 2 2 5" xfId="25867"/>
    <cellStyle name="Percent 3 2 2 2 2 6" xfId="25868"/>
    <cellStyle name="Percent 3 2 2 2 2 7" xfId="25869"/>
    <cellStyle name="Percent 3 2 2 2 3 4" xfId="25870"/>
    <cellStyle name="Percent 3 2 2 2 3 2 2" xfId="25871"/>
    <cellStyle name="Percent 3 2 2 2 3 3" xfId="25872"/>
    <cellStyle name="Percent 3 2 2 2 4 2" xfId="25873"/>
    <cellStyle name="Percent 3 2 2 2 5 2" xfId="25874"/>
    <cellStyle name="Percent 3 2 2 2 6 2" xfId="25875"/>
    <cellStyle name="Percent 3 2 2 2 7" xfId="25876"/>
    <cellStyle name="Percent 3 2 2 2 8" xfId="25877"/>
    <cellStyle name="Percent 3 2 2 2 9" xfId="25878"/>
    <cellStyle name="Percent 3 2 2 3 8" xfId="25879"/>
    <cellStyle name="Percent 3 2 2 3 2 2" xfId="25880"/>
    <cellStyle name="Percent 3 2 2 3 3 2" xfId="25881"/>
    <cellStyle name="Percent 3 2 2 3 4" xfId="25882"/>
    <cellStyle name="Percent 3 2 2 3 5" xfId="25883"/>
    <cellStyle name="Percent 3 2 2 3 6" xfId="25884"/>
    <cellStyle name="Percent 3 2 2 3 7" xfId="25885"/>
    <cellStyle name="Percent 3 2 2 4 4" xfId="25886"/>
    <cellStyle name="Percent 3 2 2 4 2 2" xfId="25887"/>
    <cellStyle name="Percent 3 2 2 4 3" xfId="25888"/>
    <cellStyle name="Percent 3 2 2 5 2" xfId="25889"/>
    <cellStyle name="Percent 3 2 2 6 2" xfId="25890"/>
    <cellStyle name="Percent 3 2 2 7 2" xfId="25891"/>
    <cellStyle name="Percent 3 2 2 8 2" xfId="25892"/>
    <cellStyle name="Percent 3 2 2 9" xfId="25893"/>
    <cellStyle name="Percent 3 2 20 2" xfId="25894"/>
    <cellStyle name="Percent 3 2 21" xfId="25895"/>
    <cellStyle name="Percent 3 2 22" xfId="25896"/>
    <cellStyle name="Percent 3 2 23" xfId="25897"/>
    <cellStyle name="Percent 3 2 24" xfId="25898"/>
    <cellStyle name="Percent 3 2 25" xfId="25899"/>
    <cellStyle name="Percent 3 2 3 11" xfId="25900"/>
    <cellStyle name="Percent 3 2 3 10" xfId="25901"/>
    <cellStyle name="Percent 3 2 3 2 8" xfId="25902"/>
    <cellStyle name="Percent 3 2 3 2 2 2" xfId="25903"/>
    <cellStyle name="Percent 3 2 3 2 3 2" xfId="25904"/>
    <cellStyle name="Percent 3 2 3 2 4 2" xfId="25905"/>
    <cellStyle name="Percent 3 2 3 2 5" xfId="25906"/>
    <cellStyle name="Percent 3 2 3 2 6" xfId="25907"/>
    <cellStyle name="Percent 3 2 3 2 7" xfId="25908"/>
    <cellStyle name="Percent 3 2 3 3 4" xfId="25909"/>
    <cellStyle name="Percent 3 2 3 3 2 2" xfId="25910"/>
    <cellStyle name="Percent 3 2 3 3 3" xfId="25911"/>
    <cellStyle name="Percent 3 2 3 4 2" xfId="25912"/>
    <cellStyle name="Percent 3 2 3 5 2" xfId="25913"/>
    <cellStyle name="Percent 3 2 3 6 2" xfId="25914"/>
    <cellStyle name="Percent 3 2 3 7" xfId="25915"/>
    <cellStyle name="Percent 3 2 3 8" xfId="25916"/>
    <cellStyle name="Percent 3 2 3 9" xfId="25917"/>
    <cellStyle name="Percent 3 2 4 10" xfId="25918"/>
    <cellStyle name="Percent 3 2 4 2 4" xfId="25919"/>
    <cellStyle name="Percent 3 2 4 2 2 2" xfId="25920"/>
    <cellStyle name="Percent 3 2 4 2 3" xfId="25921"/>
    <cellStyle name="Percent 3 2 4 3 4" xfId="25922"/>
    <cellStyle name="Percent 3 2 4 3 2 2" xfId="25923"/>
    <cellStyle name="Percent 3 2 4 3 3" xfId="25924"/>
    <cellStyle name="Percent 3 2 4 4 2" xfId="25925"/>
    <cellStyle name="Percent 3 2 4 5 2" xfId="25926"/>
    <cellStyle name="Percent 3 2 4 6 2" xfId="25927"/>
    <cellStyle name="Percent 3 2 4 7" xfId="25928"/>
    <cellStyle name="Percent 3 2 4 8" xfId="25929"/>
    <cellStyle name="Percent 3 2 4 9" xfId="25930"/>
    <cellStyle name="Percent 3 2 5 10" xfId="25931"/>
    <cellStyle name="Percent 3 2 5 2 4" xfId="25932"/>
    <cellStyle name="Percent 3 2 5 2 2 2" xfId="25933"/>
    <cellStyle name="Percent 3 2 5 2 3" xfId="25934"/>
    <cellStyle name="Percent 3 2 5 3 4" xfId="25935"/>
    <cellStyle name="Percent 3 2 5 3 2 2" xfId="25936"/>
    <cellStyle name="Percent 3 2 5 3 3" xfId="25937"/>
    <cellStyle name="Percent 3 2 5 4 2" xfId="25938"/>
    <cellStyle name="Percent 3 2 5 5 2" xfId="25939"/>
    <cellStyle name="Percent 3 2 5 6 2" xfId="25940"/>
    <cellStyle name="Percent 3 2 5 7" xfId="25941"/>
    <cellStyle name="Percent 3 2 5 8" xfId="25942"/>
    <cellStyle name="Percent 3 2 5 9" xfId="25943"/>
    <cellStyle name="Percent 3 2 6 10" xfId="25944"/>
    <cellStyle name="Percent 3 2 6 2 4" xfId="25945"/>
    <cellStyle name="Percent 3 2 6 2 2 2" xfId="25946"/>
    <cellStyle name="Percent 3 2 6 2 3" xfId="25947"/>
    <cellStyle name="Percent 3 2 6 3 4" xfId="25948"/>
    <cellStyle name="Percent 3 2 6 3 2 2" xfId="25949"/>
    <cellStyle name="Percent 3 2 6 3 3" xfId="25950"/>
    <cellStyle name="Percent 3 2 6 4 2" xfId="25951"/>
    <cellStyle name="Percent 3 2 6 5 2" xfId="25952"/>
    <cellStyle name="Percent 3 2 6 6 2" xfId="25953"/>
    <cellStyle name="Percent 3 2 6 7" xfId="25954"/>
    <cellStyle name="Percent 3 2 6 8" xfId="25955"/>
    <cellStyle name="Percent 3 2 6 9" xfId="25956"/>
    <cellStyle name="Percent 3 2 7 10" xfId="25957"/>
    <cellStyle name="Percent 3 2 7 2 4" xfId="25958"/>
    <cellStyle name="Percent 3 2 7 2 2 2" xfId="25959"/>
    <cellStyle name="Percent 3 2 7 2 3" xfId="25960"/>
    <cellStyle name="Percent 3 2 7 3 4" xfId="25961"/>
    <cellStyle name="Percent 3 2 7 3 2 2" xfId="25962"/>
    <cellStyle name="Percent 3 2 7 3 3" xfId="25963"/>
    <cellStyle name="Percent 3 2 7 4 2" xfId="25964"/>
    <cellStyle name="Percent 3 2 7 5 2" xfId="25965"/>
    <cellStyle name="Percent 3 2 7 6 2" xfId="25966"/>
    <cellStyle name="Percent 3 2 7 7" xfId="25967"/>
    <cellStyle name="Percent 3 2 7 8" xfId="25968"/>
    <cellStyle name="Percent 3 2 7 9" xfId="25969"/>
    <cellStyle name="Percent 3 2 8 10" xfId="25970"/>
    <cellStyle name="Percent 3 2 8 2 4" xfId="25971"/>
    <cellStyle name="Percent 3 2 8 2 2 2" xfId="25972"/>
    <cellStyle name="Percent 3 2 8 2 3" xfId="25973"/>
    <cellStyle name="Percent 3 2 8 3 4" xfId="25974"/>
    <cellStyle name="Percent 3 2 8 3 2 2" xfId="25975"/>
    <cellStyle name="Percent 3 2 8 3 3" xfId="25976"/>
    <cellStyle name="Percent 3 2 8 4 2" xfId="25977"/>
    <cellStyle name="Percent 3 2 8 5 2" xfId="25978"/>
    <cellStyle name="Percent 3 2 8 6 2" xfId="25979"/>
    <cellStyle name="Percent 3 2 8 7" xfId="25980"/>
    <cellStyle name="Percent 3 2 8 8" xfId="25981"/>
    <cellStyle name="Percent 3 2 8 9" xfId="25982"/>
    <cellStyle name="Percent 3 2 9 10" xfId="25983"/>
    <cellStyle name="Percent 3 2 9 2 4" xfId="25984"/>
    <cellStyle name="Percent 3 2 9 2 2 2" xfId="25985"/>
    <cellStyle name="Percent 3 2 9 2 3" xfId="25986"/>
    <cellStyle name="Percent 3 2 9 3 4" xfId="25987"/>
    <cellStyle name="Percent 3 2 9 3 2 2" xfId="25988"/>
    <cellStyle name="Percent 3 2 9 3 3" xfId="25989"/>
    <cellStyle name="Percent 3 2 9 4 2" xfId="25990"/>
    <cellStyle name="Percent 3 2 9 5 2" xfId="25991"/>
    <cellStyle name="Percent 3 2 9 6 2" xfId="25992"/>
    <cellStyle name="Percent 3 2 9 7" xfId="25993"/>
    <cellStyle name="Percent 3 2 9 8" xfId="25994"/>
    <cellStyle name="Percent 3 2 9 9" xfId="25995"/>
    <cellStyle name="Percent 3 20 10" xfId="25996"/>
    <cellStyle name="Percent 3 20 2 4" xfId="25997"/>
    <cellStyle name="Percent 3 20 2 2 2" xfId="25998"/>
    <cellStyle name="Percent 3 20 2 3" xfId="25999"/>
    <cellStyle name="Percent 3 20 3 4" xfId="26000"/>
    <cellStyle name="Percent 3 20 3 2 2" xfId="26001"/>
    <cellStyle name="Percent 3 20 3 3" xfId="26002"/>
    <cellStyle name="Percent 3 20 4 2" xfId="26003"/>
    <cellStyle name="Percent 3 20 5 2" xfId="26004"/>
    <cellStyle name="Percent 3 20 6 2" xfId="26005"/>
    <cellStyle name="Percent 3 20 7" xfId="26006"/>
    <cellStyle name="Percent 3 20 8" xfId="26007"/>
    <cellStyle name="Percent 3 20 9" xfId="26008"/>
    <cellStyle name="Percent 3 21 10" xfId="26009"/>
    <cellStyle name="Percent 3 21 2 4" xfId="26010"/>
    <cellStyle name="Percent 3 21 2 2 2" xfId="26011"/>
    <cellStyle name="Percent 3 21 2 3" xfId="26012"/>
    <cellStyle name="Percent 3 21 3 4" xfId="26013"/>
    <cellStyle name="Percent 3 21 3 2 2" xfId="26014"/>
    <cellStyle name="Percent 3 21 3 3" xfId="26015"/>
    <cellStyle name="Percent 3 21 4 2" xfId="26016"/>
    <cellStyle name="Percent 3 21 5 2" xfId="26017"/>
    <cellStyle name="Percent 3 21 6 2" xfId="26018"/>
    <cellStyle name="Percent 3 21 7" xfId="26019"/>
    <cellStyle name="Percent 3 21 8" xfId="26020"/>
    <cellStyle name="Percent 3 21 9" xfId="26021"/>
    <cellStyle name="Percent 3 22 10" xfId="26022"/>
    <cellStyle name="Percent 3 22 2 4" xfId="26023"/>
    <cellStyle name="Percent 3 22 2 2 2" xfId="26024"/>
    <cellStyle name="Percent 3 22 2 3" xfId="26025"/>
    <cellStyle name="Percent 3 22 3 4" xfId="26026"/>
    <cellStyle name="Percent 3 22 3 2 2" xfId="26027"/>
    <cellStyle name="Percent 3 22 3 3" xfId="26028"/>
    <cellStyle name="Percent 3 22 4 2" xfId="26029"/>
    <cellStyle name="Percent 3 22 5 2" xfId="26030"/>
    <cellStyle name="Percent 3 22 6 2" xfId="26031"/>
    <cellStyle name="Percent 3 22 7" xfId="26032"/>
    <cellStyle name="Percent 3 22 8" xfId="26033"/>
    <cellStyle name="Percent 3 22 9" xfId="26034"/>
    <cellStyle name="Percent 3 23 10" xfId="26035"/>
    <cellStyle name="Percent 3 23 2 4" xfId="26036"/>
    <cellStyle name="Percent 3 23 2 2 2" xfId="26037"/>
    <cellStyle name="Percent 3 23 2 3" xfId="26038"/>
    <cellStyle name="Percent 3 23 3 4" xfId="26039"/>
    <cellStyle name="Percent 3 23 3 2 2" xfId="26040"/>
    <cellStyle name="Percent 3 23 3 3" xfId="26041"/>
    <cellStyle name="Percent 3 23 4 2" xfId="26042"/>
    <cellStyle name="Percent 3 23 5 2" xfId="26043"/>
    <cellStyle name="Percent 3 23 6 2" xfId="26044"/>
    <cellStyle name="Percent 3 23 7" xfId="26045"/>
    <cellStyle name="Percent 3 23 8" xfId="26046"/>
    <cellStyle name="Percent 3 23 9" xfId="26047"/>
    <cellStyle name="Percent 3 24 10" xfId="26048"/>
    <cellStyle name="Percent 3 24 2 4" xfId="26049"/>
    <cellStyle name="Percent 3 24 2 2 2" xfId="26050"/>
    <cellStyle name="Percent 3 24 2 3" xfId="26051"/>
    <cellStyle name="Percent 3 24 3 4" xfId="26052"/>
    <cellStyle name="Percent 3 24 3 2 2" xfId="26053"/>
    <cellStyle name="Percent 3 24 3 3" xfId="26054"/>
    <cellStyle name="Percent 3 24 4 2" xfId="26055"/>
    <cellStyle name="Percent 3 24 5 2" xfId="26056"/>
    <cellStyle name="Percent 3 24 6 2" xfId="26057"/>
    <cellStyle name="Percent 3 24 7" xfId="26058"/>
    <cellStyle name="Percent 3 24 8" xfId="26059"/>
    <cellStyle name="Percent 3 24 9" xfId="26060"/>
    <cellStyle name="Percent 3 25 10" xfId="26061"/>
    <cellStyle name="Percent 3 25 2 4" xfId="26062"/>
    <cellStyle name="Percent 3 25 2 2 2" xfId="26063"/>
    <cellStyle name="Percent 3 25 2 3" xfId="26064"/>
    <cellStyle name="Percent 3 25 3 4" xfId="26065"/>
    <cellStyle name="Percent 3 25 3 2 2" xfId="26066"/>
    <cellStyle name="Percent 3 25 3 3" xfId="26067"/>
    <cellStyle name="Percent 3 25 4 2" xfId="26068"/>
    <cellStyle name="Percent 3 25 5 2" xfId="26069"/>
    <cellStyle name="Percent 3 25 6 2" xfId="26070"/>
    <cellStyle name="Percent 3 25 7" xfId="26071"/>
    <cellStyle name="Percent 3 25 8" xfId="26072"/>
    <cellStyle name="Percent 3 25 9" xfId="26073"/>
    <cellStyle name="Percent 3 26 10" xfId="26074"/>
    <cellStyle name="Percent 3 26 2 4" xfId="26075"/>
    <cellStyle name="Percent 3 26 2 2 2" xfId="26076"/>
    <cellStyle name="Percent 3 26 2 3" xfId="26077"/>
    <cellStyle name="Percent 3 26 3 4" xfId="26078"/>
    <cellStyle name="Percent 3 26 3 2 2" xfId="26079"/>
    <cellStyle name="Percent 3 26 3 3" xfId="26080"/>
    <cellStyle name="Percent 3 26 4 2" xfId="26081"/>
    <cellStyle name="Percent 3 26 5 2" xfId="26082"/>
    <cellStyle name="Percent 3 26 6 2" xfId="26083"/>
    <cellStyle name="Percent 3 26 7" xfId="26084"/>
    <cellStyle name="Percent 3 26 8" xfId="26085"/>
    <cellStyle name="Percent 3 26 9" xfId="26086"/>
    <cellStyle name="Percent 3 27 10" xfId="26087"/>
    <cellStyle name="Percent 3 27 2 4" xfId="26088"/>
    <cellStyle name="Percent 3 27 2 2 2" xfId="26089"/>
    <cellStyle name="Percent 3 27 2 3" xfId="26090"/>
    <cellStyle name="Percent 3 27 3 4" xfId="26091"/>
    <cellStyle name="Percent 3 27 3 2 2" xfId="26092"/>
    <cellStyle name="Percent 3 27 3 3" xfId="26093"/>
    <cellStyle name="Percent 3 27 4 2" xfId="26094"/>
    <cellStyle name="Percent 3 27 5 2" xfId="26095"/>
    <cellStyle name="Percent 3 27 6 2" xfId="26096"/>
    <cellStyle name="Percent 3 27 7" xfId="26097"/>
    <cellStyle name="Percent 3 27 8" xfId="26098"/>
    <cellStyle name="Percent 3 27 9" xfId="26099"/>
    <cellStyle name="Percent 3 28 10" xfId="26100"/>
    <cellStyle name="Percent 3 28 2 4" xfId="26101"/>
    <cellStyle name="Percent 3 28 2 2 2" xfId="26102"/>
    <cellStyle name="Percent 3 28 2 3" xfId="26103"/>
    <cellStyle name="Percent 3 28 3 4" xfId="26104"/>
    <cellStyle name="Percent 3 28 3 2 2" xfId="26105"/>
    <cellStyle name="Percent 3 28 3 3" xfId="26106"/>
    <cellStyle name="Percent 3 28 4 2" xfId="26107"/>
    <cellStyle name="Percent 3 28 5 2" xfId="26108"/>
    <cellStyle name="Percent 3 28 6 2" xfId="26109"/>
    <cellStyle name="Percent 3 28 7" xfId="26110"/>
    <cellStyle name="Percent 3 28 8" xfId="26111"/>
    <cellStyle name="Percent 3 28 9" xfId="26112"/>
    <cellStyle name="Percent 3 29 7" xfId="26113"/>
    <cellStyle name="Percent 3 29 2 2" xfId="26114"/>
    <cellStyle name="Percent 3 29 3" xfId="26115"/>
    <cellStyle name="Percent 3 29 4" xfId="26116"/>
    <cellStyle name="Percent 3 29 5" xfId="26117"/>
    <cellStyle name="Percent 3 29 6" xfId="26118"/>
    <cellStyle name="Percent 3 3 24" xfId="26119"/>
    <cellStyle name="Percent 3 3 10 10" xfId="26120"/>
    <cellStyle name="Percent 3 3 10 2 4" xfId="26121"/>
    <cellStyle name="Percent 3 3 10 2 2 2" xfId="26122"/>
    <cellStyle name="Percent 3 3 10 2 3" xfId="26123"/>
    <cellStyle name="Percent 3 3 10 3 4" xfId="26124"/>
    <cellStyle name="Percent 3 3 10 3 2 2" xfId="26125"/>
    <cellStyle name="Percent 3 3 10 3 3" xfId="26126"/>
    <cellStyle name="Percent 3 3 10 4 2" xfId="26127"/>
    <cellStyle name="Percent 3 3 10 5 2" xfId="26128"/>
    <cellStyle name="Percent 3 3 10 6 2" xfId="26129"/>
    <cellStyle name="Percent 3 3 10 7" xfId="26130"/>
    <cellStyle name="Percent 3 3 10 8" xfId="26131"/>
    <cellStyle name="Percent 3 3 10 9" xfId="26132"/>
    <cellStyle name="Percent 3 3 11 10" xfId="26133"/>
    <cellStyle name="Percent 3 3 11 2 4" xfId="26134"/>
    <cellStyle name="Percent 3 3 11 2 2 2" xfId="26135"/>
    <cellStyle name="Percent 3 3 11 2 3" xfId="26136"/>
    <cellStyle name="Percent 3 3 11 3 4" xfId="26137"/>
    <cellStyle name="Percent 3 3 11 3 2 2" xfId="26138"/>
    <cellStyle name="Percent 3 3 11 3 3" xfId="26139"/>
    <cellStyle name="Percent 3 3 11 4 2" xfId="26140"/>
    <cellStyle name="Percent 3 3 11 5 2" xfId="26141"/>
    <cellStyle name="Percent 3 3 11 6 2" xfId="26142"/>
    <cellStyle name="Percent 3 3 11 7" xfId="26143"/>
    <cellStyle name="Percent 3 3 11 8" xfId="26144"/>
    <cellStyle name="Percent 3 3 11 9" xfId="26145"/>
    <cellStyle name="Percent 3 3 12 10" xfId="26146"/>
    <cellStyle name="Percent 3 3 12 2 4" xfId="26147"/>
    <cellStyle name="Percent 3 3 12 2 2 2" xfId="26148"/>
    <cellStyle name="Percent 3 3 12 2 3" xfId="26149"/>
    <cellStyle name="Percent 3 3 12 3 4" xfId="26150"/>
    <cellStyle name="Percent 3 3 12 3 2 2" xfId="26151"/>
    <cellStyle name="Percent 3 3 12 3 3" xfId="26152"/>
    <cellStyle name="Percent 3 3 12 4 2" xfId="26153"/>
    <cellStyle name="Percent 3 3 12 5 2" xfId="26154"/>
    <cellStyle name="Percent 3 3 12 6 2" xfId="26155"/>
    <cellStyle name="Percent 3 3 12 7" xfId="26156"/>
    <cellStyle name="Percent 3 3 12 8" xfId="26157"/>
    <cellStyle name="Percent 3 3 12 9" xfId="26158"/>
    <cellStyle name="Percent 3 3 13 10" xfId="26159"/>
    <cellStyle name="Percent 3 3 13 2 4" xfId="26160"/>
    <cellStyle name="Percent 3 3 13 2 2 2" xfId="26161"/>
    <cellStyle name="Percent 3 3 13 2 3" xfId="26162"/>
    <cellStyle name="Percent 3 3 13 3 4" xfId="26163"/>
    <cellStyle name="Percent 3 3 13 3 2 2" xfId="26164"/>
    <cellStyle name="Percent 3 3 13 3 3" xfId="26165"/>
    <cellStyle name="Percent 3 3 13 4 2" xfId="26166"/>
    <cellStyle name="Percent 3 3 13 5 2" xfId="26167"/>
    <cellStyle name="Percent 3 3 13 6 2" xfId="26168"/>
    <cellStyle name="Percent 3 3 13 7" xfId="26169"/>
    <cellStyle name="Percent 3 3 13 8" xfId="26170"/>
    <cellStyle name="Percent 3 3 13 9" xfId="26171"/>
    <cellStyle name="Percent 3 3 14 10" xfId="26172"/>
    <cellStyle name="Percent 3 3 14 2 4" xfId="26173"/>
    <cellStyle name="Percent 3 3 14 2 2 2" xfId="26174"/>
    <cellStyle name="Percent 3 3 14 2 3" xfId="26175"/>
    <cellStyle name="Percent 3 3 14 3 4" xfId="26176"/>
    <cellStyle name="Percent 3 3 14 3 2 2" xfId="26177"/>
    <cellStyle name="Percent 3 3 14 3 3" xfId="26178"/>
    <cellStyle name="Percent 3 3 14 4 2" xfId="26179"/>
    <cellStyle name="Percent 3 3 14 5 2" xfId="26180"/>
    <cellStyle name="Percent 3 3 14 6 2" xfId="26181"/>
    <cellStyle name="Percent 3 3 14 7" xfId="26182"/>
    <cellStyle name="Percent 3 3 14 8" xfId="26183"/>
    <cellStyle name="Percent 3 3 14 9" xfId="26184"/>
    <cellStyle name="Percent 3 3 15 10" xfId="26185"/>
    <cellStyle name="Percent 3 3 15 2 4" xfId="26186"/>
    <cellStyle name="Percent 3 3 15 2 2 2" xfId="26187"/>
    <cellStyle name="Percent 3 3 15 2 3" xfId="26188"/>
    <cellStyle name="Percent 3 3 15 3 4" xfId="26189"/>
    <cellStyle name="Percent 3 3 15 3 2 2" xfId="26190"/>
    <cellStyle name="Percent 3 3 15 3 3" xfId="26191"/>
    <cellStyle name="Percent 3 3 15 4 2" xfId="26192"/>
    <cellStyle name="Percent 3 3 15 5 2" xfId="26193"/>
    <cellStyle name="Percent 3 3 15 6 2" xfId="26194"/>
    <cellStyle name="Percent 3 3 15 7" xfId="26195"/>
    <cellStyle name="Percent 3 3 15 8" xfId="26196"/>
    <cellStyle name="Percent 3 3 15 9" xfId="26197"/>
    <cellStyle name="Percent 3 3 16 4" xfId="26198"/>
    <cellStyle name="Percent 3 3 16 2 2" xfId="26199"/>
    <cellStyle name="Percent 3 3 16 3" xfId="26200"/>
    <cellStyle name="Percent 3 3 17 4" xfId="26201"/>
    <cellStyle name="Percent 3 3 17 2 2" xfId="26202"/>
    <cellStyle name="Percent 3 3 17 3" xfId="26203"/>
    <cellStyle name="Percent 3 3 18 2" xfId="26204"/>
    <cellStyle name="Percent 3 3 19 2" xfId="26205"/>
    <cellStyle name="Percent 3 3 2 10" xfId="26206"/>
    <cellStyle name="Percent 3 3 2 2 4" xfId="26207"/>
    <cellStyle name="Percent 3 3 2 2 2 2" xfId="26208"/>
    <cellStyle name="Percent 3 3 2 2 3" xfId="26209"/>
    <cellStyle name="Percent 3 3 2 3 4" xfId="26210"/>
    <cellStyle name="Percent 3 3 2 3 2 2" xfId="26211"/>
    <cellStyle name="Percent 3 3 2 3 3" xfId="26212"/>
    <cellStyle name="Percent 3 3 2 4 2" xfId="26213"/>
    <cellStyle name="Percent 3 3 2 5 2" xfId="26214"/>
    <cellStyle name="Percent 3 3 2 6 2" xfId="26215"/>
    <cellStyle name="Percent 3 3 2 7 2" xfId="26216"/>
    <cellStyle name="Percent 3 3 2 8" xfId="26217"/>
    <cellStyle name="Percent 3 3 2 9" xfId="26218"/>
    <cellStyle name="Percent 3 3 20 2" xfId="26219"/>
    <cellStyle name="Percent 3 3 21 2" xfId="26220"/>
    <cellStyle name="Percent 3 3 22" xfId="26221"/>
    <cellStyle name="Percent 3 3 23" xfId="26222"/>
    <cellStyle name="Percent 3 3 3 12" xfId="26223"/>
    <cellStyle name="Percent 3 3 3 10" xfId="26224"/>
    <cellStyle name="Percent 3 3 3 11" xfId="26225"/>
    <cellStyle name="Percent 3 3 3 2 10" xfId="26226"/>
    <cellStyle name="Percent 3 3 3 2 2 3" xfId="26227"/>
    <cellStyle name="Percent 3 3 3 2 2 2" xfId="26228"/>
    <cellStyle name="Percent 3 3 3 2 3 2" xfId="26229"/>
    <cellStyle name="Percent 3 3 3 2 4 2" xfId="26230"/>
    <cellStyle name="Percent 3 3 3 2 5 2" xfId="26231"/>
    <cellStyle name="Percent 3 3 3 2 6" xfId="26232"/>
    <cellStyle name="Percent 3 3 3 2 7" xfId="26233"/>
    <cellStyle name="Percent 3 3 3 2 8" xfId="26234"/>
    <cellStyle name="Percent 3 3 3 2 9" xfId="26235"/>
    <cellStyle name="Percent 3 3 3 3 11" xfId="26236"/>
    <cellStyle name="Percent 3 3 3 3 10" xfId="26237"/>
    <cellStyle name="Percent 3 3 3 3 2 7" xfId="26238"/>
    <cellStyle name="Percent 3 3 3 3 2 2 2" xfId="26239"/>
    <cellStyle name="Percent 3 3 3 3 2 3" xfId="26240"/>
    <cellStyle name="Percent 3 3 3 3 2 4" xfId="26241"/>
    <cellStyle name="Percent 3 3 3 3 2 5" xfId="26242"/>
    <cellStyle name="Percent 3 3 3 3 2 6" xfId="26243"/>
    <cellStyle name="Percent 3 3 3 3 3 7" xfId="26244"/>
    <cellStyle name="Percent 3 3 3 3 3 2 2" xfId="26245"/>
    <cellStyle name="Percent 3 3 3 3 3 3" xfId="26246"/>
    <cellStyle name="Percent 3 3 3 3 3 4" xfId="26247"/>
    <cellStyle name="Percent 3 3 3 3 3 5" xfId="26248"/>
    <cellStyle name="Percent 3 3 3 3 3 6" xfId="26249"/>
    <cellStyle name="Percent 3 3 3 3 4 8" xfId="26250"/>
    <cellStyle name="Percent 3 3 3 3 4 2 7" xfId="26251"/>
    <cellStyle name="Percent 3 3 3 3 4 2 2" xfId="26252"/>
    <cellStyle name="Percent 3 3 3 3 4 2 3" xfId="26253"/>
    <cellStyle name="Percent 3 3 3 3 4 2 4" xfId="26254"/>
    <cellStyle name="Percent 3 3 3 3 4 2 5" xfId="26255"/>
    <cellStyle name="Percent 3 3 3 3 4 2 6" xfId="26256"/>
    <cellStyle name="Percent 3 3 3 3 4 3 2" xfId="26257"/>
    <cellStyle name="Percent 3 3 3 3 4 4" xfId="26258"/>
    <cellStyle name="Percent 3 3 3 3 4 5" xfId="26259"/>
    <cellStyle name="Percent 3 3 3 3 4 6" xfId="26260"/>
    <cellStyle name="Percent 3 3 3 3 4 7" xfId="26261"/>
    <cellStyle name="Percent 3 3 3 3 5 2" xfId="26262"/>
    <cellStyle name="Percent 3 3 3 3 6 2" xfId="26263"/>
    <cellStyle name="Percent 3 3 3 3 7 2" xfId="26264"/>
    <cellStyle name="Percent 3 3 3 3 8" xfId="26265"/>
    <cellStyle name="Percent 3 3 3 3 9" xfId="26266"/>
    <cellStyle name="Percent 3 3 3 4 3" xfId="26267"/>
    <cellStyle name="Percent 3 3 3 4 2" xfId="26268"/>
    <cellStyle name="Percent 3 3 3 5 2" xfId="26269"/>
    <cellStyle name="Percent 3 3 3 6 2" xfId="26270"/>
    <cellStyle name="Percent 3 3 3 7 2" xfId="26271"/>
    <cellStyle name="Percent 3 3 3 8" xfId="26272"/>
    <cellStyle name="Percent 3 3 3 9" xfId="26273"/>
    <cellStyle name="Percent 3 3 4 10" xfId="26274"/>
    <cellStyle name="Percent 3 3 4 2 8" xfId="26275"/>
    <cellStyle name="Percent 3 3 4 2 2 2" xfId="26276"/>
    <cellStyle name="Percent 3 3 4 2 3 2" xfId="26277"/>
    <cellStyle name="Percent 3 3 4 2 4 2" xfId="26278"/>
    <cellStyle name="Percent 3 3 4 2 5" xfId="26279"/>
    <cellStyle name="Percent 3 3 4 2 6" xfId="26280"/>
    <cellStyle name="Percent 3 3 4 2 7" xfId="26281"/>
    <cellStyle name="Percent 3 3 4 3 4" xfId="26282"/>
    <cellStyle name="Percent 3 3 4 3 2 2" xfId="26283"/>
    <cellStyle name="Percent 3 3 4 3 3" xfId="26284"/>
    <cellStyle name="Percent 3 3 4 4 2" xfId="26285"/>
    <cellStyle name="Percent 3 3 4 5 2" xfId="26286"/>
    <cellStyle name="Percent 3 3 4 6 2" xfId="26287"/>
    <cellStyle name="Percent 3 3 4 7" xfId="26288"/>
    <cellStyle name="Percent 3 3 4 8" xfId="26289"/>
    <cellStyle name="Percent 3 3 4 9" xfId="26290"/>
    <cellStyle name="Percent 3 3 5 12" xfId="26291"/>
    <cellStyle name="Percent 3 3 5 10" xfId="26292"/>
    <cellStyle name="Percent 3 3 5 11" xfId="26293"/>
    <cellStyle name="Percent 3 3 5 2 6" xfId="26294"/>
    <cellStyle name="Percent 3 3 5 2 2 4" xfId="26295"/>
    <cellStyle name="Percent 3 3 5 2 2 2 2" xfId="26296"/>
    <cellStyle name="Percent 3 3 5 2 2 3" xfId="26297"/>
    <cellStyle name="Percent 3 3 5 2 3 4" xfId="26298"/>
    <cellStyle name="Percent 3 3 5 2 3 2 2" xfId="26299"/>
    <cellStyle name="Percent 3 3 5 2 3 3" xfId="26300"/>
    <cellStyle name="Percent 3 3 5 2 4 2" xfId="26301"/>
    <cellStyle name="Percent 3 3 5 2 5" xfId="26302"/>
    <cellStyle name="Percent 3 3 5 3 6" xfId="26303"/>
    <cellStyle name="Percent 3 3 5 3 2 4" xfId="26304"/>
    <cellStyle name="Percent 3 3 5 3 2 2 2" xfId="26305"/>
    <cellStyle name="Percent 3 3 5 3 2 3" xfId="26306"/>
    <cellStyle name="Percent 3 3 5 3 3 4" xfId="26307"/>
    <cellStyle name="Percent 3 3 5 3 3 2 2" xfId="26308"/>
    <cellStyle name="Percent 3 3 5 3 3 3" xfId="26309"/>
    <cellStyle name="Percent 3 3 5 3 4 2" xfId="26310"/>
    <cellStyle name="Percent 3 3 5 3 5" xfId="26311"/>
    <cellStyle name="Percent 3 3 5 4 4" xfId="26312"/>
    <cellStyle name="Percent 3 3 5 4 2 2" xfId="26313"/>
    <cellStyle name="Percent 3 3 5 4 3" xfId="26314"/>
    <cellStyle name="Percent 3 3 5 5 4" xfId="26315"/>
    <cellStyle name="Percent 3 3 5 5 2 2" xfId="26316"/>
    <cellStyle name="Percent 3 3 5 5 3" xfId="26317"/>
    <cellStyle name="Percent 3 3 5 6 2" xfId="26318"/>
    <cellStyle name="Percent 3 3 5 7 2" xfId="26319"/>
    <cellStyle name="Percent 3 3 5 8 2" xfId="26320"/>
    <cellStyle name="Percent 3 3 5 9" xfId="26321"/>
    <cellStyle name="Percent 3 3 6 12" xfId="26322"/>
    <cellStyle name="Percent 3 3 6 10" xfId="26323"/>
    <cellStyle name="Percent 3 3 6 11" xfId="26324"/>
    <cellStyle name="Percent 3 3 6 2 9" xfId="26325"/>
    <cellStyle name="Percent 3 3 6 2 2 4" xfId="26326"/>
    <cellStyle name="Percent 3 3 6 2 2 2 2" xfId="26327"/>
    <cellStyle name="Percent 3 3 6 2 2 3" xfId="26328"/>
    <cellStyle name="Percent 3 3 6 2 3 4" xfId="26329"/>
    <cellStyle name="Percent 3 3 6 2 3 2 2" xfId="26330"/>
    <cellStyle name="Percent 3 3 6 2 3 3" xfId="26331"/>
    <cellStyle name="Percent 3 3 6 2 4 2" xfId="26332"/>
    <cellStyle name="Percent 3 3 6 2 5 2" xfId="26333"/>
    <cellStyle name="Percent 3 3 6 2 6" xfId="26334"/>
    <cellStyle name="Percent 3 3 6 2 7" xfId="26335"/>
    <cellStyle name="Percent 3 3 6 2 8" xfId="26336"/>
    <cellStyle name="Percent 3 3 6 3 6" xfId="26337"/>
    <cellStyle name="Percent 3 3 6 3 2 4" xfId="26338"/>
    <cellStyle name="Percent 3 3 6 3 2 2 2" xfId="26339"/>
    <cellStyle name="Percent 3 3 6 3 2 3" xfId="26340"/>
    <cellStyle name="Percent 3 3 6 3 3 4" xfId="26341"/>
    <cellStyle name="Percent 3 3 6 3 3 2 2" xfId="26342"/>
    <cellStyle name="Percent 3 3 6 3 3 3" xfId="26343"/>
    <cellStyle name="Percent 3 3 6 3 4 2" xfId="26344"/>
    <cellStyle name="Percent 3 3 6 3 5" xfId="26345"/>
    <cellStyle name="Percent 3 3 6 4 4" xfId="26346"/>
    <cellStyle name="Percent 3 3 6 4 2 2" xfId="26347"/>
    <cellStyle name="Percent 3 3 6 4 3" xfId="26348"/>
    <cellStyle name="Percent 3 3 6 5 4" xfId="26349"/>
    <cellStyle name="Percent 3 3 6 5 2 2" xfId="26350"/>
    <cellStyle name="Percent 3 3 6 5 3" xfId="26351"/>
    <cellStyle name="Percent 3 3 6 6 2" xfId="26352"/>
    <cellStyle name="Percent 3 3 6 7 2" xfId="26353"/>
    <cellStyle name="Percent 3 3 6 8 2" xfId="26354"/>
    <cellStyle name="Percent 3 3 6 9" xfId="26355"/>
    <cellStyle name="Percent 3 3 7 12" xfId="26356"/>
    <cellStyle name="Percent 3 3 7 10" xfId="26357"/>
    <cellStyle name="Percent 3 3 7 11" xfId="26358"/>
    <cellStyle name="Percent 3 3 7 2 6" xfId="26359"/>
    <cellStyle name="Percent 3 3 7 2 2 4" xfId="26360"/>
    <cellStyle name="Percent 3 3 7 2 2 2 2" xfId="26361"/>
    <cellStyle name="Percent 3 3 7 2 2 3" xfId="26362"/>
    <cellStyle name="Percent 3 3 7 2 3 4" xfId="26363"/>
    <cellStyle name="Percent 3 3 7 2 3 2 2" xfId="26364"/>
    <cellStyle name="Percent 3 3 7 2 3 3" xfId="26365"/>
    <cellStyle name="Percent 3 3 7 2 4 2" xfId="26366"/>
    <cellStyle name="Percent 3 3 7 2 5" xfId="26367"/>
    <cellStyle name="Percent 3 3 7 3 6" xfId="26368"/>
    <cellStyle name="Percent 3 3 7 3 2 4" xfId="26369"/>
    <cellStyle name="Percent 3 3 7 3 2 2 2" xfId="26370"/>
    <cellStyle name="Percent 3 3 7 3 2 3" xfId="26371"/>
    <cellStyle name="Percent 3 3 7 3 3 4" xfId="26372"/>
    <cellStyle name="Percent 3 3 7 3 3 2 2" xfId="26373"/>
    <cellStyle name="Percent 3 3 7 3 3 3" xfId="26374"/>
    <cellStyle name="Percent 3 3 7 3 4 2" xfId="26375"/>
    <cellStyle name="Percent 3 3 7 3 5" xfId="26376"/>
    <cellStyle name="Percent 3 3 7 4 4" xfId="26377"/>
    <cellStyle name="Percent 3 3 7 4 2 2" xfId="26378"/>
    <cellStyle name="Percent 3 3 7 4 3" xfId="26379"/>
    <cellStyle name="Percent 3 3 7 5 4" xfId="26380"/>
    <cellStyle name="Percent 3 3 7 5 2 2" xfId="26381"/>
    <cellStyle name="Percent 3 3 7 5 3" xfId="26382"/>
    <cellStyle name="Percent 3 3 7 6 2" xfId="26383"/>
    <cellStyle name="Percent 3 3 7 7 2" xfId="26384"/>
    <cellStyle name="Percent 3 3 7 8 2" xfId="26385"/>
    <cellStyle name="Percent 3 3 7 9" xfId="26386"/>
    <cellStyle name="Percent 3 3 8 12" xfId="26387"/>
    <cellStyle name="Percent 3 3 8 10" xfId="26388"/>
    <cellStyle name="Percent 3 3 8 11" xfId="26389"/>
    <cellStyle name="Percent 3 3 8 2 6" xfId="26390"/>
    <cellStyle name="Percent 3 3 8 2 2 4" xfId="26391"/>
    <cellStyle name="Percent 3 3 8 2 2 2 2" xfId="26392"/>
    <cellStyle name="Percent 3 3 8 2 2 3" xfId="26393"/>
    <cellStyle name="Percent 3 3 8 2 3 4" xfId="26394"/>
    <cellStyle name="Percent 3 3 8 2 3 2 2" xfId="26395"/>
    <cellStyle name="Percent 3 3 8 2 3 3" xfId="26396"/>
    <cellStyle name="Percent 3 3 8 2 4 2" xfId="26397"/>
    <cellStyle name="Percent 3 3 8 2 5" xfId="26398"/>
    <cellStyle name="Percent 3 3 8 3 6" xfId="26399"/>
    <cellStyle name="Percent 3 3 8 3 2 4" xfId="26400"/>
    <cellStyle name="Percent 3 3 8 3 2 2 2" xfId="26401"/>
    <cellStyle name="Percent 3 3 8 3 2 3" xfId="26402"/>
    <cellStyle name="Percent 3 3 8 3 3 4" xfId="26403"/>
    <cellStyle name="Percent 3 3 8 3 3 2 2" xfId="26404"/>
    <cellStyle name="Percent 3 3 8 3 3 3" xfId="26405"/>
    <cellStyle name="Percent 3 3 8 3 4 2" xfId="26406"/>
    <cellStyle name="Percent 3 3 8 3 5" xfId="26407"/>
    <cellStyle name="Percent 3 3 8 4 4" xfId="26408"/>
    <cellStyle name="Percent 3 3 8 4 2 2" xfId="26409"/>
    <cellStyle name="Percent 3 3 8 4 3" xfId="26410"/>
    <cellStyle name="Percent 3 3 8 5 4" xfId="26411"/>
    <cellStyle name="Percent 3 3 8 5 2 2" xfId="26412"/>
    <cellStyle name="Percent 3 3 8 5 3" xfId="26413"/>
    <cellStyle name="Percent 3 3 8 6 2" xfId="26414"/>
    <cellStyle name="Percent 3 3 8 7 2" xfId="26415"/>
    <cellStyle name="Percent 3 3 8 8 2" xfId="26416"/>
    <cellStyle name="Percent 3 3 8 9" xfId="26417"/>
    <cellStyle name="Percent 3 3 9 12" xfId="26418"/>
    <cellStyle name="Percent 3 3 9 10" xfId="26419"/>
    <cellStyle name="Percent 3 3 9 11" xfId="26420"/>
    <cellStyle name="Percent 3 3 9 2 6" xfId="26421"/>
    <cellStyle name="Percent 3 3 9 2 2 4" xfId="26422"/>
    <cellStyle name="Percent 3 3 9 2 2 2 2" xfId="26423"/>
    <cellStyle name="Percent 3 3 9 2 2 3" xfId="26424"/>
    <cellStyle name="Percent 3 3 9 2 3 4" xfId="26425"/>
    <cellStyle name="Percent 3 3 9 2 3 2 2" xfId="26426"/>
    <cellStyle name="Percent 3 3 9 2 3 3" xfId="26427"/>
    <cellStyle name="Percent 3 3 9 2 4 2" xfId="26428"/>
    <cellStyle name="Percent 3 3 9 2 5" xfId="26429"/>
    <cellStyle name="Percent 3 3 9 3 6" xfId="26430"/>
    <cellStyle name="Percent 3 3 9 3 2 4" xfId="26431"/>
    <cellStyle name="Percent 3 3 9 3 2 2 2" xfId="26432"/>
    <cellStyle name="Percent 3 3 9 3 2 3" xfId="26433"/>
    <cellStyle name="Percent 3 3 9 3 3 4" xfId="26434"/>
    <cellStyle name="Percent 3 3 9 3 3 2 2" xfId="26435"/>
    <cellStyle name="Percent 3 3 9 3 3 3" xfId="26436"/>
    <cellStyle name="Percent 3 3 9 3 4 2" xfId="26437"/>
    <cellStyle name="Percent 3 3 9 3 5" xfId="26438"/>
    <cellStyle name="Percent 3 3 9 4 4" xfId="26439"/>
    <cellStyle name="Percent 3 3 9 4 2 2" xfId="26440"/>
    <cellStyle name="Percent 3 3 9 4 3" xfId="26441"/>
    <cellStyle name="Percent 3 3 9 5 4" xfId="26442"/>
    <cellStyle name="Percent 3 3 9 5 2 2" xfId="26443"/>
    <cellStyle name="Percent 3 3 9 5 3" xfId="26444"/>
    <cellStyle name="Percent 3 3 9 6 2" xfId="26445"/>
    <cellStyle name="Percent 3 3 9 7 2" xfId="26446"/>
    <cellStyle name="Percent 3 3 9 8 2" xfId="26447"/>
    <cellStyle name="Percent 3 3 9 9" xfId="26448"/>
    <cellStyle name="Percent 3 30 7" xfId="26449"/>
    <cellStyle name="Percent 3 30 2" xfId="26450"/>
    <cellStyle name="Percent 3 30 3" xfId="26451"/>
    <cellStyle name="Percent 3 30 4" xfId="26452"/>
    <cellStyle name="Percent 3 30 5" xfId="26453"/>
    <cellStyle name="Percent 3 30 6" xfId="26454"/>
    <cellStyle name="Percent 3 31 3" xfId="26455"/>
    <cellStyle name="Percent 3 31 2" xfId="26456"/>
    <cellStyle name="Percent 3 32" xfId="26457"/>
    <cellStyle name="Percent 3 33" xfId="26458"/>
    <cellStyle name="Percent 3 34" xfId="26459"/>
    <cellStyle name="Percent 3 35" xfId="26460"/>
    <cellStyle name="Percent 3 36" xfId="26461"/>
    <cellStyle name="Percent 3 37" xfId="26462"/>
    <cellStyle name="Percent 3 38" xfId="26463"/>
    <cellStyle name="Percent 3 4 26" xfId="26464"/>
    <cellStyle name="Percent 3 4 10 12" xfId="26465"/>
    <cellStyle name="Percent 3 4 10 10" xfId="26466"/>
    <cellStyle name="Percent 3 4 10 11" xfId="26467"/>
    <cellStyle name="Percent 3 4 10 2 7" xfId="26468"/>
    <cellStyle name="Percent 3 4 10 2 2 4" xfId="26469"/>
    <cellStyle name="Percent 3 4 10 2 2 2 2" xfId="26470"/>
    <cellStyle name="Percent 3 4 10 2 2 3" xfId="26471"/>
    <cellStyle name="Percent 3 4 10 2 3 4" xfId="26472"/>
    <cellStyle name="Percent 3 4 10 2 3 2 2" xfId="26473"/>
    <cellStyle name="Percent 3 4 10 2 3 3" xfId="26474"/>
    <cellStyle name="Percent 3 4 10 2 4 2" xfId="26475"/>
    <cellStyle name="Percent 3 4 10 2 5 2" xfId="26476"/>
    <cellStyle name="Percent 3 4 10 2 6" xfId="26477"/>
    <cellStyle name="Percent 3 4 10 3 6" xfId="26478"/>
    <cellStyle name="Percent 3 4 10 3 2 4" xfId="26479"/>
    <cellStyle name="Percent 3 4 10 3 2 2 2" xfId="26480"/>
    <cellStyle name="Percent 3 4 10 3 2 3" xfId="26481"/>
    <cellStyle name="Percent 3 4 10 3 3 4" xfId="26482"/>
    <cellStyle name="Percent 3 4 10 3 3 2 2" xfId="26483"/>
    <cellStyle name="Percent 3 4 10 3 3 3" xfId="26484"/>
    <cellStyle name="Percent 3 4 10 3 4 2" xfId="26485"/>
    <cellStyle name="Percent 3 4 10 3 5" xfId="26486"/>
    <cellStyle name="Percent 3 4 10 4 4" xfId="26487"/>
    <cellStyle name="Percent 3 4 10 4 2 2" xfId="26488"/>
    <cellStyle name="Percent 3 4 10 4 3" xfId="26489"/>
    <cellStyle name="Percent 3 4 10 5 4" xfId="26490"/>
    <cellStyle name="Percent 3 4 10 5 2 2" xfId="26491"/>
    <cellStyle name="Percent 3 4 10 5 3" xfId="26492"/>
    <cellStyle name="Percent 3 4 10 6 2" xfId="26493"/>
    <cellStyle name="Percent 3 4 10 7 2" xfId="26494"/>
    <cellStyle name="Percent 3 4 10 8 2" xfId="26495"/>
    <cellStyle name="Percent 3 4 10 9" xfId="26496"/>
    <cellStyle name="Percent 3 4 11 12" xfId="26497"/>
    <cellStyle name="Percent 3 4 11 10" xfId="26498"/>
    <cellStyle name="Percent 3 4 11 11" xfId="26499"/>
    <cellStyle name="Percent 3 4 11 2 7" xfId="26500"/>
    <cellStyle name="Percent 3 4 11 2 2 4" xfId="26501"/>
    <cellStyle name="Percent 3 4 11 2 2 2 2" xfId="26502"/>
    <cellStyle name="Percent 3 4 11 2 2 3" xfId="26503"/>
    <cellStyle name="Percent 3 4 11 2 3 4" xfId="26504"/>
    <cellStyle name="Percent 3 4 11 2 3 2 2" xfId="26505"/>
    <cellStyle name="Percent 3 4 11 2 3 3" xfId="26506"/>
    <cellStyle name="Percent 3 4 11 2 4 2" xfId="26507"/>
    <cellStyle name="Percent 3 4 11 2 5 2" xfId="26508"/>
    <cellStyle name="Percent 3 4 11 2 6" xfId="26509"/>
    <cellStyle name="Percent 3 4 11 3 6" xfId="26510"/>
    <cellStyle name="Percent 3 4 11 3 2 4" xfId="26511"/>
    <cellStyle name="Percent 3 4 11 3 2 2 2" xfId="26512"/>
    <cellStyle name="Percent 3 4 11 3 2 3" xfId="26513"/>
    <cellStyle name="Percent 3 4 11 3 3 4" xfId="26514"/>
    <cellStyle name="Percent 3 4 11 3 3 2 2" xfId="26515"/>
    <cellStyle name="Percent 3 4 11 3 3 3" xfId="26516"/>
    <cellStyle name="Percent 3 4 11 3 4 2" xfId="26517"/>
    <cellStyle name="Percent 3 4 11 3 5" xfId="26518"/>
    <cellStyle name="Percent 3 4 11 4 4" xfId="26519"/>
    <cellStyle name="Percent 3 4 11 4 2 2" xfId="26520"/>
    <cellStyle name="Percent 3 4 11 4 3" xfId="26521"/>
    <cellStyle name="Percent 3 4 11 5 4" xfId="26522"/>
    <cellStyle name="Percent 3 4 11 5 2 2" xfId="26523"/>
    <cellStyle name="Percent 3 4 11 5 3" xfId="26524"/>
    <cellStyle name="Percent 3 4 11 6 2" xfId="26525"/>
    <cellStyle name="Percent 3 4 11 7 2" xfId="26526"/>
    <cellStyle name="Percent 3 4 11 8 2" xfId="26527"/>
    <cellStyle name="Percent 3 4 11 9" xfId="26528"/>
    <cellStyle name="Percent 3 4 12 12" xfId="26529"/>
    <cellStyle name="Percent 3 4 12 10" xfId="26530"/>
    <cellStyle name="Percent 3 4 12 11" xfId="26531"/>
    <cellStyle name="Percent 3 4 12 2 7" xfId="26532"/>
    <cellStyle name="Percent 3 4 12 2 2 4" xfId="26533"/>
    <cellStyle name="Percent 3 4 12 2 2 2 2" xfId="26534"/>
    <cellStyle name="Percent 3 4 12 2 2 3" xfId="26535"/>
    <cellStyle name="Percent 3 4 12 2 3 4" xfId="26536"/>
    <cellStyle name="Percent 3 4 12 2 3 2 2" xfId="26537"/>
    <cellStyle name="Percent 3 4 12 2 3 3" xfId="26538"/>
    <cellStyle name="Percent 3 4 12 2 4 2" xfId="26539"/>
    <cellStyle name="Percent 3 4 12 2 5 2" xfId="26540"/>
    <cellStyle name="Percent 3 4 12 2 6" xfId="26541"/>
    <cellStyle name="Percent 3 4 12 3 6" xfId="26542"/>
    <cellStyle name="Percent 3 4 12 3 2 4" xfId="26543"/>
    <cellStyle name="Percent 3 4 12 3 2 2 2" xfId="26544"/>
    <cellStyle name="Percent 3 4 12 3 2 3" xfId="26545"/>
    <cellStyle name="Percent 3 4 12 3 3 4" xfId="26546"/>
    <cellStyle name="Percent 3 4 12 3 3 2 2" xfId="26547"/>
    <cellStyle name="Percent 3 4 12 3 3 3" xfId="26548"/>
    <cellStyle name="Percent 3 4 12 3 4 2" xfId="26549"/>
    <cellStyle name="Percent 3 4 12 3 5" xfId="26550"/>
    <cellStyle name="Percent 3 4 12 4 4" xfId="26551"/>
    <cellStyle name="Percent 3 4 12 4 2 2" xfId="26552"/>
    <cellStyle name="Percent 3 4 12 4 3" xfId="26553"/>
    <cellStyle name="Percent 3 4 12 5 4" xfId="26554"/>
    <cellStyle name="Percent 3 4 12 5 2 2" xfId="26555"/>
    <cellStyle name="Percent 3 4 12 5 3" xfId="26556"/>
    <cellStyle name="Percent 3 4 12 6 2" xfId="26557"/>
    <cellStyle name="Percent 3 4 12 7 2" xfId="26558"/>
    <cellStyle name="Percent 3 4 12 8 2" xfId="26559"/>
    <cellStyle name="Percent 3 4 12 9" xfId="26560"/>
    <cellStyle name="Percent 3 4 13 12" xfId="26561"/>
    <cellStyle name="Percent 3 4 13 10" xfId="26562"/>
    <cellStyle name="Percent 3 4 13 11" xfId="26563"/>
    <cellStyle name="Percent 3 4 13 2 7" xfId="26564"/>
    <cellStyle name="Percent 3 4 13 2 2 4" xfId="26565"/>
    <cellStyle name="Percent 3 4 13 2 2 2 2" xfId="26566"/>
    <cellStyle name="Percent 3 4 13 2 2 3" xfId="26567"/>
    <cellStyle name="Percent 3 4 13 2 3 4" xfId="26568"/>
    <cellStyle name="Percent 3 4 13 2 3 2 2" xfId="26569"/>
    <cellStyle name="Percent 3 4 13 2 3 3" xfId="26570"/>
    <cellStyle name="Percent 3 4 13 2 4 2" xfId="26571"/>
    <cellStyle name="Percent 3 4 13 2 5 2" xfId="26572"/>
    <cellStyle name="Percent 3 4 13 2 6" xfId="26573"/>
    <cellStyle name="Percent 3 4 13 3 6" xfId="26574"/>
    <cellStyle name="Percent 3 4 13 3 2 4" xfId="26575"/>
    <cellStyle name="Percent 3 4 13 3 2 2 2" xfId="26576"/>
    <cellStyle name="Percent 3 4 13 3 2 3" xfId="26577"/>
    <cellStyle name="Percent 3 4 13 3 3 4" xfId="26578"/>
    <cellStyle name="Percent 3 4 13 3 3 2 2" xfId="26579"/>
    <cellStyle name="Percent 3 4 13 3 3 3" xfId="26580"/>
    <cellStyle name="Percent 3 4 13 3 4 2" xfId="26581"/>
    <cellStyle name="Percent 3 4 13 3 5" xfId="26582"/>
    <cellStyle name="Percent 3 4 13 4 4" xfId="26583"/>
    <cellStyle name="Percent 3 4 13 4 2 2" xfId="26584"/>
    <cellStyle name="Percent 3 4 13 4 3" xfId="26585"/>
    <cellStyle name="Percent 3 4 13 5 4" xfId="26586"/>
    <cellStyle name="Percent 3 4 13 5 2 2" xfId="26587"/>
    <cellStyle name="Percent 3 4 13 5 3" xfId="26588"/>
    <cellStyle name="Percent 3 4 13 6 2" xfId="26589"/>
    <cellStyle name="Percent 3 4 13 7 2" xfId="26590"/>
    <cellStyle name="Percent 3 4 13 8 2" xfId="26591"/>
    <cellStyle name="Percent 3 4 13 9" xfId="26592"/>
    <cellStyle name="Percent 3 4 14 12" xfId="26593"/>
    <cellStyle name="Percent 3 4 14 10" xfId="26594"/>
    <cellStyle name="Percent 3 4 14 11" xfId="26595"/>
    <cellStyle name="Percent 3 4 14 2 7" xfId="26596"/>
    <cellStyle name="Percent 3 4 14 2 2 4" xfId="26597"/>
    <cellStyle name="Percent 3 4 14 2 2 2 2" xfId="26598"/>
    <cellStyle name="Percent 3 4 14 2 2 3" xfId="26599"/>
    <cellStyle name="Percent 3 4 14 2 3 4" xfId="26600"/>
    <cellStyle name="Percent 3 4 14 2 3 2 2" xfId="26601"/>
    <cellStyle name="Percent 3 4 14 2 3 3" xfId="26602"/>
    <cellStyle name="Percent 3 4 14 2 4 2" xfId="26603"/>
    <cellStyle name="Percent 3 4 14 2 5 2" xfId="26604"/>
    <cellStyle name="Percent 3 4 14 2 6" xfId="26605"/>
    <cellStyle name="Percent 3 4 14 3 6" xfId="26606"/>
    <cellStyle name="Percent 3 4 14 3 2 4" xfId="26607"/>
    <cellStyle name="Percent 3 4 14 3 2 2 2" xfId="26608"/>
    <cellStyle name="Percent 3 4 14 3 2 3" xfId="26609"/>
    <cellStyle name="Percent 3 4 14 3 3 4" xfId="26610"/>
    <cellStyle name="Percent 3 4 14 3 3 2 2" xfId="26611"/>
    <cellStyle name="Percent 3 4 14 3 3 3" xfId="26612"/>
    <cellStyle name="Percent 3 4 14 3 4 2" xfId="26613"/>
    <cellStyle name="Percent 3 4 14 3 5" xfId="26614"/>
    <cellStyle name="Percent 3 4 14 4 4" xfId="26615"/>
    <cellStyle name="Percent 3 4 14 4 2 2" xfId="26616"/>
    <cellStyle name="Percent 3 4 14 4 3" xfId="26617"/>
    <cellStyle name="Percent 3 4 14 5 4" xfId="26618"/>
    <cellStyle name="Percent 3 4 14 5 2 2" xfId="26619"/>
    <cellStyle name="Percent 3 4 14 5 3" xfId="26620"/>
    <cellStyle name="Percent 3 4 14 6 2" xfId="26621"/>
    <cellStyle name="Percent 3 4 14 7 2" xfId="26622"/>
    <cellStyle name="Percent 3 4 14 8 2" xfId="26623"/>
    <cellStyle name="Percent 3 4 14 9" xfId="26624"/>
    <cellStyle name="Percent 3 4 15 12" xfId="26625"/>
    <cellStyle name="Percent 3 4 15 10" xfId="26626"/>
    <cellStyle name="Percent 3 4 15 11" xfId="26627"/>
    <cellStyle name="Percent 3 4 15 2 7" xfId="26628"/>
    <cellStyle name="Percent 3 4 15 2 2 4" xfId="26629"/>
    <cellStyle name="Percent 3 4 15 2 2 2 2" xfId="26630"/>
    <cellStyle name="Percent 3 4 15 2 2 3" xfId="26631"/>
    <cellStyle name="Percent 3 4 15 2 3 4" xfId="26632"/>
    <cellStyle name="Percent 3 4 15 2 3 2 2" xfId="26633"/>
    <cellStyle name="Percent 3 4 15 2 3 3" xfId="26634"/>
    <cellStyle name="Percent 3 4 15 2 4 2" xfId="26635"/>
    <cellStyle name="Percent 3 4 15 2 5 2" xfId="26636"/>
    <cellStyle name="Percent 3 4 15 2 6" xfId="26637"/>
    <cellStyle name="Percent 3 4 15 3 6" xfId="26638"/>
    <cellStyle name="Percent 3 4 15 3 2 4" xfId="26639"/>
    <cellStyle name="Percent 3 4 15 3 2 2 2" xfId="26640"/>
    <cellStyle name="Percent 3 4 15 3 2 3" xfId="26641"/>
    <cellStyle name="Percent 3 4 15 3 3 4" xfId="26642"/>
    <cellStyle name="Percent 3 4 15 3 3 2 2" xfId="26643"/>
    <cellStyle name="Percent 3 4 15 3 3 3" xfId="26644"/>
    <cellStyle name="Percent 3 4 15 3 4 2" xfId="26645"/>
    <cellStyle name="Percent 3 4 15 3 5" xfId="26646"/>
    <cellStyle name="Percent 3 4 15 4 4" xfId="26647"/>
    <cellStyle name="Percent 3 4 15 4 2 2" xfId="26648"/>
    <cellStyle name="Percent 3 4 15 4 3" xfId="26649"/>
    <cellStyle name="Percent 3 4 15 5 4" xfId="26650"/>
    <cellStyle name="Percent 3 4 15 5 2 2" xfId="26651"/>
    <cellStyle name="Percent 3 4 15 5 3" xfId="26652"/>
    <cellStyle name="Percent 3 4 15 6 2" xfId="26653"/>
    <cellStyle name="Percent 3 4 15 7 2" xfId="26654"/>
    <cellStyle name="Percent 3 4 15 8 2" xfId="26655"/>
    <cellStyle name="Percent 3 4 15 9" xfId="26656"/>
    <cellStyle name="Percent 3 4 16 6" xfId="26657"/>
    <cellStyle name="Percent 3 4 16 2 4" xfId="26658"/>
    <cellStyle name="Percent 3 4 16 2 2 2" xfId="26659"/>
    <cellStyle name="Percent 3 4 16 2 3" xfId="26660"/>
    <cellStyle name="Percent 3 4 16 3 4" xfId="26661"/>
    <cellStyle name="Percent 3 4 16 3 2 2" xfId="26662"/>
    <cellStyle name="Percent 3 4 16 3 3" xfId="26663"/>
    <cellStyle name="Percent 3 4 16 4 2" xfId="26664"/>
    <cellStyle name="Percent 3 4 16 5" xfId="26665"/>
    <cellStyle name="Percent 3 4 17 6" xfId="26666"/>
    <cellStyle name="Percent 3 4 17 2 4" xfId="26667"/>
    <cellStyle name="Percent 3 4 17 2 2 2" xfId="26668"/>
    <cellStyle name="Percent 3 4 17 2 3" xfId="26669"/>
    <cellStyle name="Percent 3 4 17 3 4" xfId="26670"/>
    <cellStyle name="Percent 3 4 17 3 2 2" xfId="26671"/>
    <cellStyle name="Percent 3 4 17 3 3" xfId="26672"/>
    <cellStyle name="Percent 3 4 17 4 2" xfId="26673"/>
    <cellStyle name="Percent 3 4 17 5" xfId="26674"/>
    <cellStyle name="Percent 3 4 18 4" xfId="26675"/>
    <cellStyle name="Percent 3 4 18 2 2" xfId="26676"/>
    <cellStyle name="Percent 3 4 18 3" xfId="26677"/>
    <cellStyle name="Percent 3 4 19 4" xfId="26678"/>
    <cellStyle name="Percent 3 4 19 2 2" xfId="26679"/>
    <cellStyle name="Percent 3 4 19 3" xfId="26680"/>
    <cellStyle name="Percent 3 4 2 13" xfId="26681"/>
    <cellStyle name="Percent 3 4 2 10 2" xfId="26682"/>
    <cellStyle name="Percent 3 4 2 11" xfId="26683"/>
    <cellStyle name="Percent 3 4 2 12" xfId="26684"/>
    <cellStyle name="Percent 3 4 2 2 7" xfId="26685"/>
    <cellStyle name="Percent 3 4 2 2 2 4" xfId="26686"/>
    <cellStyle name="Percent 3 4 2 2 2 2 2" xfId="26687"/>
    <cellStyle name="Percent 3 4 2 2 2 3" xfId="26688"/>
    <cellStyle name="Percent 3 4 2 2 3 4" xfId="26689"/>
    <cellStyle name="Percent 3 4 2 2 3 2 2" xfId="26690"/>
    <cellStyle name="Percent 3 4 2 2 3 3" xfId="26691"/>
    <cellStyle name="Percent 3 4 2 2 4 2" xfId="26692"/>
    <cellStyle name="Percent 3 4 2 2 5 2" xfId="26693"/>
    <cellStyle name="Percent 3 4 2 2 6" xfId="26694"/>
    <cellStyle name="Percent 3 4 2 3 6" xfId="26695"/>
    <cellStyle name="Percent 3 4 2 3 2 4" xfId="26696"/>
    <cellStyle name="Percent 3 4 2 3 2 2 2" xfId="26697"/>
    <cellStyle name="Percent 3 4 2 3 2 3" xfId="26698"/>
    <cellStyle name="Percent 3 4 2 3 3 4" xfId="26699"/>
    <cellStyle name="Percent 3 4 2 3 3 2 2" xfId="26700"/>
    <cellStyle name="Percent 3 4 2 3 3 3" xfId="26701"/>
    <cellStyle name="Percent 3 4 2 3 4 2" xfId="26702"/>
    <cellStyle name="Percent 3 4 2 3 5" xfId="26703"/>
    <cellStyle name="Percent 3 4 2 4 6" xfId="26704"/>
    <cellStyle name="Percent 3 4 2 4 2 4" xfId="26705"/>
    <cellStyle name="Percent 3 4 2 4 2 2 2" xfId="26706"/>
    <cellStyle name="Percent 3 4 2 4 2 3" xfId="26707"/>
    <cellStyle name="Percent 3 4 2 4 3 4" xfId="26708"/>
    <cellStyle name="Percent 3 4 2 4 3 2 2" xfId="26709"/>
    <cellStyle name="Percent 3 4 2 4 3 3" xfId="26710"/>
    <cellStyle name="Percent 3 4 2 4 4 2" xfId="26711"/>
    <cellStyle name="Percent 3 4 2 4 5" xfId="26712"/>
    <cellStyle name="Percent 3 4 2 5 4" xfId="26713"/>
    <cellStyle name="Percent 3 4 2 5 2 2" xfId="26714"/>
    <cellStyle name="Percent 3 4 2 5 3" xfId="26715"/>
    <cellStyle name="Percent 3 4 2 6 4" xfId="26716"/>
    <cellStyle name="Percent 3 4 2 6 2 2" xfId="26717"/>
    <cellStyle name="Percent 3 4 2 6 3" xfId="26718"/>
    <cellStyle name="Percent 3 4 2 7 2" xfId="26719"/>
    <cellStyle name="Percent 3 4 2 8 2" xfId="26720"/>
    <cellStyle name="Percent 3 4 2 9 2" xfId="26721"/>
    <cellStyle name="Percent 3 4 20 2" xfId="26722"/>
    <cellStyle name="Percent 3 4 21 2" xfId="26723"/>
    <cellStyle name="Percent 3 4 22 2" xfId="26724"/>
    <cellStyle name="Percent 3 4 23 2" xfId="26725"/>
    <cellStyle name="Percent 3 4 24" xfId="26726"/>
    <cellStyle name="Percent 3 4 25" xfId="26727"/>
    <cellStyle name="Percent 3 4 3 13" xfId="26728"/>
    <cellStyle name="Percent 3 4 3 10" xfId="26729"/>
    <cellStyle name="Percent 3 4 3 11" xfId="26730"/>
    <cellStyle name="Percent 3 4 3 12" xfId="26731"/>
    <cellStyle name="Percent 3 4 3 2 7" xfId="26732"/>
    <cellStyle name="Percent 3 4 3 2 2 4" xfId="26733"/>
    <cellStyle name="Percent 3 4 3 2 2 2 2" xfId="26734"/>
    <cellStyle name="Percent 3 4 3 2 2 3" xfId="26735"/>
    <cellStyle name="Percent 3 4 3 2 3 4" xfId="26736"/>
    <cellStyle name="Percent 3 4 3 2 3 2 2" xfId="26737"/>
    <cellStyle name="Percent 3 4 3 2 3 3" xfId="26738"/>
    <cellStyle name="Percent 3 4 3 2 4 2" xfId="26739"/>
    <cellStyle name="Percent 3 4 3 2 5 2" xfId="26740"/>
    <cellStyle name="Percent 3 4 3 2 6" xfId="26741"/>
    <cellStyle name="Percent 3 4 3 3 6" xfId="26742"/>
    <cellStyle name="Percent 3 4 3 3 2 4" xfId="26743"/>
    <cellStyle name="Percent 3 4 3 3 2 2 2" xfId="26744"/>
    <cellStyle name="Percent 3 4 3 3 2 3" xfId="26745"/>
    <cellStyle name="Percent 3 4 3 3 3 4" xfId="26746"/>
    <cellStyle name="Percent 3 4 3 3 3 2 2" xfId="26747"/>
    <cellStyle name="Percent 3 4 3 3 3 3" xfId="26748"/>
    <cellStyle name="Percent 3 4 3 3 4 2" xfId="26749"/>
    <cellStyle name="Percent 3 4 3 3 5" xfId="26750"/>
    <cellStyle name="Percent 3 4 3 4 6" xfId="26751"/>
    <cellStyle name="Percent 3 4 3 4 2 4" xfId="26752"/>
    <cellStyle name="Percent 3 4 3 4 2 2 2" xfId="26753"/>
    <cellStyle name="Percent 3 4 3 4 2 3" xfId="26754"/>
    <cellStyle name="Percent 3 4 3 4 3 4" xfId="26755"/>
    <cellStyle name="Percent 3 4 3 4 3 2 2" xfId="26756"/>
    <cellStyle name="Percent 3 4 3 4 3 3" xfId="26757"/>
    <cellStyle name="Percent 3 4 3 4 4 2" xfId="26758"/>
    <cellStyle name="Percent 3 4 3 4 5" xfId="26759"/>
    <cellStyle name="Percent 3 4 3 5 4" xfId="26760"/>
    <cellStyle name="Percent 3 4 3 5 2 2" xfId="26761"/>
    <cellStyle name="Percent 3 4 3 5 3" xfId="26762"/>
    <cellStyle name="Percent 3 4 3 6 4" xfId="26763"/>
    <cellStyle name="Percent 3 4 3 6 2 2" xfId="26764"/>
    <cellStyle name="Percent 3 4 3 6 3" xfId="26765"/>
    <cellStyle name="Percent 3 4 3 7 2" xfId="26766"/>
    <cellStyle name="Percent 3 4 3 8 2" xfId="26767"/>
    <cellStyle name="Percent 3 4 3 9 2" xfId="26768"/>
    <cellStyle name="Percent 3 4 4 13" xfId="26769"/>
    <cellStyle name="Percent 3 4 4 10" xfId="26770"/>
    <cellStyle name="Percent 3 4 4 11" xfId="26771"/>
    <cellStyle name="Percent 3 4 4 12" xfId="26772"/>
    <cellStyle name="Percent 3 4 4 2 10" xfId="26773"/>
    <cellStyle name="Percent 3 4 4 2 2 4" xfId="26774"/>
    <cellStyle name="Percent 3 4 4 2 2 2 2" xfId="26775"/>
    <cellStyle name="Percent 3 4 4 2 2 3" xfId="26776"/>
    <cellStyle name="Percent 3 4 4 2 3 4" xfId="26777"/>
    <cellStyle name="Percent 3 4 4 2 3 2 2" xfId="26778"/>
    <cellStyle name="Percent 3 4 4 2 3 3" xfId="26779"/>
    <cellStyle name="Percent 3 4 4 2 4 2" xfId="26780"/>
    <cellStyle name="Percent 3 4 4 2 5 2" xfId="26781"/>
    <cellStyle name="Percent 3 4 4 2 6 2" xfId="26782"/>
    <cellStyle name="Percent 3 4 4 2 7" xfId="26783"/>
    <cellStyle name="Percent 3 4 4 2 8" xfId="26784"/>
    <cellStyle name="Percent 3 4 4 2 9" xfId="26785"/>
    <cellStyle name="Percent 3 4 4 3 6" xfId="26786"/>
    <cellStyle name="Percent 3 4 4 3 2 4" xfId="26787"/>
    <cellStyle name="Percent 3 4 4 3 2 2 2" xfId="26788"/>
    <cellStyle name="Percent 3 4 4 3 2 3" xfId="26789"/>
    <cellStyle name="Percent 3 4 4 3 3 4" xfId="26790"/>
    <cellStyle name="Percent 3 4 4 3 3 2 2" xfId="26791"/>
    <cellStyle name="Percent 3 4 4 3 3 3" xfId="26792"/>
    <cellStyle name="Percent 3 4 4 3 4 2" xfId="26793"/>
    <cellStyle name="Percent 3 4 4 3 5" xfId="26794"/>
    <cellStyle name="Percent 3 4 4 4 6" xfId="26795"/>
    <cellStyle name="Percent 3 4 4 4 2 4" xfId="26796"/>
    <cellStyle name="Percent 3 4 4 4 2 2 2" xfId="26797"/>
    <cellStyle name="Percent 3 4 4 4 2 3" xfId="26798"/>
    <cellStyle name="Percent 3 4 4 4 3 4" xfId="26799"/>
    <cellStyle name="Percent 3 4 4 4 3 2 2" xfId="26800"/>
    <cellStyle name="Percent 3 4 4 4 3 3" xfId="26801"/>
    <cellStyle name="Percent 3 4 4 4 4 2" xfId="26802"/>
    <cellStyle name="Percent 3 4 4 4 5" xfId="26803"/>
    <cellStyle name="Percent 3 4 4 5 4" xfId="26804"/>
    <cellStyle name="Percent 3 4 4 5 2 2" xfId="26805"/>
    <cellStyle name="Percent 3 4 4 5 3" xfId="26806"/>
    <cellStyle name="Percent 3 4 4 6 4" xfId="26807"/>
    <cellStyle name="Percent 3 4 4 6 2 2" xfId="26808"/>
    <cellStyle name="Percent 3 4 4 6 3" xfId="26809"/>
    <cellStyle name="Percent 3 4 4 7 2" xfId="26810"/>
    <cellStyle name="Percent 3 4 4 8 2" xfId="26811"/>
    <cellStyle name="Percent 3 4 4 9 2" xfId="26812"/>
    <cellStyle name="Percent 3 4 5 13" xfId="26813"/>
    <cellStyle name="Percent 3 4 5 10" xfId="26814"/>
    <cellStyle name="Percent 3 4 5 11" xfId="26815"/>
    <cellStyle name="Percent 3 4 5 12" xfId="26816"/>
    <cellStyle name="Percent 3 4 5 2 7" xfId="26817"/>
    <cellStyle name="Percent 3 4 5 2 2 4" xfId="26818"/>
    <cellStyle name="Percent 3 4 5 2 2 2 2" xfId="26819"/>
    <cellStyle name="Percent 3 4 5 2 2 3" xfId="26820"/>
    <cellStyle name="Percent 3 4 5 2 3 4" xfId="26821"/>
    <cellStyle name="Percent 3 4 5 2 3 2 2" xfId="26822"/>
    <cellStyle name="Percent 3 4 5 2 3 3" xfId="26823"/>
    <cellStyle name="Percent 3 4 5 2 4 2" xfId="26824"/>
    <cellStyle name="Percent 3 4 5 2 5 2" xfId="26825"/>
    <cellStyle name="Percent 3 4 5 2 6" xfId="26826"/>
    <cellStyle name="Percent 3 4 5 3 6" xfId="26827"/>
    <cellStyle name="Percent 3 4 5 3 2 4" xfId="26828"/>
    <cellStyle name="Percent 3 4 5 3 2 2 2" xfId="26829"/>
    <cellStyle name="Percent 3 4 5 3 2 3" xfId="26830"/>
    <cellStyle name="Percent 3 4 5 3 3 4" xfId="26831"/>
    <cellStyle name="Percent 3 4 5 3 3 2 2" xfId="26832"/>
    <cellStyle name="Percent 3 4 5 3 3 3" xfId="26833"/>
    <cellStyle name="Percent 3 4 5 3 4 2" xfId="26834"/>
    <cellStyle name="Percent 3 4 5 3 5" xfId="26835"/>
    <cellStyle name="Percent 3 4 5 4 6" xfId="26836"/>
    <cellStyle name="Percent 3 4 5 4 2 4" xfId="26837"/>
    <cellStyle name="Percent 3 4 5 4 2 2 2" xfId="26838"/>
    <cellStyle name="Percent 3 4 5 4 2 3" xfId="26839"/>
    <cellStyle name="Percent 3 4 5 4 3 4" xfId="26840"/>
    <cellStyle name="Percent 3 4 5 4 3 2 2" xfId="26841"/>
    <cellStyle name="Percent 3 4 5 4 3 3" xfId="26842"/>
    <cellStyle name="Percent 3 4 5 4 4 2" xfId="26843"/>
    <cellStyle name="Percent 3 4 5 4 5" xfId="26844"/>
    <cellStyle name="Percent 3 4 5 5 4" xfId="26845"/>
    <cellStyle name="Percent 3 4 5 5 2 2" xfId="26846"/>
    <cellStyle name="Percent 3 4 5 5 3" xfId="26847"/>
    <cellStyle name="Percent 3 4 5 6 4" xfId="26848"/>
    <cellStyle name="Percent 3 4 5 6 2 2" xfId="26849"/>
    <cellStyle name="Percent 3 4 5 6 3" xfId="26850"/>
    <cellStyle name="Percent 3 4 5 7 2" xfId="26851"/>
    <cellStyle name="Percent 3 4 5 8 2" xfId="26852"/>
    <cellStyle name="Percent 3 4 5 9 2" xfId="26853"/>
    <cellStyle name="Percent 3 4 6 13" xfId="26854"/>
    <cellStyle name="Percent 3 4 6 10" xfId="26855"/>
    <cellStyle name="Percent 3 4 6 11" xfId="26856"/>
    <cellStyle name="Percent 3 4 6 12" xfId="26857"/>
    <cellStyle name="Percent 3 4 6 2 7" xfId="26858"/>
    <cellStyle name="Percent 3 4 6 2 2 4" xfId="26859"/>
    <cellStyle name="Percent 3 4 6 2 2 2 2" xfId="26860"/>
    <cellStyle name="Percent 3 4 6 2 2 3" xfId="26861"/>
    <cellStyle name="Percent 3 4 6 2 3 4" xfId="26862"/>
    <cellStyle name="Percent 3 4 6 2 3 2 2" xfId="26863"/>
    <cellStyle name="Percent 3 4 6 2 3 3" xfId="26864"/>
    <cellStyle name="Percent 3 4 6 2 4 2" xfId="26865"/>
    <cellStyle name="Percent 3 4 6 2 5 2" xfId="26866"/>
    <cellStyle name="Percent 3 4 6 2 6" xfId="26867"/>
    <cellStyle name="Percent 3 4 6 3 6" xfId="26868"/>
    <cellStyle name="Percent 3 4 6 3 2 4" xfId="26869"/>
    <cellStyle name="Percent 3 4 6 3 2 2 2" xfId="26870"/>
    <cellStyle name="Percent 3 4 6 3 2 3" xfId="26871"/>
    <cellStyle name="Percent 3 4 6 3 3 4" xfId="26872"/>
    <cellStyle name="Percent 3 4 6 3 3 2 2" xfId="26873"/>
    <cellStyle name="Percent 3 4 6 3 3 3" xfId="26874"/>
    <cellStyle name="Percent 3 4 6 3 4 2" xfId="26875"/>
    <cellStyle name="Percent 3 4 6 3 5" xfId="26876"/>
    <cellStyle name="Percent 3 4 6 4 6" xfId="26877"/>
    <cellStyle name="Percent 3 4 6 4 2 4" xfId="26878"/>
    <cellStyle name="Percent 3 4 6 4 2 2 2" xfId="26879"/>
    <cellStyle name="Percent 3 4 6 4 2 3" xfId="26880"/>
    <cellStyle name="Percent 3 4 6 4 3 4" xfId="26881"/>
    <cellStyle name="Percent 3 4 6 4 3 2 2" xfId="26882"/>
    <cellStyle name="Percent 3 4 6 4 3 3" xfId="26883"/>
    <cellStyle name="Percent 3 4 6 4 4 2" xfId="26884"/>
    <cellStyle name="Percent 3 4 6 4 5" xfId="26885"/>
    <cellStyle name="Percent 3 4 6 5 4" xfId="26886"/>
    <cellStyle name="Percent 3 4 6 5 2 2" xfId="26887"/>
    <cellStyle name="Percent 3 4 6 5 3" xfId="26888"/>
    <cellStyle name="Percent 3 4 6 6 4" xfId="26889"/>
    <cellStyle name="Percent 3 4 6 6 2 2" xfId="26890"/>
    <cellStyle name="Percent 3 4 6 6 3" xfId="26891"/>
    <cellStyle name="Percent 3 4 6 7 2" xfId="26892"/>
    <cellStyle name="Percent 3 4 6 8 2" xfId="26893"/>
    <cellStyle name="Percent 3 4 6 9 2" xfId="26894"/>
    <cellStyle name="Percent 3 4 7 13" xfId="26895"/>
    <cellStyle name="Percent 3 4 7 10" xfId="26896"/>
    <cellStyle name="Percent 3 4 7 11" xfId="26897"/>
    <cellStyle name="Percent 3 4 7 12" xfId="26898"/>
    <cellStyle name="Percent 3 4 7 2 7" xfId="26899"/>
    <cellStyle name="Percent 3 4 7 2 2 4" xfId="26900"/>
    <cellStyle name="Percent 3 4 7 2 2 2 2" xfId="26901"/>
    <cellStyle name="Percent 3 4 7 2 2 3" xfId="26902"/>
    <cellStyle name="Percent 3 4 7 2 3 4" xfId="26903"/>
    <cellStyle name="Percent 3 4 7 2 3 2 2" xfId="26904"/>
    <cellStyle name="Percent 3 4 7 2 3 3" xfId="26905"/>
    <cellStyle name="Percent 3 4 7 2 4 2" xfId="26906"/>
    <cellStyle name="Percent 3 4 7 2 5 2" xfId="26907"/>
    <cellStyle name="Percent 3 4 7 2 6" xfId="26908"/>
    <cellStyle name="Percent 3 4 7 3 6" xfId="26909"/>
    <cellStyle name="Percent 3 4 7 3 2 4" xfId="26910"/>
    <cellStyle name="Percent 3 4 7 3 2 2 2" xfId="26911"/>
    <cellStyle name="Percent 3 4 7 3 2 3" xfId="26912"/>
    <cellStyle name="Percent 3 4 7 3 3 4" xfId="26913"/>
    <cellStyle name="Percent 3 4 7 3 3 2 2" xfId="26914"/>
    <cellStyle name="Percent 3 4 7 3 3 3" xfId="26915"/>
    <cellStyle name="Percent 3 4 7 3 4 2" xfId="26916"/>
    <cellStyle name="Percent 3 4 7 3 5" xfId="26917"/>
    <cellStyle name="Percent 3 4 7 4 6" xfId="26918"/>
    <cellStyle name="Percent 3 4 7 4 2 4" xfId="26919"/>
    <cellStyle name="Percent 3 4 7 4 2 2 2" xfId="26920"/>
    <cellStyle name="Percent 3 4 7 4 2 3" xfId="26921"/>
    <cellStyle name="Percent 3 4 7 4 3 4" xfId="26922"/>
    <cellStyle name="Percent 3 4 7 4 3 2 2" xfId="26923"/>
    <cellStyle name="Percent 3 4 7 4 3 3" xfId="26924"/>
    <cellStyle name="Percent 3 4 7 4 4 2" xfId="26925"/>
    <cellStyle name="Percent 3 4 7 4 5" xfId="26926"/>
    <cellStyle name="Percent 3 4 7 5 4" xfId="26927"/>
    <cellStyle name="Percent 3 4 7 5 2 2" xfId="26928"/>
    <cellStyle name="Percent 3 4 7 5 3" xfId="26929"/>
    <cellStyle name="Percent 3 4 7 6 4" xfId="26930"/>
    <cellStyle name="Percent 3 4 7 6 2 2" xfId="26931"/>
    <cellStyle name="Percent 3 4 7 6 3" xfId="26932"/>
    <cellStyle name="Percent 3 4 7 7 2" xfId="26933"/>
    <cellStyle name="Percent 3 4 7 8 2" xfId="26934"/>
    <cellStyle name="Percent 3 4 7 9 2" xfId="26935"/>
    <cellStyle name="Percent 3 4 8 16" xfId="26936"/>
    <cellStyle name="Percent 3 4 8 10 2" xfId="26937"/>
    <cellStyle name="Percent 3 4 8 11 2" xfId="26938"/>
    <cellStyle name="Percent 3 4 8 12 2" xfId="26939"/>
    <cellStyle name="Percent 3 4 8 13" xfId="26940"/>
    <cellStyle name="Percent 3 4 8 14" xfId="26941"/>
    <cellStyle name="Percent 3 4 8 15" xfId="26942"/>
    <cellStyle name="Percent 3 4 8 2 7" xfId="26943"/>
    <cellStyle name="Percent 3 4 8 2 2 4" xfId="26944"/>
    <cellStyle name="Percent 3 4 8 2 2 2 2" xfId="26945"/>
    <cellStyle name="Percent 3 4 8 2 2 3" xfId="26946"/>
    <cellStyle name="Percent 3 4 8 2 3 4" xfId="26947"/>
    <cellStyle name="Percent 3 4 8 2 3 2 2" xfId="26948"/>
    <cellStyle name="Percent 3 4 8 2 3 3" xfId="26949"/>
    <cellStyle name="Percent 3 4 8 2 4 2" xfId="26950"/>
    <cellStyle name="Percent 3 4 8 2 5 2" xfId="26951"/>
    <cellStyle name="Percent 3 4 8 2 6" xfId="26952"/>
    <cellStyle name="Percent 3 4 8 3 6" xfId="26953"/>
    <cellStyle name="Percent 3 4 8 3 2 4" xfId="26954"/>
    <cellStyle name="Percent 3 4 8 3 2 2 2" xfId="26955"/>
    <cellStyle name="Percent 3 4 8 3 2 3" xfId="26956"/>
    <cellStyle name="Percent 3 4 8 3 3 4" xfId="26957"/>
    <cellStyle name="Percent 3 4 8 3 3 2 2" xfId="26958"/>
    <cellStyle name="Percent 3 4 8 3 3 3" xfId="26959"/>
    <cellStyle name="Percent 3 4 8 3 4 2" xfId="26960"/>
    <cellStyle name="Percent 3 4 8 3 5" xfId="26961"/>
    <cellStyle name="Percent 3 4 8 4 6" xfId="26962"/>
    <cellStyle name="Percent 3 4 8 4 2 4" xfId="26963"/>
    <cellStyle name="Percent 3 4 8 4 2 2 2" xfId="26964"/>
    <cellStyle name="Percent 3 4 8 4 2 3" xfId="26965"/>
    <cellStyle name="Percent 3 4 8 4 3 4" xfId="26966"/>
    <cellStyle name="Percent 3 4 8 4 3 2 2" xfId="26967"/>
    <cellStyle name="Percent 3 4 8 4 3 3" xfId="26968"/>
    <cellStyle name="Percent 3 4 8 4 4 2" xfId="26969"/>
    <cellStyle name="Percent 3 4 8 4 5" xfId="26970"/>
    <cellStyle name="Percent 3 4 8 5 7" xfId="26971"/>
    <cellStyle name="Percent 3 4 8 5 2 4" xfId="26972"/>
    <cellStyle name="Percent 3 4 8 5 2 2 2" xfId="26973"/>
    <cellStyle name="Percent 3 4 8 5 2 3" xfId="26974"/>
    <cellStyle name="Percent 3 4 8 5 3 4" xfId="26975"/>
    <cellStyle name="Percent 3 4 8 5 3 2 2" xfId="26976"/>
    <cellStyle name="Percent 3 4 8 5 3 3" xfId="26977"/>
    <cellStyle name="Percent 3 4 8 5 4 4" xfId="26978"/>
    <cellStyle name="Percent 3 4 8 5 4 2 2" xfId="26979"/>
    <cellStyle name="Percent 3 4 8 5 4 3" xfId="26980"/>
    <cellStyle name="Percent 3 4 8 5 5 2" xfId="26981"/>
    <cellStyle name="Percent 3 4 8 5 6" xfId="26982"/>
    <cellStyle name="Percent 3 4 8 6 6" xfId="26983"/>
    <cellStyle name="Percent 3 4 8 6 2 4" xfId="26984"/>
    <cellStyle name="Percent 3 4 8 6 2 2 2" xfId="26985"/>
    <cellStyle name="Percent 3 4 8 6 2 3" xfId="26986"/>
    <cellStyle name="Percent 3 4 8 6 3 4" xfId="26987"/>
    <cellStyle name="Percent 3 4 8 6 3 2 2" xfId="26988"/>
    <cellStyle name="Percent 3 4 8 6 3 3" xfId="26989"/>
    <cellStyle name="Percent 3 4 8 6 4 2" xfId="26990"/>
    <cellStyle name="Percent 3 4 8 6 5" xfId="26991"/>
    <cellStyle name="Percent 3 4 8 7 4" xfId="26992"/>
    <cellStyle name="Percent 3 4 8 7 2 2" xfId="26993"/>
    <cellStyle name="Percent 3 4 8 7 3" xfId="26994"/>
    <cellStyle name="Percent 3 4 8 8 4" xfId="26995"/>
    <cellStyle name="Percent 3 4 8 8 2 2" xfId="26996"/>
    <cellStyle name="Percent 3 4 8 8 3" xfId="26997"/>
    <cellStyle name="Percent 3 4 8 9 4" xfId="26998"/>
    <cellStyle name="Percent 3 4 8 9 2 2" xfId="26999"/>
    <cellStyle name="Percent 3 4 8 9 3" xfId="27000"/>
    <cellStyle name="Percent 3 4 9 16" xfId="27001"/>
    <cellStyle name="Percent 3 4 9 10 2" xfId="27002"/>
    <cellStyle name="Percent 3 4 9 11 2" xfId="27003"/>
    <cellStyle name="Percent 3 4 9 12 2" xfId="27004"/>
    <cellStyle name="Percent 3 4 9 13" xfId="27005"/>
    <cellStyle name="Percent 3 4 9 14" xfId="27006"/>
    <cellStyle name="Percent 3 4 9 15" xfId="27007"/>
    <cellStyle name="Percent 3 4 9 2 7" xfId="27008"/>
    <cellStyle name="Percent 3 4 9 2 2 4" xfId="27009"/>
    <cellStyle name="Percent 3 4 9 2 2 2 2" xfId="27010"/>
    <cellStyle name="Percent 3 4 9 2 2 3" xfId="27011"/>
    <cellStyle name="Percent 3 4 9 2 3 4" xfId="27012"/>
    <cellStyle name="Percent 3 4 9 2 3 2 2" xfId="27013"/>
    <cellStyle name="Percent 3 4 9 2 3 3" xfId="27014"/>
    <cellStyle name="Percent 3 4 9 2 4 2" xfId="27015"/>
    <cellStyle name="Percent 3 4 9 2 5 2" xfId="27016"/>
    <cellStyle name="Percent 3 4 9 2 6" xfId="27017"/>
    <cellStyle name="Percent 3 4 9 3 6" xfId="27018"/>
    <cellStyle name="Percent 3 4 9 3 2 4" xfId="27019"/>
    <cellStyle name="Percent 3 4 9 3 2 2 2" xfId="27020"/>
    <cellStyle name="Percent 3 4 9 3 2 3" xfId="27021"/>
    <cellStyle name="Percent 3 4 9 3 3 4" xfId="27022"/>
    <cellStyle name="Percent 3 4 9 3 3 2 2" xfId="27023"/>
    <cellStyle name="Percent 3 4 9 3 3 3" xfId="27024"/>
    <cellStyle name="Percent 3 4 9 3 4 2" xfId="27025"/>
    <cellStyle name="Percent 3 4 9 3 5" xfId="27026"/>
    <cellStyle name="Percent 3 4 9 4 6" xfId="27027"/>
    <cellStyle name="Percent 3 4 9 4 2 4" xfId="27028"/>
    <cellStyle name="Percent 3 4 9 4 2 2 2" xfId="27029"/>
    <cellStyle name="Percent 3 4 9 4 2 3" xfId="27030"/>
    <cellStyle name="Percent 3 4 9 4 3 4" xfId="27031"/>
    <cellStyle name="Percent 3 4 9 4 3 2 2" xfId="27032"/>
    <cellStyle name="Percent 3 4 9 4 3 3" xfId="27033"/>
    <cellStyle name="Percent 3 4 9 4 4 2" xfId="27034"/>
    <cellStyle name="Percent 3 4 9 4 5" xfId="27035"/>
    <cellStyle name="Percent 3 4 9 5 7" xfId="27036"/>
    <cellStyle name="Percent 3 4 9 5 2 4" xfId="27037"/>
    <cellStyle name="Percent 3 4 9 5 2 2 2" xfId="27038"/>
    <cellStyle name="Percent 3 4 9 5 2 3" xfId="27039"/>
    <cellStyle name="Percent 3 4 9 5 3 4" xfId="27040"/>
    <cellStyle name="Percent 3 4 9 5 3 2 2" xfId="27041"/>
    <cellStyle name="Percent 3 4 9 5 3 3" xfId="27042"/>
    <cellStyle name="Percent 3 4 9 5 4 4" xfId="27043"/>
    <cellStyle name="Percent 3 4 9 5 4 2 2" xfId="27044"/>
    <cellStyle name="Percent 3 4 9 5 4 3" xfId="27045"/>
    <cellStyle name="Percent 3 4 9 5 5 2" xfId="27046"/>
    <cellStyle name="Percent 3 4 9 5 6" xfId="27047"/>
    <cellStyle name="Percent 3 4 9 6 6" xfId="27048"/>
    <cellStyle name="Percent 3 4 9 6 2 4" xfId="27049"/>
    <cellStyle name="Percent 3 4 9 6 2 2 2" xfId="27050"/>
    <cellStyle name="Percent 3 4 9 6 2 3" xfId="27051"/>
    <cellStyle name="Percent 3 4 9 6 3 4" xfId="27052"/>
    <cellStyle name="Percent 3 4 9 6 3 2 2" xfId="27053"/>
    <cellStyle name="Percent 3 4 9 6 3 3" xfId="27054"/>
    <cellStyle name="Percent 3 4 9 6 4 2" xfId="27055"/>
    <cellStyle name="Percent 3 4 9 6 5" xfId="27056"/>
    <cellStyle name="Percent 3 4 9 7 4" xfId="27057"/>
    <cellStyle name="Percent 3 4 9 7 2 2" xfId="27058"/>
    <cellStyle name="Percent 3 4 9 7 3" xfId="27059"/>
    <cellStyle name="Percent 3 4 9 8 4" xfId="27060"/>
    <cellStyle name="Percent 3 4 9 8 2 2" xfId="27061"/>
    <cellStyle name="Percent 3 4 9 8 3" xfId="27062"/>
    <cellStyle name="Percent 3 4 9 9 4" xfId="27063"/>
    <cellStyle name="Percent 3 4 9 9 2 2" xfId="27064"/>
    <cellStyle name="Percent 3 4 9 9 3" xfId="27065"/>
    <cellStyle name="Percent 3 5 30" xfId="27066"/>
    <cellStyle name="Percent 3 5 10 16" xfId="27067"/>
    <cellStyle name="Percent 3 5 10 10 2" xfId="27068"/>
    <cellStyle name="Percent 3 5 10 11 2" xfId="27069"/>
    <cellStyle name="Percent 3 5 10 12 2" xfId="27070"/>
    <cellStyle name="Percent 3 5 10 13" xfId="27071"/>
    <cellStyle name="Percent 3 5 10 14" xfId="27072"/>
    <cellStyle name="Percent 3 5 10 15" xfId="27073"/>
    <cellStyle name="Percent 3 5 10 2 7" xfId="27074"/>
    <cellStyle name="Percent 3 5 10 2 2 4" xfId="27075"/>
    <cellStyle name="Percent 3 5 10 2 2 2 2" xfId="27076"/>
    <cellStyle name="Percent 3 5 10 2 2 3" xfId="27077"/>
    <cellStyle name="Percent 3 5 10 2 3 4" xfId="27078"/>
    <cellStyle name="Percent 3 5 10 2 3 2 2" xfId="27079"/>
    <cellStyle name="Percent 3 5 10 2 3 3" xfId="27080"/>
    <cellStyle name="Percent 3 5 10 2 4 2" xfId="27081"/>
    <cellStyle name="Percent 3 5 10 2 5 2" xfId="27082"/>
    <cellStyle name="Percent 3 5 10 2 6" xfId="27083"/>
    <cellStyle name="Percent 3 5 10 3 6" xfId="27084"/>
    <cellStyle name="Percent 3 5 10 3 2 4" xfId="27085"/>
    <cellStyle name="Percent 3 5 10 3 2 2 2" xfId="27086"/>
    <cellStyle name="Percent 3 5 10 3 2 3" xfId="27087"/>
    <cellStyle name="Percent 3 5 10 3 3 4" xfId="27088"/>
    <cellStyle name="Percent 3 5 10 3 3 2 2" xfId="27089"/>
    <cellStyle name="Percent 3 5 10 3 3 3" xfId="27090"/>
    <cellStyle name="Percent 3 5 10 3 4 2" xfId="27091"/>
    <cellStyle name="Percent 3 5 10 3 5" xfId="27092"/>
    <cellStyle name="Percent 3 5 10 4 6" xfId="27093"/>
    <cellStyle name="Percent 3 5 10 4 2 4" xfId="27094"/>
    <cellStyle name="Percent 3 5 10 4 2 2 2" xfId="27095"/>
    <cellStyle name="Percent 3 5 10 4 2 3" xfId="27096"/>
    <cellStyle name="Percent 3 5 10 4 3 4" xfId="27097"/>
    <cellStyle name="Percent 3 5 10 4 3 2 2" xfId="27098"/>
    <cellStyle name="Percent 3 5 10 4 3 3" xfId="27099"/>
    <cellStyle name="Percent 3 5 10 4 4 2" xfId="27100"/>
    <cellStyle name="Percent 3 5 10 4 5" xfId="27101"/>
    <cellStyle name="Percent 3 5 10 5 7" xfId="27102"/>
    <cellStyle name="Percent 3 5 10 5 2 4" xfId="27103"/>
    <cellStyle name="Percent 3 5 10 5 2 2 2" xfId="27104"/>
    <cellStyle name="Percent 3 5 10 5 2 3" xfId="27105"/>
    <cellStyle name="Percent 3 5 10 5 3 4" xfId="27106"/>
    <cellStyle name="Percent 3 5 10 5 3 2 2" xfId="27107"/>
    <cellStyle name="Percent 3 5 10 5 3 3" xfId="27108"/>
    <cellStyle name="Percent 3 5 10 5 4 4" xfId="27109"/>
    <cellStyle name="Percent 3 5 10 5 4 2 2" xfId="27110"/>
    <cellStyle name="Percent 3 5 10 5 4 3" xfId="27111"/>
    <cellStyle name="Percent 3 5 10 5 5 2" xfId="27112"/>
    <cellStyle name="Percent 3 5 10 5 6" xfId="27113"/>
    <cellStyle name="Percent 3 5 10 6 6" xfId="27114"/>
    <cellStyle name="Percent 3 5 10 6 2 4" xfId="27115"/>
    <cellStyle name="Percent 3 5 10 6 2 2 2" xfId="27116"/>
    <cellStyle name="Percent 3 5 10 6 2 3" xfId="27117"/>
    <cellStyle name="Percent 3 5 10 6 3 4" xfId="27118"/>
    <cellStyle name="Percent 3 5 10 6 3 2 2" xfId="27119"/>
    <cellStyle name="Percent 3 5 10 6 3 3" xfId="27120"/>
    <cellStyle name="Percent 3 5 10 6 4 2" xfId="27121"/>
    <cellStyle name="Percent 3 5 10 6 5" xfId="27122"/>
    <cellStyle name="Percent 3 5 10 7 4" xfId="27123"/>
    <cellStyle name="Percent 3 5 10 7 2 2" xfId="27124"/>
    <cellStyle name="Percent 3 5 10 7 3" xfId="27125"/>
    <cellStyle name="Percent 3 5 10 8 4" xfId="27126"/>
    <cellStyle name="Percent 3 5 10 8 2 2" xfId="27127"/>
    <cellStyle name="Percent 3 5 10 8 3" xfId="27128"/>
    <cellStyle name="Percent 3 5 10 9 4" xfId="27129"/>
    <cellStyle name="Percent 3 5 10 9 2 2" xfId="27130"/>
    <cellStyle name="Percent 3 5 10 9 3" xfId="27131"/>
    <cellStyle name="Percent 3 5 11 16" xfId="27132"/>
    <cellStyle name="Percent 3 5 11 10 2" xfId="27133"/>
    <cellStyle name="Percent 3 5 11 11 2" xfId="27134"/>
    <cellStyle name="Percent 3 5 11 12 2" xfId="27135"/>
    <cellStyle name="Percent 3 5 11 13" xfId="27136"/>
    <cellStyle name="Percent 3 5 11 14" xfId="27137"/>
    <cellStyle name="Percent 3 5 11 15" xfId="27138"/>
    <cellStyle name="Percent 3 5 11 2 7" xfId="27139"/>
    <cellStyle name="Percent 3 5 11 2 2 4" xfId="27140"/>
    <cellStyle name="Percent 3 5 11 2 2 2 2" xfId="27141"/>
    <cellStyle name="Percent 3 5 11 2 2 3" xfId="27142"/>
    <cellStyle name="Percent 3 5 11 2 3 4" xfId="27143"/>
    <cellStyle name="Percent 3 5 11 2 3 2 2" xfId="27144"/>
    <cellStyle name="Percent 3 5 11 2 3 3" xfId="27145"/>
    <cellStyle name="Percent 3 5 11 2 4 2" xfId="27146"/>
    <cellStyle name="Percent 3 5 11 2 5 2" xfId="27147"/>
    <cellStyle name="Percent 3 5 11 2 6" xfId="27148"/>
    <cellStyle name="Percent 3 5 11 3 6" xfId="27149"/>
    <cellStyle name="Percent 3 5 11 3 2 4" xfId="27150"/>
    <cellStyle name="Percent 3 5 11 3 2 2 2" xfId="27151"/>
    <cellStyle name="Percent 3 5 11 3 2 3" xfId="27152"/>
    <cellStyle name="Percent 3 5 11 3 3 4" xfId="27153"/>
    <cellStyle name="Percent 3 5 11 3 3 2 2" xfId="27154"/>
    <cellStyle name="Percent 3 5 11 3 3 3" xfId="27155"/>
    <cellStyle name="Percent 3 5 11 3 4 2" xfId="27156"/>
    <cellStyle name="Percent 3 5 11 3 5" xfId="27157"/>
    <cellStyle name="Percent 3 5 11 4 6" xfId="27158"/>
    <cellStyle name="Percent 3 5 11 4 2 4" xfId="27159"/>
    <cellStyle name="Percent 3 5 11 4 2 2 2" xfId="27160"/>
    <cellStyle name="Percent 3 5 11 4 2 3" xfId="27161"/>
    <cellStyle name="Percent 3 5 11 4 3 4" xfId="27162"/>
    <cellStyle name="Percent 3 5 11 4 3 2 2" xfId="27163"/>
    <cellStyle name="Percent 3 5 11 4 3 3" xfId="27164"/>
    <cellStyle name="Percent 3 5 11 4 4 2" xfId="27165"/>
    <cellStyle name="Percent 3 5 11 4 5" xfId="27166"/>
    <cellStyle name="Percent 3 5 11 5 7" xfId="27167"/>
    <cellStyle name="Percent 3 5 11 5 2 4" xfId="27168"/>
    <cellStyle name="Percent 3 5 11 5 2 2 2" xfId="27169"/>
    <cellStyle name="Percent 3 5 11 5 2 3" xfId="27170"/>
    <cellStyle name="Percent 3 5 11 5 3 4" xfId="27171"/>
    <cellStyle name="Percent 3 5 11 5 3 2 2" xfId="27172"/>
    <cellStyle name="Percent 3 5 11 5 3 3" xfId="27173"/>
    <cellStyle name="Percent 3 5 11 5 4 4" xfId="27174"/>
    <cellStyle name="Percent 3 5 11 5 4 2 2" xfId="27175"/>
    <cellStyle name="Percent 3 5 11 5 4 3" xfId="27176"/>
    <cellStyle name="Percent 3 5 11 5 5 2" xfId="27177"/>
    <cellStyle name="Percent 3 5 11 5 6" xfId="27178"/>
    <cellStyle name="Percent 3 5 11 6 6" xfId="27179"/>
    <cellStyle name="Percent 3 5 11 6 2 4" xfId="27180"/>
    <cellStyle name="Percent 3 5 11 6 2 2 2" xfId="27181"/>
    <cellStyle name="Percent 3 5 11 6 2 3" xfId="27182"/>
    <cellStyle name="Percent 3 5 11 6 3 4" xfId="27183"/>
    <cellStyle name="Percent 3 5 11 6 3 2 2" xfId="27184"/>
    <cellStyle name="Percent 3 5 11 6 3 3" xfId="27185"/>
    <cellStyle name="Percent 3 5 11 6 4 2" xfId="27186"/>
    <cellStyle name="Percent 3 5 11 6 5" xfId="27187"/>
    <cellStyle name="Percent 3 5 11 7 4" xfId="27188"/>
    <cellStyle name="Percent 3 5 11 7 2 2" xfId="27189"/>
    <cellStyle name="Percent 3 5 11 7 3" xfId="27190"/>
    <cellStyle name="Percent 3 5 11 8 4" xfId="27191"/>
    <cellStyle name="Percent 3 5 11 8 2 2" xfId="27192"/>
    <cellStyle name="Percent 3 5 11 8 3" xfId="27193"/>
    <cellStyle name="Percent 3 5 11 9 4" xfId="27194"/>
    <cellStyle name="Percent 3 5 11 9 2 2" xfId="27195"/>
    <cellStyle name="Percent 3 5 11 9 3" xfId="27196"/>
    <cellStyle name="Percent 3 5 12 16" xfId="27197"/>
    <cellStyle name="Percent 3 5 12 10 2" xfId="27198"/>
    <cellStyle name="Percent 3 5 12 11 2" xfId="27199"/>
    <cellStyle name="Percent 3 5 12 12 2" xfId="27200"/>
    <cellStyle name="Percent 3 5 12 13" xfId="27201"/>
    <cellStyle name="Percent 3 5 12 14" xfId="27202"/>
    <cellStyle name="Percent 3 5 12 15" xfId="27203"/>
    <cellStyle name="Percent 3 5 12 2 7" xfId="27204"/>
    <cellStyle name="Percent 3 5 12 2 2 4" xfId="27205"/>
    <cellStyle name="Percent 3 5 12 2 2 2 2" xfId="27206"/>
    <cellStyle name="Percent 3 5 12 2 2 3" xfId="27207"/>
    <cellStyle name="Percent 3 5 12 2 3 4" xfId="27208"/>
    <cellStyle name="Percent 3 5 12 2 3 2 2" xfId="27209"/>
    <cellStyle name="Percent 3 5 12 2 3 3" xfId="27210"/>
    <cellStyle name="Percent 3 5 12 2 4 2" xfId="27211"/>
    <cellStyle name="Percent 3 5 12 2 5 2" xfId="27212"/>
    <cellStyle name="Percent 3 5 12 2 6" xfId="27213"/>
    <cellStyle name="Percent 3 5 12 3 6" xfId="27214"/>
    <cellStyle name="Percent 3 5 12 3 2 4" xfId="27215"/>
    <cellStyle name="Percent 3 5 12 3 2 2 2" xfId="27216"/>
    <cellStyle name="Percent 3 5 12 3 2 3" xfId="27217"/>
    <cellStyle name="Percent 3 5 12 3 3 4" xfId="27218"/>
    <cellStyle name="Percent 3 5 12 3 3 2 2" xfId="27219"/>
    <cellStyle name="Percent 3 5 12 3 3 3" xfId="27220"/>
    <cellStyle name="Percent 3 5 12 3 4 2" xfId="27221"/>
    <cellStyle name="Percent 3 5 12 3 5" xfId="27222"/>
    <cellStyle name="Percent 3 5 12 4 6" xfId="27223"/>
    <cellStyle name="Percent 3 5 12 4 2 4" xfId="27224"/>
    <cellStyle name="Percent 3 5 12 4 2 2 2" xfId="27225"/>
    <cellStyle name="Percent 3 5 12 4 2 3" xfId="27226"/>
    <cellStyle name="Percent 3 5 12 4 3 4" xfId="27227"/>
    <cellStyle name="Percent 3 5 12 4 3 2 2" xfId="27228"/>
    <cellStyle name="Percent 3 5 12 4 3 3" xfId="27229"/>
    <cellStyle name="Percent 3 5 12 4 4 2" xfId="27230"/>
    <cellStyle name="Percent 3 5 12 4 5" xfId="27231"/>
    <cellStyle name="Percent 3 5 12 5 7" xfId="27232"/>
    <cellStyle name="Percent 3 5 12 5 2 4" xfId="27233"/>
    <cellStyle name="Percent 3 5 12 5 2 2 2" xfId="27234"/>
    <cellStyle name="Percent 3 5 12 5 2 3" xfId="27235"/>
    <cellStyle name="Percent 3 5 12 5 3 4" xfId="27236"/>
    <cellStyle name="Percent 3 5 12 5 3 2 2" xfId="27237"/>
    <cellStyle name="Percent 3 5 12 5 3 3" xfId="27238"/>
    <cellStyle name="Percent 3 5 12 5 4 4" xfId="27239"/>
    <cellStyle name="Percent 3 5 12 5 4 2 2" xfId="27240"/>
    <cellStyle name="Percent 3 5 12 5 4 3" xfId="27241"/>
    <cellStyle name="Percent 3 5 12 5 5 2" xfId="27242"/>
    <cellStyle name="Percent 3 5 12 5 6" xfId="27243"/>
    <cellStyle name="Percent 3 5 12 6 6" xfId="27244"/>
    <cellStyle name="Percent 3 5 12 6 2 4" xfId="27245"/>
    <cellStyle name="Percent 3 5 12 6 2 2 2" xfId="27246"/>
    <cellStyle name="Percent 3 5 12 6 2 3" xfId="27247"/>
    <cellStyle name="Percent 3 5 12 6 3 4" xfId="27248"/>
    <cellStyle name="Percent 3 5 12 6 3 2 2" xfId="27249"/>
    <cellStyle name="Percent 3 5 12 6 3 3" xfId="27250"/>
    <cellStyle name="Percent 3 5 12 6 4 2" xfId="27251"/>
    <cellStyle name="Percent 3 5 12 6 5" xfId="27252"/>
    <cellStyle name="Percent 3 5 12 7 4" xfId="27253"/>
    <cellStyle name="Percent 3 5 12 7 2 2" xfId="27254"/>
    <cellStyle name="Percent 3 5 12 7 3" xfId="27255"/>
    <cellStyle name="Percent 3 5 12 8 4" xfId="27256"/>
    <cellStyle name="Percent 3 5 12 8 2 2" xfId="27257"/>
    <cellStyle name="Percent 3 5 12 8 3" xfId="27258"/>
    <cellStyle name="Percent 3 5 12 9 4" xfId="27259"/>
    <cellStyle name="Percent 3 5 12 9 2 2" xfId="27260"/>
    <cellStyle name="Percent 3 5 12 9 3" xfId="27261"/>
    <cellStyle name="Percent 3 5 13 16" xfId="27262"/>
    <cellStyle name="Percent 3 5 13 10 2" xfId="27263"/>
    <cellStyle name="Percent 3 5 13 11 2" xfId="27264"/>
    <cellStyle name="Percent 3 5 13 12 2" xfId="27265"/>
    <cellStyle name="Percent 3 5 13 13" xfId="27266"/>
    <cellStyle name="Percent 3 5 13 14" xfId="27267"/>
    <cellStyle name="Percent 3 5 13 15" xfId="27268"/>
    <cellStyle name="Percent 3 5 13 2 7" xfId="27269"/>
    <cellStyle name="Percent 3 5 13 2 2 4" xfId="27270"/>
    <cellStyle name="Percent 3 5 13 2 2 2 2" xfId="27271"/>
    <cellStyle name="Percent 3 5 13 2 2 3" xfId="27272"/>
    <cellStyle name="Percent 3 5 13 2 3 4" xfId="27273"/>
    <cellStyle name="Percent 3 5 13 2 3 2 2" xfId="27274"/>
    <cellStyle name="Percent 3 5 13 2 3 3" xfId="27275"/>
    <cellStyle name="Percent 3 5 13 2 4 2" xfId="27276"/>
    <cellStyle name="Percent 3 5 13 2 5 2" xfId="27277"/>
    <cellStyle name="Percent 3 5 13 2 6" xfId="27278"/>
    <cellStyle name="Percent 3 5 13 3 6" xfId="27279"/>
    <cellStyle name="Percent 3 5 13 3 2 4" xfId="27280"/>
    <cellStyle name="Percent 3 5 13 3 2 2 2" xfId="27281"/>
    <cellStyle name="Percent 3 5 13 3 2 3" xfId="27282"/>
    <cellStyle name="Percent 3 5 13 3 3 4" xfId="27283"/>
    <cellStyle name="Percent 3 5 13 3 3 2 2" xfId="27284"/>
    <cellStyle name="Percent 3 5 13 3 3 3" xfId="27285"/>
    <cellStyle name="Percent 3 5 13 3 4 2" xfId="27286"/>
    <cellStyle name="Percent 3 5 13 3 5" xfId="27287"/>
    <cellStyle name="Percent 3 5 13 4 6" xfId="27288"/>
    <cellStyle name="Percent 3 5 13 4 2 4" xfId="27289"/>
    <cellStyle name="Percent 3 5 13 4 2 2 2" xfId="27290"/>
    <cellStyle name="Percent 3 5 13 4 2 3" xfId="27291"/>
    <cellStyle name="Percent 3 5 13 4 3 4" xfId="27292"/>
    <cellStyle name="Percent 3 5 13 4 3 2 2" xfId="27293"/>
    <cellStyle name="Percent 3 5 13 4 3 3" xfId="27294"/>
    <cellStyle name="Percent 3 5 13 4 4 2" xfId="27295"/>
    <cellStyle name="Percent 3 5 13 4 5" xfId="27296"/>
    <cellStyle name="Percent 3 5 13 5 7" xfId="27297"/>
    <cellStyle name="Percent 3 5 13 5 2 4" xfId="27298"/>
    <cellStyle name="Percent 3 5 13 5 2 2 2" xfId="27299"/>
    <cellStyle name="Percent 3 5 13 5 2 3" xfId="27300"/>
    <cellStyle name="Percent 3 5 13 5 3 4" xfId="27301"/>
    <cellStyle name="Percent 3 5 13 5 3 2 2" xfId="27302"/>
    <cellStyle name="Percent 3 5 13 5 3 3" xfId="27303"/>
    <cellStyle name="Percent 3 5 13 5 4 4" xfId="27304"/>
    <cellStyle name="Percent 3 5 13 5 4 2 2" xfId="27305"/>
    <cellStyle name="Percent 3 5 13 5 4 3" xfId="27306"/>
    <cellStyle name="Percent 3 5 13 5 5 2" xfId="27307"/>
    <cellStyle name="Percent 3 5 13 5 6" xfId="27308"/>
    <cellStyle name="Percent 3 5 13 6 6" xfId="27309"/>
    <cellStyle name="Percent 3 5 13 6 2 4" xfId="27310"/>
    <cellStyle name="Percent 3 5 13 6 2 2 2" xfId="27311"/>
    <cellStyle name="Percent 3 5 13 6 2 3" xfId="27312"/>
    <cellStyle name="Percent 3 5 13 6 3 4" xfId="27313"/>
    <cellStyle name="Percent 3 5 13 6 3 2 2" xfId="27314"/>
    <cellStyle name="Percent 3 5 13 6 3 3" xfId="27315"/>
    <cellStyle name="Percent 3 5 13 6 4 2" xfId="27316"/>
    <cellStyle name="Percent 3 5 13 6 5" xfId="27317"/>
    <cellStyle name="Percent 3 5 13 7 4" xfId="27318"/>
    <cellStyle name="Percent 3 5 13 7 2 2" xfId="27319"/>
    <cellStyle name="Percent 3 5 13 7 3" xfId="27320"/>
    <cellStyle name="Percent 3 5 13 8 4" xfId="27321"/>
    <cellStyle name="Percent 3 5 13 8 2 2" xfId="27322"/>
    <cellStyle name="Percent 3 5 13 8 3" xfId="27323"/>
    <cellStyle name="Percent 3 5 13 9 4" xfId="27324"/>
    <cellStyle name="Percent 3 5 13 9 2 2" xfId="27325"/>
    <cellStyle name="Percent 3 5 13 9 3" xfId="27326"/>
    <cellStyle name="Percent 3 5 14 16" xfId="27327"/>
    <cellStyle name="Percent 3 5 14 10 2" xfId="27328"/>
    <cellStyle name="Percent 3 5 14 11 2" xfId="27329"/>
    <cellStyle name="Percent 3 5 14 12 2" xfId="27330"/>
    <cellStyle name="Percent 3 5 14 13" xfId="27331"/>
    <cellStyle name="Percent 3 5 14 14" xfId="27332"/>
    <cellStyle name="Percent 3 5 14 15" xfId="27333"/>
    <cellStyle name="Percent 3 5 14 2 7" xfId="27334"/>
    <cellStyle name="Percent 3 5 14 2 2 4" xfId="27335"/>
    <cellStyle name="Percent 3 5 14 2 2 2 2" xfId="27336"/>
    <cellStyle name="Percent 3 5 14 2 2 3" xfId="27337"/>
    <cellStyle name="Percent 3 5 14 2 3 4" xfId="27338"/>
    <cellStyle name="Percent 3 5 14 2 3 2 2" xfId="27339"/>
    <cellStyle name="Percent 3 5 14 2 3 3" xfId="27340"/>
    <cellStyle name="Percent 3 5 14 2 4 2" xfId="27341"/>
    <cellStyle name="Percent 3 5 14 2 5 2" xfId="27342"/>
    <cellStyle name="Percent 3 5 14 2 6" xfId="27343"/>
    <cellStyle name="Percent 3 5 14 3 6" xfId="27344"/>
    <cellStyle name="Percent 3 5 14 3 2 4" xfId="27345"/>
    <cellStyle name="Percent 3 5 14 3 2 2 2" xfId="27346"/>
    <cellStyle name="Percent 3 5 14 3 2 3" xfId="27347"/>
    <cellStyle name="Percent 3 5 14 3 3 4" xfId="27348"/>
    <cellStyle name="Percent 3 5 14 3 3 2 2" xfId="27349"/>
    <cellStyle name="Percent 3 5 14 3 3 3" xfId="27350"/>
    <cellStyle name="Percent 3 5 14 3 4 2" xfId="27351"/>
    <cellStyle name="Percent 3 5 14 3 5" xfId="27352"/>
    <cellStyle name="Percent 3 5 14 4 6" xfId="27353"/>
    <cellStyle name="Percent 3 5 14 4 2 4" xfId="27354"/>
    <cellStyle name="Percent 3 5 14 4 2 2 2" xfId="27355"/>
    <cellStyle name="Percent 3 5 14 4 2 3" xfId="27356"/>
    <cellStyle name="Percent 3 5 14 4 3 4" xfId="27357"/>
    <cellStyle name="Percent 3 5 14 4 3 2 2" xfId="27358"/>
    <cellStyle name="Percent 3 5 14 4 3 3" xfId="27359"/>
    <cellStyle name="Percent 3 5 14 4 4 2" xfId="27360"/>
    <cellStyle name="Percent 3 5 14 4 5" xfId="27361"/>
    <cellStyle name="Percent 3 5 14 5 7" xfId="27362"/>
    <cellStyle name="Percent 3 5 14 5 2 4" xfId="27363"/>
    <cellStyle name="Percent 3 5 14 5 2 2 2" xfId="27364"/>
    <cellStyle name="Percent 3 5 14 5 2 3" xfId="27365"/>
    <cellStyle name="Percent 3 5 14 5 3 4" xfId="27366"/>
    <cellStyle name="Percent 3 5 14 5 3 2 2" xfId="27367"/>
    <cellStyle name="Percent 3 5 14 5 3 3" xfId="27368"/>
    <cellStyle name="Percent 3 5 14 5 4 4" xfId="27369"/>
    <cellStyle name="Percent 3 5 14 5 4 2 2" xfId="27370"/>
    <cellStyle name="Percent 3 5 14 5 4 3" xfId="27371"/>
    <cellStyle name="Percent 3 5 14 5 5 2" xfId="27372"/>
    <cellStyle name="Percent 3 5 14 5 6" xfId="27373"/>
    <cellStyle name="Percent 3 5 14 6 6" xfId="27374"/>
    <cellStyle name="Percent 3 5 14 6 2 4" xfId="27375"/>
    <cellStyle name="Percent 3 5 14 6 2 2 2" xfId="27376"/>
    <cellStyle name="Percent 3 5 14 6 2 3" xfId="27377"/>
    <cellStyle name="Percent 3 5 14 6 3 4" xfId="27378"/>
    <cellStyle name="Percent 3 5 14 6 3 2 2" xfId="27379"/>
    <cellStyle name="Percent 3 5 14 6 3 3" xfId="27380"/>
    <cellStyle name="Percent 3 5 14 6 4 2" xfId="27381"/>
    <cellStyle name="Percent 3 5 14 6 5" xfId="27382"/>
    <cellStyle name="Percent 3 5 14 7 4" xfId="27383"/>
    <cellStyle name="Percent 3 5 14 7 2 2" xfId="27384"/>
    <cellStyle name="Percent 3 5 14 7 3" xfId="27385"/>
    <cellStyle name="Percent 3 5 14 8 4" xfId="27386"/>
    <cellStyle name="Percent 3 5 14 8 2 2" xfId="27387"/>
    <cellStyle name="Percent 3 5 14 8 3" xfId="27388"/>
    <cellStyle name="Percent 3 5 14 9 4" xfId="27389"/>
    <cellStyle name="Percent 3 5 14 9 2 2" xfId="27390"/>
    <cellStyle name="Percent 3 5 14 9 3" xfId="27391"/>
    <cellStyle name="Percent 3 5 15 16" xfId="27392"/>
    <cellStyle name="Percent 3 5 15 10 2" xfId="27393"/>
    <cellStyle name="Percent 3 5 15 11 2" xfId="27394"/>
    <cellStyle name="Percent 3 5 15 12 2" xfId="27395"/>
    <cellStyle name="Percent 3 5 15 13" xfId="27396"/>
    <cellStyle name="Percent 3 5 15 14" xfId="27397"/>
    <cellStyle name="Percent 3 5 15 15" xfId="27398"/>
    <cellStyle name="Percent 3 5 15 2 7" xfId="27399"/>
    <cellStyle name="Percent 3 5 15 2 2 4" xfId="27400"/>
    <cellStyle name="Percent 3 5 15 2 2 2 2" xfId="27401"/>
    <cellStyle name="Percent 3 5 15 2 2 3" xfId="27402"/>
    <cellStyle name="Percent 3 5 15 2 3 4" xfId="27403"/>
    <cellStyle name="Percent 3 5 15 2 3 2 2" xfId="27404"/>
    <cellStyle name="Percent 3 5 15 2 3 3" xfId="27405"/>
    <cellStyle name="Percent 3 5 15 2 4 2" xfId="27406"/>
    <cellStyle name="Percent 3 5 15 2 5 2" xfId="27407"/>
    <cellStyle name="Percent 3 5 15 2 6" xfId="27408"/>
    <cellStyle name="Percent 3 5 15 3 6" xfId="27409"/>
    <cellStyle name="Percent 3 5 15 3 2 4" xfId="27410"/>
    <cellStyle name="Percent 3 5 15 3 2 2 2" xfId="27411"/>
    <cellStyle name="Percent 3 5 15 3 2 3" xfId="27412"/>
    <cellStyle name="Percent 3 5 15 3 3 4" xfId="27413"/>
    <cellStyle name="Percent 3 5 15 3 3 2 2" xfId="27414"/>
    <cellStyle name="Percent 3 5 15 3 3 3" xfId="27415"/>
    <cellStyle name="Percent 3 5 15 3 4 2" xfId="27416"/>
    <cellStyle name="Percent 3 5 15 3 5" xfId="27417"/>
    <cellStyle name="Percent 3 5 15 4 6" xfId="27418"/>
    <cellStyle name="Percent 3 5 15 4 2 4" xfId="27419"/>
    <cellStyle name="Percent 3 5 15 4 2 2 2" xfId="27420"/>
    <cellStyle name="Percent 3 5 15 4 2 3" xfId="27421"/>
    <cellStyle name="Percent 3 5 15 4 3 4" xfId="27422"/>
    <cellStyle name="Percent 3 5 15 4 3 2 2" xfId="27423"/>
    <cellStyle name="Percent 3 5 15 4 3 3" xfId="27424"/>
    <cellStyle name="Percent 3 5 15 4 4 2" xfId="27425"/>
    <cellStyle name="Percent 3 5 15 4 5" xfId="27426"/>
    <cellStyle name="Percent 3 5 15 5 7" xfId="27427"/>
    <cellStyle name="Percent 3 5 15 5 2 4" xfId="27428"/>
    <cellStyle name="Percent 3 5 15 5 2 2 2" xfId="27429"/>
    <cellStyle name="Percent 3 5 15 5 2 3" xfId="27430"/>
    <cellStyle name="Percent 3 5 15 5 3 4" xfId="27431"/>
    <cellStyle name="Percent 3 5 15 5 3 2 2" xfId="27432"/>
    <cellStyle name="Percent 3 5 15 5 3 3" xfId="27433"/>
    <cellStyle name="Percent 3 5 15 5 4 4" xfId="27434"/>
    <cellStyle name="Percent 3 5 15 5 4 2 2" xfId="27435"/>
    <cellStyle name="Percent 3 5 15 5 4 3" xfId="27436"/>
    <cellStyle name="Percent 3 5 15 5 5 2" xfId="27437"/>
    <cellStyle name="Percent 3 5 15 5 6" xfId="27438"/>
    <cellStyle name="Percent 3 5 15 6 6" xfId="27439"/>
    <cellStyle name="Percent 3 5 15 6 2 4" xfId="27440"/>
    <cellStyle name="Percent 3 5 15 6 2 2 2" xfId="27441"/>
    <cellStyle name="Percent 3 5 15 6 2 3" xfId="27442"/>
    <cellStyle name="Percent 3 5 15 6 3 4" xfId="27443"/>
    <cellStyle name="Percent 3 5 15 6 3 2 2" xfId="27444"/>
    <cellStyle name="Percent 3 5 15 6 3 3" xfId="27445"/>
    <cellStyle name="Percent 3 5 15 6 4 2" xfId="27446"/>
    <cellStyle name="Percent 3 5 15 6 5" xfId="27447"/>
    <cellStyle name="Percent 3 5 15 7 4" xfId="27448"/>
    <cellStyle name="Percent 3 5 15 7 2 2" xfId="27449"/>
    <cellStyle name="Percent 3 5 15 7 3" xfId="27450"/>
    <cellStyle name="Percent 3 5 15 8 4" xfId="27451"/>
    <cellStyle name="Percent 3 5 15 8 2 2" xfId="27452"/>
    <cellStyle name="Percent 3 5 15 8 3" xfId="27453"/>
    <cellStyle name="Percent 3 5 15 9 4" xfId="27454"/>
    <cellStyle name="Percent 3 5 15 9 2 2" xfId="27455"/>
    <cellStyle name="Percent 3 5 15 9 3" xfId="27456"/>
    <cellStyle name="Percent 3 5 16 10" xfId="27457"/>
    <cellStyle name="Percent 3 5 16 2 4" xfId="27458"/>
    <cellStyle name="Percent 3 5 16 2 2 2" xfId="27459"/>
    <cellStyle name="Percent 3 5 16 2 3" xfId="27460"/>
    <cellStyle name="Percent 3 5 16 3 4" xfId="27461"/>
    <cellStyle name="Percent 3 5 16 3 2 2" xfId="27462"/>
    <cellStyle name="Percent 3 5 16 3 3" xfId="27463"/>
    <cellStyle name="Percent 3 5 16 4 2" xfId="27464"/>
    <cellStyle name="Percent 3 5 16 5 2" xfId="27465"/>
    <cellStyle name="Percent 3 5 16 6 2" xfId="27466"/>
    <cellStyle name="Percent 3 5 16 7" xfId="27467"/>
    <cellStyle name="Percent 3 5 16 8" xfId="27468"/>
    <cellStyle name="Percent 3 5 16 9" xfId="27469"/>
    <cellStyle name="Percent 3 5 17 7" xfId="27470"/>
    <cellStyle name="Percent 3 5 17 2 4" xfId="27471"/>
    <cellStyle name="Percent 3 5 17 2 2 2" xfId="27472"/>
    <cellStyle name="Percent 3 5 17 2 3" xfId="27473"/>
    <cellStyle name="Percent 3 5 17 3 4" xfId="27474"/>
    <cellStyle name="Percent 3 5 17 3 2 2" xfId="27475"/>
    <cellStyle name="Percent 3 5 17 3 3" xfId="27476"/>
    <cellStyle name="Percent 3 5 17 4 2" xfId="27477"/>
    <cellStyle name="Percent 3 5 17 5 2" xfId="27478"/>
    <cellStyle name="Percent 3 5 17 6" xfId="27479"/>
    <cellStyle name="Percent 3 5 18 6" xfId="27480"/>
    <cellStyle name="Percent 3 5 18 2 4" xfId="27481"/>
    <cellStyle name="Percent 3 5 18 2 2 2" xfId="27482"/>
    <cellStyle name="Percent 3 5 18 2 3" xfId="27483"/>
    <cellStyle name="Percent 3 5 18 3 4" xfId="27484"/>
    <cellStyle name="Percent 3 5 18 3 2 2" xfId="27485"/>
    <cellStyle name="Percent 3 5 18 3 3" xfId="27486"/>
    <cellStyle name="Percent 3 5 18 4 2" xfId="27487"/>
    <cellStyle name="Percent 3 5 18 5" xfId="27488"/>
    <cellStyle name="Percent 3 5 19 7" xfId="27489"/>
    <cellStyle name="Percent 3 5 19 2 4" xfId="27490"/>
    <cellStyle name="Percent 3 5 19 2 2 2" xfId="27491"/>
    <cellStyle name="Percent 3 5 19 2 3" xfId="27492"/>
    <cellStyle name="Percent 3 5 19 3 4" xfId="27493"/>
    <cellStyle name="Percent 3 5 19 3 2 2" xfId="27494"/>
    <cellStyle name="Percent 3 5 19 3 3" xfId="27495"/>
    <cellStyle name="Percent 3 5 19 4 4" xfId="27496"/>
    <cellStyle name="Percent 3 5 19 4 2 2" xfId="27497"/>
    <cellStyle name="Percent 3 5 19 4 3" xfId="27498"/>
    <cellStyle name="Percent 3 5 19 5 2" xfId="27499"/>
    <cellStyle name="Percent 3 5 19 6" xfId="27500"/>
    <cellStyle name="Percent 3 5 2 16" xfId="27501"/>
    <cellStyle name="Percent 3 5 2 10 2" xfId="27502"/>
    <cellStyle name="Percent 3 5 2 11 2" xfId="27503"/>
    <cellStyle name="Percent 3 5 2 12 2" xfId="27504"/>
    <cellStyle name="Percent 3 5 2 13" xfId="27505"/>
    <cellStyle name="Percent 3 5 2 14" xfId="27506"/>
    <cellStyle name="Percent 3 5 2 15" xfId="27507"/>
    <cellStyle name="Percent 3 5 2 2 7" xfId="27508"/>
    <cellStyle name="Percent 3 5 2 2 2 4" xfId="27509"/>
    <cellStyle name="Percent 3 5 2 2 2 2 2" xfId="27510"/>
    <cellStyle name="Percent 3 5 2 2 2 3" xfId="27511"/>
    <cellStyle name="Percent 3 5 2 2 3 4" xfId="27512"/>
    <cellStyle name="Percent 3 5 2 2 3 2 2" xfId="27513"/>
    <cellStyle name="Percent 3 5 2 2 3 3" xfId="27514"/>
    <cellStyle name="Percent 3 5 2 2 4 2" xfId="27515"/>
    <cellStyle name="Percent 3 5 2 2 5 2" xfId="27516"/>
    <cellStyle name="Percent 3 5 2 2 6" xfId="27517"/>
    <cellStyle name="Percent 3 5 2 3 6" xfId="27518"/>
    <cellStyle name="Percent 3 5 2 3 2 4" xfId="27519"/>
    <cellStyle name="Percent 3 5 2 3 2 2 2" xfId="27520"/>
    <cellStyle name="Percent 3 5 2 3 2 3" xfId="27521"/>
    <cellStyle name="Percent 3 5 2 3 3 4" xfId="27522"/>
    <cellStyle name="Percent 3 5 2 3 3 2 2" xfId="27523"/>
    <cellStyle name="Percent 3 5 2 3 3 3" xfId="27524"/>
    <cellStyle name="Percent 3 5 2 3 4 2" xfId="27525"/>
    <cellStyle name="Percent 3 5 2 3 5" xfId="27526"/>
    <cellStyle name="Percent 3 5 2 4 6" xfId="27527"/>
    <cellStyle name="Percent 3 5 2 4 2 4" xfId="27528"/>
    <cellStyle name="Percent 3 5 2 4 2 2 2" xfId="27529"/>
    <cellStyle name="Percent 3 5 2 4 2 3" xfId="27530"/>
    <cellStyle name="Percent 3 5 2 4 3 4" xfId="27531"/>
    <cellStyle name="Percent 3 5 2 4 3 2 2" xfId="27532"/>
    <cellStyle name="Percent 3 5 2 4 3 3" xfId="27533"/>
    <cellStyle name="Percent 3 5 2 4 4 2" xfId="27534"/>
    <cellStyle name="Percent 3 5 2 4 5" xfId="27535"/>
    <cellStyle name="Percent 3 5 2 5 7" xfId="27536"/>
    <cellStyle name="Percent 3 5 2 5 2 4" xfId="27537"/>
    <cellStyle name="Percent 3 5 2 5 2 2 2" xfId="27538"/>
    <cellStyle name="Percent 3 5 2 5 2 3" xfId="27539"/>
    <cellStyle name="Percent 3 5 2 5 3 4" xfId="27540"/>
    <cellStyle name="Percent 3 5 2 5 3 2 2" xfId="27541"/>
    <cellStyle name="Percent 3 5 2 5 3 3" xfId="27542"/>
    <cellStyle name="Percent 3 5 2 5 4 4" xfId="27543"/>
    <cellStyle name="Percent 3 5 2 5 4 2 2" xfId="27544"/>
    <cellStyle name="Percent 3 5 2 5 4 3" xfId="27545"/>
    <cellStyle name="Percent 3 5 2 5 5 2" xfId="27546"/>
    <cellStyle name="Percent 3 5 2 5 6" xfId="27547"/>
    <cellStyle name="Percent 3 5 2 6 6" xfId="27548"/>
    <cellStyle name="Percent 3 5 2 6 2 4" xfId="27549"/>
    <cellStyle name="Percent 3 5 2 6 2 2 2" xfId="27550"/>
    <cellStyle name="Percent 3 5 2 6 2 3" xfId="27551"/>
    <cellStyle name="Percent 3 5 2 6 3 4" xfId="27552"/>
    <cellStyle name="Percent 3 5 2 6 3 2 2" xfId="27553"/>
    <cellStyle name="Percent 3 5 2 6 3 3" xfId="27554"/>
    <cellStyle name="Percent 3 5 2 6 4 2" xfId="27555"/>
    <cellStyle name="Percent 3 5 2 6 5" xfId="27556"/>
    <cellStyle name="Percent 3 5 2 7 4" xfId="27557"/>
    <cellStyle name="Percent 3 5 2 7 2 2" xfId="27558"/>
    <cellStyle name="Percent 3 5 2 7 3" xfId="27559"/>
    <cellStyle name="Percent 3 5 2 8 4" xfId="27560"/>
    <cellStyle name="Percent 3 5 2 8 2 2" xfId="27561"/>
    <cellStyle name="Percent 3 5 2 8 3" xfId="27562"/>
    <cellStyle name="Percent 3 5 2 9 4" xfId="27563"/>
    <cellStyle name="Percent 3 5 2 9 2 2" xfId="27564"/>
    <cellStyle name="Percent 3 5 2 9 3" xfId="27565"/>
    <cellStyle name="Percent 3 5 20 6" xfId="27566"/>
    <cellStyle name="Percent 3 5 20 2 4" xfId="27567"/>
    <cellStyle name="Percent 3 5 20 2 2 2" xfId="27568"/>
    <cellStyle name="Percent 3 5 20 2 3" xfId="27569"/>
    <cellStyle name="Percent 3 5 20 3 4" xfId="27570"/>
    <cellStyle name="Percent 3 5 20 3 2 2" xfId="27571"/>
    <cellStyle name="Percent 3 5 20 3 3" xfId="27572"/>
    <cellStyle name="Percent 3 5 20 4 2" xfId="27573"/>
    <cellStyle name="Percent 3 5 20 5" xfId="27574"/>
    <cellStyle name="Percent 3 5 21 4" xfId="27575"/>
    <cellStyle name="Percent 3 5 21 2 2" xfId="27576"/>
    <cellStyle name="Percent 3 5 21 3" xfId="27577"/>
    <cellStyle name="Percent 3 5 22 4" xfId="27578"/>
    <cellStyle name="Percent 3 5 22 2 2" xfId="27579"/>
    <cellStyle name="Percent 3 5 22 3" xfId="27580"/>
    <cellStyle name="Percent 3 5 23 4" xfId="27581"/>
    <cellStyle name="Percent 3 5 23 2 2" xfId="27582"/>
    <cellStyle name="Percent 3 5 23 3" xfId="27583"/>
    <cellStyle name="Percent 3 5 24 2" xfId="27584"/>
    <cellStyle name="Percent 3 5 25 2" xfId="27585"/>
    <cellStyle name="Percent 3 5 26 2" xfId="27586"/>
    <cellStyle name="Percent 3 5 27" xfId="27587"/>
    <cellStyle name="Percent 3 5 28" xfId="27588"/>
    <cellStyle name="Percent 3 5 29" xfId="27589"/>
    <cellStyle name="Percent 3 5 3 16" xfId="27590"/>
    <cellStyle name="Percent 3 5 3 10 2" xfId="27591"/>
    <cellStyle name="Percent 3 5 3 11 2" xfId="27592"/>
    <cellStyle name="Percent 3 5 3 12 2" xfId="27593"/>
    <cellStyle name="Percent 3 5 3 13" xfId="27594"/>
    <cellStyle name="Percent 3 5 3 14" xfId="27595"/>
    <cellStyle name="Percent 3 5 3 15" xfId="27596"/>
    <cellStyle name="Percent 3 5 3 2 7" xfId="27597"/>
    <cellStyle name="Percent 3 5 3 2 2 4" xfId="27598"/>
    <cellStyle name="Percent 3 5 3 2 2 2 2" xfId="27599"/>
    <cellStyle name="Percent 3 5 3 2 2 3" xfId="27600"/>
    <cellStyle name="Percent 3 5 3 2 3 4" xfId="27601"/>
    <cellStyle name="Percent 3 5 3 2 3 2 2" xfId="27602"/>
    <cellStyle name="Percent 3 5 3 2 3 3" xfId="27603"/>
    <cellStyle name="Percent 3 5 3 2 4 2" xfId="27604"/>
    <cellStyle name="Percent 3 5 3 2 5 2" xfId="27605"/>
    <cellStyle name="Percent 3 5 3 2 6" xfId="27606"/>
    <cellStyle name="Percent 3 5 3 3 6" xfId="27607"/>
    <cellStyle name="Percent 3 5 3 3 2 4" xfId="27608"/>
    <cellStyle name="Percent 3 5 3 3 2 2 2" xfId="27609"/>
    <cellStyle name="Percent 3 5 3 3 2 3" xfId="27610"/>
    <cellStyle name="Percent 3 5 3 3 3 4" xfId="27611"/>
    <cellStyle name="Percent 3 5 3 3 3 2 2" xfId="27612"/>
    <cellStyle name="Percent 3 5 3 3 3 3" xfId="27613"/>
    <cellStyle name="Percent 3 5 3 3 4 2" xfId="27614"/>
    <cellStyle name="Percent 3 5 3 3 5" xfId="27615"/>
    <cellStyle name="Percent 3 5 3 4 6" xfId="27616"/>
    <cellStyle name="Percent 3 5 3 4 2 4" xfId="27617"/>
    <cellStyle name="Percent 3 5 3 4 2 2 2" xfId="27618"/>
    <cellStyle name="Percent 3 5 3 4 2 3" xfId="27619"/>
    <cellStyle name="Percent 3 5 3 4 3 4" xfId="27620"/>
    <cellStyle name="Percent 3 5 3 4 3 2 2" xfId="27621"/>
    <cellStyle name="Percent 3 5 3 4 3 3" xfId="27622"/>
    <cellStyle name="Percent 3 5 3 4 4 2" xfId="27623"/>
    <cellStyle name="Percent 3 5 3 4 5" xfId="27624"/>
    <cellStyle name="Percent 3 5 3 5 7" xfId="27625"/>
    <cellStyle name="Percent 3 5 3 5 2 4" xfId="27626"/>
    <cellStyle name="Percent 3 5 3 5 2 2 2" xfId="27627"/>
    <cellStyle name="Percent 3 5 3 5 2 3" xfId="27628"/>
    <cellStyle name="Percent 3 5 3 5 3 4" xfId="27629"/>
    <cellStyle name="Percent 3 5 3 5 3 2 2" xfId="27630"/>
    <cellStyle name="Percent 3 5 3 5 3 3" xfId="27631"/>
    <cellStyle name="Percent 3 5 3 5 4 4" xfId="27632"/>
    <cellStyle name="Percent 3 5 3 5 4 2 2" xfId="27633"/>
    <cellStyle name="Percent 3 5 3 5 4 3" xfId="27634"/>
    <cellStyle name="Percent 3 5 3 5 5 2" xfId="27635"/>
    <cellStyle name="Percent 3 5 3 5 6" xfId="27636"/>
    <cellStyle name="Percent 3 5 3 6 6" xfId="27637"/>
    <cellStyle name="Percent 3 5 3 6 2 4" xfId="27638"/>
    <cellStyle name="Percent 3 5 3 6 2 2 2" xfId="27639"/>
    <cellStyle name="Percent 3 5 3 6 2 3" xfId="27640"/>
    <cellStyle name="Percent 3 5 3 6 3 4" xfId="27641"/>
    <cellStyle name="Percent 3 5 3 6 3 2 2" xfId="27642"/>
    <cellStyle name="Percent 3 5 3 6 3 3" xfId="27643"/>
    <cellStyle name="Percent 3 5 3 6 4 2" xfId="27644"/>
    <cellStyle name="Percent 3 5 3 6 5" xfId="27645"/>
    <cellStyle name="Percent 3 5 3 7 4" xfId="27646"/>
    <cellStyle name="Percent 3 5 3 7 2 2" xfId="27647"/>
    <cellStyle name="Percent 3 5 3 7 3" xfId="27648"/>
    <cellStyle name="Percent 3 5 3 8 4" xfId="27649"/>
    <cellStyle name="Percent 3 5 3 8 2 2" xfId="27650"/>
    <cellStyle name="Percent 3 5 3 8 3" xfId="27651"/>
    <cellStyle name="Percent 3 5 3 9 4" xfId="27652"/>
    <cellStyle name="Percent 3 5 3 9 2 2" xfId="27653"/>
    <cellStyle name="Percent 3 5 3 9 3" xfId="27654"/>
    <cellStyle name="Percent 3 5 4 16" xfId="27655"/>
    <cellStyle name="Percent 3 5 4 10 2" xfId="27656"/>
    <cellStyle name="Percent 3 5 4 11 2" xfId="27657"/>
    <cellStyle name="Percent 3 5 4 12 2" xfId="27658"/>
    <cellStyle name="Percent 3 5 4 13" xfId="27659"/>
    <cellStyle name="Percent 3 5 4 14" xfId="27660"/>
    <cellStyle name="Percent 3 5 4 15" xfId="27661"/>
    <cellStyle name="Percent 3 5 4 2 7" xfId="27662"/>
    <cellStyle name="Percent 3 5 4 2 2 4" xfId="27663"/>
    <cellStyle name="Percent 3 5 4 2 2 2 2" xfId="27664"/>
    <cellStyle name="Percent 3 5 4 2 2 3" xfId="27665"/>
    <cellStyle name="Percent 3 5 4 2 3 4" xfId="27666"/>
    <cellStyle name="Percent 3 5 4 2 3 2 2" xfId="27667"/>
    <cellStyle name="Percent 3 5 4 2 3 3" xfId="27668"/>
    <cellStyle name="Percent 3 5 4 2 4 2" xfId="27669"/>
    <cellStyle name="Percent 3 5 4 2 5 2" xfId="27670"/>
    <cellStyle name="Percent 3 5 4 2 6" xfId="27671"/>
    <cellStyle name="Percent 3 5 4 3 6" xfId="27672"/>
    <cellStyle name="Percent 3 5 4 3 2 4" xfId="27673"/>
    <cellStyle name="Percent 3 5 4 3 2 2 2" xfId="27674"/>
    <cellStyle name="Percent 3 5 4 3 2 3" xfId="27675"/>
    <cellStyle name="Percent 3 5 4 3 3 4" xfId="27676"/>
    <cellStyle name="Percent 3 5 4 3 3 2 2" xfId="27677"/>
    <cellStyle name="Percent 3 5 4 3 3 3" xfId="27678"/>
    <cellStyle name="Percent 3 5 4 3 4 2" xfId="27679"/>
    <cellStyle name="Percent 3 5 4 3 5" xfId="27680"/>
    <cellStyle name="Percent 3 5 4 4 6" xfId="27681"/>
    <cellStyle name="Percent 3 5 4 4 2 4" xfId="27682"/>
    <cellStyle name="Percent 3 5 4 4 2 2 2" xfId="27683"/>
    <cellStyle name="Percent 3 5 4 4 2 3" xfId="27684"/>
    <cellStyle name="Percent 3 5 4 4 3 4" xfId="27685"/>
    <cellStyle name="Percent 3 5 4 4 3 2 2" xfId="27686"/>
    <cellStyle name="Percent 3 5 4 4 3 3" xfId="27687"/>
    <cellStyle name="Percent 3 5 4 4 4 2" xfId="27688"/>
    <cellStyle name="Percent 3 5 4 4 5" xfId="27689"/>
    <cellStyle name="Percent 3 5 4 5 7" xfId="27690"/>
    <cellStyle name="Percent 3 5 4 5 2 4" xfId="27691"/>
    <cellStyle name="Percent 3 5 4 5 2 2 2" xfId="27692"/>
    <cellStyle name="Percent 3 5 4 5 2 3" xfId="27693"/>
    <cellStyle name="Percent 3 5 4 5 3 4" xfId="27694"/>
    <cellStyle name="Percent 3 5 4 5 3 2 2" xfId="27695"/>
    <cellStyle name="Percent 3 5 4 5 3 3" xfId="27696"/>
    <cellStyle name="Percent 3 5 4 5 4 4" xfId="27697"/>
    <cellStyle name="Percent 3 5 4 5 4 2 2" xfId="27698"/>
    <cellStyle name="Percent 3 5 4 5 4 3" xfId="27699"/>
    <cellStyle name="Percent 3 5 4 5 5 2" xfId="27700"/>
    <cellStyle name="Percent 3 5 4 5 6" xfId="27701"/>
    <cellStyle name="Percent 3 5 4 6 6" xfId="27702"/>
    <cellStyle name="Percent 3 5 4 6 2 4" xfId="27703"/>
    <cellStyle name="Percent 3 5 4 6 2 2 2" xfId="27704"/>
    <cellStyle name="Percent 3 5 4 6 2 3" xfId="27705"/>
    <cellStyle name="Percent 3 5 4 6 3 4" xfId="27706"/>
    <cellStyle name="Percent 3 5 4 6 3 2 2" xfId="27707"/>
    <cellStyle name="Percent 3 5 4 6 3 3" xfId="27708"/>
    <cellStyle name="Percent 3 5 4 6 4 2" xfId="27709"/>
    <cellStyle name="Percent 3 5 4 6 5" xfId="27710"/>
    <cellStyle name="Percent 3 5 4 7 4" xfId="27711"/>
    <cellStyle name="Percent 3 5 4 7 2 2" xfId="27712"/>
    <cellStyle name="Percent 3 5 4 7 3" xfId="27713"/>
    <cellStyle name="Percent 3 5 4 8 4" xfId="27714"/>
    <cellStyle name="Percent 3 5 4 8 2 2" xfId="27715"/>
    <cellStyle name="Percent 3 5 4 8 3" xfId="27716"/>
    <cellStyle name="Percent 3 5 4 9 4" xfId="27717"/>
    <cellStyle name="Percent 3 5 4 9 2 2" xfId="27718"/>
    <cellStyle name="Percent 3 5 4 9 3" xfId="27719"/>
    <cellStyle name="Percent 3 5 5 16" xfId="27720"/>
    <cellStyle name="Percent 3 5 5 10 2" xfId="27721"/>
    <cellStyle name="Percent 3 5 5 11 2" xfId="27722"/>
    <cellStyle name="Percent 3 5 5 12 2" xfId="27723"/>
    <cellStyle name="Percent 3 5 5 13" xfId="27724"/>
    <cellStyle name="Percent 3 5 5 14" xfId="27725"/>
    <cellStyle name="Percent 3 5 5 15" xfId="27726"/>
    <cellStyle name="Percent 3 5 5 2 7" xfId="27727"/>
    <cellStyle name="Percent 3 5 5 2 2 4" xfId="27728"/>
    <cellStyle name="Percent 3 5 5 2 2 2 2" xfId="27729"/>
    <cellStyle name="Percent 3 5 5 2 2 3" xfId="27730"/>
    <cellStyle name="Percent 3 5 5 2 3 4" xfId="27731"/>
    <cellStyle name="Percent 3 5 5 2 3 2 2" xfId="27732"/>
    <cellStyle name="Percent 3 5 5 2 3 3" xfId="27733"/>
    <cellStyle name="Percent 3 5 5 2 4 2" xfId="27734"/>
    <cellStyle name="Percent 3 5 5 2 5 2" xfId="27735"/>
    <cellStyle name="Percent 3 5 5 2 6" xfId="27736"/>
    <cellStyle name="Percent 3 5 5 3 6" xfId="27737"/>
    <cellStyle name="Percent 3 5 5 3 2 4" xfId="27738"/>
    <cellStyle name="Percent 3 5 5 3 2 2 2" xfId="27739"/>
    <cellStyle name="Percent 3 5 5 3 2 3" xfId="27740"/>
    <cellStyle name="Percent 3 5 5 3 3 4" xfId="27741"/>
    <cellStyle name="Percent 3 5 5 3 3 2 2" xfId="27742"/>
    <cellStyle name="Percent 3 5 5 3 3 3" xfId="27743"/>
    <cellStyle name="Percent 3 5 5 3 4 2" xfId="27744"/>
    <cellStyle name="Percent 3 5 5 3 5" xfId="27745"/>
    <cellStyle name="Percent 3 5 5 4 6" xfId="27746"/>
    <cellStyle name="Percent 3 5 5 4 2 4" xfId="27747"/>
    <cellStyle name="Percent 3 5 5 4 2 2 2" xfId="27748"/>
    <cellStyle name="Percent 3 5 5 4 2 3" xfId="27749"/>
    <cellStyle name="Percent 3 5 5 4 3 4" xfId="27750"/>
    <cellStyle name="Percent 3 5 5 4 3 2 2" xfId="27751"/>
    <cellStyle name="Percent 3 5 5 4 3 3" xfId="27752"/>
    <cellStyle name="Percent 3 5 5 4 4 2" xfId="27753"/>
    <cellStyle name="Percent 3 5 5 4 5" xfId="27754"/>
    <cellStyle name="Percent 3 5 5 5 7" xfId="27755"/>
    <cellStyle name="Percent 3 5 5 5 2 4" xfId="27756"/>
    <cellStyle name="Percent 3 5 5 5 2 2 2" xfId="27757"/>
    <cellStyle name="Percent 3 5 5 5 2 3" xfId="27758"/>
    <cellStyle name="Percent 3 5 5 5 3 4" xfId="27759"/>
    <cellStyle name="Percent 3 5 5 5 3 2 2" xfId="27760"/>
    <cellStyle name="Percent 3 5 5 5 3 3" xfId="27761"/>
    <cellStyle name="Percent 3 5 5 5 4 4" xfId="27762"/>
    <cellStyle name="Percent 3 5 5 5 4 2 2" xfId="27763"/>
    <cellStyle name="Percent 3 5 5 5 4 3" xfId="27764"/>
    <cellStyle name="Percent 3 5 5 5 5 2" xfId="27765"/>
    <cellStyle name="Percent 3 5 5 5 6" xfId="27766"/>
    <cellStyle name="Percent 3 5 5 6 6" xfId="27767"/>
    <cellStyle name="Percent 3 5 5 6 2 4" xfId="27768"/>
    <cellStyle name="Percent 3 5 5 6 2 2 2" xfId="27769"/>
    <cellStyle name="Percent 3 5 5 6 2 3" xfId="27770"/>
    <cellStyle name="Percent 3 5 5 6 3 4" xfId="27771"/>
    <cellStyle name="Percent 3 5 5 6 3 2 2" xfId="27772"/>
    <cellStyle name="Percent 3 5 5 6 3 3" xfId="27773"/>
    <cellStyle name="Percent 3 5 5 6 4 2" xfId="27774"/>
    <cellStyle name="Percent 3 5 5 6 5" xfId="27775"/>
    <cellStyle name="Percent 3 5 5 7 4" xfId="27776"/>
    <cellStyle name="Percent 3 5 5 7 2 2" xfId="27777"/>
    <cellStyle name="Percent 3 5 5 7 3" xfId="27778"/>
    <cellStyle name="Percent 3 5 5 8 4" xfId="27779"/>
    <cellStyle name="Percent 3 5 5 8 2 2" xfId="27780"/>
    <cellStyle name="Percent 3 5 5 8 3" xfId="27781"/>
    <cellStyle name="Percent 3 5 5 9 4" xfId="27782"/>
    <cellStyle name="Percent 3 5 5 9 2 2" xfId="27783"/>
    <cellStyle name="Percent 3 5 5 9 3" xfId="27784"/>
    <cellStyle name="Percent 3 5 6 16" xfId="27785"/>
    <cellStyle name="Percent 3 5 6 10 2" xfId="27786"/>
    <cellStyle name="Percent 3 5 6 11 2" xfId="27787"/>
    <cellStyle name="Percent 3 5 6 12 2" xfId="27788"/>
    <cellStyle name="Percent 3 5 6 13" xfId="27789"/>
    <cellStyle name="Percent 3 5 6 14" xfId="27790"/>
    <cellStyle name="Percent 3 5 6 15" xfId="27791"/>
    <cellStyle name="Percent 3 5 6 2 7" xfId="27792"/>
    <cellStyle name="Percent 3 5 6 2 2 4" xfId="27793"/>
    <cellStyle name="Percent 3 5 6 2 2 2 2" xfId="27794"/>
    <cellStyle name="Percent 3 5 6 2 2 3" xfId="27795"/>
    <cellStyle name="Percent 3 5 6 2 3 4" xfId="27796"/>
    <cellStyle name="Percent 3 5 6 2 3 2 2" xfId="27797"/>
    <cellStyle name="Percent 3 5 6 2 3 3" xfId="27798"/>
    <cellStyle name="Percent 3 5 6 2 4 2" xfId="27799"/>
    <cellStyle name="Percent 3 5 6 2 5 2" xfId="27800"/>
    <cellStyle name="Percent 3 5 6 2 6" xfId="27801"/>
    <cellStyle name="Percent 3 5 6 3 6" xfId="27802"/>
    <cellStyle name="Percent 3 5 6 3 2 4" xfId="27803"/>
    <cellStyle name="Percent 3 5 6 3 2 2 2" xfId="27804"/>
    <cellStyle name="Percent 3 5 6 3 2 3" xfId="27805"/>
    <cellStyle name="Percent 3 5 6 3 3 4" xfId="27806"/>
    <cellStyle name="Percent 3 5 6 3 3 2 2" xfId="27807"/>
    <cellStyle name="Percent 3 5 6 3 3 3" xfId="27808"/>
    <cellStyle name="Percent 3 5 6 3 4 2" xfId="27809"/>
    <cellStyle name="Percent 3 5 6 3 5" xfId="27810"/>
    <cellStyle name="Percent 3 5 6 4 6" xfId="27811"/>
    <cellStyle name="Percent 3 5 6 4 2 4" xfId="27812"/>
    <cellStyle name="Percent 3 5 6 4 2 2 2" xfId="27813"/>
    <cellStyle name="Percent 3 5 6 4 2 3" xfId="27814"/>
    <cellStyle name="Percent 3 5 6 4 3 4" xfId="27815"/>
    <cellStyle name="Percent 3 5 6 4 3 2 2" xfId="27816"/>
    <cellStyle name="Percent 3 5 6 4 3 3" xfId="27817"/>
    <cellStyle name="Percent 3 5 6 4 4 2" xfId="27818"/>
    <cellStyle name="Percent 3 5 6 4 5" xfId="27819"/>
    <cellStyle name="Percent 3 5 6 5 7" xfId="27820"/>
    <cellStyle name="Percent 3 5 6 5 2 4" xfId="27821"/>
    <cellStyle name="Percent 3 5 6 5 2 2 2" xfId="27822"/>
    <cellStyle name="Percent 3 5 6 5 2 3" xfId="27823"/>
    <cellStyle name="Percent 3 5 6 5 3 4" xfId="27824"/>
    <cellStyle name="Percent 3 5 6 5 3 2 2" xfId="27825"/>
    <cellStyle name="Percent 3 5 6 5 3 3" xfId="27826"/>
    <cellStyle name="Percent 3 5 6 5 4 4" xfId="27827"/>
    <cellStyle name="Percent 3 5 6 5 4 2 2" xfId="27828"/>
    <cellStyle name="Percent 3 5 6 5 4 3" xfId="27829"/>
    <cellStyle name="Percent 3 5 6 5 5 2" xfId="27830"/>
    <cellStyle name="Percent 3 5 6 5 6" xfId="27831"/>
    <cellStyle name="Percent 3 5 6 6 6" xfId="27832"/>
    <cellStyle name="Percent 3 5 6 6 2 4" xfId="27833"/>
    <cellStyle name="Percent 3 5 6 6 2 2 2" xfId="27834"/>
    <cellStyle name="Percent 3 5 6 6 2 3" xfId="27835"/>
    <cellStyle name="Percent 3 5 6 6 3 4" xfId="27836"/>
    <cellStyle name="Percent 3 5 6 6 3 2 2" xfId="27837"/>
    <cellStyle name="Percent 3 5 6 6 3 3" xfId="27838"/>
    <cellStyle name="Percent 3 5 6 6 4 2" xfId="27839"/>
    <cellStyle name="Percent 3 5 6 6 5" xfId="27840"/>
    <cellStyle name="Percent 3 5 6 7 4" xfId="27841"/>
    <cellStyle name="Percent 3 5 6 7 2 2" xfId="27842"/>
    <cellStyle name="Percent 3 5 6 7 3" xfId="27843"/>
    <cellStyle name="Percent 3 5 6 8 4" xfId="27844"/>
    <cellStyle name="Percent 3 5 6 8 2 2" xfId="27845"/>
    <cellStyle name="Percent 3 5 6 8 3" xfId="27846"/>
    <cellStyle name="Percent 3 5 6 9 4" xfId="27847"/>
    <cellStyle name="Percent 3 5 6 9 2 2" xfId="27848"/>
    <cellStyle name="Percent 3 5 6 9 3" xfId="27849"/>
    <cellStyle name="Percent 3 5 7 16" xfId="27850"/>
    <cellStyle name="Percent 3 5 7 10 2" xfId="27851"/>
    <cellStyle name="Percent 3 5 7 11 2" xfId="27852"/>
    <cellStyle name="Percent 3 5 7 12 2" xfId="27853"/>
    <cellStyle name="Percent 3 5 7 13" xfId="27854"/>
    <cellStyle name="Percent 3 5 7 14" xfId="27855"/>
    <cellStyle name="Percent 3 5 7 15" xfId="27856"/>
    <cellStyle name="Percent 3 5 7 2 7" xfId="27857"/>
    <cellStyle name="Percent 3 5 7 2 2 4" xfId="27858"/>
    <cellStyle name="Percent 3 5 7 2 2 2 2" xfId="27859"/>
    <cellStyle name="Percent 3 5 7 2 2 3" xfId="27860"/>
    <cellStyle name="Percent 3 5 7 2 3 4" xfId="27861"/>
    <cellStyle name="Percent 3 5 7 2 3 2 2" xfId="27862"/>
    <cellStyle name="Percent 3 5 7 2 3 3" xfId="27863"/>
    <cellStyle name="Percent 3 5 7 2 4 2" xfId="27864"/>
    <cellStyle name="Percent 3 5 7 2 5 2" xfId="27865"/>
    <cellStyle name="Percent 3 5 7 2 6" xfId="27866"/>
    <cellStyle name="Percent 3 5 7 3 6" xfId="27867"/>
    <cellStyle name="Percent 3 5 7 3 2 4" xfId="27868"/>
    <cellStyle name="Percent 3 5 7 3 2 2 2" xfId="27869"/>
    <cellStyle name="Percent 3 5 7 3 2 3" xfId="27870"/>
    <cellStyle name="Percent 3 5 7 3 3 4" xfId="27871"/>
    <cellStyle name="Percent 3 5 7 3 3 2 2" xfId="27872"/>
    <cellStyle name="Percent 3 5 7 3 3 3" xfId="27873"/>
    <cellStyle name="Percent 3 5 7 3 4 2" xfId="27874"/>
    <cellStyle name="Percent 3 5 7 3 5" xfId="27875"/>
    <cellStyle name="Percent 3 5 7 4 6" xfId="27876"/>
    <cellStyle name="Percent 3 5 7 4 2 4" xfId="27877"/>
    <cellStyle name="Percent 3 5 7 4 2 2 2" xfId="27878"/>
    <cellStyle name="Percent 3 5 7 4 2 3" xfId="27879"/>
    <cellStyle name="Percent 3 5 7 4 3 4" xfId="27880"/>
    <cellStyle name="Percent 3 5 7 4 3 2 2" xfId="27881"/>
    <cellStyle name="Percent 3 5 7 4 3 3" xfId="27882"/>
    <cellStyle name="Percent 3 5 7 4 4 2" xfId="27883"/>
    <cellStyle name="Percent 3 5 7 4 5" xfId="27884"/>
    <cellStyle name="Percent 3 5 7 5 7" xfId="27885"/>
    <cellStyle name="Percent 3 5 7 5 2 4" xfId="27886"/>
    <cellStyle name="Percent 3 5 7 5 2 2 2" xfId="27887"/>
    <cellStyle name="Percent 3 5 7 5 2 3" xfId="27888"/>
    <cellStyle name="Percent 3 5 7 5 3 4" xfId="27889"/>
    <cellStyle name="Percent 3 5 7 5 3 2 2" xfId="27890"/>
    <cellStyle name="Percent 3 5 7 5 3 3" xfId="27891"/>
    <cellStyle name="Percent 3 5 7 5 4 4" xfId="27892"/>
    <cellStyle name="Percent 3 5 7 5 4 2 2" xfId="27893"/>
    <cellStyle name="Percent 3 5 7 5 4 3" xfId="27894"/>
    <cellStyle name="Percent 3 5 7 5 5 2" xfId="27895"/>
    <cellStyle name="Percent 3 5 7 5 6" xfId="27896"/>
    <cellStyle name="Percent 3 5 7 6 6" xfId="27897"/>
    <cellStyle name="Percent 3 5 7 6 2 4" xfId="27898"/>
    <cellStyle name="Percent 3 5 7 6 2 2 2" xfId="27899"/>
    <cellStyle name="Percent 3 5 7 6 2 3" xfId="27900"/>
    <cellStyle name="Percent 3 5 7 6 3 4" xfId="27901"/>
    <cellStyle name="Percent 3 5 7 6 3 2 2" xfId="27902"/>
    <cellStyle name="Percent 3 5 7 6 3 3" xfId="27903"/>
    <cellStyle name="Percent 3 5 7 6 4 2" xfId="27904"/>
    <cellStyle name="Percent 3 5 7 6 5" xfId="27905"/>
    <cellStyle name="Percent 3 5 7 7 4" xfId="27906"/>
    <cellStyle name="Percent 3 5 7 7 2 2" xfId="27907"/>
    <cellStyle name="Percent 3 5 7 7 3" xfId="27908"/>
    <cellStyle name="Percent 3 5 7 8 4" xfId="27909"/>
    <cellStyle name="Percent 3 5 7 8 2 2" xfId="27910"/>
    <cellStyle name="Percent 3 5 7 8 3" xfId="27911"/>
    <cellStyle name="Percent 3 5 7 9 4" xfId="27912"/>
    <cellStyle name="Percent 3 5 7 9 2 2" xfId="27913"/>
    <cellStyle name="Percent 3 5 7 9 3" xfId="27914"/>
    <cellStyle name="Percent 3 5 8 16" xfId="27915"/>
    <cellStyle name="Percent 3 5 8 10 2" xfId="27916"/>
    <cellStyle name="Percent 3 5 8 11 2" xfId="27917"/>
    <cellStyle name="Percent 3 5 8 12 2" xfId="27918"/>
    <cellStyle name="Percent 3 5 8 13" xfId="27919"/>
    <cellStyle name="Percent 3 5 8 14" xfId="27920"/>
    <cellStyle name="Percent 3 5 8 15" xfId="27921"/>
    <cellStyle name="Percent 3 5 8 2 7" xfId="27922"/>
    <cellStyle name="Percent 3 5 8 2 2 4" xfId="27923"/>
    <cellStyle name="Percent 3 5 8 2 2 2 2" xfId="27924"/>
    <cellStyle name="Percent 3 5 8 2 2 3" xfId="27925"/>
    <cellStyle name="Percent 3 5 8 2 3 4" xfId="27926"/>
    <cellStyle name="Percent 3 5 8 2 3 2 2" xfId="27927"/>
    <cellStyle name="Percent 3 5 8 2 3 3" xfId="27928"/>
    <cellStyle name="Percent 3 5 8 2 4 2" xfId="27929"/>
    <cellStyle name="Percent 3 5 8 2 5 2" xfId="27930"/>
    <cellStyle name="Percent 3 5 8 2 6" xfId="27931"/>
    <cellStyle name="Percent 3 5 8 3 6" xfId="27932"/>
    <cellStyle name="Percent 3 5 8 3 2 4" xfId="27933"/>
    <cellStyle name="Percent 3 5 8 3 2 2 2" xfId="27934"/>
    <cellStyle name="Percent 3 5 8 3 2 3" xfId="27935"/>
    <cellStyle name="Percent 3 5 8 3 3 4" xfId="27936"/>
    <cellStyle name="Percent 3 5 8 3 3 2 2" xfId="27937"/>
    <cellStyle name="Percent 3 5 8 3 3 3" xfId="27938"/>
    <cellStyle name="Percent 3 5 8 3 4 2" xfId="27939"/>
    <cellStyle name="Percent 3 5 8 3 5" xfId="27940"/>
    <cellStyle name="Percent 3 5 8 4 6" xfId="27941"/>
    <cellStyle name="Percent 3 5 8 4 2 4" xfId="27942"/>
    <cellStyle name="Percent 3 5 8 4 2 2 2" xfId="27943"/>
    <cellStyle name="Percent 3 5 8 4 2 3" xfId="27944"/>
    <cellStyle name="Percent 3 5 8 4 3 4" xfId="27945"/>
    <cellStyle name="Percent 3 5 8 4 3 2 2" xfId="27946"/>
    <cellStyle name="Percent 3 5 8 4 3 3" xfId="27947"/>
    <cellStyle name="Percent 3 5 8 4 4 2" xfId="27948"/>
    <cellStyle name="Percent 3 5 8 4 5" xfId="27949"/>
    <cellStyle name="Percent 3 5 8 5 7" xfId="27950"/>
    <cellStyle name="Percent 3 5 8 5 2 4" xfId="27951"/>
    <cellStyle name="Percent 3 5 8 5 2 2 2" xfId="27952"/>
    <cellStyle name="Percent 3 5 8 5 2 3" xfId="27953"/>
    <cellStyle name="Percent 3 5 8 5 3 4" xfId="27954"/>
    <cellStyle name="Percent 3 5 8 5 3 2 2" xfId="27955"/>
    <cellStyle name="Percent 3 5 8 5 3 3" xfId="27956"/>
    <cellStyle name="Percent 3 5 8 5 4 4" xfId="27957"/>
    <cellStyle name="Percent 3 5 8 5 4 2 2" xfId="27958"/>
    <cellStyle name="Percent 3 5 8 5 4 3" xfId="27959"/>
    <cellStyle name="Percent 3 5 8 5 5 2" xfId="27960"/>
    <cellStyle name="Percent 3 5 8 5 6" xfId="27961"/>
    <cellStyle name="Percent 3 5 8 6 6" xfId="27962"/>
    <cellStyle name="Percent 3 5 8 6 2 4" xfId="27963"/>
    <cellStyle name="Percent 3 5 8 6 2 2 2" xfId="27964"/>
    <cellStyle name="Percent 3 5 8 6 2 3" xfId="27965"/>
    <cellStyle name="Percent 3 5 8 6 3 4" xfId="27966"/>
    <cellStyle name="Percent 3 5 8 6 3 2 2" xfId="27967"/>
    <cellStyle name="Percent 3 5 8 6 3 3" xfId="27968"/>
    <cellStyle name="Percent 3 5 8 6 4 2" xfId="27969"/>
    <cellStyle name="Percent 3 5 8 6 5" xfId="27970"/>
    <cellStyle name="Percent 3 5 8 7 4" xfId="27971"/>
    <cellStyle name="Percent 3 5 8 7 2 2" xfId="27972"/>
    <cellStyle name="Percent 3 5 8 7 3" xfId="27973"/>
    <cellStyle name="Percent 3 5 8 8 4" xfId="27974"/>
    <cellStyle name="Percent 3 5 8 8 2 2" xfId="27975"/>
    <cellStyle name="Percent 3 5 8 8 3" xfId="27976"/>
    <cellStyle name="Percent 3 5 8 9 4" xfId="27977"/>
    <cellStyle name="Percent 3 5 8 9 2 2" xfId="27978"/>
    <cellStyle name="Percent 3 5 8 9 3" xfId="27979"/>
    <cellStyle name="Percent 3 5 9 16" xfId="27980"/>
    <cellStyle name="Percent 3 5 9 10 2" xfId="27981"/>
    <cellStyle name="Percent 3 5 9 11 2" xfId="27982"/>
    <cellStyle name="Percent 3 5 9 12 2" xfId="27983"/>
    <cellStyle name="Percent 3 5 9 13" xfId="27984"/>
    <cellStyle name="Percent 3 5 9 14" xfId="27985"/>
    <cellStyle name="Percent 3 5 9 15" xfId="27986"/>
    <cellStyle name="Percent 3 5 9 2 7" xfId="27987"/>
    <cellStyle name="Percent 3 5 9 2 2 4" xfId="27988"/>
    <cellStyle name="Percent 3 5 9 2 2 2 2" xfId="27989"/>
    <cellStyle name="Percent 3 5 9 2 2 3" xfId="27990"/>
    <cellStyle name="Percent 3 5 9 2 3 4" xfId="27991"/>
    <cellStyle name="Percent 3 5 9 2 3 2 2" xfId="27992"/>
    <cellStyle name="Percent 3 5 9 2 3 3" xfId="27993"/>
    <cellStyle name="Percent 3 5 9 2 4 2" xfId="27994"/>
    <cellStyle name="Percent 3 5 9 2 5 2" xfId="27995"/>
    <cellStyle name="Percent 3 5 9 2 6" xfId="27996"/>
    <cellStyle name="Percent 3 5 9 3 6" xfId="27997"/>
    <cellStyle name="Percent 3 5 9 3 2 4" xfId="27998"/>
    <cellStyle name="Percent 3 5 9 3 2 2 2" xfId="27999"/>
    <cellStyle name="Percent 3 5 9 3 2 3" xfId="28000"/>
    <cellStyle name="Percent 3 5 9 3 3 4" xfId="28001"/>
    <cellStyle name="Percent 3 5 9 3 3 2 2" xfId="28002"/>
    <cellStyle name="Percent 3 5 9 3 3 3" xfId="28003"/>
    <cellStyle name="Percent 3 5 9 3 4 2" xfId="28004"/>
    <cellStyle name="Percent 3 5 9 3 5" xfId="28005"/>
    <cellStyle name="Percent 3 5 9 4 6" xfId="28006"/>
    <cellStyle name="Percent 3 5 9 4 2 4" xfId="28007"/>
    <cellStyle name="Percent 3 5 9 4 2 2 2" xfId="28008"/>
    <cellStyle name="Percent 3 5 9 4 2 3" xfId="28009"/>
    <cellStyle name="Percent 3 5 9 4 3 4" xfId="28010"/>
    <cellStyle name="Percent 3 5 9 4 3 2 2" xfId="28011"/>
    <cellStyle name="Percent 3 5 9 4 3 3" xfId="28012"/>
    <cellStyle name="Percent 3 5 9 4 4 2" xfId="28013"/>
    <cellStyle name="Percent 3 5 9 4 5" xfId="28014"/>
    <cellStyle name="Percent 3 5 9 5 7" xfId="28015"/>
    <cellStyle name="Percent 3 5 9 5 2 4" xfId="28016"/>
    <cellStyle name="Percent 3 5 9 5 2 2 2" xfId="28017"/>
    <cellStyle name="Percent 3 5 9 5 2 3" xfId="28018"/>
    <cellStyle name="Percent 3 5 9 5 3 4" xfId="28019"/>
    <cellStyle name="Percent 3 5 9 5 3 2 2" xfId="28020"/>
    <cellStyle name="Percent 3 5 9 5 3 3" xfId="28021"/>
    <cellStyle name="Percent 3 5 9 5 4 4" xfId="28022"/>
    <cellStyle name="Percent 3 5 9 5 4 2 2" xfId="28023"/>
    <cellStyle name="Percent 3 5 9 5 4 3" xfId="28024"/>
    <cellStyle name="Percent 3 5 9 5 5 2" xfId="28025"/>
    <cellStyle name="Percent 3 5 9 5 6" xfId="28026"/>
    <cellStyle name="Percent 3 5 9 6 6" xfId="28027"/>
    <cellStyle name="Percent 3 5 9 6 2 4" xfId="28028"/>
    <cellStyle name="Percent 3 5 9 6 2 2 2" xfId="28029"/>
    <cellStyle name="Percent 3 5 9 6 2 3" xfId="28030"/>
    <cellStyle name="Percent 3 5 9 6 3 4" xfId="28031"/>
    <cellStyle name="Percent 3 5 9 6 3 2 2" xfId="28032"/>
    <cellStyle name="Percent 3 5 9 6 3 3" xfId="28033"/>
    <cellStyle name="Percent 3 5 9 6 4 2" xfId="28034"/>
    <cellStyle name="Percent 3 5 9 6 5" xfId="28035"/>
    <cellStyle name="Percent 3 5 9 7 4" xfId="28036"/>
    <cellStyle name="Percent 3 5 9 7 2 2" xfId="28037"/>
    <cellStyle name="Percent 3 5 9 7 3" xfId="28038"/>
    <cellStyle name="Percent 3 5 9 8 4" xfId="28039"/>
    <cellStyle name="Percent 3 5 9 8 2 2" xfId="28040"/>
    <cellStyle name="Percent 3 5 9 8 3" xfId="28041"/>
    <cellStyle name="Percent 3 5 9 9 4" xfId="28042"/>
    <cellStyle name="Percent 3 5 9 9 2 2" xfId="28043"/>
    <cellStyle name="Percent 3 5 9 9 3" xfId="28044"/>
    <cellStyle name="Percent 3 6 30" xfId="28045"/>
    <cellStyle name="Percent 3 6 10 16" xfId="28046"/>
    <cellStyle name="Percent 3 6 10 10 2" xfId="28047"/>
    <cellStyle name="Percent 3 6 10 11 2" xfId="28048"/>
    <cellStyle name="Percent 3 6 10 12 2" xfId="28049"/>
    <cellStyle name="Percent 3 6 10 13" xfId="28050"/>
    <cellStyle name="Percent 3 6 10 14" xfId="28051"/>
    <cellStyle name="Percent 3 6 10 15" xfId="28052"/>
    <cellStyle name="Percent 3 6 10 2 7" xfId="28053"/>
    <cellStyle name="Percent 3 6 10 2 2 4" xfId="28054"/>
    <cellStyle name="Percent 3 6 10 2 2 2 2" xfId="28055"/>
    <cellStyle name="Percent 3 6 10 2 2 3" xfId="28056"/>
    <cellStyle name="Percent 3 6 10 2 3 4" xfId="28057"/>
    <cellStyle name="Percent 3 6 10 2 3 2 2" xfId="28058"/>
    <cellStyle name="Percent 3 6 10 2 3 3" xfId="28059"/>
    <cellStyle name="Percent 3 6 10 2 4 2" xfId="28060"/>
    <cellStyle name="Percent 3 6 10 2 5 2" xfId="28061"/>
    <cellStyle name="Percent 3 6 10 2 6" xfId="28062"/>
    <cellStyle name="Percent 3 6 10 3 6" xfId="28063"/>
    <cellStyle name="Percent 3 6 10 3 2 4" xfId="28064"/>
    <cellStyle name="Percent 3 6 10 3 2 2 2" xfId="28065"/>
    <cellStyle name="Percent 3 6 10 3 2 3" xfId="28066"/>
    <cellStyle name="Percent 3 6 10 3 3 4" xfId="28067"/>
    <cellStyle name="Percent 3 6 10 3 3 2 2" xfId="28068"/>
    <cellStyle name="Percent 3 6 10 3 3 3" xfId="28069"/>
    <cellStyle name="Percent 3 6 10 3 4 2" xfId="28070"/>
    <cellStyle name="Percent 3 6 10 3 5" xfId="28071"/>
    <cellStyle name="Percent 3 6 10 4 6" xfId="28072"/>
    <cellStyle name="Percent 3 6 10 4 2 4" xfId="28073"/>
    <cellStyle name="Percent 3 6 10 4 2 2 2" xfId="28074"/>
    <cellStyle name="Percent 3 6 10 4 2 3" xfId="28075"/>
    <cellStyle name="Percent 3 6 10 4 3 4" xfId="28076"/>
    <cellStyle name="Percent 3 6 10 4 3 2 2" xfId="28077"/>
    <cellStyle name="Percent 3 6 10 4 3 3" xfId="28078"/>
    <cellStyle name="Percent 3 6 10 4 4 2" xfId="28079"/>
    <cellStyle name="Percent 3 6 10 4 5" xfId="28080"/>
    <cellStyle name="Percent 3 6 10 5 7" xfId="28081"/>
    <cellStyle name="Percent 3 6 10 5 2 4" xfId="28082"/>
    <cellStyle name="Percent 3 6 10 5 2 2 2" xfId="28083"/>
    <cellStyle name="Percent 3 6 10 5 2 3" xfId="28084"/>
    <cellStyle name="Percent 3 6 10 5 3 4" xfId="28085"/>
    <cellStyle name="Percent 3 6 10 5 3 2 2" xfId="28086"/>
    <cellStyle name="Percent 3 6 10 5 3 3" xfId="28087"/>
    <cellStyle name="Percent 3 6 10 5 4 4" xfId="28088"/>
    <cellStyle name="Percent 3 6 10 5 4 2 2" xfId="28089"/>
    <cellStyle name="Percent 3 6 10 5 4 3" xfId="28090"/>
    <cellStyle name="Percent 3 6 10 5 5 2" xfId="28091"/>
    <cellStyle name="Percent 3 6 10 5 6" xfId="28092"/>
    <cellStyle name="Percent 3 6 10 6 6" xfId="28093"/>
    <cellStyle name="Percent 3 6 10 6 2 4" xfId="28094"/>
    <cellStyle name="Percent 3 6 10 6 2 2 2" xfId="28095"/>
    <cellStyle name="Percent 3 6 10 6 2 3" xfId="28096"/>
    <cellStyle name="Percent 3 6 10 6 3 4" xfId="28097"/>
    <cellStyle name="Percent 3 6 10 6 3 2 2" xfId="28098"/>
    <cellStyle name="Percent 3 6 10 6 3 3" xfId="28099"/>
    <cellStyle name="Percent 3 6 10 6 4 2" xfId="28100"/>
    <cellStyle name="Percent 3 6 10 6 5" xfId="28101"/>
    <cellStyle name="Percent 3 6 10 7 4" xfId="28102"/>
    <cellStyle name="Percent 3 6 10 7 2 2" xfId="28103"/>
    <cellStyle name="Percent 3 6 10 7 3" xfId="28104"/>
    <cellStyle name="Percent 3 6 10 8 4" xfId="28105"/>
    <cellStyle name="Percent 3 6 10 8 2 2" xfId="28106"/>
    <cellStyle name="Percent 3 6 10 8 3" xfId="28107"/>
    <cellStyle name="Percent 3 6 10 9 4" xfId="28108"/>
    <cellStyle name="Percent 3 6 10 9 2 2" xfId="28109"/>
    <cellStyle name="Percent 3 6 10 9 3" xfId="28110"/>
    <cellStyle name="Percent 3 6 11 16" xfId="28111"/>
    <cellStyle name="Percent 3 6 11 10 2" xfId="28112"/>
    <cellStyle name="Percent 3 6 11 11 2" xfId="28113"/>
    <cellStyle name="Percent 3 6 11 12 2" xfId="28114"/>
    <cellStyle name="Percent 3 6 11 13" xfId="28115"/>
    <cellStyle name="Percent 3 6 11 14" xfId="28116"/>
    <cellStyle name="Percent 3 6 11 15" xfId="28117"/>
    <cellStyle name="Percent 3 6 11 2 7" xfId="28118"/>
    <cellStyle name="Percent 3 6 11 2 2 4" xfId="28119"/>
    <cellStyle name="Percent 3 6 11 2 2 2 2" xfId="28120"/>
    <cellStyle name="Percent 3 6 11 2 2 3" xfId="28121"/>
    <cellStyle name="Percent 3 6 11 2 3 4" xfId="28122"/>
    <cellStyle name="Percent 3 6 11 2 3 2 2" xfId="28123"/>
    <cellStyle name="Percent 3 6 11 2 3 3" xfId="28124"/>
    <cellStyle name="Percent 3 6 11 2 4 2" xfId="28125"/>
    <cellStyle name="Percent 3 6 11 2 5 2" xfId="28126"/>
    <cellStyle name="Percent 3 6 11 2 6" xfId="28127"/>
    <cellStyle name="Percent 3 6 11 3 6" xfId="28128"/>
    <cellStyle name="Percent 3 6 11 3 2 4" xfId="28129"/>
    <cellStyle name="Percent 3 6 11 3 2 2 2" xfId="28130"/>
    <cellStyle name="Percent 3 6 11 3 2 3" xfId="28131"/>
    <cellStyle name="Percent 3 6 11 3 3 4" xfId="28132"/>
    <cellStyle name="Percent 3 6 11 3 3 2 2" xfId="28133"/>
    <cellStyle name="Percent 3 6 11 3 3 3" xfId="28134"/>
    <cellStyle name="Percent 3 6 11 3 4 2" xfId="28135"/>
    <cellStyle name="Percent 3 6 11 3 5" xfId="28136"/>
    <cellStyle name="Percent 3 6 11 4 6" xfId="28137"/>
    <cellStyle name="Percent 3 6 11 4 2 4" xfId="28138"/>
    <cellStyle name="Percent 3 6 11 4 2 2 2" xfId="28139"/>
    <cellStyle name="Percent 3 6 11 4 2 3" xfId="28140"/>
    <cellStyle name="Percent 3 6 11 4 3 4" xfId="28141"/>
    <cellStyle name="Percent 3 6 11 4 3 2 2" xfId="28142"/>
    <cellStyle name="Percent 3 6 11 4 3 3" xfId="28143"/>
    <cellStyle name="Percent 3 6 11 4 4 2" xfId="28144"/>
    <cellStyle name="Percent 3 6 11 4 5" xfId="28145"/>
    <cellStyle name="Percent 3 6 11 5 7" xfId="28146"/>
    <cellStyle name="Percent 3 6 11 5 2 4" xfId="28147"/>
    <cellStyle name="Percent 3 6 11 5 2 2 2" xfId="28148"/>
    <cellStyle name="Percent 3 6 11 5 2 3" xfId="28149"/>
    <cellStyle name="Percent 3 6 11 5 3 4" xfId="28150"/>
    <cellStyle name="Percent 3 6 11 5 3 2 2" xfId="28151"/>
    <cellStyle name="Percent 3 6 11 5 3 3" xfId="28152"/>
    <cellStyle name="Percent 3 6 11 5 4 4" xfId="28153"/>
    <cellStyle name="Percent 3 6 11 5 4 2 2" xfId="28154"/>
    <cellStyle name="Percent 3 6 11 5 4 3" xfId="28155"/>
    <cellStyle name="Percent 3 6 11 5 5 2" xfId="28156"/>
    <cellStyle name="Percent 3 6 11 5 6" xfId="28157"/>
    <cellStyle name="Percent 3 6 11 6 6" xfId="28158"/>
    <cellStyle name="Percent 3 6 11 6 2 4" xfId="28159"/>
    <cellStyle name="Percent 3 6 11 6 2 2 2" xfId="28160"/>
    <cellStyle name="Percent 3 6 11 6 2 3" xfId="28161"/>
    <cellStyle name="Percent 3 6 11 6 3 4" xfId="28162"/>
    <cellStyle name="Percent 3 6 11 6 3 2 2" xfId="28163"/>
    <cellStyle name="Percent 3 6 11 6 3 3" xfId="28164"/>
    <cellStyle name="Percent 3 6 11 6 4 2" xfId="28165"/>
    <cellStyle name="Percent 3 6 11 6 5" xfId="28166"/>
    <cellStyle name="Percent 3 6 11 7 4" xfId="28167"/>
    <cellStyle name="Percent 3 6 11 7 2 2" xfId="28168"/>
    <cellStyle name="Percent 3 6 11 7 3" xfId="28169"/>
    <cellStyle name="Percent 3 6 11 8 4" xfId="28170"/>
    <cellStyle name="Percent 3 6 11 8 2 2" xfId="28171"/>
    <cellStyle name="Percent 3 6 11 8 3" xfId="28172"/>
    <cellStyle name="Percent 3 6 11 9 4" xfId="28173"/>
    <cellStyle name="Percent 3 6 11 9 2 2" xfId="28174"/>
    <cellStyle name="Percent 3 6 11 9 3" xfId="28175"/>
    <cellStyle name="Percent 3 6 12 16" xfId="28176"/>
    <cellStyle name="Percent 3 6 12 10 2" xfId="28177"/>
    <cellStyle name="Percent 3 6 12 11 2" xfId="28178"/>
    <cellStyle name="Percent 3 6 12 12 2" xfId="28179"/>
    <cellStyle name="Percent 3 6 12 13" xfId="28180"/>
    <cellStyle name="Percent 3 6 12 14" xfId="28181"/>
    <cellStyle name="Percent 3 6 12 15" xfId="28182"/>
    <cellStyle name="Percent 3 6 12 2 7" xfId="28183"/>
    <cellStyle name="Percent 3 6 12 2 2 4" xfId="28184"/>
    <cellStyle name="Percent 3 6 12 2 2 2 2" xfId="28185"/>
    <cellStyle name="Percent 3 6 12 2 2 3" xfId="28186"/>
    <cellStyle name="Percent 3 6 12 2 3 4" xfId="28187"/>
    <cellStyle name="Percent 3 6 12 2 3 2 2" xfId="28188"/>
    <cellStyle name="Percent 3 6 12 2 3 3" xfId="28189"/>
    <cellStyle name="Percent 3 6 12 2 4 2" xfId="28190"/>
    <cellStyle name="Percent 3 6 12 2 5 2" xfId="28191"/>
    <cellStyle name="Percent 3 6 12 2 6" xfId="28192"/>
    <cellStyle name="Percent 3 6 12 3 6" xfId="28193"/>
    <cellStyle name="Percent 3 6 12 3 2 4" xfId="28194"/>
    <cellStyle name="Percent 3 6 12 3 2 2 2" xfId="28195"/>
    <cellStyle name="Percent 3 6 12 3 2 3" xfId="28196"/>
    <cellStyle name="Percent 3 6 12 3 3 4" xfId="28197"/>
    <cellStyle name="Percent 3 6 12 3 3 2 2" xfId="28198"/>
    <cellStyle name="Percent 3 6 12 3 3 3" xfId="28199"/>
    <cellStyle name="Percent 3 6 12 3 4 2" xfId="28200"/>
    <cellStyle name="Percent 3 6 12 3 5" xfId="28201"/>
    <cellStyle name="Percent 3 6 12 4 6" xfId="28202"/>
    <cellStyle name="Percent 3 6 12 4 2 4" xfId="28203"/>
    <cellStyle name="Percent 3 6 12 4 2 2 2" xfId="28204"/>
    <cellStyle name="Percent 3 6 12 4 2 3" xfId="28205"/>
    <cellStyle name="Percent 3 6 12 4 3 4" xfId="28206"/>
    <cellStyle name="Percent 3 6 12 4 3 2 2" xfId="28207"/>
    <cellStyle name="Percent 3 6 12 4 3 3" xfId="28208"/>
    <cellStyle name="Percent 3 6 12 4 4 2" xfId="28209"/>
    <cellStyle name="Percent 3 6 12 4 5" xfId="28210"/>
    <cellStyle name="Percent 3 6 12 5 7" xfId="28211"/>
    <cellStyle name="Percent 3 6 12 5 2 4" xfId="28212"/>
    <cellStyle name="Percent 3 6 12 5 2 2 2" xfId="28213"/>
    <cellStyle name="Percent 3 6 12 5 2 3" xfId="28214"/>
    <cellStyle name="Percent 3 6 12 5 3 4" xfId="28215"/>
    <cellStyle name="Percent 3 6 12 5 3 2 2" xfId="28216"/>
    <cellStyle name="Percent 3 6 12 5 3 3" xfId="28217"/>
    <cellStyle name="Percent 3 6 12 5 4 4" xfId="28218"/>
    <cellStyle name="Percent 3 6 12 5 4 2 2" xfId="28219"/>
    <cellStyle name="Percent 3 6 12 5 4 3" xfId="28220"/>
    <cellStyle name="Percent 3 6 12 5 5 2" xfId="28221"/>
    <cellStyle name="Percent 3 6 12 5 6" xfId="28222"/>
    <cellStyle name="Percent 3 6 12 6 6" xfId="28223"/>
    <cellStyle name="Percent 3 6 12 6 2 4" xfId="28224"/>
    <cellStyle name="Percent 3 6 12 6 2 2 2" xfId="28225"/>
    <cellStyle name="Percent 3 6 12 6 2 3" xfId="28226"/>
    <cellStyle name="Percent 3 6 12 6 3 4" xfId="28227"/>
    <cellStyle name="Percent 3 6 12 6 3 2 2" xfId="28228"/>
    <cellStyle name="Percent 3 6 12 6 3 3" xfId="28229"/>
    <cellStyle name="Percent 3 6 12 6 4 2" xfId="28230"/>
    <cellStyle name="Percent 3 6 12 6 5" xfId="28231"/>
    <cellStyle name="Percent 3 6 12 7 4" xfId="28232"/>
    <cellStyle name="Percent 3 6 12 7 2 2" xfId="28233"/>
    <cellStyle name="Percent 3 6 12 7 3" xfId="28234"/>
    <cellStyle name="Percent 3 6 12 8 4" xfId="28235"/>
    <cellStyle name="Percent 3 6 12 8 2 2" xfId="28236"/>
    <cellStyle name="Percent 3 6 12 8 3" xfId="28237"/>
    <cellStyle name="Percent 3 6 12 9 4" xfId="28238"/>
    <cellStyle name="Percent 3 6 12 9 2 2" xfId="28239"/>
    <cellStyle name="Percent 3 6 12 9 3" xfId="28240"/>
    <cellStyle name="Percent 3 6 13 16" xfId="28241"/>
    <cellStyle name="Percent 3 6 13 10 2" xfId="28242"/>
    <cellStyle name="Percent 3 6 13 11 2" xfId="28243"/>
    <cellStyle name="Percent 3 6 13 12 2" xfId="28244"/>
    <cellStyle name="Percent 3 6 13 13" xfId="28245"/>
    <cellStyle name="Percent 3 6 13 14" xfId="28246"/>
    <cellStyle name="Percent 3 6 13 15" xfId="28247"/>
    <cellStyle name="Percent 3 6 13 2 7" xfId="28248"/>
    <cellStyle name="Percent 3 6 13 2 2 4" xfId="28249"/>
    <cellStyle name="Percent 3 6 13 2 2 2 2" xfId="28250"/>
    <cellStyle name="Percent 3 6 13 2 2 3" xfId="28251"/>
    <cellStyle name="Percent 3 6 13 2 3 4" xfId="28252"/>
    <cellStyle name="Percent 3 6 13 2 3 2 2" xfId="28253"/>
    <cellStyle name="Percent 3 6 13 2 3 3" xfId="28254"/>
    <cellStyle name="Percent 3 6 13 2 4 2" xfId="28255"/>
    <cellStyle name="Percent 3 6 13 2 5 2" xfId="28256"/>
    <cellStyle name="Percent 3 6 13 2 6" xfId="28257"/>
    <cellStyle name="Percent 3 6 13 3 6" xfId="28258"/>
    <cellStyle name="Percent 3 6 13 3 2 4" xfId="28259"/>
    <cellStyle name="Percent 3 6 13 3 2 2 2" xfId="28260"/>
    <cellStyle name="Percent 3 6 13 3 2 3" xfId="28261"/>
    <cellStyle name="Percent 3 6 13 3 3 4" xfId="28262"/>
    <cellStyle name="Percent 3 6 13 3 3 2 2" xfId="28263"/>
    <cellStyle name="Percent 3 6 13 3 3 3" xfId="28264"/>
    <cellStyle name="Percent 3 6 13 3 4 2" xfId="28265"/>
    <cellStyle name="Percent 3 6 13 3 5" xfId="28266"/>
    <cellStyle name="Percent 3 6 13 4 6" xfId="28267"/>
    <cellStyle name="Percent 3 6 13 4 2 4" xfId="28268"/>
    <cellStyle name="Percent 3 6 13 4 2 2 2" xfId="28269"/>
    <cellStyle name="Percent 3 6 13 4 2 3" xfId="28270"/>
    <cellStyle name="Percent 3 6 13 4 3 4" xfId="28271"/>
    <cellStyle name="Percent 3 6 13 4 3 2 2" xfId="28272"/>
    <cellStyle name="Percent 3 6 13 4 3 3" xfId="28273"/>
    <cellStyle name="Percent 3 6 13 4 4 2" xfId="28274"/>
    <cellStyle name="Percent 3 6 13 4 5" xfId="28275"/>
    <cellStyle name="Percent 3 6 13 5 7" xfId="28276"/>
    <cellStyle name="Percent 3 6 13 5 2 4" xfId="28277"/>
    <cellStyle name="Percent 3 6 13 5 2 2 2" xfId="28278"/>
    <cellStyle name="Percent 3 6 13 5 2 3" xfId="28279"/>
    <cellStyle name="Percent 3 6 13 5 3 4" xfId="28280"/>
    <cellStyle name="Percent 3 6 13 5 3 2 2" xfId="28281"/>
    <cellStyle name="Percent 3 6 13 5 3 3" xfId="28282"/>
    <cellStyle name="Percent 3 6 13 5 4 4" xfId="28283"/>
    <cellStyle name="Percent 3 6 13 5 4 2 2" xfId="28284"/>
    <cellStyle name="Percent 3 6 13 5 4 3" xfId="28285"/>
    <cellStyle name="Percent 3 6 13 5 5 2" xfId="28286"/>
    <cellStyle name="Percent 3 6 13 5 6" xfId="28287"/>
    <cellStyle name="Percent 3 6 13 6 6" xfId="28288"/>
    <cellStyle name="Percent 3 6 13 6 2 4" xfId="28289"/>
    <cellStyle name="Percent 3 6 13 6 2 2 2" xfId="28290"/>
    <cellStyle name="Percent 3 6 13 6 2 3" xfId="28291"/>
    <cellStyle name="Percent 3 6 13 6 3 4" xfId="28292"/>
    <cellStyle name="Percent 3 6 13 6 3 2 2" xfId="28293"/>
    <cellStyle name="Percent 3 6 13 6 3 3" xfId="28294"/>
    <cellStyle name="Percent 3 6 13 6 4 2" xfId="28295"/>
    <cellStyle name="Percent 3 6 13 6 5" xfId="28296"/>
    <cellStyle name="Percent 3 6 13 7 4" xfId="28297"/>
    <cellStyle name="Percent 3 6 13 7 2 2" xfId="28298"/>
    <cellStyle name="Percent 3 6 13 7 3" xfId="28299"/>
    <cellStyle name="Percent 3 6 13 8 4" xfId="28300"/>
    <cellStyle name="Percent 3 6 13 8 2 2" xfId="28301"/>
    <cellStyle name="Percent 3 6 13 8 3" xfId="28302"/>
    <cellStyle name="Percent 3 6 13 9 4" xfId="28303"/>
    <cellStyle name="Percent 3 6 13 9 2 2" xfId="28304"/>
    <cellStyle name="Percent 3 6 13 9 3" xfId="28305"/>
    <cellStyle name="Percent 3 6 14 16" xfId="28306"/>
    <cellStyle name="Percent 3 6 14 10 2" xfId="28307"/>
    <cellStyle name="Percent 3 6 14 11 2" xfId="28308"/>
    <cellStyle name="Percent 3 6 14 12 2" xfId="28309"/>
    <cellStyle name="Percent 3 6 14 13" xfId="28310"/>
    <cellStyle name="Percent 3 6 14 14" xfId="28311"/>
    <cellStyle name="Percent 3 6 14 15" xfId="28312"/>
    <cellStyle name="Percent 3 6 14 2 7" xfId="28313"/>
    <cellStyle name="Percent 3 6 14 2 2 4" xfId="28314"/>
    <cellStyle name="Percent 3 6 14 2 2 2 2" xfId="28315"/>
    <cellStyle name="Percent 3 6 14 2 2 3" xfId="28316"/>
    <cellStyle name="Percent 3 6 14 2 3 4" xfId="28317"/>
    <cellStyle name="Percent 3 6 14 2 3 2 2" xfId="28318"/>
    <cellStyle name="Percent 3 6 14 2 3 3" xfId="28319"/>
    <cellStyle name="Percent 3 6 14 2 4 2" xfId="28320"/>
    <cellStyle name="Percent 3 6 14 2 5 2" xfId="28321"/>
    <cellStyle name="Percent 3 6 14 2 6" xfId="28322"/>
    <cellStyle name="Percent 3 6 14 3 6" xfId="28323"/>
    <cellStyle name="Percent 3 6 14 3 2 4" xfId="28324"/>
    <cellStyle name="Percent 3 6 14 3 2 2 2" xfId="28325"/>
    <cellStyle name="Percent 3 6 14 3 2 3" xfId="28326"/>
    <cellStyle name="Percent 3 6 14 3 3 4" xfId="28327"/>
    <cellStyle name="Percent 3 6 14 3 3 2 2" xfId="28328"/>
    <cellStyle name="Percent 3 6 14 3 3 3" xfId="28329"/>
    <cellStyle name="Percent 3 6 14 3 4 2" xfId="28330"/>
    <cellStyle name="Percent 3 6 14 3 5" xfId="28331"/>
    <cellStyle name="Percent 3 6 14 4 6" xfId="28332"/>
    <cellStyle name="Percent 3 6 14 4 2 4" xfId="28333"/>
    <cellStyle name="Percent 3 6 14 4 2 2 2" xfId="28334"/>
    <cellStyle name="Percent 3 6 14 4 2 3" xfId="28335"/>
    <cellStyle name="Percent 3 6 14 4 3 4" xfId="28336"/>
    <cellStyle name="Percent 3 6 14 4 3 2 2" xfId="28337"/>
    <cellStyle name="Percent 3 6 14 4 3 3" xfId="28338"/>
    <cellStyle name="Percent 3 6 14 4 4 2" xfId="28339"/>
    <cellStyle name="Percent 3 6 14 4 5" xfId="28340"/>
    <cellStyle name="Percent 3 6 14 5 7" xfId="28341"/>
    <cellStyle name="Percent 3 6 14 5 2 4" xfId="28342"/>
    <cellStyle name="Percent 3 6 14 5 2 2 2" xfId="28343"/>
    <cellStyle name="Percent 3 6 14 5 2 3" xfId="28344"/>
    <cellStyle name="Percent 3 6 14 5 3 4" xfId="28345"/>
    <cellStyle name="Percent 3 6 14 5 3 2 2" xfId="28346"/>
    <cellStyle name="Percent 3 6 14 5 3 3" xfId="28347"/>
    <cellStyle name="Percent 3 6 14 5 4 4" xfId="28348"/>
    <cellStyle name="Percent 3 6 14 5 4 2 2" xfId="28349"/>
    <cellStyle name="Percent 3 6 14 5 4 3" xfId="28350"/>
    <cellStyle name="Percent 3 6 14 5 5 2" xfId="28351"/>
    <cellStyle name="Percent 3 6 14 5 6" xfId="28352"/>
    <cellStyle name="Percent 3 6 14 6 6" xfId="28353"/>
    <cellStyle name="Percent 3 6 14 6 2 4" xfId="28354"/>
    <cellStyle name="Percent 3 6 14 6 2 2 2" xfId="28355"/>
    <cellStyle name="Percent 3 6 14 6 2 3" xfId="28356"/>
    <cellStyle name="Percent 3 6 14 6 3 4" xfId="28357"/>
    <cellStyle name="Percent 3 6 14 6 3 2 2" xfId="28358"/>
    <cellStyle name="Percent 3 6 14 6 3 3" xfId="28359"/>
    <cellStyle name="Percent 3 6 14 6 4 2" xfId="28360"/>
    <cellStyle name="Percent 3 6 14 6 5" xfId="28361"/>
    <cellStyle name="Percent 3 6 14 7 4" xfId="28362"/>
    <cellStyle name="Percent 3 6 14 7 2 2" xfId="28363"/>
    <cellStyle name="Percent 3 6 14 7 3" xfId="28364"/>
    <cellStyle name="Percent 3 6 14 8 4" xfId="28365"/>
    <cellStyle name="Percent 3 6 14 8 2 2" xfId="28366"/>
    <cellStyle name="Percent 3 6 14 8 3" xfId="28367"/>
    <cellStyle name="Percent 3 6 14 9 4" xfId="28368"/>
    <cellStyle name="Percent 3 6 14 9 2 2" xfId="28369"/>
    <cellStyle name="Percent 3 6 14 9 3" xfId="28370"/>
    <cellStyle name="Percent 3 6 15 16" xfId="28371"/>
    <cellStyle name="Percent 3 6 15 10 2" xfId="28372"/>
    <cellStyle name="Percent 3 6 15 11 2" xfId="28373"/>
    <cellStyle name="Percent 3 6 15 12 2" xfId="28374"/>
    <cellStyle name="Percent 3 6 15 13" xfId="28375"/>
    <cellStyle name="Percent 3 6 15 14" xfId="28376"/>
    <cellStyle name="Percent 3 6 15 15" xfId="28377"/>
    <cellStyle name="Percent 3 6 15 2 7" xfId="28378"/>
    <cellStyle name="Percent 3 6 15 2 2 4" xfId="28379"/>
    <cellStyle name="Percent 3 6 15 2 2 2 2" xfId="28380"/>
    <cellStyle name="Percent 3 6 15 2 2 3" xfId="28381"/>
    <cellStyle name="Percent 3 6 15 2 3 4" xfId="28382"/>
    <cellStyle name="Percent 3 6 15 2 3 2 2" xfId="28383"/>
    <cellStyle name="Percent 3 6 15 2 3 3" xfId="28384"/>
    <cellStyle name="Percent 3 6 15 2 4 2" xfId="28385"/>
    <cellStyle name="Percent 3 6 15 2 5 2" xfId="28386"/>
    <cellStyle name="Percent 3 6 15 2 6" xfId="28387"/>
    <cellStyle name="Percent 3 6 15 3 6" xfId="28388"/>
    <cellStyle name="Percent 3 6 15 3 2 4" xfId="28389"/>
    <cellStyle name="Percent 3 6 15 3 2 2 2" xfId="28390"/>
    <cellStyle name="Percent 3 6 15 3 2 3" xfId="28391"/>
    <cellStyle name="Percent 3 6 15 3 3 4" xfId="28392"/>
    <cellStyle name="Percent 3 6 15 3 3 2 2" xfId="28393"/>
    <cellStyle name="Percent 3 6 15 3 3 3" xfId="28394"/>
    <cellStyle name="Percent 3 6 15 3 4 2" xfId="28395"/>
    <cellStyle name="Percent 3 6 15 3 5" xfId="28396"/>
    <cellStyle name="Percent 3 6 15 4 6" xfId="28397"/>
    <cellStyle name="Percent 3 6 15 4 2 4" xfId="28398"/>
    <cellStyle name="Percent 3 6 15 4 2 2 2" xfId="28399"/>
    <cellStyle name="Percent 3 6 15 4 2 3" xfId="28400"/>
    <cellStyle name="Percent 3 6 15 4 3 4" xfId="28401"/>
    <cellStyle name="Percent 3 6 15 4 3 2 2" xfId="28402"/>
    <cellStyle name="Percent 3 6 15 4 3 3" xfId="28403"/>
    <cellStyle name="Percent 3 6 15 4 4 2" xfId="28404"/>
    <cellStyle name="Percent 3 6 15 4 5" xfId="28405"/>
    <cellStyle name="Percent 3 6 15 5 7" xfId="28406"/>
    <cellStyle name="Percent 3 6 15 5 2 4" xfId="28407"/>
    <cellStyle name="Percent 3 6 15 5 2 2 2" xfId="28408"/>
    <cellStyle name="Percent 3 6 15 5 2 3" xfId="28409"/>
    <cellStyle name="Percent 3 6 15 5 3 4" xfId="28410"/>
    <cellStyle name="Percent 3 6 15 5 3 2 2" xfId="28411"/>
    <cellStyle name="Percent 3 6 15 5 3 3" xfId="28412"/>
    <cellStyle name="Percent 3 6 15 5 4 4" xfId="28413"/>
    <cellStyle name="Percent 3 6 15 5 4 2 2" xfId="28414"/>
    <cellStyle name="Percent 3 6 15 5 4 3" xfId="28415"/>
    <cellStyle name="Percent 3 6 15 5 5 2" xfId="28416"/>
    <cellStyle name="Percent 3 6 15 5 6" xfId="28417"/>
    <cellStyle name="Percent 3 6 15 6 6" xfId="28418"/>
    <cellStyle name="Percent 3 6 15 6 2 4" xfId="28419"/>
    <cellStyle name="Percent 3 6 15 6 2 2 2" xfId="28420"/>
    <cellStyle name="Percent 3 6 15 6 2 3" xfId="28421"/>
    <cellStyle name="Percent 3 6 15 6 3 4" xfId="28422"/>
    <cellStyle name="Percent 3 6 15 6 3 2 2" xfId="28423"/>
    <cellStyle name="Percent 3 6 15 6 3 3" xfId="28424"/>
    <cellStyle name="Percent 3 6 15 6 4 2" xfId="28425"/>
    <cellStyle name="Percent 3 6 15 6 5" xfId="28426"/>
    <cellStyle name="Percent 3 6 15 7 4" xfId="28427"/>
    <cellStyle name="Percent 3 6 15 7 2 2" xfId="28428"/>
    <cellStyle name="Percent 3 6 15 7 3" xfId="28429"/>
    <cellStyle name="Percent 3 6 15 8 4" xfId="28430"/>
    <cellStyle name="Percent 3 6 15 8 2 2" xfId="28431"/>
    <cellStyle name="Percent 3 6 15 8 3" xfId="28432"/>
    <cellStyle name="Percent 3 6 15 9 4" xfId="28433"/>
    <cellStyle name="Percent 3 6 15 9 2 2" xfId="28434"/>
    <cellStyle name="Percent 3 6 15 9 3" xfId="28435"/>
    <cellStyle name="Percent 3 6 16 7" xfId="28436"/>
    <cellStyle name="Percent 3 6 16 2 4" xfId="28437"/>
    <cellStyle name="Percent 3 6 16 2 2 2" xfId="28438"/>
    <cellStyle name="Percent 3 6 16 2 3" xfId="28439"/>
    <cellStyle name="Percent 3 6 16 3 4" xfId="28440"/>
    <cellStyle name="Percent 3 6 16 3 2 2" xfId="28441"/>
    <cellStyle name="Percent 3 6 16 3 3" xfId="28442"/>
    <cellStyle name="Percent 3 6 16 4 2" xfId="28443"/>
    <cellStyle name="Percent 3 6 16 5 2" xfId="28444"/>
    <cellStyle name="Percent 3 6 16 6" xfId="28445"/>
    <cellStyle name="Percent 3 6 17 6" xfId="28446"/>
    <cellStyle name="Percent 3 6 17 2 4" xfId="28447"/>
    <cellStyle name="Percent 3 6 17 2 2 2" xfId="28448"/>
    <cellStyle name="Percent 3 6 17 2 3" xfId="28449"/>
    <cellStyle name="Percent 3 6 17 3 4" xfId="28450"/>
    <cellStyle name="Percent 3 6 17 3 2 2" xfId="28451"/>
    <cellStyle name="Percent 3 6 17 3 3" xfId="28452"/>
    <cellStyle name="Percent 3 6 17 4 2" xfId="28453"/>
    <cellStyle name="Percent 3 6 17 5" xfId="28454"/>
    <cellStyle name="Percent 3 6 18 6" xfId="28455"/>
    <cellStyle name="Percent 3 6 18 2 4" xfId="28456"/>
    <cellStyle name="Percent 3 6 18 2 2 2" xfId="28457"/>
    <cellStyle name="Percent 3 6 18 2 3" xfId="28458"/>
    <cellStyle name="Percent 3 6 18 3 4" xfId="28459"/>
    <cellStyle name="Percent 3 6 18 3 2 2" xfId="28460"/>
    <cellStyle name="Percent 3 6 18 3 3" xfId="28461"/>
    <cellStyle name="Percent 3 6 18 4 2" xfId="28462"/>
    <cellStyle name="Percent 3 6 18 5" xfId="28463"/>
    <cellStyle name="Percent 3 6 19 7" xfId="28464"/>
    <cellStyle name="Percent 3 6 19 2 4" xfId="28465"/>
    <cellStyle name="Percent 3 6 19 2 2 2" xfId="28466"/>
    <cellStyle name="Percent 3 6 19 2 3" xfId="28467"/>
    <cellStyle name="Percent 3 6 19 3 4" xfId="28468"/>
    <cellStyle name="Percent 3 6 19 3 2 2" xfId="28469"/>
    <cellStyle name="Percent 3 6 19 3 3" xfId="28470"/>
    <cellStyle name="Percent 3 6 19 4 4" xfId="28471"/>
    <cellStyle name="Percent 3 6 19 4 2 2" xfId="28472"/>
    <cellStyle name="Percent 3 6 19 4 3" xfId="28473"/>
    <cellStyle name="Percent 3 6 19 5 2" xfId="28474"/>
    <cellStyle name="Percent 3 6 19 6" xfId="28475"/>
    <cellStyle name="Percent 3 6 2 16" xfId="28476"/>
    <cellStyle name="Percent 3 6 2 10 2" xfId="28477"/>
    <cellStyle name="Percent 3 6 2 11 2" xfId="28478"/>
    <cellStyle name="Percent 3 6 2 12 2" xfId="28479"/>
    <cellStyle name="Percent 3 6 2 13 2" xfId="28480"/>
    <cellStyle name="Percent 3 6 2 14" xfId="28481"/>
    <cellStyle name="Percent 3 6 2 15" xfId="28482"/>
    <cellStyle name="Percent 3 6 2 2 7" xfId="28483"/>
    <cellStyle name="Percent 3 6 2 2 2 4" xfId="28484"/>
    <cellStyle name="Percent 3 6 2 2 2 2 2" xfId="28485"/>
    <cellStyle name="Percent 3 6 2 2 2 3" xfId="28486"/>
    <cellStyle name="Percent 3 6 2 2 3 4" xfId="28487"/>
    <cellStyle name="Percent 3 6 2 2 3 2 2" xfId="28488"/>
    <cellStyle name="Percent 3 6 2 2 3 3" xfId="28489"/>
    <cellStyle name="Percent 3 6 2 2 4 2" xfId="28490"/>
    <cellStyle name="Percent 3 6 2 2 5 2" xfId="28491"/>
    <cellStyle name="Percent 3 6 2 2 6" xfId="28492"/>
    <cellStyle name="Percent 3 6 2 3 6" xfId="28493"/>
    <cellStyle name="Percent 3 6 2 3 2 4" xfId="28494"/>
    <cellStyle name="Percent 3 6 2 3 2 2 2" xfId="28495"/>
    <cellStyle name="Percent 3 6 2 3 2 3" xfId="28496"/>
    <cellStyle name="Percent 3 6 2 3 3 4" xfId="28497"/>
    <cellStyle name="Percent 3 6 2 3 3 2 2" xfId="28498"/>
    <cellStyle name="Percent 3 6 2 3 3 3" xfId="28499"/>
    <cellStyle name="Percent 3 6 2 3 4 2" xfId="28500"/>
    <cellStyle name="Percent 3 6 2 3 5" xfId="28501"/>
    <cellStyle name="Percent 3 6 2 4 6" xfId="28502"/>
    <cellStyle name="Percent 3 6 2 4 2 4" xfId="28503"/>
    <cellStyle name="Percent 3 6 2 4 2 2 2" xfId="28504"/>
    <cellStyle name="Percent 3 6 2 4 2 3" xfId="28505"/>
    <cellStyle name="Percent 3 6 2 4 3 4" xfId="28506"/>
    <cellStyle name="Percent 3 6 2 4 3 2 2" xfId="28507"/>
    <cellStyle name="Percent 3 6 2 4 3 3" xfId="28508"/>
    <cellStyle name="Percent 3 6 2 4 4 2" xfId="28509"/>
    <cellStyle name="Percent 3 6 2 4 5" xfId="28510"/>
    <cellStyle name="Percent 3 6 2 5 7" xfId="28511"/>
    <cellStyle name="Percent 3 6 2 5 2 4" xfId="28512"/>
    <cellStyle name="Percent 3 6 2 5 2 2 2" xfId="28513"/>
    <cellStyle name="Percent 3 6 2 5 2 3" xfId="28514"/>
    <cellStyle name="Percent 3 6 2 5 3 4" xfId="28515"/>
    <cellStyle name="Percent 3 6 2 5 3 2 2" xfId="28516"/>
    <cellStyle name="Percent 3 6 2 5 3 3" xfId="28517"/>
    <cellStyle name="Percent 3 6 2 5 4 4" xfId="28518"/>
    <cellStyle name="Percent 3 6 2 5 4 2 2" xfId="28519"/>
    <cellStyle name="Percent 3 6 2 5 4 3" xfId="28520"/>
    <cellStyle name="Percent 3 6 2 5 5 2" xfId="28521"/>
    <cellStyle name="Percent 3 6 2 5 6" xfId="28522"/>
    <cellStyle name="Percent 3 6 2 6 6" xfId="28523"/>
    <cellStyle name="Percent 3 6 2 6 2 4" xfId="28524"/>
    <cellStyle name="Percent 3 6 2 6 2 2 2" xfId="28525"/>
    <cellStyle name="Percent 3 6 2 6 2 3" xfId="28526"/>
    <cellStyle name="Percent 3 6 2 6 3 4" xfId="28527"/>
    <cellStyle name="Percent 3 6 2 6 3 2 2" xfId="28528"/>
    <cellStyle name="Percent 3 6 2 6 3 3" xfId="28529"/>
    <cellStyle name="Percent 3 6 2 6 4 2" xfId="28530"/>
    <cellStyle name="Percent 3 6 2 6 5" xfId="28531"/>
    <cellStyle name="Percent 3 6 2 7 4" xfId="28532"/>
    <cellStyle name="Percent 3 6 2 7 2 2" xfId="28533"/>
    <cellStyle name="Percent 3 6 2 7 3" xfId="28534"/>
    <cellStyle name="Percent 3 6 2 8 4" xfId="28535"/>
    <cellStyle name="Percent 3 6 2 8 2 2" xfId="28536"/>
    <cellStyle name="Percent 3 6 2 8 3" xfId="28537"/>
    <cellStyle name="Percent 3 6 2 9 4" xfId="28538"/>
    <cellStyle name="Percent 3 6 2 9 2 2" xfId="28539"/>
    <cellStyle name="Percent 3 6 2 9 3" xfId="28540"/>
    <cellStyle name="Percent 3 6 20 6" xfId="28541"/>
    <cellStyle name="Percent 3 6 20 2 4" xfId="28542"/>
    <cellStyle name="Percent 3 6 20 2 2 2" xfId="28543"/>
    <cellStyle name="Percent 3 6 20 2 3" xfId="28544"/>
    <cellStyle name="Percent 3 6 20 3 4" xfId="28545"/>
    <cellStyle name="Percent 3 6 20 3 2 2" xfId="28546"/>
    <cellStyle name="Percent 3 6 20 3 3" xfId="28547"/>
    <cellStyle name="Percent 3 6 20 4 2" xfId="28548"/>
    <cellStyle name="Percent 3 6 20 5" xfId="28549"/>
    <cellStyle name="Percent 3 6 21 4" xfId="28550"/>
    <cellStyle name="Percent 3 6 21 2 2" xfId="28551"/>
    <cellStyle name="Percent 3 6 21 3" xfId="28552"/>
    <cellStyle name="Percent 3 6 22 4" xfId="28553"/>
    <cellStyle name="Percent 3 6 22 2 2" xfId="28554"/>
    <cellStyle name="Percent 3 6 22 3" xfId="28555"/>
    <cellStyle name="Percent 3 6 23 4" xfId="28556"/>
    <cellStyle name="Percent 3 6 23 2 2" xfId="28557"/>
    <cellStyle name="Percent 3 6 23 3" xfId="28558"/>
    <cellStyle name="Percent 3 6 24 2" xfId="28559"/>
    <cellStyle name="Percent 3 6 25 2" xfId="28560"/>
    <cellStyle name="Percent 3 6 26 2" xfId="28561"/>
    <cellStyle name="Percent 3 6 27 2" xfId="28562"/>
    <cellStyle name="Percent 3 6 28" xfId="28563"/>
    <cellStyle name="Percent 3 6 29" xfId="28564"/>
    <cellStyle name="Percent 3 6 3 16" xfId="28565"/>
    <cellStyle name="Percent 3 6 3 10 2" xfId="28566"/>
    <cellStyle name="Percent 3 6 3 11 2" xfId="28567"/>
    <cellStyle name="Percent 3 6 3 12 2" xfId="28568"/>
    <cellStyle name="Percent 3 6 3 13 2" xfId="28569"/>
    <cellStyle name="Percent 3 6 3 14" xfId="28570"/>
    <cellStyle name="Percent 3 6 3 15" xfId="28571"/>
    <cellStyle name="Percent 3 6 3 2 7" xfId="28572"/>
    <cellStyle name="Percent 3 6 3 2 2 4" xfId="28573"/>
    <cellStyle name="Percent 3 6 3 2 2 2 2" xfId="28574"/>
    <cellStyle name="Percent 3 6 3 2 2 3" xfId="28575"/>
    <cellStyle name="Percent 3 6 3 2 3 4" xfId="28576"/>
    <cellStyle name="Percent 3 6 3 2 3 2 2" xfId="28577"/>
    <cellStyle name="Percent 3 6 3 2 3 3" xfId="28578"/>
    <cellStyle name="Percent 3 6 3 2 4 2" xfId="28579"/>
    <cellStyle name="Percent 3 6 3 2 5 2" xfId="28580"/>
    <cellStyle name="Percent 3 6 3 2 6" xfId="28581"/>
    <cellStyle name="Percent 3 6 3 3 6" xfId="28582"/>
    <cellStyle name="Percent 3 6 3 3 2 4" xfId="28583"/>
    <cellStyle name="Percent 3 6 3 3 2 2 2" xfId="28584"/>
    <cellStyle name="Percent 3 6 3 3 2 3" xfId="28585"/>
    <cellStyle name="Percent 3 6 3 3 3 4" xfId="28586"/>
    <cellStyle name="Percent 3 6 3 3 3 2 2" xfId="28587"/>
    <cellStyle name="Percent 3 6 3 3 3 3" xfId="28588"/>
    <cellStyle name="Percent 3 6 3 3 4 2" xfId="28589"/>
    <cellStyle name="Percent 3 6 3 3 5" xfId="28590"/>
    <cellStyle name="Percent 3 6 3 4 6" xfId="28591"/>
    <cellStyle name="Percent 3 6 3 4 2 4" xfId="28592"/>
    <cellStyle name="Percent 3 6 3 4 2 2 2" xfId="28593"/>
    <cellStyle name="Percent 3 6 3 4 2 3" xfId="28594"/>
    <cellStyle name="Percent 3 6 3 4 3 4" xfId="28595"/>
    <cellStyle name="Percent 3 6 3 4 3 2 2" xfId="28596"/>
    <cellStyle name="Percent 3 6 3 4 3 3" xfId="28597"/>
    <cellStyle name="Percent 3 6 3 4 4 2" xfId="28598"/>
    <cellStyle name="Percent 3 6 3 4 5" xfId="28599"/>
    <cellStyle name="Percent 3 6 3 5 7" xfId="28600"/>
    <cellStyle name="Percent 3 6 3 5 2 4" xfId="28601"/>
    <cellStyle name="Percent 3 6 3 5 2 2 2" xfId="28602"/>
    <cellStyle name="Percent 3 6 3 5 2 3" xfId="28603"/>
    <cellStyle name="Percent 3 6 3 5 3 4" xfId="28604"/>
    <cellStyle name="Percent 3 6 3 5 3 2 2" xfId="28605"/>
    <cellStyle name="Percent 3 6 3 5 3 3" xfId="28606"/>
    <cellStyle name="Percent 3 6 3 5 4 4" xfId="28607"/>
    <cellStyle name="Percent 3 6 3 5 4 2 2" xfId="28608"/>
    <cellStyle name="Percent 3 6 3 5 4 3" xfId="28609"/>
    <cellStyle name="Percent 3 6 3 5 5 2" xfId="28610"/>
    <cellStyle name="Percent 3 6 3 5 6" xfId="28611"/>
    <cellStyle name="Percent 3 6 3 6 6" xfId="28612"/>
    <cellStyle name="Percent 3 6 3 6 2 4" xfId="28613"/>
    <cellStyle name="Percent 3 6 3 6 2 2 2" xfId="28614"/>
    <cellStyle name="Percent 3 6 3 6 2 3" xfId="28615"/>
    <cellStyle name="Percent 3 6 3 6 3 4" xfId="28616"/>
    <cellStyle name="Percent 3 6 3 6 3 2 2" xfId="28617"/>
    <cellStyle name="Percent 3 6 3 6 3 3" xfId="28618"/>
    <cellStyle name="Percent 3 6 3 6 4 2" xfId="28619"/>
    <cellStyle name="Percent 3 6 3 6 5" xfId="28620"/>
    <cellStyle name="Percent 3 6 3 7 4" xfId="28621"/>
    <cellStyle name="Percent 3 6 3 7 2 2" xfId="28622"/>
    <cellStyle name="Percent 3 6 3 7 3" xfId="28623"/>
    <cellStyle name="Percent 3 6 3 8 4" xfId="28624"/>
    <cellStyle name="Percent 3 6 3 8 2 2" xfId="28625"/>
    <cellStyle name="Percent 3 6 3 8 3" xfId="28626"/>
    <cellStyle name="Percent 3 6 3 9 4" xfId="28627"/>
    <cellStyle name="Percent 3 6 3 9 2 2" xfId="28628"/>
    <cellStyle name="Percent 3 6 3 9 3" xfId="28629"/>
    <cellStyle name="Percent 3 6 4 16" xfId="28630"/>
    <cellStyle name="Percent 3 6 4 10 2" xfId="28631"/>
    <cellStyle name="Percent 3 6 4 11 2" xfId="28632"/>
    <cellStyle name="Percent 3 6 4 12 2" xfId="28633"/>
    <cellStyle name="Percent 3 6 4 13" xfId="28634"/>
    <cellStyle name="Percent 3 6 4 14" xfId="28635"/>
    <cellStyle name="Percent 3 6 4 15" xfId="28636"/>
    <cellStyle name="Percent 3 6 4 2 7" xfId="28637"/>
    <cellStyle name="Percent 3 6 4 2 2 4" xfId="28638"/>
    <cellStyle name="Percent 3 6 4 2 2 2 2" xfId="28639"/>
    <cellStyle name="Percent 3 6 4 2 2 3" xfId="28640"/>
    <cellStyle name="Percent 3 6 4 2 3 4" xfId="28641"/>
    <cellStyle name="Percent 3 6 4 2 3 2 2" xfId="28642"/>
    <cellStyle name="Percent 3 6 4 2 3 3" xfId="28643"/>
    <cellStyle name="Percent 3 6 4 2 4 2" xfId="28644"/>
    <cellStyle name="Percent 3 6 4 2 5 2" xfId="28645"/>
    <cellStyle name="Percent 3 6 4 2 6" xfId="28646"/>
    <cellStyle name="Percent 3 6 4 3 6" xfId="28647"/>
    <cellStyle name="Percent 3 6 4 3 2 4" xfId="28648"/>
    <cellStyle name="Percent 3 6 4 3 2 2 2" xfId="28649"/>
    <cellStyle name="Percent 3 6 4 3 2 3" xfId="28650"/>
    <cellStyle name="Percent 3 6 4 3 3 4" xfId="28651"/>
    <cellStyle name="Percent 3 6 4 3 3 2 2" xfId="28652"/>
    <cellStyle name="Percent 3 6 4 3 3 3" xfId="28653"/>
    <cellStyle name="Percent 3 6 4 3 4 2" xfId="28654"/>
    <cellStyle name="Percent 3 6 4 3 5" xfId="28655"/>
    <cellStyle name="Percent 3 6 4 4 6" xfId="28656"/>
    <cellStyle name="Percent 3 6 4 4 2 4" xfId="28657"/>
    <cellStyle name="Percent 3 6 4 4 2 2 2" xfId="28658"/>
    <cellStyle name="Percent 3 6 4 4 2 3" xfId="28659"/>
    <cellStyle name="Percent 3 6 4 4 3 4" xfId="28660"/>
    <cellStyle name="Percent 3 6 4 4 3 2 2" xfId="28661"/>
    <cellStyle name="Percent 3 6 4 4 3 3" xfId="28662"/>
    <cellStyle name="Percent 3 6 4 4 4 2" xfId="28663"/>
    <cellStyle name="Percent 3 6 4 4 5" xfId="28664"/>
    <cellStyle name="Percent 3 6 4 5 7" xfId="28665"/>
    <cellStyle name="Percent 3 6 4 5 2 4" xfId="28666"/>
    <cellStyle name="Percent 3 6 4 5 2 2 2" xfId="28667"/>
    <cellStyle name="Percent 3 6 4 5 2 3" xfId="28668"/>
    <cellStyle name="Percent 3 6 4 5 3 4" xfId="28669"/>
    <cellStyle name="Percent 3 6 4 5 3 2 2" xfId="28670"/>
    <cellStyle name="Percent 3 6 4 5 3 3" xfId="28671"/>
    <cellStyle name="Percent 3 6 4 5 4 4" xfId="28672"/>
    <cellStyle name="Percent 3 6 4 5 4 2 2" xfId="28673"/>
    <cellStyle name="Percent 3 6 4 5 4 3" xfId="28674"/>
    <cellStyle name="Percent 3 6 4 5 5 2" xfId="28675"/>
    <cellStyle name="Percent 3 6 4 5 6" xfId="28676"/>
    <cellStyle name="Percent 3 6 4 6 6" xfId="28677"/>
    <cellStyle name="Percent 3 6 4 6 2 4" xfId="28678"/>
    <cellStyle name="Percent 3 6 4 6 2 2 2" xfId="28679"/>
    <cellStyle name="Percent 3 6 4 6 2 3" xfId="28680"/>
    <cellStyle name="Percent 3 6 4 6 3 4" xfId="28681"/>
    <cellStyle name="Percent 3 6 4 6 3 2 2" xfId="28682"/>
    <cellStyle name="Percent 3 6 4 6 3 3" xfId="28683"/>
    <cellStyle name="Percent 3 6 4 6 4 2" xfId="28684"/>
    <cellStyle name="Percent 3 6 4 6 5" xfId="28685"/>
    <cellStyle name="Percent 3 6 4 7 4" xfId="28686"/>
    <cellStyle name="Percent 3 6 4 7 2 2" xfId="28687"/>
    <cellStyle name="Percent 3 6 4 7 3" xfId="28688"/>
    <cellStyle name="Percent 3 6 4 8 4" xfId="28689"/>
    <cellStyle name="Percent 3 6 4 8 2 2" xfId="28690"/>
    <cellStyle name="Percent 3 6 4 8 3" xfId="28691"/>
    <cellStyle name="Percent 3 6 4 9 4" xfId="28692"/>
    <cellStyle name="Percent 3 6 4 9 2 2" xfId="28693"/>
    <cellStyle name="Percent 3 6 4 9 3" xfId="28694"/>
    <cellStyle name="Percent 3 6 5 16" xfId="28695"/>
    <cellStyle name="Percent 3 6 5 10 2" xfId="28696"/>
    <cellStyle name="Percent 3 6 5 11 2" xfId="28697"/>
    <cellStyle name="Percent 3 6 5 12 2" xfId="28698"/>
    <cellStyle name="Percent 3 6 5 13" xfId="28699"/>
    <cellStyle name="Percent 3 6 5 14" xfId="28700"/>
    <cellStyle name="Percent 3 6 5 15" xfId="28701"/>
    <cellStyle name="Percent 3 6 5 2 7" xfId="28702"/>
    <cellStyle name="Percent 3 6 5 2 2 4" xfId="28703"/>
    <cellStyle name="Percent 3 6 5 2 2 2 2" xfId="28704"/>
    <cellStyle name="Percent 3 6 5 2 2 3" xfId="28705"/>
    <cellStyle name="Percent 3 6 5 2 3 4" xfId="28706"/>
    <cellStyle name="Percent 3 6 5 2 3 2 2" xfId="28707"/>
    <cellStyle name="Percent 3 6 5 2 3 3" xfId="28708"/>
    <cellStyle name="Percent 3 6 5 2 4 2" xfId="28709"/>
    <cellStyle name="Percent 3 6 5 2 5 2" xfId="28710"/>
    <cellStyle name="Percent 3 6 5 2 6" xfId="28711"/>
    <cellStyle name="Percent 3 6 5 3 6" xfId="28712"/>
    <cellStyle name="Percent 3 6 5 3 2 4" xfId="28713"/>
    <cellStyle name="Percent 3 6 5 3 2 2 2" xfId="28714"/>
    <cellStyle name="Percent 3 6 5 3 2 3" xfId="28715"/>
    <cellStyle name="Percent 3 6 5 3 3 4" xfId="28716"/>
    <cellStyle name="Percent 3 6 5 3 3 2 2" xfId="28717"/>
    <cellStyle name="Percent 3 6 5 3 3 3" xfId="28718"/>
    <cellStyle name="Percent 3 6 5 3 4 2" xfId="28719"/>
    <cellStyle name="Percent 3 6 5 3 5" xfId="28720"/>
    <cellStyle name="Percent 3 6 5 4 6" xfId="28721"/>
    <cellStyle name="Percent 3 6 5 4 2 4" xfId="28722"/>
    <cellStyle name="Percent 3 6 5 4 2 2 2" xfId="28723"/>
    <cellStyle name="Percent 3 6 5 4 2 3" xfId="28724"/>
    <cellStyle name="Percent 3 6 5 4 3 4" xfId="28725"/>
    <cellStyle name="Percent 3 6 5 4 3 2 2" xfId="28726"/>
    <cellStyle name="Percent 3 6 5 4 3 3" xfId="28727"/>
    <cellStyle name="Percent 3 6 5 4 4 2" xfId="28728"/>
    <cellStyle name="Percent 3 6 5 4 5" xfId="28729"/>
    <cellStyle name="Percent 3 6 5 5 7" xfId="28730"/>
    <cellStyle name="Percent 3 6 5 5 2 4" xfId="28731"/>
    <cellStyle name="Percent 3 6 5 5 2 2 2" xfId="28732"/>
    <cellStyle name="Percent 3 6 5 5 2 3" xfId="28733"/>
    <cellStyle name="Percent 3 6 5 5 3 4" xfId="28734"/>
    <cellStyle name="Percent 3 6 5 5 3 2 2" xfId="28735"/>
    <cellStyle name="Percent 3 6 5 5 3 3" xfId="28736"/>
    <cellStyle name="Percent 3 6 5 5 4 4" xfId="28737"/>
    <cellStyle name="Percent 3 6 5 5 4 2 2" xfId="28738"/>
    <cellStyle name="Percent 3 6 5 5 4 3" xfId="28739"/>
    <cellStyle name="Percent 3 6 5 5 5 2" xfId="28740"/>
    <cellStyle name="Percent 3 6 5 5 6" xfId="28741"/>
    <cellStyle name="Percent 3 6 5 6 6" xfId="28742"/>
    <cellStyle name="Percent 3 6 5 6 2 4" xfId="28743"/>
    <cellStyle name="Percent 3 6 5 6 2 2 2" xfId="28744"/>
    <cellStyle name="Percent 3 6 5 6 2 3" xfId="28745"/>
    <cellStyle name="Percent 3 6 5 6 3 4" xfId="28746"/>
    <cellStyle name="Percent 3 6 5 6 3 2 2" xfId="28747"/>
    <cellStyle name="Percent 3 6 5 6 3 3" xfId="28748"/>
    <cellStyle name="Percent 3 6 5 6 4 2" xfId="28749"/>
    <cellStyle name="Percent 3 6 5 6 5" xfId="28750"/>
    <cellStyle name="Percent 3 6 5 7 4" xfId="28751"/>
    <cellStyle name="Percent 3 6 5 7 2 2" xfId="28752"/>
    <cellStyle name="Percent 3 6 5 7 3" xfId="28753"/>
    <cellStyle name="Percent 3 6 5 8 4" xfId="28754"/>
    <cellStyle name="Percent 3 6 5 8 2 2" xfId="28755"/>
    <cellStyle name="Percent 3 6 5 8 3" xfId="28756"/>
    <cellStyle name="Percent 3 6 5 9 4" xfId="28757"/>
    <cellStyle name="Percent 3 6 5 9 2 2" xfId="28758"/>
    <cellStyle name="Percent 3 6 5 9 3" xfId="28759"/>
    <cellStyle name="Percent 3 6 6 16" xfId="28760"/>
    <cellStyle name="Percent 3 6 6 10 2" xfId="28761"/>
    <cellStyle name="Percent 3 6 6 11 2" xfId="28762"/>
    <cellStyle name="Percent 3 6 6 12 2" xfId="28763"/>
    <cellStyle name="Percent 3 6 6 13" xfId="28764"/>
    <cellStyle name="Percent 3 6 6 14" xfId="28765"/>
    <cellStyle name="Percent 3 6 6 15" xfId="28766"/>
    <cellStyle name="Percent 3 6 6 2 7" xfId="28767"/>
    <cellStyle name="Percent 3 6 6 2 2 4" xfId="28768"/>
    <cellStyle name="Percent 3 6 6 2 2 2 2" xfId="28769"/>
    <cellStyle name="Percent 3 6 6 2 2 3" xfId="28770"/>
    <cellStyle name="Percent 3 6 6 2 3 4" xfId="28771"/>
    <cellStyle name="Percent 3 6 6 2 3 2 2" xfId="28772"/>
    <cellStyle name="Percent 3 6 6 2 3 3" xfId="28773"/>
    <cellStyle name="Percent 3 6 6 2 4 2" xfId="28774"/>
    <cellStyle name="Percent 3 6 6 2 5 2" xfId="28775"/>
    <cellStyle name="Percent 3 6 6 2 6" xfId="28776"/>
    <cellStyle name="Percent 3 6 6 3 6" xfId="28777"/>
    <cellStyle name="Percent 3 6 6 3 2 4" xfId="28778"/>
    <cellStyle name="Percent 3 6 6 3 2 2 2" xfId="28779"/>
    <cellStyle name="Percent 3 6 6 3 2 3" xfId="28780"/>
    <cellStyle name="Percent 3 6 6 3 3 4" xfId="28781"/>
    <cellStyle name="Percent 3 6 6 3 3 2 2" xfId="28782"/>
    <cellStyle name="Percent 3 6 6 3 3 3" xfId="28783"/>
    <cellStyle name="Percent 3 6 6 3 4 2" xfId="28784"/>
    <cellStyle name="Percent 3 6 6 3 5" xfId="28785"/>
    <cellStyle name="Percent 3 6 6 4 6" xfId="28786"/>
    <cellStyle name="Percent 3 6 6 4 2 4" xfId="28787"/>
    <cellStyle name="Percent 3 6 6 4 2 2 2" xfId="28788"/>
    <cellStyle name="Percent 3 6 6 4 2 3" xfId="28789"/>
    <cellStyle name="Percent 3 6 6 4 3 4" xfId="28790"/>
    <cellStyle name="Percent 3 6 6 4 3 2 2" xfId="28791"/>
    <cellStyle name="Percent 3 6 6 4 3 3" xfId="28792"/>
    <cellStyle name="Percent 3 6 6 4 4 2" xfId="28793"/>
    <cellStyle name="Percent 3 6 6 4 5" xfId="28794"/>
    <cellStyle name="Percent 3 6 6 5 7" xfId="28795"/>
    <cellStyle name="Percent 3 6 6 5 2 4" xfId="28796"/>
    <cellStyle name="Percent 3 6 6 5 2 2 2" xfId="28797"/>
    <cellStyle name="Percent 3 6 6 5 2 3" xfId="28798"/>
    <cellStyle name="Percent 3 6 6 5 3 4" xfId="28799"/>
    <cellStyle name="Percent 3 6 6 5 3 2 2" xfId="28800"/>
    <cellStyle name="Percent 3 6 6 5 3 3" xfId="28801"/>
    <cellStyle name="Percent 3 6 6 5 4 4" xfId="28802"/>
    <cellStyle name="Percent 3 6 6 5 4 2 2" xfId="28803"/>
    <cellStyle name="Percent 3 6 6 5 4 3" xfId="28804"/>
    <cellStyle name="Percent 3 6 6 5 5 2" xfId="28805"/>
    <cellStyle name="Percent 3 6 6 5 6" xfId="28806"/>
    <cellStyle name="Percent 3 6 6 6 6" xfId="28807"/>
    <cellStyle name="Percent 3 6 6 6 2 4" xfId="28808"/>
    <cellStyle name="Percent 3 6 6 6 2 2 2" xfId="28809"/>
    <cellStyle name="Percent 3 6 6 6 2 3" xfId="28810"/>
    <cellStyle name="Percent 3 6 6 6 3 4" xfId="28811"/>
    <cellStyle name="Percent 3 6 6 6 3 2 2" xfId="28812"/>
    <cellStyle name="Percent 3 6 6 6 3 3" xfId="28813"/>
    <cellStyle name="Percent 3 6 6 6 4 2" xfId="28814"/>
    <cellStyle name="Percent 3 6 6 6 5" xfId="28815"/>
    <cellStyle name="Percent 3 6 6 7 4" xfId="28816"/>
    <cellStyle name="Percent 3 6 6 7 2 2" xfId="28817"/>
    <cellStyle name="Percent 3 6 6 7 3" xfId="28818"/>
    <cellStyle name="Percent 3 6 6 8 4" xfId="28819"/>
    <cellStyle name="Percent 3 6 6 8 2 2" xfId="28820"/>
    <cellStyle name="Percent 3 6 6 8 3" xfId="28821"/>
    <cellStyle name="Percent 3 6 6 9 4" xfId="28822"/>
    <cellStyle name="Percent 3 6 6 9 2 2" xfId="28823"/>
    <cellStyle name="Percent 3 6 6 9 3" xfId="28824"/>
    <cellStyle name="Percent 3 6 7 16" xfId="28825"/>
    <cellStyle name="Percent 3 6 7 10 2" xfId="28826"/>
    <cellStyle name="Percent 3 6 7 11 2" xfId="28827"/>
    <cellStyle name="Percent 3 6 7 12 2" xfId="28828"/>
    <cellStyle name="Percent 3 6 7 13" xfId="28829"/>
    <cellStyle name="Percent 3 6 7 14" xfId="28830"/>
    <cellStyle name="Percent 3 6 7 15" xfId="28831"/>
    <cellStyle name="Percent 3 6 7 2 7" xfId="28832"/>
    <cellStyle name="Percent 3 6 7 2 2 4" xfId="28833"/>
    <cellStyle name="Percent 3 6 7 2 2 2 2" xfId="28834"/>
    <cellStyle name="Percent 3 6 7 2 2 3" xfId="28835"/>
    <cellStyle name="Percent 3 6 7 2 3 4" xfId="28836"/>
    <cellStyle name="Percent 3 6 7 2 3 2 2" xfId="28837"/>
    <cellStyle name="Percent 3 6 7 2 3 3" xfId="28838"/>
    <cellStyle name="Percent 3 6 7 2 4 2" xfId="28839"/>
    <cellStyle name="Percent 3 6 7 2 5 2" xfId="28840"/>
    <cellStyle name="Percent 3 6 7 2 6" xfId="28841"/>
    <cellStyle name="Percent 3 6 7 3 6" xfId="28842"/>
    <cellStyle name="Percent 3 6 7 3 2 4" xfId="28843"/>
    <cellStyle name="Percent 3 6 7 3 2 2 2" xfId="28844"/>
    <cellStyle name="Percent 3 6 7 3 2 3" xfId="28845"/>
    <cellStyle name="Percent 3 6 7 3 3 4" xfId="28846"/>
    <cellStyle name="Percent 3 6 7 3 3 2 2" xfId="28847"/>
    <cellStyle name="Percent 3 6 7 3 3 3" xfId="28848"/>
    <cellStyle name="Percent 3 6 7 3 4 2" xfId="28849"/>
    <cellStyle name="Percent 3 6 7 3 5" xfId="28850"/>
    <cellStyle name="Percent 3 6 7 4 6" xfId="28851"/>
    <cellStyle name="Percent 3 6 7 4 2 4" xfId="28852"/>
    <cellStyle name="Percent 3 6 7 4 2 2 2" xfId="28853"/>
    <cellStyle name="Percent 3 6 7 4 2 3" xfId="28854"/>
    <cellStyle name="Percent 3 6 7 4 3 4" xfId="28855"/>
    <cellStyle name="Percent 3 6 7 4 3 2 2" xfId="28856"/>
    <cellStyle name="Percent 3 6 7 4 3 3" xfId="28857"/>
    <cellStyle name="Percent 3 6 7 4 4 2" xfId="28858"/>
    <cellStyle name="Percent 3 6 7 4 5" xfId="28859"/>
    <cellStyle name="Percent 3 6 7 5 7" xfId="28860"/>
    <cellStyle name="Percent 3 6 7 5 2 4" xfId="28861"/>
    <cellStyle name="Percent 3 6 7 5 2 2 2" xfId="28862"/>
    <cellStyle name="Percent 3 6 7 5 2 3" xfId="28863"/>
    <cellStyle name="Percent 3 6 7 5 3 4" xfId="28864"/>
    <cellStyle name="Percent 3 6 7 5 3 2 2" xfId="28865"/>
    <cellStyle name="Percent 3 6 7 5 3 3" xfId="28866"/>
    <cellStyle name="Percent 3 6 7 5 4 4" xfId="28867"/>
    <cellStyle name="Percent 3 6 7 5 4 2 2" xfId="28868"/>
    <cellStyle name="Percent 3 6 7 5 4 3" xfId="28869"/>
    <cellStyle name="Percent 3 6 7 5 5 2" xfId="28870"/>
    <cellStyle name="Percent 3 6 7 5 6" xfId="28871"/>
    <cellStyle name="Percent 3 6 7 6 6" xfId="28872"/>
    <cellStyle name="Percent 3 6 7 6 2 4" xfId="28873"/>
    <cellStyle name="Percent 3 6 7 6 2 2 2" xfId="28874"/>
    <cellStyle name="Percent 3 6 7 6 2 3" xfId="28875"/>
    <cellStyle name="Percent 3 6 7 6 3 4" xfId="28876"/>
    <cellStyle name="Percent 3 6 7 6 3 2 2" xfId="28877"/>
    <cellStyle name="Percent 3 6 7 6 3 3" xfId="28878"/>
    <cellStyle name="Percent 3 6 7 6 4 2" xfId="28879"/>
    <cellStyle name="Percent 3 6 7 6 5" xfId="28880"/>
    <cellStyle name="Percent 3 6 7 7 4" xfId="28881"/>
    <cellStyle name="Percent 3 6 7 7 2 2" xfId="28882"/>
    <cellStyle name="Percent 3 6 7 7 3" xfId="28883"/>
    <cellStyle name="Percent 3 6 7 8 4" xfId="28884"/>
    <cellStyle name="Percent 3 6 7 8 2 2" xfId="28885"/>
    <cellStyle name="Percent 3 6 7 8 3" xfId="28886"/>
    <cellStyle name="Percent 3 6 7 9 4" xfId="28887"/>
    <cellStyle name="Percent 3 6 7 9 2 2" xfId="28888"/>
    <cellStyle name="Percent 3 6 7 9 3" xfId="28889"/>
    <cellStyle name="Percent 3 6 8 16" xfId="28890"/>
    <cellStyle name="Percent 3 6 8 10 2" xfId="28891"/>
    <cellStyle name="Percent 3 6 8 11 2" xfId="28892"/>
    <cellStyle name="Percent 3 6 8 12 2" xfId="28893"/>
    <cellStyle name="Percent 3 6 8 13" xfId="28894"/>
    <cellStyle name="Percent 3 6 8 14" xfId="28895"/>
    <cellStyle name="Percent 3 6 8 15" xfId="28896"/>
    <cellStyle name="Percent 3 6 8 2 7" xfId="28897"/>
    <cellStyle name="Percent 3 6 8 2 2 4" xfId="28898"/>
    <cellStyle name="Percent 3 6 8 2 2 2 2" xfId="28899"/>
    <cellStyle name="Percent 3 6 8 2 2 3" xfId="28900"/>
    <cellStyle name="Percent 3 6 8 2 3 4" xfId="28901"/>
    <cellStyle name="Percent 3 6 8 2 3 2 2" xfId="28902"/>
    <cellStyle name="Percent 3 6 8 2 3 3" xfId="28903"/>
    <cellStyle name="Percent 3 6 8 2 4 2" xfId="28904"/>
    <cellStyle name="Percent 3 6 8 2 5 2" xfId="28905"/>
    <cellStyle name="Percent 3 6 8 2 6" xfId="28906"/>
    <cellStyle name="Percent 3 6 8 3 6" xfId="28907"/>
    <cellStyle name="Percent 3 6 8 3 2 4" xfId="28908"/>
    <cellStyle name="Percent 3 6 8 3 2 2 2" xfId="28909"/>
    <cellStyle name="Percent 3 6 8 3 2 3" xfId="28910"/>
    <cellStyle name="Percent 3 6 8 3 3 4" xfId="28911"/>
    <cellStyle name="Percent 3 6 8 3 3 2 2" xfId="28912"/>
    <cellStyle name="Percent 3 6 8 3 3 3" xfId="28913"/>
    <cellStyle name="Percent 3 6 8 3 4 2" xfId="28914"/>
    <cellStyle name="Percent 3 6 8 3 5" xfId="28915"/>
    <cellStyle name="Percent 3 6 8 4 6" xfId="28916"/>
    <cellStyle name="Percent 3 6 8 4 2 4" xfId="28917"/>
    <cellStyle name="Percent 3 6 8 4 2 2 2" xfId="28918"/>
    <cellStyle name="Percent 3 6 8 4 2 3" xfId="28919"/>
    <cellStyle name="Percent 3 6 8 4 3 4" xfId="28920"/>
    <cellStyle name="Percent 3 6 8 4 3 2 2" xfId="28921"/>
    <cellStyle name="Percent 3 6 8 4 3 3" xfId="28922"/>
    <cellStyle name="Percent 3 6 8 4 4 2" xfId="28923"/>
    <cellStyle name="Percent 3 6 8 4 5" xfId="28924"/>
    <cellStyle name="Percent 3 6 8 5 7" xfId="28925"/>
    <cellStyle name="Percent 3 6 8 5 2 4" xfId="28926"/>
    <cellStyle name="Percent 3 6 8 5 2 2 2" xfId="28927"/>
    <cellStyle name="Percent 3 6 8 5 2 3" xfId="28928"/>
    <cellStyle name="Percent 3 6 8 5 3 4" xfId="28929"/>
    <cellStyle name="Percent 3 6 8 5 3 2 2" xfId="28930"/>
    <cellStyle name="Percent 3 6 8 5 3 3" xfId="28931"/>
    <cellStyle name="Percent 3 6 8 5 4 4" xfId="28932"/>
    <cellStyle name="Percent 3 6 8 5 4 2 2" xfId="28933"/>
    <cellStyle name="Percent 3 6 8 5 4 3" xfId="28934"/>
    <cellStyle name="Percent 3 6 8 5 5 2" xfId="28935"/>
    <cellStyle name="Percent 3 6 8 5 6" xfId="28936"/>
    <cellStyle name="Percent 3 6 8 6 6" xfId="28937"/>
    <cellStyle name="Percent 3 6 8 6 2 4" xfId="28938"/>
    <cellStyle name="Percent 3 6 8 6 2 2 2" xfId="28939"/>
    <cellStyle name="Percent 3 6 8 6 2 3" xfId="28940"/>
    <cellStyle name="Percent 3 6 8 6 3 4" xfId="28941"/>
    <cellStyle name="Percent 3 6 8 6 3 2 2" xfId="28942"/>
    <cellStyle name="Percent 3 6 8 6 3 3" xfId="28943"/>
    <cellStyle name="Percent 3 6 8 6 4 2" xfId="28944"/>
    <cellStyle name="Percent 3 6 8 6 5" xfId="28945"/>
    <cellStyle name="Percent 3 6 8 7 4" xfId="28946"/>
    <cellStyle name="Percent 3 6 8 7 2 2" xfId="28947"/>
    <cellStyle name="Percent 3 6 8 7 3" xfId="28948"/>
    <cellStyle name="Percent 3 6 8 8 4" xfId="28949"/>
    <cellStyle name="Percent 3 6 8 8 2 2" xfId="28950"/>
    <cellStyle name="Percent 3 6 8 8 3" xfId="28951"/>
    <cellStyle name="Percent 3 6 8 9 4" xfId="28952"/>
    <cellStyle name="Percent 3 6 8 9 2 2" xfId="28953"/>
    <cellStyle name="Percent 3 6 8 9 3" xfId="28954"/>
    <cellStyle name="Percent 3 6 9 16" xfId="28955"/>
    <cellStyle name="Percent 3 6 9 10 2" xfId="28956"/>
    <cellStyle name="Percent 3 6 9 11 2" xfId="28957"/>
    <cellStyle name="Percent 3 6 9 12 2" xfId="28958"/>
    <cellStyle name="Percent 3 6 9 13" xfId="28959"/>
    <cellStyle name="Percent 3 6 9 14" xfId="28960"/>
    <cellStyle name="Percent 3 6 9 15" xfId="28961"/>
    <cellStyle name="Percent 3 6 9 2 7" xfId="28962"/>
    <cellStyle name="Percent 3 6 9 2 2 4" xfId="28963"/>
    <cellStyle name="Percent 3 6 9 2 2 2 2" xfId="28964"/>
    <cellStyle name="Percent 3 6 9 2 2 3" xfId="28965"/>
    <cellStyle name="Percent 3 6 9 2 3 4" xfId="28966"/>
    <cellStyle name="Percent 3 6 9 2 3 2 2" xfId="28967"/>
    <cellStyle name="Percent 3 6 9 2 3 3" xfId="28968"/>
    <cellStyle name="Percent 3 6 9 2 4 2" xfId="28969"/>
    <cellStyle name="Percent 3 6 9 2 5 2" xfId="28970"/>
    <cellStyle name="Percent 3 6 9 2 6" xfId="28971"/>
    <cellStyle name="Percent 3 6 9 3 6" xfId="28972"/>
    <cellStyle name="Percent 3 6 9 3 2 4" xfId="28973"/>
    <cellStyle name="Percent 3 6 9 3 2 2 2" xfId="28974"/>
    <cellStyle name="Percent 3 6 9 3 2 3" xfId="28975"/>
    <cellStyle name="Percent 3 6 9 3 3 4" xfId="28976"/>
    <cellStyle name="Percent 3 6 9 3 3 2 2" xfId="28977"/>
    <cellStyle name="Percent 3 6 9 3 3 3" xfId="28978"/>
    <cellStyle name="Percent 3 6 9 3 4 2" xfId="28979"/>
    <cellStyle name="Percent 3 6 9 3 5" xfId="28980"/>
    <cellStyle name="Percent 3 6 9 4 6" xfId="28981"/>
    <cellStyle name="Percent 3 6 9 4 2 4" xfId="28982"/>
    <cellStyle name="Percent 3 6 9 4 2 2 2" xfId="28983"/>
    <cellStyle name="Percent 3 6 9 4 2 3" xfId="28984"/>
    <cellStyle name="Percent 3 6 9 4 3 4" xfId="28985"/>
    <cellStyle name="Percent 3 6 9 4 3 2 2" xfId="28986"/>
    <cellStyle name="Percent 3 6 9 4 3 3" xfId="28987"/>
    <cellStyle name="Percent 3 6 9 4 4 2" xfId="28988"/>
    <cellStyle name="Percent 3 6 9 4 5" xfId="28989"/>
    <cellStyle name="Percent 3 6 9 5 7" xfId="28990"/>
    <cellStyle name="Percent 3 6 9 5 2 4" xfId="28991"/>
    <cellStyle name="Percent 3 6 9 5 2 2 2" xfId="28992"/>
    <cellStyle name="Percent 3 6 9 5 2 3" xfId="28993"/>
    <cellStyle name="Percent 3 6 9 5 3 4" xfId="28994"/>
    <cellStyle name="Percent 3 6 9 5 3 2 2" xfId="28995"/>
    <cellStyle name="Percent 3 6 9 5 3 3" xfId="28996"/>
    <cellStyle name="Percent 3 6 9 5 4 4" xfId="28997"/>
    <cellStyle name="Percent 3 6 9 5 4 2 2" xfId="28998"/>
    <cellStyle name="Percent 3 6 9 5 4 3" xfId="28999"/>
    <cellStyle name="Percent 3 6 9 5 5 2" xfId="29000"/>
    <cellStyle name="Percent 3 6 9 5 6" xfId="29001"/>
    <cellStyle name="Percent 3 6 9 6 6" xfId="29002"/>
    <cellStyle name="Percent 3 6 9 6 2 4" xfId="29003"/>
    <cellStyle name="Percent 3 6 9 6 2 2 2" xfId="29004"/>
    <cellStyle name="Percent 3 6 9 6 2 3" xfId="29005"/>
    <cellStyle name="Percent 3 6 9 6 3 4" xfId="29006"/>
    <cellStyle name="Percent 3 6 9 6 3 2 2" xfId="29007"/>
    <cellStyle name="Percent 3 6 9 6 3 3" xfId="29008"/>
    <cellStyle name="Percent 3 6 9 6 4 2" xfId="29009"/>
    <cellStyle name="Percent 3 6 9 6 5" xfId="29010"/>
    <cellStyle name="Percent 3 6 9 7 4" xfId="29011"/>
    <cellStyle name="Percent 3 6 9 7 2 2" xfId="29012"/>
    <cellStyle name="Percent 3 6 9 7 3" xfId="29013"/>
    <cellStyle name="Percent 3 6 9 8 4" xfId="29014"/>
    <cellStyle name="Percent 3 6 9 8 2 2" xfId="29015"/>
    <cellStyle name="Percent 3 6 9 8 3" xfId="29016"/>
    <cellStyle name="Percent 3 6 9 9 4" xfId="29017"/>
    <cellStyle name="Percent 3 6 9 9 2 2" xfId="29018"/>
    <cellStyle name="Percent 3 6 9 9 3" xfId="29019"/>
    <cellStyle name="Percent 3 7 30" xfId="29020"/>
    <cellStyle name="Percent 3 7 10 16" xfId="29021"/>
    <cellStyle name="Percent 3 7 10 10 2" xfId="29022"/>
    <cellStyle name="Percent 3 7 10 11 2" xfId="29023"/>
    <cellStyle name="Percent 3 7 10 12 2" xfId="29024"/>
    <cellStyle name="Percent 3 7 10 13" xfId="29025"/>
    <cellStyle name="Percent 3 7 10 14" xfId="29026"/>
    <cellStyle name="Percent 3 7 10 15" xfId="29027"/>
    <cellStyle name="Percent 3 7 10 2 7" xfId="29028"/>
    <cellStyle name="Percent 3 7 10 2 2 4" xfId="29029"/>
    <cellStyle name="Percent 3 7 10 2 2 2 2" xfId="29030"/>
    <cellStyle name="Percent 3 7 10 2 2 3" xfId="29031"/>
    <cellStyle name="Percent 3 7 10 2 3 4" xfId="29032"/>
    <cellStyle name="Percent 3 7 10 2 3 2 2" xfId="29033"/>
    <cellStyle name="Percent 3 7 10 2 3 3" xfId="29034"/>
    <cellStyle name="Percent 3 7 10 2 4 2" xfId="29035"/>
    <cellStyle name="Percent 3 7 10 2 5 2" xfId="29036"/>
    <cellStyle name="Percent 3 7 10 2 6" xfId="29037"/>
    <cellStyle name="Percent 3 7 10 3 6" xfId="29038"/>
    <cellStyle name="Percent 3 7 10 3 2 4" xfId="29039"/>
    <cellStyle name="Percent 3 7 10 3 2 2 2" xfId="29040"/>
    <cellStyle name="Percent 3 7 10 3 2 3" xfId="29041"/>
    <cellStyle name="Percent 3 7 10 3 3 4" xfId="29042"/>
    <cellStyle name="Percent 3 7 10 3 3 2 2" xfId="29043"/>
    <cellStyle name="Percent 3 7 10 3 3 3" xfId="29044"/>
    <cellStyle name="Percent 3 7 10 3 4 2" xfId="29045"/>
    <cellStyle name="Percent 3 7 10 3 5" xfId="29046"/>
    <cellStyle name="Percent 3 7 10 4 6" xfId="29047"/>
    <cellStyle name="Percent 3 7 10 4 2 4" xfId="29048"/>
    <cellStyle name="Percent 3 7 10 4 2 2 2" xfId="29049"/>
    <cellStyle name="Percent 3 7 10 4 2 3" xfId="29050"/>
    <cellStyle name="Percent 3 7 10 4 3 4" xfId="29051"/>
    <cellStyle name="Percent 3 7 10 4 3 2 2" xfId="29052"/>
    <cellStyle name="Percent 3 7 10 4 3 3" xfId="29053"/>
    <cellStyle name="Percent 3 7 10 4 4 2" xfId="29054"/>
    <cellStyle name="Percent 3 7 10 4 5" xfId="29055"/>
    <cellStyle name="Percent 3 7 10 5 7" xfId="29056"/>
    <cellStyle name="Percent 3 7 10 5 2 4" xfId="29057"/>
    <cellStyle name="Percent 3 7 10 5 2 2 2" xfId="29058"/>
    <cellStyle name="Percent 3 7 10 5 2 3" xfId="29059"/>
    <cellStyle name="Percent 3 7 10 5 3 4" xfId="29060"/>
    <cellStyle name="Percent 3 7 10 5 3 2 2" xfId="29061"/>
    <cellStyle name="Percent 3 7 10 5 3 3" xfId="29062"/>
    <cellStyle name="Percent 3 7 10 5 4 4" xfId="29063"/>
    <cellStyle name="Percent 3 7 10 5 4 2 2" xfId="29064"/>
    <cellStyle name="Percent 3 7 10 5 4 3" xfId="29065"/>
    <cellStyle name="Percent 3 7 10 5 5 2" xfId="29066"/>
    <cellStyle name="Percent 3 7 10 5 6" xfId="29067"/>
    <cellStyle name="Percent 3 7 10 6 6" xfId="29068"/>
    <cellStyle name="Percent 3 7 10 6 2 4" xfId="29069"/>
    <cellStyle name="Percent 3 7 10 6 2 2 2" xfId="29070"/>
    <cellStyle name="Percent 3 7 10 6 2 3" xfId="29071"/>
    <cellStyle name="Percent 3 7 10 6 3 4" xfId="29072"/>
    <cellStyle name="Percent 3 7 10 6 3 2 2" xfId="29073"/>
    <cellStyle name="Percent 3 7 10 6 3 3" xfId="29074"/>
    <cellStyle name="Percent 3 7 10 6 4 2" xfId="29075"/>
    <cellStyle name="Percent 3 7 10 6 5" xfId="29076"/>
    <cellStyle name="Percent 3 7 10 7 4" xfId="29077"/>
    <cellStyle name="Percent 3 7 10 7 2 2" xfId="29078"/>
    <cellStyle name="Percent 3 7 10 7 3" xfId="29079"/>
    <cellStyle name="Percent 3 7 10 8 4" xfId="29080"/>
    <cellStyle name="Percent 3 7 10 8 2 2" xfId="29081"/>
    <cellStyle name="Percent 3 7 10 8 3" xfId="29082"/>
    <cellStyle name="Percent 3 7 10 9 4" xfId="29083"/>
    <cellStyle name="Percent 3 7 10 9 2 2" xfId="29084"/>
    <cellStyle name="Percent 3 7 10 9 3" xfId="29085"/>
    <cellStyle name="Percent 3 7 11 16" xfId="29086"/>
    <cellStyle name="Percent 3 7 11 10 2" xfId="29087"/>
    <cellStyle name="Percent 3 7 11 11 2" xfId="29088"/>
    <cellStyle name="Percent 3 7 11 12 2" xfId="29089"/>
    <cellStyle name="Percent 3 7 11 13" xfId="29090"/>
    <cellStyle name="Percent 3 7 11 14" xfId="29091"/>
    <cellStyle name="Percent 3 7 11 15" xfId="29092"/>
    <cellStyle name="Percent 3 7 11 2 7" xfId="29093"/>
    <cellStyle name="Percent 3 7 11 2 2 4" xfId="29094"/>
    <cellStyle name="Percent 3 7 11 2 2 2 2" xfId="29095"/>
    <cellStyle name="Percent 3 7 11 2 2 3" xfId="29096"/>
    <cellStyle name="Percent 3 7 11 2 3 4" xfId="29097"/>
    <cellStyle name="Percent 3 7 11 2 3 2 2" xfId="29098"/>
    <cellStyle name="Percent 3 7 11 2 3 3" xfId="29099"/>
    <cellStyle name="Percent 3 7 11 2 4 2" xfId="29100"/>
    <cellStyle name="Percent 3 7 11 2 5 2" xfId="29101"/>
    <cellStyle name="Percent 3 7 11 2 6" xfId="29102"/>
    <cellStyle name="Percent 3 7 11 3 6" xfId="29103"/>
    <cellStyle name="Percent 3 7 11 3 2 4" xfId="29104"/>
    <cellStyle name="Percent 3 7 11 3 2 2 2" xfId="29105"/>
    <cellStyle name="Percent 3 7 11 3 2 3" xfId="29106"/>
    <cellStyle name="Percent 3 7 11 3 3 4" xfId="29107"/>
    <cellStyle name="Percent 3 7 11 3 3 2 2" xfId="29108"/>
    <cellStyle name="Percent 3 7 11 3 3 3" xfId="29109"/>
    <cellStyle name="Percent 3 7 11 3 4 2" xfId="29110"/>
    <cellStyle name="Percent 3 7 11 3 5" xfId="29111"/>
    <cellStyle name="Percent 3 7 11 4 6" xfId="29112"/>
    <cellStyle name="Percent 3 7 11 4 2 4" xfId="29113"/>
    <cellStyle name="Percent 3 7 11 4 2 2 2" xfId="29114"/>
    <cellStyle name="Percent 3 7 11 4 2 3" xfId="29115"/>
    <cellStyle name="Percent 3 7 11 4 3 4" xfId="29116"/>
    <cellStyle name="Percent 3 7 11 4 3 2 2" xfId="29117"/>
    <cellStyle name="Percent 3 7 11 4 3 3" xfId="29118"/>
    <cellStyle name="Percent 3 7 11 4 4 2" xfId="29119"/>
    <cellStyle name="Percent 3 7 11 4 5" xfId="29120"/>
    <cellStyle name="Percent 3 7 11 5 7" xfId="29121"/>
    <cellStyle name="Percent 3 7 11 5 2 4" xfId="29122"/>
    <cellStyle name="Percent 3 7 11 5 2 2 2" xfId="29123"/>
    <cellStyle name="Percent 3 7 11 5 2 3" xfId="29124"/>
    <cellStyle name="Percent 3 7 11 5 3 4" xfId="29125"/>
    <cellStyle name="Percent 3 7 11 5 3 2 2" xfId="29126"/>
    <cellStyle name="Percent 3 7 11 5 3 3" xfId="29127"/>
    <cellStyle name="Percent 3 7 11 5 4 4" xfId="29128"/>
    <cellStyle name="Percent 3 7 11 5 4 2 2" xfId="29129"/>
    <cellStyle name="Percent 3 7 11 5 4 3" xfId="29130"/>
    <cellStyle name="Percent 3 7 11 5 5 2" xfId="29131"/>
    <cellStyle name="Percent 3 7 11 5 6" xfId="29132"/>
    <cellStyle name="Percent 3 7 11 6 6" xfId="29133"/>
    <cellStyle name="Percent 3 7 11 6 2 4" xfId="29134"/>
    <cellStyle name="Percent 3 7 11 6 2 2 2" xfId="29135"/>
    <cellStyle name="Percent 3 7 11 6 2 3" xfId="29136"/>
    <cellStyle name="Percent 3 7 11 6 3 4" xfId="29137"/>
    <cellStyle name="Percent 3 7 11 6 3 2 2" xfId="29138"/>
    <cellStyle name="Percent 3 7 11 6 3 3" xfId="29139"/>
    <cellStyle name="Percent 3 7 11 6 4 2" xfId="29140"/>
    <cellStyle name="Percent 3 7 11 6 5" xfId="29141"/>
    <cellStyle name="Percent 3 7 11 7 4" xfId="29142"/>
    <cellStyle name="Percent 3 7 11 7 2 2" xfId="29143"/>
    <cellStyle name="Percent 3 7 11 7 3" xfId="29144"/>
    <cellStyle name="Percent 3 7 11 8 4" xfId="29145"/>
    <cellStyle name="Percent 3 7 11 8 2 2" xfId="29146"/>
    <cellStyle name="Percent 3 7 11 8 3" xfId="29147"/>
    <cellStyle name="Percent 3 7 11 9 4" xfId="29148"/>
    <cellStyle name="Percent 3 7 11 9 2 2" xfId="29149"/>
    <cellStyle name="Percent 3 7 11 9 3" xfId="29150"/>
    <cellStyle name="Percent 3 7 12 16" xfId="29151"/>
    <cellStyle name="Percent 3 7 12 10 2" xfId="29152"/>
    <cellStyle name="Percent 3 7 12 11 2" xfId="29153"/>
    <cellStyle name="Percent 3 7 12 12 2" xfId="29154"/>
    <cellStyle name="Percent 3 7 12 13" xfId="29155"/>
    <cellStyle name="Percent 3 7 12 14" xfId="29156"/>
    <cellStyle name="Percent 3 7 12 15" xfId="29157"/>
    <cellStyle name="Percent 3 7 12 2 7" xfId="29158"/>
    <cellStyle name="Percent 3 7 12 2 2 4" xfId="29159"/>
    <cellStyle name="Percent 3 7 12 2 2 2 2" xfId="29160"/>
    <cellStyle name="Percent 3 7 12 2 2 3" xfId="29161"/>
    <cellStyle name="Percent 3 7 12 2 3 4" xfId="29162"/>
    <cellStyle name="Percent 3 7 12 2 3 2 2" xfId="29163"/>
    <cellStyle name="Percent 3 7 12 2 3 3" xfId="29164"/>
    <cellStyle name="Percent 3 7 12 2 4 2" xfId="29165"/>
    <cellStyle name="Percent 3 7 12 2 5 2" xfId="29166"/>
    <cellStyle name="Percent 3 7 12 2 6" xfId="29167"/>
    <cellStyle name="Percent 3 7 12 3 6" xfId="29168"/>
    <cellStyle name="Percent 3 7 12 3 2 4" xfId="29169"/>
    <cellStyle name="Percent 3 7 12 3 2 2 2" xfId="29170"/>
    <cellStyle name="Percent 3 7 12 3 2 3" xfId="29171"/>
    <cellStyle name="Percent 3 7 12 3 3 4" xfId="29172"/>
    <cellStyle name="Percent 3 7 12 3 3 2 2" xfId="29173"/>
    <cellStyle name="Percent 3 7 12 3 3 3" xfId="29174"/>
    <cellStyle name="Percent 3 7 12 3 4 2" xfId="29175"/>
    <cellStyle name="Percent 3 7 12 3 5" xfId="29176"/>
    <cellStyle name="Percent 3 7 12 4 6" xfId="29177"/>
    <cellStyle name="Percent 3 7 12 4 2 4" xfId="29178"/>
    <cellStyle name="Percent 3 7 12 4 2 2 2" xfId="29179"/>
    <cellStyle name="Percent 3 7 12 4 2 3" xfId="29180"/>
    <cellStyle name="Percent 3 7 12 4 3 4" xfId="29181"/>
    <cellStyle name="Percent 3 7 12 4 3 2 2" xfId="29182"/>
    <cellStyle name="Percent 3 7 12 4 3 3" xfId="29183"/>
    <cellStyle name="Percent 3 7 12 4 4 2" xfId="29184"/>
    <cellStyle name="Percent 3 7 12 4 5" xfId="29185"/>
    <cellStyle name="Percent 3 7 12 5 7" xfId="29186"/>
    <cellStyle name="Percent 3 7 12 5 2 4" xfId="29187"/>
    <cellStyle name="Percent 3 7 12 5 2 2 2" xfId="29188"/>
    <cellStyle name="Percent 3 7 12 5 2 3" xfId="29189"/>
    <cellStyle name="Percent 3 7 12 5 3 4" xfId="29190"/>
    <cellStyle name="Percent 3 7 12 5 3 2 2" xfId="29191"/>
    <cellStyle name="Percent 3 7 12 5 3 3" xfId="29192"/>
    <cellStyle name="Percent 3 7 12 5 4 4" xfId="29193"/>
    <cellStyle name="Percent 3 7 12 5 4 2 2" xfId="29194"/>
    <cellStyle name="Percent 3 7 12 5 4 3" xfId="29195"/>
    <cellStyle name="Percent 3 7 12 5 5 2" xfId="29196"/>
    <cellStyle name="Percent 3 7 12 5 6" xfId="29197"/>
    <cellStyle name="Percent 3 7 12 6 6" xfId="29198"/>
    <cellStyle name="Percent 3 7 12 6 2 4" xfId="29199"/>
    <cellStyle name="Percent 3 7 12 6 2 2 2" xfId="29200"/>
    <cellStyle name="Percent 3 7 12 6 2 3" xfId="29201"/>
    <cellStyle name="Percent 3 7 12 6 3 4" xfId="29202"/>
    <cellStyle name="Percent 3 7 12 6 3 2 2" xfId="29203"/>
    <cellStyle name="Percent 3 7 12 6 3 3" xfId="29204"/>
    <cellStyle name="Percent 3 7 12 6 4 2" xfId="29205"/>
    <cellStyle name="Percent 3 7 12 6 5" xfId="29206"/>
    <cellStyle name="Percent 3 7 12 7 4" xfId="29207"/>
    <cellStyle name="Percent 3 7 12 7 2 2" xfId="29208"/>
    <cellStyle name="Percent 3 7 12 7 3" xfId="29209"/>
    <cellStyle name="Percent 3 7 12 8 4" xfId="29210"/>
    <cellStyle name="Percent 3 7 12 8 2 2" xfId="29211"/>
    <cellStyle name="Percent 3 7 12 8 3" xfId="29212"/>
    <cellStyle name="Percent 3 7 12 9 4" xfId="29213"/>
    <cellStyle name="Percent 3 7 12 9 2 2" xfId="29214"/>
    <cellStyle name="Percent 3 7 12 9 3" xfId="29215"/>
    <cellStyle name="Percent 3 7 13 16" xfId="29216"/>
    <cellStyle name="Percent 3 7 13 10 2" xfId="29217"/>
    <cellStyle name="Percent 3 7 13 11 2" xfId="29218"/>
    <cellStyle name="Percent 3 7 13 12 2" xfId="29219"/>
    <cellStyle name="Percent 3 7 13 13" xfId="29220"/>
    <cellStyle name="Percent 3 7 13 14" xfId="29221"/>
    <cellStyle name="Percent 3 7 13 15" xfId="29222"/>
    <cellStyle name="Percent 3 7 13 2 7" xfId="29223"/>
    <cellStyle name="Percent 3 7 13 2 2 4" xfId="29224"/>
    <cellStyle name="Percent 3 7 13 2 2 2 2" xfId="29225"/>
    <cellStyle name="Percent 3 7 13 2 2 3" xfId="29226"/>
    <cellStyle name="Percent 3 7 13 2 3 4" xfId="29227"/>
    <cellStyle name="Percent 3 7 13 2 3 2 2" xfId="29228"/>
    <cellStyle name="Percent 3 7 13 2 3 3" xfId="29229"/>
    <cellStyle name="Percent 3 7 13 2 4 2" xfId="29230"/>
    <cellStyle name="Percent 3 7 13 2 5 2" xfId="29231"/>
    <cellStyle name="Percent 3 7 13 2 6" xfId="29232"/>
    <cellStyle name="Percent 3 7 13 3 6" xfId="29233"/>
    <cellStyle name="Percent 3 7 13 3 2 4" xfId="29234"/>
    <cellStyle name="Percent 3 7 13 3 2 2 2" xfId="29235"/>
    <cellStyle name="Percent 3 7 13 3 2 3" xfId="29236"/>
    <cellStyle name="Percent 3 7 13 3 3 4" xfId="29237"/>
    <cellStyle name="Percent 3 7 13 3 3 2 2" xfId="29238"/>
    <cellStyle name="Percent 3 7 13 3 3 3" xfId="29239"/>
    <cellStyle name="Percent 3 7 13 3 4 2" xfId="29240"/>
    <cellStyle name="Percent 3 7 13 3 5" xfId="29241"/>
    <cellStyle name="Percent 3 7 13 4 6" xfId="29242"/>
    <cellStyle name="Percent 3 7 13 4 2 4" xfId="29243"/>
    <cellStyle name="Percent 3 7 13 4 2 2 2" xfId="29244"/>
    <cellStyle name="Percent 3 7 13 4 2 3" xfId="29245"/>
    <cellStyle name="Percent 3 7 13 4 3 4" xfId="29246"/>
    <cellStyle name="Percent 3 7 13 4 3 2 2" xfId="29247"/>
    <cellStyle name="Percent 3 7 13 4 3 3" xfId="29248"/>
    <cellStyle name="Percent 3 7 13 4 4 2" xfId="29249"/>
    <cellStyle name="Percent 3 7 13 4 5" xfId="29250"/>
    <cellStyle name="Percent 3 7 13 5 7" xfId="29251"/>
    <cellStyle name="Percent 3 7 13 5 2 4" xfId="29252"/>
    <cellStyle name="Percent 3 7 13 5 2 2 2" xfId="29253"/>
    <cellStyle name="Percent 3 7 13 5 2 3" xfId="29254"/>
    <cellStyle name="Percent 3 7 13 5 3 4" xfId="29255"/>
    <cellStyle name="Percent 3 7 13 5 3 2 2" xfId="29256"/>
    <cellStyle name="Percent 3 7 13 5 3 3" xfId="29257"/>
    <cellStyle name="Percent 3 7 13 5 4 4" xfId="29258"/>
    <cellStyle name="Percent 3 7 13 5 4 2 2" xfId="29259"/>
    <cellStyle name="Percent 3 7 13 5 4 3" xfId="29260"/>
    <cellStyle name="Percent 3 7 13 5 5 2" xfId="29261"/>
    <cellStyle name="Percent 3 7 13 5 6" xfId="29262"/>
    <cellStyle name="Percent 3 7 13 6 6" xfId="29263"/>
    <cellStyle name="Percent 3 7 13 6 2 4" xfId="29264"/>
    <cellStyle name="Percent 3 7 13 6 2 2 2" xfId="29265"/>
    <cellStyle name="Percent 3 7 13 6 2 3" xfId="29266"/>
    <cellStyle name="Percent 3 7 13 6 3 4" xfId="29267"/>
    <cellStyle name="Percent 3 7 13 6 3 2 2" xfId="29268"/>
    <cellStyle name="Percent 3 7 13 6 3 3" xfId="29269"/>
    <cellStyle name="Percent 3 7 13 6 4 2" xfId="29270"/>
    <cellStyle name="Percent 3 7 13 6 5" xfId="29271"/>
    <cellStyle name="Percent 3 7 13 7 4" xfId="29272"/>
    <cellStyle name="Percent 3 7 13 7 2 2" xfId="29273"/>
    <cellStyle name="Percent 3 7 13 7 3" xfId="29274"/>
    <cellStyle name="Percent 3 7 13 8 4" xfId="29275"/>
    <cellStyle name="Percent 3 7 13 8 2 2" xfId="29276"/>
    <cellStyle name="Percent 3 7 13 8 3" xfId="29277"/>
    <cellStyle name="Percent 3 7 13 9 4" xfId="29278"/>
    <cellStyle name="Percent 3 7 13 9 2 2" xfId="29279"/>
    <cellStyle name="Percent 3 7 13 9 3" xfId="29280"/>
    <cellStyle name="Percent 3 7 14 16" xfId="29281"/>
    <cellStyle name="Percent 3 7 14 10 2" xfId="29282"/>
    <cellStyle name="Percent 3 7 14 11 2" xfId="29283"/>
    <cellStyle name="Percent 3 7 14 12 2" xfId="29284"/>
    <cellStyle name="Percent 3 7 14 13" xfId="29285"/>
    <cellStyle name="Percent 3 7 14 14" xfId="29286"/>
    <cellStyle name="Percent 3 7 14 15" xfId="29287"/>
    <cellStyle name="Percent 3 7 14 2 7" xfId="29288"/>
    <cellStyle name="Percent 3 7 14 2 2 4" xfId="29289"/>
    <cellStyle name="Percent 3 7 14 2 2 2 2" xfId="29290"/>
    <cellStyle name="Percent 3 7 14 2 2 3" xfId="29291"/>
    <cellStyle name="Percent 3 7 14 2 3 4" xfId="29292"/>
    <cellStyle name="Percent 3 7 14 2 3 2 2" xfId="29293"/>
    <cellStyle name="Percent 3 7 14 2 3 3" xfId="29294"/>
    <cellStyle name="Percent 3 7 14 2 4 2" xfId="29295"/>
    <cellStyle name="Percent 3 7 14 2 5 2" xfId="29296"/>
    <cellStyle name="Percent 3 7 14 2 6" xfId="29297"/>
    <cellStyle name="Percent 3 7 14 3 6" xfId="29298"/>
    <cellStyle name="Percent 3 7 14 3 2 4" xfId="29299"/>
    <cellStyle name="Percent 3 7 14 3 2 2 2" xfId="29300"/>
    <cellStyle name="Percent 3 7 14 3 2 3" xfId="29301"/>
    <cellStyle name="Percent 3 7 14 3 3 4" xfId="29302"/>
    <cellStyle name="Percent 3 7 14 3 3 2 2" xfId="29303"/>
    <cellStyle name="Percent 3 7 14 3 3 3" xfId="29304"/>
    <cellStyle name="Percent 3 7 14 3 4 2" xfId="29305"/>
    <cellStyle name="Percent 3 7 14 3 5" xfId="29306"/>
    <cellStyle name="Percent 3 7 14 4 6" xfId="29307"/>
    <cellStyle name="Percent 3 7 14 4 2 4" xfId="29308"/>
    <cellStyle name="Percent 3 7 14 4 2 2 2" xfId="29309"/>
    <cellStyle name="Percent 3 7 14 4 2 3" xfId="29310"/>
    <cellStyle name="Percent 3 7 14 4 3 4" xfId="29311"/>
    <cellStyle name="Percent 3 7 14 4 3 2 2" xfId="29312"/>
    <cellStyle name="Percent 3 7 14 4 3 3" xfId="29313"/>
    <cellStyle name="Percent 3 7 14 4 4 2" xfId="29314"/>
    <cellStyle name="Percent 3 7 14 4 5" xfId="29315"/>
    <cellStyle name="Percent 3 7 14 5 7" xfId="29316"/>
    <cellStyle name="Percent 3 7 14 5 2 4" xfId="29317"/>
    <cellStyle name="Percent 3 7 14 5 2 2 2" xfId="29318"/>
    <cellStyle name="Percent 3 7 14 5 2 3" xfId="29319"/>
    <cellStyle name="Percent 3 7 14 5 3 4" xfId="29320"/>
    <cellStyle name="Percent 3 7 14 5 3 2 2" xfId="29321"/>
    <cellStyle name="Percent 3 7 14 5 3 3" xfId="29322"/>
    <cellStyle name="Percent 3 7 14 5 4 4" xfId="29323"/>
    <cellStyle name="Percent 3 7 14 5 4 2 2" xfId="29324"/>
    <cellStyle name="Percent 3 7 14 5 4 3" xfId="29325"/>
    <cellStyle name="Percent 3 7 14 5 5 2" xfId="29326"/>
    <cellStyle name="Percent 3 7 14 5 6" xfId="29327"/>
    <cellStyle name="Percent 3 7 14 6 6" xfId="29328"/>
    <cellStyle name="Percent 3 7 14 6 2 4" xfId="29329"/>
    <cellStyle name="Percent 3 7 14 6 2 2 2" xfId="29330"/>
    <cellStyle name="Percent 3 7 14 6 2 3" xfId="29331"/>
    <cellStyle name="Percent 3 7 14 6 3 4" xfId="29332"/>
    <cellStyle name="Percent 3 7 14 6 3 2 2" xfId="29333"/>
    <cellStyle name="Percent 3 7 14 6 3 3" xfId="29334"/>
    <cellStyle name="Percent 3 7 14 6 4 2" xfId="29335"/>
    <cellStyle name="Percent 3 7 14 6 5" xfId="29336"/>
    <cellStyle name="Percent 3 7 14 7 4" xfId="29337"/>
    <cellStyle name="Percent 3 7 14 7 2 2" xfId="29338"/>
    <cellStyle name="Percent 3 7 14 7 3" xfId="29339"/>
    <cellStyle name="Percent 3 7 14 8 4" xfId="29340"/>
    <cellStyle name="Percent 3 7 14 8 2 2" xfId="29341"/>
    <cellStyle name="Percent 3 7 14 8 3" xfId="29342"/>
    <cellStyle name="Percent 3 7 14 9 4" xfId="29343"/>
    <cellStyle name="Percent 3 7 14 9 2 2" xfId="29344"/>
    <cellStyle name="Percent 3 7 14 9 3" xfId="29345"/>
    <cellStyle name="Percent 3 7 15 16" xfId="29346"/>
    <cellStyle name="Percent 3 7 15 10 2" xfId="29347"/>
    <cellStyle name="Percent 3 7 15 11 2" xfId="29348"/>
    <cellStyle name="Percent 3 7 15 12 2" xfId="29349"/>
    <cellStyle name="Percent 3 7 15 13" xfId="29350"/>
    <cellStyle name="Percent 3 7 15 14" xfId="29351"/>
    <cellStyle name="Percent 3 7 15 15" xfId="29352"/>
    <cellStyle name="Percent 3 7 15 2 7" xfId="29353"/>
    <cellStyle name="Percent 3 7 15 2 2 4" xfId="29354"/>
    <cellStyle name="Percent 3 7 15 2 2 2 2" xfId="29355"/>
    <cellStyle name="Percent 3 7 15 2 2 3" xfId="29356"/>
    <cellStyle name="Percent 3 7 15 2 3 4" xfId="29357"/>
    <cellStyle name="Percent 3 7 15 2 3 2 2" xfId="29358"/>
    <cellStyle name="Percent 3 7 15 2 3 3" xfId="29359"/>
    <cellStyle name="Percent 3 7 15 2 4 2" xfId="29360"/>
    <cellStyle name="Percent 3 7 15 2 5 2" xfId="29361"/>
    <cellStyle name="Percent 3 7 15 2 6" xfId="29362"/>
    <cellStyle name="Percent 3 7 15 3 6" xfId="29363"/>
    <cellStyle name="Percent 3 7 15 3 2 4" xfId="29364"/>
    <cellStyle name="Percent 3 7 15 3 2 2 2" xfId="29365"/>
    <cellStyle name="Percent 3 7 15 3 2 3" xfId="29366"/>
    <cellStyle name="Percent 3 7 15 3 3 4" xfId="29367"/>
    <cellStyle name="Percent 3 7 15 3 3 2 2" xfId="29368"/>
    <cellStyle name="Percent 3 7 15 3 3 3" xfId="29369"/>
    <cellStyle name="Percent 3 7 15 3 4 2" xfId="29370"/>
    <cellStyle name="Percent 3 7 15 3 5" xfId="29371"/>
    <cellStyle name="Percent 3 7 15 4 6" xfId="29372"/>
    <cellStyle name="Percent 3 7 15 4 2 4" xfId="29373"/>
    <cellStyle name="Percent 3 7 15 4 2 2 2" xfId="29374"/>
    <cellStyle name="Percent 3 7 15 4 2 3" xfId="29375"/>
    <cellStyle name="Percent 3 7 15 4 3 4" xfId="29376"/>
    <cellStyle name="Percent 3 7 15 4 3 2 2" xfId="29377"/>
    <cellStyle name="Percent 3 7 15 4 3 3" xfId="29378"/>
    <cellStyle name="Percent 3 7 15 4 4 2" xfId="29379"/>
    <cellStyle name="Percent 3 7 15 4 5" xfId="29380"/>
    <cellStyle name="Percent 3 7 15 5 7" xfId="29381"/>
    <cellStyle name="Percent 3 7 15 5 2 4" xfId="29382"/>
    <cellStyle name="Percent 3 7 15 5 2 2 2" xfId="29383"/>
    <cellStyle name="Percent 3 7 15 5 2 3" xfId="29384"/>
    <cellStyle name="Percent 3 7 15 5 3 4" xfId="29385"/>
    <cellStyle name="Percent 3 7 15 5 3 2 2" xfId="29386"/>
    <cellStyle name="Percent 3 7 15 5 3 3" xfId="29387"/>
    <cellStyle name="Percent 3 7 15 5 4 4" xfId="29388"/>
    <cellStyle name="Percent 3 7 15 5 4 2 2" xfId="29389"/>
    <cellStyle name="Percent 3 7 15 5 4 3" xfId="29390"/>
    <cellStyle name="Percent 3 7 15 5 5 2" xfId="29391"/>
    <cellStyle name="Percent 3 7 15 5 6" xfId="29392"/>
    <cellStyle name="Percent 3 7 15 6 6" xfId="29393"/>
    <cellStyle name="Percent 3 7 15 6 2 4" xfId="29394"/>
    <cellStyle name="Percent 3 7 15 6 2 2 2" xfId="29395"/>
    <cellStyle name="Percent 3 7 15 6 2 3" xfId="29396"/>
    <cellStyle name="Percent 3 7 15 6 3 4" xfId="29397"/>
    <cellStyle name="Percent 3 7 15 6 3 2 2" xfId="29398"/>
    <cellStyle name="Percent 3 7 15 6 3 3" xfId="29399"/>
    <cellStyle name="Percent 3 7 15 6 4 2" xfId="29400"/>
    <cellStyle name="Percent 3 7 15 6 5" xfId="29401"/>
    <cellStyle name="Percent 3 7 15 7 4" xfId="29402"/>
    <cellStyle name="Percent 3 7 15 7 2 2" xfId="29403"/>
    <cellStyle name="Percent 3 7 15 7 3" xfId="29404"/>
    <cellStyle name="Percent 3 7 15 8 4" xfId="29405"/>
    <cellStyle name="Percent 3 7 15 8 2 2" xfId="29406"/>
    <cellStyle name="Percent 3 7 15 8 3" xfId="29407"/>
    <cellStyle name="Percent 3 7 15 9 4" xfId="29408"/>
    <cellStyle name="Percent 3 7 15 9 2 2" xfId="29409"/>
    <cellStyle name="Percent 3 7 15 9 3" xfId="29410"/>
    <cellStyle name="Percent 3 7 16 7" xfId="29411"/>
    <cellStyle name="Percent 3 7 16 2 4" xfId="29412"/>
    <cellStyle name="Percent 3 7 16 2 2 2" xfId="29413"/>
    <cellStyle name="Percent 3 7 16 2 3" xfId="29414"/>
    <cellStyle name="Percent 3 7 16 3 4" xfId="29415"/>
    <cellStyle name="Percent 3 7 16 3 2 2" xfId="29416"/>
    <cellStyle name="Percent 3 7 16 3 3" xfId="29417"/>
    <cellStyle name="Percent 3 7 16 4 2" xfId="29418"/>
    <cellStyle name="Percent 3 7 16 5 2" xfId="29419"/>
    <cellStyle name="Percent 3 7 16 6" xfId="29420"/>
    <cellStyle name="Percent 3 7 17 6" xfId="29421"/>
    <cellStyle name="Percent 3 7 17 2 4" xfId="29422"/>
    <cellStyle name="Percent 3 7 17 2 2 2" xfId="29423"/>
    <cellStyle name="Percent 3 7 17 2 3" xfId="29424"/>
    <cellStyle name="Percent 3 7 17 3 4" xfId="29425"/>
    <cellStyle name="Percent 3 7 17 3 2 2" xfId="29426"/>
    <cellStyle name="Percent 3 7 17 3 3" xfId="29427"/>
    <cellStyle name="Percent 3 7 17 4 2" xfId="29428"/>
    <cellStyle name="Percent 3 7 17 5" xfId="29429"/>
    <cellStyle name="Percent 3 7 18 6" xfId="29430"/>
    <cellStyle name="Percent 3 7 18 2 4" xfId="29431"/>
    <cellStyle name="Percent 3 7 18 2 2 2" xfId="29432"/>
    <cellStyle name="Percent 3 7 18 2 3" xfId="29433"/>
    <cellStyle name="Percent 3 7 18 3 4" xfId="29434"/>
    <cellStyle name="Percent 3 7 18 3 2 2" xfId="29435"/>
    <cellStyle name="Percent 3 7 18 3 3" xfId="29436"/>
    <cellStyle name="Percent 3 7 18 4 2" xfId="29437"/>
    <cellStyle name="Percent 3 7 18 5" xfId="29438"/>
    <cellStyle name="Percent 3 7 19 7" xfId="29439"/>
    <cellStyle name="Percent 3 7 19 2 4" xfId="29440"/>
    <cellStyle name="Percent 3 7 19 2 2 2" xfId="29441"/>
    <cellStyle name="Percent 3 7 19 2 3" xfId="29442"/>
    <cellStyle name="Percent 3 7 19 3 4" xfId="29443"/>
    <cellStyle name="Percent 3 7 19 3 2 2" xfId="29444"/>
    <cellStyle name="Percent 3 7 19 3 3" xfId="29445"/>
    <cellStyle name="Percent 3 7 19 4 4" xfId="29446"/>
    <cellStyle name="Percent 3 7 19 4 2 2" xfId="29447"/>
    <cellStyle name="Percent 3 7 19 4 3" xfId="29448"/>
    <cellStyle name="Percent 3 7 19 5 2" xfId="29449"/>
    <cellStyle name="Percent 3 7 19 6" xfId="29450"/>
    <cellStyle name="Percent 3 7 2 16" xfId="29451"/>
    <cellStyle name="Percent 3 7 2 10 2" xfId="29452"/>
    <cellStyle name="Percent 3 7 2 11 2" xfId="29453"/>
    <cellStyle name="Percent 3 7 2 12 2" xfId="29454"/>
    <cellStyle name="Percent 3 7 2 13" xfId="29455"/>
    <cellStyle name="Percent 3 7 2 14" xfId="29456"/>
    <cellStyle name="Percent 3 7 2 15" xfId="29457"/>
    <cellStyle name="Percent 3 7 2 2 7" xfId="29458"/>
    <cellStyle name="Percent 3 7 2 2 2 4" xfId="29459"/>
    <cellStyle name="Percent 3 7 2 2 2 2 2" xfId="29460"/>
    <cellStyle name="Percent 3 7 2 2 2 3" xfId="29461"/>
    <cellStyle name="Percent 3 7 2 2 3 4" xfId="29462"/>
    <cellStyle name="Percent 3 7 2 2 3 2 2" xfId="29463"/>
    <cellStyle name="Percent 3 7 2 2 3 3" xfId="29464"/>
    <cellStyle name="Percent 3 7 2 2 4 2" xfId="29465"/>
    <cellStyle name="Percent 3 7 2 2 5 2" xfId="29466"/>
    <cellStyle name="Percent 3 7 2 2 6" xfId="29467"/>
    <cellStyle name="Percent 3 7 2 3 6" xfId="29468"/>
    <cellStyle name="Percent 3 7 2 3 2 4" xfId="29469"/>
    <cellStyle name="Percent 3 7 2 3 2 2 2" xfId="29470"/>
    <cellStyle name="Percent 3 7 2 3 2 3" xfId="29471"/>
    <cellStyle name="Percent 3 7 2 3 3 4" xfId="29472"/>
    <cellStyle name="Percent 3 7 2 3 3 2 2" xfId="29473"/>
    <cellStyle name="Percent 3 7 2 3 3 3" xfId="29474"/>
    <cellStyle name="Percent 3 7 2 3 4 2" xfId="29475"/>
    <cellStyle name="Percent 3 7 2 3 5" xfId="29476"/>
    <cellStyle name="Percent 3 7 2 4 6" xfId="29477"/>
    <cellStyle name="Percent 3 7 2 4 2 4" xfId="29478"/>
    <cellStyle name="Percent 3 7 2 4 2 2 2" xfId="29479"/>
    <cellStyle name="Percent 3 7 2 4 2 3" xfId="29480"/>
    <cellStyle name="Percent 3 7 2 4 3 4" xfId="29481"/>
    <cellStyle name="Percent 3 7 2 4 3 2 2" xfId="29482"/>
    <cellStyle name="Percent 3 7 2 4 3 3" xfId="29483"/>
    <cellStyle name="Percent 3 7 2 4 4 2" xfId="29484"/>
    <cellStyle name="Percent 3 7 2 4 5" xfId="29485"/>
    <cellStyle name="Percent 3 7 2 5 7" xfId="29486"/>
    <cellStyle name="Percent 3 7 2 5 2 4" xfId="29487"/>
    <cellStyle name="Percent 3 7 2 5 2 2 2" xfId="29488"/>
    <cellStyle name="Percent 3 7 2 5 2 3" xfId="29489"/>
    <cellStyle name="Percent 3 7 2 5 3 4" xfId="29490"/>
    <cellStyle name="Percent 3 7 2 5 3 2 2" xfId="29491"/>
    <cellStyle name="Percent 3 7 2 5 3 3" xfId="29492"/>
    <cellStyle name="Percent 3 7 2 5 4 4" xfId="29493"/>
    <cellStyle name="Percent 3 7 2 5 4 2 2" xfId="29494"/>
    <cellStyle name="Percent 3 7 2 5 4 3" xfId="29495"/>
    <cellStyle name="Percent 3 7 2 5 5 2" xfId="29496"/>
    <cellStyle name="Percent 3 7 2 5 6" xfId="29497"/>
    <cellStyle name="Percent 3 7 2 6 6" xfId="29498"/>
    <cellStyle name="Percent 3 7 2 6 2 4" xfId="29499"/>
    <cellStyle name="Percent 3 7 2 6 2 2 2" xfId="29500"/>
    <cellStyle name="Percent 3 7 2 6 2 3" xfId="29501"/>
    <cellStyle name="Percent 3 7 2 6 3 4" xfId="29502"/>
    <cellStyle name="Percent 3 7 2 6 3 2 2" xfId="29503"/>
    <cellStyle name="Percent 3 7 2 6 3 3" xfId="29504"/>
    <cellStyle name="Percent 3 7 2 6 4 2" xfId="29505"/>
    <cellStyle name="Percent 3 7 2 6 5" xfId="29506"/>
    <cellStyle name="Percent 3 7 2 7 4" xfId="29507"/>
    <cellStyle name="Percent 3 7 2 7 2 2" xfId="29508"/>
    <cellStyle name="Percent 3 7 2 7 3" xfId="29509"/>
    <cellStyle name="Percent 3 7 2 8 4" xfId="29510"/>
    <cellStyle name="Percent 3 7 2 8 2 2" xfId="29511"/>
    <cellStyle name="Percent 3 7 2 8 3" xfId="29512"/>
    <cellStyle name="Percent 3 7 2 9 4" xfId="29513"/>
    <cellStyle name="Percent 3 7 2 9 2 2" xfId="29514"/>
    <cellStyle name="Percent 3 7 2 9 3" xfId="29515"/>
    <cellStyle name="Percent 3 7 20 6" xfId="29516"/>
    <cellStyle name="Percent 3 7 20 2 4" xfId="29517"/>
    <cellStyle name="Percent 3 7 20 2 2 2" xfId="29518"/>
    <cellStyle name="Percent 3 7 20 2 3" xfId="29519"/>
    <cellStyle name="Percent 3 7 20 3 4" xfId="29520"/>
    <cellStyle name="Percent 3 7 20 3 2 2" xfId="29521"/>
    <cellStyle name="Percent 3 7 20 3 3" xfId="29522"/>
    <cellStyle name="Percent 3 7 20 4 2" xfId="29523"/>
    <cellStyle name="Percent 3 7 20 5" xfId="29524"/>
    <cellStyle name="Percent 3 7 21 4" xfId="29525"/>
    <cellStyle name="Percent 3 7 21 2 2" xfId="29526"/>
    <cellStyle name="Percent 3 7 21 3" xfId="29527"/>
    <cellStyle name="Percent 3 7 22 4" xfId="29528"/>
    <cellStyle name="Percent 3 7 22 2 2" xfId="29529"/>
    <cellStyle name="Percent 3 7 22 3" xfId="29530"/>
    <cellStyle name="Percent 3 7 23 4" xfId="29531"/>
    <cellStyle name="Percent 3 7 23 2 2" xfId="29532"/>
    <cellStyle name="Percent 3 7 23 3" xfId="29533"/>
    <cellStyle name="Percent 3 7 24 2" xfId="29534"/>
    <cellStyle name="Percent 3 7 25 2" xfId="29535"/>
    <cellStyle name="Percent 3 7 26 2" xfId="29536"/>
    <cellStyle name="Percent 3 7 27" xfId="29537"/>
    <cellStyle name="Percent 3 7 28" xfId="29538"/>
    <cellStyle name="Percent 3 7 29" xfId="29539"/>
    <cellStyle name="Percent 3 7 3 16" xfId="29540"/>
    <cellStyle name="Percent 3 7 3 10 2" xfId="29541"/>
    <cellStyle name="Percent 3 7 3 11 2" xfId="29542"/>
    <cellStyle name="Percent 3 7 3 12 2" xfId="29543"/>
    <cellStyle name="Percent 3 7 3 13" xfId="29544"/>
    <cellStyle name="Percent 3 7 3 14" xfId="29545"/>
    <cellStyle name="Percent 3 7 3 15" xfId="29546"/>
    <cellStyle name="Percent 3 7 3 2 7" xfId="29547"/>
    <cellStyle name="Percent 3 7 3 2 2 4" xfId="29548"/>
    <cellStyle name="Percent 3 7 3 2 2 2 2" xfId="29549"/>
    <cellStyle name="Percent 3 7 3 2 2 3" xfId="29550"/>
    <cellStyle name="Percent 3 7 3 2 3 4" xfId="29551"/>
    <cellStyle name="Percent 3 7 3 2 3 2 2" xfId="29552"/>
    <cellStyle name="Percent 3 7 3 2 3 3" xfId="29553"/>
    <cellStyle name="Percent 3 7 3 2 4 2" xfId="29554"/>
    <cellStyle name="Percent 3 7 3 2 5 2" xfId="29555"/>
    <cellStyle name="Percent 3 7 3 2 6" xfId="29556"/>
    <cellStyle name="Percent 3 7 3 3 6" xfId="29557"/>
    <cellStyle name="Percent 3 7 3 3 2 4" xfId="29558"/>
    <cellStyle name="Percent 3 7 3 3 2 2 2" xfId="29559"/>
    <cellStyle name="Percent 3 7 3 3 2 3" xfId="29560"/>
    <cellStyle name="Percent 3 7 3 3 3 4" xfId="29561"/>
    <cellStyle name="Percent 3 7 3 3 3 2 2" xfId="29562"/>
    <cellStyle name="Percent 3 7 3 3 3 3" xfId="29563"/>
    <cellStyle name="Percent 3 7 3 3 4 2" xfId="29564"/>
    <cellStyle name="Percent 3 7 3 3 5" xfId="29565"/>
    <cellStyle name="Percent 3 7 3 4 6" xfId="29566"/>
    <cellStyle name="Percent 3 7 3 4 2 4" xfId="29567"/>
    <cellStyle name="Percent 3 7 3 4 2 2 2" xfId="29568"/>
    <cellStyle name="Percent 3 7 3 4 2 3" xfId="29569"/>
    <cellStyle name="Percent 3 7 3 4 3 4" xfId="29570"/>
    <cellStyle name="Percent 3 7 3 4 3 2 2" xfId="29571"/>
    <cellStyle name="Percent 3 7 3 4 3 3" xfId="29572"/>
    <cellStyle name="Percent 3 7 3 4 4 2" xfId="29573"/>
    <cellStyle name="Percent 3 7 3 4 5" xfId="29574"/>
    <cellStyle name="Percent 3 7 3 5 7" xfId="29575"/>
    <cellStyle name="Percent 3 7 3 5 2 4" xfId="29576"/>
    <cellStyle name="Percent 3 7 3 5 2 2 2" xfId="29577"/>
    <cellStyle name="Percent 3 7 3 5 2 3" xfId="29578"/>
    <cellStyle name="Percent 3 7 3 5 3 4" xfId="29579"/>
    <cellStyle name="Percent 3 7 3 5 3 2 2" xfId="29580"/>
    <cellStyle name="Percent 3 7 3 5 3 3" xfId="29581"/>
    <cellStyle name="Percent 3 7 3 5 4 4" xfId="29582"/>
    <cellStyle name="Percent 3 7 3 5 4 2 2" xfId="29583"/>
    <cellStyle name="Percent 3 7 3 5 4 3" xfId="29584"/>
    <cellStyle name="Percent 3 7 3 5 5 2" xfId="29585"/>
    <cellStyle name="Percent 3 7 3 5 6" xfId="29586"/>
    <cellStyle name="Percent 3 7 3 6 6" xfId="29587"/>
    <cellStyle name="Percent 3 7 3 6 2 4" xfId="29588"/>
    <cellStyle name="Percent 3 7 3 6 2 2 2" xfId="29589"/>
    <cellStyle name="Percent 3 7 3 6 2 3" xfId="29590"/>
    <cellStyle name="Percent 3 7 3 6 3 4" xfId="29591"/>
    <cellStyle name="Percent 3 7 3 6 3 2 2" xfId="29592"/>
    <cellStyle name="Percent 3 7 3 6 3 3" xfId="29593"/>
    <cellStyle name="Percent 3 7 3 6 4 2" xfId="29594"/>
    <cellStyle name="Percent 3 7 3 6 5" xfId="29595"/>
    <cellStyle name="Percent 3 7 3 7 4" xfId="29596"/>
    <cellStyle name="Percent 3 7 3 7 2 2" xfId="29597"/>
    <cellStyle name="Percent 3 7 3 7 3" xfId="29598"/>
    <cellStyle name="Percent 3 7 3 8 4" xfId="29599"/>
    <cellStyle name="Percent 3 7 3 8 2 2" xfId="29600"/>
    <cellStyle name="Percent 3 7 3 8 3" xfId="29601"/>
    <cellStyle name="Percent 3 7 3 9 4" xfId="29602"/>
    <cellStyle name="Percent 3 7 3 9 2 2" xfId="29603"/>
    <cellStyle name="Percent 3 7 3 9 3" xfId="29604"/>
    <cellStyle name="Percent 3 7 4 16" xfId="29605"/>
    <cellStyle name="Percent 3 7 4 10 2" xfId="29606"/>
    <cellStyle name="Percent 3 7 4 11 2" xfId="29607"/>
    <cellStyle name="Percent 3 7 4 12 2" xfId="29608"/>
    <cellStyle name="Percent 3 7 4 13" xfId="29609"/>
    <cellStyle name="Percent 3 7 4 14" xfId="29610"/>
    <cellStyle name="Percent 3 7 4 15" xfId="29611"/>
    <cellStyle name="Percent 3 7 4 2 7" xfId="29612"/>
    <cellStyle name="Percent 3 7 4 2 2 4" xfId="29613"/>
    <cellStyle name="Percent 3 7 4 2 2 2 2" xfId="29614"/>
    <cellStyle name="Percent 3 7 4 2 2 3" xfId="29615"/>
    <cellStyle name="Percent 3 7 4 2 3 4" xfId="29616"/>
    <cellStyle name="Percent 3 7 4 2 3 2 2" xfId="29617"/>
    <cellStyle name="Percent 3 7 4 2 3 3" xfId="29618"/>
    <cellStyle name="Percent 3 7 4 2 4 2" xfId="29619"/>
    <cellStyle name="Percent 3 7 4 2 5 2" xfId="29620"/>
    <cellStyle name="Percent 3 7 4 2 6" xfId="29621"/>
    <cellStyle name="Percent 3 7 4 3 6" xfId="29622"/>
    <cellStyle name="Percent 3 7 4 3 2 4" xfId="29623"/>
    <cellStyle name="Percent 3 7 4 3 2 2 2" xfId="29624"/>
    <cellStyle name="Percent 3 7 4 3 2 3" xfId="29625"/>
    <cellStyle name="Percent 3 7 4 3 3 4" xfId="29626"/>
    <cellStyle name="Percent 3 7 4 3 3 2 2" xfId="29627"/>
    <cellStyle name="Percent 3 7 4 3 3 3" xfId="29628"/>
    <cellStyle name="Percent 3 7 4 3 4 2" xfId="29629"/>
    <cellStyle name="Percent 3 7 4 3 5" xfId="29630"/>
    <cellStyle name="Percent 3 7 4 4 6" xfId="29631"/>
    <cellStyle name="Percent 3 7 4 4 2 4" xfId="29632"/>
    <cellStyle name="Percent 3 7 4 4 2 2 2" xfId="29633"/>
    <cellStyle name="Percent 3 7 4 4 2 3" xfId="29634"/>
    <cellStyle name="Percent 3 7 4 4 3 4" xfId="29635"/>
    <cellStyle name="Percent 3 7 4 4 3 2 2" xfId="29636"/>
    <cellStyle name="Percent 3 7 4 4 3 3" xfId="29637"/>
    <cellStyle name="Percent 3 7 4 4 4 2" xfId="29638"/>
    <cellStyle name="Percent 3 7 4 4 5" xfId="29639"/>
    <cellStyle name="Percent 3 7 4 5 7" xfId="29640"/>
    <cellStyle name="Percent 3 7 4 5 2 4" xfId="29641"/>
    <cellStyle name="Percent 3 7 4 5 2 2 2" xfId="29642"/>
    <cellStyle name="Percent 3 7 4 5 2 3" xfId="29643"/>
    <cellStyle name="Percent 3 7 4 5 3 4" xfId="29644"/>
    <cellStyle name="Percent 3 7 4 5 3 2 2" xfId="29645"/>
    <cellStyle name="Percent 3 7 4 5 3 3" xfId="29646"/>
    <cellStyle name="Percent 3 7 4 5 4 4" xfId="29647"/>
    <cellStyle name="Percent 3 7 4 5 4 2 2" xfId="29648"/>
    <cellStyle name="Percent 3 7 4 5 4 3" xfId="29649"/>
    <cellStyle name="Percent 3 7 4 5 5 2" xfId="29650"/>
    <cellStyle name="Percent 3 7 4 5 6" xfId="29651"/>
    <cellStyle name="Percent 3 7 4 6 6" xfId="29652"/>
    <cellStyle name="Percent 3 7 4 6 2 4" xfId="29653"/>
    <cellStyle name="Percent 3 7 4 6 2 2 2" xfId="29654"/>
    <cellStyle name="Percent 3 7 4 6 2 3" xfId="29655"/>
    <cellStyle name="Percent 3 7 4 6 3 4" xfId="29656"/>
    <cellStyle name="Percent 3 7 4 6 3 2 2" xfId="29657"/>
    <cellStyle name="Percent 3 7 4 6 3 3" xfId="29658"/>
    <cellStyle name="Percent 3 7 4 6 4 2" xfId="29659"/>
    <cellStyle name="Percent 3 7 4 6 5" xfId="29660"/>
    <cellStyle name="Percent 3 7 4 7 4" xfId="29661"/>
    <cellStyle name="Percent 3 7 4 7 2 2" xfId="29662"/>
    <cellStyle name="Percent 3 7 4 7 3" xfId="29663"/>
    <cellStyle name="Percent 3 7 4 8 4" xfId="29664"/>
    <cellStyle name="Percent 3 7 4 8 2 2" xfId="29665"/>
    <cellStyle name="Percent 3 7 4 8 3" xfId="29666"/>
    <cellStyle name="Percent 3 7 4 9 4" xfId="29667"/>
    <cellStyle name="Percent 3 7 4 9 2 2" xfId="29668"/>
    <cellStyle name="Percent 3 7 4 9 3" xfId="29669"/>
    <cellStyle name="Percent 3 7 5 16" xfId="29670"/>
    <cellStyle name="Percent 3 7 5 10 2" xfId="29671"/>
    <cellStyle name="Percent 3 7 5 11 2" xfId="29672"/>
    <cellStyle name="Percent 3 7 5 12 2" xfId="29673"/>
    <cellStyle name="Percent 3 7 5 13" xfId="29674"/>
    <cellStyle name="Percent 3 7 5 14" xfId="29675"/>
    <cellStyle name="Percent 3 7 5 15" xfId="29676"/>
    <cellStyle name="Percent 3 7 5 2 7" xfId="29677"/>
    <cellStyle name="Percent 3 7 5 2 2 4" xfId="29678"/>
    <cellStyle name="Percent 3 7 5 2 2 2 2" xfId="29679"/>
    <cellStyle name="Percent 3 7 5 2 2 3" xfId="29680"/>
    <cellStyle name="Percent 3 7 5 2 3 4" xfId="29681"/>
    <cellStyle name="Percent 3 7 5 2 3 2 2" xfId="29682"/>
    <cellStyle name="Percent 3 7 5 2 3 3" xfId="29683"/>
    <cellStyle name="Percent 3 7 5 2 4 2" xfId="29684"/>
    <cellStyle name="Percent 3 7 5 2 5 2" xfId="29685"/>
    <cellStyle name="Percent 3 7 5 2 6" xfId="29686"/>
    <cellStyle name="Percent 3 7 5 3 6" xfId="29687"/>
    <cellStyle name="Percent 3 7 5 3 2 4" xfId="29688"/>
    <cellStyle name="Percent 3 7 5 3 2 2 2" xfId="29689"/>
    <cellStyle name="Percent 3 7 5 3 2 3" xfId="29690"/>
    <cellStyle name="Percent 3 7 5 3 3 4" xfId="29691"/>
    <cellStyle name="Percent 3 7 5 3 3 2 2" xfId="29692"/>
    <cellStyle name="Percent 3 7 5 3 3 3" xfId="29693"/>
    <cellStyle name="Percent 3 7 5 3 4 2" xfId="29694"/>
    <cellStyle name="Percent 3 7 5 3 5" xfId="29695"/>
    <cellStyle name="Percent 3 7 5 4 6" xfId="29696"/>
    <cellStyle name="Percent 3 7 5 4 2 4" xfId="29697"/>
    <cellStyle name="Percent 3 7 5 4 2 2 2" xfId="29698"/>
    <cellStyle name="Percent 3 7 5 4 2 3" xfId="29699"/>
    <cellStyle name="Percent 3 7 5 4 3 4" xfId="29700"/>
    <cellStyle name="Percent 3 7 5 4 3 2 2" xfId="29701"/>
    <cellStyle name="Percent 3 7 5 4 3 3" xfId="29702"/>
    <cellStyle name="Percent 3 7 5 4 4 2" xfId="29703"/>
    <cellStyle name="Percent 3 7 5 4 5" xfId="29704"/>
    <cellStyle name="Percent 3 7 5 5 7" xfId="29705"/>
    <cellStyle name="Percent 3 7 5 5 2 4" xfId="29706"/>
    <cellStyle name="Percent 3 7 5 5 2 2 2" xfId="29707"/>
    <cellStyle name="Percent 3 7 5 5 2 3" xfId="29708"/>
    <cellStyle name="Percent 3 7 5 5 3 4" xfId="29709"/>
    <cellStyle name="Percent 3 7 5 5 3 2 2" xfId="29710"/>
    <cellStyle name="Percent 3 7 5 5 3 3" xfId="29711"/>
    <cellStyle name="Percent 3 7 5 5 4 4" xfId="29712"/>
    <cellStyle name="Percent 3 7 5 5 4 2 2" xfId="29713"/>
    <cellStyle name="Percent 3 7 5 5 4 3" xfId="29714"/>
    <cellStyle name="Percent 3 7 5 5 5 2" xfId="29715"/>
    <cellStyle name="Percent 3 7 5 5 6" xfId="29716"/>
    <cellStyle name="Percent 3 7 5 6 6" xfId="29717"/>
    <cellStyle name="Percent 3 7 5 6 2 4" xfId="29718"/>
    <cellStyle name="Percent 3 7 5 6 2 2 2" xfId="29719"/>
    <cellStyle name="Percent 3 7 5 6 2 3" xfId="29720"/>
    <cellStyle name="Percent 3 7 5 6 3 4" xfId="29721"/>
    <cellStyle name="Percent 3 7 5 6 3 2 2" xfId="29722"/>
    <cellStyle name="Percent 3 7 5 6 3 3" xfId="29723"/>
    <cellStyle name="Percent 3 7 5 6 4 2" xfId="29724"/>
    <cellStyle name="Percent 3 7 5 6 5" xfId="29725"/>
    <cellStyle name="Percent 3 7 5 7 4" xfId="29726"/>
    <cellStyle name="Percent 3 7 5 7 2 2" xfId="29727"/>
    <cellStyle name="Percent 3 7 5 7 3" xfId="29728"/>
    <cellStyle name="Percent 3 7 5 8 4" xfId="29729"/>
    <cellStyle name="Percent 3 7 5 8 2 2" xfId="29730"/>
    <cellStyle name="Percent 3 7 5 8 3" xfId="29731"/>
    <cellStyle name="Percent 3 7 5 9 4" xfId="29732"/>
    <cellStyle name="Percent 3 7 5 9 2 2" xfId="29733"/>
    <cellStyle name="Percent 3 7 5 9 3" xfId="29734"/>
    <cellStyle name="Percent 3 7 6 16" xfId="29735"/>
    <cellStyle name="Percent 3 7 6 10 2" xfId="29736"/>
    <cellStyle name="Percent 3 7 6 11 2" xfId="29737"/>
    <cellStyle name="Percent 3 7 6 12 2" xfId="29738"/>
    <cellStyle name="Percent 3 7 6 13" xfId="29739"/>
    <cellStyle name="Percent 3 7 6 14" xfId="29740"/>
    <cellStyle name="Percent 3 7 6 15" xfId="29741"/>
    <cellStyle name="Percent 3 7 6 2 7" xfId="29742"/>
    <cellStyle name="Percent 3 7 6 2 2 4" xfId="29743"/>
    <cellStyle name="Percent 3 7 6 2 2 2 2" xfId="29744"/>
    <cellStyle name="Percent 3 7 6 2 2 3" xfId="29745"/>
    <cellStyle name="Percent 3 7 6 2 3 4" xfId="29746"/>
    <cellStyle name="Percent 3 7 6 2 3 2 2" xfId="29747"/>
    <cellStyle name="Percent 3 7 6 2 3 3" xfId="29748"/>
    <cellStyle name="Percent 3 7 6 2 4 2" xfId="29749"/>
    <cellStyle name="Percent 3 7 6 2 5 2" xfId="29750"/>
    <cellStyle name="Percent 3 7 6 2 6" xfId="29751"/>
    <cellStyle name="Percent 3 7 6 3 6" xfId="29752"/>
    <cellStyle name="Percent 3 7 6 3 2 4" xfId="29753"/>
    <cellStyle name="Percent 3 7 6 3 2 2 2" xfId="29754"/>
    <cellStyle name="Percent 3 7 6 3 2 3" xfId="29755"/>
    <cellStyle name="Percent 3 7 6 3 3 4" xfId="29756"/>
    <cellStyle name="Percent 3 7 6 3 3 2 2" xfId="29757"/>
    <cellStyle name="Percent 3 7 6 3 3 3" xfId="29758"/>
    <cellStyle name="Percent 3 7 6 3 4 2" xfId="29759"/>
    <cellStyle name="Percent 3 7 6 3 5" xfId="29760"/>
    <cellStyle name="Percent 3 7 6 4 6" xfId="29761"/>
    <cellStyle name="Percent 3 7 6 4 2 4" xfId="29762"/>
    <cellStyle name="Percent 3 7 6 4 2 2 2" xfId="29763"/>
    <cellStyle name="Percent 3 7 6 4 2 3" xfId="29764"/>
    <cellStyle name="Percent 3 7 6 4 3 4" xfId="29765"/>
    <cellStyle name="Percent 3 7 6 4 3 2 2" xfId="29766"/>
    <cellStyle name="Percent 3 7 6 4 3 3" xfId="29767"/>
    <cellStyle name="Percent 3 7 6 4 4 2" xfId="29768"/>
    <cellStyle name="Percent 3 7 6 4 5" xfId="29769"/>
    <cellStyle name="Percent 3 7 6 5 7" xfId="29770"/>
    <cellStyle name="Percent 3 7 6 5 2 4" xfId="29771"/>
    <cellStyle name="Percent 3 7 6 5 2 2 2" xfId="29772"/>
    <cellStyle name="Percent 3 7 6 5 2 3" xfId="29773"/>
    <cellStyle name="Percent 3 7 6 5 3 4" xfId="29774"/>
    <cellStyle name="Percent 3 7 6 5 3 2 2" xfId="29775"/>
    <cellStyle name="Percent 3 7 6 5 3 3" xfId="29776"/>
    <cellStyle name="Percent 3 7 6 5 4 4" xfId="29777"/>
    <cellStyle name="Percent 3 7 6 5 4 2 2" xfId="29778"/>
    <cellStyle name="Percent 3 7 6 5 4 3" xfId="29779"/>
    <cellStyle name="Percent 3 7 6 5 5 2" xfId="29780"/>
    <cellStyle name="Percent 3 7 6 5 6" xfId="29781"/>
    <cellStyle name="Percent 3 7 6 6 6" xfId="29782"/>
    <cellStyle name="Percent 3 7 6 6 2 4" xfId="29783"/>
    <cellStyle name="Percent 3 7 6 6 2 2 2" xfId="29784"/>
    <cellStyle name="Percent 3 7 6 6 2 3" xfId="29785"/>
    <cellStyle name="Percent 3 7 6 6 3 4" xfId="29786"/>
    <cellStyle name="Percent 3 7 6 6 3 2 2" xfId="29787"/>
    <cellStyle name="Percent 3 7 6 6 3 3" xfId="29788"/>
    <cellStyle name="Percent 3 7 6 6 4 2" xfId="29789"/>
    <cellStyle name="Percent 3 7 6 6 5" xfId="29790"/>
    <cellStyle name="Percent 3 7 6 7 4" xfId="29791"/>
    <cellStyle name="Percent 3 7 6 7 2 2" xfId="29792"/>
    <cellStyle name="Percent 3 7 6 7 3" xfId="29793"/>
    <cellStyle name="Percent 3 7 6 8 4" xfId="29794"/>
    <cellStyle name="Percent 3 7 6 8 2 2" xfId="29795"/>
    <cellStyle name="Percent 3 7 6 8 3" xfId="29796"/>
    <cellStyle name="Percent 3 7 6 9 4" xfId="29797"/>
    <cellStyle name="Percent 3 7 6 9 2 2" xfId="29798"/>
    <cellStyle name="Percent 3 7 6 9 3" xfId="29799"/>
    <cellStyle name="Percent 3 7 7 16" xfId="29800"/>
    <cellStyle name="Percent 3 7 7 10 2" xfId="29801"/>
    <cellStyle name="Percent 3 7 7 11 2" xfId="29802"/>
    <cellStyle name="Percent 3 7 7 12 2" xfId="29803"/>
    <cellStyle name="Percent 3 7 7 13" xfId="29804"/>
    <cellStyle name="Percent 3 7 7 14" xfId="29805"/>
    <cellStyle name="Percent 3 7 7 15" xfId="29806"/>
    <cellStyle name="Percent 3 7 7 2 7" xfId="29807"/>
    <cellStyle name="Percent 3 7 7 2 2 4" xfId="29808"/>
    <cellStyle name="Percent 3 7 7 2 2 2 2" xfId="29809"/>
    <cellStyle name="Percent 3 7 7 2 2 3" xfId="29810"/>
    <cellStyle name="Percent 3 7 7 2 3 4" xfId="29811"/>
    <cellStyle name="Percent 3 7 7 2 3 2 2" xfId="29812"/>
    <cellStyle name="Percent 3 7 7 2 3 3" xfId="29813"/>
    <cellStyle name="Percent 3 7 7 2 4 2" xfId="29814"/>
    <cellStyle name="Percent 3 7 7 2 5 2" xfId="29815"/>
    <cellStyle name="Percent 3 7 7 2 6" xfId="29816"/>
    <cellStyle name="Percent 3 7 7 3 6" xfId="29817"/>
    <cellStyle name="Percent 3 7 7 3 2 4" xfId="29818"/>
    <cellStyle name="Percent 3 7 7 3 2 2 2" xfId="29819"/>
    <cellStyle name="Percent 3 7 7 3 2 3" xfId="29820"/>
    <cellStyle name="Percent 3 7 7 3 3 4" xfId="29821"/>
    <cellStyle name="Percent 3 7 7 3 3 2 2" xfId="29822"/>
    <cellStyle name="Percent 3 7 7 3 3 3" xfId="29823"/>
    <cellStyle name="Percent 3 7 7 3 4 2" xfId="29824"/>
    <cellStyle name="Percent 3 7 7 3 5" xfId="29825"/>
    <cellStyle name="Percent 3 7 7 4 6" xfId="29826"/>
    <cellStyle name="Percent 3 7 7 4 2 4" xfId="29827"/>
    <cellStyle name="Percent 3 7 7 4 2 2 2" xfId="29828"/>
    <cellStyle name="Percent 3 7 7 4 2 3" xfId="29829"/>
    <cellStyle name="Percent 3 7 7 4 3 4" xfId="29830"/>
    <cellStyle name="Percent 3 7 7 4 3 2 2" xfId="29831"/>
    <cellStyle name="Percent 3 7 7 4 3 3" xfId="29832"/>
    <cellStyle name="Percent 3 7 7 4 4 2" xfId="29833"/>
    <cellStyle name="Percent 3 7 7 4 5" xfId="29834"/>
    <cellStyle name="Percent 3 7 7 5 7" xfId="29835"/>
    <cellStyle name="Percent 3 7 7 5 2 4" xfId="29836"/>
    <cellStyle name="Percent 3 7 7 5 2 2 2" xfId="29837"/>
    <cellStyle name="Percent 3 7 7 5 2 3" xfId="29838"/>
    <cellStyle name="Percent 3 7 7 5 3 4" xfId="29839"/>
    <cellStyle name="Percent 3 7 7 5 3 2 2" xfId="29840"/>
    <cellStyle name="Percent 3 7 7 5 3 3" xfId="29841"/>
    <cellStyle name="Percent 3 7 7 5 4 4" xfId="29842"/>
    <cellStyle name="Percent 3 7 7 5 4 2 2" xfId="29843"/>
    <cellStyle name="Percent 3 7 7 5 4 3" xfId="29844"/>
    <cellStyle name="Percent 3 7 7 5 5 2" xfId="29845"/>
    <cellStyle name="Percent 3 7 7 5 6" xfId="29846"/>
    <cellStyle name="Percent 3 7 7 6 6" xfId="29847"/>
    <cellStyle name="Percent 3 7 7 6 2 4" xfId="29848"/>
    <cellStyle name="Percent 3 7 7 6 2 2 2" xfId="29849"/>
    <cellStyle name="Percent 3 7 7 6 2 3" xfId="29850"/>
    <cellStyle name="Percent 3 7 7 6 3 4" xfId="29851"/>
    <cellStyle name="Percent 3 7 7 6 3 2 2" xfId="29852"/>
    <cellStyle name="Percent 3 7 7 6 3 3" xfId="29853"/>
    <cellStyle name="Percent 3 7 7 6 4 2" xfId="29854"/>
    <cellStyle name="Percent 3 7 7 6 5" xfId="29855"/>
    <cellStyle name="Percent 3 7 7 7 4" xfId="29856"/>
    <cellStyle name="Percent 3 7 7 7 2 2" xfId="29857"/>
    <cellStyle name="Percent 3 7 7 7 3" xfId="29858"/>
    <cellStyle name="Percent 3 7 7 8 4" xfId="29859"/>
    <cellStyle name="Percent 3 7 7 8 2 2" xfId="29860"/>
    <cellStyle name="Percent 3 7 7 8 3" xfId="29861"/>
    <cellStyle name="Percent 3 7 7 9 4" xfId="29862"/>
    <cellStyle name="Percent 3 7 7 9 2 2" xfId="29863"/>
    <cellStyle name="Percent 3 7 7 9 3" xfId="29864"/>
    <cellStyle name="Percent 3 7 8 16" xfId="29865"/>
    <cellStyle name="Percent 3 7 8 10 2" xfId="29866"/>
    <cellStyle name="Percent 3 7 8 11 2" xfId="29867"/>
    <cellStyle name="Percent 3 7 8 12 2" xfId="29868"/>
    <cellStyle name="Percent 3 7 8 13" xfId="29869"/>
    <cellStyle name="Percent 3 7 8 14" xfId="29870"/>
    <cellStyle name="Percent 3 7 8 15" xfId="29871"/>
    <cellStyle name="Percent 3 7 8 2 7" xfId="29872"/>
    <cellStyle name="Percent 3 7 8 2 2 4" xfId="29873"/>
    <cellStyle name="Percent 3 7 8 2 2 2 2" xfId="29874"/>
    <cellStyle name="Percent 3 7 8 2 2 3" xfId="29875"/>
    <cellStyle name="Percent 3 7 8 2 3 4" xfId="29876"/>
    <cellStyle name="Percent 3 7 8 2 3 2 2" xfId="29877"/>
    <cellStyle name="Percent 3 7 8 2 3 3" xfId="29878"/>
    <cellStyle name="Percent 3 7 8 2 4 2" xfId="29879"/>
    <cellStyle name="Percent 3 7 8 2 5 2" xfId="29880"/>
    <cellStyle name="Percent 3 7 8 2 6" xfId="29881"/>
    <cellStyle name="Percent 3 7 8 3 6" xfId="29882"/>
    <cellStyle name="Percent 3 7 8 3 2 4" xfId="29883"/>
    <cellStyle name="Percent 3 7 8 3 2 2 2" xfId="29884"/>
    <cellStyle name="Percent 3 7 8 3 2 3" xfId="29885"/>
    <cellStyle name="Percent 3 7 8 3 3 4" xfId="29886"/>
    <cellStyle name="Percent 3 7 8 3 3 2 2" xfId="29887"/>
    <cellStyle name="Percent 3 7 8 3 3 3" xfId="29888"/>
    <cellStyle name="Percent 3 7 8 3 4 2" xfId="29889"/>
    <cellStyle name="Percent 3 7 8 3 5" xfId="29890"/>
    <cellStyle name="Percent 3 7 8 4 6" xfId="29891"/>
    <cellStyle name="Percent 3 7 8 4 2 4" xfId="29892"/>
    <cellStyle name="Percent 3 7 8 4 2 2 2" xfId="29893"/>
    <cellStyle name="Percent 3 7 8 4 2 3" xfId="29894"/>
    <cellStyle name="Percent 3 7 8 4 3 4" xfId="29895"/>
    <cellStyle name="Percent 3 7 8 4 3 2 2" xfId="29896"/>
    <cellStyle name="Percent 3 7 8 4 3 3" xfId="29897"/>
    <cellStyle name="Percent 3 7 8 4 4 2" xfId="29898"/>
    <cellStyle name="Percent 3 7 8 4 5" xfId="29899"/>
    <cellStyle name="Percent 3 7 8 5 7" xfId="29900"/>
    <cellStyle name="Percent 3 7 8 5 2 4" xfId="29901"/>
    <cellStyle name="Percent 3 7 8 5 2 2 2" xfId="29902"/>
    <cellStyle name="Percent 3 7 8 5 2 3" xfId="29903"/>
    <cellStyle name="Percent 3 7 8 5 3 4" xfId="29904"/>
    <cellStyle name="Percent 3 7 8 5 3 2 2" xfId="29905"/>
    <cellStyle name="Percent 3 7 8 5 3 3" xfId="29906"/>
    <cellStyle name="Percent 3 7 8 5 4 4" xfId="29907"/>
    <cellStyle name="Percent 3 7 8 5 4 2 2" xfId="29908"/>
    <cellStyle name="Percent 3 7 8 5 4 3" xfId="29909"/>
    <cellStyle name="Percent 3 7 8 5 5 2" xfId="29910"/>
    <cellStyle name="Percent 3 7 8 5 6" xfId="29911"/>
    <cellStyle name="Percent 3 7 8 6 6" xfId="29912"/>
    <cellStyle name="Percent 3 7 8 6 2 4" xfId="29913"/>
    <cellStyle name="Percent 3 7 8 6 2 2 2" xfId="29914"/>
    <cellStyle name="Percent 3 7 8 6 2 3" xfId="29915"/>
    <cellStyle name="Percent 3 7 8 6 3 4" xfId="29916"/>
    <cellStyle name="Percent 3 7 8 6 3 2 2" xfId="29917"/>
    <cellStyle name="Percent 3 7 8 6 3 3" xfId="29918"/>
    <cellStyle name="Percent 3 7 8 6 4 2" xfId="29919"/>
    <cellStyle name="Percent 3 7 8 6 5" xfId="29920"/>
    <cellStyle name="Percent 3 7 8 7 4" xfId="29921"/>
    <cellStyle name="Percent 3 7 8 7 2 2" xfId="29922"/>
    <cellStyle name="Percent 3 7 8 7 3" xfId="29923"/>
    <cellStyle name="Percent 3 7 8 8 4" xfId="29924"/>
    <cellStyle name="Percent 3 7 8 8 2 2" xfId="29925"/>
    <cellStyle name="Percent 3 7 8 8 3" xfId="29926"/>
    <cellStyle name="Percent 3 7 8 9 4" xfId="29927"/>
    <cellStyle name="Percent 3 7 8 9 2 2" xfId="29928"/>
    <cellStyle name="Percent 3 7 8 9 3" xfId="29929"/>
    <cellStyle name="Percent 3 7 9 16" xfId="29930"/>
    <cellStyle name="Percent 3 7 9 10 2" xfId="29931"/>
    <cellStyle name="Percent 3 7 9 11 2" xfId="29932"/>
    <cellStyle name="Percent 3 7 9 12 2" xfId="29933"/>
    <cellStyle name="Percent 3 7 9 13" xfId="29934"/>
    <cellStyle name="Percent 3 7 9 14" xfId="29935"/>
    <cellStyle name="Percent 3 7 9 15" xfId="29936"/>
    <cellStyle name="Percent 3 7 9 2 7" xfId="29937"/>
    <cellStyle name="Percent 3 7 9 2 2 4" xfId="29938"/>
    <cellStyle name="Percent 3 7 9 2 2 2 2" xfId="29939"/>
    <cellStyle name="Percent 3 7 9 2 2 3" xfId="29940"/>
    <cellStyle name="Percent 3 7 9 2 3 4" xfId="29941"/>
    <cellStyle name="Percent 3 7 9 2 3 2 2" xfId="29942"/>
    <cellStyle name="Percent 3 7 9 2 3 3" xfId="29943"/>
    <cellStyle name="Percent 3 7 9 2 4 2" xfId="29944"/>
    <cellStyle name="Percent 3 7 9 2 5 2" xfId="29945"/>
    <cellStyle name="Percent 3 7 9 2 6" xfId="29946"/>
    <cellStyle name="Percent 3 7 9 3 6" xfId="29947"/>
    <cellStyle name="Percent 3 7 9 3 2 4" xfId="29948"/>
    <cellStyle name="Percent 3 7 9 3 2 2 2" xfId="29949"/>
    <cellStyle name="Percent 3 7 9 3 2 3" xfId="29950"/>
    <cellStyle name="Percent 3 7 9 3 3 4" xfId="29951"/>
    <cellStyle name="Percent 3 7 9 3 3 2 2" xfId="29952"/>
    <cellStyle name="Percent 3 7 9 3 3 3" xfId="29953"/>
    <cellStyle name="Percent 3 7 9 3 4 2" xfId="29954"/>
    <cellStyle name="Percent 3 7 9 3 5" xfId="29955"/>
    <cellStyle name="Percent 3 7 9 4 6" xfId="29956"/>
    <cellStyle name="Percent 3 7 9 4 2 4" xfId="29957"/>
    <cellStyle name="Percent 3 7 9 4 2 2 2" xfId="29958"/>
    <cellStyle name="Percent 3 7 9 4 2 3" xfId="29959"/>
    <cellStyle name="Percent 3 7 9 4 3 4" xfId="29960"/>
    <cellStyle name="Percent 3 7 9 4 3 2 2" xfId="29961"/>
    <cellStyle name="Percent 3 7 9 4 3 3" xfId="29962"/>
    <cellStyle name="Percent 3 7 9 4 4 2" xfId="29963"/>
    <cellStyle name="Percent 3 7 9 4 5" xfId="29964"/>
    <cellStyle name="Percent 3 7 9 5 7" xfId="29965"/>
    <cellStyle name="Percent 3 7 9 5 2 4" xfId="29966"/>
    <cellStyle name="Percent 3 7 9 5 2 2 2" xfId="29967"/>
    <cellStyle name="Percent 3 7 9 5 2 3" xfId="29968"/>
    <cellStyle name="Percent 3 7 9 5 3 4" xfId="29969"/>
    <cellStyle name="Percent 3 7 9 5 3 2 2" xfId="29970"/>
    <cellStyle name="Percent 3 7 9 5 3 3" xfId="29971"/>
    <cellStyle name="Percent 3 7 9 5 4 4" xfId="29972"/>
    <cellStyle name="Percent 3 7 9 5 4 2 2" xfId="29973"/>
    <cellStyle name="Percent 3 7 9 5 4 3" xfId="29974"/>
    <cellStyle name="Percent 3 7 9 5 5 2" xfId="29975"/>
    <cellStyle name="Percent 3 7 9 5 6" xfId="29976"/>
    <cellStyle name="Percent 3 7 9 6 6" xfId="29977"/>
    <cellStyle name="Percent 3 7 9 6 2 4" xfId="29978"/>
    <cellStyle name="Percent 3 7 9 6 2 2 2" xfId="29979"/>
    <cellStyle name="Percent 3 7 9 6 2 3" xfId="29980"/>
    <cellStyle name="Percent 3 7 9 6 3 4" xfId="29981"/>
    <cellStyle name="Percent 3 7 9 6 3 2 2" xfId="29982"/>
    <cellStyle name="Percent 3 7 9 6 3 3" xfId="29983"/>
    <cellStyle name="Percent 3 7 9 6 4 2" xfId="29984"/>
    <cellStyle name="Percent 3 7 9 6 5" xfId="29985"/>
    <cellStyle name="Percent 3 7 9 7 4" xfId="29986"/>
    <cellStyle name="Percent 3 7 9 7 2 2" xfId="29987"/>
    <cellStyle name="Percent 3 7 9 7 3" xfId="29988"/>
    <cellStyle name="Percent 3 7 9 8 4" xfId="29989"/>
    <cellStyle name="Percent 3 7 9 8 2 2" xfId="29990"/>
    <cellStyle name="Percent 3 7 9 8 3" xfId="29991"/>
    <cellStyle name="Percent 3 7 9 9 4" xfId="29992"/>
    <cellStyle name="Percent 3 7 9 9 2 2" xfId="29993"/>
    <cellStyle name="Percent 3 7 9 9 3" xfId="29994"/>
    <cellStyle name="Percent 3 8 30" xfId="29995"/>
    <cellStyle name="Percent 3 8 10 16" xfId="29996"/>
    <cellStyle name="Percent 3 8 10 10 2" xfId="29997"/>
    <cellStyle name="Percent 3 8 10 11 2" xfId="29998"/>
    <cellStyle name="Percent 3 8 10 12 2" xfId="29999"/>
    <cellStyle name="Percent 3 8 10 13" xfId="30000"/>
    <cellStyle name="Percent 3 8 10 14" xfId="30001"/>
    <cellStyle name="Percent 3 8 10 15" xfId="30002"/>
    <cellStyle name="Percent 3 8 10 2 7" xfId="30003"/>
    <cellStyle name="Percent 3 8 10 2 2 4" xfId="30004"/>
    <cellStyle name="Percent 3 8 10 2 2 2 2" xfId="30005"/>
    <cellStyle name="Percent 3 8 10 2 2 3" xfId="30006"/>
    <cellStyle name="Percent 3 8 10 2 3 4" xfId="30007"/>
    <cellStyle name="Percent 3 8 10 2 3 2 2" xfId="30008"/>
    <cellStyle name="Percent 3 8 10 2 3 3" xfId="30009"/>
    <cellStyle name="Percent 3 8 10 2 4 2" xfId="30010"/>
    <cellStyle name="Percent 3 8 10 2 5 2" xfId="30011"/>
    <cellStyle name="Percent 3 8 10 2 6" xfId="30012"/>
    <cellStyle name="Percent 3 8 10 3 6" xfId="30013"/>
    <cellStyle name="Percent 3 8 10 3 2 4" xfId="30014"/>
    <cellStyle name="Percent 3 8 10 3 2 2 2" xfId="30015"/>
    <cellStyle name="Percent 3 8 10 3 2 3" xfId="30016"/>
    <cellStyle name="Percent 3 8 10 3 3 4" xfId="30017"/>
    <cellStyle name="Percent 3 8 10 3 3 2 2" xfId="30018"/>
    <cellStyle name="Percent 3 8 10 3 3 3" xfId="30019"/>
    <cellStyle name="Percent 3 8 10 3 4 2" xfId="30020"/>
    <cellStyle name="Percent 3 8 10 3 5" xfId="30021"/>
    <cellStyle name="Percent 3 8 10 4 6" xfId="30022"/>
    <cellStyle name="Percent 3 8 10 4 2 4" xfId="30023"/>
    <cellStyle name="Percent 3 8 10 4 2 2 2" xfId="30024"/>
    <cellStyle name="Percent 3 8 10 4 2 3" xfId="30025"/>
    <cellStyle name="Percent 3 8 10 4 3 4" xfId="30026"/>
    <cellStyle name="Percent 3 8 10 4 3 2 2" xfId="30027"/>
    <cellStyle name="Percent 3 8 10 4 3 3" xfId="30028"/>
    <cellStyle name="Percent 3 8 10 4 4 2" xfId="30029"/>
    <cellStyle name="Percent 3 8 10 4 5" xfId="30030"/>
    <cellStyle name="Percent 3 8 10 5 7" xfId="30031"/>
    <cellStyle name="Percent 3 8 10 5 2 4" xfId="30032"/>
    <cellStyle name="Percent 3 8 10 5 2 2 2" xfId="30033"/>
    <cellStyle name="Percent 3 8 10 5 2 3" xfId="30034"/>
    <cellStyle name="Percent 3 8 10 5 3 4" xfId="30035"/>
    <cellStyle name="Percent 3 8 10 5 3 2 2" xfId="30036"/>
    <cellStyle name="Percent 3 8 10 5 3 3" xfId="30037"/>
    <cellStyle name="Percent 3 8 10 5 4 4" xfId="30038"/>
    <cellStyle name="Percent 3 8 10 5 4 2 2" xfId="30039"/>
    <cellStyle name="Percent 3 8 10 5 4 3" xfId="30040"/>
    <cellStyle name="Percent 3 8 10 5 5 2" xfId="30041"/>
    <cellStyle name="Percent 3 8 10 5 6" xfId="30042"/>
    <cellStyle name="Percent 3 8 10 6 6" xfId="30043"/>
    <cellStyle name="Percent 3 8 10 6 2 4" xfId="30044"/>
    <cellStyle name="Percent 3 8 10 6 2 2 2" xfId="30045"/>
    <cellStyle name="Percent 3 8 10 6 2 3" xfId="30046"/>
    <cellStyle name="Percent 3 8 10 6 3 4" xfId="30047"/>
    <cellStyle name="Percent 3 8 10 6 3 2 2" xfId="30048"/>
    <cellStyle name="Percent 3 8 10 6 3 3" xfId="30049"/>
    <cellStyle name="Percent 3 8 10 6 4 2" xfId="30050"/>
    <cellStyle name="Percent 3 8 10 6 5" xfId="30051"/>
    <cellStyle name="Percent 3 8 10 7 4" xfId="30052"/>
    <cellStyle name="Percent 3 8 10 7 2 2" xfId="30053"/>
    <cellStyle name="Percent 3 8 10 7 3" xfId="30054"/>
    <cellStyle name="Percent 3 8 10 8 4" xfId="30055"/>
    <cellStyle name="Percent 3 8 10 8 2 2" xfId="30056"/>
    <cellStyle name="Percent 3 8 10 8 3" xfId="30057"/>
    <cellStyle name="Percent 3 8 10 9 4" xfId="30058"/>
    <cellStyle name="Percent 3 8 10 9 2 2" xfId="30059"/>
    <cellStyle name="Percent 3 8 10 9 3" xfId="30060"/>
    <cellStyle name="Percent 3 8 11 16" xfId="30061"/>
    <cellStyle name="Percent 3 8 11 10 2" xfId="30062"/>
    <cellStyle name="Percent 3 8 11 11 2" xfId="30063"/>
    <cellStyle name="Percent 3 8 11 12 2" xfId="30064"/>
    <cellStyle name="Percent 3 8 11 13" xfId="30065"/>
    <cellStyle name="Percent 3 8 11 14" xfId="30066"/>
    <cellStyle name="Percent 3 8 11 15" xfId="30067"/>
    <cellStyle name="Percent 3 8 11 2 7" xfId="30068"/>
    <cellStyle name="Percent 3 8 11 2 2 4" xfId="30069"/>
    <cellStyle name="Percent 3 8 11 2 2 2 2" xfId="30070"/>
    <cellStyle name="Percent 3 8 11 2 2 3" xfId="30071"/>
    <cellStyle name="Percent 3 8 11 2 3 4" xfId="30072"/>
    <cellStyle name="Percent 3 8 11 2 3 2 2" xfId="30073"/>
    <cellStyle name="Percent 3 8 11 2 3 3" xfId="30074"/>
    <cellStyle name="Percent 3 8 11 2 4 2" xfId="30075"/>
    <cellStyle name="Percent 3 8 11 2 5 2" xfId="30076"/>
    <cellStyle name="Percent 3 8 11 2 6" xfId="30077"/>
    <cellStyle name="Percent 3 8 11 3 6" xfId="30078"/>
    <cellStyle name="Percent 3 8 11 3 2 4" xfId="30079"/>
    <cellStyle name="Percent 3 8 11 3 2 2 2" xfId="30080"/>
    <cellStyle name="Percent 3 8 11 3 2 3" xfId="30081"/>
    <cellStyle name="Percent 3 8 11 3 3 4" xfId="30082"/>
    <cellStyle name="Percent 3 8 11 3 3 2 2" xfId="30083"/>
    <cellStyle name="Percent 3 8 11 3 3 3" xfId="30084"/>
    <cellStyle name="Percent 3 8 11 3 4 2" xfId="30085"/>
    <cellStyle name="Percent 3 8 11 3 5" xfId="30086"/>
    <cellStyle name="Percent 3 8 11 4 6" xfId="30087"/>
    <cellStyle name="Percent 3 8 11 4 2 4" xfId="30088"/>
    <cellStyle name="Percent 3 8 11 4 2 2 2" xfId="30089"/>
    <cellStyle name="Percent 3 8 11 4 2 3" xfId="30090"/>
    <cellStyle name="Percent 3 8 11 4 3 4" xfId="30091"/>
    <cellStyle name="Percent 3 8 11 4 3 2 2" xfId="30092"/>
    <cellStyle name="Percent 3 8 11 4 3 3" xfId="30093"/>
    <cellStyle name="Percent 3 8 11 4 4 2" xfId="30094"/>
    <cellStyle name="Percent 3 8 11 4 5" xfId="30095"/>
    <cellStyle name="Percent 3 8 11 5 7" xfId="30096"/>
    <cellStyle name="Percent 3 8 11 5 2 4" xfId="30097"/>
    <cellStyle name="Percent 3 8 11 5 2 2 2" xfId="30098"/>
    <cellStyle name="Percent 3 8 11 5 2 3" xfId="30099"/>
    <cellStyle name="Percent 3 8 11 5 3 4" xfId="30100"/>
    <cellStyle name="Percent 3 8 11 5 3 2 2" xfId="30101"/>
    <cellStyle name="Percent 3 8 11 5 3 3" xfId="30102"/>
    <cellStyle name="Percent 3 8 11 5 4 4" xfId="30103"/>
    <cellStyle name="Percent 3 8 11 5 4 2 2" xfId="30104"/>
    <cellStyle name="Percent 3 8 11 5 4 3" xfId="30105"/>
    <cellStyle name="Percent 3 8 11 5 5 2" xfId="30106"/>
    <cellStyle name="Percent 3 8 11 5 6" xfId="30107"/>
    <cellStyle name="Percent 3 8 11 6 6" xfId="30108"/>
    <cellStyle name="Percent 3 8 11 6 2 4" xfId="30109"/>
    <cellStyle name="Percent 3 8 11 6 2 2 2" xfId="30110"/>
    <cellStyle name="Percent 3 8 11 6 2 3" xfId="30111"/>
    <cellStyle name="Percent 3 8 11 6 3 4" xfId="30112"/>
    <cellStyle name="Percent 3 8 11 6 3 2 2" xfId="30113"/>
    <cellStyle name="Percent 3 8 11 6 3 3" xfId="30114"/>
    <cellStyle name="Percent 3 8 11 6 4 2" xfId="30115"/>
    <cellStyle name="Percent 3 8 11 6 5" xfId="30116"/>
    <cellStyle name="Percent 3 8 11 7 4" xfId="30117"/>
    <cellStyle name="Percent 3 8 11 7 2 2" xfId="30118"/>
    <cellStyle name="Percent 3 8 11 7 3" xfId="30119"/>
    <cellStyle name="Percent 3 8 11 8 4" xfId="30120"/>
    <cellStyle name="Percent 3 8 11 8 2 2" xfId="30121"/>
    <cellStyle name="Percent 3 8 11 8 3" xfId="30122"/>
    <cellStyle name="Percent 3 8 11 9 4" xfId="30123"/>
    <cellStyle name="Percent 3 8 11 9 2 2" xfId="30124"/>
    <cellStyle name="Percent 3 8 11 9 3" xfId="30125"/>
    <cellStyle name="Percent 3 8 12 16" xfId="30126"/>
    <cellStyle name="Percent 3 8 12 10 2" xfId="30127"/>
    <cellStyle name="Percent 3 8 12 11 2" xfId="30128"/>
    <cellStyle name="Percent 3 8 12 12 2" xfId="30129"/>
    <cellStyle name="Percent 3 8 12 13" xfId="30130"/>
    <cellStyle name="Percent 3 8 12 14" xfId="30131"/>
    <cellStyle name="Percent 3 8 12 15" xfId="30132"/>
    <cellStyle name="Percent 3 8 12 2 7" xfId="30133"/>
    <cellStyle name="Percent 3 8 12 2 2 4" xfId="30134"/>
    <cellStyle name="Percent 3 8 12 2 2 2 2" xfId="30135"/>
    <cellStyle name="Percent 3 8 12 2 2 3" xfId="30136"/>
    <cellStyle name="Percent 3 8 12 2 3 4" xfId="30137"/>
    <cellStyle name="Percent 3 8 12 2 3 2 2" xfId="30138"/>
    <cellStyle name="Percent 3 8 12 2 3 3" xfId="30139"/>
    <cellStyle name="Percent 3 8 12 2 4 2" xfId="30140"/>
    <cellStyle name="Percent 3 8 12 2 5 2" xfId="30141"/>
    <cellStyle name="Percent 3 8 12 2 6" xfId="30142"/>
    <cellStyle name="Percent 3 8 12 3 6" xfId="30143"/>
    <cellStyle name="Percent 3 8 12 3 2 4" xfId="30144"/>
    <cellStyle name="Percent 3 8 12 3 2 2 2" xfId="30145"/>
    <cellStyle name="Percent 3 8 12 3 2 3" xfId="30146"/>
    <cellStyle name="Percent 3 8 12 3 3 4" xfId="30147"/>
    <cellStyle name="Percent 3 8 12 3 3 2 2" xfId="30148"/>
    <cellStyle name="Percent 3 8 12 3 3 3" xfId="30149"/>
    <cellStyle name="Percent 3 8 12 3 4 2" xfId="30150"/>
    <cellStyle name="Percent 3 8 12 3 5" xfId="30151"/>
    <cellStyle name="Percent 3 8 12 4 6" xfId="30152"/>
    <cellStyle name="Percent 3 8 12 4 2 4" xfId="30153"/>
    <cellStyle name="Percent 3 8 12 4 2 2 2" xfId="30154"/>
    <cellStyle name="Percent 3 8 12 4 2 3" xfId="30155"/>
    <cellStyle name="Percent 3 8 12 4 3 4" xfId="30156"/>
    <cellStyle name="Percent 3 8 12 4 3 2 2" xfId="30157"/>
    <cellStyle name="Percent 3 8 12 4 3 3" xfId="30158"/>
    <cellStyle name="Percent 3 8 12 4 4 2" xfId="30159"/>
    <cellStyle name="Percent 3 8 12 4 5" xfId="30160"/>
    <cellStyle name="Percent 3 8 12 5 7" xfId="30161"/>
    <cellStyle name="Percent 3 8 12 5 2 4" xfId="30162"/>
    <cellStyle name="Percent 3 8 12 5 2 2 2" xfId="30163"/>
    <cellStyle name="Percent 3 8 12 5 2 3" xfId="30164"/>
    <cellStyle name="Percent 3 8 12 5 3 4" xfId="30165"/>
    <cellStyle name="Percent 3 8 12 5 3 2 2" xfId="30166"/>
    <cellStyle name="Percent 3 8 12 5 3 3" xfId="30167"/>
    <cellStyle name="Percent 3 8 12 5 4 4" xfId="30168"/>
    <cellStyle name="Percent 3 8 12 5 4 2 2" xfId="30169"/>
    <cellStyle name="Percent 3 8 12 5 4 3" xfId="30170"/>
    <cellStyle name="Percent 3 8 12 5 5 2" xfId="30171"/>
    <cellStyle name="Percent 3 8 12 5 6" xfId="30172"/>
    <cellStyle name="Percent 3 8 12 6 6" xfId="30173"/>
    <cellStyle name="Percent 3 8 12 6 2 4" xfId="30174"/>
    <cellStyle name="Percent 3 8 12 6 2 2 2" xfId="30175"/>
    <cellStyle name="Percent 3 8 12 6 2 3" xfId="30176"/>
    <cellStyle name="Percent 3 8 12 6 3 4" xfId="30177"/>
    <cellStyle name="Percent 3 8 12 6 3 2 2" xfId="30178"/>
    <cellStyle name="Percent 3 8 12 6 3 3" xfId="30179"/>
    <cellStyle name="Percent 3 8 12 6 4 2" xfId="30180"/>
    <cellStyle name="Percent 3 8 12 6 5" xfId="30181"/>
    <cellStyle name="Percent 3 8 12 7 4" xfId="30182"/>
    <cellStyle name="Percent 3 8 12 7 2 2" xfId="30183"/>
    <cellStyle name="Percent 3 8 12 7 3" xfId="30184"/>
    <cellStyle name="Percent 3 8 12 8 4" xfId="30185"/>
    <cellStyle name="Percent 3 8 12 8 2 2" xfId="30186"/>
    <cellStyle name="Percent 3 8 12 8 3" xfId="30187"/>
    <cellStyle name="Percent 3 8 12 9 4" xfId="30188"/>
    <cellStyle name="Percent 3 8 12 9 2 2" xfId="30189"/>
    <cellStyle name="Percent 3 8 12 9 3" xfId="30190"/>
    <cellStyle name="Percent 3 8 13 16" xfId="30191"/>
    <cellStyle name="Percent 3 8 13 10 2" xfId="30192"/>
    <cellStyle name="Percent 3 8 13 11 2" xfId="30193"/>
    <cellStyle name="Percent 3 8 13 12 2" xfId="30194"/>
    <cellStyle name="Percent 3 8 13 13" xfId="30195"/>
    <cellStyle name="Percent 3 8 13 14" xfId="30196"/>
    <cellStyle name="Percent 3 8 13 15" xfId="30197"/>
    <cellStyle name="Percent 3 8 13 2 7" xfId="30198"/>
    <cellStyle name="Percent 3 8 13 2 2 4" xfId="30199"/>
    <cellStyle name="Percent 3 8 13 2 2 2 2" xfId="30200"/>
    <cellStyle name="Percent 3 8 13 2 2 3" xfId="30201"/>
    <cellStyle name="Percent 3 8 13 2 3 4" xfId="30202"/>
    <cellStyle name="Percent 3 8 13 2 3 2 2" xfId="30203"/>
    <cellStyle name="Percent 3 8 13 2 3 3" xfId="30204"/>
    <cellStyle name="Percent 3 8 13 2 4 2" xfId="30205"/>
    <cellStyle name="Percent 3 8 13 2 5 2" xfId="30206"/>
    <cellStyle name="Percent 3 8 13 2 6" xfId="30207"/>
    <cellStyle name="Percent 3 8 13 3 6" xfId="30208"/>
    <cellStyle name="Percent 3 8 13 3 2 4" xfId="30209"/>
    <cellStyle name="Percent 3 8 13 3 2 2 2" xfId="30210"/>
    <cellStyle name="Percent 3 8 13 3 2 3" xfId="30211"/>
    <cellStyle name="Percent 3 8 13 3 3 4" xfId="30212"/>
    <cellStyle name="Percent 3 8 13 3 3 2 2" xfId="30213"/>
    <cellStyle name="Percent 3 8 13 3 3 3" xfId="30214"/>
    <cellStyle name="Percent 3 8 13 3 4 2" xfId="30215"/>
    <cellStyle name="Percent 3 8 13 3 5" xfId="30216"/>
    <cellStyle name="Percent 3 8 13 4 6" xfId="30217"/>
    <cellStyle name="Percent 3 8 13 4 2 4" xfId="30218"/>
    <cellStyle name="Percent 3 8 13 4 2 2 2" xfId="30219"/>
    <cellStyle name="Percent 3 8 13 4 2 3" xfId="30220"/>
    <cellStyle name="Percent 3 8 13 4 3 4" xfId="30221"/>
    <cellStyle name="Percent 3 8 13 4 3 2 2" xfId="30222"/>
    <cellStyle name="Percent 3 8 13 4 3 3" xfId="30223"/>
    <cellStyle name="Percent 3 8 13 4 4 2" xfId="30224"/>
    <cellStyle name="Percent 3 8 13 4 5" xfId="30225"/>
    <cellStyle name="Percent 3 8 13 5 7" xfId="30226"/>
    <cellStyle name="Percent 3 8 13 5 2 4" xfId="30227"/>
    <cellStyle name="Percent 3 8 13 5 2 2 2" xfId="30228"/>
    <cellStyle name="Percent 3 8 13 5 2 3" xfId="30229"/>
    <cellStyle name="Percent 3 8 13 5 3 4" xfId="30230"/>
    <cellStyle name="Percent 3 8 13 5 3 2 2" xfId="30231"/>
    <cellStyle name="Percent 3 8 13 5 3 3" xfId="30232"/>
    <cellStyle name="Percent 3 8 13 5 4 4" xfId="30233"/>
    <cellStyle name="Percent 3 8 13 5 4 2 2" xfId="30234"/>
    <cellStyle name="Percent 3 8 13 5 4 3" xfId="30235"/>
    <cellStyle name="Percent 3 8 13 5 5 2" xfId="30236"/>
    <cellStyle name="Percent 3 8 13 5 6" xfId="30237"/>
    <cellStyle name="Percent 3 8 13 6 6" xfId="30238"/>
    <cellStyle name="Percent 3 8 13 6 2 4" xfId="30239"/>
    <cellStyle name="Percent 3 8 13 6 2 2 2" xfId="30240"/>
    <cellStyle name="Percent 3 8 13 6 2 3" xfId="30241"/>
    <cellStyle name="Percent 3 8 13 6 3 4" xfId="30242"/>
    <cellStyle name="Percent 3 8 13 6 3 2 2" xfId="30243"/>
    <cellStyle name="Percent 3 8 13 6 3 3" xfId="30244"/>
    <cellStyle name="Percent 3 8 13 6 4 2" xfId="30245"/>
    <cellStyle name="Percent 3 8 13 6 5" xfId="30246"/>
    <cellStyle name="Percent 3 8 13 7 4" xfId="30247"/>
    <cellStyle name="Percent 3 8 13 7 2 2" xfId="30248"/>
    <cellStyle name="Percent 3 8 13 7 3" xfId="30249"/>
    <cellStyle name="Percent 3 8 13 8 4" xfId="30250"/>
    <cellStyle name="Percent 3 8 13 8 2 2" xfId="30251"/>
    <cellStyle name="Percent 3 8 13 8 3" xfId="30252"/>
    <cellStyle name="Percent 3 8 13 9 4" xfId="30253"/>
    <cellStyle name="Percent 3 8 13 9 2 2" xfId="30254"/>
    <cellStyle name="Percent 3 8 13 9 3" xfId="30255"/>
    <cellStyle name="Percent 3 8 14 16" xfId="30256"/>
    <cellStyle name="Percent 3 8 14 10 2" xfId="30257"/>
    <cellStyle name="Percent 3 8 14 11 2" xfId="30258"/>
    <cellStyle name="Percent 3 8 14 12 2" xfId="30259"/>
    <cellStyle name="Percent 3 8 14 13" xfId="30260"/>
    <cellStyle name="Percent 3 8 14 14" xfId="30261"/>
    <cellStyle name="Percent 3 8 14 15" xfId="30262"/>
    <cellStyle name="Percent 3 8 14 2 7" xfId="30263"/>
    <cellStyle name="Percent 3 8 14 2 2 4" xfId="30264"/>
    <cellStyle name="Percent 3 8 14 2 2 2 2" xfId="30265"/>
    <cellStyle name="Percent 3 8 14 2 2 3" xfId="30266"/>
    <cellStyle name="Percent 3 8 14 2 3 4" xfId="30267"/>
    <cellStyle name="Percent 3 8 14 2 3 2 2" xfId="30268"/>
    <cellStyle name="Percent 3 8 14 2 3 3" xfId="30269"/>
    <cellStyle name="Percent 3 8 14 2 4 2" xfId="30270"/>
    <cellStyle name="Percent 3 8 14 2 5 2" xfId="30271"/>
    <cellStyle name="Percent 3 8 14 2 6" xfId="30272"/>
    <cellStyle name="Percent 3 8 14 3 6" xfId="30273"/>
    <cellStyle name="Percent 3 8 14 3 2 4" xfId="30274"/>
    <cellStyle name="Percent 3 8 14 3 2 2 2" xfId="30275"/>
    <cellStyle name="Percent 3 8 14 3 2 3" xfId="30276"/>
    <cellStyle name="Percent 3 8 14 3 3 4" xfId="30277"/>
    <cellStyle name="Percent 3 8 14 3 3 2 2" xfId="30278"/>
    <cellStyle name="Percent 3 8 14 3 3 3" xfId="30279"/>
    <cellStyle name="Percent 3 8 14 3 4 2" xfId="30280"/>
    <cellStyle name="Percent 3 8 14 3 5" xfId="30281"/>
    <cellStyle name="Percent 3 8 14 4 6" xfId="30282"/>
    <cellStyle name="Percent 3 8 14 4 2 4" xfId="30283"/>
    <cellStyle name="Percent 3 8 14 4 2 2 2" xfId="30284"/>
    <cellStyle name="Percent 3 8 14 4 2 3" xfId="30285"/>
    <cellStyle name="Percent 3 8 14 4 3 4" xfId="30286"/>
    <cellStyle name="Percent 3 8 14 4 3 2 2" xfId="30287"/>
    <cellStyle name="Percent 3 8 14 4 3 3" xfId="30288"/>
    <cellStyle name="Percent 3 8 14 4 4 2" xfId="30289"/>
    <cellStyle name="Percent 3 8 14 4 5" xfId="30290"/>
    <cellStyle name="Percent 3 8 14 5 7" xfId="30291"/>
    <cellStyle name="Percent 3 8 14 5 2 4" xfId="30292"/>
    <cellStyle name="Percent 3 8 14 5 2 2 2" xfId="30293"/>
    <cellStyle name="Percent 3 8 14 5 2 3" xfId="30294"/>
    <cellStyle name="Percent 3 8 14 5 3 4" xfId="30295"/>
    <cellStyle name="Percent 3 8 14 5 3 2 2" xfId="30296"/>
    <cellStyle name="Percent 3 8 14 5 3 3" xfId="30297"/>
    <cellStyle name="Percent 3 8 14 5 4 4" xfId="30298"/>
    <cellStyle name="Percent 3 8 14 5 4 2 2" xfId="30299"/>
    <cellStyle name="Percent 3 8 14 5 4 3" xfId="30300"/>
    <cellStyle name="Percent 3 8 14 5 5 2" xfId="30301"/>
    <cellStyle name="Percent 3 8 14 5 6" xfId="30302"/>
    <cellStyle name="Percent 3 8 14 6 6" xfId="30303"/>
    <cellStyle name="Percent 3 8 14 6 2 4" xfId="30304"/>
    <cellStyle name="Percent 3 8 14 6 2 2 2" xfId="30305"/>
    <cellStyle name="Percent 3 8 14 6 2 3" xfId="30306"/>
    <cellStyle name="Percent 3 8 14 6 3 4" xfId="30307"/>
    <cellStyle name="Percent 3 8 14 6 3 2 2" xfId="30308"/>
    <cellStyle name="Percent 3 8 14 6 3 3" xfId="30309"/>
    <cellStyle name="Percent 3 8 14 6 4 2" xfId="30310"/>
    <cellStyle name="Percent 3 8 14 6 5" xfId="30311"/>
    <cellStyle name="Percent 3 8 14 7 4" xfId="30312"/>
    <cellStyle name="Percent 3 8 14 7 2 2" xfId="30313"/>
    <cellStyle name="Percent 3 8 14 7 3" xfId="30314"/>
    <cellStyle name="Percent 3 8 14 8 4" xfId="30315"/>
    <cellStyle name="Percent 3 8 14 8 2 2" xfId="30316"/>
    <cellStyle name="Percent 3 8 14 8 3" xfId="30317"/>
    <cellStyle name="Percent 3 8 14 9 4" xfId="30318"/>
    <cellStyle name="Percent 3 8 14 9 2 2" xfId="30319"/>
    <cellStyle name="Percent 3 8 14 9 3" xfId="30320"/>
    <cellStyle name="Percent 3 8 15 16" xfId="30321"/>
    <cellStyle name="Percent 3 8 15 10 2" xfId="30322"/>
    <cellStyle name="Percent 3 8 15 11 2" xfId="30323"/>
    <cellStyle name="Percent 3 8 15 12 2" xfId="30324"/>
    <cellStyle name="Percent 3 8 15 13" xfId="30325"/>
    <cellStyle name="Percent 3 8 15 14" xfId="30326"/>
    <cellStyle name="Percent 3 8 15 15" xfId="30327"/>
    <cellStyle name="Percent 3 8 15 2 7" xfId="30328"/>
    <cellStyle name="Percent 3 8 15 2 2 4" xfId="30329"/>
    <cellStyle name="Percent 3 8 15 2 2 2 2" xfId="30330"/>
    <cellStyle name="Percent 3 8 15 2 2 3" xfId="30331"/>
    <cellStyle name="Percent 3 8 15 2 3 4" xfId="30332"/>
    <cellStyle name="Percent 3 8 15 2 3 2 2" xfId="30333"/>
    <cellStyle name="Percent 3 8 15 2 3 3" xfId="30334"/>
    <cellStyle name="Percent 3 8 15 2 4 2" xfId="30335"/>
    <cellStyle name="Percent 3 8 15 2 5 2" xfId="30336"/>
    <cellStyle name="Percent 3 8 15 2 6" xfId="30337"/>
    <cellStyle name="Percent 3 8 15 3 6" xfId="30338"/>
    <cellStyle name="Percent 3 8 15 3 2 4" xfId="30339"/>
    <cellStyle name="Percent 3 8 15 3 2 2 2" xfId="30340"/>
    <cellStyle name="Percent 3 8 15 3 2 3" xfId="30341"/>
    <cellStyle name="Percent 3 8 15 3 3 4" xfId="30342"/>
    <cellStyle name="Percent 3 8 15 3 3 2 2" xfId="30343"/>
    <cellStyle name="Percent 3 8 15 3 3 3" xfId="30344"/>
    <cellStyle name="Percent 3 8 15 3 4 2" xfId="30345"/>
    <cellStyle name="Percent 3 8 15 3 5" xfId="30346"/>
    <cellStyle name="Percent 3 8 15 4 6" xfId="30347"/>
    <cellStyle name="Percent 3 8 15 4 2 4" xfId="30348"/>
    <cellStyle name="Percent 3 8 15 4 2 2 2" xfId="30349"/>
    <cellStyle name="Percent 3 8 15 4 2 3" xfId="30350"/>
    <cellStyle name="Percent 3 8 15 4 3 4" xfId="30351"/>
    <cellStyle name="Percent 3 8 15 4 3 2 2" xfId="30352"/>
    <cellStyle name="Percent 3 8 15 4 3 3" xfId="30353"/>
    <cellStyle name="Percent 3 8 15 4 4 2" xfId="30354"/>
    <cellStyle name="Percent 3 8 15 4 5" xfId="30355"/>
    <cellStyle name="Percent 3 8 15 5 7" xfId="30356"/>
    <cellStyle name="Percent 3 8 15 5 2 4" xfId="30357"/>
    <cellStyle name="Percent 3 8 15 5 2 2 2" xfId="30358"/>
    <cellStyle name="Percent 3 8 15 5 2 3" xfId="30359"/>
    <cellStyle name="Percent 3 8 15 5 3 4" xfId="30360"/>
    <cellStyle name="Percent 3 8 15 5 3 2 2" xfId="30361"/>
    <cellStyle name="Percent 3 8 15 5 3 3" xfId="30362"/>
    <cellStyle name="Percent 3 8 15 5 4 4" xfId="30363"/>
    <cellStyle name="Percent 3 8 15 5 4 2 2" xfId="30364"/>
    <cellStyle name="Percent 3 8 15 5 4 3" xfId="30365"/>
    <cellStyle name="Percent 3 8 15 5 5 2" xfId="30366"/>
    <cellStyle name="Percent 3 8 15 5 6" xfId="30367"/>
    <cellStyle name="Percent 3 8 15 6 6" xfId="30368"/>
    <cellStyle name="Percent 3 8 15 6 2 4" xfId="30369"/>
    <cellStyle name="Percent 3 8 15 6 2 2 2" xfId="30370"/>
    <cellStyle name="Percent 3 8 15 6 2 3" xfId="30371"/>
    <cellStyle name="Percent 3 8 15 6 3 4" xfId="30372"/>
    <cellStyle name="Percent 3 8 15 6 3 2 2" xfId="30373"/>
    <cellStyle name="Percent 3 8 15 6 3 3" xfId="30374"/>
    <cellStyle name="Percent 3 8 15 6 4 2" xfId="30375"/>
    <cellStyle name="Percent 3 8 15 6 5" xfId="30376"/>
    <cellStyle name="Percent 3 8 15 7 4" xfId="30377"/>
    <cellStyle name="Percent 3 8 15 7 2 2" xfId="30378"/>
    <cellStyle name="Percent 3 8 15 7 3" xfId="30379"/>
    <cellStyle name="Percent 3 8 15 8 4" xfId="30380"/>
    <cellStyle name="Percent 3 8 15 8 2 2" xfId="30381"/>
    <cellStyle name="Percent 3 8 15 8 3" xfId="30382"/>
    <cellStyle name="Percent 3 8 15 9 4" xfId="30383"/>
    <cellStyle name="Percent 3 8 15 9 2 2" xfId="30384"/>
    <cellStyle name="Percent 3 8 15 9 3" xfId="30385"/>
    <cellStyle name="Percent 3 8 16 7" xfId="30386"/>
    <cellStyle name="Percent 3 8 16 2 4" xfId="30387"/>
    <cellStyle name="Percent 3 8 16 2 2 2" xfId="30388"/>
    <cellStyle name="Percent 3 8 16 2 3" xfId="30389"/>
    <cellStyle name="Percent 3 8 16 3 4" xfId="30390"/>
    <cellStyle name="Percent 3 8 16 3 2 2" xfId="30391"/>
    <cellStyle name="Percent 3 8 16 3 3" xfId="30392"/>
    <cellStyle name="Percent 3 8 16 4 2" xfId="30393"/>
    <cellStyle name="Percent 3 8 16 5 2" xfId="30394"/>
    <cellStyle name="Percent 3 8 16 6" xfId="30395"/>
    <cellStyle name="Percent 3 8 17 6" xfId="30396"/>
    <cellStyle name="Percent 3 8 17 2 4" xfId="30397"/>
    <cellStyle name="Percent 3 8 17 2 2 2" xfId="30398"/>
    <cellStyle name="Percent 3 8 17 2 3" xfId="30399"/>
    <cellStyle name="Percent 3 8 17 3 4" xfId="30400"/>
    <cellStyle name="Percent 3 8 17 3 2 2" xfId="30401"/>
    <cellStyle name="Percent 3 8 17 3 3" xfId="30402"/>
    <cellStyle name="Percent 3 8 17 4 2" xfId="30403"/>
    <cellStyle name="Percent 3 8 17 5" xfId="30404"/>
    <cellStyle name="Percent 3 8 18 6" xfId="30405"/>
    <cellStyle name="Percent 3 8 18 2 4" xfId="30406"/>
    <cellStyle name="Percent 3 8 18 2 2 2" xfId="30407"/>
    <cellStyle name="Percent 3 8 18 2 3" xfId="30408"/>
    <cellStyle name="Percent 3 8 18 3 4" xfId="30409"/>
    <cellStyle name="Percent 3 8 18 3 2 2" xfId="30410"/>
    <cellStyle name="Percent 3 8 18 3 3" xfId="30411"/>
    <cellStyle name="Percent 3 8 18 4 2" xfId="30412"/>
    <cellStyle name="Percent 3 8 18 5" xfId="30413"/>
    <cellStyle name="Percent 3 8 19 7" xfId="30414"/>
    <cellStyle name="Percent 3 8 19 2 4" xfId="30415"/>
    <cellStyle name="Percent 3 8 19 2 2 2" xfId="30416"/>
    <cellStyle name="Percent 3 8 19 2 3" xfId="30417"/>
    <cellStyle name="Percent 3 8 19 3 4" xfId="30418"/>
    <cellStyle name="Percent 3 8 19 3 2 2" xfId="30419"/>
    <cellStyle name="Percent 3 8 19 3 3" xfId="30420"/>
    <cellStyle name="Percent 3 8 19 4 4" xfId="30421"/>
    <cellStyle name="Percent 3 8 19 4 2 2" xfId="30422"/>
    <cellStyle name="Percent 3 8 19 4 3" xfId="30423"/>
    <cellStyle name="Percent 3 8 19 5 2" xfId="30424"/>
    <cellStyle name="Percent 3 8 19 6" xfId="30425"/>
    <cellStyle name="Percent 3 8 2 16" xfId="30426"/>
    <cellStyle name="Percent 3 8 2 10 2" xfId="30427"/>
    <cellStyle name="Percent 3 8 2 11 2" xfId="30428"/>
    <cellStyle name="Percent 3 8 2 12 2" xfId="30429"/>
    <cellStyle name="Percent 3 8 2 13" xfId="30430"/>
    <cellStyle name="Percent 3 8 2 14" xfId="30431"/>
    <cellStyle name="Percent 3 8 2 15" xfId="30432"/>
    <cellStyle name="Percent 3 8 2 2 7" xfId="30433"/>
    <cellStyle name="Percent 3 8 2 2 2 4" xfId="30434"/>
    <cellStyle name="Percent 3 8 2 2 2 2 2" xfId="30435"/>
    <cellStyle name="Percent 3 8 2 2 2 3" xfId="30436"/>
    <cellStyle name="Percent 3 8 2 2 3 4" xfId="30437"/>
    <cellStyle name="Percent 3 8 2 2 3 2 2" xfId="30438"/>
    <cellStyle name="Percent 3 8 2 2 3 3" xfId="30439"/>
    <cellStyle name="Percent 3 8 2 2 4 2" xfId="30440"/>
    <cellStyle name="Percent 3 8 2 2 5 2" xfId="30441"/>
    <cellStyle name="Percent 3 8 2 2 6" xfId="30442"/>
    <cellStyle name="Percent 3 8 2 3 6" xfId="30443"/>
    <cellStyle name="Percent 3 8 2 3 2 4" xfId="30444"/>
    <cellStyle name="Percent 3 8 2 3 2 2 2" xfId="30445"/>
    <cellStyle name="Percent 3 8 2 3 2 3" xfId="30446"/>
    <cellStyle name="Percent 3 8 2 3 3 4" xfId="30447"/>
    <cellStyle name="Percent 3 8 2 3 3 2 2" xfId="30448"/>
    <cellStyle name="Percent 3 8 2 3 3 3" xfId="30449"/>
    <cellStyle name="Percent 3 8 2 3 4 2" xfId="30450"/>
    <cellStyle name="Percent 3 8 2 3 5" xfId="30451"/>
    <cellStyle name="Percent 3 8 2 4 6" xfId="30452"/>
    <cellStyle name="Percent 3 8 2 4 2 4" xfId="30453"/>
    <cellStyle name="Percent 3 8 2 4 2 2 2" xfId="30454"/>
    <cellStyle name="Percent 3 8 2 4 2 3" xfId="30455"/>
    <cellStyle name="Percent 3 8 2 4 3 4" xfId="30456"/>
    <cellStyle name="Percent 3 8 2 4 3 2 2" xfId="30457"/>
    <cellStyle name="Percent 3 8 2 4 3 3" xfId="30458"/>
    <cellStyle name="Percent 3 8 2 4 4 2" xfId="30459"/>
    <cellStyle name="Percent 3 8 2 4 5" xfId="30460"/>
    <cellStyle name="Percent 3 8 2 5 7" xfId="30461"/>
    <cellStyle name="Percent 3 8 2 5 2 4" xfId="30462"/>
    <cellStyle name="Percent 3 8 2 5 2 2 2" xfId="30463"/>
    <cellStyle name="Percent 3 8 2 5 2 3" xfId="30464"/>
    <cellStyle name="Percent 3 8 2 5 3 4" xfId="30465"/>
    <cellStyle name="Percent 3 8 2 5 3 2 2" xfId="30466"/>
    <cellStyle name="Percent 3 8 2 5 3 3" xfId="30467"/>
    <cellStyle name="Percent 3 8 2 5 4 4" xfId="30468"/>
    <cellStyle name="Percent 3 8 2 5 4 2 2" xfId="30469"/>
    <cellStyle name="Percent 3 8 2 5 4 3" xfId="30470"/>
    <cellStyle name="Percent 3 8 2 5 5 2" xfId="30471"/>
    <cellStyle name="Percent 3 8 2 5 6" xfId="30472"/>
    <cellStyle name="Percent 3 8 2 6 6" xfId="30473"/>
    <cellStyle name="Percent 3 8 2 6 2 4" xfId="30474"/>
    <cellStyle name="Percent 3 8 2 6 2 2 2" xfId="30475"/>
    <cellStyle name="Percent 3 8 2 6 2 3" xfId="30476"/>
    <cellStyle name="Percent 3 8 2 6 3 4" xfId="30477"/>
    <cellStyle name="Percent 3 8 2 6 3 2 2" xfId="30478"/>
    <cellStyle name="Percent 3 8 2 6 3 3" xfId="30479"/>
    <cellStyle name="Percent 3 8 2 6 4 2" xfId="30480"/>
    <cellStyle name="Percent 3 8 2 6 5" xfId="30481"/>
    <cellStyle name="Percent 3 8 2 7 4" xfId="30482"/>
    <cellStyle name="Percent 3 8 2 7 2 2" xfId="30483"/>
    <cellStyle name="Percent 3 8 2 7 3" xfId="30484"/>
    <cellStyle name="Percent 3 8 2 8 4" xfId="30485"/>
    <cellStyle name="Percent 3 8 2 8 2 2" xfId="30486"/>
    <cellStyle name="Percent 3 8 2 8 3" xfId="30487"/>
    <cellStyle name="Percent 3 8 2 9 4" xfId="30488"/>
    <cellStyle name="Percent 3 8 2 9 2 2" xfId="30489"/>
    <cellStyle name="Percent 3 8 2 9 3" xfId="30490"/>
    <cellStyle name="Percent 3 8 20 6" xfId="30491"/>
    <cellStyle name="Percent 3 8 20 2 4" xfId="30492"/>
    <cellStyle name="Percent 3 8 20 2 2 2" xfId="30493"/>
    <cellStyle name="Percent 3 8 20 2 3" xfId="30494"/>
    <cellStyle name="Percent 3 8 20 3 4" xfId="30495"/>
    <cellStyle name="Percent 3 8 20 3 2 2" xfId="30496"/>
    <cellStyle name="Percent 3 8 20 3 3" xfId="30497"/>
    <cellStyle name="Percent 3 8 20 4 2" xfId="30498"/>
    <cellStyle name="Percent 3 8 20 5" xfId="30499"/>
    <cellStyle name="Percent 3 8 21 4" xfId="30500"/>
    <cellStyle name="Percent 3 8 21 2 2" xfId="30501"/>
    <cellStyle name="Percent 3 8 21 3" xfId="30502"/>
    <cellStyle name="Percent 3 8 22 4" xfId="30503"/>
    <cellStyle name="Percent 3 8 22 2 2" xfId="30504"/>
    <cellStyle name="Percent 3 8 22 3" xfId="30505"/>
    <cellStyle name="Percent 3 8 23 4" xfId="30506"/>
    <cellStyle name="Percent 3 8 23 2 2" xfId="30507"/>
    <cellStyle name="Percent 3 8 23 3" xfId="30508"/>
    <cellStyle name="Percent 3 8 24 2" xfId="30509"/>
    <cellStyle name="Percent 3 8 25 2" xfId="30510"/>
    <cellStyle name="Percent 3 8 26 2" xfId="30511"/>
    <cellStyle name="Percent 3 8 27" xfId="30512"/>
    <cellStyle name="Percent 3 8 28" xfId="30513"/>
    <cellStyle name="Percent 3 8 29" xfId="30514"/>
    <cellStyle name="Percent 3 8 3 16" xfId="30515"/>
    <cellStyle name="Percent 3 8 3 10 2" xfId="30516"/>
    <cellStyle name="Percent 3 8 3 11 2" xfId="30517"/>
    <cellStyle name="Percent 3 8 3 12 2" xfId="30518"/>
    <cellStyle name="Percent 3 8 3 13" xfId="30519"/>
    <cellStyle name="Percent 3 8 3 14" xfId="30520"/>
    <cellStyle name="Percent 3 8 3 15" xfId="30521"/>
    <cellStyle name="Percent 3 8 3 2 7" xfId="30522"/>
    <cellStyle name="Percent 3 8 3 2 2 4" xfId="30523"/>
    <cellStyle name="Percent 3 8 3 2 2 2 2" xfId="30524"/>
    <cellStyle name="Percent 3 8 3 2 2 3" xfId="30525"/>
    <cellStyle name="Percent 3 8 3 2 3 4" xfId="30526"/>
    <cellStyle name="Percent 3 8 3 2 3 2 2" xfId="30527"/>
    <cellStyle name="Percent 3 8 3 2 3 3" xfId="30528"/>
    <cellStyle name="Percent 3 8 3 2 4 2" xfId="30529"/>
    <cellStyle name="Percent 3 8 3 2 5 2" xfId="30530"/>
    <cellStyle name="Percent 3 8 3 2 6" xfId="30531"/>
    <cellStyle name="Percent 3 8 3 3 6" xfId="30532"/>
    <cellStyle name="Percent 3 8 3 3 2 4" xfId="30533"/>
    <cellStyle name="Percent 3 8 3 3 2 2 2" xfId="30534"/>
    <cellStyle name="Percent 3 8 3 3 2 3" xfId="30535"/>
    <cellStyle name="Percent 3 8 3 3 3 4" xfId="30536"/>
    <cellStyle name="Percent 3 8 3 3 3 2 2" xfId="30537"/>
    <cellStyle name="Percent 3 8 3 3 3 3" xfId="30538"/>
    <cellStyle name="Percent 3 8 3 3 4 2" xfId="30539"/>
    <cellStyle name="Percent 3 8 3 3 5" xfId="30540"/>
    <cellStyle name="Percent 3 8 3 4 6" xfId="30541"/>
    <cellStyle name="Percent 3 8 3 4 2 4" xfId="30542"/>
    <cellStyle name="Percent 3 8 3 4 2 2 2" xfId="30543"/>
    <cellStyle name="Percent 3 8 3 4 2 3" xfId="30544"/>
    <cellStyle name="Percent 3 8 3 4 3 4" xfId="30545"/>
    <cellStyle name="Percent 3 8 3 4 3 2 2" xfId="30546"/>
    <cellStyle name="Percent 3 8 3 4 3 3" xfId="30547"/>
    <cellStyle name="Percent 3 8 3 4 4 2" xfId="30548"/>
    <cellStyle name="Percent 3 8 3 4 5" xfId="30549"/>
    <cellStyle name="Percent 3 8 3 5 7" xfId="30550"/>
    <cellStyle name="Percent 3 8 3 5 2 4" xfId="30551"/>
    <cellStyle name="Percent 3 8 3 5 2 2 2" xfId="30552"/>
    <cellStyle name="Percent 3 8 3 5 2 3" xfId="30553"/>
    <cellStyle name="Percent 3 8 3 5 3 4" xfId="30554"/>
    <cellStyle name="Percent 3 8 3 5 3 2 2" xfId="30555"/>
    <cellStyle name="Percent 3 8 3 5 3 3" xfId="30556"/>
    <cellStyle name="Percent 3 8 3 5 4 4" xfId="30557"/>
    <cellStyle name="Percent 3 8 3 5 4 2 2" xfId="30558"/>
    <cellStyle name="Percent 3 8 3 5 4 3" xfId="30559"/>
    <cellStyle name="Percent 3 8 3 5 5 2" xfId="30560"/>
    <cellStyle name="Percent 3 8 3 5 6" xfId="30561"/>
    <cellStyle name="Percent 3 8 3 6 6" xfId="30562"/>
    <cellStyle name="Percent 3 8 3 6 2 4" xfId="30563"/>
    <cellStyle name="Percent 3 8 3 6 2 2 2" xfId="30564"/>
    <cellStyle name="Percent 3 8 3 6 2 3" xfId="30565"/>
    <cellStyle name="Percent 3 8 3 6 3 4" xfId="30566"/>
    <cellStyle name="Percent 3 8 3 6 3 2 2" xfId="30567"/>
    <cellStyle name="Percent 3 8 3 6 3 3" xfId="30568"/>
    <cellStyle name="Percent 3 8 3 6 4 2" xfId="30569"/>
    <cellStyle name="Percent 3 8 3 6 5" xfId="30570"/>
    <cellStyle name="Percent 3 8 3 7 4" xfId="30571"/>
    <cellStyle name="Percent 3 8 3 7 2 2" xfId="30572"/>
    <cellStyle name="Percent 3 8 3 7 3" xfId="30573"/>
    <cellStyle name="Percent 3 8 3 8 4" xfId="30574"/>
    <cellStyle name="Percent 3 8 3 8 2 2" xfId="30575"/>
    <cellStyle name="Percent 3 8 3 8 3" xfId="30576"/>
    <cellStyle name="Percent 3 8 3 9 4" xfId="30577"/>
    <cellStyle name="Percent 3 8 3 9 2 2" xfId="30578"/>
    <cellStyle name="Percent 3 8 3 9 3" xfId="30579"/>
    <cellStyle name="Percent 3 8 4 16" xfId="30580"/>
    <cellStyle name="Percent 3 8 4 10 2" xfId="30581"/>
    <cellStyle name="Percent 3 8 4 11 2" xfId="30582"/>
    <cellStyle name="Percent 3 8 4 12 2" xfId="30583"/>
    <cellStyle name="Percent 3 8 4 13" xfId="30584"/>
    <cellStyle name="Percent 3 8 4 14" xfId="30585"/>
    <cellStyle name="Percent 3 8 4 15" xfId="30586"/>
    <cellStyle name="Percent 3 8 4 2 7" xfId="30587"/>
    <cellStyle name="Percent 3 8 4 2 2 4" xfId="30588"/>
    <cellStyle name="Percent 3 8 4 2 2 2 2" xfId="30589"/>
    <cellStyle name="Percent 3 8 4 2 2 3" xfId="30590"/>
    <cellStyle name="Percent 3 8 4 2 3 4" xfId="30591"/>
    <cellStyle name="Percent 3 8 4 2 3 2 2" xfId="30592"/>
    <cellStyle name="Percent 3 8 4 2 3 3" xfId="30593"/>
    <cellStyle name="Percent 3 8 4 2 4 2" xfId="30594"/>
    <cellStyle name="Percent 3 8 4 2 5 2" xfId="30595"/>
    <cellStyle name="Percent 3 8 4 2 6" xfId="30596"/>
    <cellStyle name="Percent 3 8 4 3 6" xfId="30597"/>
    <cellStyle name="Percent 3 8 4 3 2 4" xfId="30598"/>
    <cellStyle name="Percent 3 8 4 3 2 2 2" xfId="30599"/>
    <cellStyle name="Percent 3 8 4 3 2 3" xfId="30600"/>
    <cellStyle name="Percent 3 8 4 3 3 4" xfId="30601"/>
    <cellStyle name="Percent 3 8 4 3 3 2 2" xfId="30602"/>
    <cellStyle name="Percent 3 8 4 3 3 3" xfId="30603"/>
    <cellStyle name="Percent 3 8 4 3 4 2" xfId="30604"/>
    <cellStyle name="Percent 3 8 4 3 5" xfId="30605"/>
    <cellStyle name="Percent 3 8 4 4 6" xfId="30606"/>
    <cellStyle name="Percent 3 8 4 4 2 4" xfId="30607"/>
    <cellStyle name="Percent 3 8 4 4 2 2 2" xfId="30608"/>
    <cellStyle name="Percent 3 8 4 4 2 3" xfId="30609"/>
    <cellStyle name="Percent 3 8 4 4 3 4" xfId="30610"/>
    <cellStyle name="Percent 3 8 4 4 3 2 2" xfId="30611"/>
    <cellStyle name="Percent 3 8 4 4 3 3" xfId="30612"/>
    <cellStyle name="Percent 3 8 4 4 4 2" xfId="30613"/>
    <cellStyle name="Percent 3 8 4 4 5" xfId="30614"/>
    <cellStyle name="Percent 3 8 4 5 7" xfId="30615"/>
    <cellStyle name="Percent 3 8 4 5 2 4" xfId="30616"/>
    <cellStyle name="Percent 3 8 4 5 2 2 2" xfId="30617"/>
    <cellStyle name="Percent 3 8 4 5 2 3" xfId="30618"/>
    <cellStyle name="Percent 3 8 4 5 3 4" xfId="30619"/>
    <cellStyle name="Percent 3 8 4 5 3 2 2" xfId="30620"/>
    <cellStyle name="Percent 3 8 4 5 3 3" xfId="30621"/>
    <cellStyle name="Percent 3 8 4 5 4 4" xfId="30622"/>
    <cellStyle name="Percent 3 8 4 5 4 2 2" xfId="30623"/>
    <cellStyle name="Percent 3 8 4 5 4 3" xfId="30624"/>
    <cellStyle name="Percent 3 8 4 5 5 2" xfId="30625"/>
    <cellStyle name="Percent 3 8 4 5 6" xfId="30626"/>
    <cellStyle name="Percent 3 8 4 6 6" xfId="30627"/>
    <cellStyle name="Percent 3 8 4 6 2 4" xfId="30628"/>
    <cellStyle name="Percent 3 8 4 6 2 2 2" xfId="30629"/>
    <cellStyle name="Percent 3 8 4 6 2 3" xfId="30630"/>
    <cellStyle name="Percent 3 8 4 6 3 4" xfId="30631"/>
    <cellStyle name="Percent 3 8 4 6 3 2 2" xfId="30632"/>
    <cellStyle name="Percent 3 8 4 6 3 3" xfId="30633"/>
    <cellStyle name="Percent 3 8 4 6 4 2" xfId="30634"/>
    <cellStyle name="Percent 3 8 4 6 5" xfId="30635"/>
    <cellStyle name="Percent 3 8 4 7 4" xfId="30636"/>
    <cellStyle name="Percent 3 8 4 7 2 2" xfId="30637"/>
    <cellStyle name="Percent 3 8 4 7 3" xfId="30638"/>
    <cellStyle name="Percent 3 8 4 8 4" xfId="30639"/>
    <cellStyle name="Percent 3 8 4 8 2 2" xfId="30640"/>
    <cellStyle name="Percent 3 8 4 8 3" xfId="30641"/>
    <cellStyle name="Percent 3 8 4 9 4" xfId="30642"/>
    <cellStyle name="Percent 3 8 4 9 2 2" xfId="30643"/>
    <cellStyle name="Percent 3 8 4 9 3" xfId="30644"/>
    <cellStyle name="Percent 3 8 5 16" xfId="30645"/>
    <cellStyle name="Percent 3 8 5 10 2" xfId="30646"/>
    <cellStyle name="Percent 3 8 5 11 2" xfId="30647"/>
    <cellStyle name="Percent 3 8 5 12 2" xfId="30648"/>
    <cellStyle name="Percent 3 8 5 13" xfId="30649"/>
    <cellStyle name="Percent 3 8 5 14" xfId="30650"/>
    <cellStyle name="Percent 3 8 5 15" xfId="30651"/>
    <cellStyle name="Percent 3 8 5 2 7" xfId="30652"/>
    <cellStyle name="Percent 3 8 5 2 2 4" xfId="30653"/>
    <cellStyle name="Percent 3 8 5 2 2 2 2" xfId="30654"/>
    <cellStyle name="Percent 3 8 5 2 2 3" xfId="30655"/>
    <cellStyle name="Percent 3 8 5 2 3 4" xfId="30656"/>
    <cellStyle name="Percent 3 8 5 2 3 2 2" xfId="30657"/>
    <cellStyle name="Percent 3 8 5 2 3 3" xfId="30658"/>
    <cellStyle name="Percent 3 8 5 2 4 2" xfId="30659"/>
    <cellStyle name="Percent 3 8 5 2 5 2" xfId="30660"/>
    <cellStyle name="Percent 3 8 5 2 6" xfId="30661"/>
    <cellStyle name="Percent 3 8 5 3 6" xfId="30662"/>
    <cellStyle name="Percent 3 8 5 3 2 4" xfId="30663"/>
    <cellStyle name="Percent 3 8 5 3 2 2 2" xfId="30664"/>
    <cellStyle name="Percent 3 8 5 3 2 3" xfId="30665"/>
    <cellStyle name="Percent 3 8 5 3 3 4" xfId="30666"/>
    <cellStyle name="Percent 3 8 5 3 3 2 2" xfId="30667"/>
    <cellStyle name="Percent 3 8 5 3 3 3" xfId="30668"/>
    <cellStyle name="Percent 3 8 5 3 4 2" xfId="30669"/>
    <cellStyle name="Percent 3 8 5 3 5" xfId="30670"/>
    <cellStyle name="Percent 3 8 5 4 6" xfId="30671"/>
    <cellStyle name="Percent 3 8 5 4 2 4" xfId="30672"/>
    <cellStyle name="Percent 3 8 5 4 2 2 2" xfId="30673"/>
    <cellStyle name="Percent 3 8 5 4 2 3" xfId="30674"/>
    <cellStyle name="Percent 3 8 5 4 3 4" xfId="30675"/>
    <cellStyle name="Percent 3 8 5 4 3 2 2" xfId="30676"/>
    <cellStyle name="Percent 3 8 5 4 3 3" xfId="30677"/>
    <cellStyle name="Percent 3 8 5 4 4 2" xfId="30678"/>
    <cellStyle name="Percent 3 8 5 4 5" xfId="30679"/>
    <cellStyle name="Percent 3 8 5 5 7" xfId="30680"/>
    <cellStyle name="Percent 3 8 5 5 2 4" xfId="30681"/>
    <cellStyle name="Percent 3 8 5 5 2 2 2" xfId="30682"/>
    <cellStyle name="Percent 3 8 5 5 2 3" xfId="30683"/>
    <cellStyle name="Percent 3 8 5 5 3 4" xfId="30684"/>
    <cellStyle name="Percent 3 8 5 5 3 2 2" xfId="30685"/>
    <cellStyle name="Percent 3 8 5 5 3 3" xfId="30686"/>
    <cellStyle name="Percent 3 8 5 5 4 4" xfId="30687"/>
    <cellStyle name="Percent 3 8 5 5 4 2 2" xfId="30688"/>
    <cellStyle name="Percent 3 8 5 5 4 3" xfId="30689"/>
    <cellStyle name="Percent 3 8 5 5 5 2" xfId="30690"/>
    <cellStyle name="Percent 3 8 5 5 6" xfId="30691"/>
    <cellStyle name="Percent 3 8 5 6 6" xfId="30692"/>
    <cellStyle name="Percent 3 8 5 6 2 4" xfId="30693"/>
    <cellStyle name="Percent 3 8 5 6 2 2 2" xfId="30694"/>
    <cellStyle name="Percent 3 8 5 6 2 3" xfId="30695"/>
    <cellStyle name="Percent 3 8 5 6 3 4" xfId="30696"/>
    <cellStyle name="Percent 3 8 5 6 3 2 2" xfId="30697"/>
    <cellStyle name="Percent 3 8 5 6 3 3" xfId="30698"/>
    <cellStyle name="Percent 3 8 5 6 4 2" xfId="30699"/>
    <cellStyle name="Percent 3 8 5 6 5" xfId="30700"/>
    <cellStyle name="Percent 3 8 5 7 4" xfId="30701"/>
    <cellStyle name="Percent 3 8 5 7 2 2" xfId="30702"/>
    <cellStyle name="Percent 3 8 5 7 3" xfId="30703"/>
    <cellStyle name="Percent 3 8 5 8 4" xfId="30704"/>
    <cellStyle name="Percent 3 8 5 8 2 2" xfId="30705"/>
    <cellStyle name="Percent 3 8 5 8 3" xfId="30706"/>
    <cellStyle name="Percent 3 8 5 9 4" xfId="30707"/>
    <cellStyle name="Percent 3 8 5 9 2 2" xfId="30708"/>
    <cellStyle name="Percent 3 8 5 9 3" xfId="30709"/>
    <cellStyle name="Percent 3 8 6 16" xfId="30710"/>
    <cellStyle name="Percent 3 8 6 10 2" xfId="30711"/>
    <cellStyle name="Percent 3 8 6 11 2" xfId="30712"/>
    <cellStyle name="Percent 3 8 6 12 2" xfId="30713"/>
    <cellStyle name="Percent 3 8 6 13" xfId="30714"/>
    <cellStyle name="Percent 3 8 6 14" xfId="30715"/>
    <cellStyle name="Percent 3 8 6 15" xfId="30716"/>
    <cellStyle name="Percent 3 8 6 2 7" xfId="30717"/>
    <cellStyle name="Percent 3 8 6 2 2 4" xfId="30718"/>
    <cellStyle name="Percent 3 8 6 2 2 2 2" xfId="30719"/>
    <cellStyle name="Percent 3 8 6 2 2 3" xfId="30720"/>
    <cellStyle name="Percent 3 8 6 2 3 4" xfId="30721"/>
    <cellStyle name="Percent 3 8 6 2 3 2 2" xfId="30722"/>
    <cellStyle name="Percent 3 8 6 2 3 3" xfId="30723"/>
    <cellStyle name="Percent 3 8 6 2 4 2" xfId="30724"/>
    <cellStyle name="Percent 3 8 6 2 5 2" xfId="30725"/>
    <cellStyle name="Percent 3 8 6 2 6" xfId="30726"/>
    <cellStyle name="Percent 3 8 6 3 6" xfId="30727"/>
    <cellStyle name="Percent 3 8 6 3 2 4" xfId="30728"/>
    <cellStyle name="Percent 3 8 6 3 2 2 2" xfId="30729"/>
    <cellStyle name="Percent 3 8 6 3 2 3" xfId="30730"/>
    <cellStyle name="Percent 3 8 6 3 3 4" xfId="30731"/>
    <cellStyle name="Percent 3 8 6 3 3 2 2" xfId="30732"/>
    <cellStyle name="Percent 3 8 6 3 3 3" xfId="30733"/>
    <cellStyle name="Percent 3 8 6 3 4 2" xfId="30734"/>
    <cellStyle name="Percent 3 8 6 3 5" xfId="30735"/>
    <cellStyle name="Percent 3 8 6 4 6" xfId="30736"/>
    <cellStyle name="Percent 3 8 6 4 2 4" xfId="30737"/>
    <cellStyle name="Percent 3 8 6 4 2 2 2" xfId="30738"/>
    <cellStyle name="Percent 3 8 6 4 2 3" xfId="30739"/>
    <cellStyle name="Percent 3 8 6 4 3 4" xfId="30740"/>
    <cellStyle name="Percent 3 8 6 4 3 2 2" xfId="30741"/>
    <cellStyle name="Percent 3 8 6 4 3 3" xfId="30742"/>
    <cellStyle name="Percent 3 8 6 4 4 2" xfId="30743"/>
    <cellStyle name="Percent 3 8 6 4 5" xfId="30744"/>
    <cellStyle name="Percent 3 8 6 5 7" xfId="30745"/>
    <cellStyle name="Percent 3 8 6 5 2 4" xfId="30746"/>
    <cellStyle name="Percent 3 8 6 5 2 2 2" xfId="30747"/>
    <cellStyle name="Percent 3 8 6 5 2 3" xfId="30748"/>
    <cellStyle name="Percent 3 8 6 5 3 4" xfId="30749"/>
    <cellStyle name="Percent 3 8 6 5 3 2 2" xfId="30750"/>
    <cellStyle name="Percent 3 8 6 5 3 3" xfId="30751"/>
    <cellStyle name="Percent 3 8 6 5 4 4" xfId="30752"/>
    <cellStyle name="Percent 3 8 6 5 4 2 2" xfId="30753"/>
    <cellStyle name="Percent 3 8 6 5 4 3" xfId="30754"/>
    <cellStyle name="Percent 3 8 6 5 5 2" xfId="30755"/>
    <cellStyle name="Percent 3 8 6 5 6" xfId="30756"/>
    <cellStyle name="Percent 3 8 6 6 6" xfId="30757"/>
    <cellStyle name="Percent 3 8 6 6 2 4" xfId="30758"/>
    <cellStyle name="Percent 3 8 6 6 2 2 2" xfId="30759"/>
    <cellStyle name="Percent 3 8 6 6 2 3" xfId="30760"/>
    <cellStyle name="Percent 3 8 6 6 3 4" xfId="30761"/>
    <cellStyle name="Percent 3 8 6 6 3 2 2" xfId="30762"/>
    <cellStyle name="Percent 3 8 6 6 3 3" xfId="30763"/>
    <cellStyle name="Percent 3 8 6 6 4 2" xfId="30764"/>
    <cellStyle name="Percent 3 8 6 6 5" xfId="30765"/>
    <cellStyle name="Percent 3 8 6 7 4" xfId="30766"/>
    <cellStyle name="Percent 3 8 6 7 2 2" xfId="30767"/>
    <cellStyle name="Percent 3 8 6 7 3" xfId="30768"/>
    <cellStyle name="Percent 3 8 6 8 4" xfId="30769"/>
    <cellStyle name="Percent 3 8 6 8 2 2" xfId="30770"/>
    <cellStyle name="Percent 3 8 6 8 3" xfId="30771"/>
    <cellStyle name="Percent 3 8 6 9 4" xfId="30772"/>
    <cellStyle name="Percent 3 8 6 9 2 2" xfId="30773"/>
    <cellStyle name="Percent 3 8 6 9 3" xfId="30774"/>
    <cellStyle name="Percent 3 8 7 16" xfId="30775"/>
    <cellStyle name="Percent 3 8 7 10 2" xfId="30776"/>
    <cellStyle name="Percent 3 8 7 11 2" xfId="30777"/>
    <cellStyle name="Percent 3 8 7 12 2" xfId="30778"/>
    <cellStyle name="Percent 3 8 7 13" xfId="30779"/>
    <cellStyle name="Percent 3 8 7 14" xfId="30780"/>
    <cellStyle name="Percent 3 8 7 15" xfId="30781"/>
    <cellStyle name="Percent 3 8 7 2 7" xfId="30782"/>
    <cellStyle name="Percent 3 8 7 2 2 4" xfId="30783"/>
    <cellStyle name="Percent 3 8 7 2 2 2 2" xfId="30784"/>
    <cellStyle name="Percent 3 8 7 2 2 3" xfId="30785"/>
    <cellStyle name="Percent 3 8 7 2 3 4" xfId="30786"/>
    <cellStyle name="Percent 3 8 7 2 3 2 2" xfId="30787"/>
    <cellStyle name="Percent 3 8 7 2 3 3" xfId="30788"/>
    <cellStyle name="Percent 3 8 7 2 4 2" xfId="30789"/>
    <cellStyle name="Percent 3 8 7 2 5 2" xfId="30790"/>
    <cellStyle name="Percent 3 8 7 2 6" xfId="30791"/>
    <cellStyle name="Percent 3 8 7 3 6" xfId="30792"/>
    <cellStyle name="Percent 3 8 7 3 2 4" xfId="30793"/>
    <cellStyle name="Percent 3 8 7 3 2 2 2" xfId="30794"/>
    <cellStyle name="Percent 3 8 7 3 2 3" xfId="30795"/>
    <cellStyle name="Percent 3 8 7 3 3 4" xfId="30796"/>
    <cellStyle name="Percent 3 8 7 3 3 2 2" xfId="30797"/>
    <cellStyle name="Percent 3 8 7 3 3 3" xfId="30798"/>
    <cellStyle name="Percent 3 8 7 3 4 2" xfId="30799"/>
    <cellStyle name="Percent 3 8 7 3 5" xfId="30800"/>
    <cellStyle name="Percent 3 8 7 4 6" xfId="30801"/>
    <cellStyle name="Percent 3 8 7 4 2 4" xfId="30802"/>
    <cellStyle name="Percent 3 8 7 4 2 2 2" xfId="30803"/>
    <cellStyle name="Percent 3 8 7 4 2 3" xfId="30804"/>
    <cellStyle name="Percent 3 8 7 4 3 4" xfId="30805"/>
    <cellStyle name="Percent 3 8 7 4 3 2 2" xfId="30806"/>
    <cellStyle name="Percent 3 8 7 4 3 3" xfId="30807"/>
    <cellStyle name="Percent 3 8 7 4 4 2" xfId="30808"/>
    <cellStyle name="Percent 3 8 7 4 5" xfId="30809"/>
    <cellStyle name="Percent 3 8 7 5 7" xfId="30810"/>
    <cellStyle name="Percent 3 8 7 5 2 4" xfId="30811"/>
    <cellStyle name="Percent 3 8 7 5 2 2 2" xfId="30812"/>
    <cellStyle name="Percent 3 8 7 5 2 3" xfId="30813"/>
    <cellStyle name="Percent 3 8 7 5 3 4" xfId="30814"/>
    <cellStyle name="Percent 3 8 7 5 3 2 2" xfId="30815"/>
    <cellStyle name="Percent 3 8 7 5 3 3" xfId="30816"/>
    <cellStyle name="Percent 3 8 7 5 4 4" xfId="30817"/>
    <cellStyle name="Percent 3 8 7 5 4 2 2" xfId="30818"/>
    <cellStyle name="Percent 3 8 7 5 4 3" xfId="30819"/>
    <cellStyle name="Percent 3 8 7 5 5 2" xfId="30820"/>
    <cellStyle name="Percent 3 8 7 5 6" xfId="30821"/>
    <cellStyle name="Percent 3 8 7 6 6" xfId="30822"/>
    <cellStyle name="Percent 3 8 7 6 2 4" xfId="30823"/>
    <cellStyle name="Percent 3 8 7 6 2 2 2" xfId="30824"/>
    <cellStyle name="Percent 3 8 7 6 2 3" xfId="30825"/>
    <cellStyle name="Percent 3 8 7 6 3 4" xfId="30826"/>
    <cellStyle name="Percent 3 8 7 6 3 2 2" xfId="30827"/>
    <cellStyle name="Percent 3 8 7 6 3 3" xfId="30828"/>
    <cellStyle name="Percent 3 8 7 6 4 2" xfId="30829"/>
    <cellStyle name="Percent 3 8 7 6 5" xfId="30830"/>
    <cellStyle name="Percent 3 8 7 7 4" xfId="30831"/>
    <cellStyle name="Percent 3 8 7 7 2 2" xfId="30832"/>
    <cellStyle name="Percent 3 8 7 7 3" xfId="30833"/>
    <cellStyle name="Percent 3 8 7 8 4" xfId="30834"/>
    <cellStyle name="Percent 3 8 7 8 2 2" xfId="30835"/>
    <cellStyle name="Percent 3 8 7 8 3" xfId="30836"/>
    <cellStyle name="Percent 3 8 7 9 4" xfId="30837"/>
    <cellStyle name="Percent 3 8 7 9 2 2" xfId="30838"/>
    <cellStyle name="Percent 3 8 7 9 3" xfId="30839"/>
    <cellStyle name="Percent 3 8 8 16" xfId="30840"/>
    <cellStyle name="Percent 3 8 8 10 2" xfId="30841"/>
    <cellStyle name="Percent 3 8 8 11 2" xfId="30842"/>
    <cellStyle name="Percent 3 8 8 12 2" xfId="30843"/>
    <cellStyle name="Percent 3 8 8 13" xfId="30844"/>
    <cellStyle name="Percent 3 8 8 14" xfId="30845"/>
    <cellStyle name="Percent 3 8 8 15" xfId="30846"/>
    <cellStyle name="Percent 3 8 8 2 7" xfId="30847"/>
    <cellStyle name="Percent 3 8 8 2 2 4" xfId="30848"/>
    <cellStyle name="Percent 3 8 8 2 2 2 2" xfId="30849"/>
    <cellStyle name="Percent 3 8 8 2 2 3" xfId="30850"/>
    <cellStyle name="Percent 3 8 8 2 3 4" xfId="30851"/>
    <cellStyle name="Percent 3 8 8 2 3 2 2" xfId="30852"/>
    <cellStyle name="Percent 3 8 8 2 3 3" xfId="30853"/>
    <cellStyle name="Percent 3 8 8 2 4 2" xfId="30854"/>
    <cellStyle name="Percent 3 8 8 2 5 2" xfId="30855"/>
    <cellStyle name="Percent 3 8 8 2 6" xfId="30856"/>
    <cellStyle name="Percent 3 8 8 3 6" xfId="30857"/>
    <cellStyle name="Percent 3 8 8 3 2 4" xfId="30858"/>
    <cellStyle name="Percent 3 8 8 3 2 2 2" xfId="30859"/>
    <cellStyle name="Percent 3 8 8 3 2 3" xfId="30860"/>
    <cellStyle name="Percent 3 8 8 3 3 4" xfId="30861"/>
    <cellStyle name="Percent 3 8 8 3 3 2 2" xfId="30862"/>
    <cellStyle name="Percent 3 8 8 3 3 3" xfId="30863"/>
    <cellStyle name="Percent 3 8 8 3 4 2" xfId="30864"/>
    <cellStyle name="Percent 3 8 8 3 5" xfId="30865"/>
    <cellStyle name="Percent 3 8 8 4 6" xfId="30866"/>
    <cellStyle name="Percent 3 8 8 4 2 4" xfId="30867"/>
    <cellStyle name="Percent 3 8 8 4 2 2 2" xfId="30868"/>
    <cellStyle name="Percent 3 8 8 4 2 3" xfId="30869"/>
    <cellStyle name="Percent 3 8 8 4 3 4" xfId="30870"/>
    <cellStyle name="Percent 3 8 8 4 3 2 2" xfId="30871"/>
    <cellStyle name="Percent 3 8 8 4 3 3" xfId="30872"/>
    <cellStyle name="Percent 3 8 8 4 4 2" xfId="30873"/>
    <cellStyle name="Percent 3 8 8 4 5" xfId="30874"/>
    <cellStyle name="Percent 3 8 8 5 7" xfId="30875"/>
    <cellStyle name="Percent 3 8 8 5 2 4" xfId="30876"/>
    <cellStyle name="Percent 3 8 8 5 2 2 2" xfId="30877"/>
    <cellStyle name="Percent 3 8 8 5 2 3" xfId="30878"/>
    <cellStyle name="Percent 3 8 8 5 3 4" xfId="30879"/>
    <cellStyle name="Percent 3 8 8 5 3 2 2" xfId="30880"/>
    <cellStyle name="Percent 3 8 8 5 3 3" xfId="30881"/>
    <cellStyle name="Percent 3 8 8 5 4 4" xfId="30882"/>
    <cellStyle name="Percent 3 8 8 5 4 2 2" xfId="30883"/>
    <cellStyle name="Percent 3 8 8 5 4 3" xfId="30884"/>
    <cellStyle name="Percent 3 8 8 5 5 2" xfId="30885"/>
    <cellStyle name="Percent 3 8 8 5 6" xfId="30886"/>
    <cellStyle name="Percent 3 8 8 6 6" xfId="30887"/>
    <cellStyle name="Percent 3 8 8 6 2 4" xfId="30888"/>
    <cellStyle name="Percent 3 8 8 6 2 2 2" xfId="30889"/>
    <cellStyle name="Percent 3 8 8 6 2 3" xfId="30890"/>
    <cellStyle name="Percent 3 8 8 6 3 4" xfId="30891"/>
    <cellStyle name="Percent 3 8 8 6 3 2 2" xfId="30892"/>
    <cellStyle name="Percent 3 8 8 6 3 3" xfId="30893"/>
    <cellStyle name="Percent 3 8 8 6 4 2" xfId="30894"/>
    <cellStyle name="Percent 3 8 8 6 5" xfId="30895"/>
    <cellStyle name="Percent 3 8 8 7 4" xfId="30896"/>
    <cellStyle name="Percent 3 8 8 7 2 2" xfId="30897"/>
    <cellStyle name="Percent 3 8 8 7 3" xfId="30898"/>
    <cellStyle name="Percent 3 8 8 8 4" xfId="30899"/>
    <cellStyle name="Percent 3 8 8 8 2 2" xfId="30900"/>
    <cellStyle name="Percent 3 8 8 8 3" xfId="30901"/>
    <cellStyle name="Percent 3 8 8 9 4" xfId="30902"/>
    <cellStyle name="Percent 3 8 8 9 2 2" xfId="30903"/>
    <cellStyle name="Percent 3 8 8 9 3" xfId="30904"/>
    <cellStyle name="Percent 3 8 9 16" xfId="30905"/>
    <cellStyle name="Percent 3 8 9 10 2" xfId="30906"/>
    <cellStyle name="Percent 3 8 9 11 2" xfId="30907"/>
    <cellStyle name="Percent 3 8 9 12 2" xfId="30908"/>
    <cellStyle name="Percent 3 8 9 13" xfId="30909"/>
    <cellStyle name="Percent 3 8 9 14" xfId="30910"/>
    <cellStyle name="Percent 3 8 9 15" xfId="30911"/>
    <cellStyle name="Percent 3 8 9 2 7" xfId="30912"/>
    <cellStyle name="Percent 3 8 9 2 2 4" xfId="30913"/>
    <cellStyle name="Percent 3 8 9 2 2 2 2" xfId="30914"/>
    <cellStyle name="Percent 3 8 9 2 2 3" xfId="30915"/>
    <cellStyle name="Percent 3 8 9 2 3 4" xfId="30916"/>
    <cellStyle name="Percent 3 8 9 2 3 2 2" xfId="30917"/>
    <cellStyle name="Percent 3 8 9 2 3 3" xfId="30918"/>
    <cellStyle name="Percent 3 8 9 2 4 2" xfId="30919"/>
    <cellStyle name="Percent 3 8 9 2 5 2" xfId="30920"/>
    <cellStyle name="Percent 3 8 9 2 6" xfId="30921"/>
    <cellStyle name="Percent 3 8 9 3 6" xfId="30922"/>
    <cellStyle name="Percent 3 8 9 3 2 4" xfId="30923"/>
    <cellStyle name="Percent 3 8 9 3 2 2 2" xfId="30924"/>
    <cellStyle name="Percent 3 8 9 3 2 3" xfId="30925"/>
    <cellStyle name="Percent 3 8 9 3 3 4" xfId="30926"/>
    <cellStyle name="Percent 3 8 9 3 3 2 2" xfId="30927"/>
    <cellStyle name="Percent 3 8 9 3 3 3" xfId="30928"/>
    <cellStyle name="Percent 3 8 9 3 4 2" xfId="30929"/>
    <cellStyle name="Percent 3 8 9 3 5" xfId="30930"/>
    <cellStyle name="Percent 3 8 9 4 6" xfId="30931"/>
    <cellStyle name="Percent 3 8 9 4 2 4" xfId="30932"/>
    <cellStyle name="Percent 3 8 9 4 2 2 2" xfId="30933"/>
    <cellStyle name="Percent 3 8 9 4 2 3" xfId="30934"/>
    <cellStyle name="Percent 3 8 9 4 3 4" xfId="30935"/>
    <cellStyle name="Percent 3 8 9 4 3 2 2" xfId="30936"/>
    <cellStyle name="Percent 3 8 9 4 3 3" xfId="30937"/>
    <cellStyle name="Percent 3 8 9 4 4 2" xfId="30938"/>
    <cellStyle name="Percent 3 8 9 4 5" xfId="30939"/>
    <cellStyle name="Percent 3 8 9 5 7" xfId="30940"/>
    <cellStyle name="Percent 3 8 9 5 2 4" xfId="30941"/>
    <cellStyle name="Percent 3 8 9 5 2 2 2" xfId="30942"/>
    <cellStyle name="Percent 3 8 9 5 2 3" xfId="30943"/>
    <cellStyle name="Percent 3 8 9 5 3 4" xfId="30944"/>
    <cellStyle name="Percent 3 8 9 5 3 2 2" xfId="30945"/>
    <cellStyle name="Percent 3 8 9 5 3 3" xfId="30946"/>
    <cellStyle name="Percent 3 8 9 5 4 4" xfId="30947"/>
    <cellStyle name="Percent 3 8 9 5 4 2 2" xfId="30948"/>
    <cellStyle name="Percent 3 8 9 5 4 3" xfId="30949"/>
    <cellStyle name="Percent 3 8 9 5 5 2" xfId="30950"/>
    <cellStyle name="Percent 3 8 9 5 6" xfId="30951"/>
    <cellStyle name="Percent 3 8 9 6 6" xfId="30952"/>
    <cellStyle name="Percent 3 8 9 6 2 4" xfId="30953"/>
    <cellStyle name="Percent 3 8 9 6 2 2 2" xfId="30954"/>
    <cellStyle name="Percent 3 8 9 6 2 3" xfId="30955"/>
    <cellStyle name="Percent 3 8 9 6 3 4" xfId="30956"/>
    <cellStyle name="Percent 3 8 9 6 3 2 2" xfId="30957"/>
    <cellStyle name="Percent 3 8 9 6 3 3" xfId="30958"/>
    <cellStyle name="Percent 3 8 9 6 4 2" xfId="30959"/>
    <cellStyle name="Percent 3 8 9 6 5" xfId="30960"/>
    <cellStyle name="Percent 3 8 9 7 4" xfId="30961"/>
    <cellStyle name="Percent 3 8 9 7 2 2" xfId="30962"/>
    <cellStyle name="Percent 3 8 9 7 3" xfId="30963"/>
    <cellStyle name="Percent 3 8 9 8 4" xfId="30964"/>
    <cellStyle name="Percent 3 8 9 8 2 2" xfId="30965"/>
    <cellStyle name="Percent 3 8 9 8 3" xfId="30966"/>
    <cellStyle name="Percent 3 8 9 9 4" xfId="30967"/>
    <cellStyle name="Percent 3 8 9 9 2 2" xfId="30968"/>
    <cellStyle name="Percent 3 8 9 9 3" xfId="30969"/>
    <cellStyle name="Percent 3 9 30" xfId="30970"/>
    <cellStyle name="Percent 3 9 10 16" xfId="30971"/>
    <cellStyle name="Percent 3 9 10 10 2" xfId="30972"/>
    <cellStyle name="Percent 3 9 10 11 2" xfId="30973"/>
    <cellStyle name="Percent 3 9 10 12 2" xfId="30974"/>
    <cellStyle name="Percent 3 9 10 13" xfId="30975"/>
    <cellStyle name="Percent 3 9 10 14" xfId="30976"/>
    <cellStyle name="Percent 3 9 10 15" xfId="30977"/>
    <cellStyle name="Percent 3 9 10 2 7" xfId="30978"/>
    <cellStyle name="Percent 3 9 10 2 2 4" xfId="30979"/>
    <cellStyle name="Percent 3 9 10 2 2 2 2" xfId="30980"/>
    <cellStyle name="Percent 3 9 10 2 2 3" xfId="30981"/>
    <cellStyle name="Percent 3 9 10 2 3 4" xfId="30982"/>
    <cellStyle name="Percent 3 9 10 2 3 2 2" xfId="30983"/>
    <cellStyle name="Percent 3 9 10 2 3 3" xfId="30984"/>
    <cellStyle name="Percent 3 9 10 2 4 2" xfId="30985"/>
    <cellStyle name="Percent 3 9 10 2 5 2" xfId="30986"/>
    <cellStyle name="Percent 3 9 10 2 6" xfId="30987"/>
    <cellStyle name="Percent 3 9 10 3 6" xfId="30988"/>
    <cellStyle name="Percent 3 9 10 3 2 4" xfId="30989"/>
    <cellStyle name="Percent 3 9 10 3 2 2 2" xfId="30990"/>
    <cellStyle name="Percent 3 9 10 3 2 3" xfId="30991"/>
    <cellStyle name="Percent 3 9 10 3 3 4" xfId="30992"/>
    <cellStyle name="Percent 3 9 10 3 3 2 2" xfId="30993"/>
    <cellStyle name="Percent 3 9 10 3 3 3" xfId="30994"/>
    <cellStyle name="Percent 3 9 10 3 4 2" xfId="30995"/>
    <cellStyle name="Percent 3 9 10 3 5" xfId="30996"/>
    <cellStyle name="Percent 3 9 10 4 6" xfId="30997"/>
    <cellStyle name="Percent 3 9 10 4 2 4" xfId="30998"/>
    <cellStyle name="Percent 3 9 10 4 2 2 2" xfId="30999"/>
    <cellStyle name="Percent 3 9 10 4 2 3" xfId="31000"/>
    <cellStyle name="Percent 3 9 10 4 3 4" xfId="31001"/>
    <cellStyle name="Percent 3 9 10 4 3 2 2" xfId="31002"/>
    <cellStyle name="Percent 3 9 10 4 3 3" xfId="31003"/>
    <cellStyle name="Percent 3 9 10 4 4 2" xfId="31004"/>
    <cellStyle name="Percent 3 9 10 4 5" xfId="31005"/>
    <cellStyle name="Percent 3 9 10 5 7" xfId="31006"/>
    <cellStyle name="Percent 3 9 10 5 2 4" xfId="31007"/>
    <cellStyle name="Percent 3 9 10 5 2 2 2" xfId="31008"/>
    <cellStyle name="Percent 3 9 10 5 2 3" xfId="31009"/>
    <cellStyle name="Percent 3 9 10 5 3 4" xfId="31010"/>
    <cellStyle name="Percent 3 9 10 5 3 2 2" xfId="31011"/>
    <cellStyle name="Percent 3 9 10 5 3 3" xfId="31012"/>
    <cellStyle name="Percent 3 9 10 5 4 4" xfId="31013"/>
    <cellStyle name="Percent 3 9 10 5 4 2 2" xfId="31014"/>
    <cellStyle name="Percent 3 9 10 5 4 3" xfId="31015"/>
    <cellStyle name="Percent 3 9 10 5 5 2" xfId="31016"/>
    <cellStyle name="Percent 3 9 10 5 6" xfId="31017"/>
    <cellStyle name="Percent 3 9 10 6 6" xfId="31018"/>
    <cellStyle name="Percent 3 9 10 6 2 4" xfId="31019"/>
    <cellStyle name="Percent 3 9 10 6 2 2 2" xfId="31020"/>
    <cellStyle name="Percent 3 9 10 6 2 3" xfId="31021"/>
    <cellStyle name="Percent 3 9 10 6 3 4" xfId="31022"/>
    <cellStyle name="Percent 3 9 10 6 3 2 2" xfId="31023"/>
    <cellStyle name="Percent 3 9 10 6 3 3" xfId="31024"/>
    <cellStyle name="Percent 3 9 10 6 4 2" xfId="31025"/>
    <cellStyle name="Percent 3 9 10 6 5" xfId="31026"/>
    <cellStyle name="Percent 3 9 10 7 4" xfId="31027"/>
    <cellStyle name="Percent 3 9 10 7 2 2" xfId="31028"/>
    <cellStyle name="Percent 3 9 10 7 3" xfId="31029"/>
    <cellStyle name="Percent 3 9 10 8 4" xfId="31030"/>
    <cellStyle name="Percent 3 9 10 8 2 2" xfId="31031"/>
    <cellStyle name="Percent 3 9 10 8 3" xfId="31032"/>
    <cellStyle name="Percent 3 9 10 9 4" xfId="31033"/>
    <cellStyle name="Percent 3 9 10 9 2 2" xfId="31034"/>
    <cellStyle name="Percent 3 9 10 9 3" xfId="31035"/>
    <cellStyle name="Percent 3 9 11 16" xfId="31036"/>
    <cellStyle name="Percent 3 9 11 10 2" xfId="31037"/>
    <cellStyle name="Percent 3 9 11 11 2" xfId="31038"/>
    <cellStyle name="Percent 3 9 11 12 2" xfId="31039"/>
    <cellStyle name="Percent 3 9 11 13" xfId="31040"/>
    <cellStyle name="Percent 3 9 11 14" xfId="31041"/>
    <cellStyle name="Percent 3 9 11 15" xfId="31042"/>
    <cellStyle name="Percent 3 9 11 2 7" xfId="31043"/>
    <cellStyle name="Percent 3 9 11 2 2 4" xfId="31044"/>
    <cellStyle name="Percent 3 9 11 2 2 2 2" xfId="31045"/>
    <cellStyle name="Percent 3 9 11 2 2 3" xfId="31046"/>
    <cellStyle name="Percent 3 9 11 2 3 4" xfId="31047"/>
    <cellStyle name="Percent 3 9 11 2 3 2 2" xfId="31048"/>
    <cellStyle name="Percent 3 9 11 2 3 3" xfId="31049"/>
    <cellStyle name="Percent 3 9 11 2 4 2" xfId="31050"/>
    <cellStyle name="Percent 3 9 11 2 5 2" xfId="31051"/>
    <cellStyle name="Percent 3 9 11 2 6" xfId="31052"/>
    <cellStyle name="Percent 3 9 11 3 6" xfId="31053"/>
    <cellStyle name="Percent 3 9 11 3 2 4" xfId="31054"/>
    <cellStyle name="Percent 3 9 11 3 2 2 2" xfId="31055"/>
    <cellStyle name="Percent 3 9 11 3 2 3" xfId="31056"/>
    <cellStyle name="Percent 3 9 11 3 3 4" xfId="31057"/>
    <cellStyle name="Percent 3 9 11 3 3 2 2" xfId="31058"/>
    <cellStyle name="Percent 3 9 11 3 3 3" xfId="31059"/>
    <cellStyle name="Percent 3 9 11 3 4 2" xfId="31060"/>
    <cellStyle name="Percent 3 9 11 3 5" xfId="31061"/>
    <cellStyle name="Percent 3 9 11 4 6" xfId="31062"/>
    <cellStyle name="Percent 3 9 11 4 2 4" xfId="31063"/>
    <cellStyle name="Percent 3 9 11 4 2 2 2" xfId="31064"/>
    <cellStyle name="Percent 3 9 11 4 2 3" xfId="31065"/>
    <cellStyle name="Percent 3 9 11 4 3 4" xfId="31066"/>
    <cellStyle name="Percent 3 9 11 4 3 2 2" xfId="31067"/>
    <cellStyle name="Percent 3 9 11 4 3 3" xfId="31068"/>
    <cellStyle name="Percent 3 9 11 4 4 2" xfId="31069"/>
    <cellStyle name="Percent 3 9 11 4 5" xfId="31070"/>
    <cellStyle name="Percent 3 9 11 5 7" xfId="31071"/>
    <cellStyle name="Percent 3 9 11 5 2 4" xfId="31072"/>
    <cellStyle name="Percent 3 9 11 5 2 2 2" xfId="31073"/>
    <cellStyle name="Percent 3 9 11 5 2 3" xfId="31074"/>
    <cellStyle name="Percent 3 9 11 5 3 4" xfId="31075"/>
    <cellStyle name="Percent 3 9 11 5 3 2 2" xfId="31076"/>
    <cellStyle name="Percent 3 9 11 5 3 3" xfId="31077"/>
    <cellStyle name="Percent 3 9 11 5 4 4" xfId="31078"/>
    <cellStyle name="Percent 3 9 11 5 4 2 2" xfId="31079"/>
    <cellStyle name="Percent 3 9 11 5 4 3" xfId="31080"/>
    <cellStyle name="Percent 3 9 11 5 5 2" xfId="31081"/>
    <cellStyle name="Percent 3 9 11 5 6" xfId="31082"/>
    <cellStyle name="Percent 3 9 11 6 6" xfId="31083"/>
    <cellStyle name="Percent 3 9 11 6 2 4" xfId="31084"/>
    <cellStyle name="Percent 3 9 11 6 2 2 2" xfId="31085"/>
    <cellStyle name="Percent 3 9 11 6 2 3" xfId="31086"/>
    <cellStyle name="Percent 3 9 11 6 3 4" xfId="31087"/>
    <cellStyle name="Percent 3 9 11 6 3 2 2" xfId="31088"/>
    <cellStyle name="Percent 3 9 11 6 3 3" xfId="31089"/>
    <cellStyle name="Percent 3 9 11 6 4 2" xfId="31090"/>
    <cellStyle name="Percent 3 9 11 6 5" xfId="31091"/>
    <cellStyle name="Percent 3 9 11 7 4" xfId="31092"/>
    <cellStyle name="Percent 3 9 11 7 2 2" xfId="31093"/>
    <cellStyle name="Percent 3 9 11 7 3" xfId="31094"/>
    <cellStyle name="Percent 3 9 11 8 4" xfId="31095"/>
    <cellStyle name="Percent 3 9 11 8 2 2" xfId="31096"/>
    <cellStyle name="Percent 3 9 11 8 3" xfId="31097"/>
    <cellStyle name="Percent 3 9 11 9 4" xfId="31098"/>
    <cellStyle name="Percent 3 9 11 9 2 2" xfId="31099"/>
    <cellStyle name="Percent 3 9 11 9 3" xfId="31100"/>
    <cellStyle name="Percent 3 9 12 16" xfId="31101"/>
    <cellStyle name="Percent 3 9 12 10 2" xfId="31102"/>
    <cellStyle name="Percent 3 9 12 11 2" xfId="31103"/>
    <cellStyle name="Percent 3 9 12 12 2" xfId="31104"/>
    <cellStyle name="Percent 3 9 12 13" xfId="31105"/>
    <cellStyle name="Percent 3 9 12 14" xfId="31106"/>
    <cellStyle name="Percent 3 9 12 15" xfId="31107"/>
    <cellStyle name="Percent 3 9 12 2 7" xfId="31108"/>
    <cellStyle name="Percent 3 9 12 2 2 4" xfId="31109"/>
    <cellStyle name="Percent 3 9 12 2 2 2 2" xfId="31110"/>
    <cellStyle name="Percent 3 9 12 2 2 3" xfId="31111"/>
    <cellStyle name="Percent 3 9 12 2 3 4" xfId="31112"/>
    <cellStyle name="Percent 3 9 12 2 3 2 2" xfId="31113"/>
    <cellStyle name="Percent 3 9 12 2 3 3" xfId="31114"/>
    <cellStyle name="Percent 3 9 12 2 4 2" xfId="31115"/>
    <cellStyle name="Percent 3 9 12 2 5 2" xfId="31116"/>
    <cellStyle name="Percent 3 9 12 2 6" xfId="31117"/>
    <cellStyle name="Percent 3 9 12 3 6" xfId="31118"/>
    <cellStyle name="Percent 3 9 12 3 2 4" xfId="31119"/>
    <cellStyle name="Percent 3 9 12 3 2 2 2" xfId="31120"/>
    <cellStyle name="Percent 3 9 12 3 2 3" xfId="31121"/>
    <cellStyle name="Percent 3 9 12 3 3 4" xfId="31122"/>
    <cellStyle name="Percent 3 9 12 3 3 2 2" xfId="31123"/>
    <cellStyle name="Percent 3 9 12 3 3 3" xfId="31124"/>
    <cellStyle name="Percent 3 9 12 3 4 2" xfId="31125"/>
    <cellStyle name="Percent 3 9 12 3 5" xfId="31126"/>
    <cellStyle name="Percent 3 9 12 4 6" xfId="31127"/>
    <cellStyle name="Percent 3 9 12 4 2 4" xfId="31128"/>
    <cellStyle name="Percent 3 9 12 4 2 2 2" xfId="31129"/>
    <cellStyle name="Percent 3 9 12 4 2 3" xfId="31130"/>
    <cellStyle name="Percent 3 9 12 4 3 4" xfId="31131"/>
    <cellStyle name="Percent 3 9 12 4 3 2 2" xfId="31132"/>
    <cellStyle name="Percent 3 9 12 4 3 3" xfId="31133"/>
    <cellStyle name="Percent 3 9 12 4 4 2" xfId="31134"/>
    <cellStyle name="Percent 3 9 12 4 5" xfId="31135"/>
    <cellStyle name="Percent 3 9 12 5 7" xfId="31136"/>
    <cellStyle name="Percent 3 9 12 5 2 4" xfId="31137"/>
    <cellStyle name="Percent 3 9 12 5 2 2 2" xfId="31138"/>
    <cellStyle name="Percent 3 9 12 5 2 3" xfId="31139"/>
    <cellStyle name="Percent 3 9 12 5 3 4" xfId="31140"/>
    <cellStyle name="Percent 3 9 12 5 3 2 2" xfId="31141"/>
    <cellStyle name="Percent 3 9 12 5 3 3" xfId="31142"/>
    <cellStyle name="Percent 3 9 12 5 4 4" xfId="31143"/>
    <cellStyle name="Percent 3 9 12 5 4 2 2" xfId="31144"/>
    <cellStyle name="Percent 3 9 12 5 4 3" xfId="31145"/>
    <cellStyle name="Percent 3 9 12 5 5 2" xfId="31146"/>
    <cellStyle name="Percent 3 9 12 5 6" xfId="31147"/>
    <cellStyle name="Percent 3 9 12 6 6" xfId="31148"/>
    <cellStyle name="Percent 3 9 12 6 2 4" xfId="31149"/>
    <cellStyle name="Percent 3 9 12 6 2 2 2" xfId="31150"/>
    <cellStyle name="Percent 3 9 12 6 2 3" xfId="31151"/>
    <cellStyle name="Percent 3 9 12 6 3 4" xfId="31152"/>
    <cellStyle name="Percent 3 9 12 6 3 2 2" xfId="31153"/>
    <cellStyle name="Percent 3 9 12 6 3 3" xfId="31154"/>
    <cellStyle name="Percent 3 9 12 6 4 2" xfId="31155"/>
    <cellStyle name="Percent 3 9 12 6 5" xfId="31156"/>
    <cellStyle name="Percent 3 9 12 7 4" xfId="31157"/>
    <cellStyle name="Percent 3 9 12 7 2 2" xfId="31158"/>
    <cellStyle name="Percent 3 9 12 7 3" xfId="31159"/>
    <cellStyle name="Percent 3 9 12 8 4" xfId="31160"/>
    <cellStyle name="Percent 3 9 12 8 2 2" xfId="31161"/>
    <cellStyle name="Percent 3 9 12 8 3" xfId="31162"/>
    <cellStyle name="Percent 3 9 12 9 4" xfId="31163"/>
    <cellStyle name="Percent 3 9 12 9 2 2" xfId="31164"/>
    <cellStyle name="Percent 3 9 12 9 3" xfId="31165"/>
    <cellStyle name="Percent 3 9 13 16" xfId="31166"/>
    <cellStyle name="Percent 3 9 13 10 2" xfId="31167"/>
    <cellStyle name="Percent 3 9 13 11 2" xfId="31168"/>
    <cellStyle name="Percent 3 9 13 12 2" xfId="31169"/>
    <cellStyle name="Percent 3 9 13 13" xfId="31170"/>
    <cellStyle name="Percent 3 9 13 14" xfId="31171"/>
    <cellStyle name="Percent 3 9 13 15" xfId="31172"/>
    <cellStyle name="Percent 3 9 13 2 7" xfId="31173"/>
    <cellStyle name="Percent 3 9 13 2 2 4" xfId="31174"/>
    <cellStyle name="Percent 3 9 13 2 2 2 2" xfId="31175"/>
    <cellStyle name="Percent 3 9 13 2 2 3" xfId="31176"/>
    <cellStyle name="Percent 3 9 13 2 3 4" xfId="31177"/>
    <cellStyle name="Percent 3 9 13 2 3 2 2" xfId="31178"/>
    <cellStyle name="Percent 3 9 13 2 3 3" xfId="31179"/>
    <cellStyle name="Percent 3 9 13 2 4 2" xfId="31180"/>
    <cellStyle name="Percent 3 9 13 2 5 2" xfId="31181"/>
    <cellStyle name="Percent 3 9 13 2 6" xfId="31182"/>
    <cellStyle name="Percent 3 9 13 3 6" xfId="31183"/>
    <cellStyle name="Percent 3 9 13 3 2 4" xfId="31184"/>
    <cellStyle name="Percent 3 9 13 3 2 2 2" xfId="31185"/>
    <cellStyle name="Percent 3 9 13 3 2 3" xfId="31186"/>
    <cellStyle name="Percent 3 9 13 3 3 4" xfId="31187"/>
    <cellStyle name="Percent 3 9 13 3 3 2 2" xfId="31188"/>
    <cellStyle name="Percent 3 9 13 3 3 3" xfId="31189"/>
    <cellStyle name="Percent 3 9 13 3 4 2" xfId="31190"/>
    <cellStyle name="Percent 3 9 13 3 5" xfId="31191"/>
    <cellStyle name="Percent 3 9 13 4 6" xfId="31192"/>
    <cellStyle name="Percent 3 9 13 4 2 4" xfId="31193"/>
    <cellStyle name="Percent 3 9 13 4 2 2 2" xfId="31194"/>
    <cellStyle name="Percent 3 9 13 4 2 3" xfId="31195"/>
    <cellStyle name="Percent 3 9 13 4 3 4" xfId="31196"/>
    <cellStyle name="Percent 3 9 13 4 3 2 2" xfId="31197"/>
    <cellStyle name="Percent 3 9 13 4 3 3" xfId="31198"/>
    <cellStyle name="Percent 3 9 13 4 4 2" xfId="31199"/>
    <cellStyle name="Percent 3 9 13 4 5" xfId="31200"/>
    <cellStyle name="Percent 3 9 13 5 7" xfId="31201"/>
    <cellStyle name="Percent 3 9 13 5 2 4" xfId="31202"/>
    <cellStyle name="Percent 3 9 13 5 2 2 2" xfId="31203"/>
    <cellStyle name="Percent 3 9 13 5 2 3" xfId="31204"/>
    <cellStyle name="Percent 3 9 13 5 3 4" xfId="31205"/>
    <cellStyle name="Percent 3 9 13 5 3 2 2" xfId="31206"/>
    <cellStyle name="Percent 3 9 13 5 3 3" xfId="31207"/>
    <cellStyle name="Percent 3 9 13 5 4 4" xfId="31208"/>
    <cellStyle name="Percent 3 9 13 5 4 2 2" xfId="31209"/>
    <cellStyle name="Percent 3 9 13 5 4 3" xfId="31210"/>
    <cellStyle name="Percent 3 9 13 5 5 2" xfId="31211"/>
    <cellStyle name="Percent 3 9 13 5 6" xfId="31212"/>
    <cellStyle name="Percent 3 9 13 6 6" xfId="31213"/>
    <cellStyle name="Percent 3 9 13 6 2 4" xfId="31214"/>
    <cellStyle name="Percent 3 9 13 6 2 2 2" xfId="31215"/>
    <cellStyle name="Percent 3 9 13 6 2 3" xfId="31216"/>
    <cellStyle name="Percent 3 9 13 6 3 4" xfId="31217"/>
    <cellStyle name="Percent 3 9 13 6 3 2 2" xfId="31218"/>
    <cellStyle name="Percent 3 9 13 6 3 3" xfId="31219"/>
    <cellStyle name="Percent 3 9 13 6 4 2" xfId="31220"/>
    <cellStyle name="Percent 3 9 13 6 5" xfId="31221"/>
    <cellStyle name="Percent 3 9 13 7 4" xfId="31222"/>
    <cellStyle name="Percent 3 9 13 7 2 2" xfId="31223"/>
    <cellStyle name="Percent 3 9 13 7 3" xfId="31224"/>
    <cellStyle name="Percent 3 9 13 8 4" xfId="31225"/>
    <cellStyle name="Percent 3 9 13 8 2 2" xfId="31226"/>
    <cellStyle name="Percent 3 9 13 8 3" xfId="31227"/>
    <cellStyle name="Percent 3 9 13 9 4" xfId="31228"/>
    <cellStyle name="Percent 3 9 13 9 2 2" xfId="31229"/>
    <cellStyle name="Percent 3 9 13 9 3" xfId="31230"/>
    <cellStyle name="Percent 3 9 14 16" xfId="31231"/>
    <cellStyle name="Percent 3 9 14 10 2" xfId="31232"/>
    <cellStyle name="Percent 3 9 14 11 2" xfId="31233"/>
    <cellStyle name="Percent 3 9 14 12 2" xfId="31234"/>
    <cellStyle name="Percent 3 9 14 13" xfId="31235"/>
    <cellStyle name="Percent 3 9 14 14" xfId="31236"/>
    <cellStyle name="Percent 3 9 14 15" xfId="31237"/>
    <cellStyle name="Percent 3 9 14 2 7" xfId="31238"/>
    <cellStyle name="Percent 3 9 14 2 2 4" xfId="31239"/>
    <cellStyle name="Percent 3 9 14 2 2 2 2" xfId="31240"/>
    <cellStyle name="Percent 3 9 14 2 2 3" xfId="31241"/>
    <cellStyle name="Percent 3 9 14 2 3 4" xfId="31242"/>
    <cellStyle name="Percent 3 9 14 2 3 2 2" xfId="31243"/>
    <cellStyle name="Percent 3 9 14 2 3 3" xfId="31244"/>
    <cellStyle name="Percent 3 9 14 2 4 2" xfId="31245"/>
    <cellStyle name="Percent 3 9 14 2 5 2" xfId="31246"/>
    <cellStyle name="Percent 3 9 14 2 6" xfId="31247"/>
    <cellStyle name="Percent 3 9 14 3 6" xfId="31248"/>
    <cellStyle name="Percent 3 9 14 3 2 4" xfId="31249"/>
    <cellStyle name="Percent 3 9 14 3 2 2 2" xfId="31250"/>
    <cellStyle name="Percent 3 9 14 3 2 3" xfId="31251"/>
    <cellStyle name="Percent 3 9 14 3 3 4" xfId="31252"/>
    <cellStyle name="Percent 3 9 14 3 3 2 2" xfId="31253"/>
    <cellStyle name="Percent 3 9 14 3 3 3" xfId="31254"/>
    <cellStyle name="Percent 3 9 14 3 4 2" xfId="31255"/>
    <cellStyle name="Percent 3 9 14 3 5" xfId="31256"/>
    <cellStyle name="Percent 3 9 14 4 6" xfId="31257"/>
    <cellStyle name="Percent 3 9 14 4 2 4" xfId="31258"/>
    <cellStyle name="Percent 3 9 14 4 2 2 2" xfId="31259"/>
    <cellStyle name="Percent 3 9 14 4 2 3" xfId="31260"/>
    <cellStyle name="Percent 3 9 14 4 3 4" xfId="31261"/>
    <cellStyle name="Percent 3 9 14 4 3 2 2" xfId="31262"/>
    <cellStyle name="Percent 3 9 14 4 3 3" xfId="31263"/>
    <cellStyle name="Percent 3 9 14 4 4 2" xfId="31264"/>
    <cellStyle name="Percent 3 9 14 4 5" xfId="31265"/>
    <cellStyle name="Percent 3 9 14 5 7" xfId="31266"/>
    <cellStyle name="Percent 3 9 14 5 2 4" xfId="31267"/>
    <cellStyle name="Percent 3 9 14 5 2 2 2" xfId="31268"/>
    <cellStyle name="Percent 3 9 14 5 2 3" xfId="31269"/>
    <cellStyle name="Percent 3 9 14 5 3 4" xfId="31270"/>
    <cellStyle name="Percent 3 9 14 5 3 2 2" xfId="31271"/>
    <cellStyle name="Percent 3 9 14 5 3 3" xfId="31272"/>
    <cellStyle name="Percent 3 9 14 5 4 4" xfId="31273"/>
    <cellStyle name="Percent 3 9 14 5 4 2 2" xfId="31274"/>
    <cellStyle name="Percent 3 9 14 5 4 3" xfId="31275"/>
    <cellStyle name="Percent 3 9 14 5 5 2" xfId="31276"/>
    <cellStyle name="Percent 3 9 14 5 6" xfId="31277"/>
    <cellStyle name="Percent 3 9 14 6 6" xfId="31278"/>
    <cellStyle name="Percent 3 9 14 6 2 4" xfId="31279"/>
    <cellStyle name="Percent 3 9 14 6 2 2 2" xfId="31280"/>
    <cellStyle name="Percent 3 9 14 6 2 3" xfId="31281"/>
    <cellStyle name="Percent 3 9 14 6 3 4" xfId="31282"/>
    <cellStyle name="Percent 3 9 14 6 3 2 2" xfId="31283"/>
    <cellStyle name="Percent 3 9 14 6 3 3" xfId="31284"/>
    <cellStyle name="Percent 3 9 14 6 4 2" xfId="31285"/>
    <cellStyle name="Percent 3 9 14 6 5" xfId="31286"/>
    <cellStyle name="Percent 3 9 14 7 4" xfId="31287"/>
    <cellStyle name="Percent 3 9 14 7 2 2" xfId="31288"/>
    <cellStyle name="Percent 3 9 14 7 3" xfId="31289"/>
    <cellStyle name="Percent 3 9 14 8 4" xfId="31290"/>
    <cellStyle name="Percent 3 9 14 8 2 2" xfId="31291"/>
    <cellStyle name="Percent 3 9 14 8 3" xfId="31292"/>
    <cellStyle name="Percent 3 9 14 9 4" xfId="31293"/>
    <cellStyle name="Percent 3 9 14 9 2 2" xfId="31294"/>
    <cellStyle name="Percent 3 9 14 9 3" xfId="31295"/>
    <cellStyle name="Percent 3 9 15 16" xfId="31296"/>
    <cellStyle name="Percent 3 9 15 10 2" xfId="31297"/>
    <cellStyle name="Percent 3 9 15 11 2" xfId="31298"/>
    <cellStyle name="Percent 3 9 15 12 2" xfId="31299"/>
    <cellStyle name="Percent 3 9 15 13" xfId="31300"/>
    <cellStyle name="Percent 3 9 15 14" xfId="31301"/>
    <cellStyle name="Percent 3 9 15 15" xfId="31302"/>
    <cellStyle name="Percent 3 9 15 2 7" xfId="31303"/>
    <cellStyle name="Percent 3 9 15 2 2 4" xfId="31304"/>
    <cellStyle name="Percent 3 9 15 2 2 2 2" xfId="31305"/>
    <cellStyle name="Percent 3 9 15 2 2 3" xfId="31306"/>
    <cellStyle name="Percent 3 9 15 2 3 4" xfId="31307"/>
    <cellStyle name="Percent 3 9 15 2 3 2 2" xfId="31308"/>
    <cellStyle name="Percent 3 9 15 2 3 3" xfId="31309"/>
    <cellStyle name="Percent 3 9 15 2 4 2" xfId="31310"/>
    <cellStyle name="Percent 3 9 15 2 5 2" xfId="31311"/>
    <cellStyle name="Percent 3 9 15 2 6" xfId="31312"/>
    <cellStyle name="Percent 3 9 15 3 6" xfId="31313"/>
    <cellStyle name="Percent 3 9 15 3 2 4" xfId="31314"/>
    <cellStyle name="Percent 3 9 15 3 2 2 2" xfId="31315"/>
    <cellStyle name="Percent 3 9 15 3 2 3" xfId="31316"/>
    <cellStyle name="Percent 3 9 15 3 3 4" xfId="31317"/>
    <cellStyle name="Percent 3 9 15 3 3 2 2" xfId="31318"/>
    <cellStyle name="Percent 3 9 15 3 3 3" xfId="31319"/>
    <cellStyle name="Percent 3 9 15 3 4 2" xfId="31320"/>
    <cellStyle name="Percent 3 9 15 3 5" xfId="31321"/>
    <cellStyle name="Percent 3 9 15 4 6" xfId="31322"/>
    <cellStyle name="Percent 3 9 15 4 2 4" xfId="31323"/>
    <cellStyle name="Percent 3 9 15 4 2 2 2" xfId="31324"/>
    <cellStyle name="Percent 3 9 15 4 2 3" xfId="31325"/>
    <cellStyle name="Percent 3 9 15 4 3 4" xfId="31326"/>
    <cellStyle name="Percent 3 9 15 4 3 2 2" xfId="31327"/>
    <cellStyle name="Percent 3 9 15 4 3 3" xfId="31328"/>
    <cellStyle name="Percent 3 9 15 4 4 2" xfId="31329"/>
    <cellStyle name="Percent 3 9 15 4 5" xfId="31330"/>
    <cellStyle name="Percent 3 9 15 5 7" xfId="31331"/>
    <cellStyle name="Percent 3 9 15 5 2 4" xfId="31332"/>
    <cellStyle name="Percent 3 9 15 5 2 2 2" xfId="31333"/>
    <cellStyle name="Percent 3 9 15 5 2 3" xfId="31334"/>
    <cellStyle name="Percent 3 9 15 5 3 4" xfId="31335"/>
    <cellStyle name="Percent 3 9 15 5 3 2 2" xfId="31336"/>
    <cellStyle name="Percent 3 9 15 5 3 3" xfId="31337"/>
    <cellStyle name="Percent 3 9 15 5 4 4" xfId="31338"/>
    <cellStyle name="Percent 3 9 15 5 4 2 2" xfId="31339"/>
    <cellStyle name="Percent 3 9 15 5 4 3" xfId="31340"/>
    <cellStyle name="Percent 3 9 15 5 5 2" xfId="31341"/>
    <cellStyle name="Percent 3 9 15 5 6" xfId="31342"/>
    <cellStyle name="Percent 3 9 15 6 6" xfId="31343"/>
    <cellStyle name="Percent 3 9 15 6 2 4" xfId="31344"/>
    <cellStyle name="Percent 3 9 15 6 2 2 2" xfId="31345"/>
    <cellStyle name="Percent 3 9 15 6 2 3" xfId="31346"/>
    <cellStyle name="Percent 3 9 15 6 3 4" xfId="31347"/>
    <cellStyle name="Percent 3 9 15 6 3 2 2" xfId="31348"/>
    <cellStyle name="Percent 3 9 15 6 3 3" xfId="31349"/>
    <cellStyle name="Percent 3 9 15 6 4 2" xfId="31350"/>
    <cellStyle name="Percent 3 9 15 6 5" xfId="31351"/>
    <cellStyle name="Percent 3 9 15 7 4" xfId="31352"/>
    <cellStyle name="Percent 3 9 15 7 2 2" xfId="31353"/>
    <cellStyle name="Percent 3 9 15 7 3" xfId="31354"/>
    <cellStyle name="Percent 3 9 15 8 4" xfId="31355"/>
    <cellStyle name="Percent 3 9 15 8 2 2" xfId="31356"/>
    <cellStyle name="Percent 3 9 15 8 3" xfId="31357"/>
    <cellStyle name="Percent 3 9 15 9 4" xfId="31358"/>
    <cellStyle name="Percent 3 9 15 9 2 2" xfId="31359"/>
    <cellStyle name="Percent 3 9 15 9 3" xfId="31360"/>
    <cellStyle name="Percent 3 9 16 7" xfId="31361"/>
    <cellStyle name="Percent 3 9 16 2 4" xfId="31362"/>
    <cellStyle name="Percent 3 9 16 2 2 2" xfId="31363"/>
    <cellStyle name="Percent 3 9 16 2 3" xfId="31364"/>
    <cellStyle name="Percent 3 9 16 3 4" xfId="31365"/>
    <cellStyle name="Percent 3 9 16 3 2 2" xfId="31366"/>
    <cellStyle name="Percent 3 9 16 3 3" xfId="31367"/>
    <cellStyle name="Percent 3 9 16 4 2" xfId="31368"/>
    <cellStyle name="Percent 3 9 16 5 2" xfId="31369"/>
    <cellStyle name="Percent 3 9 16 6" xfId="31370"/>
    <cellStyle name="Percent 3 9 17 6" xfId="31371"/>
    <cellStyle name="Percent 3 9 17 2 4" xfId="31372"/>
    <cellStyle name="Percent 3 9 17 2 2 2" xfId="31373"/>
    <cellStyle name="Percent 3 9 17 2 3" xfId="31374"/>
    <cellStyle name="Percent 3 9 17 3 4" xfId="31375"/>
    <cellStyle name="Percent 3 9 17 3 2 2" xfId="31376"/>
    <cellStyle name="Percent 3 9 17 3 3" xfId="31377"/>
    <cellStyle name="Percent 3 9 17 4 2" xfId="31378"/>
    <cellStyle name="Percent 3 9 17 5" xfId="31379"/>
    <cellStyle name="Percent 3 9 18 6" xfId="31380"/>
    <cellStyle name="Percent 3 9 18 2 4" xfId="31381"/>
    <cellStyle name="Percent 3 9 18 2 2 2" xfId="31382"/>
    <cellStyle name="Percent 3 9 18 2 3" xfId="31383"/>
    <cellStyle name="Percent 3 9 18 3 4" xfId="31384"/>
    <cellStyle name="Percent 3 9 18 3 2 2" xfId="31385"/>
    <cellStyle name="Percent 3 9 18 3 3" xfId="31386"/>
    <cellStyle name="Percent 3 9 18 4 2" xfId="31387"/>
    <cellStyle name="Percent 3 9 18 5" xfId="31388"/>
    <cellStyle name="Percent 3 9 19 7" xfId="31389"/>
    <cellStyle name="Percent 3 9 19 2 4" xfId="31390"/>
    <cellStyle name="Percent 3 9 19 2 2 2" xfId="31391"/>
    <cellStyle name="Percent 3 9 19 2 3" xfId="31392"/>
    <cellStyle name="Percent 3 9 19 3 4" xfId="31393"/>
    <cellStyle name="Percent 3 9 19 3 2 2" xfId="31394"/>
    <cellStyle name="Percent 3 9 19 3 3" xfId="31395"/>
    <cellStyle name="Percent 3 9 19 4 4" xfId="31396"/>
    <cellStyle name="Percent 3 9 19 4 2 2" xfId="31397"/>
    <cellStyle name="Percent 3 9 19 4 3" xfId="31398"/>
    <cellStyle name="Percent 3 9 19 5 2" xfId="31399"/>
    <cellStyle name="Percent 3 9 19 6" xfId="31400"/>
    <cellStyle name="Percent 3 9 2 16" xfId="31401"/>
    <cellStyle name="Percent 3 9 2 10 2" xfId="31402"/>
    <cellStyle name="Percent 3 9 2 11 2" xfId="31403"/>
    <cellStyle name="Percent 3 9 2 12 2" xfId="31404"/>
    <cellStyle name="Percent 3 9 2 13" xfId="31405"/>
    <cellStyle name="Percent 3 9 2 14" xfId="31406"/>
    <cellStyle name="Percent 3 9 2 15" xfId="31407"/>
    <cellStyle name="Percent 3 9 2 2 7" xfId="31408"/>
    <cellStyle name="Percent 3 9 2 2 2 4" xfId="31409"/>
    <cellStyle name="Percent 3 9 2 2 2 2 2" xfId="31410"/>
    <cellStyle name="Percent 3 9 2 2 2 3" xfId="31411"/>
    <cellStyle name="Percent 3 9 2 2 3 4" xfId="31412"/>
    <cellStyle name="Percent 3 9 2 2 3 2 2" xfId="31413"/>
    <cellStyle name="Percent 3 9 2 2 3 3" xfId="31414"/>
    <cellStyle name="Percent 3 9 2 2 4 2" xfId="31415"/>
    <cellStyle name="Percent 3 9 2 2 5 2" xfId="31416"/>
    <cellStyle name="Percent 3 9 2 2 6" xfId="31417"/>
    <cellStyle name="Percent 3 9 2 3 6" xfId="31418"/>
    <cellStyle name="Percent 3 9 2 3 2 4" xfId="31419"/>
    <cellStyle name="Percent 3 9 2 3 2 2 2" xfId="31420"/>
    <cellStyle name="Percent 3 9 2 3 2 3" xfId="31421"/>
    <cellStyle name="Percent 3 9 2 3 3 4" xfId="31422"/>
    <cellStyle name="Percent 3 9 2 3 3 2 2" xfId="31423"/>
    <cellStyle name="Percent 3 9 2 3 3 3" xfId="31424"/>
    <cellStyle name="Percent 3 9 2 3 4 2" xfId="31425"/>
    <cellStyle name="Percent 3 9 2 3 5" xfId="31426"/>
    <cellStyle name="Percent 3 9 2 4 6" xfId="31427"/>
    <cellStyle name="Percent 3 9 2 4 2 4" xfId="31428"/>
    <cellStyle name="Percent 3 9 2 4 2 2 2" xfId="31429"/>
    <cellStyle name="Percent 3 9 2 4 2 3" xfId="31430"/>
    <cellStyle name="Percent 3 9 2 4 3 4" xfId="31431"/>
    <cellStyle name="Percent 3 9 2 4 3 2 2" xfId="31432"/>
    <cellStyle name="Percent 3 9 2 4 3 3" xfId="31433"/>
    <cellStyle name="Percent 3 9 2 4 4 2" xfId="31434"/>
    <cellStyle name="Percent 3 9 2 4 5" xfId="31435"/>
    <cellStyle name="Percent 3 9 2 5 7" xfId="31436"/>
    <cellStyle name="Percent 3 9 2 5 2 4" xfId="31437"/>
    <cellStyle name="Percent 3 9 2 5 2 2 2" xfId="31438"/>
    <cellStyle name="Percent 3 9 2 5 2 3" xfId="31439"/>
    <cellStyle name="Percent 3 9 2 5 3 4" xfId="31440"/>
    <cellStyle name="Percent 3 9 2 5 3 2 2" xfId="31441"/>
    <cellStyle name="Percent 3 9 2 5 3 3" xfId="31442"/>
    <cellStyle name="Percent 3 9 2 5 4 4" xfId="31443"/>
    <cellStyle name="Percent 3 9 2 5 4 2 2" xfId="31444"/>
    <cellStyle name="Percent 3 9 2 5 4 3" xfId="31445"/>
    <cellStyle name="Percent 3 9 2 5 5 2" xfId="31446"/>
    <cellStyle name="Percent 3 9 2 5 6" xfId="31447"/>
    <cellStyle name="Percent 3 9 2 6 6" xfId="31448"/>
    <cellStyle name="Percent 3 9 2 6 2 4" xfId="31449"/>
    <cellStyle name="Percent 3 9 2 6 2 2 2" xfId="31450"/>
    <cellStyle name="Percent 3 9 2 6 2 3" xfId="31451"/>
    <cellStyle name="Percent 3 9 2 6 3 4" xfId="31452"/>
    <cellStyle name="Percent 3 9 2 6 3 2 2" xfId="31453"/>
    <cellStyle name="Percent 3 9 2 6 3 3" xfId="31454"/>
    <cellStyle name="Percent 3 9 2 6 4 2" xfId="31455"/>
    <cellStyle name="Percent 3 9 2 6 5" xfId="31456"/>
    <cellStyle name="Percent 3 9 2 7 4" xfId="31457"/>
    <cellStyle name="Percent 3 9 2 7 2 2" xfId="31458"/>
    <cellStyle name="Percent 3 9 2 7 3" xfId="31459"/>
    <cellStyle name="Percent 3 9 2 8 4" xfId="31460"/>
    <cellStyle name="Percent 3 9 2 8 2 2" xfId="31461"/>
    <cellStyle name="Percent 3 9 2 8 3" xfId="31462"/>
    <cellStyle name="Percent 3 9 2 9 4" xfId="31463"/>
    <cellStyle name="Percent 3 9 2 9 2 2" xfId="31464"/>
    <cellStyle name="Percent 3 9 2 9 3" xfId="31465"/>
    <cellStyle name="Percent 3 9 20 6" xfId="31466"/>
    <cellStyle name="Percent 3 9 20 2 4" xfId="31467"/>
    <cellStyle name="Percent 3 9 20 2 2 2" xfId="31468"/>
    <cellStyle name="Percent 3 9 20 2 3" xfId="31469"/>
    <cellStyle name="Percent 3 9 20 3 4" xfId="31470"/>
    <cellStyle name="Percent 3 9 20 3 2 2" xfId="31471"/>
    <cellStyle name="Percent 3 9 20 3 3" xfId="31472"/>
    <cellStyle name="Percent 3 9 20 4 2" xfId="31473"/>
    <cellStyle name="Percent 3 9 20 5" xfId="31474"/>
    <cellStyle name="Percent 3 9 21 4" xfId="31475"/>
    <cellStyle name="Percent 3 9 21 2 2" xfId="31476"/>
    <cellStyle name="Percent 3 9 21 3" xfId="31477"/>
    <cellStyle name="Percent 3 9 22 4" xfId="31478"/>
    <cellStyle name="Percent 3 9 22 2 2" xfId="31479"/>
    <cellStyle name="Percent 3 9 22 3" xfId="31480"/>
    <cellStyle name="Percent 3 9 23 4" xfId="31481"/>
    <cellStyle name="Percent 3 9 23 2 2" xfId="31482"/>
    <cellStyle name="Percent 3 9 23 3" xfId="31483"/>
    <cellStyle name="Percent 3 9 24 2" xfId="31484"/>
    <cellStyle name="Percent 3 9 25 2" xfId="31485"/>
    <cellStyle name="Percent 3 9 26 2" xfId="31486"/>
    <cellStyle name="Percent 3 9 27" xfId="31487"/>
    <cellStyle name="Percent 3 9 28" xfId="31488"/>
    <cellStyle name="Percent 3 9 29" xfId="31489"/>
    <cellStyle name="Percent 3 9 3 16" xfId="31490"/>
    <cellStyle name="Percent 3 9 3 10 2" xfId="31491"/>
    <cellStyle name="Percent 3 9 3 11 2" xfId="31492"/>
    <cellStyle name="Percent 3 9 3 12 2" xfId="31493"/>
    <cellStyle name="Percent 3 9 3 13" xfId="31494"/>
    <cellStyle name="Percent 3 9 3 14" xfId="31495"/>
    <cellStyle name="Percent 3 9 3 15" xfId="31496"/>
    <cellStyle name="Percent 3 9 3 2 7" xfId="31497"/>
    <cellStyle name="Percent 3 9 3 2 2 4" xfId="31498"/>
    <cellStyle name="Percent 3 9 3 2 2 2 2" xfId="31499"/>
    <cellStyle name="Percent 3 9 3 2 2 3" xfId="31500"/>
    <cellStyle name="Percent 3 9 3 2 3 4" xfId="31501"/>
    <cellStyle name="Percent 3 9 3 2 3 2 2" xfId="31502"/>
    <cellStyle name="Percent 3 9 3 2 3 3" xfId="31503"/>
    <cellStyle name="Percent 3 9 3 2 4 2" xfId="31504"/>
    <cellStyle name="Percent 3 9 3 2 5 2" xfId="31505"/>
    <cellStyle name="Percent 3 9 3 2 6" xfId="31506"/>
    <cellStyle name="Percent 3 9 3 3 6" xfId="31507"/>
    <cellStyle name="Percent 3 9 3 3 2 4" xfId="31508"/>
    <cellStyle name="Percent 3 9 3 3 2 2 2" xfId="31509"/>
    <cellStyle name="Percent 3 9 3 3 2 3" xfId="31510"/>
    <cellStyle name="Percent 3 9 3 3 3 4" xfId="31511"/>
    <cellStyle name="Percent 3 9 3 3 3 2 2" xfId="31512"/>
    <cellStyle name="Percent 3 9 3 3 3 3" xfId="31513"/>
    <cellStyle name="Percent 3 9 3 3 4 2" xfId="31514"/>
    <cellStyle name="Percent 3 9 3 3 5" xfId="31515"/>
    <cellStyle name="Percent 3 9 3 4 6" xfId="31516"/>
    <cellStyle name="Percent 3 9 3 4 2 4" xfId="31517"/>
    <cellStyle name="Percent 3 9 3 4 2 2 2" xfId="31518"/>
    <cellStyle name="Percent 3 9 3 4 2 3" xfId="31519"/>
    <cellStyle name="Percent 3 9 3 4 3 4" xfId="31520"/>
    <cellStyle name="Percent 3 9 3 4 3 2 2" xfId="31521"/>
    <cellStyle name="Percent 3 9 3 4 3 3" xfId="31522"/>
    <cellStyle name="Percent 3 9 3 4 4 2" xfId="31523"/>
    <cellStyle name="Percent 3 9 3 4 5" xfId="31524"/>
    <cellStyle name="Percent 3 9 3 5 7" xfId="31525"/>
    <cellStyle name="Percent 3 9 3 5 2 4" xfId="31526"/>
    <cellStyle name="Percent 3 9 3 5 2 2 2" xfId="31527"/>
    <cellStyle name="Percent 3 9 3 5 2 3" xfId="31528"/>
    <cellStyle name="Percent 3 9 3 5 3 4" xfId="31529"/>
    <cellStyle name="Percent 3 9 3 5 3 2 2" xfId="31530"/>
    <cellStyle name="Percent 3 9 3 5 3 3" xfId="31531"/>
    <cellStyle name="Percent 3 9 3 5 4 4" xfId="31532"/>
    <cellStyle name="Percent 3 9 3 5 4 2 2" xfId="31533"/>
    <cellStyle name="Percent 3 9 3 5 4 3" xfId="31534"/>
    <cellStyle name="Percent 3 9 3 5 5 2" xfId="31535"/>
    <cellStyle name="Percent 3 9 3 5 6" xfId="31536"/>
    <cellStyle name="Percent 3 9 3 6 6" xfId="31537"/>
    <cellStyle name="Percent 3 9 3 6 2 4" xfId="31538"/>
    <cellStyle name="Percent 3 9 3 6 2 2 2" xfId="31539"/>
    <cellStyle name="Percent 3 9 3 6 2 3" xfId="31540"/>
    <cellStyle name="Percent 3 9 3 6 3 4" xfId="31541"/>
    <cellStyle name="Percent 3 9 3 6 3 2 2" xfId="31542"/>
    <cellStyle name="Percent 3 9 3 6 3 3" xfId="31543"/>
    <cellStyle name="Percent 3 9 3 6 4 2" xfId="31544"/>
    <cellStyle name="Percent 3 9 3 6 5" xfId="31545"/>
    <cellStyle name="Percent 3 9 3 7 4" xfId="31546"/>
    <cellStyle name="Percent 3 9 3 7 2 2" xfId="31547"/>
    <cellStyle name="Percent 3 9 3 7 3" xfId="31548"/>
    <cellStyle name="Percent 3 9 3 8 4" xfId="31549"/>
    <cellStyle name="Percent 3 9 3 8 2 2" xfId="31550"/>
    <cellStyle name="Percent 3 9 3 8 3" xfId="31551"/>
    <cellStyle name="Percent 3 9 3 9 4" xfId="31552"/>
    <cellStyle name="Percent 3 9 3 9 2 2" xfId="31553"/>
    <cellStyle name="Percent 3 9 3 9 3" xfId="31554"/>
    <cellStyle name="Percent 3 9 4 16" xfId="31555"/>
    <cellStyle name="Percent 3 9 4 10 2" xfId="31556"/>
    <cellStyle name="Percent 3 9 4 11 2" xfId="31557"/>
    <cellStyle name="Percent 3 9 4 12 2" xfId="31558"/>
    <cellStyle name="Percent 3 9 4 13" xfId="31559"/>
    <cellStyle name="Percent 3 9 4 14" xfId="31560"/>
    <cellStyle name="Percent 3 9 4 15" xfId="31561"/>
    <cellStyle name="Percent 3 9 4 2 7" xfId="31562"/>
    <cellStyle name="Percent 3 9 4 2 2 4" xfId="31563"/>
    <cellStyle name="Percent 3 9 4 2 2 2 2" xfId="31564"/>
    <cellStyle name="Percent 3 9 4 2 2 3" xfId="31565"/>
    <cellStyle name="Percent 3 9 4 2 3 4" xfId="31566"/>
    <cellStyle name="Percent 3 9 4 2 3 2 2" xfId="31567"/>
    <cellStyle name="Percent 3 9 4 2 3 3" xfId="31568"/>
    <cellStyle name="Percent 3 9 4 2 4 2" xfId="31569"/>
    <cellStyle name="Percent 3 9 4 2 5 2" xfId="31570"/>
    <cellStyle name="Percent 3 9 4 2 6" xfId="31571"/>
    <cellStyle name="Percent 3 9 4 3 6" xfId="31572"/>
    <cellStyle name="Percent 3 9 4 3 2 4" xfId="31573"/>
    <cellStyle name="Percent 3 9 4 3 2 2 2" xfId="31574"/>
    <cellStyle name="Percent 3 9 4 3 2 3" xfId="31575"/>
    <cellStyle name="Percent 3 9 4 3 3 4" xfId="31576"/>
    <cellStyle name="Percent 3 9 4 3 3 2 2" xfId="31577"/>
    <cellStyle name="Percent 3 9 4 3 3 3" xfId="31578"/>
    <cellStyle name="Percent 3 9 4 3 4 2" xfId="31579"/>
    <cellStyle name="Percent 3 9 4 3 5" xfId="31580"/>
    <cellStyle name="Percent 3 9 4 4 6" xfId="31581"/>
    <cellStyle name="Percent 3 9 4 4 2 4" xfId="31582"/>
    <cellStyle name="Percent 3 9 4 4 2 2 2" xfId="31583"/>
    <cellStyle name="Percent 3 9 4 4 2 3" xfId="31584"/>
    <cellStyle name="Percent 3 9 4 4 3 4" xfId="31585"/>
    <cellStyle name="Percent 3 9 4 4 3 2 2" xfId="31586"/>
    <cellStyle name="Percent 3 9 4 4 3 3" xfId="31587"/>
    <cellStyle name="Percent 3 9 4 4 4 2" xfId="31588"/>
    <cellStyle name="Percent 3 9 4 4 5" xfId="31589"/>
    <cellStyle name="Percent 3 9 4 5 7" xfId="31590"/>
    <cellStyle name="Percent 3 9 4 5 2 4" xfId="31591"/>
    <cellStyle name="Percent 3 9 4 5 2 2 2" xfId="31592"/>
    <cellStyle name="Percent 3 9 4 5 2 3" xfId="31593"/>
    <cellStyle name="Percent 3 9 4 5 3 4" xfId="31594"/>
    <cellStyle name="Percent 3 9 4 5 3 2 2" xfId="31595"/>
    <cellStyle name="Percent 3 9 4 5 3 3" xfId="31596"/>
    <cellStyle name="Percent 3 9 4 5 4 4" xfId="31597"/>
    <cellStyle name="Percent 3 9 4 5 4 2 2" xfId="31598"/>
    <cellStyle name="Percent 3 9 4 5 4 3" xfId="31599"/>
    <cellStyle name="Percent 3 9 4 5 5 2" xfId="31600"/>
    <cellStyle name="Percent 3 9 4 5 6" xfId="31601"/>
    <cellStyle name="Percent 3 9 4 6 6" xfId="31602"/>
    <cellStyle name="Percent 3 9 4 6 2 4" xfId="31603"/>
    <cellStyle name="Percent 3 9 4 6 2 2 2" xfId="31604"/>
    <cellStyle name="Percent 3 9 4 6 2 3" xfId="31605"/>
    <cellStyle name="Percent 3 9 4 6 3 4" xfId="31606"/>
    <cellStyle name="Percent 3 9 4 6 3 2 2" xfId="31607"/>
    <cellStyle name="Percent 3 9 4 6 3 3" xfId="31608"/>
    <cellStyle name="Percent 3 9 4 6 4 2" xfId="31609"/>
    <cellStyle name="Percent 3 9 4 6 5" xfId="31610"/>
    <cellStyle name="Percent 3 9 4 7 4" xfId="31611"/>
    <cellStyle name="Percent 3 9 4 7 2 2" xfId="31612"/>
    <cellStyle name="Percent 3 9 4 7 3" xfId="31613"/>
    <cellStyle name="Percent 3 9 4 8 4" xfId="31614"/>
    <cellStyle name="Percent 3 9 4 8 2 2" xfId="31615"/>
    <cellStyle name="Percent 3 9 4 8 3" xfId="31616"/>
    <cellStyle name="Percent 3 9 4 9 4" xfId="31617"/>
    <cellStyle name="Percent 3 9 4 9 2 2" xfId="31618"/>
    <cellStyle name="Percent 3 9 4 9 3" xfId="31619"/>
    <cellStyle name="Percent 3 9 5 16" xfId="31620"/>
    <cellStyle name="Percent 3 9 5 10 2" xfId="31621"/>
    <cellStyle name="Percent 3 9 5 11 2" xfId="31622"/>
    <cellStyle name="Percent 3 9 5 12 2" xfId="31623"/>
    <cellStyle name="Percent 3 9 5 13" xfId="31624"/>
    <cellStyle name="Percent 3 9 5 14" xfId="31625"/>
    <cellStyle name="Percent 3 9 5 15" xfId="31626"/>
    <cellStyle name="Percent 3 9 5 2 7" xfId="31627"/>
    <cellStyle name="Percent 3 9 5 2 2 4" xfId="31628"/>
    <cellStyle name="Percent 3 9 5 2 2 2 2" xfId="31629"/>
    <cellStyle name="Percent 3 9 5 2 2 3" xfId="31630"/>
    <cellStyle name="Percent 3 9 5 2 3 4" xfId="31631"/>
    <cellStyle name="Percent 3 9 5 2 3 2 2" xfId="31632"/>
    <cellStyle name="Percent 3 9 5 2 3 3" xfId="31633"/>
    <cellStyle name="Percent 3 9 5 2 4 2" xfId="31634"/>
    <cellStyle name="Percent 3 9 5 2 5 2" xfId="31635"/>
    <cellStyle name="Percent 3 9 5 2 6" xfId="31636"/>
    <cellStyle name="Percent 3 9 5 3 6" xfId="31637"/>
    <cellStyle name="Percent 3 9 5 3 2 4" xfId="31638"/>
    <cellStyle name="Percent 3 9 5 3 2 2 2" xfId="31639"/>
    <cellStyle name="Percent 3 9 5 3 2 3" xfId="31640"/>
    <cellStyle name="Percent 3 9 5 3 3 4" xfId="31641"/>
    <cellStyle name="Percent 3 9 5 3 3 2 2" xfId="31642"/>
    <cellStyle name="Percent 3 9 5 3 3 3" xfId="31643"/>
    <cellStyle name="Percent 3 9 5 3 4 2" xfId="31644"/>
    <cellStyle name="Percent 3 9 5 3 5" xfId="31645"/>
    <cellStyle name="Percent 3 9 5 4 6" xfId="31646"/>
    <cellStyle name="Percent 3 9 5 4 2 4" xfId="31647"/>
    <cellStyle name="Percent 3 9 5 4 2 2 2" xfId="31648"/>
    <cellStyle name="Percent 3 9 5 4 2 3" xfId="31649"/>
    <cellStyle name="Percent 3 9 5 4 3 4" xfId="31650"/>
    <cellStyle name="Percent 3 9 5 4 3 2 2" xfId="31651"/>
    <cellStyle name="Percent 3 9 5 4 3 3" xfId="31652"/>
    <cellStyle name="Percent 3 9 5 4 4 2" xfId="31653"/>
    <cellStyle name="Percent 3 9 5 4 5" xfId="31654"/>
    <cellStyle name="Percent 3 9 5 5 7" xfId="31655"/>
    <cellStyle name="Percent 3 9 5 5 2 4" xfId="31656"/>
    <cellStyle name="Percent 3 9 5 5 2 2 2" xfId="31657"/>
    <cellStyle name="Percent 3 9 5 5 2 3" xfId="31658"/>
    <cellStyle name="Percent 3 9 5 5 3 4" xfId="31659"/>
    <cellStyle name="Percent 3 9 5 5 3 2 2" xfId="31660"/>
    <cellStyle name="Percent 3 9 5 5 3 3" xfId="31661"/>
    <cellStyle name="Percent 3 9 5 5 4 4" xfId="31662"/>
    <cellStyle name="Percent 3 9 5 5 4 2 2" xfId="31663"/>
    <cellStyle name="Percent 3 9 5 5 4 3" xfId="31664"/>
    <cellStyle name="Percent 3 9 5 5 5 2" xfId="31665"/>
    <cellStyle name="Percent 3 9 5 5 6" xfId="31666"/>
    <cellStyle name="Percent 3 9 5 6 6" xfId="31667"/>
    <cellStyle name="Percent 3 9 5 6 2 4" xfId="31668"/>
    <cellStyle name="Percent 3 9 5 6 2 2 2" xfId="31669"/>
    <cellStyle name="Percent 3 9 5 6 2 3" xfId="31670"/>
    <cellStyle name="Percent 3 9 5 6 3 4" xfId="31671"/>
    <cellStyle name="Percent 3 9 5 6 3 2 2" xfId="31672"/>
    <cellStyle name="Percent 3 9 5 6 3 3" xfId="31673"/>
    <cellStyle name="Percent 3 9 5 6 4 2" xfId="31674"/>
    <cellStyle name="Percent 3 9 5 6 5" xfId="31675"/>
    <cellStyle name="Percent 3 9 5 7 4" xfId="31676"/>
    <cellStyle name="Percent 3 9 5 7 2 2" xfId="31677"/>
    <cellStyle name="Percent 3 9 5 7 3" xfId="31678"/>
    <cellStyle name="Percent 3 9 5 8 4" xfId="31679"/>
    <cellStyle name="Percent 3 9 5 8 2 2" xfId="31680"/>
    <cellStyle name="Percent 3 9 5 8 3" xfId="31681"/>
    <cellStyle name="Percent 3 9 5 9 4" xfId="31682"/>
    <cellStyle name="Percent 3 9 5 9 2 2" xfId="31683"/>
    <cellStyle name="Percent 3 9 5 9 3" xfId="31684"/>
    <cellStyle name="Percent 3 9 6 16" xfId="31685"/>
    <cellStyle name="Percent 3 9 6 10 2" xfId="31686"/>
    <cellStyle name="Percent 3 9 6 11 2" xfId="31687"/>
    <cellStyle name="Percent 3 9 6 12 2" xfId="31688"/>
    <cellStyle name="Percent 3 9 6 13" xfId="31689"/>
    <cellStyle name="Percent 3 9 6 14" xfId="31690"/>
    <cellStyle name="Percent 3 9 6 15" xfId="31691"/>
    <cellStyle name="Percent 3 9 6 2 7" xfId="31692"/>
    <cellStyle name="Percent 3 9 6 2 2 4" xfId="31693"/>
    <cellStyle name="Percent 3 9 6 2 2 2 2" xfId="31694"/>
    <cellStyle name="Percent 3 9 6 2 2 3" xfId="31695"/>
    <cellStyle name="Percent 3 9 6 2 3 4" xfId="31696"/>
    <cellStyle name="Percent 3 9 6 2 3 2 2" xfId="31697"/>
    <cellStyle name="Percent 3 9 6 2 3 3" xfId="31698"/>
    <cellStyle name="Percent 3 9 6 2 4 2" xfId="31699"/>
    <cellStyle name="Percent 3 9 6 2 5 2" xfId="31700"/>
    <cellStyle name="Percent 3 9 6 2 6" xfId="31701"/>
    <cellStyle name="Percent 3 9 6 3 6" xfId="31702"/>
    <cellStyle name="Percent 3 9 6 3 2 4" xfId="31703"/>
    <cellStyle name="Percent 3 9 6 3 2 2 2" xfId="31704"/>
    <cellStyle name="Percent 3 9 6 3 2 3" xfId="31705"/>
    <cellStyle name="Percent 3 9 6 3 3 4" xfId="31706"/>
    <cellStyle name="Percent 3 9 6 3 3 2 2" xfId="31707"/>
    <cellStyle name="Percent 3 9 6 3 3 3" xfId="31708"/>
    <cellStyle name="Percent 3 9 6 3 4 2" xfId="31709"/>
    <cellStyle name="Percent 3 9 6 3 5" xfId="31710"/>
    <cellStyle name="Percent 3 9 6 4 6" xfId="31711"/>
    <cellStyle name="Percent 3 9 6 4 2 4" xfId="31712"/>
    <cellStyle name="Percent 3 9 6 4 2 2 2" xfId="31713"/>
    <cellStyle name="Percent 3 9 6 4 2 3" xfId="31714"/>
    <cellStyle name="Percent 3 9 6 4 3 4" xfId="31715"/>
    <cellStyle name="Percent 3 9 6 4 3 2 2" xfId="31716"/>
    <cellStyle name="Percent 3 9 6 4 3 3" xfId="31717"/>
    <cellStyle name="Percent 3 9 6 4 4 2" xfId="31718"/>
    <cellStyle name="Percent 3 9 6 4 5" xfId="31719"/>
    <cellStyle name="Percent 3 9 6 5 7" xfId="31720"/>
    <cellStyle name="Percent 3 9 6 5 2 4" xfId="31721"/>
    <cellStyle name="Percent 3 9 6 5 2 2 2" xfId="31722"/>
    <cellStyle name="Percent 3 9 6 5 2 3" xfId="31723"/>
    <cellStyle name="Percent 3 9 6 5 3 4" xfId="31724"/>
    <cellStyle name="Percent 3 9 6 5 3 2 2" xfId="31725"/>
    <cellStyle name="Percent 3 9 6 5 3 3" xfId="31726"/>
    <cellStyle name="Percent 3 9 6 5 4 4" xfId="31727"/>
    <cellStyle name="Percent 3 9 6 5 4 2 2" xfId="31728"/>
    <cellStyle name="Percent 3 9 6 5 4 3" xfId="31729"/>
    <cellStyle name="Percent 3 9 6 5 5 2" xfId="31730"/>
    <cellStyle name="Percent 3 9 6 5 6" xfId="31731"/>
    <cellStyle name="Percent 3 9 6 6 6" xfId="31732"/>
    <cellStyle name="Percent 3 9 6 6 2 4" xfId="31733"/>
    <cellStyle name="Percent 3 9 6 6 2 2 2" xfId="31734"/>
    <cellStyle name="Percent 3 9 6 6 2 3" xfId="31735"/>
    <cellStyle name="Percent 3 9 6 6 3 4" xfId="31736"/>
    <cellStyle name="Percent 3 9 6 6 3 2 2" xfId="31737"/>
    <cellStyle name="Percent 3 9 6 6 3 3" xfId="31738"/>
    <cellStyle name="Percent 3 9 6 6 4 2" xfId="31739"/>
    <cellStyle name="Percent 3 9 6 6 5" xfId="31740"/>
    <cellStyle name="Percent 3 9 6 7 4" xfId="31741"/>
    <cellStyle name="Percent 3 9 6 7 2 2" xfId="31742"/>
    <cellStyle name="Percent 3 9 6 7 3" xfId="31743"/>
    <cellStyle name="Percent 3 9 6 8 4" xfId="31744"/>
    <cellStyle name="Percent 3 9 6 8 2 2" xfId="31745"/>
    <cellStyle name="Percent 3 9 6 8 3" xfId="31746"/>
    <cellStyle name="Percent 3 9 6 9 4" xfId="31747"/>
    <cellStyle name="Percent 3 9 6 9 2 2" xfId="31748"/>
    <cellStyle name="Percent 3 9 6 9 3" xfId="31749"/>
    <cellStyle name="Percent 3 9 7 16" xfId="31750"/>
    <cellStyle name="Percent 3 9 7 10 2" xfId="31751"/>
    <cellStyle name="Percent 3 9 7 11 2" xfId="31752"/>
    <cellStyle name="Percent 3 9 7 12 2" xfId="31753"/>
    <cellStyle name="Percent 3 9 7 13" xfId="31754"/>
    <cellStyle name="Percent 3 9 7 14" xfId="31755"/>
    <cellStyle name="Percent 3 9 7 15" xfId="31756"/>
    <cellStyle name="Percent 3 9 7 2 7" xfId="31757"/>
    <cellStyle name="Percent 3 9 7 2 2 4" xfId="31758"/>
    <cellStyle name="Percent 3 9 7 2 2 2 2" xfId="31759"/>
    <cellStyle name="Percent 3 9 7 2 2 3" xfId="31760"/>
    <cellStyle name="Percent 3 9 7 2 3 4" xfId="31761"/>
    <cellStyle name="Percent 3 9 7 2 3 2 2" xfId="31762"/>
    <cellStyle name="Percent 3 9 7 2 3 3" xfId="31763"/>
    <cellStyle name="Percent 3 9 7 2 4 2" xfId="31764"/>
    <cellStyle name="Percent 3 9 7 2 5 2" xfId="31765"/>
    <cellStyle name="Percent 3 9 7 2 6" xfId="31766"/>
    <cellStyle name="Percent 3 9 7 3 6" xfId="31767"/>
    <cellStyle name="Percent 3 9 7 3 2 4" xfId="31768"/>
    <cellStyle name="Percent 3 9 7 3 2 2 2" xfId="31769"/>
    <cellStyle name="Percent 3 9 7 3 2 3" xfId="31770"/>
    <cellStyle name="Percent 3 9 7 3 3 4" xfId="31771"/>
    <cellStyle name="Percent 3 9 7 3 3 2 2" xfId="31772"/>
    <cellStyle name="Percent 3 9 7 3 3 3" xfId="31773"/>
    <cellStyle name="Percent 3 9 7 3 4 2" xfId="31774"/>
    <cellStyle name="Percent 3 9 7 3 5" xfId="31775"/>
    <cellStyle name="Percent 3 9 7 4 6" xfId="31776"/>
    <cellStyle name="Percent 3 9 7 4 2 4" xfId="31777"/>
    <cellStyle name="Percent 3 9 7 4 2 2 2" xfId="31778"/>
    <cellStyle name="Percent 3 9 7 4 2 3" xfId="31779"/>
    <cellStyle name="Percent 3 9 7 4 3 4" xfId="31780"/>
    <cellStyle name="Percent 3 9 7 4 3 2 2" xfId="31781"/>
    <cellStyle name="Percent 3 9 7 4 3 3" xfId="31782"/>
    <cellStyle name="Percent 3 9 7 4 4 2" xfId="31783"/>
    <cellStyle name="Percent 3 9 7 4 5" xfId="31784"/>
    <cellStyle name="Percent 3 9 7 5 7" xfId="31785"/>
    <cellStyle name="Percent 3 9 7 5 2 4" xfId="31786"/>
    <cellStyle name="Percent 3 9 7 5 2 2 2" xfId="31787"/>
    <cellStyle name="Percent 3 9 7 5 2 3" xfId="31788"/>
    <cellStyle name="Percent 3 9 7 5 3 4" xfId="31789"/>
    <cellStyle name="Percent 3 9 7 5 3 2 2" xfId="31790"/>
    <cellStyle name="Percent 3 9 7 5 3 3" xfId="31791"/>
    <cellStyle name="Percent 3 9 7 5 4 4" xfId="31792"/>
    <cellStyle name="Percent 3 9 7 5 4 2 2" xfId="31793"/>
    <cellStyle name="Percent 3 9 7 5 4 3" xfId="31794"/>
    <cellStyle name="Percent 3 9 7 5 5 2" xfId="31795"/>
    <cellStyle name="Percent 3 9 7 5 6" xfId="31796"/>
    <cellStyle name="Percent 3 9 7 6 6" xfId="31797"/>
    <cellStyle name="Percent 3 9 7 6 2 4" xfId="31798"/>
    <cellStyle name="Percent 3 9 7 6 2 2 2" xfId="31799"/>
    <cellStyle name="Percent 3 9 7 6 2 3" xfId="31800"/>
    <cellStyle name="Percent 3 9 7 6 3 4" xfId="31801"/>
    <cellStyle name="Percent 3 9 7 6 3 2 2" xfId="31802"/>
    <cellStyle name="Percent 3 9 7 6 3 3" xfId="31803"/>
    <cellStyle name="Percent 3 9 7 6 4 2" xfId="31804"/>
    <cellStyle name="Percent 3 9 7 6 5" xfId="31805"/>
    <cellStyle name="Percent 3 9 7 7 4" xfId="31806"/>
    <cellStyle name="Percent 3 9 7 7 2 2" xfId="31807"/>
    <cellStyle name="Percent 3 9 7 7 3" xfId="31808"/>
    <cellStyle name="Percent 3 9 7 8 4" xfId="31809"/>
    <cellStyle name="Percent 3 9 7 8 2 2" xfId="31810"/>
    <cellStyle name="Percent 3 9 7 8 3" xfId="31811"/>
    <cellStyle name="Percent 3 9 7 9 4" xfId="31812"/>
    <cellStyle name="Percent 3 9 7 9 2 2" xfId="31813"/>
    <cellStyle name="Percent 3 9 7 9 3" xfId="31814"/>
    <cellStyle name="Percent 3 9 8 16" xfId="31815"/>
    <cellStyle name="Percent 3 9 8 10 2" xfId="31816"/>
    <cellStyle name="Percent 3 9 8 11 2" xfId="31817"/>
    <cellStyle name="Percent 3 9 8 12 2" xfId="31818"/>
    <cellStyle name="Percent 3 9 8 13" xfId="31819"/>
    <cellStyle name="Percent 3 9 8 14" xfId="31820"/>
    <cellStyle name="Percent 3 9 8 15" xfId="31821"/>
    <cellStyle name="Percent 3 9 8 2 7" xfId="31822"/>
    <cellStyle name="Percent 3 9 8 2 2 4" xfId="31823"/>
    <cellStyle name="Percent 3 9 8 2 2 2 2" xfId="31824"/>
    <cellStyle name="Percent 3 9 8 2 2 3" xfId="31825"/>
    <cellStyle name="Percent 3 9 8 2 3 4" xfId="31826"/>
    <cellStyle name="Percent 3 9 8 2 3 2 2" xfId="31827"/>
    <cellStyle name="Percent 3 9 8 2 3 3" xfId="31828"/>
    <cellStyle name="Percent 3 9 8 2 4 2" xfId="31829"/>
    <cellStyle name="Percent 3 9 8 2 5 2" xfId="31830"/>
    <cellStyle name="Percent 3 9 8 2 6" xfId="31831"/>
    <cellStyle name="Percent 3 9 8 3 6" xfId="31832"/>
    <cellStyle name="Percent 3 9 8 3 2 4" xfId="31833"/>
    <cellStyle name="Percent 3 9 8 3 2 2 2" xfId="31834"/>
    <cellStyle name="Percent 3 9 8 3 2 3" xfId="31835"/>
    <cellStyle name="Percent 3 9 8 3 3 4" xfId="31836"/>
    <cellStyle name="Percent 3 9 8 3 3 2 2" xfId="31837"/>
    <cellStyle name="Percent 3 9 8 3 3 3" xfId="31838"/>
    <cellStyle name="Percent 3 9 8 3 4 2" xfId="31839"/>
    <cellStyle name="Percent 3 9 8 3 5" xfId="31840"/>
    <cellStyle name="Percent 3 9 8 4 6" xfId="31841"/>
    <cellStyle name="Percent 3 9 8 4 2 4" xfId="31842"/>
    <cellStyle name="Percent 3 9 8 4 2 2 2" xfId="31843"/>
    <cellStyle name="Percent 3 9 8 4 2 3" xfId="31844"/>
    <cellStyle name="Percent 3 9 8 4 3 4" xfId="31845"/>
    <cellStyle name="Percent 3 9 8 4 3 2 2" xfId="31846"/>
    <cellStyle name="Percent 3 9 8 4 3 3" xfId="31847"/>
    <cellStyle name="Percent 3 9 8 4 4 2" xfId="31848"/>
    <cellStyle name="Percent 3 9 8 4 5" xfId="31849"/>
    <cellStyle name="Percent 3 9 8 5 7" xfId="31850"/>
    <cellStyle name="Percent 3 9 8 5 2 4" xfId="31851"/>
    <cellStyle name="Percent 3 9 8 5 2 2 2" xfId="31852"/>
    <cellStyle name="Percent 3 9 8 5 2 3" xfId="31853"/>
    <cellStyle name="Percent 3 9 8 5 3 4" xfId="31854"/>
    <cellStyle name="Percent 3 9 8 5 3 2 2" xfId="31855"/>
    <cellStyle name="Percent 3 9 8 5 3 3" xfId="31856"/>
    <cellStyle name="Percent 3 9 8 5 4 4" xfId="31857"/>
    <cellStyle name="Percent 3 9 8 5 4 2 2" xfId="31858"/>
    <cellStyle name="Percent 3 9 8 5 4 3" xfId="31859"/>
    <cellStyle name="Percent 3 9 8 5 5 2" xfId="31860"/>
    <cellStyle name="Percent 3 9 8 5 6" xfId="31861"/>
    <cellStyle name="Percent 3 9 8 6 6" xfId="31862"/>
    <cellStyle name="Percent 3 9 8 6 2 4" xfId="31863"/>
    <cellStyle name="Percent 3 9 8 6 2 2 2" xfId="31864"/>
    <cellStyle name="Percent 3 9 8 6 2 3" xfId="31865"/>
    <cellStyle name="Percent 3 9 8 6 3 4" xfId="31866"/>
    <cellStyle name="Percent 3 9 8 6 3 2 2" xfId="31867"/>
    <cellStyle name="Percent 3 9 8 6 3 3" xfId="31868"/>
    <cellStyle name="Percent 3 9 8 6 4 2" xfId="31869"/>
    <cellStyle name="Percent 3 9 8 6 5" xfId="31870"/>
    <cellStyle name="Percent 3 9 8 7 4" xfId="31871"/>
    <cellStyle name="Percent 3 9 8 7 2 2" xfId="31872"/>
    <cellStyle name="Percent 3 9 8 7 3" xfId="31873"/>
    <cellStyle name="Percent 3 9 8 8 4" xfId="31874"/>
    <cellStyle name="Percent 3 9 8 8 2 2" xfId="31875"/>
    <cellStyle name="Percent 3 9 8 8 3" xfId="31876"/>
    <cellStyle name="Percent 3 9 8 9 4" xfId="31877"/>
    <cellStyle name="Percent 3 9 8 9 2 2" xfId="31878"/>
    <cellStyle name="Percent 3 9 8 9 3" xfId="31879"/>
    <cellStyle name="Percent 3 9 9 16" xfId="31880"/>
    <cellStyle name="Percent 3 9 9 10 2" xfId="31881"/>
    <cellStyle name="Percent 3 9 9 11 2" xfId="31882"/>
    <cellStyle name="Percent 3 9 9 12 2" xfId="31883"/>
    <cellStyle name="Percent 3 9 9 13" xfId="31884"/>
    <cellStyle name="Percent 3 9 9 14" xfId="31885"/>
    <cellStyle name="Percent 3 9 9 15" xfId="31886"/>
    <cellStyle name="Percent 3 9 9 2 7" xfId="31887"/>
    <cellStyle name="Percent 3 9 9 2 2 4" xfId="31888"/>
    <cellStyle name="Percent 3 9 9 2 2 2 2" xfId="31889"/>
    <cellStyle name="Percent 3 9 9 2 2 3" xfId="31890"/>
    <cellStyle name="Percent 3 9 9 2 3 4" xfId="31891"/>
    <cellStyle name="Percent 3 9 9 2 3 2 2" xfId="31892"/>
    <cellStyle name="Percent 3 9 9 2 3 3" xfId="31893"/>
    <cellStyle name="Percent 3 9 9 2 4 2" xfId="31894"/>
    <cellStyle name="Percent 3 9 9 2 5 2" xfId="31895"/>
    <cellStyle name="Percent 3 9 9 2 6" xfId="31896"/>
    <cellStyle name="Percent 3 9 9 3 6" xfId="31897"/>
    <cellStyle name="Percent 3 9 9 3 2 4" xfId="31898"/>
    <cellStyle name="Percent 3 9 9 3 2 2 2" xfId="31899"/>
    <cellStyle name="Percent 3 9 9 3 2 3" xfId="31900"/>
    <cellStyle name="Percent 3 9 9 3 3 4" xfId="31901"/>
    <cellStyle name="Percent 3 9 9 3 3 2 2" xfId="31902"/>
    <cellStyle name="Percent 3 9 9 3 3 3" xfId="31903"/>
    <cellStyle name="Percent 3 9 9 3 4 2" xfId="31904"/>
    <cellStyle name="Percent 3 9 9 3 5" xfId="31905"/>
    <cellStyle name="Percent 3 9 9 4 6" xfId="31906"/>
    <cellStyle name="Percent 3 9 9 4 2 4" xfId="31907"/>
    <cellStyle name="Percent 3 9 9 4 2 2 2" xfId="31908"/>
    <cellStyle name="Percent 3 9 9 4 2 3" xfId="31909"/>
    <cellStyle name="Percent 3 9 9 4 3 4" xfId="31910"/>
    <cellStyle name="Percent 3 9 9 4 3 2 2" xfId="31911"/>
    <cellStyle name="Percent 3 9 9 4 3 3" xfId="31912"/>
    <cellStyle name="Percent 3 9 9 4 4 2" xfId="31913"/>
    <cellStyle name="Percent 3 9 9 4 5" xfId="31914"/>
    <cellStyle name="Percent 3 9 9 5 7" xfId="31915"/>
    <cellStyle name="Percent 3 9 9 5 2 4" xfId="31916"/>
    <cellStyle name="Percent 3 9 9 5 2 2 2" xfId="31917"/>
    <cellStyle name="Percent 3 9 9 5 2 3" xfId="31918"/>
    <cellStyle name="Percent 3 9 9 5 3 4" xfId="31919"/>
    <cellStyle name="Percent 3 9 9 5 3 2 2" xfId="31920"/>
    <cellStyle name="Percent 3 9 9 5 3 3" xfId="31921"/>
    <cellStyle name="Percent 3 9 9 5 4 4" xfId="31922"/>
    <cellStyle name="Percent 3 9 9 5 4 2 2" xfId="31923"/>
    <cellStyle name="Percent 3 9 9 5 4 3" xfId="31924"/>
    <cellStyle name="Percent 3 9 9 5 5 2" xfId="31925"/>
    <cellStyle name="Percent 3 9 9 5 6" xfId="31926"/>
    <cellStyle name="Percent 3 9 9 6 6" xfId="31927"/>
    <cellStyle name="Percent 3 9 9 6 2 4" xfId="31928"/>
    <cellStyle name="Percent 3 9 9 6 2 2 2" xfId="31929"/>
    <cellStyle name="Percent 3 9 9 6 2 3" xfId="31930"/>
    <cellStyle name="Percent 3 9 9 6 3 4" xfId="31931"/>
    <cellStyle name="Percent 3 9 9 6 3 2 2" xfId="31932"/>
    <cellStyle name="Percent 3 9 9 6 3 3" xfId="31933"/>
    <cellStyle name="Percent 3 9 9 6 4 2" xfId="31934"/>
    <cellStyle name="Percent 3 9 9 6 5" xfId="31935"/>
    <cellStyle name="Percent 3 9 9 7 4" xfId="31936"/>
    <cellStyle name="Percent 3 9 9 7 2 2" xfId="31937"/>
    <cellStyle name="Percent 3 9 9 7 3" xfId="31938"/>
    <cellStyle name="Percent 3 9 9 8 4" xfId="31939"/>
    <cellStyle name="Percent 3 9 9 8 2 2" xfId="31940"/>
    <cellStyle name="Percent 3 9 9 8 3" xfId="31941"/>
    <cellStyle name="Percent 3 9 9 9 4" xfId="31942"/>
    <cellStyle name="Percent 3 9 9 9 2 2" xfId="31943"/>
    <cellStyle name="Percent 3 9 9 9 3" xfId="31944"/>
    <cellStyle name="Percent 31 16" xfId="31945"/>
    <cellStyle name="Percent 31 10 2" xfId="31946"/>
    <cellStyle name="Percent 31 11 2" xfId="31947"/>
    <cellStyle name="Percent 31 12 2" xfId="31948"/>
    <cellStyle name="Percent 31 13" xfId="31949"/>
    <cellStyle name="Percent 31 14" xfId="31950"/>
    <cellStyle name="Percent 31 15" xfId="31951"/>
    <cellStyle name="Percent 31 2 7" xfId="31952"/>
    <cellStyle name="Percent 31 2 2 4" xfId="31953"/>
    <cellStyle name="Percent 31 2 2 2 2" xfId="31954"/>
    <cellStyle name="Percent 31 2 2 3" xfId="31955"/>
    <cellStyle name="Percent 31 2 3 4" xfId="31956"/>
    <cellStyle name="Percent 31 2 3 2 2" xfId="31957"/>
    <cellStyle name="Percent 31 2 3 3" xfId="31958"/>
    <cellStyle name="Percent 31 2 4 2" xfId="31959"/>
    <cellStyle name="Percent 31 2 5 2" xfId="31960"/>
    <cellStyle name="Percent 31 2 6" xfId="31961"/>
    <cellStyle name="Percent 31 3 6" xfId="31962"/>
    <cellStyle name="Percent 31 3 2 4" xfId="31963"/>
    <cellStyle name="Percent 31 3 2 2 2" xfId="31964"/>
    <cellStyle name="Percent 31 3 2 3" xfId="31965"/>
    <cellStyle name="Percent 31 3 3 4" xfId="31966"/>
    <cellStyle name="Percent 31 3 3 2 2" xfId="31967"/>
    <cellStyle name="Percent 31 3 3 3" xfId="31968"/>
    <cellStyle name="Percent 31 3 4 2" xfId="31969"/>
    <cellStyle name="Percent 31 3 5" xfId="31970"/>
    <cellStyle name="Percent 31 4 6" xfId="31971"/>
    <cellStyle name="Percent 31 4 2 4" xfId="31972"/>
    <cellStyle name="Percent 31 4 2 2 2" xfId="31973"/>
    <cellStyle name="Percent 31 4 2 3" xfId="31974"/>
    <cellStyle name="Percent 31 4 3 4" xfId="31975"/>
    <cellStyle name="Percent 31 4 3 2 2" xfId="31976"/>
    <cellStyle name="Percent 31 4 3 3" xfId="31977"/>
    <cellStyle name="Percent 31 4 4 2" xfId="31978"/>
    <cellStyle name="Percent 31 4 5" xfId="31979"/>
    <cellStyle name="Percent 31 5 7" xfId="31980"/>
    <cellStyle name="Percent 31 5 2 4" xfId="31981"/>
    <cellStyle name="Percent 31 5 2 2 2" xfId="31982"/>
    <cellStyle name="Percent 31 5 2 3" xfId="31983"/>
    <cellStyle name="Percent 31 5 3 4" xfId="31984"/>
    <cellStyle name="Percent 31 5 3 2 2" xfId="31985"/>
    <cellStyle name="Percent 31 5 3 3" xfId="31986"/>
    <cellStyle name="Percent 31 5 4 4" xfId="31987"/>
    <cellStyle name="Percent 31 5 4 2 2" xfId="31988"/>
    <cellStyle name="Percent 31 5 4 3" xfId="31989"/>
    <cellStyle name="Percent 31 5 5 2" xfId="31990"/>
    <cellStyle name="Percent 31 5 6" xfId="31991"/>
    <cellStyle name="Percent 31 6 6" xfId="31992"/>
    <cellStyle name="Percent 31 6 2 4" xfId="31993"/>
    <cellStyle name="Percent 31 6 2 2 2" xfId="31994"/>
    <cellStyle name="Percent 31 6 2 3" xfId="31995"/>
    <cellStyle name="Percent 31 6 3 4" xfId="31996"/>
    <cellStyle name="Percent 31 6 3 2 2" xfId="31997"/>
    <cellStyle name="Percent 31 6 3 3" xfId="31998"/>
    <cellStyle name="Percent 31 6 4 2" xfId="31999"/>
    <cellStyle name="Percent 31 6 5" xfId="32000"/>
    <cellStyle name="Percent 31 7 4" xfId="32001"/>
    <cellStyle name="Percent 31 7 2 2" xfId="32002"/>
    <cellStyle name="Percent 31 7 3" xfId="32003"/>
    <cellStyle name="Percent 31 8 4" xfId="32004"/>
    <cellStyle name="Percent 31 8 2 2" xfId="32005"/>
    <cellStyle name="Percent 31 8 3" xfId="32006"/>
    <cellStyle name="Percent 31 9 4" xfId="32007"/>
    <cellStyle name="Percent 31 9 2 2" xfId="32008"/>
    <cellStyle name="Percent 31 9 3" xfId="32009"/>
    <cellStyle name="Percent 4 44" xfId="32010"/>
    <cellStyle name="Percent 4 10 16" xfId="32011"/>
    <cellStyle name="Percent 4 10 10 2" xfId="32012"/>
    <cellStyle name="Percent 4 10 11 2" xfId="32013"/>
    <cellStyle name="Percent 4 10 12 2" xfId="32014"/>
    <cellStyle name="Percent 4 10 13" xfId="32015"/>
    <cellStyle name="Percent 4 10 14" xfId="32016"/>
    <cellStyle name="Percent 4 10 15" xfId="32017"/>
    <cellStyle name="Percent 4 10 2 7" xfId="32018"/>
    <cellStyle name="Percent 4 10 2 2 4" xfId="32019"/>
    <cellStyle name="Percent 4 10 2 2 2 2" xfId="32020"/>
    <cellStyle name="Percent 4 10 2 2 3" xfId="32021"/>
    <cellStyle name="Percent 4 10 2 3 4" xfId="32022"/>
    <cellStyle name="Percent 4 10 2 3 2 2" xfId="32023"/>
    <cellStyle name="Percent 4 10 2 3 3" xfId="32024"/>
    <cellStyle name="Percent 4 10 2 4 2" xfId="32025"/>
    <cellStyle name="Percent 4 10 2 5 2" xfId="32026"/>
    <cellStyle name="Percent 4 10 2 6" xfId="32027"/>
    <cellStyle name="Percent 4 10 3 6" xfId="32028"/>
    <cellStyle name="Percent 4 10 3 2 4" xfId="32029"/>
    <cellStyle name="Percent 4 10 3 2 2 2" xfId="32030"/>
    <cellStyle name="Percent 4 10 3 2 3" xfId="32031"/>
    <cellStyle name="Percent 4 10 3 3 4" xfId="32032"/>
    <cellStyle name="Percent 4 10 3 3 2 2" xfId="32033"/>
    <cellStyle name="Percent 4 10 3 3 3" xfId="32034"/>
    <cellStyle name="Percent 4 10 3 4 2" xfId="32035"/>
    <cellStyle name="Percent 4 10 3 5" xfId="32036"/>
    <cellStyle name="Percent 4 10 4 6" xfId="32037"/>
    <cellStyle name="Percent 4 10 4 2 4" xfId="32038"/>
    <cellStyle name="Percent 4 10 4 2 2 2" xfId="32039"/>
    <cellStyle name="Percent 4 10 4 2 3" xfId="32040"/>
    <cellStyle name="Percent 4 10 4 3 4" xfId="32041"/>
    <cellStyle name="Percent 4 10 4 3 2 2" xfId="32042"/>
    <cellStyle name="Percent 4 10 4 3 3" xfId="32043"/>
    <cellStyle name="Percent 4 10 4 4 2" xfId="32044"/>
    <cellStyle name="Percent 4 10 4 5" xfId="32045"/>
    <cellStyle name="Percent 4 10 5 7" xfId="32046"/>
    <cellStyle name="Percent 4 10 5 2 4" xfId="32047"/>
    <cellStyle name="Percent 4 10 5 2 2 2" xfId="32048"/>
    <cellStyle name="Percent 4 10 5 2 3" xfId="32049"/>
    <cellStyle name="Percent 4 10 5 3 4" xfId="32050"/>
    <cellStyle name="Percent 4 10 5 3 2 2" xfId="32051"/>
    <cellStyle name="Percent 4 10 5 3 3" xfId="32052"/>
    <cellStyle name="Percent 4 10 5 4 4" xfId="32053"/>
    <cellStyle name="Percent 4 10 5 4 2 2" xfId="32054"/>
    <cellStyle name="Percent 4 10 5 4 3" xfId="32055"/>
    <cellStyle name="Percent 4 10 5 5 2" xfId="32056"/>
    <cellStyle name="Percent 4 10 5 6" xfId="32057"/>
    <cellStyle name="Percent 4 10 6 6" xfId="32058"/>
    <cellStyle name="Percent 4 10 6 2 4" xfId="32059"/>
    <cellStyle name="Percent 4 10 6 2 2 2" xfId="32060"/>
    <cellStyle name="Percent 4 10 6 2 3" xfId="32061"/>
    <cellStyle name="Percent 4 10 6 3 4" xfId="32062"/>
    <cellStyle name="Percent 4 10 6 3 2 2" xfId="32063"/>
    <cellStyle name="Percent 4 10 6 3 3" xfId="32064"/>
    <cellStyle name="Percent 4 10 6 4 2" xfId="32065"/>
    <cellStyle name="Percent 4 10 6 5" xfId="32066"/>
    <cellStyle name="Percent 4 10 7 4" xfId="32067"/>
    <cellStyle name="Percent 4 10 7 2 2" xfId="32068"/>
    <cellStyle name="Percent 4 10 7 3" xfId="32069"/>
    <cellStyle name="Percent 4 10 8 4" xfId="32070"/>
    <cellStyle name="Percent 4 10 8 2 2" xfId="32071"/>
    <cellStyle name="Percent 4 10 8 3" xfId="32072"/>
    <cellStyle name="Percent 4 10 9 4" xfId="32073"/>
    <cellStyle name="Percent 4 10 9 2 2" xfId="32074"/>
    <cellStyle name="Percent 4 10 9 3" xfId="32075"/>
    <cellStyle name="Percent 4 11 16" xfId="32076"/>
    <cellStyle name="Percent 4 11 10 2" xfId="32077"/>
    <cellStyle name="Percent 4 11 11 2" xfId="32078"/>
    <cellStyle name="Percent 4 11 12 2" xfId="32079"/>
    <cellStyle name="Percent 4 11 13" xfId="32080"/>
    <cellStyle name="Percent 4 11 14" xfId="32081"/>
    <cellStyle name="Percent 4 11 15" xfId="32082"/>
    <cellStyle name="Percent 4 11 2 7" xfId="32083"/>
    <cellStyle name="Percent 4 11 2 2 4" xfId="32084"/>
    <cellStyle name="Percent 4 11 2 2 2 2" xfId="32085"/>
    <cellStyle name="Percent 4 11 2 2 3" xfId="32086"/>
    <cellStyle name="Percent 4 11 2 3 4" xfId="32087"/>
    <cellStyle name="Percent 4 11 2 3 2 2" xfId="32088"/>
    <cellStyle name="Percent 4 11 2 3 3" xfId="32089"/>
    <cellStyle name="Percent 4 11 2 4 2" xfId="32090"/>
    <cellStyle name="Percent 4 11 2 5 2" xfId="32091"/>
    <cellStyle name="Percent 4 11 2 6" xfId="32092"/>
    <cellStyle name="Percent 4 11 3 6" xfId="32093"/>
    <cellStyle name="Percent 4 11 3 2 4" xfId="32094"/>
    <cellStyle name="Percent 4 11 3 2 2 2" xfId="32095"/>
    <cellStyle name="Percent 4 11 3 2 3" xfId="32096"/>
    <cellStyle name="Percent 4 11 3 3 4" xfId="32097"/>
    <cellStyle name="Percent 4 11 3 3 2 2" xfId="32098"/>
    <cellStyle name="Percent 4 11 3 3 3" xfId="32099"/>
    <cellStyle name="Percent 4 11 3 4 2" xfId="32100"/>
    <cellStyle name="Percent 4 11 3 5" xfId="32101"/>
    <cellStyle name="Percent 4 11 4 6" xfId="32102"/>
    <cellStyle name="Percent 4 11 4 2 4" xfId="32103"/>
    <cellStyle name="Percent 4 11 4 2 2 2" xfId="32104"/>
    <cellStyle name="Percent 4 11 4 2 3" xfId="32105"/>
    <cellStyle name="Percent 4 11 4 3 4" xfId="32106"/>
    <cellStyle name="Percent 4 11 4 3 2 2" xfId="32107"/>
    <cellStyle name="Percent 4 11 4 3 3" xfId="32108"/>
    <cellStyle name="Percent 4 11 4 4 2" xfId="32109"/>
    <cellStyle name="Percent 4 11 4 5" xfId="32110"/>
    <cellStyle name="Percent 4 11 5 7" xfId="32111"/>
    <cellStyle name="Percent 4 11 5 2 4" xfId="32112"/>
    <cellStyle name="Percent 4 11 5 2 2 2" xfId="32113"/>
    <cellStyle name="Percent 4 11 5 2 3" xfId="32114"/>
    <cellStyle name="Percent 4 11 5 3 4" xfId="32115"/>
    <cellStyle name="Percent 4 11 5 3 2 2" xfId="32116"/>
    <cellStyle name="Percent 4 11 5 3 3" xfId="32117"/>
    <cellStyle name="Percent 4 11 5 4 4" xfId="32118"/>
    <cellStyle name="Percent 4 11 5 4 2 2" xfId="32119"/>
    <cellStyle name="Percent 4 11 5 4 3" xfId="32120"/>
    <cellStyle name="Percent 4 11 5 5 2" xfId="32121"/>
    <cellStyle name="Percent 4 11 5 6" xfId="32122"/>
    <cellStyle name="Percent 4 11 6 6" xfId="32123"/>
    <cellStyle name="Percent 4 11 6 2 4" xfId="32124"/>
    <cellStyle name="Percent 4 11 6 2 2 2" xfId="32125"/>
    <cellStyle name="Percent 4 11 6 2 3" xfId="32126"/>
    <cellStyle name="Percent 4 11 6 3 4" xfId="32127"/>
    <cellStyle name="Percent 4 11 6 3 2 2" xfId="32128"/>
    <cellStyle name="Percent 4 11 6 3 3" xfId="32129"/>
    <cellStyle name="Percent 4 11 6 4 2" xfId="32130"/>
    <cellStyle name="Percent 4 11 6 5" xfId="32131"/>
    <cellStyle name="Percent 4 11 7 4" xfId="32132"/>
    <cellStyle name="Percent 4 11 7 2 2" xfId="32133"/>
    <cellStyle name="Percent 4 11 7 3" xfId="32134"/>
    <cellStyle name="Percent 4 11 8 4" xfId="32135"/>
    <cellStyle name="Percent 4 11 8 2 2" xfId="32136"/>
    <cellStyle name="Percent 4 11 8 3" xfId="32137"/>
    <cellStyle name="Percent 4 11 9 4" xfId="32138"/>
    <cellStyle name="Percent 4 11 9 2 2" xfId="32139"/>
    <cellStyle name="Percent 4 11 9 3" xfId="32140"/>
    <cellStyle name="Percent 4 12 16" xfId="32141"/>
    <cellStyle name="Percent 4 12 10 2" xfId="32142"/>
    <cellStyle name="Percent 4 12 11 2" xfId="32143"/>
    <cellStyle name="Percent 4 12 12 2" xfId="32144"/>
    <cellStyle name="Percent 4 12 13" xfId="32145"/>
    <cellStyle name="Percent 4 12 14" xfId="32146"/>
    <cellStyle name="Percent 4 12 15" xfId="32147"/>
    <cellStyle name="Percent 4 12 2 7" xfId="32148"/>
    <cellStyle name="Percent 4 12 2 2 4" xfId="32149"/>
    <cellStyle name="Percent 4 12 2 2 2 2" xfId="32150"/>
    <cellStyle name="Percent 4 12 2 2 3" xfId="32151"/>
    <cellStyle name="Percent 4 12 2 3 4" xfId="32152"/>
    <cellStyle name="Percent 4 12 2 3 2 2" xfId="32153"/>
    <cellStyle name="Percent 4 12 2 3 3" xfId="32154"/>
    <cellStyle name="Percent 4 12 2 4 2" xfId="32155"/>
    <cellStyle name="Percent 4 12 2 5 2" xfId="32156"/>
    <cellStyle name="Percent 4 12 2 6" xfId="32157"/>
    <cellStyle name="Percent 4 12 3 6" xfId="32158"/>
    <cellStyle name="Percent 4 12 3 2 4" xfId="32159"/>
    <cellStyle name="Percent 4 12 3 2 2 2" xfId="32160"/>
    <cellStyle name="Percent 4 12 3 2 3" xfId="32161"/>
    <cellStyle name="Percent 4 12 3 3 4" xfId="32162"/>
    <cellStyle name="Percent 4 12 3 3 2 2" xfId="32163"/>
    <cellStyle name="Percent 4 12 3 3 3" xfId="32164"/>
    <cellStyle name="Percent 4 12 3 4 2" xfId="32165"/>
    <cellStyle name="Percent 4 12 3 5" xfId="32166"/>
    <cellStyle name="Percent 4 12 4 6" xfId="32167"/>
    <cellStyle name="Percent 4 12 4 2 4" xfId="32168"/>
    <cellStyle name="Percent 4 12 4 2 2 2" xfId="32169"/>
    <cellStyle name="Percent 4 12 4 2 3" xfId="32170"/>
    <cellStyle name="Percent 4 12 4 3 4" xfId="32171"/>
    <cellStyle name="Percent 4 12 4 3 2 2" xfId="32172"/>
    <cellStyle name="Percent 4 12 4 3 3" xfId="32173"/>
    <cellStyle name="Percent 4 12 4 4 2" xfId="32174"/>
    <cellStyle name="Percent 4 12 4 5" xfId="32175"/>
    <cellStyle name="Percent 4 12 5 7" xfId="32176"/>
    <cellStyle name="Percent 4 12 5 2 4" xfId="32177"/>
    <cellStyle name="Percent 4 12 5 2 2 2" xfId="32178"/>
    <cellStyle name="Percent 4 12 5 2 3" xfId="32179"/>
    <cellStyle name="Percent 4 12 5 3 4" xfId="32180"/>
    <cellStyle name="Percent 4 12 5 3 2 2" xfId="32181"/>
    <cellStyle name="Percent 4 12 5 3 3" xfId="32182"/>
    <cellStyle name="Percent 4 12 5 4 4" xfId="32183"/>
    <cellStyle name="Percent 4 12 5 4 2 2" xfId="32184"/>
    <cellStyle name="Percent 4 12 5 4 3" xfId="32185"/>
    <cellStyle name="Percent 4 12 5 5 2" xfId="32186"/>
    <cellStyle name="Percent 4 12 5 6" xfId="32187"/>
    <cellStyle name="Percent 4 12 6 6" xfId="32188"/>
    <cellStyle name="Percent 4 12 6 2 4" xfId="32189"/>
    <cellStyle name="Percent 4 12 6 2 2 2" xfId="32190"/>
    <cellStyle name="Percent 4 12 6 2 3" xfId="32191"/>
    <cellStyle name="Percent 4 12 6 3 4" xfId="32192"/>
    <cellStyle name="Percent 4 12 6 3 2 2" xfId="32193"/>
    <cellStyle name="Percent 4 12 6 3 3" xfId="32194"/>
    <cellStyle name="Percent 4 12 6 4 2" xfId="32195"/>
    <cellStyle name="Percent 4 12 6 5" xfId="32196"/>
    <cellStyle name="Percent 4 12 7 4" xfId="32197"/>
    <cellStyle name="Percent 4 12 7 2 2" xfId="32198"/>
    <cellStyle name="Percent 4 12 7 3" xfId="32199"/>
    <cellStyle name="Percent 4 12 8 4" xfId="32200"/>
    <cellStyle name="Percent 4 12 8 2 2" xfId="32201"/>
    <cellStyle name="Percent 4 12 8 3" xfId="32202"/>
    <cellStyle name="Percent 4 12 9 4" xfId="32203"/>
    <cellStyle name="Percent 4 12 9 2 2" xfId="32204"/>
    <cellStyle name="Percent 4 12 9 3" xfId="32205"/>
    <cellStyle name="Percent 4 13 16" xfId="32206"/>
    <cellStyle name="Percent 4 13 10 2" xfId="32207"/>
    <cellStyle name="Percent 4 13 11 2" xfId="32208"/>
    <cellStyle name="Percent 4 13 12 2" xfId="32209"/>
    <cellStyle name="Percent 4 13 13" xfId="32210"/>
    <cellStyle name="Percent 4 13 14" xfId="32211"/>
    <cellStyle name="Percent 4 13 15" xfId="32212"/>
    <cellStyle name="Percent 4 13 2 7" xfId="32213"/>
    <cellStyle name="Percent 4 13 2 2 4" xfId="32214"/>
    <cellStyle name="Percent 4 13 2 2 2 2" xfId="32215"/>
    <cellStyle name="Percent 4 13 2 2 3" xfId="32216"/>
    <cellStyle name="Percent 4 13 2 3 4" xfId="32217"/>
    <cellStyle name="Percent 4 13 2 3 2 2" xfId="32218"/>
    <cellStyle name="Percent 4 13 2 3 3" xfId="32219"/>
    <cellStyle name="Percent 4 13 2 4 2" xfId="32220"/>
    <cellStyle name="Percent 4 13 2 5 2" xfId="32221"/>
    <cellStyle name="Percent 4 13 2 6" xfId="32222"/>
    <cellStyle name="Percent 4 13 3 6" xfId="32223"/>
    <cellStyle name="Percent 4 13 3 2 4" xfId="32224"/>
    <cellStyle name="Percent 4 13 3 2 2 2" xfId="32225"/>
    <cellStyle name="Percent 4 13 3 2 3" xfId="32226"/>
    <cellStyle name="Percent 4 13 3 3 4" xfId="32227"/>
    <cellStyle name="Percent 4 13 3 3 2 2" xfId="32228"/>
    <cellStyle name="Percent 4 13 3 3 3" xfId="32229"/>
    <cellStyle name="Percent 4 13 3 4 2" xfId="32230"/>
    <cellStyle name="Percent 4 13 3 5" xfId="32231"/>
    <cellStyle name="Percent 4 13 4 6" xfId="32232"/>
    <cellStyle name="Percent 4 13 4 2 4" xfId="32233"/>
    <cellStyle name="Percent 4 13 4 2 2 2" xfId="32234"/>
    <cellStyle name="Percent 4 13 4 2 3" xfId="32235"/>
    <cellStyle name="Percent 4 13 4 3 4" xfId="32236"/>
    <cellStyle name="Percent 4 13 4 3 2 2" xfId="32237"/>
    <cellStyle name="Percent 4 13 4 3 3" xfId="32238"/>
    <cellStyle name="Percent 4 13 4 4 2" xfId="32239"/>
    <cellStyle name="Percent 4 13 4 5" xfId="32240"/>
    <cellStyle name="Percent 4 13 5 7" xfId="32241"/>
    <cellStyle name="Percent 4 13 5 2 4" xfId="32242"/>
    <cellStyle name="Percent 4 13 5 2 2 2" xfId="32243"/>
    <cellStyle name="Percent 4 13 5 2 3" xfId="32244"/>
    <cellStyle name="Percent 4 13 5 3 4" xfId="32245"/>
    <cellStyle name="Percent 4 13 5 3 2 2" xfId="32246"/>
    <cellStyle name="Percent 4 13 5 3 3" xfId="32247"/>
    <cellStyle name="Percent 4 13 5 4 4" xfId="32248"/>
    <cellStyle name="Percent 4 13 5 4 2 2" xfId="32249"/>
    <cellStyle name="Percent 4 13 5 4 3" xfId="32250"/>
    <cellStyle name="Percent 4 13 5 5 2" xfId="32251"/>
    <cellStyle name="Percent 4 13 5 6" xfId="32252"/>
    <cellStyle name="Percent 4 13 6 6" xfId="32253"/>
    <cellStyle name="Percent 4 13 6 2 4" xfId="32254"/>
    <cellStyle name="Percent 4 13 6 2 2 2" xfId="32255"/>
    <cellStyle name="Percent 4 13 6 2 3" xfId="32256"/>
    <cellStyle name="Percent 4 13 6 3 4" xfId="32257"/>
    <cellStyle name="Percent 4 13 6 3 2 2" xfId="32258"/>
    <cellStyle name="Percent 4 13 6 3 3" xfId="32259"/>
    <cellStyle name="Percent 4 13 6 4 2" xfId="32260"/>
    <cellStyle name="Percent 4 13 6 5" xfId="32261"/>
    <cellStyle name="Percent 4 13 7 4" xfId="32262"/>
    <cellStyle name="Percent 4 13 7 2 2" xfId="32263"/>
    <cellStyle name="Percent 4 13 7 3" xfId="32264"/>
    <cellStyle name="Percent 4 13 8 4" xfId="32265"/>
    <cellStyle name="Percent 4 13 8 2 2" xfId="32266"/>
    <cellStyle name="Percent 4 13 8 3" xfId="32267"/>
    <cellStyle name="Percent 4 13 9 4" xfId="32268"/>
    <cellStyle name="Percent 4 13 9 2 2" xfId="32269"/>
    <cellStyle name="Percent 4 13 9 3" xfId="32270"/>
    <cellStyle name="Percent 4 14 17" xfId="32271"/>
    <cellStyle name="Percent 4 14 10 4" xfId="32272"/>
    <cellStyle name="Percent 4 14 10 2 2" xfId="32273"/>
    <cellStyle name="Percent 4 14 10 3" xfId="32274"/>
    <cellStyle name="Percent 4 14 11 2" xfId="32275"/>
    <cellStyle name="Percent 4 14 12 2" xfId="32276"/>
    <cellStyle name="Percent 4 14 13 2" xfId="32277"/>
    <cellStyle name="Percent 4 14 14" xfId="32278"/>
    <cellStyle name="Percent 4 14 15" xfId="32279"/>
    <cellStyle name="Percent 4 14 16" xfId="32280"/>
    <cellStyle name="Percent 4 14 2 12" xfId="32281"/>
    <cellStyle name="Percent 4 14 2 10 2" xfId="32282"/>
    <cellStyle name="Percent 4 14 2 11" xfId="32283"/>
    <cellStyle name="Percent 4 14 2 2 6" xfId="32284"/>
    <cellStyle name="Percent 4 14 2 2 2 4" xfId="32285"/>
    <cellStyle name="Percent 4 14 2 2 2 2 2" xfId="32286"/>
    <cellStyle name="Percent 4 14 2 2 2 3" xfId="32287"/>
    <cellStyle name="Percent 4 14 2 2 3 4" xfId="32288"/>
    <cellStyle name="Percent 4 14 2 2 3 2 2" xfId="32289"/>
    <cellStyle name="Percent 4 14 2 2 3 3" xfId="32290"/>
    <cellStyle name="Percent 4 14 2 2 4 2" xfId="32291"/>
    <cellStyle name="Percent 4 14 2 2 5" xfId="32292"/>
    <cellStyle name="Percent 4 14 2 3 6" xfId="32293"/>
    <cellStyle name="Percent 4 14 2 3 2 4" xfId="32294"/>
    <cellStyle name="Percent 4 14 2 3 2 2 2" xfId="32295"/>
    <cellStyle name="Percent 4 14 2 3 2 3" xfId="32296"/>
    <cellStyle name="Percent 4 14 2 3 3 4" xfId="32297"/>
    <cellStyle name="Percent 4 14 2 3 3 2 2" xfId="32298"/>
    <cellStyle name="Percent 4 14 2 3 3 3" xfId="32299"/>
    <cellStyle name="Percent 4 14 2 3 4 2" xfId="32300"/>
    <cellStyle name="Percent 4 14 2 3 5" xfId="32301"/>
    <cellStyle name="Percent 4 14 2 4 7" xfId="32302"/>
    <cellStyle name="Percent 4 14 2 4 2 4" xfId="32303"/>
    <cellStyle name="Percent 4 14 2 4 2 2 2" xfId="32304"/>
    <cellStyle name="Percent 4 14 2 4 2 3" xfId="32305"/>
    <cellStyle name="Percent 4 14 2 4 3 4" xfId="32306"/>
    <cellStyle name="Percent 4 14 2 4 3 2 2" xfId="32307"/>
    <cellStyle name="Percent 4 14 2 4 3 3" xfId="32308"/>
    <cellStyle name="Percent 4 14 2 4 4 4" xfId="32309"/>
    <cellStyle name="Percent 4 14 2 4 4 2 2" xfId="32310"/>
    <cellStyle name="Percent 4 14 2 4 4 3" xfId="32311"/>
    <cellStyle name="Percent 4 14 2 4 5 2" xfId="32312"/>
    <cellStyle name="Percent 4 14 2 4 6" xfId="32313"/>
    <cellStyle name="Percent 4 14 2 5 6" xfId="32314"/>
    <cellStyle name="Percent 4 14 2 5 2 4" xfId="32315"/>
    <cellStyle name="Percent 4 14 2 5 2 2 2" xfId="32316"/>
    <cellStyle name="Percent 4 14 2 5 2 3" xfId="32317"/>
    <cellStyle name="Percent 4 14 2 5 3 4" xfId="32318"/>
    <cellStyle name="Percent 4 14 2 5 3 2 2" xfId="32319"/>
    <cellStyle name="Percent 4 14 2 5 3 3" xfId="32320"/>
    <cellStyle name="Percent 4 14 2 5 4 2" xfId="32321"/>
    <cellStyle name="Percent 4 14 2 5 5" xfId="32322"/>
    <cellStyle name="Percent 4 14 2 6 4" xfId="32323"/>
    <cellStyle name="Percent 4 14 2 6 2 2" xfId="32324"/>
    <cellStyle name="Percent 4 14 2 6 3" xfId="32325"/>
    <cellStyle name="Percent 4 14 2 7 4" xfId="32326"/>
    <cellStyle name="Percent 4 14 2 7 2 2" xfId="32327"/>
    <cellStyle name="Percent 4 14 2 7 3" xfId="32328"/>
    <cellStyle name="Percent 4 14 2 8 4" xfId="32329"/>
    <cellStyle name="Percent 4 14 2 8 2 2" xfId="32330"/>
    <cellStyle name="Percent 4 14 2 8 3" xfId="32331"/>
    <cellStyle name="Percent 4 14 2 9 2" xfId="32332"/>
    <cellStyle name="Percent 4 14 3 7" xfId="32333"/>
    <cellStyle name="Percent 4 14 3 2 4" xfId="32334"/>
    <cellStyle name="Percent 4 14 3 2 2 2" xfId="32335"/>
    <cellStyle name="Percent 4 14 3 2 3" xfId="32336"/>
    <cellStyle name="Percent 4 14 3 3 4" xfId="32337"/>
    <cellStyle name="Percent 4 14 3 3 2 2" xfId="32338"/>
    <cellStyle name="Percent 4 14 3 3 3" xfId="32339"/>
    <cellStyle name="Percent 4 14 3 4 2" xfId="32340"/>
    <cellStyle name="Percent 4 14 3 5 2" xfId="32341"/>
    <cellStyle name="Percent 4 14 3 6" xfId="32342"/>
    <cellStyle name="Percent 4 14 4 6" xfId="32343"/>
    <cellStyle name="Percent 4 14 4 2 4" xfId="32344"/>
    <cellStyle name="Percent 4 14 4 2 2 2" xfId="32345"/>
    <cellStyle name="Percent 4 14 4 2 3" xfId="32346"/>
    <cellStyle name="Percent 4 14 4 3 4" xfId="32347"/>
    <cellStyle name="Percent 4 14 4 3 2 2" xfId="32348"/>
    <cellStyle name="Percent 4 14 4 3 3" xfId="32349"/>
    <cellStyle name="Percent 4 14 4 4 2" xfId="32350"/>
    <cellStyle name="Percent 4 14 4 5" xfId="32351"/>
    <cellStyle name="Percent 4 14 5 6" xfId="32352"/>
    <cellStyle name="Percent 4 14 5 2 4" xfId="32353"/>
    <cellStyle name="Percent 4 14 5 2 2 2" xfId="32354"/>
    <cellStyle name="Percent 4 14 5 2 3" xfId="32355"/>
    <cellStyle name="Percent 4 14 5 3 4" xfId="32356"/>
    <cellStyle name="Percent 4 14 5 3 2 2" xfId="32357"/>
    <cellStyle name="Percent 4 14 5 3 3" xfId="32358"/>
    <cellStyle name="Percent 4 14 5 4 2" xfId="32359"/>
    <cellStyle name="Percent 4 14 5 5" xfId="32360"/>
    <cellStyle name="Percent 4 14 6 7" xfId="32361"/>
    <cellStyle name="Percent 4 14 6 2 4" xfId="32362"/>
    <cellStyle name="Percent 4 14 6 2 2 2" xfId="32363"/>
    <cellStyle name="Percent 4 14 6 2 3" xfId="32364"/>
    <cellStyle name="Percent 4 14 6 3 4" xfId="32365"/>
    <cellStyle name="Percent 4 14 6 3 2 2" xfId="32366"/>
    <cellStyle name="Percent 4 14 6 3 3" xfId="32367"/>
    <cellStyle name="Percent 4 14 6 4 4" xfId="32368"/>
    <cellStyle name="Percent 4 14 6 4 2 2" xfId="32369"/>
    <cellStyle name="Percent 4 14 6 4 3" xfId="32370"/>
    <cellStyle name="Percent 4 14 6 5 2" xfId="32371"/>
    <cellStyle name="Percent 4 14 6 6" xfId="32372"/>
    <cellStyle name="Percent 4 14 7 6" xfId="32373"/>
    <cellStyle name="Percent 4 14 7 2 4" xfId="32374"/>
    <cellStyle name="Percent 4 14 7 2 2 2" xfId="32375"/>
    <cellStyle name="Percent 4 14 7 2 3" xfId="32376"/>
    <cellStyle name="Percent 4 14 7 3 4" xfId="32377"/>
    <cellStyle name="Percent 4 14 7 3 2 2" xfId="32378"/>
    <cellStyle name="Percent 4 14 7 3 3" xfId="32379"/>
    <cellStyle name="Percent 4 14 7 4 2" xfId="32380"/>
    <cellStyle name="Percent 4 14 7 5" xfId="32381"/>
    <cellStyle name="Percent 4 14 8 4" xfId="32382"/>
    <cellStyle name="Percent 4 14 8 2 2" xfId="32383"/>
    <cellStyle name="Percent 4 14 8 3" xfId="32384"/>
    <cellStyle name="Percent 4 14 9 4" xfId="32385"/>
    <cellStyle name="Percent 4 14 9 2 2" xfId="32386"/>
    <cellStyle name="Percent 4 14 9 3" xfId="32387"/>
    <cellStyle name="Percent 4 15 16" xfId="32388"/>
    <cellStyle name="Percent 4 15 10 2" xfId="32389"/>
    <cellStyle name="Percent 4 15 11 2" xfId="32390"/>
    <cellStyle name="Percent 4 15 12 2" xfId="32391"/>
    <cellStyle name="Percent 4 15 13" xfId="32392"/>
    <cellStyle name="Percent 4 15 14" xfId="32393"/>
    <cellStyle name="Percent 4 15 15" xfId="32394"/>
    <cellStyle name="Percent 4 15 2 7" xfId="32395"/>
    <cellStyle name="Percent 4 15 2 2 4" xfId="32396"/>
    <cellStyle name="Percent 4 15 2 2 2 2" xfId="32397"/>
    <cellStyle name="Percent 4 15 2 2 3" xfId="32398"/>
    <cellStyle name="Percent 4 15 2 3 4" xfId="32399"/>
    <cellStyle name="Percent 4 15 2 3 2 2" xfId="32400"/>
    <cellStyle name="Percent 4 15 2 3 3" xfId="32401"/>
    <cellStyle name="Percent 4 15 2 4 2" xfId="32402"/>
    <cellStyle name="Percent 4 15 2 5 2" xfId="32403"/>
    <cellStyle name="Percent 4 15 2 6" xfId="32404"/>
    <cellStyle name="Percent 4 15 3 6" xfId="32405"/>
    <cellStyle name="Percent 4 15 3 2 4" xfId="32406"/>
    <cellStyle name="Percent 4 15 3 2 2 2" xfId="32407"/>
    <cellStyle name="Percent 4 15 3 2 3" xfId="32408"/>
    <cellStyle name="Percent 4 15 3 3 4" xfId="32409"/>
    <cellStyle name="Percent 4 15 3 3 2 2" xfId="32410"/>
    <cellStyle name="Percent 4 15 3 3 3" xfId="32411"/>
    <cellStyle name="Percent 4 15 3 4 2" xfId="32412"/>
    <cellStyle name="Percent 4 15 3 5" xfId="32413"/>
    <cellStyle name="Percent 4 15 4 6" xfId="32414"/>
    <cellStyle name="Percent 4 15 4 2 4" xfId="32415"/>
    <cellStyle name="Percent 4 15 4 2 2 2" xfId="32416"/>
    <cellStyle name="Percent 4 15 4 2 3" xfId="32417"/>
    <cellStyle name="Percent 4 15 4 3 4" xfId="32418"/>
    <cellStyle name="Percent 4 15 4 3 2 2" xfId="32419"/>
    <cellStyle name="Percent 4 15 4 3 3" xfId="32420"/>
    <cellStyle name="Percent 4 15 4 4 2" xfId="32421"/>
    <cellStyle name="Percent 4 15 4 5" xfId="32422"/>
    <cellStyle name="Percent 4 15 5 7" xfId="32423"/>
    <cellStyle name="Percent 4 15 5 2 4" xfId="32424"/>
    <cellStyle name="Percent 4 15 5 2 2 2" xfId="32425"/>
    <cellStyle name="Percent 4 15 5 2 3" xfId="32426"/>
    <cellStyle name="Percent 4 15 5 3 4" xfId="32427"/>
    <cellStyle name="Percent 4 15 5 3 2 2" xfId="32428"/>
    <cellStyle name="Percent 4 15 5 3 3" xfId="32429"/>
    <cellStyle name="Percent 4 15 5 4 4" xfId="32430"/>
    <cellStyle name="Percent 4 15 5 4 2 2" xfId="32431"/>
    <cellStyle name="Percent 4 15 5 4 3" xfId="32432"/>
    <cellStyle name="Percent 4 15 5 5 2" xfId="32433"/>
    <cellStyle name="Percent 4 15 5 6" xfId="32434"/>
    <cellStyle name="Percent 4 15 6 6" xfId="32435"/>
    <cellStyle name="Percent 4 15 6 2 4" xfId="32436"/>
    <cellStyle name="Percent 4 15 6 2 2 2" xfId="32437"/>
    <cellStyle name="Percent 4 15 6 2 3" xfId="3243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4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18" Type="http://schemas.openxmlformats.org/officeDocument/2006/relationships/worksheet" Target="worksheets/sheet16.xml" /><Relationship Id="rId24" Type="http://schemas.openxmlformats.org/officeDocument/2006/relationships/externalLink" Target="externalLinks/externalLink1.xml" /><Relationship Id="rId25" Type="http://schemas.openxmlformats.org/officeDocument/2006/relationships/calcChain" Target="calcChain.xml" /><Relationship Id="rId5" Type="http://schemas.openxmlformats.org/officeDocument/2006/relationships/worksheet" Target="worksheets/sheet3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sharedStrings" Target="sharedStrings.xml" /><Relationship Id="rId9" Type="http://schemas.openxmlformats.org/officeDocument/2006/relationships/worksheet" Target="worksheets/sheet7.xml" /><Relationship Id="rId17" Type="http://schemas.openxmlformats.org/officeDocument/2006/relationships/worksheet" Target="worksheets/sheet15.xml" /><Relationship Id="rId19" Type="http://schemas.openxmlformats.org/officeDocument/2006/relationships/worksheet" Target="worksheets/sheet17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5.bin" /><Relationship Id="rId1" Type="http://schemas.openxmlformats.org/officeDocument/2006/relationships/comments" Target="../comments9.xml" 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15.xml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2"/>
  <sheetViews>
    <sheetView workbookViewId="0" topLeftCell="A34">
      <selection pane="topLeft" activeCell="B52" sqref="B52"/>
    </sheetView>
  </sheetViews>
  <sheetFormatPr defaultRowHeight="12.75"/>
  <cols>
    <col min="2" max="2" width="39.5714285714286" bestFit="1" customWidth="1"/>
    <col min="4" max="4" width="13.4285714285714" bestFit="1" customWidth="1"/>
    <col min="6" max="6" width="9.85714285714286" bestFit="1" customWidth="1"/>
    <col min="8" max="8" width="16.2857142857143" bestFit="1" customWidth="1"/>
    <col min="9" max="9" width="13.4285714285714" bestFit="1" customWidth="1"/>
  </cols>
  <sheetData>
    <row r="2" spans="2:2" ht="12.75">
      <c r="B2" t="s">
        <v>56</v>
      </c>
    </row>
    <row r="3" spans="2:10" ht="12.75">
      <c r="B3" t="s">
        <v>33</v>
      </c>
      <c r="C3" t="s">
        <v>34</v>
      </c>
      <c r="D3" t="s">
        <v>35</v>
      </c>
      <c r="E3" t="s">
        <v>36</v>
      </c>
      <c r="F3" t="s">
        <v>46</v>
      </c>
      <c r="G3" t="s">
        <v>38</v>
      </c>
      <c r="H3" t="s">
        <v>37</v>
      </c>
      <c r="I3" t="s">
        <v>43</v>
      </c>
      <c r="J3" t="s">
        <v>39</v>
      </c>
    </row>
    <row r="4" spans="4:9" ht="12.75">
      <c r="D4" t="s">
        <v>28</v>
      </c>
      <c r="F4">
        <v>1</v>
      </c>
      <c r="H4" t="s">
        <v>53</v>
      </c>
      <c r="I4" t="s">
        <v>55</v>
      </c>
    </row>
    <row r="5" spans="4:8" ht="12.75">
      <c r="D5" t="s">
        <v>52</v>
      </c>
      <c r="F5">
        <v>1</v>
      </c>
      <c r="H5" t="s">
        <v>53</v>
      </c>
    </row>
    <row r="6" spans="4:8" ht="12.75">
      <c r="D6" t="s">
        <v>29</v>
      </c>
      <c r="F6">
        <v>1</v>
      </c>
      <c r="H6" t="s">
        <v>53</v>
      </c>
    </row>
    <row r="8" spans="2:2" ht="12.75">
      <c r="B8" t="s">
        <v>57</v>
      </c>
    </row>
    <row r="9" spans="2:10" ht="12.75">
      <c r="B9" t="s">
        <v>33</v>
      </c>
      <c r="C9" t="s">
        <v>34</v>
      </c>
      <c r="D9" t="s">
        <v>35</v>
      </c>
      <c r="E9" t="s">
        <v>36</v>
      </c>
      <c r="F9" t="s">
        <v>46</v>
      </c>
      <c r="G9" t="s">
        <v>38</v>
      </c>
      <c r="H9" t="s">
        <v>37</v>
      </c>
      <c r="I9" t="s">
        <v>43</v>
      </c>
      <c r="J9" t="s">
        <v>39</v>
      </c>
    </row>
    <row r="10" spans="4:8" ht="12.75">
      <c r="D10" t="s">
        <v>52</v>
      </c>
      <c r="F10">
        <v>1</v>
      </c>
      <c r="H10" t="s">
        <v>88</v>
      </c>
    </row>
    <row r="11" spans="4:8" ht="12.75">
      <c r="D11" t="s">
        <v>29</v>
      </c>
      <c r="F11">
        <v>1</v>
      </c>
      <c r="H11" t="s">
        <v>88</v>
      </c>
    </row>
    <row r="14" spans="2:2" ht="12.75">
      <c r="B14" t="s">
        <v>92</v>
      </c>
    </row>
    <row r="15" spans="2:10" ht="12.75">
      <c r="B15" t="s">
        <v>33</v>
      </c>
      <c r="C15" t="s">
        <v>34</v>
      </c>
      <c r="D15" t="s">
        <v>35</v>
      </c>
      <c r="E15" t="s">
        <v>36</v>
      </c>
      <c r="F15" t="s">
        <v>46</v>
      </c>
      <c r="G15" t="s">
        <v>38</v>
      </c>
      <c r="H15" t="s">
        <v>37</v>
      </c>
      <c r="I15" t="s">
        <v>43</v>
      </c>
      <c r="J15" t="s">
        <v>39</v>
      </c>
    </row>
    <row r="16" spans="4:8" ht="12.75">
      <c r="D16" t="s">
        <v>52</v>
      </c>
      <c r="F16">
        <v>1</v>
      </c>
      <c r="H16" t="s">
        <v>93</v>
      </c>
    </row>
    <row r="17" spans="4:8" ht="12.75">
      <c r="D17" t="s">
        <v>29</v>
      </c>
      <c r="F17">
        <v>1</v>
      </c>
      <c r="H17" t="s">
        <v>93</v>
      </c>
    </row>
    <row r="20" spans="2:2" ht="12.75">
      <c r="B20" t="s">
        <v>95</v>
      </c>
    </row>
    <row r="21" spans="2:10" ht="12.75">
      <c r="B21" t="s">
        <v>33</v>
      </c>
      <c r="C21" t="s">
        <v>34</v>
      </c>
      <c r="D21" t="s">
        <v>35</v>
      </c>
      <c r="E21" t="s">
        <v>36</v>
      </c>
      <c r="F21" t="s">
        <v>46</v>
      </c>
      <c r="G21" t="s">
        <v>38</v>
      </c>
      <c r="H21" t="s">
        <v>37</v>
      </c>
      <c r="I21" t="s">
        <v>43</v>
      </c>
      <c r="J21" t="s">
        <v>39</v>
      </c>
    </row>
    <row r="22" spans="4:8" ht="12.75">
      <c r="D22" t="s">
        <v>114</v>
      </c>
      <c r="F22">
        <v>1</v>
      </c>
      <c r="H22" t="s">
        <v>96</v>
      </c>
    </row>
    <row r="23" spans="4:8" ht="12.75">
      <c r="D23" t="s">
        <v>29</v>
      </c>
      <c r="F23">
        <v>1</v>
      </c>
      <c r="H23" t="s">
        <v>96</v>
      </c>
    </row>
    <row r="24" spans="4:8" ht="12.75">
      <c r="D24" t="s">
        <v>103</v>
      </c>
      <c r="F24">
        <v>1</v>
      </c>
      <c r="H24" t="s">
        <v>97</v>
      </c>
    </row>
    <row r="25" spans="4:8" ht="12.75">
      <c r="D25" t="s">
        <v>103</v>
      </c>
      <c r="F25">
        <v>1</v>
      </c>
      <c r="H25" t="s">
        <v>98</v>
      </c>
    </row>
    <row r="26" spans="4:8" ht="12.75">
      <c r="D26" t="s">
        <v>103</v>
      </c>
      <c r="F26">
        <v>1</v>
      </c>
      <c r="H26" t="s">
        <v>99</v>
      </c>
    </row>
    <row r="27" spans="4:8" ht="12.75">
      <c r="D27" t="s">
        <v>103</v>
      </c>
      <c r="F27">
        <v>1</v>
      </c>
      <c r="H27" t="s">
        <v>100</v>
      </c>
    </row>
    <row r="28" spans="4:8" ht="12.75">
      <c r="D28" t="s">
        <v>103</v>
      </c>
      <c r="F28">
        <v>1</v>
      </c>
      <c r="H28" t="s">
        <v>101</v>
      </c>
    </row>
    <row r="29" spans="4:8" ht="12.75">
      <c r="D29" t="s">
        <v>103</v>
      </c>
      <c r="F29">
        <v>1</v>
      </c>
      <c r="H29" t="s">
        <v>102</v>
      </c>
    </row>
    <row r="34" spans="2:2" ht="12.75">
      <c r="B34" t="s">
        <v>177</v>
      </c>
    </row>
    <row r="35" spans="2:10" ht="12.75">
      <c r="B35" t="s">
        <v>33</v>
      </c>
      <c r="C35" t="s">
        <v>34</v>
      </c>
      <c r="D35" t="s">
        <v>35</v>
      </c>
      <c r="E35" t="s">
        <v>36</v>
      </c>
      <c r="F35" t="s">
        <v>46</v>
      </c>
      <c r="G35" t="s">
        <v>38</v>
      </c>
      <c r="H35" t="s">
        <v>37</v>
      </c>
      <c r="I35" t="s">
        <v>43</v>
      </c>
      <c r="J35" t="s">
        <v>39</v>
      </c>
    </row>
    <row r="36" spans="4:8" ht="12.75">
      <c r="D36" t="s">
        <v>29</v>
      </c>
      <c r="F36">
        <v>1</v>
      </c>
      <c r="H36" t="s">
        <v>115</v>
      </c>
    </row>
    <row r="37" spans="4:8" ht="12.75">
      <c r="D37" t="s">
        <v>29</v>
      </c>
      <c r="F37">
        <v>1</v>
      </c>
      <c r="H37" t="s">
        <v>176</v>
      </c>
    </row>
    <row r="38" spans="4:8" ht="12.75">
      <c r="D38" t="s">
        <v>29</v>
      </c>
      <c r="F38">
        <v>1</v>
      </c>
      <c r="H38" t="s">
        <v>178</v>
      </c>
    </row>
    <row r="39" spans="4:8" ht="12.75">
      <c r="D39" t="s">
        <v>114</v>
      </c>
      <c r="F39">
        <v>1</v>
      </c>
      <c r="H39" t="s">
        <v>181</v>
      </c>
    </row>
    <row r="40" spans="4:8" ht="12.75">
      <c r="D40" t="s">
        <v>29</v>
      </c>
      <c r="F40">
        <v>1</v>
      </c>
      <c r="H40" t="s">
        <v>181</v>
      </c>
    </row>
    <row r="41" spans="4:8" ht="12.75">
      <c r="D41" t="s">
        <v>103</v>
      </c>
      <c r="F41">
        <v>1</v>
      </c>
      <c r="H41" t="s">
        <v>189</v>
      </c>
    </row>
    <row r="42" spans="4:8" ht="12.75">
      <c r="D42" t="s">
        <v>103</v>
      </c>
      <c r="F42">
        <v>1</v>
      </c>
      <c r="H42" t="s">
        <v>190</v>
      </c>
    </row>
    <row r="43" spans="4:8" ht="12.75">
      <c r="D43" t="s">
        <v>103</v>
      </c>
      <c r="F43">
        <v>1</v>
      </c>
      <c r="H43" t="s">
        <v>191</v>
      </c>
    </row>
    <row r="44" spans="4:8" ht="12.75">
      <c r="D44" t="s">
        <v>103</v>
      </c>
      <c r="F44">
        <v>1</v>
      </c>
      <c r="H44" t="s">
        <v>192</v>
      </c>
    </row>
    <row r="45" spans="4:8" ht="12.75">
      <c r="D45" t="s">
        <v>103</v>
      </c>
      <c r="F45">
        <v>1</v>
      </c>
      <c r="H45" t="s">
        <v>193</v>
      </c>
    </row>
    <row r="46" spans="4:8" ht="12.75">
      <c r="D46" t="s">
        <v>103</v>
      </c>
      <c r="F46">
        <v>1</v>
      </c>
      <c r="H46" t="s">
        <v>194</v>
      </c>
    </row>
    <row r="49" spans="2:2" ht="12.75">
      <c r="B49" s="213" t="s">
        <v>897</v>
      </c>
    </row>
    <row r="50" spans="2:3" ht="12.75">
      <c r="B50" t="s">
        <v>900</v>
      </c>
      <c r="C50" t="s">
        <v>902</v>
      </c>
    </row>
    <row r="51" spans="2:3" ht="12.75">
      <c r="B51" t="s">
        <v>901</v>
      </c>
      <c r="C51" t="s">
        <v>902</v>
      </c>
    </row>
    <row r="52" spans="2:3" ht="12.75">
      <c r="B52" t="s">
        <v>898</v>
      </c>
      <c r="C52" t="s">
        <v>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8"/>
  <sheetViews>
    <sheetView workbookViewId="0" topLeftCell="A1"/>
  </sheetViews>
  <sheetFormatPr defaultRowHeight="12.75"/>
  <cols>
    <col min="3" max="3" width="21.4285714285714" bestFit="1" customWidth="1"/>
    <col min="4" max="4" width="15.8571428571429" bestFit="1" customWidth="1"/>
    <col min="8" max="8" width="24.4285714285714" customWidth="1"/>
    <col min="12" max="13" width="6.57142857142857" style="2" bestFit="1" customWidth="1"/>
    <col min="14" max="22" width="5.57142857142857" style="2" bestFit="1" customWidth="1"/>
    <col min="23" max="23" width="6.57142857142857" style="2" bestFit="1" customWidth="1"/>
    <col min="24" max="27" width="5.57142857142857" style="2" bestFit="1" customWidth="1"/>
    <col min="28" max="29" width="6.57142857142857" style="2" bestFit="1" customWidth="1"/>
    <col min="30" max="33" width="5.57142857142857" style="2" bestFit="1" customWidth="1"/>
    <col min="34" max="34" width="6.57142857142857" style="2" bestFit="1" customWidth="1"/>
    <col min="35" max="35" width="5.57142857142857" style="2" bestFit="1" customWidth="1"/>
    <col min="36" max="36" width="6.57142857142857" style="2" bestFit="1" customWidth="1"/>
    <col min="37" max="44" width="5.57142857142857" style="2" bestFit="1" customWidth="1"/>
    <col min="45" max="46" width="6.57142857142857" style="2" bestFit="1" customWidth="1"/>
    <col min="47" max="47" width="5.57142857142857" style="2" bestFit="1" customWidth="1"/>
    <col min="48" max="48" width="6.57142857142857" style="2" bestFit="1" customWidth="1"/>
  </cols>
  <sheetData>
    <row r="1" spans="1:49" ht="12.75">
      <c r="A1" t="s">
        <v>885</v>
      </c>
      <c r="B1" t="s">
        <v>886</v>
      </c>
      <c r="C1" t="s">
        <v>887</v>
      </c>
      <c r="D1" t="s">
        <v>888</v>
      </c>
      <c r="E1" t="s">
        <v>889</v>
      </c>
      <c r="F1" t="s">
        <v>890</v>
      </c>
      <c r="G1" t="s">
        <v>891</v>
      </c>
      <c r="H1" t="s">
        <v>892</v>
      </c>
      <c r="I1" t="s">
        <v>893</v>
      </c>
      <c r="J1" t="s">
        <v>894</v>
      </c>
      <c r="K1" t="s">
        <v>895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906</v>
      </c>
    </row>
    <row r="2" spans="1:49" ht="12.75">
      <c r="A2" t="s">
        <v>201</v>
      </c>
      <c r="B2" t="s">
        <v>28</v>
      </c>
      <c r="C2" t="s">
        <v>905</v>
      </c>
      <c r="D2" t="s">
        <v>468</v>
      </c>
      <c r="E2" t="s">
        <v>203</v>
      </c>
      <c r="F2" t="s">
        <v>203</v>
      </c>
      <c r="G2" t="s">
        <v>793</v>
      </c>
      <c r="H2" t="s">
        <v>892</v>
      </c>
      <c r="I2" t="s">
        <v>203</v>
      </c>
      <c r="J2" t="s">
        <v>203</v>
      </c>
      <c r="K2" t="s">
        <v>203</v>
      </c>
      <c r="L2">
        <v>0.74633078600882297</v>
      </c>
      <c r="M2">
        <v>0.79425198795713603</v>
      </c>
      <c r="N2">
        <v>0.76016377175338101</v>
      </c>
      <c r="O2">
        <v>0.789975026193378</v>
      </c>
      <c r="P2">
        <v>0.72609117616589602</v>
      </c>
      <c r="Q2">
        <v>0.88939691312296798</v>
      </c>
      <c r="R2">
        <v>0.56988642829255598</v>
      </c>
      <c r="S2">
        <v>0.75698356672417999</v>
      </c>
      <c r="T2">
        <v>0.88939691312296798</v>
      </c>
      <c r="U2">
        <v>0.84781454393670297</v>
      </c>
      <c r="V2">
        <v>0.73363853980806804</v>
      </c>
      <c r="W2">
        <v>0.74633078600882297</v>
      </c>
      <c r="X2">
        <v>0.70928681335727795</v>
      </c>
      <c r="Y2">
        <v>0.83322321495026497</v>
      </c>
      <c r="Z2">
        <v>0.79998615803272</v>
      </c>
      <c r="AA2">
        <v>0.70586635948528198</v>
      </c>
      <c r="AB2">
        <v>0.76441135034493002</v>
      </c>
      <c r="AC2">
        <v>0.763514220463966</v>
      </c>
      <c r="AD2">
        <v>0.84781454393670297</v>
      </c>
      <c r="AE2">
        <v>0.76866988318465401</v>
      </c>
      <c r="AF2">
        <v>0.76016377175338101</v>
      </c>
      <c r="AG2">
        <v>0.741463840222777</v>
      </c>
      <c r="AH2">
        <v>0.79040869411771797</v>
      </c>
      <c r="AI2">
        <v>0.79542895694786897</v>
      </c>
      <c r="AJ2">
        <v>0.76016377175338101</v>
      </c>
      <c r="AK2">
        <v>0.74633078600882297</v>
      </c>
      <c r="AL2">
        <v>1.04341289571332</v>
      </c>
      <c r="AM2">
        <v>0.82267627558681999</v>
      </c>
      <c r="AN2">
        <v>0.84781454393670297</v>
      </c>
      <c r="AO2">
        <v>0.78322749907057299</v>
      </c>
      <c r="AP2">
        <v>0.79601790830593699</v>
      </c>
      <c r="AQ2">
        <v>0.73191704738132002</v>
      </c>
      <c r="AR2">
        <v>0.76016377175338101</v>
      </c>
      <c r="AS2">
        <v>0.70</v>
      </c>
      <c r="AT2">
        <v>0.78984392531295</v>
      </c>
      <c r="AU2">
        <v>0.73957260118169399</v>
      </c>
      <c r="AV2">
        <v>0.81749291886381303</v>
      </c>
      <c r="AW2" t="s">
        <v>203</v>
      </c>
    </row>
    <row r="3" spans="1:49" ht="12.75">
      <c r="A3" t="s">
        <v>201</v>
      </c>
      <c r="B3" t="s">
        <v>28</v>
      </c>
      <c r="C3" t="s">
        <v>794</v>
      </c>
      <c r="D3" t="s">
        <v>468</v>
      </c>
      <c r="E3" t="s">
        <v>203</v>
      </c>
      <c r="F3" t="s">
        <v>203</v>
      </c>
      <c r="G3" t="s">
        <v>793</v>
      </c>
      <c r="H3" t="s">
        <v>892</v>
      </c>
      <c r="I3" t="s">
        <v>203</v>
      </c>
      <c r="J3" t="s">
        <v>203</v>
      </c>
      <c r="K3" t="s">
        <v>203</v>
      </c>
      <c r="L3">
        <v>0.70</v>
      </c>
      <c r="M3">
        <v>0.84000944301201497</v>
      </c>
      <c r="N3">
        <v>0.81118081169380396</v>
      </c>
      <c r="O3">
        <v>0.81351118392087296</v>
      </c>
      <c r="P3">
        <v>0.76823818993776904</v>
      </c>
      <c r="Q3">
        <v>0.92459294417607696</v>
      </c>
      <c r="R3">
        <v>0.70</v>
      </c>
      <c r="S3">
        <v>0.80041513182527801</v>
      </c>
      <c r="T3">
        <v>0.92459294417607696</v>
      </c>
      <c r="U3">
        <v>0.70</v>
      </c>
      <c r="V3">
        <v>0.77552864007769895</v>
      </c>
      <c r="W3">
        <v>0.70</v>
      </c>
      <c r="X3">
        <v>0.75325271367398605</v>
      </c>
      <c r="Y3">
        <v>0.87390787050256302</v>
      </c>
      <c r="Z3">
        <v>0.85293753664915395</v>
      </c>
      <c r="AA3">
        <v>0.748782287717358</v>
      </c>
      <c r="AB3">
        <v>0.78766540235995297</v>
      </c>
      <c r="AC3">
        <v>0.80013744981905999</v>
      </c>
      <c r="AD3">
        <v>0.70</v>
      </c>
      <c r="AE3">
        <v>0.79418327891432206</v>
      </c>
      <c r="AF3">
        <v>0.81118081169380396</v>
      </c>
      <c r="AG3">
        <v>0.80856567448048</v>
      </c>
      <c r="AH3">
        <v>0.84657514339166795</v>
      </c>
      <c r="AI3">
        <v>0.82834230248009699</v>
      </c>
      <c r="AJ3">
        <v>0.81118081169380396</v>
      </c>
      <c r="AK3">
        <v>0.70</v>
      </c>
      <c r="AL3">
        <v>0.70</v>
      </c>
      <c r="AM3">
        <v>0.87282859281482095</v>
      </c>
      <c r="AN3">
        <v>0.70</v>
      </c>
      <c r="AO3">
        <v>0.83735336622912804</v>
      </c>
      <c r="AP3">
        <v>0.70</v>
      </c>
      <c r="AQ3">
        <v>0.789865811062193</v>
      </c>
      <c r="AR3">
        <v>0.81118081169380396</v>
      </c>
      <c r="AS3">
        <v>0.70</v>
      </c>
      <c r="AT3">
        <v>0.82758004338518998</v>
      </c>
      <c r="AU3">
        <v>0.80138951314803397</v>
      </c>
      <c r="AV3">
        <v>0.82867758316744899</v>
      </c>
      <c r="AW3" t="s">
        <v>203</v>
      </c>
    </row>
    <row r="4" spans="1:49" ht="12.75">
      <c r="A4" t="s">
        <v>201</v>
      </c>
      <c r="B4" t="s">
        <v>28</v>
      </c>
      <c r="C4" t="s">
        <v>876</v>
      </c>
      <c r="D4" t="s">
        <v>468</v>
      </c>
      <c r="E4" t="s">
        <v>203</v>
      </c>
      <c r="F4" t="s">
        <v>203</v>
      </c>
      <c r="G4" t="s">
        <v>793</v>
      </c>
      <c r="H4" t="s">
        <v>892</v>
      </c>
      <c r="I4" t="s">
        <v>203</v>
      </c>
      <c r="J4" t="s">
        <v>203</v>
      </c>
      <c r="K4" t="s">
        <v>203</v>
      </c>
      <c r="L4">
        <v>0.72282882147300698</v>
      </c>
      <c r="M4">
        <v>0.81928900763721202</v>
      </c>
      <c r="N4">
        <v>0.71202455229284101</v>
      </c>
      <c r="O4">
        <v>0.79900299844352896</v>
      </c>
      <c r="P4">
        <v>0.73408809575764999</v>
      </c>
      <c r="Q4">
        <v>0.86347572459868804</v>
      </c>
      <c r="R4">
        <v>0.70618228689710805</v>
      </c>
      <c r="S4">
        <v>0.70582025115896196</v>
      </c>
      <c r="T4">
        <v>0.86347572459868804</v>
      </c>
      <c r="U4">
        <v>0.80018749703636505</v>
      </c>
      <c r="V4">
        <v>0.756985991711003</v>
      </c>
      <c r="W4">
        <v>0.72282882147300698</v>
      </c>
      <c r="X4">
        <v>0.71635950787853098</v>
      </c>
      <c r="Y4">
        <v>0.81733074000663297</v>
      </c>
      <c r="Z4">
        <v>0.81671823576041103</v>
      </c>
      <c r="AA4">
        <v>0.71202455229284101</v>
      </c>
      <c r="AB4">
        <v>0.72917682462626598</v>
      </c>
      <c r="AC4">
        <v>0.75951434494584302</v>
      </c>
      <c r="AD4">
        <v>0.80018749703636505</v>
      </c>
      <c r="AE4">
        <v>0.76164435507238604</v>
      </c>
      <c r="AF4">
        <v>0.71202455229284101</v>
      </c>
      <c r="AG4">
        <v>0.72542657031811597</v>
      </c>
      <c r="AH4">
        <v>0.78087502002196996</v>
      </c>
      <c r="AI4">
        <v>0.75951269724745896</v>
      </c>
      <c r="AJ4">
        <v>0.71202455229284101</v>
      </c>
      <c r="AK4">
        <v>0.72282882147300698</v>
      </c>
      <c r="AL4">
        <v>0.67551175099960703</v>
      </c>
      <c r="AM4">
        <v>0.82446857044229105</v>
      </c>
      <c r="AN4">
        <v>0.80018749703636505</v>
      </c>
      <c r="AO4">
        <v>0.775725584066012</v>
      </c>
      <c r="AP4">
        <v>0.74814388647734698</v>
      </c>
      <c r="AQ4">
        <v>0.72440504092705404</v>
      </c>
      <c r="AR4">
        <v>0.71202455229284101</v>
      </c>
      <c r="AS4">
        <v>0.72971725971827694</v>
      </c>
      <c r="AT4">
        <v>0.77385528191999398</v>
      </c>
      <c r="AU4">
        <v>0.68382178584202902</v>
      </c>
      <c r="AV4">
        <v>0.77247864056518101</v>
      </c>
      <c r="AW4" t="s">
        <v>203</v>
      </c>
    </row>
    <row r="5" spans="1:49" ht="12.75">
      <c r="A5" t="s">
        <v>201</v>
      </c>
      <c r="B5" t="s">
        <v>28</v>
      </c>
      <c r="C5" t="s">
        <v>877</v>
      </c>
      <c r="D5" t="s">
        <v>468</v>
      </c>
      <c r="E5" t="s">
        <v>203</v>
      </c>
      <c r="F5" t="s">
        <v>203</v>
      </c>
      <c r="G5" t="s">
        <v>793</v>
      </c>
      <c r="H5" t="s">
        <v>892</v>
      </c>
      <c r="I5" t="s">
        <v>203</v>
      </c>
      <c r="J5" t="s">
        <v>203</v>
      </c>
      <c r="K5" t="s">
        <v>203</v>
      </c>
      <c r="L5">
        <v>0.72282882147300698</v>
      </c>
      <c r="M5">
        <v>0.81928900763721202</v>
      </c>
      <c r="N5">
        <v>0.71202455229284101</v>
      </c>
      <c r="O5">
        <v>0.79900299844352896</v>
      </c>
      <c r="P5">
        <v>0.73408809575764999</v>
      </c>
      <c r="Q5">
        <v>0.86347572459868804</v>
      </c>
      <c r="R5">
        <v>0.70618228689710805</v>
      </c>
      <c r="S5">
        <v>0.70582025115896196</v>
      </c>
      <c r="T5">
        <v>0.86347572459868804</v>
      </c>
      <c r="U5">
        <v>0.80018749703636505</v>
      </c>
      <c r="V5">
        <v>0.756985991711003</v>
      </c>
      <c r="W5">
        <v>0.72282882147300698</v>
      </c>
      <c r="X5">
        <v>0.71635950787853098</v>
      </c>
      <c r="Y5">
        <v>0.81733074000663297</v>
      </c>
      <c r="Z5">
        <v>0.81671823576041103</v>
      </c>
      <c r="AA5">
        <v>0.71202455229284101</v>
      </c>
      <c r="AB5">
        <v>0.72917682462626598</v>
      </c>
      <c r="AC5">
        <v>0.75951434494584302</v>
      </c>
      <c r="AD5">
        <v>0.80018749703636505</v>
      </c>
      <c r="AE5">
        <v>0.76164435507238604</v>
      </c>
      <c r="AF5">
        <v>0.71202455229284101</v>
      </c>
      <c r="AG5">
        <v>0.72542657031811597</v>
      </c>
      <c r="AH5">
        <v>0.78087502002196996</v>
      </c>
      <c r="AI5">
        <v>0.75951269724745896</v>
      </c>
      <c r="AJ5">
        <v>0.71202455229284101</v>
      </c>
      <c r="AK5">
        <v>0.72282882147300698</v>
      </c>
      <c r="AL5">
        <v>0.67551175099960703</v>
      </c>
      <c r="AM5">
        <v>0.82446857044229105</v>
      </c>
      <c r="AN5">
        <v>0.80018749703636505</v>
      </c>
      <c r="AO5">
        <v>0.775725584066012</v>
      </c>
      <c r="AP5">
        <v>0.74814388647734698</v>
      </c>
      <c r="AQ5">
        <v>0.72440504092705404</v>
      </c>
      <c r="AR5">
        <v>0.71202455229284101</v>
      </c>
      <c r="AS5">
        <v>0.72971725971827694</v>
      </c>
      <c r="AT5">
        <v>0.77385528191999398</v>
      </c>
      <c r="AU5">
        <v>0.68382178584202902</v>
      </c>
      <c r="AV5">
        <v>0.77247864056518101</v>
      </c>
      <c r="AW5" t="s">
        <v>203</v>
      </c>
    </row>
    <row r="6" spans="1:49" ht="12.75">
      <c r="A6" t="s">
        <v>201</v>
      </c>
      <c r="B6" t="s">
        <v>28</v>
      </c>
      <c r="C6" t="s">
        <v>878</v>
      </c>
      <c r="D6" t="s">
        <v>468</v>
      </c>
      <c r="E6" t="s">
        <v>203</v>
      </c>
      <c r="F6" t="s">
        <v>203</v>
      </c>
      <c r="G6" t="s">
        <v>793</v>
      </c>
      <c r="H6" t="s">
        <v>892</v>
      </c>
      <c r="I6" t="s">
        <v>203</v>
      </c>
      <c r="J6" t="s">
        <v>203</v>
      </c>
      <c r="K6" t="s">
        <v>203</v>
      </c>
      <c r="L6">
        <v>0.72282882147300698</v>
      </c>
      <c r="M6">
        <v>0.81928900763721202</v>
      </c>
      <c r="N6">
        <v>0.71202455229284101</v>
      </c>
      <c r="O6">
        <v>0.79900299844352896</v>
      </c>
      <c r="P6">
        <v>0.73408809575764999</v>
      </c>
      <c r="Q6">
        <v>0.86347572459868804</v>
      </c>
      <c r="R6">
        <v>0.70618228689710805</v>
      </c>
      <c r="S6">
        <v>0.70582025115896196</v>
      </c>
      <c r="T6">
        <v>0.86347572459868804</v>
      </c>
      <c r="U6">
        <v>0.80018749703636505</v>
      </c>
      <c r="V6">
        <v>0.756985991711003</v>
      </c>
      <c r="W6">
        <v>0.72282882147300698</v>
      </c>
      <c r="X6">
        <v>0.71635950787853098</v>
      </c>
      <c r="Y6">
        <v>0.81733074000663297</v>
      </c>
      <c r="Z6">
        <v>0.81671823576041103</v>
      </c>
      <c r="AA6">
        <v>0.71202455229284101</v>
      </c>
      <c r="AB6">
        <v>0.72917682462626598</v>
      </c>
      <c r="AC6">
        <v>0.75951434494584302</v>
      </c>
      <c r="AD6">
        <v>0.80018749703636505</v>
      </c>
      <c r="AE6">
        <v>0.76164435507238604</v>
      </c>
      <c r="AF6">
        <v>0.71202455229284101</v>
      </c>
      <c r="AG6">
        <v>0.72542657031811597</v>
      </c>
      <c r="AH6">
        <v>0.78087502002196996</v>
      </c>
      <c r="AI6">
        <v>0.75951269724745896</v>
      </c>
      <c r="AJ6">
        <v>0.71202455229284101</v>
      </c>
      <c r="AK6">
        <v>0.72282882147300698</v>
      </c>
      <c r="AL6">
        <v>0.67551175099960703</v>
      </c>
      <c r="AM6">
        <v>0.82446857044229105</v>
      </c>
      <c r="AN6">
        <v>0.80018749703636505</v>
      </c>
      <c r="AO6">
        <v>0.775725584066012</v>
      </c>
      <c r="AP6">
        <v>0.74814388647734698</v>
      </c>
      <c r="AQ6">
        <v>0.72440504092705404</v>
      </c>
      <c r="AR6">
        <v>0.71202455229284101</v>
      </c>
      <c r="AS6">
        <v>0.72971725971827694</v>
      </c>
      <c r="AT6">
        <v>0.77385528191999398</v>
      </c>
      <c r="AU6">
        <v>0.68382178584202902</v>
      </c>
      <c r="AV6">
        <v>0.77247864056518101</v>
      </c>
      <c r="AW6" t="s">
        <v>203</v>
      </c>
    </row>
    <row r="7" spans="1:49" ht="12.75">
      <c r="A7" t="s">
        <v>201</v>
      </c>
      <c r="B7" t="s">
        <v>28</v>
      </c>
      <c r="C7" t="s">
        <v>795</v>
      </c>
      <c r="D7" t="s">
        <v>468</v>
      </c>
      <c r="E7" t="s">
        <v>203</v>
      </c>
      <c r="F7" t="s">
        <v>203</v>
      </c>
      <c r="G7" t="s">
        <v>793</v>
      </c>
      <c r="H7" t="s">
        <v>892</v>
      </c>
      <c r="I7" t="s">
        <v>203</v>
      </c>
      <c r="J7" t="s">
        <v>203</v>
      </c>
      <c r="K7" t="s">
        <v>203</v>
      </c>
      <c r="L7">
        <v>0.78014366093572796</v>
      </c>
      <c r="M7">
        <v>0.755928880562032</v>
      </c>
      <c r="N7">
        <v>0.74499429749397605</v>
      </c>
      <c r="O7">
        <v>0.74380140917100901</v>
      </c>
      <c r="P7">
        <v>0.74639155346086405</v>
      </c>
      <c r="Q7">
        <v>0.81017863000365997</v>
      </c>
      <c r="R7">
        <v>0.70</v>
      </c>
      <c r="S7">
        <v>0.73442600881407805</v>
      </c>
      <c r="T7">
        <v>0.81017863000365997</v>
      </c>
      <c r="U7">
        <v>0.78641563412407101</v>
      </c>
      <c r="V7">
        <v>0.78019664160087099</v>
      </c>
      <c r="W7">
        <v>0.78014366093572796</v>
      </c>
      <c r="X7">
        <v>0.715776833706255</v>
      </c>
      <c r="Y7">
        <v>0.77841877822391203</v>
      </c>
      <c r="Z7">
        <v>0.76097692301360798</v>
      </c>
      <c r="AA7">
        <v>0.74499429749397605</v>
      </c>
      <c r="AB7">
        <v>0.72153446694261403</v>
      </c>
      <c r="AC7">
        <v>0.75604427870592905</v>
      </c>
      <c r="AD7">
        <v>0.78641563412407101</v>
      </c>
      <c r="AE7">
        <v>0.72685829858050599</v>
      </c>
      <c r="AF7">
        <v>0.74499429749397605</v>
      </c>
      <c r="AG7">
        <v>0.74154132084235003</v>
      </c>
      <c r="AH7">
        <v>0.76486370993713404</v>
      </c>
      <c r="AI7">
        <v>0.78490216798672396</v>
      </c>
      <c r="AJ7">
        <v>0.74499429749397605</v>
      </c>
      <c r="AK7">
        <v>0.78014366093572796</v>
      </c>
      <c r="AL7">
        <v>0.70</v>
      </c>
      <c r="AM7">
        <v>0.77566284204844005</v>
      </c>
      <c r="AN7">
        <v>0.78641563412407101</v>
      </c>
      <c r="AO7">
        <v>0.77354429534024705</v>
      </c>
      <c r="AP7">
        <v>0.78557278476802395</v>
      </c>
      <c r="AQ7">
        <v>0.70221298243667196</v>
      </c>
      <c r="AR7">
        <v>0.74499429749397605</v>
      </c>
      <c r="AS7">
        <v>0.73166794796601398</v>
      </c>
      <c r="AT7">
        <v>0.78940789812191503</v>
      </c>
      <c r="AU7">
        <v>0.70945498712761901</v>
      </c>
      <c r="AV7">
        <v>0.75515261273787304</v>
      </c>
      <c r="AW7" t="s">
        <v>203</v>
      </c>
    </row>
    <row r="8" spans="1:49" ht="12.75">
      <c r="A8" t="s">
        <v>201</v>
      </c>
      <c r="B8" t="s">
        <v>28</v>
      </c>
      <c r="C8" t="s">
        <v>796</v>
      </c>
      <c r="D8" t="s">
        <v>468</v>
      </c>
      <c r="E8" t="s">
        <v>203</v>
      </c>
      <c r="F8" t="s">
        <v>203</v>
      </c>
      <c r="G8" t="s">
        <v>793</v>
      </c>
      <c r="H8" t="s">
        <v>892</v>
      </c>
      <c r="I8" t="s">
        <v>203</v>
      </c>
      <c r="J8" t="s">
        <v>203</v>
      </c>
      <c r="K8" t="s">
        <v>203</v>
      </c>
      <c r="L8">
        <v>0.85983635413125103</v>
      </c>
      <c r="M8">
        <v>0.88333199390813699</v>
      </c>
      <c r="N8">
        <v>0.86884495930981698</v>
      </c>
      <c r="O8">
        <v>0.83553618085187897</v>
      </c>
      <c r="P8">
        <v>0.81206531351727496</v>
      </c>
      <c r="Q8">
        <v>0.95587493363207399</v>
      </c>
      <c r="R8">
        <v>0.80</v>
      </c>
      <c r="S8">
        <v>0.85208330762622697</v>
      </c>
      <c r="T8">
        <v>0.95587493363207399</v>
      </c>
      <c r="U8">
        <v>0.91841114092424603</v>
      </c>
      <c r="V8">
        <v>0.89056811991588103</v>
      </c>
      <c r="W8">
        <v>0.76932726422269904</v>
      </c>
      <c r="X8">
        <v>0.80</v>
      </c>
      <c r="Y8">
        <v>0.91664482565774497</v>
      </c>
      <c r="Z8">
        <v>0.88619005258754402</v>
      </c>
      <c r="AA8">
        <v>0.82057579490371602</v>
      </c>
      <c r="AB8">
        <v>0.78352711381908702</v>
      </c>
      <c r="AC8">
        <v>0.80</v>
      </c>
      <c r="AD8">
        <v>0.91841114092424603</v>
      </c>
      <c r="AE8">
        <v>0.84751572846603096</v>
      </c>
      <c r="AF8">
        <v>0.86884495930981698</v>
      </c>
      <c r="AG8">
        <v>0.85076796364532503</v>
      </c>
      <c r="AH8">
        <v>0.80</v>
      </c>
      <c r="AI8">
        <v>0.898520312577472</v>
      </c>
      <c r="AJ8">
        <v>0.86884495930981698</v>
      </c>
      <c r="AK8">
        <v>0.85983635413125103</v>
      </c>
      <c r="AL8">
        <v>0.80</v>
      </c>
      <c r="AM8">
        <v>0.90645521755069003</v>
      </c>
      <c r="AN8">
        <v>0.91841114092424603</v>
      </c>
      <c r="AO8">
        <v>0.89540543411667195</v>
      </c>
      <c r="AP8">
        <v>0.89097570060848397</v>
      </c>
      <c r="AQ8">
        <v>0.81167632186112504</v>
      </c>
      <c r="AR8">
        <v>0.86884495930981698</v>
      </c>
      <c r="AS8">
        <v>0.80134176644048005</v>
      </c>
      <c r="AT8">
        <v>0.89751538374109996</v>
      </c>
      <c r="AU8">
        <v>0.82350393173757797</v>
      </c>
      <c r="AV8">
        <v>0.865596012526891</v>
      </c>
      <c r="AW8" t="s">
        <v>203</v>
      </c>
    </row>
    <row r="9" spans="1:49" ht="12.75">
      <c r="A9" t="s">
        <v>201</v>
      </c>
      <c r="B9" t="s">
        <v>28</v>
      </c>
      <c r="C9" t="s">
        <v>797</v>
      </c>
      <c r="D9" t="s">
        <v>468</v>
      </c>
      <c r="E9" t="s">
        <v>203</v>
      </c>
      <c r="F9" t="s">
        <v>203</v>
      </c>
      <c r="G9" t="s">
        <v>793</v>
      </c>
      <c r="H9" t="s">
        <v>892</v>
      </c>
      <c r="I9" t="s">
        <v>203</v>
      </c>
      <c r="J9" t="s">
        <v>203</v>
      </c>
      <c r="K9" t="s">
        <v>203</v>
      </c>
      <c r="L9">
        <v>0.85983635413125103</v>
      </c>
      <c r="M9">
        <v>0.88333199390813699</v>
      </c>
      <c r="N9">
        <v>0.86884495930981698</v>
      </c>
      <c r="O9">
        <v>0.83553618085187897</v>
      </c>
      <c r="P9">
        <v>0.81206531351727496</v>
      </c>
      <c r="Q9">
        <v>0.95587493363207399</v>
      </c>
      <c r="R9">
        <v>0.80</v>
      </c>
      <c r="S9">
        <v>0.85208330762622697</v>
      </c>
      <c r="T9">
        <v>0.95587493363207399</v>
      </c>
      <c r="U9">
        <v>0.91841114092424603</v>
      </c>
      <c r="V9">
        <v>0.89056811991588103</v>
      </c>
      <c r="W9">
        <v>0.76932726422269904</v>
      </c>
      <c r="X9">
        <v>0.80</v>
      </c>
      <c r="Y9">
        <v>0.91664482565774497</v>
      </c>
      <c r="Z9">
        <v>0.88619005258754402</v>
      </c>
      <c r="AA9">
        <v>0.82057579490371602</v>
      </c>
      <c r="AB9">
        <v>0.78352711381908702</v>
      </c>
      <c r="AC9">
        <v>0.80</v>
      </c>
      <c r="AD9">
        <v>0.91841114092424603</v>
      </c>
      <c r="AE9">
        <v>0.84751572846603096</v>
      </c>
      <c r="AF9">
        <v>0.86884495930981698</v>
      </c>
      <c r="AG9">
        <v>0.85076796364532503</v>
      </c>
      <c r="AH9">
        <v>0.80</v>
      </c>
      <c r="AI9">
        <v>0.898520312577472</v>
      </c>
      <c r="AJ9">
        <v>0.86884495930981698</v>
      </c>
      <c r="AK9">
        <v>0.85983635413125103</v>
      </c>
      <c r="AL9">
        <v>0.80</v>
      </c>
      <c r="AM9">
        <v>0.90645521755069003</v>
      </c>
      <c r="AN9">
        <v>0.91841114092424603</v>
      </c>
      <c r="AO9">
        <v>0.89540543411667195</v>
      </c>
      <c r="AP9">
        <v>0.89097570060848397</v>
      </c>
      <c r="AQ9">
        <v>0.81167632186112504</v>
      </c>
      <c r="AR9">
        <v>0.86884495930981698</v>
      </c>
      <c r="AS9">
        <v>0.80134176644048005</v>
      </c>
      <c r="AT9">
        <v>0.89751538374109996</v>
      </c>
      <c r="AU9">
        <v>0.82350393173757797</v>
      </c>
      <c r="AV9">
        <v>0.865596012526891</v>
      </c>
      <c r="AW9" t="s">
        <v>203</v>
      </c>
    </row>
    <row r="10" spans="1:49" ht="12.75">
      <c r="A10" t="s">
        <v>201</v>
      </c>
      <c r="B10" t="s">
        <v>28</v>
      </c>
      <c r="C10" t="s">
        <v>798</v>
      </c>
      <c r="D10" t="s">
        <v>468</v>
      </c>
      <c r="E10" t="s">
        <v>203</v>
      </c>
      <c r="F10" t="s">
        <v>203</v>
      </c>
      <c r="G10" t="s">
        <v>793</v>
      </c>
      <c r="H10" t="s">
        <v>892</v>
      </c>
      <c r="I10" t="s">
        <v>203</v>
      </c>
      <c r="J10" t="s">
        <v>203</v>
      </c>
      <c r="K10" t="s">
        <v>203</v>
      </c>
      <c r="L10">
        <v>0.77466708881464996</v>
      </c>
      <c r="M10">
        <v>0.80046714388348195</v>
      </c>
      <c r="N10">
        <v>0.78562798976348602</v>
      </c>
      <c r="O10">
        <v>0.788288730494487</v>
      </c>
      <c r="P10">
        <v>0.79832009350619604</v>
      </c>
      <c r="Q10">
        <v>0.85774115403962203</v>
      </c>
      <c r="R10">
        <v>0.58765688899384905</v>
      </c>
      <c r="S10">
        <v>0.70</v>
      </c>
      <c r="T10">
        <v>0.85774115403962203</v>
      </c>
      <c r="U10">
        <v>0.81901203516719601</v>
      </c>
      <c r="V10">
        <v>0.81235393287832702</v>
      </c>
      <c r="W10">
        <v>0.77466708881464996</v>
      </c>
      <c r="X10">
        <v>0.73343396452087695</v>
      </c>
      <c r="Y10">
        <v>0.80783474157188195</v>
      </c>
      <c r="Z10">
        <v>0.80927991684156098</v>
      </c>
      <c r="AA10">
        <v>0.73652624040326797</v>
      </c>
      <c r="AB10">
        <v>0.70</v>
      </c>
      <c r="AC10">
        <v>0.79660265777285899</v>
      </c>
      <c r="AD10">
        <v>0.81901203516719601</v>
      </c>
      <c r="AE10">
        <v>0.77871481287333899</v>
      </c>
      <c r="AF10">
        <v>0.78562798976348602</v>
      </c>
      <c r="AG10">
        <v>0.88346566731129295</v>
      </c>
      <c r="AH10">
        <v>0.81205753376304002</v>
      </c>
      <c r="AI10">
        <v>0.87388164139702096</v>
      </c>
      <c r="AJ10">
        <v>0.78562798976348602</v>
      </c>
      <c r="AK10">
        <v>0.77466708881464996</v>
      </c>
      <c r="AL10">
        <v>0.70</v>
      </c>
      <c r="AM10">
        <v>0.85466748946388804</v>
      </c>
      <c r="AN10">
        <v>0.81901203516719601</v>
      </c>
      <c r="AO10">
        <v>0.85913533715116297</v>
      </c>
      <c r="AP10">
        <v>0.87110462678715295</v>
      </c>
      <c r="AQ10">
        <v>0.78550868524009199</v>
      </c>
      <c r="AR10">
        <v>0.78562798976348602</v>
      </c>
      <c r="AS10">
        <v>0.80143670930650202</v>
      </c>
      <c r="AT10">
        <v>0.79235399963550701</v>
      </c>
      <c r="AU10">
        <v>0.70</v>
      </c>
      <c r="AV10">
        <v>0.815558761522582</v>
      </c>
      <c r="AW10" t="s">
        <v>203</v>
      </c>
    </row>
    <row r="11" spans="1:49" ht="12.75">
      <c r="A11" t="s">
        <v>201</v>
      </c>
      <c r="B11" t="s">
        <v>28</v>
      </c>
      <c r="C11" t="s">
        <v>799</v>
      </c>
      <c r="D11" t="s">
        <v>468</v>
      </c>
      <c r="E11" t="s">
        <v>203</v>
      </c>
      <c r="F11" t="s">
        <v>203</v>
      </c>
      <c r="G11" t="s">
        <v>793</v>
      </c>
      <c r="H11" t="s">
        <v>892</v>
      </c>
      <c r="I11" t="s">
        <v>203</v>
      </c>
      <c r="J11" t="s">
        <v>203</v>
      </c>
      <c r="K11" t="s">
        <v>203</v>
      </c>
      <c r="L11">
        <v>0.77466708881464996</v>
      </c>
      <c r="M11">
        <v>0.80046714388348195</v>
      </c>
      <c r="N11">
        <v>0.78562798976348602</v>
      </c>
      <c r="O11">
        <v>0.788288730494487</v>
      </c>
      <c r="P11">
        <v>0.79832009350619604</v>
      </c>
      <c r="Q11">
        <v>0.85774115403962203</v>
      </c>
      <c r="R11">
        <v>0.58765688899384905</v>
      </c>
      <c r="S11">
        <v>0.70</v>
      </c>
      <c r="T11">
        <v>0.85774115403962203</v>
      </c>
      <c r="U11">
        <v>0.81901203516719601</v>
      </c>
      <c r="V11">
        <v>0.81235393287832702</v>
      </c>
      <c r="W11">
        <v>0.77466708881464996</v>
      </c>
      <c r="X11">
        <v>0.73343396452087695</v>
      </c>
      <c r="Y11">
        <v>0.80783474157188195</v>
      </c>
      <c r="Z11">
        <v>0.80927991684156098</v>
      </c>
      <c r="AA11">
        <v>0.73652624040326797</v>
      </c>
      <c r="AB11">
        <v>0.70</v>
      </c>
      <c r="AC11">
        <v>0.79660265777285899</v>
      </c>
      <c r="AD11">
        <v>0.81901203516719601</v>
      </c>
      <c r="AE11">
        <v>0.77871481287333899</v>
      </c>
      <c r="AF11">
        <v>0.78562798976348602</v>
      </c>
      <c r="AG11">
        <v>0.88346566731129295</v>
      </c>
      <c r="AH11">
        <v>0.81205753376304002</v>
      </c>
      <c r="AI11">
        <v>0.87388164139702096</v>
      </c>
      <c r="AJ11">
        <v>0.78562798976348602</v>
      </c>
      <c r="AK11">
        <v>0.77466708881464996</v>
      </c>
      <c r="AL11">
        <v>0.70</v>
      </c>
      <c r="AM11">
        <v>0.85466748946388804</v>
      </c>
      <c r="AN11">
        <v>0.81901203516719601</v>
      </c>
      <c r="AO11">
        <v>0.85913533715116297</v>
      </c>
      <c r="AP11">
        <v>0.87110462678715295</v>
      </c>
      <c r="AQ11">
        <v>0.78550868524009199</v>
      </c>
      <c r="AR11">
        <v>0.78562798976348602</v>
      </c>
      <c r="AS11">
        <v>0.80143670930650202</v>
      </c>
      <c r="AT11">
        <v>0.79235399963550701</v>
      </c>
      <c r="AU11">
        <v>0.70</v>
      </c>
      <c r="AV11">
        <v>0.815558761522582</v>
      </c>
      <c r="AW11" t="s">
        <v>203</v>
      </c>
    </row>
    <row r="12" spans="1:49" ht="12.75">
      <c r="A12" t="s">
        <v>201</v>
      </c>
      <c r="B12" t="s">
        <v>28</v>
      </c>
      <c r="C12" t="s">
        <v>202</v>
      </c>
      <c r="D12" t="s">
        <v>58</v>
      </c>
      <c r="E12" t="s">
        <v>203</v>
      </c>
      <c r="F12" t="s">
        <v>203</v>
      </c>
      <c r="G12" t="s">
        <v>793</v>
      </c>
      <c r="H12" t="s">
        <v>892</v>
      </c>
      <c r="I12" t="s">
        <v>203</v>
      </c>
      <c r="J12" t="s">
        <v>203</v>
      </c>
      <c r="K12" t="s">
        <v>203</v>
      </c>
      <c r="L12">
        <v>0.74633078600882297</v>
      </c>
      <c r="M12">
        <v>0.79425198795713603</v>
      </c>
      <c r="N12">
        <v>0.76016377175338101</v>
      </c>
      <c r="O12">
        <v>0.789975026193378</v>
      </c>
      <c r="P12">
        <v>0.72609117616589602</v>
      </c>
      <c r="Q12">
        <v>0.88939691312296798</v>
      </c>
      <c r="R12">
        <v>0.56988642829255598</v>
      </c>
      <c r="S12">
        <v>0.75698356672417999</v>
      </c>
      <c r="T12">
        <v>0.88939691312296798</v>
      </c>
      <c r="U12">
        <v>0.84781454393670297</v>
      </c>
      <c r="V12">
        <v>0.73363853980806804</v>
      </c>
      <c r="W12">
        <v>0.74633078600882297</v>
      </c>
      <c r="X12">
        <v>0.70928681335727795</v>
      </c>
      <c r="Y12">
        <v>0.83322321495026497</v>
      </c>
      <c r="Z12">
        <v>0.79998615803272</v>
      </c>
      <c r="AA12">
        <v>0.70586635948528198</v>
      </c>
      <c r="AB12">
        <v>0.76441135034493002</v>
      </c>
      <c r="AC12">
        <v>0.763514220463966</v>
      </c>
      <c r="AD12">
        <v>0.84781454393670297</v>
      </c>
      <c r="AE12">
        <v>0.76866988318465401</v>
      </c>
      <c r="AF12">
        <v>0.76016377175338101</v>
      </c>
      <c r="AG12">
        <v>0.741463840222777</v>
      </c>
      <c r="AH12">
        <v>0.79040869411771797</v>
      </c>
      <c r="AI12">
        <v>0.79542895694786897</v>
      </c>
      <c r="AJ12">
        <v>0.76016377175338101</v>
      </c>
      <c r="AK12">
        <v>0.74633078600882297</v>
      </c>
      <c r="AL12">
        <v>1.04341289571332</v>
      </c>
      <c r="AM12">
        <v>0.82267627558681999</v>
      </c>
      <c r="AN12">
        <v>0.84781454393670297</v>
      </c>
      <c r="AO12">
        <v>0.78322749907057299</v>
      </c>
      <c r="AP12">
        <v>0.79601790830593699</v>
      </c>
      <c r="AQ12">
        <v>0.73191704738132002</v>
      </c>
      <c r="AR12">
        <v>0.76016377175338101</v>
      </c>
      <c r="AS12">
        <v>0.70</v>
      </c>
      <c r="AT12">
        <v>0.78984392531295</v>
      </c>
      <c r="AU12">
        <v>0.73957260118169399</v>
      </c>
      <c r="AV12">
        <v>0.81749291886381303</v>
      </c>
      <c r="AW12" t="s">
        <v>203</v>
      </c>
    </row>
    <row r="13" spans="1:49" ht="12.75">
      <c r="A13" t="s">
        <v>201</v>
      </c>
      <c r="B13" t="s">
        <v>28</v>
      </c>
      <c r="C13" t="s">
        <v>204</v>
      </c>
      <c r="D13" t="s">
        <v>58</v>
      </c>
      <c r="E13" t="s">
        <v>203</v>
      </c>
      <c r="F13" t="s">
        <v>203</v>
      </c>
      <c r="G13" t="s">
        <v>793</v>
      </c>
      <c r="H13" t="s">
        <v>892</v>
      </c>
      <c r="I13" t="s">
        <v>203</v>
      </c>
      <c r="J13" t="s">
        <v>203</v>
      </c>
      <c r="K13" t="s">
        <v>203</v>
      </c>
      <c r="L13">
        <v>0.70</v>
      </c>
      <c r="M13">
        <v>0.84000944301201497</v>
      </c>
      <c r="N13">
        <v>0.81118081169380396</v>
      </c>
      <c r="O13">
        <v>0.81351118392087296</v>
      </c>
      <c r="P13">
        <v>0.76823818993776904</v>
      </c>
      <c r="Q13">
        <v>0.92459294417607696</v>
      </c>
      <c r="R13">
        <v>0.70</v>
      </c>
      <c r="S13">
        <v>0.80041513182527801</v>
      </c>
      <c r="T13">
        <v>0.92459294417607696</v>
      </c>
      <c r="U13">
        <v>0.70</v>
      </c>
      <c r="V13">
        <v>0.77552864007769895</v>
      </c>
      <c r="W13">
        <v>0.70</v>
      </c>
      <c r="X13">
        <v>0.75325271367398605</v>
      </c>
      <c r="Y13">
        <v>0.87390787050256302</v>
      </c>
      <c r="Z13">
        <v>0.85293753664915395</v>
      </c>
      <c r="AA13">
        <v>0.748782287717358</v>
      </c>
      <c r="AB13">
        <v>0.78766540235995297</v>
      </c>
      <c r="AC13">
        <v>0.80013744981905999</v>
      </c>
      <c r="AD13">
        <v>0.70</v>
      </c>
      <c r="AE13">
        <v>0.79418327891432206</v>
      </c>
      <c r="AF13">
        <v>0.81118081169380396</v>
      </c>
      <c r="AG13">
        <v>0.80856567448048</v>
      </c>
      <c r="AH13">
        <v>0.84657514339166795</v>
      </c>
      <c r="AI13">
        <v>0.82834230248009699</v>
      </c>
      <c r="AJ13">
        <v>0.81118081169380396</v>
      </c>
      <c r="AK13">
        <v>0.70</v>
      </c>
      <c r="AL13">
        <v>0.70</v>
      </c>
      <c r="AM13">
        <v>0.87282859281482095</v>
      </c>
      <c r="AN13">
        <v>0.70</v>
      </c>
      <c r="AO13">
        <v>0.83735336622912804</v>
      </c>
      <c r="AP13">
        <v>0.70</v>
      </c>
      <c r="AQ13">
        <v>0.789865811062193</v>
      </c>
      <c r="AR13">
        <v>0.81118081169380396</v>
      </c>
      <c r="AS13">
        <v>0.70</v>
      </c>
      <c r="AT13">
        <v>0.82758004338518998</v>
      </c>
      <c r="AU13">
        <v>0.80138951314803397</v>
      </c>
      <c r="AV13">
        <v>0.82867758316744899</v>
      </c>
      <c r="AW13" t="s">
        <v>203</v>
      </c>
    </row>
    <row r="14" spans="1:49" ht="12.75">
      <c r="A14" t="s">
        <v>201</v>
      </c>
      <c r="B14" t="s">
        <v>28</v>
      </c>
      <c r="C14" t="s">
        <v>873</v>
      </c>
      <c r="D14" t="s">
        <v>58</v>
      </c>
      <c r="E14" t="s">
        <v>203</v>
      </c>
      <c r="F14" t="s">
        <v>203</v>
      </c>
      <c r="G14" t="s">
        <v>793</v>
      </c>
      <c r="H14" t="s">
        <v>892</v>
      </c>
      <c r="I14" t="s">
        <v>203</v>
      </c>
      <c r="J14" t="s">
        <v>203</v>
      </c>
      <c r="K14" t="s">
        <v>203</v>
      </c>
      <c r="L14">
        <v>0.72282882147300698</v>
      </c>
      <c r="M14">
        <v>0.81928900763721202</v>
      </c>
      <c r="N14">
        <v>0.71202455229284101</v>
      </c>
      <c r="O14">
        <v>0.79900299844352896</v>
      </c>
      <c r="P14">
        <v>0.73408809575764999</v>
      </c>
      <c r="Q14">
        <v>0.86347572459868804</v>
      </c>
      <c r="R14">
        <v>0.70618228689710805</v>
      </c>
      <c r="S14">
        <v>0.70582025115896196</v>
      </c>
      <c r="T14">
        <v>0.86347572459868804</v>
      </c>
      <c r="U14">
        <v>0.80018749703636505</v>
      </c>
      <c r="V14">
        <v>0.756985991711003</v>
      </c>
      <c r="W14">
        <v>0.72282882147300698</v>
      </c>
      <c r="X14">
        <v>0.71635950787853098</v>
      </c>
      <c r="Y14">
        <v>0.81733074000663297</v>
      </c>
      <c r="Z14">
        <v>0.81671823576041103</v>
      </c>
      <c r="AA14">
        <v>0.71202455229284101</v>
      </c>
      <c r="AB14">
        <v>0.72917682462626598</v>
      </c>
      <c r="AC14">
        <v>0.75951434494584302</v>
      </c>
      <c r="AD14">
        <v>0.80018749703636505</v>
      </c>
      <c r="AE14">
        <v>0.76164435507238604</v>
      </c>
      <c r="AF14">
        <v>0.71202455229284101</v>
      </c>
      <c r="AG14">
        <v>0.72542657031811597</v>
      </c>
      <c r="AH14">
        <v>0.78087502002196996</v>
      </c>
      <c r="AI14">
        <v>0.75951269724745896</v>
      </c>
      <c r="AJ14">
        <v>0.71202455229284101</v>
      </c>
      <c r="AK14">
        <v>0.72282882147300698</v>
      </c>
      <c r="AL14">
        <v>0.67551175099960703</v>
      </c>
      <c r="AM14">
        <v>0.82446857044229105</v>
      </c>
      <c r="AN14">
        <v>0.80018749703636505</v>
      </c>
      <c r="AO14">
        <v>0.775725584066012</v>
      </c>
      <c r="AP14">
        <v>0.74814388647734698</v>
      </c>
      <c r="AQ14">
        <v>0.72440504092705404</v>
      </c>
      <c r="AR14">
        <v>0.71202455229284101</v>
      </c>
      <c r="AS14">
        <v>0.72971725971827694</v>
      </c>
      <c r="AT14">
        <v>0.77385528191999398</v>
      </c>
      <c r="AU14">
        <v>0.68382178584202902</v>
      </c>
      <c r="AV14">
        <v>0.77247864056518101</v>
      </c>
      <c r="AW14" t="s">
        <v>203</v>
      </c>
    </row>
    <row r="15" spans="1:49" ht="12.75">
      <c r="A15" t="s">
        <v>201</v>
      </c>
      <c r="B15" t="s">
        <v>28</v>
      </c>
      <c r="C15" t="s">
        <v>874</v>
      </c>
      <c r="D15" t="s">
        <v>58</v>
      </c>
      <c r="E15" t="s">
        <v>203</v>
      </c>
      <c r="F15" t="s">
        <v>203</v>
      </c>
      <c r="G15" t="s">
        <v>793</v>
      </c>
      <c r="H15" t="s">
        <v>892</v>
      </c>
      <c r="I15" t="s">
        <v>203</v>
      </c>
      <c r="J15" t="s">
        <v>203</v>
      </c>
      <c r="K15" t="s">
        <v>203</v>
      </c>
      <c r="L15">
        <v>0.72282882147300698</v>
      </c>
      <c r="M15">
        <v>0.81928900763721202</v>
      </c>
      <c r="N15">
        <v>0.71202455229284101</v>
      </c>
      <c r="O15">
        <v>0.79900299844352896</v>
      </c>
      <c r="P15">
        <v>0.73408809575764999</v>
      </c>
      <c r="Q15">
        <v>0.86347572459868804</v>
      </c>
      <c r="R15">
        <v>0.70618228689710805</v>
      </c>
      <c r="S15">
        <v>0.70582025115896196</v>
      </c>
      <c r="T15">
        <v>0.86347572459868804</v>
      </c>
      <c r="U15">
        <v>0.80018749703636505</v>
      </c>
      <c r="V15">
        <v>0.756985991711003</v>
      </c>
      <c r="W15">
        <v>0.72282882147300698</v>
      </c>
      <c r="X15">
        <v>0.71635950787853098</v>
      </c>
      <c r="Y15">
        <v>0.81733074000663297</v>
      </c>
      <c r="Z15">
        <v>0.81671823576041103</v>
      </c>
      <c r="AA15">
        <v>0.71202455229284101</v>
      </c>
      <c r="AB15">
        <v>0.72917682462626598</v>
      </c>
      <c r="AC15">
        <v>0.75951434494584302</v>
      </c>
      <c r="AD15">
        <v>0.80018749703636505</v>
      </c>
      <c r="AE15">
        <v>0.76164435507238604</v>
      </c>
      <c r="AF15">
        <v>0.71202455229284101</v>
      </c>
      <c r="AG15">
        <v>0.72542657031811597</v>
      </c>
      <c r="AH15">
        <v>0.78087502002196996</v>
      </c>
      <c r="AI15">
        <v>0.75951269724745896</v>
      </c>
      <c r="AJ15">
        <v>0.71202455229284101</v>
      </c>
      <c r="AK15">
        <v>0.72282882147300698</v>
      </c>
      <c r="AL15">
        <v>0.67551175099960703</v>
      </c>
      <c r="AM15">
        <v>0.82446857044229105</v>
      </c>
      <c r="AN15">
        <v>0.80018749703636505</v>
      </c>
      <c r="AO15">
        <v>0.775725584066012</v>
      </c>
      <c r="AP15">
        <v>0.74814388647734698</v>
      </c>
      <c r="AQ15">
        <v>0.72440504092705404</v>
      </c>
      <c r="AR15">
        <v>0.71202455229284101</v>
      </c>
      <c r="AS15">
        <v>0.72971725971827694</v>
      </c>
      <c r="AT15">
        <v>0.77385528191999398</v>
      </c>
      <c r="AU15">
        <v>0.68382178584202902</v>
      </c>
      <c r="AV15">
        <v>0.77247864056518101</v>
      </c>
      <c r="AW15" t="s">
        <v>203</v>
      </c>
    </row>
    <row r="16" spans="1:49" ht="12.75">
      <c r="A16" t="s">
        <v>201</v>
      </c>
      <c r="B16" t="s">
        <v>28</v>
      </c>
      <c r="C16" t="s">
        <v>875</v>
      </c>
      <c r="D16" t="s">
        <v>58</v>
      </c>
      <c r="E16" t="s">
        <v>203</v>
      </c>
      <c r="F16" t="s">
        <v>203</v>
      </c>
      <c r="G16" t="s">
        <v>793</v>
      </c>
      <c r="H16" t="s">
        <v>892</v>
      </c>
      <c r="I16" t="s">
        <v>203</v>
      </c>
      <c r="J16" t="s">
        <v>203</v>
      </c>
      <c r="K16" t="s">
        <v>203</v>
      </c>
      <c r="L16">
        <v>0.72282882147300698</v>
      </c>
      <c r="M16">
        <v>0.81928900763721202</v>
      </c>
      <c r="N16">
        <v>0.71202455229284101</v>
      </c>
      <c r="O16">
        <v>0.79900299844352896</v>
      </c>
      <c r="P16">
        <v>0.73408809575764999</v>
      </c>
      <c r="Q16">
        <v>0.86347572459868804</v>
      </c>
      <c r="R16">
        <v>0.70618228689710805</v>
      </c>
      <c r="S16">
        <v>0.70582025115896196</v>
      </c>
      <c r="T16">
        <v>0.86347572459868804</v>
      </c>
      <c r="U16">
        <v>0.80018749703636505</v>
      </c>
      <c r="V16">
        <v>0.756985991711003</v>
      </c>
      <c r="W16">
        <v>0.72282882147300698</v>
      </c>
      <c r="X16">
        <v>0.71635950787853098</v>
      </c>
      <c r="Y16">
        <v>0.81733074000663297</v>
      </c>
      <c r="Z16">
        <v>0.81671823576041103</v>
      </c>
      <c r="AA16">
        <v>0.71202455229284101</v>
      </c>
      <c r="AB16">
        <v>0.72917682462626598</v>
      </c>
      <c r="AC16">
        <v>0.75951434494584302</v>
      </c>
      <c r="AD16">
        <v>0.80018749703636505</v>
      </c>
      <c r="AE16">
        <v>0.76164435507238604</v>
      </c>
      <c r="AF16">
        <v>0.71202455229284101</v>
      </c>
      <c r="AG16">
        <v>0.72542657031811597</v>
      </c>
      <c r="AH16">
        <v>0.78087502002196996</v>
      </c>
      <c r="AI16">
        <v>0.75951269724745896</v>
      </c>
      <c r="AJ16">
        <v>0.71202455229284101</v>
      </c>
      <c r="AK16">
        <v>0.72282882147300698</v>
      </c>
      <c r="AL16">
        <v>0.67551175099960703</v>
      </c>
      <c r="AM16">
        <v>0.82446857044229105</v>
      </c>
      <c r="AN16">
        <v>0.80018749703636505</v>
      </c>
      <c r="AO16">
        <v>0.775725584066012</v>
      </c>
      <c r="AP16">
        <v>0.74814388647734698</v>
      </c>
      <c r="AQ16">
        <v>0.72440504092705404</v>
      </c>
      <c r="AR16">
        <v>0.71202455229284101</v>
      </c>
      <c r="AS16">
        <v>0.72971725971827694</v>
      </c>
      <c r="AT16">
        <v>0.77385528191999398</v>
      </c>
      <c r="AU16">
        <v>0.68382178584202902</v>
      </c>
      <c r="AV16">
        <v>0.77247864056518101</v>
      </c>
      <c r="AW16" t="s">
        <v>203</v>
      </c>
    </row>
    <row r="17" spans="1:49" ht="12.75">
      <c r="A17" t="s">
        <v>201</v>
      </c>
      <c r="B17" t="s">
        <v>28</v>
      </c>
      <c r="C17" t="s">
        <v>205</v>
      </c>
      <c r="D17" t="s">
        <v>58</v>
      </c>
      <c r="E17" t="s">
        <v>203</v>
      </c>
      <c r="F17" t="s">
        <v>203</v>
      </c>
      <c r="G17" t="s">
        <v>793</v>
      </c>
      <c r="H17" t="s">
        <v>892</v>
      </c>
      <c r="I17" t="s">
        <v>203</v>
      </c>
      <c r="J17" t="s">
        <v>203</v>
      </c>
      <c r="K17" t="s">
        <v>203</v>
      </c>
      <c r="L17">
        <v>0.78014366093572796</v>
      </c>
      <c r="M17">
        <v>0.755928880562032</v>
      </c>
      <c r="N17">
        <v>0.74499429749397605</v>
      </c>
      <c r="O17">
        <v>0.74380140917100901</v>
      </c>
      <c r="P17">
        <v>0.74639155346086405</v>
      </c>
      <c r="Q17">
        <v>0.81017863000365997</v>
      </c>
      <c r="R17">
        <v>0.70</v>
      </c>
      <c r="S17">
        <v>0.73442600881407805</v>
      </c>
      <c r="T17">
        <v>0.81017863000365997</v>
      </c>
      <c r="U17">
        <v>0.78641563412407101</v>
      </c>
      <c r="V17">
        <v>0.78019664160087099</v>
      </c>
      <c r="W17">
        <v>0.78014366093572796</v>
      </c>
      <c r="X17">
        <v>0.715776833706255</v>
      </c>
      <c r="Y17">
        <v>0.77841877822391203</v>
      </c>
      <c r="Z17">
        <v>0.76097692301360798</v>
      </c>
      <c r="AA17">
        <v>0.74499429749397605</v>
      </c>
      <c r="AB17">
        <v>0.72153446694261403</v>
      </c>
      <c r="AC17">
        <v>0.75604427870592905</v>
      </c>
      <c r="AD17">
        <v>0.78641563412407101</v>
      </c>
      <c r="AE17">
        <v>0.72685829858050599</v>
      </c>
      <c r="AF17">
        <v>0.74499429749397605</v>
      </c>
      <c r="AG17">
        <v>0.74154132084235003</v>
      </c>
      <c r="AH17">
        <v>0.76486370993713404</v>
      </c>
      <c r="AI17">
        <v>0.78490216798672396</v>
      </c>
      <c r="AJ17">
        <v>0.74499429749397605</v>
      </c>
      <c r="AK17">
        <v>0.78014366093572796</v>
      </c>
      <c r="AL17">
        <v>0.70</v>
      </c>
      <c r="AM17">
        <v>0.77566284204844005</v>
      </c>
      <c r="AN17">
        <v>0.78641563412407101</v>
      </c>
      <c r="AO17">
        <v>0.77354429534024705</v>
      </c>
      <c r="AP17">
        <v>0.78557278476802395</v>
      </c>
      <c r="AQ17">
        <v>0.70221298243667196</v>
      </c>
      <c r="AR17">
        <v>0.74499429749397605</v>
      </c>
      <c r="AS17">
        <v>0.73166794796601398</v>
      </c>
      <c r="AT17">
        <v>0.78940789812191503</v>
      </c>
      <c r="AU17">
        <v>0.70945498712761901</v>
      </c>
      <c r="AV17">
        <v>0.75515261273787304</v>
      </c>
      <c r="AW17" t="s">
        <v>203</v>
      </c>
    </row>
    <row r="18" spans="1:49" ht="12.75">
      <c r="A18" t="s">
        <v>201</v>
      </c>
      <c r="B18" t="s">
        <v>28</v>
      </c>
      <c r="C18" t="s">
        <v>206</v>
      </c>
      <c r="D18" t="s">
        <v>58</v>
      </c>
      <c r="E18" t="s">
        <v>203</v>
      </c>
      <c r="F18" t="s">
        <v>203</v>
      </c>
      <c r="G18" t="s">
        <v>793</v>
      </c>
      <c r="H18" t="s">
        <v>892</v>
      </c>
      <c r="I18" t="s">
        <v>203</v>
      </c>
      <c r="J18" t="s">
        <v>203</v>
      </c>
      <c r="K18" t="s">
        <v>203</v>
      </c>
      <c r="L18">
        <v>0.85983635413125103</v>
      </c>
      <c r="M18">
        <v>0.88333199390813699</v>
      </c>
      <c r="N18">
        <v>0.86884495930981698</v>
      </c>
      <c r="O18">
        <v>0.83553618085187897</v>
      </c>
      <c r="P18">
        <v>0.81206531351727496</v>
      </c>
      <c r="Q18">
        <v>0.95587493363207399</v>
      </c>
      <c r="R18">
        <v>0.80</v>
      </c>
      <c r="S18">
        <v>0.85208330762622697</v>
      </c>
      <c r="T18">
        <v>0.95587493363207399</v>
      </c>
      <c r="U18">
        <v>0.91841114092424603</v>
      </c>
      <c r="V18">
        <v>0.89056811991588103</v>
      </c>
      <c r="W18">
        <v>0.76932726422269904</v>
      </c>
      <c r="X18">
        <v>0.80</v>
      </c>
      <c r="Y18">
        <v>0.91664482565774497</v>
      </c>
      <c r="Z18">
        <v>0.88619005258754402</v>
      </c>
      <c r="AA18">
        <v>0.82057579490371602</v>
      </c>
      <c r="AB18">
        <v>0.78352711381908702</v>
      </c>
      <c r="AC18">
        <v>0.80</v>
      </c>
      <c r="AD18">
        <v>0.91841114092424603</v>
      </c>
      <c r="AE18">
        <v>0.84751572846603096</v>
      </c>
      <c r="AF18">
        <v>0.86884495930981698</v>
      </c>
      <c r="AG18">
        <v>0.85076796364532503</v>
      </c>
      <c r="AH18">
        <v>0.80</v>
      </c>
      <c r="AI18">
        <v>0.898520312577472</v>
      </c>
      <c r="AJ18">
        <v>0.86884495930981698</v>
      </c>
      <c r="AK18">
        <v>0.85983635413125103</v>
      </c>
      <c r="AL18">
        <v>0.80</v>
      </c>
      <c r="AM18">
        <v>0.90645521755069003</v>
      </c>
      <c r="AN18">
        <v>0.91841114092424603</v>
      </c>
      <c r="AO18">
        <v>0.89540543411667195</v>
      </c>
      <c r="AP18">
        <v>0.89097570060848397</v>
      </c>
      <c r="AQ18">
        <v>0.81167632186112504</v>
      </c>
      <c r="AR18">
        <v>0.86884495930981698</v>
      </c>
      <c r="AS18">
        <v>0.80134176644048005</v>
      </c>
      <c r="AT18">
        <v>0.89751538374109996</v>
      </c>
      <c r="AU18">
        <v>0.82350393173757797</v>
      </c>
      <c r="AV18">
        <v>0.865596012526891</v>
      </c>
      <c r="AW18" t="s">
        <v>203</v>
      </c>
    </row>
    <row r="19" spans="1:49" ht="12.75">
      <c r="A19" t="s">
        <v>201</v>
      </c>
      <c r="B19" t="s">
        <v>28</v>
      </c>
      <c r="C19" t="s">
        <v>207</v>
      </c>
      <c r="D19" t="s">
        <v>58</v>
      </c>
      <c r="E19" t="s">
        <v>203</v>
      </c>
      <c r="F19" t="s">
        <v>203</v>
      </c>
      <c r="G19" t="s">
        <v>793</v>
      </c>
      <c r="H19" t="s">
        <v>892</v>
      </c>
      <c r="I19" t="s">
        <v>203</v>
      </c>
      <c r="J19" t="s">
        <v>203</v>
      </c>
      <c r="K19" t="s">
        <v>203</v>
      </c>
      <c r="L19">
        <v>0.85983635413125103</v>
      </c>
      <c r="M19">
        <v>0.88333199390813699</v>
      </c>
      <c r="N19">
        <v>0.86884495930981698</v>
      </c>
      <c r="O19">
        <v>0.83553618085187897</v>
      </c>
      <c r="P19">
        <v>0.81206531351727496</v>
      </c>
      <c r="Q19">
        <v>0.95587493363207399</v>
      </c>
      <c r="R19">
        <v>0.80</v>
      </c>
      <c r="S19">
        <v>0.85208330762622697</v>
      </c>
      <c r="T19">
        <v>0.95587493363207399</v>
      </c>
      <c r="U19">
        <v>0.91841114092424603</v>
      </c>
      <c r="V19">
        <v>0.89056811991588103</v>
      </c>
      <c r="W19">
        <v>0.76932726422269904</v>
      </c>
      <c r="X19">
        <v>0.80</v>
      </c>
      <c r="Y19">
        <v>0.91664482565774497</v>
      </c>
      <c r="Z19">
        <v>0.88619005258754402</v>
      </c>
      <c r="AA19">
        <v>0.82057579490371602</v>
      </c>
      <c r="AB19">
        <v>0.78352711381908702</v>
      </c>
      <c r="AC19">
        <v>0.80</v>
      </c>
      <c r="AD19">
        <v>0.91841114092424603</v>
      </c>
      <c r="AE19">
        <v>0.84751572846603096</v>
      </c>
      <c r="AF19">
        <v>0.86884495930981698</v>
      </c>
      <c r="AG19">
        <v>0.85076796364532503</v>
      </c>
      <c r="AH19">
        <v>0.80</v>
      </c>
      <c r="AI19">
        <v>0.898520312577472</v>
      </c>
      <c r="AJ19">
        <v>0.86884495930981698</v>
      </c>
      <c r="AK19">
        <v>0.85983635413125103</v>
      </c>
      <c r="AL19">
        <v>0.80</v>
      </c>
      <c r="AM19">
        <v>0.90645521755069003</v>
      </c>
      <c r="AN19">
        <v>0.91841114092424603</v>
      </c>
      <c r="AO19">
        <v>0.89540543411667195</v>
      </c>
      <c r="AP19">
        <v>0.89097570060848397</v>
      </c>
      <c r="AQ19">
        <v>0.81167632186112504</v>
      </c>
      <c r="AR19">
        <v>0.86884495930981698</v>
      </c>
      <c r="AS19">
        <v>0.80134176644048005</v>
      </c>
      <c r="AT19">
        <v>0.89751538374109996</v>
      </c>
      <c r="AU19">
        <v>0.82350393173757797</v>
      </c>
      <c r="AV19">
        <v>0.865596012526891</v>
      </c>
      <c r="AW19" t="s">
        <v>203</v>
      </c>
    </row>
    <row r="20" spans="1:49" ht="12.75">
      <c r="A20" t="s">
        <v>201</v>
      </c>
      <c r="B20" t="s">
        <v>28</v>
      </c>
      <c r="C20" t="s">
        <v>208</v>
      </c>
      <c r="D20" t="s">
        <v>58</v>
      </c>
      <c r="E20" t="s">
        <v>203</v>
      </c>
      <c r="F20" t="s">
        <v>203</v>
      </c>
      <c r="G20" t="s">
        <v>793</v>
      </c>
      <c r="H20" t="s">
        <v>892</v>
      </c>
      <c r="I20" t="s">
        <v>203</v>
      </c>
      <c r="J20" t="s">
        <v>203</v>
      </c>
      <c r="K20" t="s">
        <v>203</v>
      </c>
      <c r="L20">
        <v>0.77466708881464996</v>
      </c>
      <c r="M20">
        <v>0.80046714388348195</v>
      </c>
      <c r="N20">
        <v>0.78562798976348602</v>
      </c>
      <c r="O20">
        <v>0.788288730494487</v>
      </c>
      <c r="P20">
        <v>0.79832009350619604</v>
      </c>
      <c r="Q20">
        <v>0.85774115403962203</v>
      </c>
      <c r="R20">
        <v>0.58765688899384905</v>
      </c>
      <c r="S20">
        <v>0.70</v>
      </c>
      <c r="T20">
        <v>0.85774115403962203</v>
      </c>
      <c r="U20">
        <v>0.81901203516719601</v>
      </c>
      <c r="V20">
        <v>0.81235393287832702</v>
      </c>
      <c r="W20">
        <v>0.77466708881464996</v>
      </c>
      <c r="X20">
        <v>0.73343396452087695</v>
      </c>
      <c r="Y20">
        <v>0.80783474157188195</v>
      </c>
      <c r="Z20">
        <v>0.80927991684156098</v>
      </c>
      <c r="AA20">
        <v>0.73652624040326797</v>
      </c>
      <c r="AB20">
        <v>0.70</v>
      </c>
      <c r="AC20">
        <v>0.79660265777285899</v>
      </c>
      <c r="AD20">
        <v>0.81901203516719601</v>
      </c>
      <c r="AE20">
        <v>0.77871481287333899</v>
      </c>
      <c r="AF20">
        <v>0.78562798976348602</v>
      </c>
      <c r="AG20">
        <v>0.88346566731129295</v>
      </c>
      <c r="AH20">
        <v>0.81205753376304002</v>
      </c>
      <c r="AI20">
        <v>0.87388164139702096</v>
      </c>
      <c r="AJ20">
        <v>0.78562798976348602</v>
      </c>
      <c r="AK20">
        <v>0.77466708881464996</v>
      </c>
      <c r="AL20">
        <v>0.70</v>
      </c>
      <c r="AM20">
        <v>0.85466748946388804</v>
      </c>
      <c r="AN20">
        <v>0.81901203516719601</v>
      </c>
      <c r="AO20">
        <v>0.85913533715116297</v>
      </c>
      <c r="AP20">
        <v>0.87110462678715295</v>
      </c>
      <c r="AQ20">
        <v>0.78550868524009199</v>
      </c>
      <c r="AR20">
        <v>0.78562798976348602</v>
      </c>
      <c r="AS20">
        <v>0.80143670930650202</v>
      </c>
      <c r="AT20">
        <v>0.79235399963550701</v>
      </c>
      <c r="AU20">
        <v>0.70</v>
      </c>
      <c r="AV20">
        <v>0.815558761522582</v>
      </c>
      <c r="AW20" t="s">
        <v>203</v>
      </c>
    </row>
    <row r="21" spans="1:49" ht="12.75">
      <c r="A21" t="s">
        <v>201</v>
      </c>
      <c r="B21" t="s">
        <v>28</v>
      </c>
      <c r="C21" t="s">
        <v>209</v>
      </c>
      <c r="D21" t="s">
        <v>58</v>
      </c>
      <c r="E21" t="s">
        <v>203</v>
      </c>
      <c r="F21" t="s">
        <v>203</v>
      </c>
      <c r="G21" t="s">
        <v>793</v>
      </c>
      <c r="H21" t="s">
        <v>892</v>
      </c>
      <c r="I21" t="s">
        <v>203</v>
      </c>
      <c r="J21" t="s">
        <v>203</v>
      </c>
      <c r="K21" t="s">
        <v>203</v>
      </c>
      <c r="L21">
        <v>0.77466708881464996</v>
      </c>
      <c r="M21">
        <v>0.80046714388348195</v>
      </c>
      <c r="N21">
        <v>0.78562798976348602</v>
      </c>
      <c r="O21">
        <v>0.788288730494487</v>
      </c>
      <c r="P21">
        <v>0.79832009350619604</v>
      </c>
      <c r="Q21">
        <v>0.85774115403962203</v>
      </c>
      <c r="R21">
        <v>0.58765688899384905</v>
      </c>
      <c r="S21">
        <v>0.70</v>
      </c>
      <c r="T21">
        <v>0.85774115403962203</v>
      </c>
      <c r="U21">
        <v>0.81901203516719601</v>
      </c>
      <c r="V21">
        <v>0.81235393287832702</v>
      </c>
      <c r="W21">
        <v>0.77466708881464996</v>
      </c>
      <c r="X21">
        <v>0.73343396452087695</v>
      </c>
      <c r="Y21">
        <v>0.80783474157188195</v>
      </c>
      <c r="Z21">
        <v>0.80927991684156098</v>
      </c>
      <c r="AA21">
        <v>0.73652624040326797</v>
      </c>
      <c r="AB21">
        <v>0.70</v>
      </c>
      <c r="AC21">
        <v>0.79660265777285899</v>
      </c>
      <c r="AD21">
        <v>0.81901203516719601</v>
      </c>
      <c r="AE21">
        <v>0.77871481287333899</v>
      </c>
      <c r="AF21">
        <v>0.78562798976348602</v>
      </c>
      <c r="AG21">
        <v>0.88346566731129295</v>
      </c>
      <c r="AH21">
        <v>0.81205753376304002</v>
      </c>
      <c r="AI21">
        <v>0.87388164139702096</v>
      </c>
      <c r="AJ21">
        <v>0.78562798976348602</v>
      </c>
      <c r="AK21">
        <v>0.77466708881464996</v>
      </c>
      <c r="AL21">
        <v>0.70</v>
      </c>
      <c r="AM21">
        <v>0.85466748946388804</v>
      </c>
      <c r="AN21">
        <v>0.81901203516719601</v>
      </c>
      <c r="AO21">
        <v>0.85913533715116297</v>
      </c>
      <c r="AP21">
        <v>0.87110462678715295</v>
      </c>
      <c r="AQ21">
        <v>0.78550868524009199</v>
      </c>
      <c r="AR21">
        <v>0.78562798976348602</v>
      </c>
      <c r="AS21">
        <v>0.80143670930650202</v>
      </c>
      <c r="AT21">
        <v>0.79235399963550701</v>
      </c>
      <c r="AU21">
        <v>0.70</v>
      </c>
      <c r="AV21">
        <v>0.815558761522582</v>
      </c>
      <c r="AW21" t="s">
        <v>203</v>
      </c>
    </row>
    <row r="22" spans="1:49" ht="12.75">
      <c r="A22" t="s">
        <v>201</v>
      </c>
      <c r="B22" t="s">
        <v>28</v>
      </c>
      <c r="C22" t="s">
        <v>210</v>
      </c>
      <c r="D22" t="s">
        <v>54</v>
      </c>
      <c r="E22" t="s">
        <v>203</v>
      </c>
      <c r="F22" t="s">
        <v>203</v>
      </c>
      <c r="G22" t="s">
        <v>793</v>
      </c>
      <c r="H22" t="s">
        <v>892</v>
      </c>
      <c r="I22" t="s">
        <v>203</v>
      </c>
      <c r="J22" t="s">
        <v>203</v>
      </c>
      <c r="K22" t="s">
        <v>203</v>
      </c>
      <c r="L22">
        <v>0.74633078600882297</v>
      </c>
      <c r="M22">
        <v>0.79425198795713603</v>
      </c>
      <c r="N22">
        <v>0.76016377175338101</v>
      </c>
      <c r="O22">
        <v>0.789975026193378</v>
      </c>
      <c r="P22">
        <v>0.72609117616589602</v>
      </c>
      <c r="Q22">
        <v>0.88939691312296798</v>
      </c>
      <c r="R22">
        <v>0.56988642829255598</v>
      </c>
      <c r="S22">
        <v>0.75698356672417999</v>
      </c>
      <c r="T22">
        <v>0.88939691312296798</v>
      </c>
      <c r="U22">
        <v>0.84781454393670297</v>
      </c>
      <c r="V22">
        <v>0.73363853980806804</v>
      </c>
      <c r="W22">
        <v>0.74633078600882297</v>
      </c>
      <c r="X22">
        <v>0.70928681335727795</v>
      </c>
      <c r="Y22">
        <v>0.83322321495026497</v>
      </c>
      <c r="Z22">
        <v>0.79998615803272</v>
      </c>
      <c r="AA22">
        <v>0.70586635948528198</v>
      </c>
      <c r="AB22">
        <v>0.76441135034493002</v>
      </c>
      <c r="AC22">
        <v>0.763514220463966</v>
      </c>
      <c r="AD22">
        <v>0.84781454393670297</v>
      </c>
      <c r="AE22">
        <v>0.76866988318465401</v>
      </c>
      <c r="AF22">
        <v>0.76016377175338101</v>
      </c>
      <c r="AG22">
        <v>0.741463840222777</v>
      </c>
      <c r="AH22">
        <v>0.79040869411771797</v>
      </c>
      <c r="AI22">
        <v>0.79542895694786897</v>
      </c>
      <c r="AJ22">
        <v>0.76016377175338101</v>
      </c>
      <c r="AK22">
        <v>0.74633078600882297</v>
      </c>
      <c r="AL22">
        <v>1.04341289571332</v>
      </c>
      <c r="AM22">
        <v>0.82267627558681999</v>
      </c>
      <c r="AN22">
        <v>0.84781454393670297</v>
      </c>
      <c r="AO22">
        <v>0.78322749907057299</v>
      </c>
      <c r="AP22">
        <v>0.79601790830593699</v>
      </c>
      <c r="AQ22">
        <v>0.73191704738132002</v>
      </c>
      <c r="AR22">
        <v>0.76016377175338101</v>
      </c>
      <c r="AS22">
        <v>0.70</v>
      </c>
      <c r="AT22">
        <v>0.78984392531295</v>
      </c>
      <c r="AU22">
        <v>0.73957260118169399</v>
      </c>
      <c r="AV22">
        <v>0.81749291886381303</v>
      </c>
      <c r="AW22" t="s">
        <v>203</v>
      </c>
    </row>
    <row r="23" spans="1:49" ht="12.75">
      <c r="A23" t="s">
        <v>201</v>
      </c>
      <c r="B23" t="s">
        <v>28</v>
      </c>
      <c r="C23" t="s">
        <v>211</v>
      </c>
      <c r="D23" t="s">
        <v>54</v>
      </c>
      <c r="E23" t="s">
        <v>203</v>
      </c>
      <c r="F23" t="s">
        <v>203</v>
      </c>
      <c r="G23" t="s">
        <v>793</v>
      </c>
      <c r="H23" t="s">
        <v>892</v>
      </c>
      <c r="I23" t="s">
        <v>203</v>
      </c>
      <c r="J23" t="s">
        <v>203</v>
      </c>
      <c r="K23" t="s">
        <v>203</v>
      </c>
      <c r="L23">
        <v>0.70</v>
      </c>
      <c r="M23">
        <v>0.84000944301201497</v>
      </c>
      <c r="N23">
        <v>0.81118081169380396</v>
      </c>
      <c r="O23">
        <v>0.81351118392087296</v>
      </c>
      <c r="P23">
        <v>0.76823818993776904</v>
      </c>
      <c r="Q23">
        <v>0.92459294417607696</v>
      </c>
      <c r="R23">
        <v>0.70</v>
      </c>
      <c r="S23">
        <v>0.80041513182527801</v>
      </c>
      <c r="T23">
        <v>0.92459294417607696</v>
      </c>
      <c r="U23">
        <v>0.70</v>
      </c>
      <c r="V23">
        <v>0.77552864007769895</v>
      </c>
      <c r="W23">
        <v>0.70</v>
      </c>
      <c r="X23">
        <v>0.75325271367398605</v>
      </c>
      <c r="Y23">
        <v>0.87390787050256302</v>
      </c>
      <c r="Z23">
        <v>0.85293753664915395</v>
      </c>
      <c r="AA23">
        <v>0.748782287717358</v>
      </c>
      <c r="AB23">
        <v>0.78766540235995297</v>
      </c>
      <c r="AC23">
        <v>0.80013744981905999</v>
      </c>
      <c r="AD23">
        <v>0.70</v>
      </c>
      <c r="AE23">
        <v>0.79418327891432206</v>
      </c>
      <c r="AF23">
        <v>0.81118081169380396</v>
      </c>
      <c r="AG23">
        <v>0.80856567448048</v>
      </c>
      <c r="AH23">
        <v>0.84657514339166795</v>
      </c>
      <c r="AI23">
        <v>0.82834230248009699</v>
      </c>
      <c r="AJ23">
        <v>0.81118081169380396</v>
      </c>
      <c r="AK23">
        <v>0.70</v>
      </c>
      <c r="AL23">
        <v>0.70</v>
      </c>
      <c r="AM23">
        <v>0.87282859281482095</v>
      </c>
      <c r="AN23">
        <v>0.70</v>
      </c>
      <c r="AO23">
        <v>0.83735336622912804</v>
      </c>
      <c r="AP23">
        <v>0.70</v>
      </c>
      <c r="AQ23">
        <v>0.789865811062193</v>
      </c>
      <c r="AR23">
        <v>0.81118081169380396</v>
      </c>
      <c r="AS23">
        <v>0.70</v>
      </c>
      <c r="AT23">
        <v>0.82758004338518998</v>
      </c>
      <c r="AU23">
        <v>0.80138951314803397</v>
      </c>
      <c r="AV23">
        <v>0.82867758316744899</v>
      </c>
      <c r="AW23" t="s">
        <v>203</v>
      </c>
    </row>
    <row r="24" spans="1:49" ht="12.75">
      <c r="A24" t="s">
        <v>201</v>
      </c>
      <c r="B24" t="s">
        <v>28</v>
      </c>
      <c r="C24" t="s">
        <v>879</v>
      </c>
      <c r="D24" t="s">
        <v>54</v>
      </c>
      <c r="E24" t="s">
        <v>203</v>
      </c>
      <c r="F24" t="s">
        <v>203</v>
      </c>
      <c r="G24" t="s">
        <v>793</v>
      </c>
      <c r="H24" t="s">
        <v>892</v>
      </c>
      <c r="I24" t="s">
        <v>203</v>
      </c>
      <c r="J24" t="s">
        <v>203</v>
      </c>
      <c r="K24" t="s">
        <v>203</v>
      </c>
      <c r="L24">
        <v>0.72282882147300698</v>
      </c>
      <c r="M24">
        <v>0.81928900763721202</v>
      </c>
      <c r="N24">
        <v>0.71202455229284101</v>
      </c>
      <c r="O24">
        <v>0.79900299844352896</v>
      </c>
      <c r="P24">
        <v>0.73408809575764999</v>
      </c>
      <c r="Q24">
        <v>0.86347572459868804</v>
      </c>
      <c r="R24">
        <v>0.70618228689710805</v>
      </c>
      <c r="S24">
        <v>0.70582025115896196</v>
      </c>
      <c r="T24">
        <v>0.86347572459868804</v>
      </c>
      <c r="U24">
        <v>0.80018749703636505</v>
      </c>
      <c r="V24">
        <v>0.756985991711003</v>
      </c>
      <c r="W24">
        <v>0.72282882147300698</v>
      </c>
      <c r="X24">
        <v>0.71635950787853098</v>
      </c>
      <c r="Y24">
        <v>0.81733074000663297</v>
      </c>
      <c r="Z24">
        <v>0.81671823576041103</v>
      </c>
      <c r="AA24">
        <v>0.71202455229284101</v>
      </c>
      <c r="AB24">
        <v>0.72917682462626598</v>
      </c>
      <c r="AC24">
        <v>0.75951434494584302</v>
      </c>
      <c r="AD24">
        <v>0.80018749703636505</v>
      </c>
      <c r="AE24">
        <v>0.76164435507238604</v>
      </c>
      <c r="AF24">
        <v>0.71202455229284101</v>
      </c>
      <c r="AG24">
        <v>0.72542657031811597</v>
      </c>
      <c r="AH24">
        <v>0.78087502002196996</v>
      </c>
      <c r="AI24">
        <v>0.75951269724745896</v>
      </c>
      <c r="AJ24">
        <v>0.71202455229284101</v>
      </c>
      <c r="AK24">
        <v>0.72282882147300698</v>
      </c>
      <c r="AL24">
        <v>0.67551175099960703</v>
      </c>
      <c r="AM24">
        <v>0.82446857044229105</v>
      </c>
      <c r="AN24">
        <v>0.80018749703636505</v>
      </c>
      <c r="AO24">
        <v>0.775725584066012</v>
      </c>
      <c r="AP24">
        <v>0.74814388647734698</v>
      </c>
      <c r="AQ24">
        <v>0.72440504092705404</v>
      </c>
      <c r="AR24">
        <v>0.71202455229284101</v>
      </c>
      <c r="AS24">
        <v>0.72971725971827694</v>
      </c>
      <c r="AT24">
        <v>0.77385528191999398</v>
      </c>
      <c r="AU24">
        <v>0.68382178584202902</v>
      </c>
      <c r="AV24">
        <v>0.77247864056518101</v>
      </c>
      <c r="AW24" t="s">
        <v>203</v>
      </c>
    </row>
    <row r="25" spans="1:49" ht="12.75">
      <c r="A25" t="s">
        <v>201</v>
      </c>
      <c r="B25" t="s">
        <v>28</v>
      </c>
      <c r="C25" t="s">
        <v>880</v>
      </c>
      <c r="D25" t="s">
        <v>54</v>
      </c>
      <c r="E25" t="s">
        <v>203</v>
      </c>
      <c r="F25" t="s">
        <v>203</v>
      </c>
      <c r="G25" t="s">
        <v>793</v>
      </c>
      <c r="H25" t="s">
        <v>892</v>
      </c>
      <c r="I25" t="s">
        <v>203</v>
      </c>
      <c r="J25" t="s">
        <v>203</v>
      </c>
      <c r="K25" t="s">
        <v>203</v>
      </c>
      <c r="L25">
        <v>0.72282882147300698</v>
      </c>
      <c r="M25">
        <v>0.81928900763721202</v>
      </c>
      <c r="N25">
        <v>0.71202455229284101</v>
      </c>
      <c r="O25">
        <v>0.79900299844352896</v>
      </c>
      <c r="P25">
        <v>0.73408809575764999</v>
      </c>
      <c r="Q25">
        <v>0.86347572459868804</v>
      </c>
      <c r="R25">
        <v>0.70618228689710805</v>
      </c>
      <c r="S25">
        <v>0.70582025115896196</v>
      </c>
      <c r="T25">
        <v>0.86347572459868804</v>
      </c>
      <c r="U25">
        <v>0.80018749703636505</v>
      </c>
      <c r="V25">
        <v>0.756985991711003</v>
      </c>
      <c r="W25">
        <v>0.72282882147300698</v>
      </c>
      <c r="X25">
        <v>0.71635950787853098</v>
      </c>
      <c r="Y25">
        <v>0.81733074000663297</v>
      </c>
      <c r="Z25">
        <v>0.81671823576041103</v>
      </c>
      <c r="AA25">
        <v>0.71202455229284101</v>
      </c>
      <c r="AB25">
        <v>0.72917682462626598</v>
      </c>
      <c r="AC25">
        <v>0.75951434494584302</v>
      </c>
      <c r="AD25">
        <v>0.80018749703636505</v>
      </c>
      <c r="AE25">
        <v>0.76164435507238604</v>
      </c>
      <c r="AF25">
        <v>0.71202455229284101</v>
      </c>
      <c r="AG25">
        <v>0.72542657031811597</v>
      </c>
      <c r="AH25">
        <v>0.78087502002196996</v>
      </c>
      <c r="AI25">
        <v>0.75951269724745896</v>
      </c>
      <c r="AJ25">
        <v>0.71202455229284101</v>
      </c>
      <c r="AK25">
        <v>0.72282882147300698</v>
      </c>
      <c r="AL25">
        <v>0.67551175099960703</v>
      </c>
      <c r="AM25">
        <v>0.82446857044229105</v>
      </c>
      <c r="AN25">
        <v>0.80018749703636505</v>
      </c>
      <c r="AO25">
        <v>0.775725584066012</v>
      </c>
      <c r="AP25">
        <v>0.74814388647734698</v>
      </c>
      <c r="AQ25">
        <v>0.72440504092705404</v>
      </c>
      <c r="AR25">
        <v>0.71202455229284101</v>
      </c>
      <c r="AS25">
        <v>0.72971725971827694</v>
      </c>
      <c r="AT25">
        <v>0.77385528191999398</v>
      </c>
      <c r="AU25">
        <v>0.68382178584202902</v>
      </c>
      <c r="AV25">
        <v>0.77247864056518101</v>
      </c>
      <c r="AW25" t="s">
        <v>203</v>
      </c>
    </row>
    <row r="26" spans="1:49" ht="12.75">
      <c r="A26" t="s">
        <v>201</v>
      </c>
      <c r="B26" t="s">
        <v>28</v>
      </c>
      <c r="C26" t="s">
        <v>881</v>
      </c>
      <c r="D26" t="s">
        <v>54</v>
      </c>
      <c r="E26" t="s">
        <v>203</v>
      </c>
      <c r="F26" t="s">
        <v>203</v>
      </c>
      <c r="G26" t="s">
        <v>793</v>
      </c>
      <c r="H26" t="s">
        <v>892</v>
      </c>
      <c r="I26" t="s">
        <v>203</v>
      </c>
      <c r="J26" t="s">
        <v>203</v>
      </c>
      <c r="K26" t="s">
        <v>203</v>
      </c>
      <c r="L26">
        <v>0.72282882147300698</v>
      </c>
      <c r="M26">
        <v>0.81928900763721202</v>
      </c>
      <c r="N26">
        <v>0.71202455229284101</v>
      </c>
      <c r="O26">
        <v>0.79900299844352896</v>
      </c>
      <c r="P26">
        <v>0.73408809575764999</v>
      </c>
      <c r="Q26">
        <v>0.86347572459868804</v>
      </c>
      <c r="R26">
        <v>0.70618228689710805</v>
      </c>
      <c r="S26">
        <v>0.70582025115896196</v>
      </c>
      <c r="T26">
        <v>0.86347572459868804</v>
      </c>
      <c r="U26">
        <v>0.80018749703636505</v>
      </c>
      <c r="V26">
        <v>0.756985991711003</v>
      </c>
      <c r="W26">
        <v>0.72282882147300698</v>
      </c>
      <c r="X26">
        <v>0.71635950787853098</v>
      </c>
      <c r="Y26">
        <v>0.81733074000663297</v>
      </c>
      <c r="Z26">
        <v>0.81671823576041103</v>
      </c>
      <c r="AA26">
        <v>0.71202455229284101</v>
      </c>
      <c r="AB26">
        <v>0.72917682462626598</v>
      </c>
      <c r="AC26">
        <v>0.75951434494584302</v>
      </c>
      <c r="AD26">
        <v>0.80018749703636505</v>
      </c>
      <c r="AE26">
        <v>0.76164435507238604</v>
      </c>
      <c r="AF26">
        <v>0.71202455229284101</v>
      </c>
      <c r="AG26">
        <v>0.72542657031811597</v>
      </c>
      <c r="AH26">
        <v>0.78087502002196996</v>
      </c>
      <c r="AI26">
        <v>0.75951269724745896</v>
      </c>
      <c r="AJ26">
        <v>0.71202455229284101</v>
      </c>
      <c r="AK26">
        <v>0.72282882147300698</v>
      </c>
      <c r="AL26">
        <v>0.67551175099960703</v>
      </c>
      <c r="AM26">
        <v>0.82446857044229105</v>
      </c>
      <c r="AN26">
        <v>0.80018749703636505</v>
      </c>
      <c r="AO26">
        <v>0.775725584066012</v>
      </c>
      <c r="AP26">
        <v>0.74814388647734698</v>
      </c>
      <c r="AQ26">
        <v>0.72440504092705404</v>
      </c>
      <c r="AR26">
        <v>0.71202455229284101</v>
      </c>
      <c r="AS26">
        <v>0.72971725971827694</v>
      </c>
      <c r="AT26">
        <v>0.77385528191999398</v>
      </c>
      <c r="AU26">
        <v>0.68382178584202902</v>
      </c>
      <c r="AV26">
        <v>0.77247864056518101</v>
      </c>
      <c r="AW26" t="s">
        <v>203</v>
      </c>
    </row>
    <row r="27" spans="1:49" ht="12.75">
      <c r="A27" t="s">
        <v>201</v>
      </c>
      <c r="B27" t="s">
        <v>28</v>
      </c>
      <c r="C27" t="s">
        <v>212</v>
      </c>
      <c r="D27" t="s">
        <v>54</v>
      </c>
      <c r="E27" t="s">
        <v>203</v>
      </c>
      <c r="F27" t="s">
        <v>203</v>
      </c>
      <c r="G27" t="s">
        <v>793</v>
      </c>
      <c r="H27" t="s">
        <v>892</v>
      </c>
      <c r="I27" t="s">
        <v>203</v>
      </c>
      <c r="J27" t="s">
        <v>203</v>
      </c>
      <c r="K27" t="s">
        <v>203</v>
      </c>
      <c r="L27">
        <v>0.78014366093572796</v>
      </c>
      <c r="M27">
        <v>0.755928880562032</v>
      </c>
      <c r="N27">
        <v>0.74499429749397605</v>
      </c>
      <c r="O27">
        <v>0.74380140917100901</v>
      </c>
      <c r="P27">
        <v>0.74639155346086405</v>
      </c>
      <c r="Q27">
        <v>0.81017863000365997</v>
      </c>
      <c r="R27">
        <v>0.70</v>
      </c>
      <c r="S27">
        <v>0.73442600881407805</v>
      </c>
      <c r="T27">
        <v>0.81017863000365997</v>
      </c>
      <c r="U27">
        <v>0.78641563412407101</v>
      </c>
      <c r="V27">
        <v>0.78019664160087099</v>
      </c>
      <c r="W27">
        <v>0.78014366093572796</v>
      </c>
      <c r="X27">
        <v>0.715776833706255</v>
      </c>
      <c r="Y27">
        <v>0.77841877822391203</v>
      </c>
      <c r="Z27">
        <v>0.76097692301360798</v>
      </c>
      <c r="AA27">
        <v>0.74499429749397605</v>
      </c>
      <c r="AB27">
        <v>0.72153446694261403</v>
      </c>
      <c r="AC27">
        <v>0.75604427870592905</v>
      </c>
      <c r="AD27">
        <v>0.78641563412407101</v>
      </c>
      <c r="AE27">
        <v>0.72685829858050599</v>
      </c>
      <c r="AF27">
        <v>0.74499429749397605</v>
      </c>
      <c r="AG27">
        <v>0.74154132084235003</v>
      </c>
      <c r="AH27">
        <v>0.76486370993713404</v>
      </c>
      <c r="AI27">
        <v>0.78490216798672396</v>
      </c>
      <c r="AJ27">
        <v>0.74499429749397605</v>
      </c>
      <c r="AK27">
        <v>0.78014366093572796</v>
      </c>
      <c r="AL27">
        <v>0.70</v>
      </c>
      <c r="AM27">
        <v>0.77566284204844005</v>
      </c>
      <c r="AN27">
        <v>0.78641563412407101</v>
      </c>
      <c r="AO27">
        <v>0.77354429534024705</v>
      </c>
      <c r="AP27">
        <v>0.78557278476802395</v>
      </c>
      <c r="AQ27">
        <v>0.70221298243667196</v>
      </c>
      <c r="AR27">
        <v>0.74499429749397605</v>
      </c>
      <c r="AS27">
        <v>0.73166794796601398</v>
      </c>
      <c r="AT27">
        <v>0.78940789812191503</v>
      </c>
      <c r="AU27">
        <v>0.70945498712761901</v>
      </c>
      <c r="AV27">
        <v>0.75515261273787304</v>
      </c>
      <c r="AW27" t="s">
        <v>203</v>
      </c>
    </row>
    <row r="28" spans="1:49" ht="12.75">
      <c r="A28" t="s">
        <v>201</v>
      </c>
      <c r="B28" t="s">
        <v>28</v>
      </c>
      <c r="C28" t="s">
        <v>213</v>
      </c>
      <c r="D28" t="s">
        <v>54</v>
      </c>
      <c r="E28" t="s">
        <v>203</v>
      </c>
      <c r="F28" t="s">
        <v>203</v>
      </c>
      <c r="G28" t="s">
        <v>793</v>
      </c>
      <c r="H28" t="s">
        <v>892</v>
      </c>
      <c r="I28" t="s">
        <v>203</v>
      </c>
      <c r="J28" t="s">
        <v>203</v>
      </c>
      <c r="K28" t="s">
        <v>203</v>
      </c>
      <c r="L28">
        <v>0.85983635413125103</v>
      </c>
      <c r="M28">
        <v>0.88333199390813699</v>
      </c>
      <c r="N28">
        <v>0.86884495930981698</v>
      </c>
      <c r="O28">
        <v>0.83553618085187897</v>
      </c>
      <c r="P28">
        <v>0.81206531351727496</v>
      </c>
      <c r="Q28">
        <v>0.95587493363207399</v>
      </c>
      <c r="R28">
        <v>0.80</v>
      </c>
      <c r="S28">
        <v>0.85208330762622697</v>
      </c>
      <c r="T28">
        <v>0.95587493363207399</v>
      </c>
      <c r="U28">
        <v>0.91841114092424603</v>
      </c>
      <c r="V28">
        <v>0.89056811991588103</v>
      </c>
      <c r="W28">
        <v>0.76932726422269904</v>
      </c>
      <c r="X28">
        <v>0.80</v>
      </c>
      <c r="Y28">
        <v>0.91664482565774497</v>
      </c>
      <c r="Z28">
        <v>0.88619005258754402</v>
      </c>
      <c r="AA28">
        <v>0.82057579490371602</v>
      </c>
      <c r="AB28">
        <v>0.78352711381908702</v>
      </c>
      <c r="AC28">
        <v>0.80</v>
      </c>
      <c r="AD28">
        <v>0.91841114092424603</v>
      </c>
      <c r="AE28">
        <v>0.84751572846603096</v>
      </c>
      <c r="AF28">
        <v>0.86884495930981698</v>
      </c>
      <c r="AG28">
        <v>0.85076796364532503</v>
      </c>
      <c r="AH28">
        <v>0.80</v>
      </c>
      <c r="AI28">
        <v>0.898520312577472</v>
      </c>
      <c r="AJ28">
        <v>0.86884495930981698</v>
      </c>
      <c r="AK28">
        <v>0.85983635413125103</v>
      </c>
      <c r="AL28">
        <v>0.80</v>
      </c>
      <c r="AM28">
        <v>0.90645521755069003</v>
      </c>
      <c r="AN28">
        <v>0.91841114092424603</v>
      </c>
      <c r="AO28">
        <v>0.89540543411667195</v>
      </c>
      <c r="AP28">
        <v>0.89097570060848397</v>
      </c>
      <c r="AQ28">
        <v>0.81167632186112504</v>
      </c>
      <c r="AR28">
        <v>0.86884495930981698</v>
      </c>
      <c r="AS28">
        <v>0.80134176644048005</v>
      </c>
      <c r="AT28">
        <v>0.89751538374109996</v>
      </c>
      <c r="AU28">
        <v>0.82350393173757797</v>
      </c>
      <c r="AV28">
        <v>0.865596012526891</v>
      </c>
      <c r="AW28" t="s">
        <v>203</v>
      </c>
    </row>
    <row r="29" spans="1:49" ht="12.75">
      <c r="A29" t="s">
        <v>201</v>
      </c>
      <c r="B29" t="s">
        <v>28</v>
      </c>
      <c r="C29" t="s">
        <v>214</v>
      </c>
      <c r="D29" t="s">
        <v>54</v>
      </c>
      <c r="E29" t="s">
        <v>203</v>
      </c>
      <c r="F29" t="s">
        <v>203</v>
      </c>
      <c r="G29" t="s">
        <v>793</v>
      </c>
      <c r="H29" t="s">
        <v>892</v>
      </c>
      <c r="I29" t="s">
        <v>203</v>
      </c>
      <c r="J29" t="s">
        <v>203</v>
      </c>
      <c r="K29" t="s">
        <v>203</v>
      </c>
      <c r="L29">
        <v>0.85983635413125103</v>
      </c>
      <c r="M29">
        <v>0.88333199390813699</v>
      </c>
      <c r="N29">
        <v>0.86884495930981698</v>
      </c>
      <c r="O29">
        <v>0.83553618085187897</v>
      </c>
      <c r="P29">
        <v>0.81206531351727496</v>
      </c>
      <c r="Q29">
        <v>0.95587493363207399</v>
      </c>
      <c r="R29">
        <v>0.80</v>
      </c>
      <c r="S29">
        <v>0.85208330762622697</v>
      </c>
      <c r="T29">
        <v>0.95587493363207399</v>
      </c>
      <c r="U29">
        <v>0.91841114092424603</v>
      </c>
      <c r="V29">
        <v>0.89056811991588103</v>
      </c>
      <c r="W29">
        <v>0.76932726422269904</v>
      </c>
      <c r="X29">
        <v>0.80</v>
      </c>
      <c r="Y29">
        <v>0.91664482565774497</v>
      </c>
      <c r="Z29">
        <v>0.88619005258754402</v>
      </c>
      <c r="AA29">
        <v>0.82057579490371602</v>
      </c>
      <c r="AB29">
        <v>0.78352711381908702</v>
      </c>
      <c r="AC29">
        <v>0.80</v>
      </c>
      <c r="AD29">
        <v>0.91841114092424603</v>
      </c>
      <c r="AE29">
        <v>0.84751572846603096</v>
      </c>
      <c r="AF29">
        <v>0.86884495930981698</v>
      </c>
      <c r="AG29">
        <v>0.85076796364532503</v>
      </c>
      <c r="AH29">
        <v>0.80</v>
      </c>
      <c r="AI29">
        <v>0.898520312577472</v>
      </c>
      <c r="AJ29">
        <v>0.86884495930981698</v>
      </c>
      <c r="AK29">
        <v>0.85983635413125103</v>
      </c>
      <c r="AL29">
        <v>0.80</v>
      </c>
      <c r="AM29">
        <v>0.90645521755069003</v>
      </c>
      <c r="AN29">
        <v>0.91841114092424603</v>
      </c>
      <c r="AO29">
        <v>0.89540543411667195</v>
      </c>
      <c r="AP29">
        <v>0.89097570060848397</v>
      </c>
      <c r="AQ29">
        <v>0.81167632186112504</v>
      </c>
      <c r="AR29">
        <v>0.86884495930981698</v>
      </c>
      <c r="AS29">
        <v>0.80134176644048005</v>
      </c>
      <c r="AT29">
        <v>0.89751538374109996</v>
      </c>
      <c r="AU29">
        <v>0.82350393173757797</v>
      </c>
      <c r="AV29">
        <v>0.865596012526891</v>
      </c>
      <c r="AW29" t="s">
        <v>203</v>
      </c>
    </row>
    <row r="30" spans="1:49" ht="12.75">
      <c r="A30" t="s">
        <v>201</v>
      </c>
      <c r="B30" t="s">
        <v>28</v>
      </c>
      <c r="C30" t="s">
        <v>215</v>
      </c>
      <c r="D30" t="s">
        <v>54</v>
      </c>
      <c r="E30" t="s">
        <v>203</v>
      </c>
      <c r="F30" t="s">
        <v>203</v>
      </c>
      <c r="G30" t="s">
        <v>793</v>
      </c>
      <c r="H30" t="s">
        <v>892</v>
      </c>
      <c r="I30" t="s">
        <v>203</v>
      </c>
      <c r="J30" t="s">
        <v>203</v>
      </c>
      <c r="K30" t="s">
        <v>203</v>
      </c>
      <c r="L30">
        <v>0.77466708881464996</v>
      </c>
      <c r="M30">
        <v>0.80046714388348195</v>
      </c>
      <c r="N30">
        <v>0.78562798976348602</v>
      </c>
      <c r="O30">
        <v>0.788288730494487</v>
      </c>
      <c r="P30">
        <v>0.79832009350619604</v>
      </c>
      <c r="Q30">
        <v>0.85774115403962203</v>
      </c>
      <c r="R30">
        <v>0.58765688899384905</v>
      </c>
      <c r="S30">
        <v>0.70</v>
      </c>
      <c r="T30">
        <v>0.85774115403962203</v>
      </c>
      <c r="U30">
        <v>0.81901203516719601</v>
      </c>
      <c r="V30">
        <v>0.81235393287832702</v>
      </c>
      <c r="W30">
        <v>0.77466708881464996</v>
      </c>
      <c r="X30">
        <v>0.73343396452087695</v>
      </c>
      <c r="Y30">
        <v>0.80783474157188195</v>
      </c>
      <c r="Z30">
        <v>0.80927991684156098</v>
      </c>
      <c r="AA30">
        <v>0.73652624040326797</v>
      </c>
      <c r="AB30">
        <v>0.70</v>
      </c>
      <c r="AC30">
        <v>0.79660265777285899</v>
      </c>
      <c r="AD30">
        <v>0.81901203516719601</v>
      </c>
      <c r="AE30">
        <v>0.77871481287333899</v>
      </c>
      <c r="AF30">
        <v>0.78562798976348602</v>
      </c>
      <c r="AG30">
        <v>0.88346566731129295</v>
      </c>
      <c r="AH30">
        <v>0.81205753376304002</v>
      </c>
      <c r="AI30">
        <v>0.87388164139702096</v>
      </c>
      <c r="AJ30">
        <v>0.78562798976348602</v>
      </c>
      <c r="AK30">
        <v>0.77466708881464996</v>
      </c>
      <c r="AL30">
        <v>0.70</v>
      </c>
      <c r="AM30">
        <v>0.85466748946388804</v>
      </c>
      <c r="AN30">
        <v>0.81901203516719601</v>
      </c>
      <c r="AO30">
        <v>0.85913533715116297</v>
      </c>
      <c r="AP30">
        <v>0.87110462678715295</v>
      </c>
      <c r="AQ30">
        <v>0.78550868524009199</v>
      </c>
      <c r="AR30">
        <v>0.78562798976348602</v>
      </c>
      <c r="AS30">
        <v>0.80143670930650202</v>
      </c>
      <c r="AT30">
        <v>0.79235399963550701</v>
      </c>
      <c r="AU30">
        <v>0.70</v>
      </c>
      <c r="AV30">
        <v>0.815558761522582</v>
      </c>
      <c r="AW30" t="s">
        <v>203</v>
      </c>
    </row>
    <row r="31" spans="1:49" ht="12.75">
      <c r="A31" t="s">
        <v>201</v>
      </c>
      <c r="B31" t="s">
        <v>28</v>
      </c>
      <c r="C31" t="s">
        <v>216</v>
      </c>
      <c r="D31" t="s">
        <v>54</v>
      </c>
      <c r="E31" t="s">
        <v>203</v>
      </c>
      <c r="F31" t="s">
        <v>203</v>
      </c>
      <c r="G31" t="s">
        <v>793</v>
      </c>
      <c r="H31" t="s">
        <v>892</v>
      </c>
      <c r="I31" t="s">
        <v>203</v>
      </c>
      <c r="J31" t="s">
        <v>203</v>
      </c>
      <c r="K31" t="s">
        <v>203</v>
      </c>
      <c r="L31">
        <v>0.77466708881464996</v>
      </c>
      <c r="M31">
        <v>0.80046714388348195</v>
      </c>
      <c r="N31">
        <v>0.78562798976348602</v>
      </c>
      <c r="O31">
        <v>0.788288730494487</v>
      </c>
      <c r="P31">
        <v>0.79832009350619604</v>
      </c>
      <c r="Q31">
        <v>0.85774115403962203</v>
      </c>
      <c r="R31">
        <v>0.58765688899384905</v>
      </c>
      <c r="S31">
        <v>0.70</v>
      </c>
      <c r="T31">
        <v>0.85774115403962203</v>
      </c>
      <c r="U31">
        <v>0.81901203516719601</v>
      </c>
      <c r="V31">
        <v>0.81235393287832702</v>
      </c>
      <c r="W31">
        <v>0.77466708881464996</v>
      </c>
      <c r="X31">
        <v>0.73343396452087695</v>
      </c>
      <c r="Y31">
        <v>0.80783474157188195</v>
      </c>
      <c r="Z31">
        <v>0.80927991684156098</v>
      </c>
      <c r="AA31">
        <v>0.73652624040326797</v>
      </c>
      <c r="AB31">
        <v>0.70</v>
      </c>
      <c r="AC31">
        <v>0.79660265777285899</v>
      </c>
      <c r="AD31">
        <v>0.81901203516719601</v>
      </c>
      <c r="AE31">
        <v>0.77871481287333899</v>
      </c>
      <c r="AF31">
        <v>0.78562798976348602</v>
      </c>
      <c r="AG31">
        <v>0.88346566731129295</v>
      </c>
      <c r="AH31">
        <v>0.81205753376304002</v>
      </c>
      <c r="AI31">
        <v>0.87388164139702096</v>
      </c>
      <c r="AJ31">
        <v>0.78562798976348602</v>
      </c>
      <c r="AK31">
        <v>0.77466708881464996</v>
      </c>
      <c r="AL31">
        <v>0.70</v>
      </c>
      <c r="AM31">
        <v>0.85466748946388804</v>
      </c>
      <c r="AN31">
        <v>0.81901203516719601</v>
      </c>
      <c r="AO31">
        <v>0.85913533715116297</v>
      </c>
      <c r="AP31">
        <v>0.87110462678715295</v>
      </c>
      <c r="AQ31">
        <v>0.78550868524009199</v>
      </c>
      <c r="AR31">
        <v>0.78562798976348602</v>
      </c>
      <c r="AS31">
        <v>0.80143670930650202</v>
      </c>
      <c r="AT31">
        <v>0.79235399963550701</v>
      </c>
      <c r="AU31">
        <v>0.70</v>
      </c>
      <c r="AV31">
        <v>0.815558761522582</v>
      </c>
      <c r="AW31" t="s">
        <v>203</v>
      </c>
    </row>
    <row r="32" spans="1:49" ht="12.75">
      <c r="A32" t="s">
        <v>201</v>
      </c>
      <c r="B32" t="s">
        <v>28</v>
      </c>
      <c r="C32" t="s">
        <v>217</v>
      </c>
      <c r="D32" t="s">
        <v>59</v>
      </c>
      <c r="E32" t="s">
        <v>203</v>
      </c>
      <c r="F32" t="s">
        <v>203</v>
      </c>
      <c r="G32" t="s">
        <v>793</v>
      </c>
      <c r="H32" t="s">
        <v>892</v>
      </c>
      <c r="I32" t="s">
        <v>203</v>
      </c>
      <c r="J32" t="s">
        <v>203</v>
      </c>
      <c r="K32" t="s">
        <v>203</v>
      </c>
      <c r="L32">
        <v>0.74633078600882297</v>
      </c>
      <c r="M32">
        <v>0.79425198795713603</v>
      </c>
      <c r="N32">
        <v>0.76016377175338101</v>
      </c>
      <c r="O32">
        <v>0.789975026193378</v>
      </c>
      <c r="P32">
        <v>0.72609117616589602</v>
      </c>
      <c r="Q32">
        <v>0.88939691312296798</v>
      </c>
      <c r="R32">
        <v>0.56988642829255598</v>
      </c>
      <c r="S32">
        <v>0.75698356672417999</v>
      </c>
      <c r="T32">
        <v>0.88939691312296798</v>
      </c>
      <c r="U32">
        <v>0.84781454393670297</v>
      </c>
      <c r="V32">
        <v>0.73363853980806804</v>
      </c>
      <c r="W32">
        <v>0.74633078600882297</v>
      </c>
      <c r="X32">
        <v>0.70928681335727795</v>
      </c>
      <c r="Y32">
        <v>0.83322321495026497</v>
      </c>
      <c r="Z32">
        <v>0.79998615803272</v>
      </c>
      <c r="AA32">
        <v>0.70586635948528198</v>
      </c>
      <c r="AB32">
        <v>0.76441135034493002</v>
      </c>
      <c r="AC32">
        <v>0.763514220463966</v>
      </c>
      <c r="AD32">
        <v>0.84781454393670297</v>
      </c>
      <c r="AE32">
        <v>0.76866988318465401</v>
      </c>
      <c r="AF32">
        <v>0.76016377175338101</v>
      </c>
      <c r="AG32">
        <v>0.741463840222777</v>
      </c>
      <c r="AH32">
        <v>0.79040869411771797</v>
      </c>
      <c r="AI32">
        <v>0.79542895694786897</v>
      </c>
      <c r="AJ32">
        <v>0.76016377175338101</v>
      </c>
      <c r="AK32">
        <v>0.74633078600882297</v>
      </c>
      <c r="AL32">
        <v>1.04341289571332</v>
      </c>
      <c r="AM32">
        <v>0.82267627558681999</v>
      </c>
      <c r="AN32">
        <v>0.84781454393670297</v>
      </c>
      <c r="AO32">
        <v>0.78322749907057299</v>
      </c>
      <c r="AP32">
        <v>0.79601790830593699</v>
      </c>
      <c r="AQ32">
        <v>0.73191704738132002</v>
      </c>
      <c r="AR32">
        <v>0.76016377175338101</v>
      </c>
      <c r="AS32">
        <v>0.70</v>
      </c>
      <c r="AT32">
        <v>0.78984392531295</v>
      </c>
      <c r="AU32">
        <v>0.73957260118169399</v>
      </c>
      <c r="AV32">
        <v>0.81749291886381303</v>
      </c>
      <c r="AW32" t="s">
        <v>203</v>
      </c>
    </row>
    <row r="33" spans="1:49" ht="12.75">
      <c r="A33" t="s">
        <v>201</v>
      </c>
      <c r="B33" t="s">
        <v>28</v>
      </c>
      <c r="C33" t="s">
        <v>218</v>
      </c>
      <c r="D33" t="s">
        <v>59</v>
      </c>
      <c r="E33" t="s">
        <v>203</v>
      </c>
      <c r="F33" t="s">
        <v>203</v>
      </c>
      <c r="G33" t="s">
        <v>793</v>
      </c>
      <c r="H33" t="s">
        <v>892</v>
      </c>
      <c r="I33" t="s">
        <v>203</v>
      </c>
      <c r="J33" t="s">
        <v>203</v>
      </c>
      <c r="K33" t="s">
        <v>203</v>
      </c>
      <c r="L33">
        <v>0.70</v>
      </c>
      <c r="M33">
        <v>0.84000944301201497</v>
      </c>
      <c r="N33">
        <v>0.81118081169380396</v>
      </c>
      <c r="O33">
        <v>0.81351118392087296</v>
      </c>
      <c r="P33">
        <v>0.76823818993776904</v>
      </c>
      <c r="Q33">
        <v>0.92459294417607696</v>
      </c>
      <c r="R33">
        <v>0.70</v>
      </c>
      <c r="S33">
        <v>0.80041513182527801</v>
      </c>
      <c r="T33">
        <v>0.92459294417607696</v>
      </c>
      <c r="U33">
        <v>0.70</v>
      </c>
      <c r="V33">
        <v>0.77552864007769895</v>
      </c>
      <c r="W33">
        <v>0.70</v>
      </c>
      <c r="X33">
        <v>0.75325271367398605</v>
      </c>
      <c r="Y33">
        <v>0.87390787050256302</v>
      </c>
      <c r="Z33">
        <v>0.85293753664915395</v>
      </c>
      <c r="AA33">
        <v>0.748782287717358</v>
      </c>
      <c r="AB33">
        <v>0.78766540235995297</v>
      </c>
      <c r="AC33">
        <v>0.80013744981905999</v>
      </c>
      <c r="AD33">
        <v>0.70</v>
      </c>
      <c r="AE33">
        <v>0.79418327891432206</v>
      </c>
      <c r="AF33">
        <v>0.81118081169380396</v>
      </c>
      <c r="AG33">
        <v>0.80856567448048</v>
      </c>
      <c r="AH33">
        <v>0.84657514339166795</v>
      </c>
      <c r="AI33">
        <v>0.82834230248009699</v>
      </c>
      <c r="AJ33">
        <v>0.81118081169380396</v>
      </c>
      <c r="AK33">
        <v>0.70</v>
      </c>
      <c r="AL33">
        <v>0.70</v>
      </c>
      <c r="AM33">
        <v>0.87282859281482095</v>
      </c>
      <c r="AN33">
        <v>0.70</v>
      </c>
      <c r="AO33">
        <v>0.83735336622912804</v>
      </c>
      <c r="AP33">
        <v>0.70</v>
      </c>
      <c r="AQ33">
        <v>0.789865811062193</v>
      </c>
      <c r="AR33">
        <v>0.81118081169380396</v>
      </c>
      <c r="AS33">
        <v>0.70</v>
      </c>
      <c r="AT33">
        <v>0.82758004338518998</v>
      </c>
      <c r="AU33">
        <v>0.80138951314803397</v>
      </c>
      <c r="AV33">
        <v>0.82867758316744899</v>
      </c>
      <c r="AW33" t="s">
        <v>203</v>
      </c>
    </row>
    <row r="34" spans="1:49" ht="12.75">
      <c r="A34" t="s">
        <v>201</v>
      </c>
      <c r="B34" t="s">
        <v>28</v>
      </c>
      <c r="C34" t="s">
        <v>882</v>
      </c>
      <c r="D34" t="s">
        <v>59</v>
      </c>
      <c r="E34" t="s">
        <v>203</v>
      </c>
      <c r="F34" t="s">
        <v>203</v>
      </c>
      <c r="G34" t="s">
        <v>793</v>
      </c>
      <c r="H34" t="s">
        <v>892</v>
      </c>
      <c r="I34" t="s">
        <v>203</v>
      </c>
      <c r="J34" t="s">
        <v>203</v>
      </c>
      <c r="K34" t="s">
        <v>203</v>
      </c>
      <c r="L34">
        <v>0.72282882147300698</v>
      </c>
      <c r="M34">
        <v>0.81928900763721202</v>
      </c>
      <c r="N34">
        <v>0.71202455229284101</v>
      </c>
      <c r="O34">
        <v>0.79900299844352896</v>
      </c>
      <c r="P34">
        <v>0.73408809575764999</v>
      </c>
      <c r="Q34">
        <v>0.86347572459868804</v>
      </c>
      <c r="R34">
        <v>0.70618228689710805</v>
      </c>
      <c r="S34">
        <v>0.70582025115896196</v>
      </c>
      <c r="T34">
        <v>0.86347572459868804</v>
      </c>
      <c r="U34">
        <v>0.80018749703636505</v>
      </c>
      <c r="V34">
        <v>0.756985991711003</v>
      </c>
      <c r="W34">
        <v>0.72282882147300698</v>
      </c>
      <c r="X34">
        <v>0.71635950787853098</v>
      </c>
      <c r="Y34">
        <v>0.81733074000663297</v>
      </c>
      <c r="Z34">
        <v>0.81671823576041103</v>
      </c>
      <c r="AA34">
        <v>0.71202455229284101</v>
      </c>
      <c r="AB34">
        <v>0.72917682462626598</v>
      </c>
      <c r="AC34">
        <v>0.75951434494584302</v>
      </c>
      <c r="AD34">
        <v>0.80018749703636505</v>
      </c>
      <c r="AE34">
        <v>0.76164435507238604</v>
      </c>
      <c r="AF34">
        <v>0.71202455229284101</v>
      </c>
      <c r="AG34">
        <v>0.72542657031811597</v>
      </c>
      <c r="AH34">
        <v>0.78087502002196996</v>
      </c>
      <c r="AI34">
        <v>0.75951269724745896</v>
      </c>
      <c r="AJ34">
        <v>0.71202455229284101</v>
      </c>
      <c r="AK34">
        <v>0.72282882147300698</v>
      </c>
      <c r="AL34">
        <v>0.67551175099960703</v>
      </c>
      <c r="AM34">
        <v>0.82446857044229105</v>
      </c>
      <c r="AN34">
        <v>0.80018749703636505</v>
      </c>
      <c r="AO34">
        <v>0.775725584066012</v>
      </c>
      <c r="AP34">
        <v>0.74814388647734698</v>
      </c>
      <c r="AQ34">
        <v>0.72440504092705404</v>
      </c>
      <c r="AR34">
        <v>0.71202455229284101</v>
      </c>
      <c r="AS34">
        <v>0.72971725971827694</v>
      </c>
      <c r="AT34">
        <v>0.77385528191999398</v>
      </c>
      <c r="AU34">
        <v>0.68382178584202902</v>
      </c>
      <c r="AV34">
        <v>0.77247864056518101</v>
      </c>
      <c r="AW34" t="s">
        <v>203</v>
      </c>
    </row>
    <row r="35" spans="1:49" ht="12.75">
      <c r="A35" t="s">
        <v>201</v>
      </c>
      <c r="B35" t="s">
        <v>28</v>
      </c>
      <c r="C35" t="s">
        <v>883</v>
      </c>
      <c r="D35" t="s">
        <v>59</v>
      </c>
      <c r="E35" t="s">
        <v>203</v>
      </c>
      <c r="F35" t="s">
        <v>203</v>
      </c>
      <c r="G35" t="s">
        <v>793</v>
      </c>
      <c r="H35" t="s">
        <v>892</v>
      </c>
      <c r="I35" t="s">
        <v>203</v>
      </c>
      <c r="J35" t="s">
        <v>203</v>
      </c>
      <c r="K35" t="s">
        <v>203</v>
      </c>
      <c r="L35">
        <v>0.72282882147300698</v>
      </c>
      <c r="M35">
        <v>0.81928900763721202</v>
      </c>
      <c r="N35">
        <v>0.71202455229284101</v>
      </c>
      <c r="O35">
        <v>0.79900299844352896</v>
      </c>
      <c r="P35">
        <v>0.73408809575764999</v>
      </c>
      <c r="Q35">
        <v>0.86347572459868804</v>
      </c>
      <c r="R35">
        <v>0.70618228689710805</v>
      </c>
      <c r="S35">
        <v>0.70582025115896196</v>
      </c>
      <c r="T35">
        <v>0.86347572459868804</v>
      </c>
      <c r="U35">
        <v>0.80018749703636505</v>
      </c>
      <c r="V35">
        <v>0.756985991711003</v>
      </c>
      <c r="W35">
        <v>0.72282882147300698</v>
      </c>
      <c r="X35">
        <v>0.71635950787853098</v>
      </c>
      <c r="Y35">
        <v>0.81733074000663297</v>
      </c>
      <c r="Z35">
        <v>0.81671823576041103</v>
      </c>
      <c r="AA35">
        <v>0.71202455229284101</v>
      </c>
      <c r="AB35">
        <v>0.72917682462626598</v>
      </c>
      <c r="AC35">
        <v>0.75951434494584302</v>
      </c>
      <c r="AD35">
        <v>0.80018749703636505</v>
      </c>
      <c r="AE35">
        <v>0.76164435507238604</v>
      </c>
      <c r="AF35">
        <v>0.71202455229284101</v>
      </c>
      <c r="AG35">
        <v>0.72542657031811597</v>
      </c>
      <c r="AH35">
        <v>0.78087502002196996</v>
      </c>
      <c r="AI35">
        <v>0.75951269724745896</v>
      </c>
      <c r="AJ35">
        <v>0.71202455229284101</v>
      </c>
      <c r="AK35">
        <v>0.72282882147300698</v>
      </c>
      <c r="AL35">
        <v>0.67551175099960703</v>
      </c>
      <c r="AM35">
        <v>0.82446857044229105</v>
      </c>
      <c r="AN35">
        <v>0.80018749703636505</v>
      </c>
      <c r="AO35">
        <v>0.775725584066012</v>
      </c>
      <c r="AP35">
        <v>0.74814388647734698</v>
      </c>
      <c r="AQ35">
        <v>0.72440504092705404</v>
      </c>
      <c r="AR35">
        <v>0.71202455229284101</v>
      </c>
      <c r="AS35">
        <v>0.72971725971827694</v>
      </c>
      <c r="AT35">
        <v>0.77385528191999398</v>
      </c>
      <c r="AU35">
        <v>0.68382178584202902</v>
      </c>
      <c r="AV35">
        <v>0.77247864056518101</v>
      </c>
      <c r="AW35" t="s">
        <v>203</v>
      </c>
    </row>
    <row r="36" spans="1:49" ht="12.75">
      <c r="A36" t="s">
        <v>201</v>
      </c>
      <c r="B36" t="s">
        <v>28</v>
      </c>
      <c r="C36" t="s">
        <v>884</v>
      </c>
      <c r="D36" t="s">
        <v>59</v>
      </c>
      <c r="E36" t="s">
        <v>203</v>
      </c>
      <c r="F36" t="s">
        <v>203</v>
      </c>
      <c r="G36" t="s">
        <v>793</v>
      </c>
      <c r="H36" t="s">
        <v>892</v>
      </c>
      <c r="I36" t="s">
        <v>203</v>
      </c>
      <c r="J36" t="s">
        <v>203</v>
      </c>
      <c r="K36" t="s">
        <v>203</v>
      </c>
      <c r="L36">
        <v>0.72282882147300698</v>
      </c>
      <c r="M36">
        <v>0.81928900763721202</v>
      </c>
      <c r="N36">
        <v>0.71202455229284101</v>
      </c>
      <c r="O36">
        <v>0.79900299844352896</v>
      </c>
      <c r="P36">
        <v>0.73408809575764999</v>
      </c>
      <c r="Q36">
        <v>0.86347572459868804</v>
      </c>
      <c r="R36">
        <v>0.70618228689710805</v>
      </c>
      <c r="S36">
        <v>0.70582025115896196</v>
      </c>
      <c r="T36">
        <v>0.86347572459868804</v>
      </c>
      <c r="U36">
        <v>0.80018749703636505</v>
      </c>
      <c r="V36">
        <v>0.756985991711003</v>
      </c>
      <c r="W36">
        <v>0.72282882147300698</v>
      </c>
      <c r="X36">
        <v>0.71635950787853098</v>
      </c>
      <c r="Y36">
        <v>0.81733074000663297</v>
      </c>
      <c r="Z36">
        <v>0.81671823576041103</v>
      </c>
      <c r="AA36">
        <v>0.71202455229284101</v>
      </c>
      <c r="AB36">
        <v>0.72917682462626598</v>
      </c>
      <c r="AC36">
        <v>0.75951434494584302</v>
      </c>
      <c r="AD36">
        <v>0.80018749703636505</v>
      </c>
      <c r="AE36">
        <v>0.76164435507238604</v>
      </c>
      <c r="AF36">
        <v>0.71202455229284101</v>
      </c>
      <c r="AG36">
        <v>0.72542657031811597</v>
      </c>
      <c r="AH36">
        <v>0.78087502002196996</v>
      </c>
      <c r="AI36">
        <v>0.75951269724745896</v>
      </c>
      <c r="AJ36">
        <v>0.71202455229284101</v>
      </c>
      <c r="AK36">
        <v>0.72282882147300698</v>
      </c>
      <c r="AL36">
        <v>0.67551175099960703</v>
      </c>
      <c r="AM36">
        <v>0.82446857044229105</v>
      </c>
      <c r="AN36">
        <v>0.80018749703636505</v>
      </c>
      <c r="AO36">
        <v>0.775725584066012</v>
      </c>
      <c r="AP36">
        <v>0.74814388647734698</v>
      </c>
      <c r="AQ36">
        <v>0.72440504092705404</v>
      </c>
      <c r="AR36">
        <v>0.71202455229284101</v>
      </c>
      <c r="AS36">
        <v>0.72971725971827694</v>
      </c>
      <c r="AT36">
        <v>0.77385528191999398</v>
      </c>
      <c r="AU36">
        <v>0.68382178584202902</v>
      </c>
      <c r="AV36">
        <v>0.77247864056518101</v>
      </c>
      <c r="AW36" t="s">
        <v>203</v>
      </c>
    </row>
    <row r="37" spans="1:49" ht="12.75">
      <c r="A37" t="s">
        <v>201</v>
      </c>
      <c r="B37" t="s">
        <v>28</v>
      </c>
      <c r="C37" t="s">
        <v>219</v>
      </c>
      <c r="D37" t="s">
        <v>59</v>
      </c>
      <c r="E37" t="s">
        <v>203</v>
      </c>
      <c r="F37" t="s">
        <v>203</v>
      </c>
      <c r="G37" t="s">
        <v>793</v>
      </c>
      <c r="H37" t="s">
        <v>892</v>
      </c>
      <c r="I37" t="s">
        <v>203</v>
      </c>
      <c r="J37" t="s">
        <v>203</v>
      </c>
      <c r="K37" t="s">
        <v>203</v>
      </c>
      <c r="L37">
        <v>0.78014366093572796</v>
      </c>
      <c r="M37">
        <v>0.755928880562032</v>
      </c>
      <c r="N37">
        <v>0.74499429749397605</v>
      </c>
      <c r="O37">
        <v>0.74380140917100901</v>
      </c>
      <c r="P37">
        <v>0.74639155346086405</v>
      </c>
      <c r="Q37">
        <v>0.81017863000365997</v>
      </c>
      <c r="R37">
        <v>0.70</v>
      </c>
      <c r="S37">
        <v>0.73442600881407805</v>
      </c>
      <c r="T37">
        <v>0.81017863000365997</v>
      </c>
      <c r="U37">
        <v>0.78641563412407101</v>
      </c>
      <c r="V37">
        <v>0.78019664160087099</v>
      </c>
      <c r="W37">
        <v>0.78014366093572796</v>
      </c>
      <c r="X37">
        <v>0.715776833706255</v>
      </c>
      <c r="Y37">
        <v>0.77841877822391203</v>
      </c>
      <c r="Z37">
        <v>0.76097692301360798</v>
      </c>
      <c r="AA37">
        <v>0.74499429749397605</v>
      </c>
      <c r="AB37">
        <v>0.72153446694261403</v>
      </c>
      <c r="AC37">
        <v>0.75604427870592905</v>
      </c>
      <c r="AD37">
        <v>0.78641563412407101</v>
      </c>
      <c r="AE37">
        <v>0.72685829858050599</v>
      </c>
      <c r="AF37">
        <v>0.74499429749397605</v>
      </c>
      <c r="AG37">
        <v>0.74154132084235003</v>
      </c>
      <c r="AH37">
        <v>0.76486370993713404</v>
      </c>
      <c r="AI37">
        <v>0.78490216798672396</v>
      </c>
      <c r="AJ37">
        <v>0.74499429749397605</v>
      </c>
      <c r="AK37">
        <v>0.78014366093572796</v>
      </c>
      <c r="AL37">
        <v>0.70</v>
      </c>
      <c r="AM37">
        <v>0.77566284204844005</v>
      </c>
      <c r="AN37">
        <v>0.78641563412407101</v>
      </c>
      <c r="AO37">
        <v>0.77354429534024705</v>
      </c>
      <c r="AP37">
        <v>0.78557278476802395</v>
      </c>
      <c r="AQ37">
        <v>0.70221298243667196</v>
      </c>
      <c r="AR37">
        <v>0.74499429749397605</v>
      </c>
      <c r="AS37">
        <v>0.73166794796601398</v>
      </c>
      <c r="AT37">
        <v>0.78940789812191503</v>
      </c>
      <c r="AU37">
        <v>0.70945498712761901</v>
      </c>
      <c r="AV37">
        <v>0.75515261273787304</v>
      </c>
      <c r="AW37" t="s">
        <v>203</v>
      </c>
    </row>
    <row r="38" spans="1:49" ht="12.75">
      <c r="A38" t="s">
        <v>201</v>
      </c>
      <c r="B38" t="s">
        <v>28</v>
      </c>
      <c r="C38" t="s">
        <v>220</v>
      </c>
      <c r="D38" t="s">
        <v>59</v>
      </c>
      <c r="E38" t="s">
        <v>203</v>
      </c>
      <c r="F38" t="s">
        <v>203</v>
      </c>
      <c r="G38" t="s">
        <v>793</v>
      </c>
      <c r="H38" t="s">
        <v>892</v>
      </c>
      <c r="I38" t="s">
        <v>203</v>
      </c>
      <c r="J38" t="s">
        <v>203</v>
      </c>
      <c r="K38" t="s">
        <v>203</v>
      </c>
      <c r="L38">
        <v>0.85983635413125103</v>
      </c>
      <c r="M38">
        <v>0.88333199390813699</v>
      </c>
      <c r="N38">
        <v>0.86884495930981698</v>
      </c>
      <c r="O38">
        <v>0.83553618085187897</v>
      </c>
      <c r="P38">
        <v>0.81206531351727496</v>
      </c>
      <c r="Q38">
        <v>0.95587493363207399</v>
      </c>
      <c r="R38">
        <v>0.80</v>
      </c>
      <c r="S38">
        <v>0.85208330762622697</v>
      </c>
      <c r="T38">
        <v>0.95587493363207399</v>
      </c>
      <c r="U38">
        <v>0.91841114092424603</v>
      </c>
      <c r="V38">
        <v>0.89056811991588103</v>
      </c>
      <c r="W38">
        <v>0.76932726422269904</v>
      </c>
      <c r="X38">
        <v>0.80</v>
      </c>
      <c r="Y38">
        <v>0.91664482565774497</v>
      </c>
      <c r="Z38">
        <v>0.88619005258754402</v>
      </c>
      <c r="AA38">
        <v>0.82057579490371602</v>
      </c>
      <c r="AB38">
        <v>0.78352711381908702</v>
      </c>
      <c r="AC38">
        <v>0.80</v>
      </c>
      <c r="AD38">
        <v>0.91841114092424603</v>
      </c>
      <c r="AE38">
        <v>0.84751572846603096</v>
      </c>
      <c r="AF38">
        <v>0.86884495930981698</v>
      </c>
      <c r="AG38">
        <v>0.85076796364532503</v>
      </c>
      <c r="AH38">
        <v>0.80</v>
      </c>
      <c r="AI38">
        <v>0.898520312577472</v>
      </c>
      <c r="AJ38">
        <v>0.86884495930981698</v>
      </c>
      <c r="AK38">
        <v>0.85983635413125103</v>
      </c>
      <c r="AL38">
        <v>0.80</v>
      </c>
      <c r="AM38">
        <v>0.90645521755069003</v>
      </c>
      <c r="AN38">
        <v>0.91841114092424603</v>
      </c>
      <c r="AO38">
        <v>0.89540543411667195</v>
      </c>
      <c r="AP38">
        <v>0.89097570060848397</v>
      </c>
      <c r="AQ38">
        <v>0.81167632186112504</v>
      </c>
      <c r="AR38">
        <v>0.86884495930981698</v>
      </c>
      <c r="AS38">
        <v>0.80134176644048005</v>
      </c>
      <c r="AT38">
        <v>0.89751538374109996</v>
      </c>
      <c r="AU38">
        <v>0.82350393173757797</v>
      </c>
      <c r="AV38">
        <v>0.865596012526891</v>
      </c>
      <c r="AW38" t="s">
        <v>203</v>
      </c>
    </row>
    <row r="39" spans="1:49" ht="12.75">
      <c r="A39" t="s">
        <v>201</v>
      </c>
      <c r="B39" t="s">
        <v>28</v>
      </c>
      <c r="C39" t="s">
        <v>221</v>
      </c>
      <c r="D39" t="s">
        <v>59</v>
      </c>
      <c r="E39" t="s">
        <v>203</v>
      </c>
      <c r="F39" t="s">
        <v>203</v>
      </c>
      <c r="G39" t="s">
        <v>793</v>
      </c>
      <c r="H39" t="s">
        <v>892</v>
      </c>
      <c r="I39" t="s">
        <v>203</v>
      </c>
      <c r="J39" t="s">
        <v>203</v>
      </c>
      <c r="K39" t="s">
        <v>203</v>
      </c>
      <c r="L39">
        <v>0.85983635413125103</v>
      </c>
      <c r="M39">
        <v>0.88333199390813699</v>
      </c>
      <c r="N39">
        <v>0.86884495930981698</v>
      </c>
      <c r="O39">
        <v>0.83553618085187897</v>
      </c>
      <c r="P39">
        <v>0.81206531351727496</v>
      </c>
      <c r="Q39">
        <v>0.95587493363207399</v>
      </c>
      <c r="R39">
        <v>0.80</v>
      </c>
      <c r="S39">
        <v>0.85208330762622697</v>
      </c>
      <c r="T39">
        <v>0.95587493363207399</v>
      </c>
      <c r="U39">
        <v>0.91841114092424603</v>
      </c>
      <c r="V39">
        <v>0.89056811991588103</v>
      </c>
      <c r="W39">
        <v>0.76932726422269904</v>
      </c>
      <c r="X39">
        <v>0.80</v>
      </c>
      <c r="Y39">
        <v>0.91664482565774497</v>
      </c>
      <c r="Z39">
        <v>0.88619005258754402</v>
      </c>
      <c r="AA39">
        <v>0.82057579490371602</v>
      </c>
      <c r="AB39">
        <v>0.78352711381908702</v>
      </c>
      <c r="AC39">
        <v>0.80</v>
      </c>
      <c r="AD39">
        <v>0.91841114092424603</v>
      </c>
      <c r="AE39">
        <v>0.84751572846603096</v>
      </c>
      <c r="AF39">
        <v>0.86884495930981698</v>
      </c>
      <c r="AG39">
        <v>0.85076796364532503</v>
      </c>
      <c r="AH39">
        <v>0.80</v>
      </c>
      <c r="AI39">
        <v>0.898520312577472</v>
      </c>
      <c r="AJ39">
        <v>0.86884495930981698</v>
      </c>
      <c r="AK39">
        <v>0.85983635413125103</v>
      </c>
      <c r="AL39">
        <v>0.80</v>
      </c>
      <c r="AM39">
        <v>0.90645521755069003</v>
      </c>
      <c r="AN39">
        <v>0.91841114092424603</v>
      </c>
      <c r="AO39">
        <v>0.89540543411667195</v>
      </c>
      <c r="AP39">
        <v>0.89097570060848397</v>
      </c>
      <c r="AQ39">
        <v>0.81167632186112504</v>
      </c>
      <c r="AR39">
        <v>0.86884495930981698</v>
      </c>
      <c r="AS39">
        <v>0.80134176644048005</v>
      </c>
      <c r="AT39">
        <v>0.89751538374109996</v>
      </c>
      <c r="AU39">
        <v>0.82350393173757797</v>
      </c>
      <c r="AV39">
        <v>0.865596012526891</v>
      </c>
      <c r="AW39" t="s">
        <v>203</v>
      </c>
    </row>
    <row r="40" spans="1:49" ht="12.75">
      <c r="A40" t="s">
        <v>201</v>
      </c>
      <c r="B40" t="s">
        <v>28</v>
      </c>
      <c r="C40" t="s">
        <v>907</v>
      </c>
      <c r="D40" t="s">
        <v>59</v>
      </c>
      <c r="E40" t="s">
        <v>203</v>
      </c>
      <c r="F40" t="s">
        <v>203</v>
      </c>
      <c r="G40" t="s">
        <v>793</v>
      </c>
      <c r="H40" t="s">
        <v>892</v>
      </c>
      <c r="I40" t="s">
        <v>203</v>
      </c>
      <c r="J40" t="s">
        <v>203</v>
      </c>
      <c r="K40" t="s">
        <v>203</v>
      </c>
      <c r="L40">
        <v>0.77466708881464996</v>
      </c>
      <c r="M40">
        <v>0.80046714388348195</v>
      </c>
      <c r="N40">
        <v>0.78562798976348602</v>
      </c>
      <c r="O40">
        <v>0.788288730494487</v>
      </c>
      <c r="P40">
        <v>0.79832009350619604</v>
      </c>
      <c r="Q40">
        <v>0.85774115403962203</v>
      </c>
      <c r="R40">
        <v>0.58765688899384905</v>
      </c>
      <c r="S40">
        <v>0.70</v>
      </c>
      <c r="T40">
        <v>0.85774115403962203</v>
      </c>
      <c r="U40">
        <v>0.81901203516719601</v>
      </c>
      <c r="V40">
        <v>0.81235393287832702</v>
      </c>
      <c r="W40">
        <v>0.77466708881464996</v>
      </c>
      <c r="X40">
        <v>0.73343396452087695</v>
      </c>
      <c r="Y40">
        <v>0.80783474157188195</v>
      </c>
      <c r="Z40">
        <v>0.80927991684156098</v>
      </c>
      <c r="AA40">
        <v>0.73652624040326797</v>
      </c>
      <c r="AB40">
        <v>0.70</v>
      </c>
      <c r="AC40">
        <v>0.79660265777285899</v>
      </c>
      <c r="AD40">
        <v>0.81901203516719601</v>
      </c>
      <c r="AE40">
        <v>0.77871481287333899</v>
      </c>
      <c r="AF40">
        <v>0.78562798976348602</v>
      </c>
      <c r="AG40">
        <v>0.88346566731129295</v>
      </c>
      <c r="AH40">
        <v>0.81205753376304002</v>
      </c>
      <c r="AI40">
        <v>0.87388164139702096</v>
      </c>
      <c r="AJ40">
        <v>0.78562798976348602</v>
      </c>
      <c r="AK40">
        <v>0.77466708881464996</v>
      </c>
      <c r="AL40">
        <v>0.70</v>
      </c>
      <c r="AM40">
        <v>0.85466748946388804</v>
      </c>
      <c r="AN40">
        <v>0.81901203516719601</v>
      </c>
      <c r="AO40">
        <v>0.85913533715116297</v>
      </c>
      <c r="AP40">
        <v>0.87110462678715295</v>
      </c>
      <c r="AQ40">
        <v>0.78550868524009199</v>
      </c>
      <c r="AR40">
        <v>0.78562798976348602</v>
      </c>
      <c r="AS40">
        <v>0.80143670930650202</v>
      </c>
      <c r="AT40">
        <v>0.79235399963550701</v>
      </c>
      <c r="AU40">
        <v>0.70</v>
      </c>
      <c r="AV40">
        <v>0.815558761522582</v>
      </c>
      <c r="AW40" t="s">
        <v>203</v>
      </c>
    </row>
    <row r="41" spans="1:49" ht="12.75">
      <c r="A41" t="s">
        <v>201</v>
      </c>
      <c r="B41" t="s">
        <v>28</v>
      </c>
      <c r="C41" t="s">
        <v>908</v>
      </c>
      <c r="D41" t="s">
        <v>59</v>
      </c>
      <c r="E41" t="s">
        <v>203</v>
      </c>
      <c r="F41" t="s">
        <v>203</v>
      </c>
      <c r="G41" t="s">
        <v>793</v>
      </c>
      <c r="H41" t="s">
        <v>892</v>
      </c>
      <c r="I41" t="s">
        <v>203</v>
      </c>
      <c r="J41" t="s">
        <v>203</v>
      </c>
      <c r="K41" t="s">
        <v>203</v>
      </c>
      <c r="L41">
        <v>0.77466708881464996</v>
      </c>
      <c r="M41">
        <v>0.80046714388348195</v>
      </c>
      <c r="N41">
        <v>0.78562798976348602</v>
      </c>
      <c r="O41">
        <v>0.788288730494487</v>
      </c>
      <c r="P41">
        <v>0.79832009350619604</v>
      </c>
      <c r="Q41">
        <v>0.85774115403962203</v>
      </c>
      <c r="R41">
        <v>0.58765688899384905</v>
      </c>
      <c r="S41">
        <v>0.70</v>
      </c>
      <c r="T41">
        <v>0.85774115403962203</v>
      </c>
      <c r="U41">
        <v>0.81901203516719601</v>
      </c>
      <c r="V41">
        <v>0.81235393287832702</v>
      </c>
      <c r="W41">
        <v>0.77466708881464996</v>
      </c>
      <c r="X41">
        <v>0.73343396452087695</v>
      </c>
      <c r="Y41">
        <v>0.80783474157188195</v>
      </c>
      <c r="Z41">
        <v>0.80927991684156098</v>
      </c>
      <c r="AA41">
        <v>0.73652624040326797</v>
      </c>
      <c r="AB41">
        <v>0.70</v>
      </c>
      <c r="AC41">
        <v>0.79660265777285899</v>
      </c>
      <c r="AD41">
        <v>0.81901203516719601</v>
      </c>
      <c r="AE41">
        <v>0.77871481287333899</v>
      </c>
      <c r="AF41">
        <v>0.78562798976348602</v>
      </c>
      <c r="AG41">
        <v>0.88346566731129295</v>
      </c>
      <c r="AH41">
        <v>0.81205753376304002</v>
      </c>
      <c r="AI41">
        <v>0.87388164139702096</v>
      </c>
      <c r="AJ41">
        <v>0.78562798976348602</v>
      </c>
      <c r="AK41">
        <v>0.77466708881464996</v>
      </c>
      <c r="AL41">
        <v>0.70</v>
      </c>
      <c r="AM41">
        <v>0.85466748946388804</v>
      </c>
      <c r="AN41">
        <v>0.81901203516719601</v>
      </c>
      <c r="AO41">
        <v>0.85913533715116297</v>
      </c>
      <c r="AP41">
        <v>0.87110462678715295</v>
      </c>
      <c r="AQ41">
        <v>0.78550868524009199</v>
      </c>
      <c r="AR41">
        <v>0.78562798976348602</v>
      </c>
      <c r="AS41">
        <v>0.80143670930650202</v>
      </c>
      <c r="AT41">
        <v>0.79235399963550701</v>
      </c>
      <c r="AU41">
        <v>0.70</v>
      </c>
      <c r="AV41">
        <v>0.815558761522582</v>
      </c>
      <c r="AW41" t="s">
        <v>203</v>
      </c>
    </row>
    <row r="42" spans="1:49" ht="12.75">
      <c r="A42" t="s">
        <v>201</v>
      </c>
      <c r="B42" t="s">
        <v>52</v>
      </c>
      <c r="C42" t="s">
        <v>905</v>
      </c>
      <c r="D42" t="s">
        <v>203</v>
      </c>
      <c r="E42" t="s">
        <v>222</v>
      </c>
      <c r="F42" t="s">
        <v>203</v>
      </c>
      <c r="G42" t="s">
        <v>793</v>
      </c>
      <c r="H42" t="s">
        <v>203</v>
      </c>
      <c r="I42" t="s">
        <v>203</v>
      </c>
      <c r="J42" t="s">
        <v>203</v>
      </c>
      <c r="K42" t="s">
        <v>203</v>
      </c>
      <c r="L42">
        <v>0.032749909532875703</v>
      </c>
      <c r="M42">
        <v>0.081563381604861998</v>
      </c>
      <c r="N42">
        <v>0.039446829560892203</v>
      </c>
      <c r="O42">
        <v>0.110784690837783</v>
      </c>
      <c r="P42">
        <v>0.040255348084169397</v>
      </c>
      <c r="Q42">
        <v>0.072067151594723197</v>
      </c>
      <c r="R42">
        <v>0.048664139687129501</v>
      </c>
      <c r="S42">
        <v>0.091478333798773306</v>
      </c>
      <c r="T42">
        <v>0.064502364356031697</v>
      </c>
      <c r="U42">
        <v>0.067249553070095697</v>
      </c>
      <c r="V42">
        <v>0.100892925938175</v>
      </c>
      <c r="W42">
        <v>0.078294912834977304</v>
      </c>
      <c r="X42">
        <v>0.059355263683111101</v>
      </c>
      <c r="Y42">
        <v>0.159843218790166</v>
      </c>
      <c r="Z42">
        <v>0.055577842636681897</v>
      </c>
      <c r="AA42">
        <v>0.070389793582701005</v>
      </c>
      <c r="AB42">
        <v>0.074212777886299305</v>
      </c>
      <c r="AC42">
        <v>0.072647656259048995</v>
      </c>
      <c r="AD42">
        <v>0.065571370039625196</v>
      </c>
      <c r="AE42">
        <v>0.090541384349259693</v>
      </c>
      <c r="AF42">
        <v>0.038119757184737001</v>
      </c>
      <c r="AG42">
        <v>0.064865792417261897</v>
      </c>
      <c r="AH42">
        <v>0.089794979674949801</v>
      </c>
      <c r="AI42">
        <v>0.077741405945831496</v>
      </c>
      <c r="AJ42">
        <v>0.075445638004507598</v>
      </c>
      <c r="AK42">
        <v>0.035571658968746499</v>
      </c>
      <c r="AL42">
        <v>0.0217234069040813</v>
      </c>
      <c r="AM42">
        <v>0.071030064827719494</v>
      </c>
      <c r="AN42">
        <v>0.070845801653935503</v>
      </c>
      <c r="AO42">
        <v>0.080629350611357606</v>
      </c>
      <c r="AP42">
        <v>0.0249201764158134</v>
      </c>
      <c r="AQ42">
        <v>0.075731775365944803</v>
      </c>
      <c r="AR42">
        <v>0.055934059878064997</v>
      </c>
      <c r="AS42">
        <v>0.12696253883733999</v>
      </c>
      <c r="AT42">
        <v>0.074202096744563503</v>
      </c>
      <c r="AU42">
        <v>0.089959101407256895</v>
      </c>
      <c r="AV42">
        <v>0.067722308358186406</v>
      </c>
      <c r="AW42" t="s">
        <v>203</v>
      </c>
    </row>
    <row r="43" spans="1:49" ht="12.75">
      <c r="A43" t="s">
        <v>201</v>
      </c>
      <c r="B43" t="s">
        <v>52</v>
      </c>
      <c r="C43" t="s">
        <v>794</v>
      </c>
      <c r="D43" t="s">
        <v>203</v>
      </c>
      <c r="E43" t="s">
        <v>222</v>
      </c>
      <c r="F43" t="s">
        <v>203</v>
      </c>
      <c r="G43" t="s">
        <v>793</v>
      </c>
      <c r="H43" t="s">
        <v>203</v>
      </c>
      <c r="I43" t="s">
        <v>203</v>
      </c>
      <c r="J43" t="s">
        <v>203</v>
      </c>
      <c r="K43" t="s">
        <v>203</v>
      </c>
      <c r="L43">
        <v>0.078119389257498797</v>
      </c>
      <c r="M43">
        <v>0.078228959127044806</v>
      </c>
      <c r="N43">
        <v>0.036965927091036001</v>
      </c>
      <c r="O43">
        <v>0.093025537961763993</v>
      </c>
      <c r="P43">
        <v>0.035471470460532097</v>
      </c>
      <c r="Q43">
        <v>0.069323806297299104</v>
      </c>
      <c r="R43">
        <v>0.24323059503135899</v>
      </c>
      <c r="S43">
        <v>0.083813481365337603</v>
      </c>
      <c r="T43">
        <v>0.057130640665326103</v>
      </c>
      <c r="U43">
        <v>0.039987677487702197</v>
      </c>
      <c r="V43">
        <v>0.078873402414400398</v>
      </c>
      <c r="W43">
        <v>0.112916831848794</v>
      </c>
      <c r="X43">
        <v>0.053184482688642599</v>
      </c>
      <c r="Y43">
        <v>0.14199138168485401</v>
      </c>
      <c r="Z43">
        <v>0.052184264280446702</v>
      </c>
      <c r="AA43">
        <v>0.071389321940727501</v>
      </c>
      <c r="AB43">
        <v>0.058002241687188601</v>
      </c>
      <c r="AC43">
        <v>0.061642348030200703</v>
      </c>
      <c r="AD43">
        <v>0.065571370039625196</v>
      </c>
      <c r="AE43">
        <v>0.074665835115022394</v>
      </c>
      <c r="AF43">
        <v>0.035722317370113901</v>
      </c>
      <c r="AG43">
        <v>0.057885812640076299</v>
      </c>
      <c r="AH43">
        <v>0.075237056964173293</v>
      </c>
      <c r="AI43">
        <v>0.103899800171183</v>
      </c>
      <c r="AJ43">
        <v>0.076308392579445494</v>
      </c>
      <c r="AK43">
        <v>0.0597232989946282</v>
      </c>
      <c r="AL43">
        <v>0.31474118965658499</v>
      </c>
      <c r="AM43">
        <v>0.064141331288206996</v>
      </c>
      <c r="AN43">
        <v>0.073896356120459403</v>
      </c>
      <c r="AO43">
        <v>0.072514127468557496</v>
      </c>
      <c r="AP43">
        <v>0.065483924674566693</v>
      </c>
      <c r="AQ43">
        <v>0.034013690411503303</v>
      </c>
      <c r="AR43">
        <v>0.052416237309172102</v>
      </c>
      <c r="AS43">
        <v>0.0618137511019341</v>
      </c>
      <c r="AT43">
        <v>0.071339453497923394</v>
      </c>
      <c r="AU43">
        <v>0.079320606679319103</v>
      </c>
      <c r="AV43">
        <v>0.058369812903789002</v>
      </c>
      <c r="AW43" t="s">
        <v>203</v>
      </c>
    </row>
    <row r="44" spans="1:49" ht="12.75">
      <c r="A44" t="s">
        <v>201</v>
      </c>
      <c r="B44" t="s">
        <v>52</v>
      </c>
      <c r="C44" t="s">
        <v>876</v>
      </c>
      <c r="D44" t="s">
        <v>203</v>
      </c>
      <c r="E44" t="s">
        <v>222</v>
      </c>
      <c r="F44" t="s">
        <v>203</v>
      </c>
      <c r="G44" t="s">
        <v>793</v>
      </c>
      <c r="H44" t="s">
        <v>203</v>
      </c>
      <c r="I44" t="s">
        <v>203</v>
      </c>
      <c r="J44" t="s">
        <v>203</v>
      </c>
      <c r="K44" t="s">
        <v>203</v>
      </c>
      <c r="L44">
        <v>0.0338147359337162</v>
      </c>
      <c r="M44">
        <v>0.059546226233634203</v>
      </c>
      <c r="N44">
        <v>0.042113787573982299</v>
      </c>
      <c r="O44">
        <v>0.00956794415861216</v>
      </c>
      <c r="P44">
        <v>0.048817654442793998</v>
      </c>
      <c r="Q44">
        <v>0.074230578046303994</v>
      </c>
      <c r="R44">
        <v>0.061172876911728</v>
      </c>
      <c r="S44">
        <v>0.10051331406224299</v>
      </c>
      <c r="T44">
        <v>0.055486043297707198</v>
      </c>
      <c r="U44">
        <v>0.019342695177337201</v>
      </c>
      <c r="V44">
        <v>0.0244703936005536</v>
      </c>
      <c r="W44">
        <v>0.09341807469683</v>
      </c>
      <c r="X44">
        <v>0.064163732707522902</v>
      </c>
      <c r="Y44">
        <v>0.067863981363824794</v>
      </c>
      <c r="Z44">
        <v>0.051570662364886097</v>
      </c>
      <c r="AA44">
        <v>0.074397048636614699</v>
      </c>
      <c r="AB44">
        <v>0.087214270991406204</v>
      </c>
      <c r="AC44">
        <v>0.079385042588736798</v>
      </c>
      <c r="AD44">
        <v>0.18762773097177399</v>
      </c>
      <c r="AE44">
        <v>0.0087575329528993707</v>
      </c>
      <c r="AF44">
        <v>0.040696993251933503</v>
      </c>
      <c r="AG44">
        <v>0.055887058215954001</v>
      </c>
      <c r="AH44">
        <v>0.071604510869038004</v>
      </c>
      <c r="AI44">
        <v>0.079552632260401601</v>
      </c>
      <c r="AJ44">
        <v>0.080546437005811794</v>
      </c>
      <c r="AK44">
        <v>0.0367282313725142</v>
      </c>
      <c r="AL44">
        <v>0.035981656375699403</v>
      </c>
      <c r="AM44">
        <v>0.073205638606141599</v>
      </c>
      <c r="AN44">
        <v>0.075062533770546794</v>
      </c>
      <c r="AO44">
        <v>0.098966191482975002</v>
      </c>
      <c r="AP44">
        <v>0.0139427427426255</v>
      </c>
      <c r="AQ44">
        <v>0.089318001081369003</v>
      </c>
      <c r="AR44">
        <v>0.059715701922736598</v>
      </c>
      <c r="AS44">
        <v>0.12230855079571</v>
      </c>
      <c r="AT44">
        <v>0.088476316394784899</v>
      </c>
      <c r="AU44">
        <v>0.099789775678502904</v>
      </c>
      <c r="AV44">
        <v>0.069155188415414098</v>
      </c>
      <c r="AW44" t="s">
        <v>203</v>
      </c>
    </row>
    <row r="45" spans="1:49" ht="12.75">
      <c r="A45" t="s">
        <v>201</v>
      </c>
      <c r="B45" t="s">
        <v>52</v>
      </c>
      <c r="C45" t="s">
        <v>877</v>
      </c>
      <c r="D45" t="s">
        <v>203</v>
      </c>
      <c r="E45" t="s">
        <v>222</v>
      </c>
      <c r="F45" t="s">
        <v>203</v>
      </c>
      <c r="G45" t="s">
        <v>793</v>
      </c>
      <c r="H45" t="s">
        <v>203</v>
      </c>
      <c r="I45" t="s">
        <v>203</v>
      </c>
      <c r="J45" t="s">
        <v>203</v>
      </c>
      <c r="K45" t="s">
        <v>203</v>
      </c>
      <c r="L45">
        <v>0.0338147359337162</v>
      </c>
      <c r="M45">
        <v>0.059546226233634203</v>
      </c>
      <c r="N45">
        <v>0.042113787573982299</v>
      </c>
      <c r="O45">
        <v>0.00956794415861216</v>
      </c>
      <c r="P45">
        <v>0.048817654442793998</v>
      </c>
      <c r="Q45">
        <v>0.074230578046303994</v>
      </c>
      <c r="R45">
        <v>0.061172876911728</v>
      </c>
      <c r="S45">
        <v>0.10051331406224299</v>
      </c>
      <c r="T45">
        <v>0.055486043297707198</v>
      </c>
      <c r="U45">
        <v>0.019342695177337201</v>
      </c>
      <c r="V45">
        <v>0.0244703936005536</v>
      </c>
      <c r="W45">
        <v>0.09341807469683</v>
      </c>
      <c r="X45">
        <v>0.064163732707522902</v>
      </c>
      <c r="Y45">
        <v>0.067863981363824794</v>
      </c>
      <c r="Z45">
        <v>0.051570662364886097</v>
      </c>
      <c r="AA45">
        <v>0.074397048636614699</v>
      </c>
      <c r="AB45">
        <v>0.087214270991406204</v>
      </c>
      <c r="AC45">
        <v>0.079385042588736798</v>
      </c>
      <c r="AD45">
        <v>0.18762773097177399</v>
      </c>
      <c r="AE45">
        <v>0.0087575329528993707</v>
      </c>
      <c r="AF45">
        <v>0.040696993251933503</v>
      </c>
      <c r="AG45">
        <v>0.055887058215954001</v>
      </c>
      <c r="AH45">
        <v>0.071604510869038004</v>
      </c>
      <c r="AI45">
        <v>0.079552632260401601</v>
      </c>
      <c r="AJ45">
        <v>0.080546437005811794</v>
      </c>
      <c r="AK45">
        <v>0.0367282313725142</v>
      </c>
      <c r="AL45">
        <v>0.035981656375699403</v>
      </c>
      <c r="AM45">
        <v>0.073205638606141599</v>
      </c>
      <c r="AN45">
        <v>0.075062533770546794</v>
      </c>
      <c r="AO45">
        <v>0.098966191482975002</v>
      </c>
      <c r="AP45">
        <v>0.0139427427426255</v>
      </c>
      <c r="AQ45">
        <v>0.089318001081369003</v>
      </c>
      <c r="AR45">
        <v>0.059715701922736598</v>
      </c>
      <c r="AS45">
        <v>0.12230855079571</v>
      </c>
      <c r="AT45">
        <v>0.088476316394784899</v>
      </c>
      <c r="AU45">
        <v>0.099789775678502904</v>
      </c>
      <c r="AV45">
        <v>0.069155188415414098</v>
      </c>
      <c r="AW45" t="s">
        <v>203</v>
      </c>
    </row>
    <row r="46" spans="1:49" ht="12.75">
      <c r="A46" t="s">
        <v>201</v>
      </c>
      <c r="B46" t="s">
        <v>52</v>
      </c>
      <c r="C46" t="s">
        <v>878</v>
      </c>
      <c r="D46" t="s">
        <v>203</v>
      </c>
      <c r="E46" t="s">
        <v>222</v>
      </c>
      <c r="F46" t="s">
        <v>203</v>
      </c>
      <c r="G46" t="s">
        <v>793</v>
      </c>
      <c r="H46" t="s">
        <v>203</v>
      </c>
      <c r="I46" t="s">
        <v>203</v>
      </c>
      <c r="J46" t="s">
        <v>203</v>
      </c>
      <c r="K46" t="s">
        <v>203</v>
      </c>
      <c r="L46">
        <v>0.0338147359337162</v>
      </c>
      <c r="M46">
        <v>0.059546226233634203</v>
      </c>
      <c r="N46">
        <v>0.042113787573982299</v>
      </c>
      <c r="O46">
        <v>0.113654694557563</v>
      </c>
      <c r="P46">
        <v>0.048817654442793998</v>
      </c>
      <c r="Q46">
        <v>0.074230578046303994</v>
      </c>
      <c r="R46">
        <v>0.061172876911728</v>
      </c>
      <c r="S46">
        <v>0.10051331406224299</v>
      </c>
      <c r="T46">
        <v>0.055486043297707198</v>
      </c>
      <c r="U46">
        <v>0.019342695177337201</v>
      </c>
      <c r="V46">
        <v>0.0244703936005536</v>
      </c>
      <c r="W46">
        <v>0.09341807469683</v>
      </c>
      <c r="X46">
        <v>0.064163732707522902</v>
      </c>
      <c r="Y46">
        <v>0.067863981363824794</v>
      </c>
      <c r="Z46">
        <v>0.051570662364886097</v>
      </c>
      <c r="AA46">
        <v>0.074397048636614699</v>
      </c>
      <c r="AB46">
        <v>0.087214270991406204</v>
      </c>
      <c r="AC46">
        <v>0.079385042588736798</v>
      </c>
      <c r="AD46">
        <v>0.18762773097177399</v>
      </c>
      <c r="AE46">
        <v>0.0087575329528993707</v>
      </c>
      <c r="AF46">
        <v>0.040696993251933503</v>
      </c>
      <c r="AG46">
        <v>0.055887058215954001</v>
      </c>
      <c r="AH46">
        <v>0.071604510869038004</v>
      </c>
      <c r="AI46">
        <v>0.079552632260401601</v>
      </c>
      <c r="AJ46">
        <v>0.080546437005811794</v>
      </c>
      <c r="AK46">
        <v>0.0367282313725142</v>
      </c>
      <c r="AL46">
        <v>0.035981656375699403</v>
      </c>
      <c r="AM46">
        <v>0.073205638606141599</v>
      </c>
      <c r="AN46">
        <v>0.075062533770546794</v>
      </c>
      <c r="AO46">
        <v>0.098966191482975002</v>
      </c>
      <c r="AP46">
        <v>0.0139427427426255</v>
      </c>
      <c r="AQ46">
        <v>0.089318001081369003</v>
      </c>
      <c r="AR46">
        <v>0.059715701922736598</v>
      </c>
      <c r="AS46">
        <v>0.12230855079571</v>
      </c>
      <c r="AT46">
        <v>0.088476316394784899</v>
      </c>
      <c r="AU46">
        <v>0.099789775678502904</v>
      </c>
      <c r="AV46">
        <v>0.069155188415414098</v>
      </c>
      <c r="AW46" t="s">
        <v>203</v>
      </c>
    </row>
    <row r="47" spans="1:49" ht="12.75">
      <c r="A47" t="s">
        <v>201</v>
      </c>
      <c r="B47" t="s">
        <v>52</v>
      </c>
      <c r="C47" t="s">
        <v>795</v>
      </c>
      <c r="D47" t="s">
        <v>203</v>
      </c>
      <c r="E47" t="s">
        <v>222</v>
      </c>
      <c r="F47" t="s">
        <v>203</v>
      </c>
      <c r="G47" t="s">
        <v>793</v>
      </c>
      <c r="H47" t="s">
        <v>203</v>
      </c>
      <c r="I47" t="s">
        <v>203</v>
      </c>
      <c r="J47" t="s">
        <v>203</v>
      </c>
      <c r="K47" t="s">
        <v>203</v>
      </c>
      <c r="L47">
        <v>0.078119389257498797</v>
      </c>
      <c r="M47">
        <v>0.083835465423235306</v>
      </c>
      <c r="N47">
        <v>0.040250040629288303</v>
      </c>
      <c r="O47">
        <v>0.11525402728355499</v>
      </c>
      <c r="P47">
        <v>0.040829001964976797</v>
      </c>
      <c r="Q47">
        <v>0.079113790208984194</v>
      </c>
      <c r="R47">
        <v>0.24323059503135899</v>
      </c>
      <c r="S47">
        <v>0.100967793403598</v>
      </c>
      <c r="T47">
        <v>0.064259520237213902</v>
      </c>
      <c r="U47">
        <v>0.070519075766359601</v>
      </c>
      <c r="V47">
        <v>0.096840383150806605</v>
      </c>
      <c r="W47">
        <v>0.078479885314143294</v>
      </c>
      <c r="X47">
        <v>0.062073435557993398</v>
      </c>
      <c r="Y47">
        <v>0.15927312458595499</v>
      </c>
      <c r="Z47">
        <v>0.0565617362403876</v>
      </c>
      <c r="AA47">
        <v>0.066370884457079699</v>
      </c>
      <c r="AB47">
        <v>0.075637134691501601</v>
      </c>
      <c r="AC47">
        <v>0.074412422022443706</v>
      </c>
      <c r="AD47">
        <v>0.065571370039625196</v>
      </c>
      <c r="AE47">
        <v>0.0904748518206894</v>
      </c>
      <c r="AF47">
        <v>0.063299435235582194</v>
      </c>
      <c r="AG47">
        <v>0.069087314809685704</v>
      </c>
      <c r="AH47">
        <v>0.086813091560907996</v>
      </c>
      <c r="AI47">
        <v>0.093481584594281505</v>
      </c>
      <c r="AJ47">
        <v>0.076308392579445494</v>
      </c>
      <c r="AK47">
        <v>0.0597232989946282</v>
      </c>
      <c r="AL47">
        <v>0.31474118965658499</v>
      </c>
      <c r="AM47">
        <v>0.082947100538005206</v>
      </c>
      <c r="AN47">
        <v>0.076377043401435293</v>
      </c>
      <c r="AO47">
        <v>0.081321580728577703</v>
      </c>
      <c r="AP47">
        <v>0.026926802487419101</v>
      </c>
      <c r="AQ47">
        <v>0.075720723726978495</v>
      </c>
      <c r="AR47">
        <v>0.057072981725384497</v>
      </c>
      <c r="AS47">
        <v>0.120711086286079</v>
      </c>
      <c r="AT47">
        <v>0.074052458741773297</v>
      </c>
      <c r="AU47">
        <v>0.091305762278731606</v>
      </c>
      <c r="AV47">
        <v>0.067557431244705299</v>
      </c>
      <c r="AW47" t="s">
        <v>203</v>
      </c>
    </row>
    <row r="48" spans="1:49" ht="12.75">
      <c r="A48" t="s">
        <v>201</v>
      </c>
      <c r="B48" t="s">
        <v>52</v>
      </c>
      <c r="C48" t="s">
        <v>796</v>
      </c>
      <c r="D48" t="s">
        <v>203</v>
      </c>
      <c r="E48" t="s">
        <v>222</v>
      </c>
      <c r="F48" t="s">
        <v>203</v>
      </c>
      <c r="G48" t="s">
        <v>793</v>
      </c>
      <c r="H48" t="s">
        <v>203</v>
      </c>
      <c r="I48" t="s">
        <v>203</v>
      </c>
      <c r="J48" t="s">
        <v>203</v>
      </c>
      <c r="K48" t="s">
        <v>203</v>
      </c>
      <c r="L48">
        <v>0</v>
      </c>
      <c r="M48">
        <v>0</v>
      </c>
      <c r="N48">
        <v>0</v>
      </c>
      <c r="O48">
        <v>0</v>
      </c>
      <c r="P48">
        <v>0</v>
      </c>
      <c r="Q48">
        <v>0.0670551134993808</v>
      </c>
      <c r="R48">
        <v>0.048369304408124002</v>
      </c>
      <c r="S48">
        <v>0</v>
      </c>
      <c r="T48">
        <v>0.056164072607326303</v>
      </c>
      <c r="U48">
        <v>0</v>
      </c>
      <c r="V48">
        <v>0</v>
      </c>
      <c r="W48">
        <v>0.0873355807944</v>
      </c>
      <c r="X48">
        <v>0.0573853871692597</v>
      </c>
      <c r="Y48">
        <v>0</v>
      </c>
      <c r="Z48">
        <v>0.048693244440686401</v>
      </c>
      <c r="AA48">
        <v>0</v>
      </c>
      <c r="AB48">
        <v>0</v>
      </c>
      <c r="AC48">
        <v>0</v>
      </c>
      <c r="AD48">
        <v>0.16347511232259801</v>
      </c>
      <c r="AE48">
        <v>0.068852644843183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0.0675453310507107</v>
      </c>
      <c r="AP48">
        <v>0</v>
      </c>
      <c r="AQ48">
        <v>0.081054287262543004</v>
      </c>
      <c r="AR48">
        <v>0</v>
      </c>
      <c r="AS48">
        <v>0</v>
      </c>
      <c r="AT48">
        <v>0.068792057205018603</v>
      </c>
      <c r="AU48">
        <v>0</v>
      </c>
      <c r="AV48">
        <v>0</v>
      </c>
      <c r="AW48" t="s">
        <v>203</v>
      </c>
    </row>
    <row r="49" spans="1:49" ht="12.75">
      <c r="A49" t="s">
        <v>201</v>
      </c>
      <c r="B49" t="s">
        <v>52</v>
      </c>
      <c r="C49" t="s">
        <v>797</v>
      </c>
      <c r="D49" t="s">
        <v>203</v>
      </c>
      <c r="E49" t="s">
        <v>222</v>
      </c>
      <c r="F49" t="s">
        <v>203</v>
      </c>
      <c r="G49" t="s">
        <v>793</v>
      </c>
      <c r="H49" t="s">
        <v>203</v>
      </c>
      <c r="I49" t="s">
        <v>203</v>
      </c>
      <c r="J49" t="s">
        <v>203</v>
      </c>
      <c r="K49" t="s">
        <v>203</v>
      </c>
      <c r="L49">
        <v>0.078119389257498797</v>
      </c>
      <c r="M49">
        <v>0.069352159773336697</v>
      </c>
      <c r="N49">
        <v>0.034512544984482099</v>
      </c>
      <c r="O49">
        <v>0.074259407909570599</v>
      </c>
      <c r="P49">
        <v>0.032663330965124998</v>
      </c>
      <c r="Q49">
        <v>0.0670551134993808</v>
      </c>
      <c r="R49">
        <v>0.24323059503135899</v>
      </c>
      <c r="S49">
        <v>0.075054855062700099</v>
      </c>
      <c r="T49">
        <v>0.054274121046614297</v>
      </c>
      <c r="U49">
        <v>0.058389978458947001</v>
      </c>
      <c r="V49">
        <v>0.078996274357710006</v>
      </c>
      <c r="W49">
        <v>0.075032536398656396</v>
      </c>
      <c r="X49">
        <v>0.077776101670865003</v>
      </c>
      <c r="Y49">
        <v>0.13449533663482</v>
      </c>
      <c r="Z49">
        <v>0.046764788140380702</v>
      </c>
      <c r="AA49">
        <v>0.0565757475184012</v>
      </c>
      <c r="AB49">
        <v>0.063708895748827196</v>
      </c>
      <c r="AC49">
        <v>0.041145234827696803</v>
      </c>
      <c r="AD49">
        <v>0.16347511232259801</v>
      </c>
      <c r="AE49">
        <v>0.076184185912182997</v>
      </c>
      <c r="AF49">
        <v>0.0333514720772407</v>
      </c>
      <c r="AG49">
        <v>0.053383781045310497</v>
      </c>
      <c r="AH49">
        <v>0.038886106828302902</v>
      </c>
      <c r="AI49">
        <v>0.071997755500823393</v>
      </c>
      <c r="AJ49">
        <v>0.076308392579445494</v>
      </c>
      <c r="AK49">
        <v>0.0308759033858318</v>
      </c>
      <c r="AL49">
        <v>0.31474118965658499</v>
      </c>
      <c r="AM49">
        <v>0.069627811510344501</v>
      </c>
      <c r="AN49">
        <v>0.065400013504426494</v>
      </c>
      <c r="AO49">
        <v>0.064244762091134694</v>
      </c>
      <c r="AP49">
        <v>0.0221896007251569</v>
      </c>
      <c r="AQ49">
        <v>0.059901756566766703</v>
      </c>
      <c r="AR49">
        <v>0.048937437537952801</v>
      </c>
      <c r="AS49">
        <v>0.101933334058908</v>
      </c>
      <c r="AT49">
        <v>0.066126435398035893</v>
      </c>
      <c r="AU49">
        <v>0.073041435912312297</v>
      </c>
      <c r="AV49">
        <v>0.051754209360167301</v>
      </c>
      <c r="AW49" t="s">
        <v>203</v>
      </c>
    </row>
    <row r="50" spans="1:49" ht="12.75">
      <c r="A50" t="s">
        <v>201</v>
      </c>
      <c r="B50" t="s">
        <v>52</v>
      </c>
      <c r="C50" t="s">
        <v>798</v>
      </c>
      <c r="D50" t="s">
        <v>203</v>
      </c>
      <c r="E50" t="s">
        <v>222</v>
      </c>
      <c r="F50" t="s">
        <v>203</v>
      </c>
      <c r="G50" t="s">
        <v>793</v>
      </c>
      <c r="H50" t="s">
        <v>203</v>
      </c>
      <c r="I50" t="s">
        <v>203</v>
      </c>
      <c r="J50" t="s">
        <v>203</v>
      </c>
      <c r="K50" t="s">
        <v>203</v>
      </c>
      <c r="L50">
        <v>0.078119389257498797</v>
      </c>
      <c r="M50">
        <v>0.076492461006529705</v>
      </c>
      <c r="N50">
        <v>0.063299435235582194</v>
      </c>
      <c r="O50">
        <v>0.103845225650538</v>
      </c>
      <c r="P50">
        <v>0.035736954833099299</v>
      </c>
      <c r="Q50">
        <v>0.057217113025866302</v>
      </c>
      <c r="R50">
        <v>0.054828106469927099</v>
      </c>
      <c r="S50">
        <v>0.063422868104573704</v>
      </c>
      <c r="T50">
        <v>0.060739441001081203</v>
      </c>
      <c r="U50">
        <v>0.067484354937349694</v>
      </c>
      <c r="V50">
        <v>0.074493910419747802</v>
      </c>
      <c r="W50">
        <v>0.112916831848794</v>
      </c>
      <c r="X50">
        <v>0.056947796302323203</v>
      </c>
      <c r="Y50">
        <v>0.076800665506614393</v>
      </c>
      <c r="Z50">
        <v>0.0526377339768625</v>
      </c>
      <c r="AA50">
        <v>0.067157354149520399</v>
      </c>
      <c r="AB50">
        <v>0.077834098313922198</v>
      </c>
      <c r="AC50">
        <v>0.068822967281645706</v>
      </c>
      <c r="AD50">
        <v>0.065571370039625196</v>
      </c>
      <c r="AE50">
        <v>0.084107589262004095</v>
      </c>
      <c r="AF50">
        <v>0.036884198090493599</v>
      </c>
      <c r="AG50">
        <v>0.060878889029702399</v>
      </c>
      <c r="AH50">
        <v>0.038886106828302902</v>
      </c>
      <c r="AI50">
        <v>0.066996505846848603</v>
      </c>
      <c r="AJ50">
        <v>0.076308392579445494</v>
      </c>
      <c r="AK50">
        <v>0.0597232989946282</v>
      </c>
      <c r="AL50">
        <v>0.032735826884363099</v>
      </c>
      <c r="AM50">
        <v>0.046926906039142999</v>
      </c>
      <c r="AN50">
        <v>0.073896356120459403</v>
      </c>
      <c r="AO50">
        <v>0.057536584972901497</v>
      </c>
      <c r="AP50">
        <v>0.023237806710747801</v>
      </c>
      <c r="AQ50">
        <v>0.071931989290596104</v>
      </c>
      <c r="AR50">
        <v>0.054121093546055703</v>
      </c>
      <c r="AS50">
        <v>0.0618137511019341</v>
      </c>
      <c r="AT50">
        <v>0.076935745302516401</v>
      </c>
      <c r="AU50">
        <v>0.060788185429220001</v>
      </c>
      <c r="AV50">
        <v>0.062433766523033001</v>
      </c>
      <c r="AW50" t="s">
        <v>203</v>
      </c>
    </row>
    <row r="51" spans="1:49" ht="12.75">
      <c r="A51" t="s">
        <v>201</v>
      </c>
      <c r="B51" t="s">
        <v>52</v>
      </c>
      <c r="C51" t="s">
        <v>799</v>
      </c>
      <c r="D51" t="s">
        <v>203</v>
      </c>
      <c r="E51" t="s">
        <v>222</v>
      </c>
      <c r="F51" t="s">
        <v>203</v>
      </c>
      <c r="G51" t="s">
        <v>793</v>
      </c>
      <c r="H51" t="s">
        <v>203</v>
      </c>
      <c r="I51" t="s">
        <v>203</v>
      </c>
      <c r="J51" t="s">
        <v>203</v>
      </c>
      <c r="K51" t="s">
        <v>203</v>
      </c>
      <c r="L51">
        <v>0.031551960934327397</v>
      </c>
      <c r="M51">
        <v>0.077065177947423597</v>
      </c>
      <c r="N51">
        <v>0.063299435235582194</v>
      </c>
      <c r="O51">
        <v>0.099555409425902894</v>
      </c>
      <c r="P51">
        <v>0.049334919070685497</v>
      </c>
      <c r="Q51">
        <v>0.0747268588711682</v>
      </c>
      <c r="R51">
        <v>0.054409797522168797</v>
      </c>
      <c r="S51">
        <v>0.063422868104573704</v>
      </c>
      <c r="T51">
        <v>0.060968428680556797</v>
      </c>
      <c r="U51">
        <v>0.065386341639574699</v>
      </c>
      <c r="V51">
        <v>0.078862487722191496</v>
      </c>
      <c r="W51">
        <v>0.073524166037999605</v>
      </c>
      <c r="X51">
        <v>0.057635501938180699</v>
      </c>
      <c r="Y51">
        <v>0.15101378730836901</v>
      </c>
      <c r="Z51">
        <v>0.050341588493044299</v>
      </c>
      <c r="AA51">
        <v>0.066631745854860105</v>
      </c>
      <c r="AB51">
        <v>0.0537271732215059</v>
      </c>
      <c r="AC51">
        <v>0.070854365408854703</v>
      </c>
      <c r="AD51">
        <v>0.183315211467273</v>
      </c>
      <c r="AE51">
        <v>0.083410885029673906</v>
      </c>
      <c r="AF51">
        <v>0.036884198090493599</v>
      </c>
      <c r="AG51">
        <v>0.062718491039017998</v>
      </c>
      <c r="AH51">
        <v>0.082121576380193101</v>
      </c>
      <c r="AI51">
        <v>0.080715342599787895</v>
      </c>
      <c r="AJ51">
        <v>0.076308392579445494</v>
      </c>
      <c r="AK51">
        <v>0.034270494488677597</v>
      </c>
      <c r="AL51">
        <v>0.31474118965658499</v>
      </c>
      <c r="AM51">
        <v>0.078182552532229402</v>
      </c>
      <c r="AN51">
        <v>0.073337262994920202</v>
      </c>
      <c r="AO51">
        <v>0.070635382505788297</v>
      </c>
      <c r="AP51">
        <v>0.024045255735907399</v>
      </c>
      <c r="AQ51">
        <v>0.044753895454372798</v>
      </c>
      <c r="AR51">
        <v>0.054121093546055703</v>
      </c>
      <c r="AS51">
        <v>0.114451264618016</v>
      </c>
      <c r="AT51">
        <v>0.079995228376400496</v>
      </c>
      <c r="AU51">
        <v>0.060788185429220001</v>
      </c>
      <c r="AV51">
        <v>0.063814900614194106</v>
      </c>
      <c r="AW51" t="s">
        <v>203</v>
      </c>
    </row>
    <row r="52" spans="1:49" ht="12.75">
      <c r="A52" t="s">
        <v>201</v>
      </c>
      <c r="B52" t="s">
        <v>52</v>
      </c>
      <c r="C52" t="s">
        <v>202</v>
      </c>
      <c r="D52" t="s">
        <v>203</v>
      </c>
      <c r="E52" t="s">
        <v>222</v>
      </c>
      <c r="F52" t="s">
        <v>203</v>
      </c>
      <c r="G52" t="s">
        <v>793</v>
      </c>
      <c r="H52" t="s">
        <v>203</v>
      </c>
      <c r="I52" t="s">
        <v>203</v>
      </c>
      <c r="J52" t="s">
        <v>203</v>
      </c>
      <c r="K52" t="s">
        <v>203</v>
      </c>
      <c r="L52">
        <v>0.035411689407220802</v>
      </c>
      <c r="M52">
        <v>0.14113056588957901</v>
      </c>
      <c r="N52">
        <v>0.043698128811712499</v>
      </c>
      <c r="O52">
        <v>0.13077991623792601</v>
      </c>
      <c r="P52">
        <v>0.053662525314771899</v>
      </c>
      <c r="Q52">
        <v>0.124699070667358</v>
      </c>
      <c r="R52">
        <v>0.055568459452383201</v>
      </c>
      <c r="S52">
        <v>0.11578146307440899</v>
      </c>
      <c r="T52">
        <v>0.134457922296222</v>
      </c>
      <c r="U52">
        <v>0.112166054577699</v>
      </c>
      <c r="V52">
        <v>0.14577030399688801</v>
      </c>
      <c r="W52">
        <v>0.084658405932219002</v>
      </c>
      <c r="X52">
        <v>0.087696264445806096</v>
      </c>
      <c r="Y52">
        <v>0.22772182907619601</v>
      </c>
      <c r="Z52">
        <v>0.145018178784204</v>
      </c>
      <c r="AA52">
        <v>0.094120129929069596</v>
      </c>
      <c r="AB52">
        <v>0.10872268334217799</v>
      </c>
      <c r="AC52">
        <v>0.139731220748611</v>
      </c>
      <c r="AD52">
        <v>0.093416739436769897</v>
      </c>
      <c r="AE52">
        <v>0.114133928114326</v>
      </c>
      <c r="AF52">
        <v>0.042228033995951</v>
      </c>
      <c r="AG52">
        <v>0.10204446616445099</v>
      </c>
      <c r="AH52">
        <v>0.194062418162357</v>
      </c>
      <c r="AI52">
        <v>0.1158437078803</v>
      </c>
      <c r="AJ52">
        <v>0.084012110940703696</v>
      </c>
      <c r="AK52">
        <v>0.0475952303879556</v>
      </c>
      <c r="AL52">
        <v>0.0272087720621913</v>
      </c>
      <c r="AM52">
        <v>0.113329336967139</v>
      </c>
      <c r="AN52">
        <v>0.104531871984422</v>
      </c>
      <c r="AO52">
        <v>0.137398233397034</v>
      </c>
      <c r="AP52">
        <v>0.029033929221138101</v>
      </c>
      <c r="AQ52">
        <v>0.086319469706620605</v>
      </c>
      <c r="AR52">
        <v>0.061962235767026697</v>
      </c>
      <c r="AS52">
        <v>0.18144063310030101</v>
      </c>
      <c r="AT52">
        <v>0.10934000874653101</v>
      </c>
      <c r="AU52">
        <v>0.120289388868937</v>
      </c>
      <c r="AV52">
        <v>0.123613149815994</v>
      </c>
      <c r="AW52" t="s">
        <v>203</v>
      </c>
    </row>
    <row r="53" spans="1:49" ht="12.75">
      <c r="A53" t="s">
        <v>201</v>
      </c>
      <c r="B53" t="s">
        <v>52</v>
      </c>
      <c r="C53" t="s">
        <v>204</v>
      </c>
      <c r="D53" t="s">
        <v>203</v>
      </c>
      <c r="E53" t="s">
        <v>222</v>
      </c>
      <c r="F53" t="s">
        <v>203</v>
      </c>
      <c r="G53" t="s">
        <v>793</v>
      </c>
      <c r="H53" t="s">
        <v>203</v>
      </c>
      <c r="I53" t="s">
        <v>203</v>
      </c>
      <c r="J53" t="s">
        <v>203</v>
      </c>
      <c r="K53" t="s">
        <v>203</v>
      </c>
      <c r="L53">
        <v>0.084468616509959002</v>
      </c>
      <c r="M53">
        <v>0.13536095553319299</v>
      </c>
      <c r="N53">
        <v>0.0409498522859724</v>
      </c>
      <c r="O53">
        <v>0.10981546250322</v>
      </c>
      <c r="P53">
        <v>0.047285361377586599</v>
      </c>
      <c r="Q53">
        <v>0.119952211640208</v>
      </c>
      <c r="R53">
        <v>0.27773941026134602</v>
      </c>
      <c r="S53">
        <v>0.106080282563789</v>
      </c>
      <c r="T53">
        <v>0.119091250685192</v>
      </c>
      <c r="U53">
        <v>0.066695759462460202</v>
      </c>
      <c r="V53">
        <v>0.113956451756205</v>
      </c>
      <c r="W53">
        <v>0.122094254161616</v>
      </c>
      <c r="X53">
        <v>0.078579053800138604</v>
      </c>
      <c r="Y53">
        <v>0.20228907672822999</v>
      </c>
      <c r="Z53">
        <v>0.13616338109081599</v>
      </c>
      <c r="AA53">
        <v>0.095456626800802899</v>
      </c>
      <c r="AB53">
        <v>0.084974037297920704</v>
      </c>
      <c r="AC53">
        <v>0.118563502026231</v>
      </c>
      <c r="AD53">
        <v>0.093416739436769897</v>
      </c>
      <c r="AE53">
        <v>0.094121656288588901</v>
      </c>
      <c r="AF53">
        <v>0.039572215137910503</v>
      </c>
      <c r="AG53">
        <v>0.091063820069514606</v>
      </c>
      <c r="AH53">
        <v>0.162600239598469</v>
      </c>
      <c r="AI53">
        <v>0.15482274797343601</v>
      </c>
      <c r="AJ53">
        <v>0.084972826960627301</v>
      </c>
      <c r="AK53">
        <v>0.079910362844633306</v>
      </c>
      <c r="AL53">
        <v>0.39421630896855397</v>
      </c>
      <c r="AM53">
        <v>0.10233827837146101</v>
      </c>
      <c r="AN53">
        <v>0.109032917374999</v>
      </c>
      <c r="AO53">
        <v>0.123569307391937</v>
      </c>
      <c r="AP53">
        <v>0.076293827234595393</v>
      </c>
      <c r="AQ53">
        <v>0.038768980456338503</v>
      </c>
      <c r="AR53">
        <v>0.058065287255234799</v>
      </c>
      <c r="AS53">
        <v>0.088337286233762705</v>
      </c>
      <c r="AT53">
        <v>0.10512177972932001</v>
      </c>
      <c r="AU53">
        <v>0.106064057476222</v>
      </c>
      <c r="AV53">
        <v>0.106542092290264</v>
      </c>
      <c r="AW53" t="s">
        <v>203</v>
      </c>
    </row>
    <row r="54" spans="1:49" ht="12.75">
      <c r="A54" t="s">
        <v>201</v>
      </c>
      <c r="B54" t="s">
        <v>52</v>
      </c>
      <c r="C54" t="s">
        <v>873</v>
      </c>
      <c r="D54" t="s">
        <v>203</v>
      </c>
      <c r="E54" t="s">
        <v>222</v>
      </c>
      <c r="F54" t="s">
        <v>203</v>
      </c>
      <c r="G54" t="s">
        <v>793</v>
      </c>
      <c r="H54" t="s">
        <v>203</v>
      </c>
      <c r="I54" t="s">
        <v>203</v>
      </c>
      <c r="J54" t="s">
        <v>203</v>
      </c>
      <c r="K54" t="s">
        <v>203</v>
      </c>
      <c r="L54">
        <v>0.036563060580973798</v>
      </c>
      <c r="M54">
        <v>0.103033891430033</v>
      </c>
      <c r="N54">
        <v>0.046652512626298701</v>
      </c>
      <c r="O54">
        <v>0.0112948361923459</v>
      </c>
      <c r="P54">
        <v>0.065076536212449798</v>
      </c>
      <c r="Q54">
        <v>0.12844248582946199</v>
      </c>
      <c r="R54">
        <v>0.069851898176143304</v>
      </c>
      <c r="S54">
        <v>0.12721677447889901</v>
      </c>
      <c r="T54">
        <v>0.115663017514648</v>
      </c>
      <c r="U54">
        <v>0.032261832293213798</v>
      </c>
      <c r="V54">
        <v>0.0353548742977483</v>
      </c>
      <c r="W54">
        <v>0.101010717078894</v>
      </c>
      <c r="X54">
        <v>0.094800685266773099</v>
      </c>
      <c r="Y54">
        <v>0.096682925190904906</v>
      </c>
      <c r="Z54">
        <v>0.134562321602509</v>
      </c>
      <c r="AA54">
        <v>0.099478340930074197</v>
      </c>
      <c r="AB54">
        <v>0.127770039580585</v>
      </c>
      <c r="AC54">
        <v>0.15268997626778899</v>
      </c>
      <c r="AD54">
        <v>0.26730524075843698</v>
      </c>
      <c r="AE54">
        <v>0.0110395002648667</v>
      </c>
      <c r="AF54">
        <v>0.045083026270265301</v>
      </c>
      <c r="AG54">
        <v>0.087919453515085302</v>
      </c>
      <c r="AH54">
        <v>0.15474968178487999</v>
      </c>
      <c r="AI54">
        <v>0.118542645075189</v>
      </c>
      <c r="AJ54">
        <v>0.089692080027295604</v>
      </c>
      <c r="AK54">
        <v>0.049142735666414597</v>
      </c>
      <c r="AL54">
        <v>0.045067364022102901</v>
      </c>
      <c r="AM54">
        <v>0.116800491532881</v>
      </c>
      <c r="AN54">
        <v>0.110753594253292</v>
      </c>
      <c r="AO54">
        <v>0.168645533824725</v>
      </c>
      <c r="AP54">
        <v>0.016244371596063199</v>
      </c>
      <c r="AQ54">
        <v>0.10180512012750401</v>
      </c>
      <c r="AR54">
        <v>0.066151436344800904</v>
      </c>
      <c r="AS54">
        <v>0.17478967491651401</v>
      </c>
      <c r="AT54">
        <v>0.13037369067573401</v>
      </c>
      <c r="AU54">
        <v>0.133434537961793</v>
      </c>
      <c r="AV54">
        <v>0.126228577752172</v>
      </c>
      <c r="AW54" t="s">
        <v>203</v>
      </c>
    </row>
    <row r="55" spans="1:49" ht="12.75">
      <c r="A55" t="s">
        <v>201</v>
      </c>
      <c r="B55" t="s">
        <v>52</v>
      </c>
      <c r="C55" t="s">
        <v>874</v>
      </c>
      <c r="D55" t="s">
        <v>203</v>
      </c>
      <c r="E55" t="s">
        <v>222</v>
      </c>
      <c r="F55" t="s">
        <v>203</v>
      </c>
      <c r="G55" t="s">
        <v>793</v>
      </c>
      <c r="H55" t="s">
        <v>203</v>
      </c>
      <c r="I55" t="s">
        <v>203</v>
      </c>
      <c r="J55" t="s">
        <v>203</v>
      </c>
      <c r="K55" t="s">
        <v>203</v>
      </c>
      <c r="L55">
        <v>0.036563060580973798</v>
      </c>
      <c r="M55">
        <v>0.103033891430033</v>
      </c>
      <c r="N55">
        <v>0.046652512626298701</v>
      </c>
      <c r="O55">
        <v>0.0112948361923459</v>
      </c>
      <c r="P55">
        <v>0.065076536212449798</v>
      </c>
      <c r="Q55">
        <v>0.12844248582946199</v>
      </c>
      <c r="R55">
        <v>0.069851898176143304</v>
      </c>
      <c r="S55">
        <v>0.12721677447889901</v>
      </c>
      <c r="T55">
        <v>0.115663017514648</v>
      </c>
      <c r="U55">
        <v>0.032261832293213798</v>
      </c>
      <c r="V55">
        <v>0.0353548742977483</v>
      </c>
      <c r="W55">
        <v>0.101010717078894</v>
      </c>
      <c r="X55">
        <v>0.094800685266773099</v>
      </c>
      <c r="Y55">
        <v>0.096682925190904906</v>
      </c>
      <c r="Z55">
        <v>0.134562321602509</v>
      </c>
      <c r="AA55">
        <v>0.099478340930074197</v>
      </c>
      <c r="AB55">
        <v>0.127770039580585</v>
      </c>
      <c r="AC55">
        <v>0.15268997626778899</v>
      </c>
      <c r="AD55">
        <v>0.26730524075843698</v>
      </c>
      <c r="AE55">
        <v>0.0110395002648667</v>
      </c>
      <c r="AF55">
        <v>0.045083026270265301</v>
      </c>
      <c r="AG55">
        <v>0.087919453515085302</v>
      </c>
      <c r="AH55">
        <v>0.15474968178487999</v>
      </c>
      <c r="AI55">
        <v>0.118542645075189</v>
      </c>
      <c r="AJ55">
        <v>0.089692080027295604</v>
      </c>
      <c r="AK55">
        <v>0.049142735666414597</v>
      </c>
      <c r="AL55">
        <v>0.045067364022102901</v>
      </c>
      <c r="AM55">
        <v>0.116800491532881</v>
      </c>
      <c r="AN55">
        <v>0.110753594253292</v>
      </c>
      <c r="AO55">
        <v>0.168645533824725</v>
      </c>
      <c r="AP55">
        <v>0.016244371596063199</v>
      </c>
      <c r="AQ55">
        <v>0.10180512012750401</v>
      </c>
      <c r="AR55">
        <v>0.066151436344800904</v>
      </c>
      <c r="AS55">
        <v>0.17478967491651401</v>
      </c>
      <c r="AT55">
        <v>0.13037369067573401</v>
      </c>
      <c r="AU55">
        <v>0.133434537961793</v>
      </c>
      <c r="AV55">
        <v>0.126228577752172</v>
      </c>
      <c r="AW55" t="s">
        <v>203</v>
      </c>
    </row>
    <row r="56" spans="1:49" ht="12.75">
      <c r="A56" t="s">
        <v>201</v>
      </c>
      <c r="B56" t="s">
        <v>52</v>
      </c>
      <c r="C56" t="s">
        <v>875</v>
      </c>
      <c r="D56" t="s">
        <v>203</v>
      </c>
      <c r="E56" t="s">
        <v>222</v>
      </c>
      <c r="F56" t="s">
        <v>203</v>
      </c>
      <c r="G56" t="s">
        <v>793</v>
      </c>
      <c r="H56" t="s">
        <v>203</v>
      </c>
      <c r="I56" t="s">
        <v>203</v>
      </c>
      <c r="J56" t="s">
        <v>203</v>
      </c>
      <c r="K56" t="s">
        <v>203</v>
      </c>
      <c r="L56">
        <v>0.036563060580973798</v>
      </c>
      <c r="M56">
        <v>0.103033891430033</v>
      </c>
      <c r="N56">
        <v>0.046652512626298701</v>
      </c>
      <c r="O56">
        <v>0.13416791906789199</v>
      </c>
      <c r="P56">
        <v>0.065076536212449798</v>
      </c>
      <c r="Q56">
        <v>0.12844248582946199</v>
      </c>
      <c r="R56">
        <v>0.069851898176143304</v>
      </c>
      <c r="S56">
        <v>0.12721677447889901</v>
      </c>
      <c r="T56">
        <v>0.115663017514648</v>
      </c>
      <c r="U56">
        <v>0.032261832293213798</v>
      </c>
      <c r="V56">
        <v>0.0353548742977483</v>
      </c>
      <c r="W56">
        <v>0.101010717078894</v>
      </c>
      <c r="X56">
        <v>0.094800685266773099</v>
      </c>
      <c r="Y56">
        <v>0.096682925190904906</v>
      </c>
      <c r="Z56">
        <v>0.134562321602509</v>
      </c>
      <c r="AA56">
        <v>0.099478340930074197</v>
      </c>
      <c r="AB56">
        <v>0.127770039580585</v>
      </c>
      <c r="AC56">
        <v>0.15268997626778899</v>
      </c>
      <c r="AD56">
        <v>0.26730524075843698</v>
      </c>
      <c r="AE56">
        <v>0.0110395002648667</v>
      </c>
      <c r="AF56">
        <v>0.045083026270265301</v>
      </c>
      <c r="AG56">
        <v>0.087919453515085302</v>
      </c>
      <c r="AH56">
        <v>0.15474968178487999</v>
      </c>
      <c r="AI56">
        <v>0.118542645075189</v>
      </c>
      <c r="AJ56">
        <v>0.089692080027295604</v>
      </c>
      <c r="AK56">
        <v>0.049142735666414597</v>
      </c>
      <c r="AL56">
        <v>0.045067364022102901</v>
      </c>
      <c r="AM56">
        <v>0.116800491532881</v>
      </c>
      <c r="AN56">
        <v>0.110753594253292</v>
      </c>
      <c r="AO56">
        <v>0.168645533824725</v>
      </c>
      <c r="AP56">
        <v>0.016244371596063199</v>
      </c>
      <c r="AQ56">
        <v>0.10180512012750401</v>
      </c>
      <c r="AR56">
        <v>0.066151436344800904</v>
      </c>
      <c r="AS56">
        <v>0.17478967491651401</v>
      </c>
      <c r="AT56">
        <v>0.13037369067573401</v>
      </c>
      <c r="AU56">
        <v>0.133434537961793</v>
      </c>
      <c r="AV56">
        <v>0.126228577752172</v>
      </c>
      <c r="AW56" t="s">
        <v>203</v>
      </c>
    </row>
    <row r="57" spans="1:49" ht="12.75">
      <c r="A57" t="s">
        <v>201</v>
      </c>
      <c r="B57" t="s">
        <v>52</v>
      </c>
      <c r="C57" t="s">
        <v>205</v>
      </c>
      <c r="D57" t="s">
        <v>203</v>
      </c>
      <c r="E57" t="s">
        <v>222</v>
      </c>
      <c r="F57" t="s">
        <v>203</v>
      </c>
      <c r="G57" t="s">
        <v>793</v>
      </c>
      <c r="H57" t="s">
        <v>203</v>
      </c>
      <c r="I57" t="s">
        <v>203</v>
      </c>
      <c r="J57" t="s">
        <v>203</v>
      </c>
      <c r="K57" t="s">
        <v>203</v>
      </c>
      <c r="L57">
        <v>0.084468616509959002</v>
      </c>
      <c r="M57">
        <v>0.145061992820712</v>
      </c>
      <c r="N57">
        <v>0.044587904266938497</v>
      </c>
      <c r="O57">
        <v>0.13605591097688199</v>
      </c>
      <c r="P57">
        <v>0.054427236523736697</v>
      </c>
      <c r="Q57">
        <v>0.13689199444861999</v>
      </c>
      <c r="R57">
        <v>0.27773941026134602</v>
      </c>
      <c r="S57">
        <v>0.12779199574599201</v>
      </c>
      <c r="T57">
        <v>0.133951703400464</v>
      </c>
      <c r="U57">
        <v>0.11761931700771</v>
      </c>
      <c r="V57">
        <v>0.13991518195952099</v>
      </c>
      <c r="W57">
        <v>0.084858412224588606</v>
      </c>
      <c r="X57">
        <v>0.091712311292493007</v>
      </c>
      <c r="Y57">
        <v>0.22690964013310999</v>
      </c>
      <c r="Z57">
        <v>0.14758543313877701</v>
      </c>
      <c r="AA57">
        <v>0.088746335948097194</v>
      </c>
      <c r="AB57">
        <v>0.11080938455872</v>
      </c>
      <c r="AC57">
        <v>0.14312558867667199</v>
      </c>
      <c r="AD57">
        <v>0.093416739436769897</v>
      </c>
      <c r="AE57">
        <v>0.11405005907601</v>
      </c>
      <c r="AF57">
        <v>0.070121398992618003</v>
      </c>
      <c r="AG57">
        <v>0.108685609097926</v>
      </c>
      <c r="AH57">
        <v>0.187618044321021</v>
      </c>
      <c r="AI57">
        <v>0.13929839891850099</v>
      </c>
      <c r="AJ57">
        <v>0.084972826960627301</v>
      </c>
      <c r="AK57">
        <v>0.079910362844633306</v>
      </c>
      <c r="AL57">
        <v>0.39421630896855397</v>
      </c>
      <c r="AM57">
        <v>0.132343113160869</v>
      </c>
      <c r="AN57">
        <v>0.112693132648658</v>
      </c>
      <c r="AO57">
        <v>0.13857784348305199</v>
      </c>
      <c r="AP57">
        <v>0.031371803494745498</v>
      </c>
      <c r="AQ57">
        <v>0.086306872991300604</v>
      </c>
      <c r="AR57">
        <v>0.063223902525664802</v>
      </c>
      <c r="AS57">
        <v>0.172506757651019</v>
      </c>
      <c r="AT57">
        <v>0.109119510657505</v>
      </c>
      <c r="AU57">
        <v>0.122090085082098</v>
      </c>
      <c r="AV57">
        <v>0.12331220054500699</v>
      </c>
      <c r="AW57" t="s">
        <v>203</v>
      </c>
    </row>
    <row r="58" spans="1:49" ht="12.75">
      <c r="A58" t="s">
        <v>201</v>
      </c>
      <c r="B58" t="s">
        <v>52</v>
      </c>
      <c r="C58" t="s">
        <v>206</v>
      </c>
      <c r="D58" t="s">
        <v>203</v>
      </c>
      <c r="E58" t="s">
        <v>222</v>
      </c>
      <c r="F58" t="s">
        <v>203</v>
      </c>
      <c r="G58" t="s">
        <v>793</v>
      </c>
      <c r="H58" t="s">
        <v>203</v>
      </c>
      <c r="I58" t="s">
        <v>203</v>
      </c>
      <c r="J58" t="s">
        <v>203</v>
      </c>
      <c r="K58" t="s">
        <v>203</v>
      </c>
      <c r="L58">
        <v>0</v>
      </c>
      <c r="M58">
        <v>0</v>
      </c>
      <c r="N58">
        <v>0</v>
      </c>
      <c r="O58">
        <v>0</v>
      </c>
      <c r="P58">
        <v>0</v>
      </c>
      <c r="Q58">
        <v>0.116026652251915</v>
      </c>
      <c r="R58">
        <v>0.055231793842924502</v>
      </c>
      <c r="S58">
        <v>0</v>
      </c>
      <c r="T58">
        <v>0.11707639845250201</v>
      </c>
      <c r="U58">
        <v>0</v>
      </c>
      <c r="V58">
        <v>0</v>
      </c>
      <c r="W58">
        <v>0.094433862731313697</v>
      </c>
      <c r="X58">
        <v>0.084785809652671199</v>
      </c>
      <c r="Y58">
        <v>0</v>
      </c>
      <c r="Z58">
        <v>0.12705433123850299</v>
      </c>
      <c r="AA58">
        <v>0</v>
      </c>
      <c r="AB58">
        <v>0</v>
      </c>
      <c r="AC58">
        <v>0</v>
      </c>
      <c r="AD58">
        <v>0.232896033177411</v>
      </c>
      <c r="AE58">
        <v>0.086793711776036994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0.115102119640266</v>
      </c>
      <c r="AP58">
        <v>0</v>
      </c>
      <c r="AQ58">
        <v>0.092386096326708203</v>
      </c>
      <c r="AR58">
        <v>0</v>
      </c>
      <c r="AS58">
        <v>0</v>
      </c>
      <c r="AT58">
        <v>0.101368080775152</v>
      </c>
      <c r="AU58">
        <v>0</v>
      </c>
      <c r="AV58">
        <v>0</v>
      </c>
      <c r="AW58" t="s">
        <v>203</v>
      </c>
    </row>
    <row r="59" spans="1:49" ht="12.75">
      <c r="A59" t="s">
        <v>201</v>
      </c>
      <c r="B59" t="s">
        <v>52</v>
      </c>
      <c r="C59" t="s">
        <v>207</v>
      </c>
      <c r="D59" t="s">
        <v>203</v>
      </c>
      <c r="E59" t="s">
        <v>222</v>
      </c>
      <c r="F59" t="s">
        <v>203</v>
      </c>
      <c r="G59" t="s">
        <v>793</v>
      </c>
      <c r="H59" t="s">
        <v>203</v>
      </c>
      <c r="I59" t="s">
        <v>203</v>
      </c>
      <c r="J59" t="s">
        <v>203</v>
      </c>
      <c r="K59" t="s">
        <v>203</v>
      </c>
      <c r="L59">
        <v>0.084468616509959002</v>
      </c>
      <c r="M59">
        <v>0.120001272162704</v>
      </c>
      <c r="N59">
        <v>0.038232062072919903</v>
      </c>
      <c r="O59">
        <v>0.087662285040013901</v>
      </c>
      <c r="P59">
        <v>0.043541961706948698</v>
      </c>
      <c r="Q59">
        <v>0.116026652251915</v>
      </c>
      <c r="R59">
        <v>0.27773941026134602</v>
      </c>
      <c r="S59">
        <v>0.094994744319595995</v>
      </c>
      <c r="T59">
        <v>0.1131367140296</v>
      </c>
      <c r="U59">
        <v>0.097389100917747204</v>
      </c>
      <c r="V59">
        <v>0.11413397738907199</v>
      </c>
      <c r="W59">
        <v>0.081130876765261706</v>
      </c>
      <c r="X59">
        <v>0.114912699505585</v>
      </c>
      <c r="Y59">
        <v>0.19160978046185501</v>
      </c>
      <c r="Z59">
        <v>0.122022447896729</v>
      </c>
      <c r="AA59">
        <v>0.075648988812702003</v>
      </c>
      <c r="AB59">
        <v>0.093334359605724296</v>
      </c>
      <c r="AC59">
        <v>0.079139151715527295</v>
      </c>
      <c r="AD59">
        <v>0.232896033177411</v>
      </c>
      <c r="AE59">
        <v>0.096035646691772697</v>
      </c>
      <c r="AF59">
        <v>0.0369458569703753</v>
      </c>
      <c r="AG59">
        <v>0.083981390430975106</v>
      </c>
      <c r="AH59">
        <v>0.084039574944359693</v>
      </c>
      <c r="AI59">
        <v>0.10728500282187001</v>
      </c>
      <c r="AJ59">
        <v>0.084972826960627301</v>
      </c>
      <c r="AK59">
        <v>0.0413122631243057</v>
      </c>
      <c r="AL59">
        <v>0.39421630896855397</v>
      </c>
      <c r="AM59">
        <v>0.11109202465293</v>
      </c>
      <c r="AN59">
        <v>0.096496696767131906</v>
      </c>
      <c r="AO59">
        <v>0.109477711892811</v>
      </c>
      <c r="AP59">
        <v>0.025852597756519199</v>
      </c>
      <c r="AQ59">
        <v>0.068276332310354598</v>
      </c>
      <c r="AR59">
        <v>0.0542115671412206</v>
      </c>
      <c r="AS59">
        <v>0.145671698400484</v>
      </c>
      <c r="AT59">
        <v>0.097440171396879993</v>
      </c>
      <c r="AU59">
        <v>0.097667824050684707</v>
      </c>
      <c r="AV59">
        <v>0.094466668227107795</v>
      </c>
      <c r="AW59" t="s">
        <v>203</v>
      </c>
    </row>
    <row r="60" spans="1:49" ht="12.75">
      <c r="A60" t="s">
        <v>201</v>
      </c>
      <c r="B60" t="s">
        <v>52</v>
      </c>
      <c r="C60" t="s">
        <v>208</v>
      </c>
      <c r="D60" t="s">
        <v>203</v>
      </c>
      <c r="E60" t="s">
        <v>222</v>
      </c>
      <c r="F60" t="s">
        <v>203</v>
      </c>
      <c r="G60" t="s">
        <v>793</v>
      </c>
      <c r="H60" t="s">
        <v>203</v>
      </c>
      <c r="I60" t="s">
        <v>203</v>
      </c>
      <c r="J60" t="s">
        <v>203</v>
      </c>
      <c r="K60" t="s">
        <v>203</v>
      </c>
      <c r="L60">
        <v>0.084468616509959002</v>
      </c>
      <c r="M60">
        <v>0.13235626203480799</v>
      </c>
      <c r="N60">
        <v>0.070121398992618003</v>
      </c>
      <c r="O60">
        <v>0.122587965986849</v>
      </c>
      <c r="P60">
        <v>0.047639266201208501</v>
      </c>
      <c r="Q60">
        <v>0.099003785534894806</v>
      </c>
      <c r="R60">
        <v>0.062606951048820803</v>
      </c>
      <c r="S60">
        <v>0.080272477171214995</v>
      </c>
      <c r="T60">
        <v>0.12661394849591501</v>
      </c>
      <c r="U60">
        <v>0.112557682445173</v>
      </c>
      <c r="V60">
        <v>0.107628952841131</v>
      </c>
      <c r="W60">
        <v>0.122094254161616</v>
      </c>
      <c r="X60">
        <v>0.0841392775339561</v>
      </c>
      <c r="Y60">
        <v>0.10941463864284599</v>
      </c>
      <c r="Z60">
        <v>0.13734661070874099</v>
      </c>
      <c r="AA60">
        <v>0.089797946215299199</v>
      </c>
      <c r="AB60">
        <v>0.11402796479568</v>
      </c>
      <c r="AC60">
        <v>0.13237477613199999</v>
      </c>
      <c r="AD60">
        <v>0.093416739436769897</v>
      </c>
      <c r="AE60">
        <v>0.10602366658840801</v>
      </c>
      <c r="AF60">
        <v>0.040859315113958503</v>
      </c>
      <c r="AG60">
        <v>0.095772417174196503</v>
      </c>
      <c r="AH60">
        <v>0.084039574944359693</v>
      </c>
      <c r="AI60">
        <v>0.099832561012994106</v>
      </c>
      <c r="AJ60">
        <v>0.084972826960627301</v>
      </c>
      <c r="AK60">
        <v>0.079910362844633306</v>
      </c>
      <c r="AL60">
        <v>0.041001931966603601</v>
      </c>
      <c r="AM60">
        <v>0.074872452393706296</v>
      </c>
      <c r="AN60">
        <v>0.109032917374999</v>
      </c>
      <c r="AO60">
        <v>0.098046493876404905</v>
      </c>
      <c r="AP60">
        <v>0.0270738386453079</v>
      </c>
      <c r="AQ60">
        <v>0.081988453862375701</v>
      </c>
      <c r="AR60">
        <v>0.059953880794286901</v>
      </c>
      <c r="AS60">
        <v>0.088337286233762705</v>
      </c>
      <c r="AT60">
        <v>0.113368158493639</v>
      </c>
      <c r="AU60">
        <v>0.0812833116532512</v>
      </c>
      <c r="AV60">
        <v>0.11396000405021001</v>
      </c>
      <c r="AW60" t="s">
        <v>203</v>
      </c>
    </row>
    <row r="61" spans="1:49" ht="12.75">
      <c r="A61" t="s">
        <v>201</v>
      </c>
      <c r="B61" t="s">
        <v>52</v>
      </c>
      <c r="C61" t="s">
        <v>209</v>
      </c>
      <c r="D61" t="s">
        <v>203</v>
      </c>
      <c r="E61" t="s">
        <v>222</v>
      </c>
      <c r="F61" t="s">
        <v>203</v>
      </c>
      <c r="G61" t="s">
        <v>793</v>
      </c>
      <c r="H61" t="s">
        <v>203</v>
      </c>
      <c r="I61" t="s">
        <v>203</v>
      </c>
      <c r="J61" t="s">
        <v>203</v>
      </c>
      <c r="K61" t="s">
        <v>203</v>
      </c>
      <c r="L61">
        <v>0.034116376403225401</v>
      </c>
      <c r="M61">
        <v>0.13334724431598</v>
      </c>
      <c r="N61">
        <v>0.070121398992618003</v>
      </c>
      <c r="O61">
        <v>0.11752389258202001</v>
      </c>
      <c r="P61">
        <v>0.065766077540738002</v>
      </c>
      <c r="Q61">
        <v>0.12930120934331199</v>
      </c>
      <c r="R61">
        <v>0.062129293702949201</v>
      </c>
      <c r="S61">
        <v>0.080272477171214995</v>
      </c>
      <c r="T61">
        <v>0.12709128305444001</v>
      </c>
      <c r="U61">
        <v>0.109058389686785</v>
      </c>
      <c r="V61">
        <v>0.11394068218676801</v>
      </c>
      <c r="W61">
        <v>0.0794999121768247</v>
      </c>
      <c r="X61">
        <v>0.085155349429871102</v>
      </c>
      <c r="Y61">
        <v>0.21514291392448501</v>
      </c>
      <c r="Z61">
        <v>0.131355323165184</v>
      </c>
      <c r="AA61">
        <v>0.089095140901243305</v>
      </c>
      <c r="AB61">
        <v>0.078711006478987405</v>
      </c>
      <c r="AC61">
        <v>0.13628198738640299</v>
      </c>
      <c r="AD61">
        <v>0.26116137780995102</v>
      </c>
      <c r="AE61">
        <v>0.10514542078576999</v>
      </c>
      <c r="AF61">
        <v>0.040859315113958503</v>
      </c>
      <c r="AG61">
        <v>0.098666411034444304</v>
      </c>
      <c r="AH61">
        <v>0.177478871907255</v>
      </c>
      <c r="AI61">
        <v>0.120275218280762</v>
      </c>
      <c r="AJ61">
        <v>0.084972826960627301</v>
      </c>
      <c r="AK61">
        <v>0.045854259485926099</v>
      </c>
      <c r="AL61">
        <v>0.39421630896855397</v>
      </c>
      <c r="AM61">
        <v>0.12474121855817701</v>
      </c>
      <c r="AN61">
        <v>0.108207984215068</v>
      </c>
      <c r="AO61">
        <v>0.120367790364567</v>
      </c>
      <c r="AP61">
        <v>0.028014579090118098</v>
      </c>
      <c r="AQ61">
        <v>0.051010721777746397</v>
      </c>
      <c r="AR61">
        <v>0.059953880794286901</v>
      </c>
      <c r="AS61">
        <v>0.163560921997848</v>
      </c>
      <c r="AT61">
        <v>0.11787643953601901</v>
      </c>
      <c r="AU61">
        <v>0.0812833116532512</v>
      </c>
      <c r="AV61">
        <v>0.116480980364598</v>
      </c>
      <c r="AW61" t="s">
        <v>203</v>
      </c>
    </row>
    <row r="62" spans="1:49" ht="12.75">
      <c r="A62" t="s">
        <v>201</v>
      </c>
      <c r="B62" t="s">
        <v>52</v>
      </c>
      <c r="C62" t="s">
        <v>210</v>
      </c>
      <c r="D62" t="s">
        <v>203</v>
      </c>
      <c r="E62" t="s">
        <v>222</v>
      </c>
      <c r="F62" t="s">
        <v>203</v>
      </c>
      <c r="G62" t="s">
        <v>793</v>
      </c>
      <c r="H62" t="s">
        <v>203</v>
      </c>
      <c r="I62" t="s">
        <v>203</v>
      </c>
      <c r="J62" t="s">
        <v>203</v>
      </c>
      <c r="K62" t="s">
        <v>203</v>
      </c>
      <c r="L62">
        <v>0.0089717485512610506</v>
      </c>
      <c r="M62">
        <v>0.026249801511179699</v>
      </c>
      <c r="N62">
        <v>0.012961055718733801</v>
      </c>
      <c r="O62">
        <v>0.029909645696496401</v>
      </c>
      <c r="P62">
        <v>0.012258958185925</v>
      </c>
      <c r="Q62">
        <v>0.023193599721039699</v>
      </c>
      <c r="R62">
        <v>0.0125781104990128</v>
      </c>
      <c r="S62">
        <v>0.024127213045682699</v>
      </c>
      <c r="T62">
        <v>0.023019009833103801</v>
      </c>
      <c r="U62">
        <v>0.019222890482028201</v>
      </c>
      <c r="V62">
        <v>0.0276231802587729</v>
      </c>
      <c r="W62">
        <v>0.0268894384565652</v>
      </c>
      <c r="X62">
        <v>0.023131203626307401</v>
      </c>
      <c r="Y62">
        <v>0.033562829598518397</v>
      </c>
      <c r="Z62">
        <v>0.021927997120810099</v>
      </c>
      <c r="AA62">
        <v>0.024651479194338001</v>
      </c>
      <c r="AB62">
        <v>0.0195287089775712</v>
      </c>
      <c r="AC62">
        <v>0.0147014217992629</v>
      </c>
      <c r="AD62">
        <v>0.0176792124417917</v>
      </c>
      <c r="AE62">
        <v>0.0278816606252935</v>
      </c>
      <c r="AF62">
        <v>0.012525019180395801</v>
      </c>
      <c r="AG62">
        <v>0.0184563683147436</v>
      </c>
      <c r="AH62">
        <v>0.0443462422091839</v>
      </c>
      <c r="AI62">
        <v>0.020699329141435501</v>
      </c>
      <c r="AJ62">
        <v>0.022372400448963201</v>
      </c>
      <c r="AK62">
        <v>0.012884024361488999</v>
      </c>
      <c r="AL62">
        <v>0.0068102190870987104</v>
      </c>
      <c r="AM62">
        <v>0.022045773041673301</v>
      </c>
      <c r="AN62">
        <v>0.018890629035198999</v>
      </c>
      <c r="AO62">
        <v>0.020277032396806099</v>
      </c>
      <c r="AP62">
        <v>0.0067880563785620799</v>
      </c>
      <c r="AQ62">
        <v>0.0133911499844952</v>
      </c>
      <c r="AR62">
        <v>0.018378269552322302</v>
      </c>
      <c r="AS62">
        <v>0.035422472048701498</v>
      </c>
      <c r="AT62">
        <v>0.020840681556241501</v>
      </c>
      <c r="AU62">
        <v>0.024573800803518901</v>
      </c>
      <c r="AV62">
        <v>0.016867663943451301</v>
      </c>
      <c r="AW62" t="s">
        <v>203</v>
      </c>
    </row>
    <row r="63" spans="1:49" ht="12.75">
      <c r="A63" t="s">
        <v>201</v>
      </c>
      <c r="B63" t="s">
        <v>52</v>
      </c>
      <c r="C63" t="s">
        <v>211</v>
      </c>
      <c r="D63" t="s">
        <v>203</v>
      </c>
      <c r="E63" t="s">
        <v>222</v>
      </c>
      <c r="F63" t="s">
        <v>203</v>
      </c>
      <c r="G63" t="s">
        <v>793</v>
      </c>
      <c r="H63" t="s">
        <v>203</v>
      </c>
      <c r="I63" t="s">
        <v>203</v>
      </c>
      <c r="J63" t="s">
        <v>203</v>
      </c>
      <c r="K63" t="s">
        <v>203</v>
      </c>
      <c r="L63">
        <v>0.0214005939983683</v>
      </c>
      <c r="M63">
        <v>0.025176673761019099</v>
      </c>
      <c r="N63">
        <v>0.012145904906805701</v>
      </c>
      <c r="O63">
        <v>0.025115030426328601</v>
      </c>
      <c r="P63">
        <v>0.010802124285690599</v>
      </c>
      <c r="Q63">
        <v>0.022310700212496998</v>
      </c>
      <c r="R63">
        <v>0.062867263671245094</v>
      </c>
      <c r="S63">
        <v>0.022105624764111799</v>
      </c>
      <c r="T63">
        <v>0.020388256963540099</v>
      </c>
      <c r="U63">
        <v>0.0114302431746357</v>
      </c>
      <c r="V63">
        <v>0.021594519063217601</v>
      </c>
      <c r="W63">
        <v>0.038779916737477403</v>
      </c>
      <c r="X63">
        <v>0.020726402723080802</v>
      </c>
      <c r="Y63">
        <v>0.029814418052998601</v>
      </c>
      <c r="Z63">
        <v>0.020589075476959699</v>
      </c>
      <c r="AA63">
        <v>0.025001527848665901</v>
      </c>
      <c r="AB63">
        <v>0.0152629901509854</v>
      </c>
      <c r="AC63">
        <v>0.0124743206560922</v>
      </c>
      <c r="AD63">
        <v>0.0176792124417917</v>
      </c>
      <c r="AE63">
        <v>0.022992883198590101</v>
      </c>
      <c r="AF63">
        <v>0.0117372917162234</v>
      </c>
      <c r="AG63">
        <v>0.016470343434811401</v>
      </c>
      <c r="AH63">
        <v>0.037156651333038603</v>
      </c>
      <c r="AI63">
        <v>0.027664230345553899</v>
      </c>
      <c r="AJ63">
        <v>0.022628238842675601</v>
      </c>
      <c r="AK63">
        <v>0.021631727659127398</v>
      </c>
      <c r="AL63">
        <v>0.098670363574174497</v>
      </c>
      <c r="AM63">
        <v>0.019907700149229799</v>
      </c>
      <c r="AN63">
        <v>0.0197040419888736</v>
      </c>
      <c r="AO63">
        <v>0.018236179514745401</v>
      </c>
      <c r="AP63">
        <v>0.0178372963803901</v>
      </c>
      <c r="AQ63">
        <v>0.0060144163744436704</v>
      </c>
      <c r="AR63">
        <v>0.017222417616144299</v>
      </c>
      <c r="AS63">
        <v>0.017245999415929102</v>
      </c>
      <c r="AT63">
        <v>0.020036668746229901</v>
      </c>
      <c r="AU63">
        <v>0.021667721860932399</v>
      </c>
      <c r="AV63">
        <v>0.0145382284268257</v>
      </c>
      <c r="AW63" t="s">
        <v>203</v>
      </c>
    </row>
    <row r="64" spans="1:49" ht="12.75">
      <c r="A64" t="s">
        <v>201</v>
      </c>
      <c r="B64" t="s">
        <v>52</v>
      </c>
      <c r="C64" t="s">
        <v>879</v>
      </c>
      <c r="D64" t="s">
        <v>203</v>
      </c>
      <c r="E64" t="s">
        <v>222</v>
      </c>
      <c r="F64" t="s">
        <v>203</v>
      </c>
      <c r="G64" t="s">
        <v>793</v>
      </c>
      <c r="H64" t="s">
        <v>203</v>
      </c>
      <c r="I64" t="s">
        <v>203</v>
      </c>
      <c r="J64" t="s">
        <v>203</v>
      </c>
      <c r="K64" t="s">
        <v>203</v>
      </c>
      <c r="L64">
        <v>0.0092634548446630192</v>
      </c>
      <c r="M64">
        <v>0.019163950643256801</v>
      </c>
      <c r="N64">
        <v>0.013837338852054499</v>
      </c>
      <c r="O64">
        <v>0.0025831531203799802</v>
      </c>
      <c r="P64">
        <v>0.0148664367104179</v>
      </c>
      <c r="Q64">
        <v>0.0238898621101244</v>
      </c>
      <c r="R64">
        <v>0.015811215615545399</v>
      </c>
      <c r="S64">
        <v>0.0265101695844383</v>
      </c>
      <c r="T64">
        <v>0.019801348198959599</v>
      </c>
      <c r="U64">
        <v>0.0055289960162805797</v>
      </c>
      <c r="V64">
        <v>0.0066996777736966903</v>
      </c>
      <c r="W64">
        <v>0.032083305023733702</v>
      </c>
      <c r="X64">
        <v>0.025005101057347</v>
      </c>
      <c r="Y64">
        <v>0.0142496332320556</v>
      </c>
      <c r="Z64">
        <v>0.020346981498506899</v>
      </c>
      <c r="AA64">
        <v>0.026054875334034</v>
      </c>
      <c r="AB64">
        <v>0.022949984697940101</v>
      </c>
      <c r="AC64">
        <v>0.0160648402955752</v>
      </c>
      <c r="AD64">
        <v>0.050587787228126999</v>
      </c>
      <c r="AE64">
        <v>0.0026968282345415798</v>
      </c>
      <c r="AF64">
        <v>0.013371822349094099</v>
      </c>
      <c r="AG64">
        <v>0.015901634621620201</v>
      </c>
      <c r="AH64">
        <v>0.035362678334169097</v>
      </c>
      <c r="AI64">
        <v>0.021181583985926501</v>
      </c>
      <c r="AJ64">
        <v>0.0238849745471507</v>
      </c>
      <c r="AK64">
        <v>0.0133029338939081</v>
      </c>
      <c r="AL64">
        <v>0.0112801350228899</v>
      </c>
      <c r="AM64">
        <v>0.0227210111379758</v>
      </c>
      <c r="AN64">
        <v>0.020014996609509499</v>
      </c>
      <c r="AO64">
        <v>0.024888463762551001</v>
      </c>
      <c r="AP64">
        <v>0.00379789140451957</v>
      </c>
      <c r="AQ64">
        <v>0.0157935126044037</v>
      </c>
      <c r="AR64">
        <v>0.019620804726755901</v>
      </c>
      <c r="AS64">
        <v>0.034124012181489402</v>
      </c>
      <c r="AT64">
        <v>0.024849792878502201</v>
      </c>
      <c r="AU64">
        <v>0.027259210367718799</v>
      </c>
      <c r="AV64">
        <v>0.017224552830769801</v>
      </c>
      <c r="AW64" t="s">
        <v>203</v>
      </c>
    </row>
    <row r="65" spans="1:49" ht="12.75">
      <c r="A65" t="s">
        <v>201</v>
      </c>
      <c r="B65" t="s">
        <v>52</v>
      </c>
      <c r="C65" t="s">
        <v>880</v>
      </c>
      <c r="D65" t="s">
        <v>203</v>
      </c>
      <c r="E65" t="s">
        <v>222</v>
      </c>
      <c r="F65" t="s">
        <v>203</v>
      </c>
      <c r="G65" t="s">
        <v>793</v>
      </c>
      <c r="H65" t="s">
        <v>203</v>
      </c>
      <c r="I65" t="s">
        <v>203</v>
      </c>
      <c r="J65" t="s">
        <v>203</v>
      </c>
      <c r="K65" t="s">
        <v>203</v>
      </c>
      <c r="L65">
        <v>0.0092634548446630192</v>
      </c>
      <c r="M65">
        <v>0.019163950643256801</v>
      </c>
      <c r="N65">
        <v>0.013837338852054499</v>
      </c>
      <c r="O65">
        <v>0.0025831531203799802</v>
      </c>
      <c r="P65">
        <v>0.0148664367104179</v>
      </c>
      <c r="Q65">
        <v>0.0238898621101244</v>
      </c>
      <c r="R65">
        <v>0.015811215615545399</v>
      </c>
      <c r="S65">
        <v>0.0265101695844383</v>
      </c>
      <c r="T65">
        <v>0.019801348198959599</v>
      </c>
      <c r="U65">
        <v>0.0055289960162805797</v>
      </c>
      <c r="V65">
        <v>0.0066996777736966903</v>
      </c>
      <c r="W65">
        <v>0.032083305023733702</v>
      </c>
      <c r="X65">
        <v>0.025005101057347</v>
      </c>
      <c r="Y65">
        <v>0.0142496332320556</v>
      </c>
      <c r="Z65">
        <v>0.020346981498506899</v>
      </c>
      <c r="AA65">
        <v>0.026054875334034</v>
      </c>
      <c r="AB65">
        <v>0.022949984697940101</v>
      </c>
      <c r="AC65">
        <v>0.0160648402955752</v>
      </c>
      <c r="AD65">
        <v>0.050587787228126999</v>
      </c>
      <c r="AE65">
        <v>0.0026968282345415798</v>
      </c>
      <c r="AF65">
        <v>0.013371822349094099</v>
      </c>
      <c r="AG65">
        <v>0.015901634621620201</v>
      </c>
      <c r="AH65">
        <v>0.035362678334169097</v>
      </c>
      <c r="AI65">
        <v>0.021181583985926501</v>
      </c>
      <c r="AJ65">
        <v>0.0238849745471507</v>
      </c>
      <c r="AK65">
        <v>0.0133029338939081</v>
      </c>
      <c r="AL65">
        <v>0.0112801350228899</v>
      </c>
      <c r="AM65">
        <v>0.0227210111379758</v>
      </c>
      <c r="AN65">
        <v>0.020014996609509499</v>
      </c>
      <c r="AO65">
        <v>0.024888463762551001</v>
      </c>
      <c r="AP65">
        <v>0.00379789140451957</v>
      </c>
      <c r="AQ65">
        <v>0.0157935126044037</v>
      </c>
      <c r="AR65">
        <v>0.019620804726755901</v>
      </c>
      <c r="AS65">
        <v>0.034124012181489402</v>
      </c>
      <c r="AT65">
        <v>0.024849792878502201</v>
      </c>
      <c r="AU65">
        <v>0.027259210367718799</v>
      </c>
      <c r="AV65">
        <v>0.017224552830769801</v>
      </c>
      <c r="AW65" t="s">
        <v>203</v>
      </c>
    </row>
    <row r="66" spans="1:49" ht="12.75">
      <c r="A66" t="s">
        <v>201</v>
      </c>
      <c r="B66" t="s">
        <v>52</v>
      </c>
      <c r="C66" t="s">
        <v>881</v>
      </c>
      <c r="D66" t="s">
        <v>203</v>
      </c>
      <c r="E66" t="s">
        <v>222</v>
      </c>
      <c r="F66" t="s">
        <v>203</v>
      </c>
      <c r="G66" t="s">
        <v>793</v>
      </c>
      <c r="H66" t="s">
        <v>203</v>
      </c>
      <c r="I66" t="s">
        <v>203</v>
      </c>
      <c r="J66" t="s">
        <v>203</v>
      </c>
      <c r="K66" t="s">
        <v>203</v>
      </c>
      <c r="L66">
        <v>0.0092634548446630192</v>
      </c>
      <c r="M66">
        <v>0.019163950643256801</v>
      </c>
      <c r="N66">
        <v>0.013837338852054499</v>
      </c>
      <c r="O66">
        <v>0.0306844891677116</v>
      </c>
      <c r="P66">
        <v>0.0148664367104179</v>
      </c>
      <c r="Q66">
        <v>0.0238898621101244</v>
      </c>
      <c r="R66">
        <v>0.015811215615545399</v>
      </c>
      <c r="S66">
        <v>0.0265101695844383</v>
      </c>
      <c r="T66">
        <v>0.019801348198959599</v>
      </c>
      <c r="U66">
        <v>0.0055289960162805797</v>
      </c>
      <c r="V66">
        <v>0.0066996777736966903</v>
      </c>
      <c r="W66">
        <v>0.032083305023733702</v>
      </c>
      <c r="X66">
        <v>0.025005101057347</v>
      </c>
      <c r="Y66">
        <v>0.0142496332320556</v>
      </c>
      <c r="Z66">
        <v>0.020346981498506899</v>
      </c>
      <c r="AA66">
        <v>0.026054875334034</v>
      </c>
      <c r="AB66">
        <v>0.022949984697940101</v>
      </c>
      <c r="AC66">
        <v>0.0160648402955752</v>
      </c>
      <c r="AD66">
        <v>0.050587787228126999</v>
      </c>
      <c r="AE66">
        <v>0.0026968282345415798</v>
      </c>
      <c r="AF66">
        <v>0.013371822349094099</v>
      </c>
      <c r="AG66">
        <v>0.015901634621620201</v>
      </c>
      <c r="AH66">
        <v>0.035362678334169097</v>
      </c>
      <c r="AI66">
        <v>0.021181583985926501</v>
      </c>
      <c r="AJ66">
        <v>0.0238849745471507</v>
      </c>
      <c r="AK66">
        <v>0.0133029338939081</v>
      </c>
      <c r="AL66">
        <v>0.0112801350228899</v>
      </c>
      <c r="AM66">
        <v>0.0227210111379758</v>
      </c>
      <c r="AN66">
        <v>0.020014996609509499</v>
      </c>
      <c r="AO66">
        <v>0.024888463762551001</v>
      </c>
      <c r="AP66">
        <v>0.00379789140451957</v>
      </c>
      <c r="AQ66">
        <v>0.0157935126044037</v>
      </c>
      <c r="AR66">
        <v>0.019620804726755901</v>
      </c>
      <c r="AS66">
        <v>0.034124012181489402</v>
      </c>
      <c r="AT66">
        <v>0.024849792878502201</v>
      </c>
      <c r="AU66">
        <v>0.027259210367718799</v>
      </c>
      <c r="AV66">
        <v>0.017224552830769801</v>
      </c>
      <c r="AW66" t="s">
        <v>203</v>
      </c>
    </row>
    <row r="67" spans="1:49" ht="12.75">
      <c r="A67" t="s">
        <v>201</v>
      </c>
      <c r="B67" t="s">
        <v>52</v>
      </c>
      <c r="C67" t="s">
        <v>212</v>
      </c>
      <c r="D67" t="s">
        <v>203</v>
      </c>
      <c r="E67" t="s">
        <v>222</v>
      </c>
      <c r="F67" t="s">
        <v>203</v>
      </c>
      <c r="G67" t="s">
        <v>793</v>
      </c>
      <c r="H67" t="s">
        <v>203</v>
      </c>
      <c r="I67" t="s">
        <v>203</v>
      </c>
      <c r="J67" t="s">
        <v>203</v>
      </c>
      <c r="K67" t="s">
        <v>203</v>
      </c>
      <c r="L67">
        <v>0.0214005939983683</v>
      </c>
      <c r="M67">
        <v>0.0269810334448678</v>
      </c>
      <c r="N67">
        <v>0.013224967002030101</v>
      </c>
      <c r="O67">
        <v>0.031116276942930898</v>
      </c>
      <c r="P67">
        <v>0.012433652959978499</v>
      </c>
      <c r="Q67">
        <v>0.025461441751443398</v>
      </c>
      <c r="R67">
        <v>0.062867263671245094</v>
      </c>
      <c r="S67">
        <v>0.026630037529539699</v>
      </c>
      <c r="T67">
        <v>0.022932345860166001</v>
      </c>
      <c r="U67">
        <v>0.0201574643765681</v>
      </c>
      <c r="V67">
        <v>0.0265136463753919</v>
      </c>
      <c r="W67">
        <v>0.026952965011670701</v>
      </c>
      <c r="X67">
        <v>0.0241904961511436</v>
      </c>
      <c r="Y67">
        <v>0.033443124960587198</v>
      </c>
      <c r="Z67">
        <v>0.022316188081194802</v>
      </c>
      <c r="AA67">
        <v>0.023244001637555699</v>
      </c>
      <c r="AB67">
        <v>0.0199035211099459</v>
      </c>
      <c r="AC67">
        <v>0.015058550538172901</v>
      </c>
      <c r="AD67">
        <v>0.0176792124417917</v>
      </c>
      <c r="AE67">
        <v>0.0278611723436589</v>
      </c>
      <c r="AF67">
        <v>0.020798312974336899</v>
      </c>
      <c r="AG67">
        <v>0.019657524875389801</v>
      </c>
      <c r="AH67">
        <v>0.042873603838701903</v>
      </c>
      <c r="AI67">
        <v>0.024890289346300901</v>
      </c>
      <c r="AJ67">
        <v>0.022628238842675601</v>
      </c>
      <c r="AK67">
        <v>0.021631727659127398</v>
      </c>
      <c r="AL67">
        <v>0.098670363574174497</v>
      </c>
      <c r="AM67">
        <v>0.0257444922422779</v>
      </c>
      <c r="AN67">
        <v>0.020365503107009599</v>
      </c>
      <c r="AO67">
        <v>0.0204511175457808</v>
      </c>
      <c r="AP67">
        <v>0.0073346452420385202</v>
      </c>
      <c r="AQ67">
        <v>0.013389195796121099</v>
      </c>
      <c r="AR67">
        <v>0.018752485419268099</v>
      </c>
      <c r="AS67">
        <v>0.033678320543157399</v>
      </c>
      <c r="AT67">
        <v>0.020798653660781902</v>
      </c>
      <c r="AU67">
        <v>0.0249416632597666</v>
      </c>
      <c r="AV67">
        <v>0.016826597833781001</v>
      </c>
      <c r="AW67" t="s">
        <v>203</v>
      </c>
    </row>
    <row r="68" spans="1:49" ht="12.75">
      <c r="A68" t="s">
        <v>201</v>
      </c>
      <c r="B68" t="s">
        <v>52</v>
      </c>
      <c r="C68" t="s">
        <v>213</v>
      </c>
      <c r="D68" t="s">
        <v>203</v>
      </c>
      <c r="E68" t="s">
        <v>222</v>
      </c>
      <c r="F68" t="s">
        <v>203</v>
      </c>
      <c r="G68" t="s">
        <v>793</v>
      </c>
      <c r="H68" t="s">
        <v>203</v>
      </c>
      <c r="I68" t="s">
        <v>203</v>
      </c>
      <c r="J68" t="s">
        <v>203</v>
      </c>
      <c r="K68" t="s">
        <v>203</v>
      </c>
      <c r="L68">
        <v>0</v>
      </c>
      <c r="M68">
        <v>0</v>
      </c>
      <c r="N68">
        <v>0</v>
      </c>
      <c r="O68">
        <v>0</v>
      </c>
      <c r="P68">
        <v>0</v>
      </c>
      <c r="Q68">
        <v>0.021580559621665399</v>
      </c>
      <c r="R68">
        <v>0.0125019050889885</v>
      </c>
      <c r="S68">
        <v>0</v>
      </c>
      <c r="T68">
        <v>0.020043317055467101</v>
      </c>
      <c r="U68">
        <v>0</v>
      </c>
      <c r="V68">
        <v>0</v>
      </c>
      <c r="W68">
        <v>0.0299943462455746</v>
      </c>
      <c r="X68">
        <v>0.022363527569743202</v>
      </c>
      <c r="Y68">
        <v>0</v>
      </c>
      <c r="Z68">
        <v>0.019211708717775101</v>
      </c>
      <c r="AA68">
        <v>0</v>
      </c>
      <c r="AB68">
        <v>0</v>
      </c>
      <c r="AC68">
        <v>0</v>
      </c>
      <c r="AD68">
        <v>0.044075809883954903</v>
      </c>
      <c r="AE68">
        <v>0.021202747124632298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0.016986604202853701</v>
      </c>
      <c r="AP68">
        <v>0</v>
      </c>
      <c r="AQ68">
        <v>0.014332294632923201</v>
      </c>
      <c r="AR68">
        <v>0</v>
      </c>
      <c r="AS68">
        <v>0</v>
      </c>
      <c r="AT68">
        <v>0.019321197388045299</v>
      </c>
      <c r="AU68">
        <v>0</v>
      </c>
      <c r="AV68">
        <v>0</v>
      </c>
      <c r="AW68" t="s">
        <v>203</v>
      </c>
    </row>
    <row r="69" spans="1:49" ht="12.75">
      <c r="A69" t="s">
        <v>201</v>
      </c>
      <c r="B69" t="s">
        <v>52</v>
      </c>
      <c r="C69" t="s">
        <v>214</v>
      </c>
      <c r="D69" t="s">
        <v>203</v>
      </c>
      <c r="E69" t="s">
        <v>222</v>
      </c>
      <c r="F69" t="s">
        <v>203</v>
      </c>
      <c r="G69" t="s">
        <v>793</v>
      </c>
      <c r="H69" t="s">
        <v>203</v>
      </c>
      <c r="I69" t="s">
        <v>203</v>
      </c>
      <c r="J69" t="s">
        <v>203</v>
      </c>
      <c r="K69" t="s">
        <v>203</v>
      </c>
      <c r="L69">
        <v>0.0214005939983683</v>
      </c>
      <c r="M69">
        <v>0.0223198253015197</v>
      </c>
      <c r="N69">
        <v>0.011339796468273201</v>
      </c>
      <c r="O69">
        <v>0.02004855150482</v>
      </c>
      <c r="P69">
        <v>0.0099469617720672997</v>
      </c>
      <c r="Q69">
        <v>0.021580559621665399</v>
      </c>
      <c r="R69">
        <v>0.062867263671245094</v>
      </c>
      <c r="S69">
        <v>0.019795555985901499</v>
      </c>
      <c r="T69">
        <v>0.019368848545755001</v>
      </c>
      <c r="U69">
        <v>0.0166904330203414</v>
      </c>
      <c r="V69">
        <v>0.021628159814610502</v>
      </c>
      <c r="W69">
        <v>0.025769014827108</v>
      </c>
      <c r="X69">
        <v>0.0303099461340792</v>
      </c>
      <c r="Y69">
        <v>0.028240447730195101</v>
      </c>
      <c r="Z69">
        <v>0.018450844636073601</v>
      </c>
      <c r="AA69">
        <v>0.019813609216162601</v>
      </c>
      <c r="AB69">
        <v>0.016764666675965399</v>
      </c>
      <c r="AC69">
        <v>0.0083264000985076008</v>
      </c>
      <c r="AD69">
        <v>0.044075809883954799</v>
      </c>
      <c r="AE69">
        <v>0.023460449957601302</v>
      </c>
      <c r="AF69">
        <v>0.0109583024214312</v>
      </c>
      <c r="AG69">
        <v>0.0151893731393572</v>
      </c>
      <c r="AH69">
        <v>0.0192043332291237</v>
      </c>
      <c r="AI69">
        <v>0.019170031985201799</v>
      </c>
      <c r="AJ69">
        <v>0.022628238842675601</v>
      </c>
      <c r="AK69">
        <v>0.0111832257178546</v>
      </c>
      <c r="AL69">
        <v>0.098670363574174497</v>
      </c>
      <c r="AM69">
        <v>0.0216105522875213</v>
      </c>
      <c r="AN69">
        <v>0.0174385406780205</v>
      </c>
      <c r="AO69">
        <v>0.016156562248977598</v>
      </c>
      <c r="AP69">
        <v>0.0060442694396243002</v>
      </c>
      <c r="AQ69">
        <v>0.010592032243324501</v>
      </c>
      <c r="AR69">
        <v>0.016079387411410399</v>
      </c>
      <c r="AS69">
        <v>0.028439338954607402</v>
      </c>
      <c r="AT69">
        <v>0.018572520764796499</v>
      </c>
      <c r="AU69">
        <v>0.019952463602169301</v>
      </c>
      <c r="AV69">
        <v>0.0128904733508068</v>
      </c>
      <c r="AW69" t="s">
        <v>203</v>
      </c>
    </row>
    <row r="70" spans="1:49" ht="12.75">
      <c r="A70" t="s">
        <v>201</v>
      </c>
      <c r="B70" t="s">
        <v>52</v>
      </c>
      <c r="C70" t="s">
        <v>215</v>
      </c>
      <c r="D70" t="s">
        <v>203</v>
      </c>
      <c r="E70" t="s">
        <v>222</v>
      </c>
      <c r="F70" t="s">
        <v>203</v>
      </c>
      <c r="G70" t="s">
        <v>793</v>
      </c>
      <c r="H70" t="s">
        <v>203</v>
      </c>
      <c r="I70" t="s">
        <v>203</v>
      </c>
      <c r="J70" t="s">
        <v>203</v>
      </c>
      <c r="K70" t="s">
        <v>203</v>
      </c>
      <c r="L70">
        <v>0.0214005939983683</v>
      </c>
      <c r="M70">
        <v>0.0246178110693165</v>
      </c>
      <c r="N70">
        <v>0.020798312974336899</v>
      </c>
      <c r="O70">
        <v>0.028036129206951699</v>
      </c>
      <c r="P70">
        <v>0.010882972222106799</v>
      </c>
      <c r="Q70">
        <v>0.018414364760499301</v>
      </c>
      <c r="R70">
        <v>0.014171297100167899</v>
      </c>
      <c r="S70">
        <v>0.0167276445381409</v>
      </c>
      <c r="T70">
        <v>0.0216761323963836</v>
      </c>
      <c r="U70">
        <v>0.019290007219213</v>
      </c>
      <c r="V70">
        <v>0.020395470708883302</v>
      </c>
      <c r="W70">
        <v>0.038779916737477403</v>
      </c>
      <c r="X70">
        <v>0.022192995036989901</v>
      </c>
      <c r="Y70">
        <v>0.016126099492748</v>
      </c>
      <c r="Z70">
        <v>0.020767989981834999</v>
      </c>
      <c r="AA70">
        <v>0.0235194342006219</v>
      </c>
      <c r="AB70">
        <v>0.020481640733527401</v>
      </c>
      <c r="AC70">
        <v>0.013927434463631601</v>
      </c>
      <c r="AD70">
        <v>0.0176792124417917</v>
      </c>
      <c r="AE70">
        <v>0.0259004131278666</v>
      </c>
      <c r="AF70">
        <v>0.012119051186452</v>
      </c>
      <c r="AG70">
        <v>0.017321968277159001</v>
      </c>
      <c r="AH70">
        <v>0.0192043332291237</v>
      </c>
      <c r="AI70">
        <v>0.017838405531491301</v>
      </c>
      <c r="AJ70">
        <v>0.022628238842675601</v>
      </c>
      <c r="AK70">
        <v>0.021631727659127398</v>
      </c>
      <c r="AL70">
        <v>0.010262577783688401</v>
      </c>
      <c r="AM70">
        <v>0.0145648173431364</v>
      </c>
      <c r="AN70">
        <v>0.0197040419888736</v>
      </c>
      <c r="AO70">
        <v>0.014469559641136</v>
      </c>
      <c r="AP70">
        <v>0.0063297923511724799</v>
      </c>
      <c r="AQ70">
        <v>0.0127192588925709</v>
      </c>
      <c r="AR70">
        <v>0.017782582702278001</v>
      </c>
      <c r="AS70">
        <v>0.017245999415929102</v>
      </c>
      <c r="AT70">
        <v>0.021608464430074501</v>
      </c>
      <c r="AU70">
        <v>0.016605287698266399</v>
      </c>
      <c r="AV70">
        <v>0.0155504414714346</v>
      </c>
      <c r="AW70" t="s">
        <v>203</v>
      </c>
    </row>
    <row r="71" spans="1:49" ht="12.75">
      <c r="A71" t="s">
        <v>201</v>
      </c>
      <c r="B71" t="s">
        <v>52</v>
      </c>
      <c r="C71" t="s">
        <v>216</v>
      </c>
      <c r="D71" t="s">
        <v>203</v>
      </c>
      <c r="E71" t="s">
        <v>222</v>
      </c>
      <c r="F71" t="s">
        <v>203</v>
      </c>
      <c r="G71" t="s">
        <v>793</v>
      </c>
      <c r="H71" t="s">
        <v>203</v>
      </c>
      <c r="I71" t="s">
        <v>203</v>
      </c>
      <c r="J71" t="s">
        <v>203</v>
      </c>
      <c r="K71" t="s">
        <v>203</v>
      </c>
      <c r="L71">
        <v>0.0086435737942370094</v>
      </c>
      <c r="M71">
        <v>0.024802130376887499</v>
      </c>
      <c r="N71">
        <v>0.020798312974336899</v>
      </c>
      <c r="O71">
        <v>0.026877964821497301</v>
      </c>
      <c r="P71">
        <v>0.015023959269435901</v>
      </c>
      <c r="Q71">
        <v>0.024049581740308499</v>
      </c>
      <c r="R71">
        <v>0.014063177729282899</v>
      </c>
      <c r="S71">
        <v>0.0167276445381409</v>
      </c>
      <c r="T71">
        <v>0.0217578514108435</v>
      </c>
      <c r="U71">
        <v>0.018690302418038599</v>
      </c>
      <c r="V71">
        <v>0.021591530761435801</v>
      </c>
      <c r="W71">
        <v>0.025250983316324201</v>
      </c>
      <c r="X71">
        <v>0.022460999222480599</v>
      </c>
      <c r="Y71">
        <v>0.031708883547392</v>
      </c>
      <c r="Z71">
        <v>0.019862055725133599</v>
      </c>
      <c r="AA71">
        <v>0.023335358906737599</v>
      </c>
      <c r="AB71">
        <v>0.0141380279773093</v>
      </c>
      <c r="AC71">
        <v>0.014338520550205999</v>
      </c>
      <c r="AD71">
        <v>0.0494250549497963</v>
      </c>
      <c r="AE71">
        <v>0.025685867358529801</v>
      </c>
      <c r="AF71">
        <v>0.012119051186452</v>
      </c>
      <c r="AG71">
        <v>0.017845393197617299</v>
      </c>
      <c r="AH71">
        <v>0.040556647264011703</v>
      </c>
      <c r="AI71">
        <v>0.021491165781088201</v>
      </c>
      <c r="AJ71">
        <v>0.022628238842675601</v>
      </c>
      <c r="AK71">
        <v>0.012412743703079401</v>
      </c>
      <c r="AL71">
        <v>0.098670363574174497</v>
      </c>
      <c r="AM71">
        <v>0.024265707952326101</v>
      </c>
      <c r="AN71">
        <v>0.019554962995000699</v>
      </c>
      <c r="AO71">
        <v>0.017763704266134901</v>
      </c>
      <c r="AP71">
        <v>0.0065497349958048099</v>
      </c>
      <c r="AQ71">
        <v>0.0079135359434531708</v>
      </c>
      <c r="AR71">
        <v>0.017782582702278001</v>
      </c>
      <c r="AS71">
        <v>0.031931834059054601</v>
      </c>
      <c r="AT71">
        <v>0.022467762418499699</v>
      </c>
      <c r="AU71">
        <v>0.016605287698266399</v>
      </c>
      <c r="AV71">
        <v>0.015894441938567701</v>
      </c>
      <c r="AW71" t="s">
        <v>203</v>
      </c>
    </row>
    <row r="72" spans="1:49" ht="12.75">
      <c r="A72" t="s">
        <v>201</v>
      </c>
      <c r="B72" t="s">
        <v>52</v>
      </c>
      <c r="C72" t="s">
        <v>217</v>
      </c>
      <c r="D72" t="s">
        <v>203</v>
      </c>
      <c r="E72" t="s">
        <v>222</v>
      </c>
      <c r="F72" t="s">
        <v>203</v>
      </c>
      <c r="G72" t="s">
        <v>793</v>
      </c>
      <c r="H72" t="s">
        <v>203</v>
      </c>
      <c r="I72" t="s">
        <v>203</v>
      </c>
      <c r="J72" t="s">
        <v>203</v>
      </c>
      <c r="K72" t="s">
        <v>203</v>
      </c>
      <c r="L72">
        <v>0.019176002231114202</v>
      </c>
      <c r="M72">
        <v>0.059899080322574398</v>
      </c>
      <c r="N72">
        <v>0.021030312536612299</v>
      </c>
      <c r="O72">
        <v>0.067942303389858197</v>
      </c>
      <c r="P72">
        <v>0.0239160111599779</v>
      </c>
      <c r="Q72">
        <v>0.054707932422361799</v>
      </c>
      <c r="R72">
        <v>0.028894912793574298</v>
      </c>
      <c r="S72">
        <v>0.055143664220597001</v>
      </c>
      <c r="T72">
        <v>0.056209186753915098</v>
      </c>
      <c r="U72">
        <v>0.047712697848010098</v>
      </c>
      <c r="V72">
        <v>0.060996651085775802</v>
      </c>
      <c r="W72">
        <v>0.047264607742760298</v>
      </c>
      <c r="X72">
        <v>0.038414846061828101</v>
      </c>
      <c r="Y72">
        <v>0.093139357471410403</v>
      </c>
      <c r="Z72">
        <v>0.051619289504880199</v>
      </c>
      <c r="AA72">
        <v>0.040326360307910501</v>
      </c>
      <c r="AB72">
        <v>0.046654775667849299</v>
      </c>
      <c r="AC72">
        <v>0.050151877413424202</v>
      </c>
      <c r="AD72">
        <v>0.038491698610702597</v>
      </c>
      <c r="AE72">
        <v>0.058239332125907997</v>
      </c>
      <c r="AF72">
        <v>0.020322809623452499</v>
      </c>
      <c r="AG72">
        <v>0.044591920633343302</v>
      </c>
      <c r="AH72">
        <v>0.080831877294566298</v>
      </c>
      <c r="AI72">
        <v>0.0497205864721579</v>
      </c>
      <c r="AJ72">
        <v>0.041243089651995003</v>
      </c>
      <c r="AK72">
        <v>0.021218247471007</v>
      </c>
      <c r="AL72">
        <v>0.0141827942206426</v>
      </c>
      <c r="AM72">
        <v>0.052459903839576501</v>
      </c>
      <c r="AN72">
        <v>0.040788720663065998</v>
      </c>
      <c r="AO72">
        <v>0.054818564538431203</v>
      </c>
      <c r="AP72">
        <v>0.014845229471792299</v>
      </c>
      <c r="AQ72">
        <v>0.042324089471848798</v>
      </c>
      <c r="AR72">
        <v>0.029820159789051601</v>
      </c>
      <c r="AS72">
        <v>0.075941477169964494</v>
      </c>
      <c r="AT72">
        <v>0.048826259599567198</v>
      </c>
      <c r="AU72">
        <v>0.056699469464534302</v>
      </c>
      <c r="AV72">
        <v>0.058565000068780002</v>
      </c>
      <c r="AW72" t="s">
        <v>203</v>
      </c>
    </row>
    <row r="73" spans="1:49" ht="12.75">
      <c r="A73" t="s">
        <v>201</v>
      </c>
      <c r="B73" t="s">
        <v>52</v>
      </c>
      <c r="C73" t="s">
        <v>218</v>
      </c>
      <c r="D73" t="s">
        <v>203</v>
      </c>
      <c r="E73" t="s">
        <v>222</v>
      </c>
      <c r="F73" t="s">
        <v>203</v>
      </c>
      <c r="G73" t="s">
        <v>793</v>
      </c>
      <c r="H73" t="s">
        <v>203</v>
      </c>
      <c r="I73" t="s">
        <v>203</v>
      </c>
      <c r="J73" t="s">
        <v>203</v>
      </c>
      <c r="K73" t="s">
        <v>203</v>
      </c>
      <c r="L73">
        <v>0.045741121244664798</v>
      </c>
      <c r="M73">
        <v>0.057450324080517597</v>
      </c>
      <c r="N73">
        <v>0.019707667475026499</v>
      </c>
      <c r="O73">
        <v>0.0570509271218489</v>
      </c>
      <c r="P73">
        <v>0.0210738727589968</v>
      </c>
      <c r="Q73">
        <v>0.052625392099598801</v>
      </c>
      <c r="R73">
        <v>0.14442106399795401</v>
      </c>
      <c r="S73">
        <v>0.050523247217598703</v>
      </c>
      <c r="T73">
        <v>0.049785257991521101</v>
      </c>
      <c r="U73">
        <v>0.028370745774707901</v>
      </c>
      <c r="V73">
        <v>0.047684348157047897</v>
      </c>
      <c r="W73">
        <v>0.068164962085560304</v>
      </c>
      <c r="X73">
        <v>0.034421104188329998</v>
      </c>
      <c r="Y73">
        <v>0.082737235628157199</v>
      </c>
      <c r="Z73">
        <v>0.048467420067033702</v>
      </c>
      <c r="AA73">
        <v>0.0408989907796335</v>
      </c>
      <c r="AB73">
        <v>0.036463822689592897</v>
      </c>
      <c r="AC73">
        <v>0.042554428333690199</v>
      </c>
      <c r="AD73">
        <v>0.038491698610702597</v>
      </c>
      <c r="AE73">
        <v>0.048027632899315498</v>
      </c>
      <c r="AF73">
        <v>0.019044661058650499</v>
      </c>
      <c r="AG73">
        <v>0.0397935408919163</v>
      </c>
      <c r="AH73">
        <v>0.067727088736442204</v>
      </c>
      <c r="AI73">
        <v>0.066450547632888796</v>
      </c>
      <c r="AJ73">
        <v>0.041714722806978903</v>
      </c>
      <c r="AK73">
        <v>0.035624532973465198</v>
      </c>
      <c r="AL73">
        <v>0.205488464372545</v>
      </c>
      <c r="AM73">
        <v>0.047372166697060701</v>
      </c>
      <c r="AN73">
        <v>0.042545045118399398</v>
      </c>
      <c r="AO73">
        <v>0.049301158280979702</v>
      </c>
      <c r="AP73">
        <v>0.039009510698753802</v>
      </c>
      <c r="AQ73">
        <v>0.0190091737489042</v>
      </c>
      <c r="AR73">
        <v>0.027944700876492801</v>
      </c>
      <c r="AS73">
        <v>0.036973327810587202</v>
      </c>
      <c r="AT73">
        <v>0.046942590964399601</v>
      </c>
      <c r="AU73">
        <v>0.049994233445728703</v>
      </c>
      <c r="AV73">
        <v>0.050477134929377401</v>
      </c>
      <c r="AW73" t="s">
        <v>203</v>
      </c>
    </row>
    <row r="74" spans="1:49" ht="12.75">
      <c r="A74" t="s">
        <v>201</v>
      </c>
      <c r="B74" t="s">
        <v>52</v>
      </c>
      <c r="C74" t="s">
        <v>882</v>
      </c>
      <c r="D74" t="s">
        <v>203</v>
      </c>
      <c r="E74" t="s">
        <v>222</v>
      </c>
      <c r="F74" t="s">
        <v>203</v>
      </c>
      <c r="G74" t="s">
        <v>793</v>
      </c>
      <c r="H74" t="s">
        <v>203</v>
      </c>
      <c r="I74" t="s">
        <v>203</v>
      </c>
      <c r="J74" t="s">
        <v>203</v>
      </c>
      <c r="K74" t="s">
        <v>203</v>
      </c>
      <c r="L74">
        <v>0.0197994883331984</v>
      </c>
      <c r="M74">
        <v>0.043729969477651301</v>
      </c>
      <c r="N74">
        <v>0.022452149504542201</v>
      </c>
      <c r="O74">
        <v>0.0058678519561291302</v>
      </c>
      <c r="P74">
        <v>0.0290029430627863</v>
      </c>
      <c r="Q74">
        <v>0.056350242205595903</v>
      </c>
      <c r="R74">
        <v>0.0363221245677115</v>
      </c>
      <c r="S74">
        <v>0.060590002136899801</v>
      </c>
      <c r="T74">
        <v>0.048352109276828301</v>
      </c>
      <c r="U74">
        <v>0.0137233948543941</v>
      </c>
      <c r="V74">
        <v>0.0147940209534533</v>
      </c>
      <c r="W74">
        <v>0.056394068231940597</v>
      </c>
      <c r="X74">
        <v>0.041526896887716401</v>
      </c>
      <c r="Y74">
        <v>0.039543795899005502</v>
      </c>
      <c r="Z74">
        <v>0.047897522182959298</v>
      </c>
      <c r="AA74">
        <v>0.042622119436113597</v>
      </c>
      <c r="AB74">
        <v>0.054828324232426603</v>
      </c>
      <c r="AC74">
        <v>0.054802991994306403</v>
      </c>
      <c r="AD74">
        <v>0.110141210519334</v>
      </c>
      <c r="AE74">
        <v>0.0056331463663075801</v>
      </c>
      <c r="AF74">
        <v>0.021696813075114001</v>
      </c>
      <c r="AG74">
        <v>0.038419499269597597</v>
      </c>
      <c r="AH74">
        <v>0.0644571339873935</v>
      </c>
      <c r="AI74">
        <v>0.050878981197575897</v>
      </c>
      <c r="AJ74">
        <v>0.044031490891242697</v>
      </c>
      <c r="AK74">
        <v>0.021908134875551301</v>
      </c>
      <c r="AL74">
        <v>0.023491730848099201</v>
      </c>
      <c r="AM74">
        <v>0.0540666937459175</v>
      </c>
      <c r="AN74">
        <v>0.043216459560786298</v>
      </c>
      <c r="AO74">
        <v>0.067285479962280695</v>
      </c>
      <c r="AP74">
        <v>0.0083058487238115205</v>
      </c>
      <c r="AQ74">
        <v>0.049917000505371498</v>
      </c>
      <c r="AR74">
        <v>0.0318362689412022</v>
      </c>
      <c r="AS74">
        <v>0.073157736943522206</v>
      </c>
      <c r="AT74">
        <v>0.058218942351136602</v>
      </c>
      <c r="AU74">
        <v>0.062895551983577005</v>
      </c>
      <c r="AV74">
        <v>0.059804128248024203</v>
      </c>
      <c r="AW74" t="s">
        <v>203</v>
      </c>
    </row>
    <row r="75" spans="1:49" ht="12.75">
      <c r="A75" t="s">
        <v>201</v>
      </c>
      <c r="B75" t="s">
        <v>52</v>
      </c>
      <c r="C75" t="s">
        <v>883</v>
      </c>
      <c r="D75" t="s">
        <v>203</v>
      </c>
      <c r="E75" t="s">
        <v>222</v>
      </c>
      <c r="F75" t="s">
        <v>203</v>
      </c>
      <c r="G75" t="s">
        <v>793</v>
      </c>
      <c r="H75" t="s">
        <v>203</v>
      </c>
      <c r="I75" t="s">
        <v>203</v>
      </c>
      <c r="J75" t="s">
        <v>203</v>
      </c>
      <c r="K75" t="s">
        <v>203</v>
      </c>
      <c r="L75">
        <v>0.0197994883331984</v>
      </c>
      <c r="M75">
        <v>0.043729969477651301</v>
      </c>
      <c r="N75">
        <v>0.022452149504542201</v>
      </c>
      <c r="O75">
        <v>0.0058678519561291302</v>
      </c>
      <c r="P75">
        <v>0.0290029430627863</v>
      </c>
      <c r="Q75">
        <v>0.056350242205595903</v>
      </c>
      <c r="R75">
        <v>0.0363221245677115</v>
      </c>
      <c r="S75">
        <v>0.060590002136899801</v>
      </c>
      <c r="T75">
        <v>0.048352109276828301</v>
      </c>
      <c r="U75">
        <v>0.0137233948543941</v>
      </c>
      <c r="V75">
        <v>0.0147940209534533</v>
      </c>
      <c r="W75">
        <v>0.056394068231940597</v>
      </c>
      <c r="X75">
        <v>0.041526896887716401</v>
      </c>
      <c r="Y75">
        <v>0.039543795899005502</v>
      </c>
      <c r="Z75">
        <v>0.047897522182959298</v>
      </c>
      <c r="AA75">
        <v>0.042622119436113597</v>
      </c>
      <c r="AB75">
        <v>0.054828324232426603</v>
      </c>
      <c r="AC75">
        <v>0.054802991994306403</v>
      </c>
      <c r="AD75">
        <v>0.110141210519334</v>
      </c>
      <c r="AE75">
        <v>0.0056331463663075801</v>
      </c>
      <c r="AF75">
        <v>0.021696813075114001</v>
      </c>
      <c r="AG75">
        <v>0.038419499269597597</v>
      </c>
      <c r="AH75">
        <v>0.0644571339873935</v>
      </c>
      <c r="AI75">
        <v>0.050878981197575897</v>
      </c>
      <c r="AJ75">
        <v>0.044031490891242697</v>
      </c>
      <c r="AK75">
        <v>0.021908134875551301</v>
      </c>
      <c r="AL75">
        <v>0.023491730848099201</v>
      </c>
      <c r="AM75">
        <v>0.0540666937459175</v>
      </c>
      <c r="AN75">
        <v>0.043216459560786298</v>
      </c>
      <c r="AO75">
        <v>0.067285479962280695</v>
      </c>
      <c r="AP75">
        <v>0.0083058487238115205</v>
      </c>
      <c r="AQ75">
        <v>0.049917000505371498</v>
      </c>
      <c r="AR75">
        <v>0.0318362689412022</v>
      </c>
      <c r="AS75">
        <v>0.073157736943522206</v>
      </c>
      <c r="AT75">
        <v>0.058218942351136602</v>
      </c>
      <c r="AU75">
        <v>0.062895551983577005</v>
      </c>
      <c r="AV75">
        <v>0.059804128248024203</v>
      </c>
      <c r="AW75" t="s">
        <v>203</v>
      </c>
    </row>
    <row r="76" spans="1:49" ht="12.75">
      <c r="A76" t="s">
        <v>201</v>
      </c>
      <c r="B76" t="s">
        <v>52</v>
      </c>
      <c r="C76" t="s">
        <v>884</v>
      </c>
      <c r="D76" t="s">
        <v>203</v>
      </c>
      <c r="E76" t="s">
        <v>222</v>
      </c>
      <c r="F76" t="s">
        <v>203</v>
      </c>
      <c r="G76" t="s">
        <v>793</v>
      </c>
      <c r="H76" t="s">
        <v>203</v>
      </c>
      <c r="I76" t="s">
        <v>203</v>
      </c>
      <c r="J76" t="s">
        <v>203</v>
      </c>
      <c r="K76" t="s">
        <v>203</v>
      </c>
      <c r="L76">
        <v>0.0197994883331984</v>
      </c>
      <c r="M76">
        <v>0.043729969477651301</v>
      </c>
      <c r="N76">
        <v>0.022452149504542201</v>
      </c>
      <c r="O76">
        <v>0.069702426218966704</v>
      </c>
      <c r="P76">
        <v>0.0290029430627863</v>
      </c>
      <c r="Q76">
        <v>0.056350242205595903</v>
      </c>
      <c r="R76">
        <v>0.0363221245677115</v>
      </c>
      <c r="S76">
        <v>0.060590002136899801</v>
      </c>
      <c r="T76">
        <v>0.048352109276828301</v>
      </c>
      <c r="U76">
        <v>0.0137233948543941</v>
      </c>
      <c r="V76">
        <v>0.0147940209534533</v>
      </c>
      <c r="W76">
        <v>0.056394068231940597</v>
      </c>
      <c r="X76">
        <v>0.041526896887716401</v>
      </c>
      <c r="Y76">
        <v>0.039543795899005502</v>
      </c>
      <c r="Z76">
        <v>0.047897522182959298</v>
      </c>
      <c r="AA76">
        <v>0.042622119436113597</v>
      </c>
      <c r="AB76">
        <v>0.054828324232426603</v>
      </c>
      <c r="AC76">
        <v>0.054802991994306403</v>
      </c>
      <c r="AD76">
        <v>0.110141210519334</v>
      </c>
      <c r="AE76">
        <v>0.0056331463663075801</v>
      </c>
      <c r="AF76">
        <v>0.021696813075114001</v>
      </c>
      <c r="AG76">
        <v>0.038419499269597597</v>
      </c>
      <c r="AH76">
        <v>0.0644571339873935</v>
      </c>
      <c r="AI76">
        <v>0.050878981197575897</v>
      </c>
      <c r="AJ76">
        <v>0.044031490891242697</v>
      </c>
      <c r="AK76">
        <v>0.021908134875551301</v>
      </c>
      <c r="AL76">
        <v>0.023491730848099201</v>
      </c>
      <c r="AM76">
        <v>0.0540666937459175</v>
      </c>
      <c r="AN76">
        <v>0.043216459560786298</v>
      </c>
      <c r="AO76">
        <v>0.067285479962280695</v>
      </c>
      <c r="AP76">
        <v>0.0083058487238115205</v>
      </c>
      <c r="AQ76">
        <v>0.049917000505371498</v>
      </c>
      <c r="AR76">
        <v>0.0318362689412022</v>
      </c>
      <c r="AS76">
        <v>0.073157736943522206</v>
      </c>
      <c r="AT76">
        <v>0.058218942351136602</v>
      </c>
      <c r="AU76">
        <v>0.062895551983577005</v>
      </c>
      <c r="AV76">
        <v>0.059804128248024203</v>
      </c>
      <c r="AW76" t="s">
        <v>203</v>
      </c>
    </row>
    <row r="77" spans="1:49" ht="12.75">
      <c r="A77" t="s">
        <v>201</v>
      </c>
      <c r="B77" t="s">
        <v>52</v>
      </c>
      <c r="C77" t="s">
        <v>219</v>
      </c>
      <c r="D77" t="s">
        <v>203</v>
      </c>
      <c r="E77" t="s">
        <v>222</v>
      </c>
      <c r="F77" t="s">
        <v>203</v>
      </c>
      <c r="G77" t="s">
        <v>793</v>
      </c>
      <c r="H77" t="s">
        <v>203</v>
      </c>
      <c r="I77" t="s">
        <v>203</v>
      </c>
      <c r="J77" t="s">
        <v>203</v>
      </c>
      <c r="K77" t="s">
        <v>203</v>
      </c>
      <c r="L77">
        <v>0.045741121244664798</v>
      </c>
      <c r="M77">
        <v>0.061567668952159198</v>
      </c>
      <c r="N77">
        <v>0.0214585289481533</v>
      </c>
      <c r="O77">
        <v>0.070683268864903503</v>
      </c>
      <c r="P77">
        <v>0.024256823331982199</v>
      </c>
      <c r="Q77">
        <v>0.060057207655018902</v>
      </c>
      <c r="R77">
        <v>0.14442106399795401</v>
      </c>
      <c r="S77">
        <v>0.0608639648902011</v>
      </c>
      <c r="T77">
        <v>0.055997565512383898</v>
      </c>
      <c r="U77">
        <v>0.050032382387050101</v>
      </c>
      <c r="V77">
        <v>0.058546612729640402</v>
      </c>
      <c r="W77">
        <v>0.047376270829855301</v>
      </c>
      <c r="X77">
        <v>0.040174052367450197</v>
      </c>
      <c r="Y77">
        <v>0.092807168165662798</v>
      </c>
      <c r="Z77">
        <v>0.052533104909765399</v>
      </c>
      <c r="AA77">
        <v>0.038023924554151101</v>
      </c>
      <c r="AB77">
        <v>0.047550215093651503</v>
      </c>
      <c r="AC77">
        <v>0.051370172961921798</v>
      </c>
      <c r="AD77">
        <v>0.038491698610702597</v>
      </c>
      <c r="AE77">
        <v>0.0581965361154822</v>
      </c>
      <c r="AF77">
        <v>0.0337468668892748</v>
      </c>
      <c r="AG77">
        <v>0.047494001752832603</v>
      </c>
      <c r="AH77">
        <v>0.078147633531575694</v>
      </c>
      <c r="AI77">
        <v>0.0597874344286096</v>
      </c>
      <c r="AJ77">
        <v>0.041714722806978903</v>
      </c>
      <c r="AK77">
        <v>0.035624532973465198</v>
      </c>
      <c r="AL77">
        <v>0.205488464372545</v>
      </c>
      <c r="AM77">
        <v>0.0612613395264325</v>
      </c>
      <c r="AN77">
        <v>0.043973274571577299</v>
      </c>
      <c r="AO77">
        <v>0.055289200368541999</v>
      </c>
      <c r="AP77">
        <v>0.0160405991995188</v>
      </c>
      <c r="AQ77">
        <v>0.0423179130610336</v>
      </c>
      <c r="AR77">
        <v>0.030427353894903201</v>
      </c>
      <c r="AS77">
        <v>0.072202228210797401</v>
      </c>
      <c r="AT77">
        <v>0.0487277952125654</v>
      </c>
      <c r="AU77">
        <v>0.057548243582625898</v>
      </c>
      <c r="AV77">
        <v>0.058422417389653203</v>
      </c>
      <c r="AW77" t="s">
        <v>203</v>
      </c>
    </row>
    <row r="78" spans="1:49" ht="12.75">
      <c r="A78" t="s">
        <v>201</v>
      </c>
      <c r="B78" t="s">
        <v>52</v>
      </c>
      <c r="C78" t="s">
        <v>220</v>
      </c>
      <c r="D78" t="s">
        <v>203</v>
      </c>
      <c r="E78" t="s">
        <v>222</v>
      </c>
      <c r="F78" t="s">
        <v>203</v>
      </c>
      <c r="G78" t="s">
        <v>793</v>
      </c>
      <c r="H78" t="s">
        <v>203</v>
      </c>
      <c r="I78" t="s">
        <v>203</v>
      </c>
      <c r="J78" t="s">
        <v>203</v>
      </c>
      <c r="K78" t="s">
        <v>203</v>
      </c>
      <c r="L78">
        <v>0</v>
      </c>
      <c r="M78">
        <v>0</v>
      </c>
      <c r="N78">
        <v>0</v>
      </c>
      <c r="O78">
        <v>0</v>
      </c>
      <c r="P78">
        <v>0</v>
      </c>
      <c r="Q78">
        <v>0.050903172065517401</v>
      </c>
      <c r="R78">
        <v>0.028719850833574399</v>
      </c>
      <c r="S78">
        <v>0</v>
      </c>
      <c r="T78">
        <v>0.048942963216362198</v>
      </c>
      <c r="U78">
        <v>0</v>
      </c>
      <c r="V78">
        <v>0</v>
      </c>
      <c r="W78">
        <v>0.052722224455806301</v>
      </c>
      <c r="X78">
        <v>0.037139938019225202</v>
      </c>
      <c r="Y78">
        <v>0</v>
      </c>
      <c r="Z78">
        <v>0.045225049452652703</v>
      </c>
      <c r="AA78">
        <v>0</v>
      </c>
      <c r="AB78">
        <v>0</v>
      </c>
      <c r="AC78">
        <v>0</v>
      </c>
      <c r="AD78">
        <v>0.095963142909315902</v>
      </c>
      <c r="AE78">
        <v>0.044288389001223699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0.045922955616010001</v>
      </c>
      <c r="AP78">
        <v>0</v>
      </c>
      <c r="AQ78">
        <v>0.045298672711685299</v>
      </c>
      <c r="AR78">
        <v>0</v>
      </c>
      <c r="AS78">
        <v>0</v>
      </c>
      <c r="AT78">
        <v>0.0452663602626108</v>
      </c>
      <c r="AU78">
        <v>0</v>
      </c>
      <c r="AV78">
        <v>0</v>
      </c>
      <c r="AW78" t="s">
        <v>203</v>
      </c>
    </row>
    <row r="79" spans="1:49" ht="12.75">
      <c r="A79" t="s">
        <v>201</v>
      </c>
      <c r="B79" t="s">
        <v>52</v>
      </c>
      <c r="C79" t="s">
        <v>221</v>
      </c>
      <c r="D79" t="s">
        <v>203</v>
      </c>
      <c r="E79" t="s">
        <v>222</v>
      </c>
      <c r="F79" t="s">
        <v>203</v>
      </c>
      <c r="G79" t="s">
        <v>793</v>
      </c>
      <c r="H79" t="s">
        <v>203</v>
      </c>
      <c r="I79" t="s">
        <v>203</v>
      </c>
      <c r="J79" t="s">
        <v>203</v>
      </c>
      <c r="K79" t="s">
        <v>203</v>
      </c>
      <c r="L79">
        <v>0.045741121244664798</v>
      </c>
      <c r="M79">
        <v>0.050931318774054803</v>
      </c>
      <c r="N79">
        <v>0.018399694361676201</v>
      </c>
      <c r="O79">
        <v>0.045541989453497203</v>
      </c>
      <c r="P79">
        <v>0.019405535539045098</v>
      </c>
      <c r="Q79">
        <v>0.050903172065517401</v>
      </c>
      <c r="R79">
        <v>0.14442106399795401</v>
      </c>
      <c r="S79">
        <v>0.045243497053710002</v>
      </c>
      <c r="T79">
        <v>0.047296005910339299</v>
      </c>
      <c r="U79">
        <v>0.041426942966590503</v>
      </c>
      <c r="V79">
        <v>0.047758632622332202</v>
      </c>
      <c r="W79">
        <v>0.045295195721101501</v>
      </c>
      <c r="X79">
        <v>0.050336849465054297</v>
      </c>
      <c r="Y79">
        <v>0.078369350491575798</v>
      </c>
      <c r="Z79">
        <v>0.043433948191063103</v>
      </c>
      <c r="AA79">
        <v>0.032412283983130098</v>
      </c>
      <c r="AB79">
        <v>0.040051380959783001</v>
      </c>
      <c r="AC79">
        <v>0.028404368144611301</v>
      </c>
      <c r="AD79">
        <v>0.095963142909315902</v>
      </c>
      <c r="AE79">
        <v>0.049004288348036801</v>
      </c>
      <c r="AF79">
        <v>0.017780690847607</v>
      </c>
      <c r="AG79">
        <v>0.036698624016913699</v>
      </c>
      <c r="AH79">
        <v>0.0350045963258417</v>
      </c>
      <c r="AI79">
        <v>0.046047155754737501</v>
      </c>
      <c r="AJ79">
        <v>0.041714722806978903</v>
      </c>
      <c r="AK79">
        <v>0.018417261885566999</v>
      </c>
      <c r="AL79">
        <v>0.205488464372545</v>
      </c>
      <c r="AM79">
        <v>0.051424256830572099</v>
      </c>
      <c r="AN79">
        <v>0.037653365759389497</v>
      </c>
      <c r="AO79">
        <v>0.043678953262621702</v>
      </c>
      <c r="AP79">
        <v>0.0132185948107242</v>
      </c>
      <c r="AQ79">
        <v>0.033477193584884699</v>
      </c>
      <c r="AR79">
        <v>0.0260900462120893</v>
      </c>
      <c r="AS79">
        <v>0.060970488083972402</v>
      </c>
      <c r="AT79">
        <v>0.043512335133239502</v>
      </c>
      <c r="AU79">
        <v>0.0460365944120225</v>
      </c>
      <c r="AV79">
        <v>0.044756083308720503</v>
      </c>
      <c r="AW79" t="s">
        <v>203</v>
      </c>
    </row>
    <row r="80" spans="1:49" ht="12.75">
      <c r="A80" t="s">
        <v>201</v>
      </c>
      <c r="B80" t="s">
        <v>52</v>
      </c>
      <c r="C80" t="s">
        <v>907</v>
      </c>
      <c r="D80" t="s">
        <v>203</v>
      </c>
      <c r="E80" t="s">
        <v>222</v>
      </c>
      <c r="F80" t="s">
        <v>203</v>
      </c>
      <c r="G80" t="s">
        <v>793</v>
      </c>
      <c r="H80" t="s">
        <v>203</v>
      </c>
      <c r="I80" t="s">
        <v>203</v>
      </c>
      <c r="J80" t="s">
        <v>203</v>
      </c>
      <c r="K80" t="s">
        <v>203</v>
      </c>
      <c r="L80">
        <v>0.045741121244664798</v>
      </c>
      <c r="M80">
        <v>0.056175062580146699</v>
      </c>
      <c r="N80">
        <v>0.0337468668892748</v>
      </c>
      <c r="O80">
        <v>0.063686451380435799</v>
      </c>
      <c r="P80">
        <v>0.0212315990616944</v>
      </c>
      <c r="Q80">
        <v>0.043434905966936103</v>
      </c>
      <c r="R80">
        <v>0.032554841517199298</v>
      </c>
      <c r="S80">
        <v>0.038231668608646199</v>
      </c>
      <c r="T80">
        <v>0.0529300687911749</v>
      </c>
      <c r="U80">
        <v>0.047879286769943297</v>
      </c>
      <c r="V80">
        <v>0.045036646718649098</v>
      </c>
      <c r="W80">
        <v>0.068164962085560304</v>
      </c>
      <c r="X80">
        <v>0.036856728329833999</v>
      </c>
      <c r="Y80">
        <v>0.044751129843381601</v>
      </c>
      <c r="Z80">
        <v>0.0488885912106133</v>
      </c>
      <c r="AA80">
        <v>0.0384744935723903</v>
      </c>
      <c r="AB80">
        <v>0.048931363298499599</v>
      </c>
      <c r="AC80">
        <v>0.0475115261258999</v>
      </c>
      <c r="AD80">
        <v>0.038491698610702597</v>
      </c>
      <c r="AE80">
        <v>0.0541008938679804</v>
      </c>
      <c r="AF80">
        <v>0.019664095242635599</v>
      </c>
      <c r="AG80">
        <v>0.041851128101476398</v>
      </c>
      <c r="AH80">
        <v>0.0350045963258417</v>
      </c>
      <c r="AI80">
        <v>0.042848537684174501</v>
      </c>
      <c r="AJ80">
        <v>0.041714722806978903</v>
      </c>
      <c r="AK80">
        <v>0.035624532973465198</v>
      </c>
      <c r="AL80">
        <v>0.021372591251157501</v>
      </c>
      <c r="AM80">
        <v>0.034658295529832801</v>
      </c>
      <c r="AN80">
        <v>0.042545045118399398</v>
      </c>
      <c r="AO80">
        <v>0.039118174371277098</v>
      </c>
      <c r="AP80">
        <v>0.013843022909874001</v>
      </c>
      <c r="AQ80">
        <v>0.040200509441540098</v>
      </c>
      <c r="AR80">
        <v>0.0288536119319759</v>
      </c>
      <c r="AS80">
        <v>0.036973327810587202</v>
      </c>
      <c r="AT80">
        <v>0.050625047504497499</v>
      </c>
      <c r="AU80">
        <v>0.038313609291682697</v>
      </c>
      <c r="AV80">
        <v>0.053991566875963203</v>
      </c>
      <c r="AW80" t="s">
        <v>203</v>
      </c>
    </row>
    <row r="81" spans="1:49" ht="12.75">
      <c r="A81" t="s">
        <v>201</v>
      </c>
      <c r="B81" t="s">
        <v>52</v>
      </c>
      <c r="C81" t="s">
        <v>908</v>
      </c>
      <c r="D81" t="s">
        <v>203</v>
      </c>
      <c r="E81" t="s">
        <v>222</v>
      </c>
      <c r="F81" t="s">
        <v>203</v>
      </c>
      <c r="G81" t="s">
        <v>793</v>
      </c>
      <c r="H81" t="s">
        <v>203</v>
      </c>
      <c r="I81" t="s">
        <v>203</v>
      </c>
      <c r="J81" t="s">
        <v>203</v>
      </c>
      <c r="K81" t="s">
        <v>203</v>
      </c>
      <c r="L81">
        <v>0.0184745693011861</v>
      </c>
      <c r="M81">
        <v>0.056595658408442502</v>
      </c>
      <c r="N81">
        <v>0.0337468668892748</v>
      </c>
      <c r="O81">
        <v>0.061055582501200197</v>
      </c>
      <c r="P81">
        <v>0.029310253946981099</v>
      </c>
      <c r="Q81">
        <v>0.0567269810835506</v>
      </c>
      <c r="R81">
        <v>0.032306465595135198</v>
      </c>
      <c r="S81">
        <v>0.038231668608646199</v>
      </c>
      <c r="T81">
        <v>0.053129615139103199</v>
      </c>
      <c r="U81">
        <v>0.046390773166685502</v>
      </c>
      <c r="V81">
        <v>0.047677749481608703</v>
      </c>
      <c r="W81">
        <v>0.044384631664691997</v>
      </c>
      <c r="X81">
        <v>0.037301812800831502</v>
      </c>
      <c r="Y81">
        <v>0.087994518789626802</v>
      </c>
      <c r="Z81">
        <v>0.046755989568456197</v>
      </c>
      <c r="AA81">
        <v>0.038173372225210903</v>
      </c>
      <c r="AB81">
        <v>0.033776248313429597</v>
      </c>
      <c r="AC81">
        <v>0.048913889740912597</v>
      </c>
      <c r="AD81">
        <v>0.107609675782151</v>
      </c>
      <c r="AE81">
        <v>0.053652749746131198</v>
      </c>
      <c r="AF81">
        <v>0.019664095242635599</v>
      </c>
      <c r="AG81">
        <v>0.043115760563971602</v>
      </c>
      <c r="AH81">
        <v>0.073924413249262605</v>
      </c>
      <c r="AI81">
        <v>0.051622608602665702</v>
      </c>
      <c r="AJ81">
        <v>0.041714722806978903</v>
      </c>
      <c r="AK81">
        <v>0.0204421118973796</v>
      </c>
      <c r="AL81">
        <v>0.205488464372545</v>
      </c>
      <c r="AM81">
        <v>0.0577424390322787</v>
      </c>
      <c r="AN81">
        <v>0.0422231531672905</v>
      </c>
      <c r="AO81">
        <v>0.048023830593085397</v>
      </c>
      <c r="AP81">
        <v>0.0143240293788997</v>
      </c>
      <c r="AQ81">
        <v>0.025011534012926599</v>
      </c>
      <c r="AR81">
        <v>0.0288536119319759</v>
      </c>
      <c r="AS81">
        <v>0.068457973341238904</v>
      </c>
      <c r="AT81">
        <v>0.052638240141360398</v>
      </c>
      <c r="AU81">
        <v>0.038313609291682697</v>
      </c>
      <c r="AV81">
        <v>0.055185946100546501</v>
      </c>
      <c r="AW81" t="s">
        <v>203</v>
      </c>
    </row>
    <row r="82" spans="1:49" ht="12.75">
      <c r="A82" t="s">
        <v>201</v>
      </c>
      <c r="B82" t="s">
        <v>29</v>
      </c>
      <c r="C82" t="s">
        <v>905</v>
      </c>
      <c r="D82" t="s">
        <v>203</v>
      </c>
      <c r="E82" t="s">
        <v>203</v>
      </c>
      <c r="F82" t="s">
        <v>223</v>
      </c>
      <c r="G82" t="s">
        <v>793</v>
      </c>
      <c r="H82" t="s">
        <v>203</v>
      </c>
      <c r="I82" t="s">
        <v>203</v>
      </c>
      <c r="J82" t="s">
        <v>203</v>
      </c>
      <c r="K82" t="s">
        <v>203</v>
      </c>
      <c r="L82">
        <v>0.65</v>
      </c>
      <c r="M82">
        <v>0.70</v>
      </c>
      <c r="N82">
        <v>0.65</v>
      </c>
      <c r="O82">
        <v>0.70</v>
      </c>
      <c r="P82">
        <v>0.65</v>
      </c>
      <c r="Q82">
        <v>0.70</v>
      </c>
      <c r="R82">
        <v>0.70</v>
      </c>
      <c r="S82">
        <v>0.65</v>
      </c>
      <c r="T82">
        <v>0.70</v>
      </c>
      <c r="U82">
        <v>0.70</v>
      </c>
      <c r="V82">
        <v>0.70</v>
      </c>
      <c r="W82">
        <v>0.65</v>
      </c>
      <c r="X82">
        <v>0.70</v>
      </c>
      <c r="Y82">
        <v>0.70</v>
      </c>
      <c r="Z82">
        <v>0.70</v>
      </c>
      <c r="AA82">
        <v>0.70</v>
      </c>
      <c r="AB82">
        <v>0.65</v>
      </c>
      <c r="AC82">
        <v>0.70</v>
      </c>
      <c r="AD82">
        <v>0.70</v>
      </c>
      <c r="AE82">
        <v>0.70</v>
      </c>
      <c r="AF82">
        <v>0.65</v>
      </c>
      <c r="AG82">
        <v>0.65</v>
      </c>
      <c r="AH82">
        <v>0.70</v>
      </c>
      <c r="AI82">
        <v>0.65</v>
      </c>
      <c r="AJ82">
        <v>0.65</v>
      </c>
      <c r="AK82">
        <v>0.65</v>
      </c>
      <c r="AL82">
        <v>0.65</v>
      </c>
      <c r="AM82">
        <v>0.70</v>
      </c>
      <c r="AN82">
        <v>0.70</v>
      </c>
      <c r="AO82">
        <v>0.65</v>
      </c>
      <c r="AP82">
        <v>0.65</v>
      </c>
      <c r="AQ82">
        <v>0.65</v>
      </c>
      <c r="AR82">
        <v>0.65</v>
      </c>
      <c r="AS82">
        <v>0.70</v>
      </c>
      <c r="AT82">
        <v>0.70</v>
      </c>
      <c r="AU82">
        <v>0.65</v>
      </c>
      <c r="AV82">
        <v>0.70</v>
      </c>
      <c r="AW82" t="s">
        <v>203</v>
      </c>
    </row>
    <row r="83" spans="1:49" ht="12.75">
      <c r="A83" t="s">
        <v>201</v>
      </c>
      <c r="B83" t="s">
        <v>29</v>
      </c>
      <c r="C83" t="s">
        <v>794</v>
      </c>
      <c r="D83" t="s">
        <v>203</v>
      </c>
      <c r="E83" t="s">
        <v>203</v>
      </c>
      <c r="F83" t="s">
        <v>223</v>
      </c>
      <c r="G83" t="s">
        <v>793</v>
      </c>
      <c r="H83" t="s">
        <v>203</v>
      </c>
      <c r="I83" t="s">
        <v>203</v>
      </c>
      <c r="J83" t="s">
        <v>203</v>
      </c>
      <c r="K83" t="s">
        <v>203</v>
      </c>
      <c r="L83">
        <v>0.60</v>
      </c>
      <c r="M83">
        <v>0.65</v>
      </c>
      <c r="N83">
        <v>0.60</v>
      </c>
      <c r="O83">
        <v>0.65</v>
      </c>
      <c r="P83">
        <v>0.60</v>
      </c>
      <c r="Q83">
        <v>0.65</v>
      </c>
      <c r="R83">
        <v>0.65</v>
      </c>
      <c r="S83">
        <v>0.60</v>
      </c>
      <c r="T83">
        <v>0.65</v>
      </c>
      <c r="U83">
        <v>0.65</v>
      </c>
      <c r="V83">
        <v>0.65</v>
      </c>
      <c r="W83">
        <v>0.60</v>
      </c>
      <c r="X83">
        <v>0.65</v>
      </c>
      <c r="Y83">
        <v>0.65</v>
      </c>
      <c r="Z83">
        <v>0.65</v>
      </c>
      <c r="AA83">
        <v>0.65</v>
      </c>
      <c r="AB83">
        <v>0.60</v>
      </c>
      <c r="AC83">
        <v>0.65</v>
      </c>
      <c r="AD83">
        <v>0.65</v>
      </c>
      <c r="AE83">
        <v>0.65</v>
      </c>
      <c r="AF83">
        <v>0.60</v>
      </c>
      <c r="AG83">
        <v>0.60</v>
      </c>
      <c r="AH83">
        <v>0.65</v>
      </c>
      <c r="AI83">
        <v>0.60</v>
      </c>
      <c r="AJ83">
        <v>0.60</v>
      </c>
      <c r="AK83">
        <v>0.60</v>
      </c>
      <c r="AL83">
        <v>0.60</v>
      </c>
      <c r="AM83">
        <v>0.65</v>
      </c>
      <c r="AN83">
        <v>0.65</v>
      </c>
      <c r="AO83">
        <v>0.60</v>
      </c>
      <c r="AP83">
        <v>0.60</v>
      </c>
      <c r="AQ83">
        <v>0.60</v>
      </c>
      <c r="AR83">
        <v>0.60</v>
      </c>
      <c r="AS83">
        <v>0.65</v>
      </c>
      <c r="AT83">
        <v>0.65</v>
      </c>
      <c r="AU83">
        <v>0.60</v>
      </c>
      <c r="AV83">
        <v>0.65</v>
      </c>
      <c r="AW83" t="s">
        <v>203</v>
      </c>
    </row>
    <row r="84" spans="1:49" ht="12.75">
      <c r="A84" t="s">
        <v>201</v>
      </c>
      <c r="B84" t="s">
        <v>29</v>
      </c>
      <c r="C84" t="s">
        <v>876</v>
      </c>
      <c r="D84" t="s">
        <v>203</v>
      </c>
      <c r="E84" t="s">
        <v>203</v>
      </c>
      <c r="F84" t="s">
        <v>223</v>
      </c>
      <c r="G84" t="s">
        <v>793</v>
      </c>
      <c r="H84" t="s">
        <v>203</v>
      </c>
      <c r="I84" t="s">
        <v>203</v>
      </c>
      <c r="J84" t="s">
        <v>203</v>
      </c>
      <c r="K84" t="s">
        <v>203</v>
      </c>
      <c r="L84">
        <v>2.50</v>
      </c>
      <c r="M84">
        <v>2.50</v>
      </c>
      <c r="N84">
        <v>2.50</v>
      </c>
      <c r="O84">
        <v>2.50</v>
      </c>
      <c r="P84">
        <v>2.50</v>
      </c>
      <c r="Q84">
        <v>2.50</v>
      </c>
      <c r="R84">
        <v>2.50</v>
      </c>
      <c r="S84">
        <v>2.50</v>
      </c>
      <c r="T84">
        <v>2.50</v>
      </c>
      <c r="U84">
        <v>2.50</v>
      </c>
      <c r="V84">
        <v>2.50</v>
      </c>
      <c r="W84">
        <v>2.50</v>
      </c>
      <c r="X84">
        <v>2.50</v>
      </c>
      <c r="Y84">
        <v>2.50</v>
      </c>
      <c r="Z84">
        <v>2.50</v>
      </c>
      <c r="AA84">
        <v>2.50</v>
      </c>
      <c r="AB84">
        <v>2.50</v>
      </c>
      <c r="AC84">
        <v>2.50</v>
      </c>
      <c r="AD84">
        <v>2.50</v>
      </c>
      <c r="AE84">
        <v>2.50</v>
      </c>
      <c r="AF84">
        <v>2.50</v>
      </c>
      <c r="AG84">
        <v>2.50</v>
      </c>
      <c r="AH84">
        <v>2.50</v>
      </c>
      <c r="AI84">
        <v>2.50</v>
      </c>
      <c r="AJ84">
        <v>2.50</v>
      </c>
      <c r="AK84">
        <v>2.50</v>
      </c>
      <c r="AL84">
        <v>2.50</v>
      </c>
      <c r="AM84">
        <v>2.50</v>
      </c>
      <c r="AN84">
        <v>2.50</v>
      </c>
      <c r="AO84">
        <v>2.50</v>
      </c>
      <c r="AP84">
        <v>2.50</v>
      </c>
      <c r="AQ84">
        <v>2.50</v>
      </c>
      <c r="AR84">
        <v>2.50</v>
      </c>
      <c r="AS84">
        <v>2.50</v>
      </c>
      <c r="AT84">
        <v>2.50</v>
      </c>
      <c r="AU84">
        <v>2.50</v>
      </c>
      <c r="AV84">
        <v>2.50</v>
      </c>
      <c r="AW84" t="s">
        <v>203</v>
      </c>
    </row>
    <row r="85" spans="1:49" ht="12.75">
      <c r="A85" t="s">
        <v>201</v>
      </c>
      <c r="B85" t="s">
        <v>29</v>
      </c>
      <c r="C85" t="s">
        <v>877</v>
      </c>
      <c r="D85" t="s">
        <v>203</v>
      </c>
      <c r="E85" t="s">
        <v>203</v>
      </c>
      <c r="F85" t="s">
        <v>223</v>
      </c>
      <c r="G85" t="s">
        <v>793</v>
      </c>
      <c r="H85" t="s">
        <v>203</v>
      </c>
      <c r="I85" t="s">
        <v>203</v>
      </c>
      <c r="J85" t="s">
        <v>203</v>
      </c>
      <c r="K85" t="s">
        <v>203</v>
      </c>
      <c r="L85">
        <v>3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 t="s">
        <v>203</v>
      </c>
    </row>
    <row r="86" spans="1:49" ht="12.75">
      <c r="A86" t="s">
        <v>201</v>
      </c>
      <c r="B86" t="s">
        <v>29</v>
      </c>
      <c r="C86" t="s">
        <v>878</v>
      </c>
      <c r="D86" t="s">
        <v>203</v>
      </c>
      <c r="E86" t="s">
        <v>203</v>
      </c>
      <c r="F86" t="s">
        <v>223</v>
      </c>
      <c r="G86" t="s">
        <v>793</v>
      </c>
      <c r="H86" t="s">
        <v>203</v>
      </c>
      <c r="I86" t="s">
        <v>203</v>
      </c>
      <c r="J86" t="s">
        <v>203</v>
      </c>
      <c r="K86" t="s">
        <v>203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 t="s">
        <v>203</v>
      </c>
    </row>
    <row r="87" spans="1:49" ht="12.75">
      <c r="A87" t="s">
        <v>201</v>
      </c>
      <c r="B87" t="s">
        <v>29</v>
      </c>
      <c r="C87" t="s">
        <v>795</v>
      </c>
      <c r="D87" t="s">
        <v>203</v>
      </c>
      <c r="E87" t="s">
        <v>203</v>
      </c>
      <c r="F87" t="s">
        <v>223</v>
      </c>
      <c r="G87" t="s">
        <v>793</v>
      </c>
      <c r="H87" t="s">
        <v>203</v>
      </c>
      <c r="I87" t="s">
        <v>203</v>
      </c>
      <c r="J87" t="s">
        <v>203</v>
      </c>
      <c r="K87" t="s">
        <v>203</v>
      </c>
      <c r="L87">
        <v>0.85</v>
      </c>
      <c r="M87">
        <v>0.90</v>
      </c>
      <c r="N87">
        <v>0.85</v>
      </c>
      <c r="O87">
        <v>0.90</v>
      </c>
      <c r="P87">
        <v>0.85</v>
      </c>
      <c r="Q87">
        <v>0.90</v>
      </c>
      <c r="R87">
        <v>0.85</v>
      </c>
      <c r="S87">
        <v>0.85</v>
      </c>
      <c r="T87">
        <v>0.90</v>
      </c>
      <c r="U87">
        <v>0.90</v>
      </c>
      <c r="V87">
        <v>0.85</v>
      </c>
      <c r="W87">
        <v>0.85</v>
      </c>
      <c r="X87">
        <v>0.90</v>
      </c>
      <c r="Y87">
        <v>0.90</v>
      </c>
      <c r="Z87">
        <v>0.90</v>
      </c>
      <c r="AA87">
        <v>0.85</v>
      </c>
      <c r="AB87">
        <v>0.85</v>
      </c>
      <c r="AC87">
        <v>0.90</v>
      </c>
      <c r="AD87">
        <v>0.90</v>
      </c>
      <c r="AE87">
        <v>0.90</v>
      </c>
      <c r="AF87">
        <v>0.85</v>
      </c>
      <c r="AG87">
        <v>0.85</v>
      </c>
      <c r="AH87">
        <v>0.90</v>
      </c>
      <c r="AI87">
        <v>0.85</v>
      </c>
      <c r="AJ87">
        <v>0.85</v>
      </c>
      <c r="AK87">
        <v>0.85</v>
      </c>
      <c r="AL87">
        <v>0.85</v>
      </c>
      <c r="AM87">
        <v>0.90</v>
      </c>
      <c r="AN87">
        <v>0.90</v>
      </c>
      <c r="AO87">
        <v>0.85</v>
      </c>
      <c r="AP87">
        <v>0.85</v>
      </c>
      <c r="AQ87">
        <v>0.85</v>
      </c>
      <c r="AR87">
        <v>0.85</v>
      </c>
      <c r="AS87">
        <v>0.90</v>
      </c>
      <c r="AT87">
        <v>0.85</v>
      </c>
      <c r="AU87">
        <v>0.85</v>
      </c>
      <c r="AV87">
        <v>0.90</v>
      </c>
      <c r="AW87" t="s">
        <v>203</v>
      </c>
    </row>
    <row r="88" spans="1:49" ht="12.75">
      <c r="A88" t="s">
        <v>201</v>
      </c>
      <c r="B88" t="s">
        <v>29</v>
      </c>
      <c r="C88" t="s">
        <v>796</v>
      </c>
      <c r="D88" t="s">
        <v>203</v>
      </c>
      <c r="E88" t="s">
        <v>203</v>
      </c>
      <c r="F88" t="s">
        <v>223</v>
      </c>
      <c r="G88" t="s">
        <v>793</v>
      </c>
      <c r="H88" t="s">
        <v>203</v>
      </c>
      <c r="I88" t="s">
        <v>203</v>
      </c>
      <c r="J88" t="s">
        <v>203</v>
      </c>
      <c r="K88" t="s">
        <v>203</v>
      </c>
      <c r="L88">
        <v>0.85</v>
      </c>
      <c r="M88">
        <v>0.95</v>
      </c>
      <c r="N88">
        <v>0.85</v>
      </c>
      <c r="O88">
        <v>0.95</v>
      </c>
      <c r="P88">
        <v>0.85</v>
      </c>
      <c r="Q88">
        <v>0.95</v>
      </c>
      <c r="R88">
        <v>0.85</v>
      </c>
      <c r="S88">
        <v>0.85</v>
      </c>
      <c r="T88">
        <v>0.95</v>
      </c>
      <c r="U88">
        <v>0.95</v>
      </c>
      <c r="V88">
        <v>0.85</v>
      </c>
      <c r="W88">
        <v>0.95</v>
      </c>
      <c r="X88">
        <v>0.95</v>
      </c>
      <c r="Y88">
        <v>0.95</v>
      </c>
      <c r="Z88">
        <v>0.95</v>
      </c>
      <c r="AA88">
        <v>0.90</v>
      </c>
      <c r="AB88">
        <v>0.90</v>
      </c>
      <c r="AC88">
        <v>0.95</v>
      </c>
      <c r="AD88">
        <v>0.95</v>
      </c>
      <c r="AE88">
        <v>0.95</v>
      </c>
      <c r="AF88">
        <v>0.85</v>
      </c>
      <c r="AG88">
        <v>0.85</v>
      </c>
      <c r="AH88">
        <v>0.95</v>
      </c>
      <c r="AI88">
        <v>0.85</v>
      </c>
      <c r="AJ88">
        <v>0.85</v>
      </c>
      <c r="AK88">
        <v>0.85</v>
      </c>
      <c r="AL88">
        <v>0.85</v>
      </c>
      <c r="AM88">
        <v>0.95</v>
      </c>
      <c r="AN88">
        <v>0.95</v>
      </c>
      <c r="AO88">
        <v>0.85</v>
      </c>
      <c r="AP88">
        <v>0.90</v>
      </c>
      <c r="AQ88">
        <v>0.85</v>
      </c>
      <c r="AR88">
        <v>0.85</v>
      </c>
      <c r="AS88">
        <v>0.95</v>
      </c>
      <c r="AT88">
        <v>0.90</v>
      </c>
      <c r="AU88">
        <v>0.85</v>
      </c>
      <c r="AV88">
        <v>0.95</v>
      </c>
      <c r="AW88" t="s">
        <v>203</v>
      </c>
    </row>
    <row r="89" spans="1:49" ht="12.75">
      <c r="A89" t="s">
        <v>201</v>
      </c>
      <c r="B89" t="s">
        <v>29</v>
      </c>
      <c r="C89" t="s">
        <v>797</v>
      </c>
      <c r="D89" t="s">
        <v>203</v>
      </c>
      <c r="E89" t="s">
        <v>203</v>
      </c>
      <c r="F89" t="s">
        <v>223</v>
      </c>
      <c r="G89" t="s">
        <v>793</v>
      </c>
      <c r="H89" t="s">
        <v>203</v>
      </c>
      <c r="I89" t="s">
        <v>203</v>
      </c>
      <c r="J89" t="s">
        <v>203</v>
      </c>
      <c r="K89" t="s">
        <v>203</v>
      </c>
      <c r="L89">
        <v>0.85</v>
      </c>
      <c r="M89">
        <v>0.95</v>
      </c>
      <c r="N89">
        <v>0.85</v>
      </c>
      <c r="O89">
        <v>0.95</v>
      </c>
      <c r="P89">
        <v>0.85</v>
      </c>
      <c r="Q89">
        <v>0.95</v>
      </c>
      <c r="R89">
        <v>0.85</v>
      </c>
      <c r="S89">
        <v>0.85</v>
      </c>
      <c r="T89">
        <v>0.95</v>
      </c>
      <c r="U89">
        <v>0.95</v>
      </c>
      <c r="V89">
        <v>0.85</v>
      </c>
      <c r="W89">
        <v>0.95</v>
      </c>
      <c r="X89">
        <v>0.95</v>
      </c>
      <c r="Y89">
        <v>0.95</v>
      </c>
      <c r="Z89">
        <v>0.95</v>
      </c>
      <c r="AA89">
        <v>0.90</v>
      </c>
      <c r="AB89">
        <v>0.90</v>
      </c>
      <c r="AC89">
        <v>0.95</v>
      </c>
      <c r="AD89">
        <v>0.95</v>
      </c>
      <c r="AE89">
        <v>0.95</v>
      </c>
      <c r="AF89">
        <v>0.85</v>
      </c>
      <c r="AG89">
        <v>0.85</v>
      </c>
      <c r="AH89">
        <v>0.95</v>
      </c>
      <c r="AI89">
        <v>0.85</v>
      </c>
      <c r="AJ89">
        <v>0.85</v>
      </c>
      <c r="AK89">
        <v>0.85</v>
      </c>
      <c r="AL89">
        <v>0.85</v>
      </c>
      <c r="AM89">
        <v>0.95</v>
      </c>
      <c r="AN89">
        <v>0.95</v>
      </c>
      <c r="AO89">
        <v>0.85</v>
      </c>
      <c r="AP89">
        <v>0.90</v>
      </c>
      <c r="AQ89">
        <v>0.85</v>
      </c>
      <c r="AR89">
        <v>0.85</v>
      </c>
      <c r="AS89">
        <v>0.95</v>
      </c>
      <c r="AT89">
        <v>0.90</v>
      </c>
      <c r="AU89">
        <v>0.85</v>
      </c>
      <c r="AV89">
        <v>0.95</v>
      </c>
      <c r="AW89" t="s">
        <v>203</v>
      </c>
    </row>
    <row r="90" spans="1:49" ht="12.75">
      <c r="A90" t="s">
        <v>201</v>
      </c>
      <c r="B90" t="s">
        <v>29</v>
      </c>
      <c r="C90" t="s">
        <v>798</v>
      </c>
      <c r="D90" t="s">
        <v>203</v>
      </c>
      <c r="E90" t="s">
        <v>203</v>
      </c>
      <c r="F90" t="s">
        <v>223</v>
      </c>
      <c r="G90" t="s">
        <v>793</v>
      </c>
      <c r="H90" t="s">
        <v>203</v>
      </c>
      <c r="I90" t="s">
        <v>203</v>
      </c>
      <c r="J90" t="s">
        <v>203</v>
      </c>
      <c r="K90" t="s">
        <v>203</v>
      </c>
      <c r="L90">
        <v>0.75</v>
      </c>
      <c r="M90">
        <v>0.80</v>
      </c>
      <c r="N90">
        <v>0.75</v>
      </c>
      <c r="O90">
        <v>0.80</v>
      </c>
      <c r="P90">
        <v>0.75</v>
      </c>
      <c r="Q90">
        <v>0.80</v>
      </c>
      <c r="R90">
        <v>0.80</v>
      </c>
      <c r="S90">
        <v>0.75</v>
      </c>
      <c r="T90">
        <v>0.80</v>
      </c>
      <c r="U90">
        <v>0.80</v>
      </c>
      <c r="V90">
        <v>0.80</v>
      </c>
      <c r="W90">
        <v>0.75</v>
      </c>
      <c r="X90">
        <v>0.80</v>
      </c>
      <c r="Y90">
        <v>0.80</v>
      </c>
      <c r="Z90">
        <v>0.80</v>
      </c>
      <c r="AA90">
        <v>0.80</v>
      </c>
      <c r="AB90">
        <v>0.75</v>
      </c>
      <c r="AC90">
        <v>0.80</v>
      </c>
      <c r="AD90">
        <v>0.80</v>
      </c>
      <c r="AE90">
        <v>0.80</v>
      </c>
      <c r="AF90">
        <v>0.75</v>
      </c>
      <c r="AG90">
        <v>0.75</v>
      </c>
      <c r="AH90">
        <v>0.80</v>
      </c>
      <c r="AI90">
        <v>0.75</v>
      </c>
      <c r="AJ90">
        <v>0.75</v>
      </c>
      <c r="AK90">
        <v>0.75</v>
      </c>
      <c r="AL90">
        <v>0.75</v>
      </c>
      <c r="AM90">
        <v>0.80</v>
      </c>
      <c r="AN90">
        <v>0.80</v>
      </c>
      <c r="AO90">
        <v>0.75</v>
      </c>
      <c r="AP90">
        <v>0.75</v>
      </c>
      <c r="AQ90">
        <v>0.75</v>
      </c>
      <c r="AR90">
        <v>0.75</v>
      </c>
      <c r="AS90">
        <v>0.80</v>
      </c>
      <c r="AT90">
        <v>0.80</v>
      </c>
      <c r="AU90">
        <v>0.75</v>
      </c>
      <c r="AV90">
        <v>0.80</v>
      </c>
      <c r="AW90" t="s">
        <v>203</v>
      </c>
    </row>
    <row r="91" spans="1:49" ht="12.75">
      <c r="A91" t="s">
        <v>201</v>
      </c>
      <c r="B91" t="s">
        <v>29</v>
      </c>
      <c r="C91" t="s">
        <v>799</v>
      </c>
      <c r="D91" t="s">
        <v>203</v>
      </c>
      <c r="E91" t="s">
        <v>203</v>
      </c>
      <c r="F91" t="s">
        <v>223</v>
      </c>
      <c r="G91" t="s">
        <v>793</v>
      </c>
      <c r="H91" t="s">
        <v>203</v>
      </c>
      <c r="I91" t="s">
        <v>203</v>
      </c>
      <c r="J91" t="s">
        <v>203</v>
      </c>
      <c r="K91" t="s">
        <v>203</v>
      </c>
      <c r="L91">
        <v>0.75</v>
      </c>
      <c r="M91">
        <v>0.80</v>
      </c>
      <c r="N91">
        <v>0.75</v>
      </c>
      <c r="O91">
        <v>0.80</v>
      </c>
      <c r="P91">
        <v>0.75</v>
      </c>
      <c r="Q91">
        <v>0.80</v>
      </c>
      <c r="R91">
        <v>0.80</v>
      </c>
      <c r="S91">
        <v>0.75</v>
      </c>
      <c r="T91">
        <v>0.80</v>
      </c>
      <c r="U91">
        <v>0.80</v>
      </c>
      <c r="V91">
        <v>0.80</v>
      </c>
      <c r="W91">
        <v>0.75</v>
      </c>
      <c r="X91">
        <v>0.80</v>
      </c>
      <c r="Y91">
        <v>0.80</v>
      </c>
      <c r="Z91">
        <v>0.80</v>
      </c>
      <c r="AA91">
        <v>0.80</v>
      </c>
      <c r="AB91">
        <v>0.75</v>
      </c>
      <c r="AC91">
        <v>0.80</v>
      </c>
      <c r="AD91">
        <v>0.80</v>
      </c>
      <c r="AE91">
        <v>0.80</v>
      </c>
      <c r="AF91">
        <v>0.75</v>
      </c>
      <c r="AG91">
        <v>0.75</v>
      </c>
      <c r="AH91">
        <v>0.80</v>
      </c>
      <c r="AI91">
        <v>0.75</v>
      </c>
      <c r="AJ91">
        <v>0.75</v>
      </c>
      <c r="AK91">
        <v>0.75</v>
      </c>
      <c r="AL91">
        <v>0.75</v>
      </c>
      <c r="AM91">
        <v>0.80</v>
      </c>
      <c r="AN91">
        <v>0.80</v>
      </c>
      <c r="AO91">
        <v>0.75</v>
      </c>
      <c r="AP91">
        <v>0.75</v>
      </c>
      <c r="AQ91">
        <v>0.75</v>
      </c>
      <c r="AR91">
        <v>0.75</v>
      </c>
      <c r="AS91">
        <v>0.80</v>
      </c>
      <c r="AT91">
        <v>0.80</v>
      </c>
      <c r="AU91">
        <v>0.75</v>
      </c>
      <c r="AV91">
        <v>0.80</v>
      </c>
      <c r="AW91" t="s">
        <v>203</v>
      </c>
    </row>
    <row r="92" spans="1:49" ht="12.75">
      <c r="A92" t="s">
        <v>201</v>
      </c>
      <c r="B92" t="s">
        <v>29</v>
      </c>
      <c r="C92" t="s">
        <v>202</v>
      </c>
      <c r="D92" t="s">
        <v>203</v>
      </c>
      <c r="E92" t="s">
        <v>203</v>
      </c>
      <c r="F92" t="s">
        <v>223</v>
      </c>
      <c r="G92" t="s">
        <v>793</v>
      </c>
      <c r="H92" t="s">
        <v>203</v>
      </c>
      <c r="I92" t="s">
        <v>203</v>
      </c>
      <c r="J92" t="s">
        <v>203</v>
      </c>
      <c r="K92" t="s">
        <v>203</v>
      </c>
      <c r="L92">
        <v>0.65</v>
      </c>
      <c r="M92">
        <v>0.70</v>
      </c>
      <c r="N92">
        <v>0.65</v>
      </c>
      <c r="O92">
        <v>0.70</v>
      </c>
      <c r="P92">
        <v>0.65</v>
      </c>
      <c r="Q92">
        <v>0.70</v>
      </c>
      <c r="R92">
        <v>0.70</v>
      </c>
      <c r="S92">
        <v>0.65</v>
      </c>
      <c r="T92">
        <v>0.70</v>
      </c>
      <c r="U92">
        <v>0.70</v>
      </c>
      <c r="V92">
        <v>0.70</v>
      </c>
      <c r="W92">
        <v>0.65</v>
      </c>
      <c r="X92">
        <v>0.70</v>
      </c>
      <c r="Y92">
        <v>0.70</v>
      </c>
      <c r="Z92">
        <v>0.70</v>
      </c>
      <c r="AA92">
        <v>0.70</v>
      </c>
      <c r="AB92">
        <v>0.65</v>
      </c>
      <c r="AC92">
        <v>0.70</v>
      </c>
      <c r="AD92">
        <v>0.70</v>
      </c>
      <c r="AE92">
        <v>0.70</v>
      </c>
      <c r="AF92">
        <v>0.65</v>
      </c>
      <c r="AG92">
        <v>0.65</v>
      </c>
      <c r="AH92">
        <v>0.70</v>
      </c>
      <c r="AI92">
        <v>0.65</v>
      </c>
      <c r="AJ92">
        <v>0.65</v>
      </c>
      <c r="AK92">
        <v>0.65</v>
      </c>
      <c r="AL92">
        <v>0.65</v>
      </c>
      <c r="AM92">
        <v>0.70</v>
      </c>
      <c r="AN92">
        <v>0.70</v>
      </c>
      <c r="AO92">
        <v>0.65</v>
      </c>
      <c r="AP92">
        <v>0.65</v>
      </c>
      <c r="AQ92">
        <v>0.65</v>
      </c>
      <c r="AR92">
        <v>0.65</v>
      </c>
      <c r="AS92">
        <v>0.70</v>
      </c>
      <c r="AT92">
        <v>0.70</v>
      </c>
      <c r="AU92">
        <v>0.65</v>
      </c>
      <c r="AV92">
        <v>0.70</v>
      </c>
      <c r="AW92" t="s">
        <v>203</v>
      </c>
    </row>
    <row r="93" spans="1:49" ht="12.75">
      <c r="A93" t="s">
        <v>201</v>
      </c>
      <c r="B93" t="s">
        <v>29</v>
      </c>
      <c r="C93" t="s">
        <v>204</v>
      </c>
      <c r="D93" t="s">
        <v>203</v>
      </c>
      <c r="E93" t="s">
        <v>203</v>
      </c>
      <c r="F93" t="s">
        <v>223</v>
      </c>
      <c r="G93" t="s">
        <v>793</v>
      </c>
      <c r="H93" t="s">
        <v>203</v>
      </c>
      <c r="I93" t="s">
        <v>203</v>
      </c>
      <c r="J93" t="s">
        <v>203</v>
      </c>
      <c r="K93" t="s">
        <v>203</v>
      </c>
      <c r="L93">
        <v>0.60</v>
      </c>
      <c r="M93">
        <v>0.65</v>
      </c>
      <c r="N93">
        <v>0.60</v>
      </c>
      <c r="O93">
        <v>0.65</v>
      </c>
      <c r="P93">
        <v>0.60</v>
      </c>
      <c r="Q93">
        <v>0.65</v>
      </c>
      <c r="R93">
        <v>0.65</v>
      </c>
      <c r="S93">
        <v>0.60</v>
      </c>
      <c r="T93">
        <v>0.65</v>
      </c>
      <c r="U93">
        <v>0.65</v>
      </c>
      <c r="V93">
        <v>0.65</v>
      </c>
      <c r="W93">
        <v>0.60</v>
      </c>
      <c r="X93">
        <v>0.65</v>
      </c>
      <c r="Y93">
        <v>0.65</v>
      </c>
      <c r="Z93">
        <v>0.65</v>
      </c>
      <c r="AA93">
        <v>0.65</v>
      </c>
      <c r="AB93">
        <v>0.60</v>
      </c>
      <c r="AC93">
        <v>0.65</v>
      </c>
      <c r="AD93">
        <v>0.65</v>
      </c>
      <c r="AE93">
        <v>0.65</v>
      </c>
      <c r="AF93">
        <v>0.60</v>
      </c>
      <c r="AG93">
        <v>0.60</v>
      </c>
      <c r="AH93">
        <v>0.65</v>
      </c>
      <c r="AI93">
        <v>0.60</v>
      </c>
      <c r="AJ93">
        <v>0.60</v>
      </c>
      <c r="AK93">
        <v>0.60</v>
      </c>
      <c r="AL93">
        <v>0.60</v>
      </c>
      <c r="AM93">
        <v>0.65</v>
      </c>
      <c r="AN93">
        <v>0.65</v>
      </c>
      <c r="AO93">
        <v>0.60</v>
      </c>
      <c r="AP93">
        <v>0.60</v>
      </c>
      <c r="AQ93">
        <v>0.60</v>
      </c>
      <c r="AR93">
        <v>0.60</v>
      </c>
      <c r="AS93">
        <v>0.65</v>
      </c>
      <c r="AT93">
        <v>0.65</v>
      </c>
      <c r="AU93">
        <v>0.60</v>
      </c>
      <c r="AV93">
        <v>0.65</v>
      </c>
      <c r="AW93" t="s">
        <v>203</v>
      </c>
    </row>
    <row r="94" spans="1:49" ht="12.75">
      <c r="A94" t="s">
        <v>201</v>
      </c>
      <c r="B94" t="s">
        <v>29</v>
      </c>
      <c r="C94" t="s">
        <v>873</v>
      </c>
      <c r="D94" t="s">
        <v>203</v>
      </c>
      <c r="E94" t="s">
        <v>203</v>
      </c>
      <c r="F94" t="s">
        <v>223</v>
      </c>
      <c r="G94" t="s">
        <v>793</v>
      </c>
      <c r="H94" t="s">
        <v>203</v>
      </c>
      <c r="I94" t="s">
        <v>203</v>
      </c>
      <c r="J94" t="s">
        <v>203</v>
      </c>
      <c r="K94" t="s">
        <v>203</v>
      </c>
      <c r="L94">
        <v>2.50</v>
      </c>
      <c r="M94">
        <v>2.50</v>
      </c>
      <c r="N94">
        <v>2.50</v>
      </c>
      <c r="O94">
        <v>2.50</v>
      </c>
      <c r="P94">
        <v>2.50</v>
      </c>
      <c r="Q94">
        <v>2.50</v>
      </c>
      <c r="R94">
        <v>2.50</v>
      </c>
      <c r="S94">
        <v>2.50</v>
      </c>
      <c r="T94">
        <v>2.50</v>
      </c>
      <c r="U94">
        <v>2.50</v>
      </c>
      <c r="V94">
        <v>2.50</v>
      </c>
      <c r="W94">
        <v>2.50</v>
      </c>
      <c r="X94">
        <v>2.50</v>
      </c>
      <c r="Y94">
        <v>2.50</v>
      </c>
      <c r="Z94">
        <v>2.50</v>
      </c>
      <c r="AA94">
        <v>2.50</v>
      </c>
      <c r="AB94">
        <v>2.50</v>
      </c>
      <c r="AC94">
        <v>2.50</v>
      </c>
      <c r="AD94">
        <v>2.50</v>
      </c>
      <c r="AE94">
        <v>2.50</v>
      </c>
      <c r="AF94">
        <v>2.50</v>
      </c>
      <c r="AG94">
        <v>2.50</v>
      </c>
      <c r="AH94">
        <v>2.50</v>
      </c>
      <c r="AI94">
        <v>2.50</v>
      </c>
      <c r="AJ94">
        <v>2.50</v>
      </c>
      <c r="AK94">
        <v>2.50</v>
      </c>
      <c r="AL94">
        <v>2.50</v>
      </c>
      <c r="AM94">
        <v>2.50</v>
      </c>
      <c r="AN94">
        <v>2.50</v>
      </c>
      <c r="AO94">
        <v>2.50</v>
      </c>
      <c r="AP94">
        <v>2.50</v>
      </c>
      <c r="AQ94">
        <v>2.50</v>
      </c>
      <c r="AR94">
        <v>2.50</v>
      </c>
      <c r="AS94">
        <v>2.50</v>
      </c>
      <c r="AT94">
        <v>2.50</v>
      </c>
      <c r="AU94">
        <v>2.50</v>
      </c>
      <c r="AV94">
        <v>2.50</v>
      </c>
      <c r="AW94" t="s">
        <v>203</v>
      </c>
    </row>
    <row r="95" spans="1:49" ht="12.75">
      <c r="A95" t="s">
        <v>201</v>
      </c>
      <c r="B95" t="s">
        <v>29</v>
      </c>
      <c r="C95" t="s">
        <v>874</v>
      </c>
      <c r="D95" t="s">
        <v>203</v>
      </c>
      <c r="E95" t="s">
        <v>203</v>
      </c>
      <c r="F95" t="s">
        <v>223</v>
      </c>
      <c r="G95" t="s">
        <v>793</v>
      </c>
      <c r="H95" t="s">
        <v>203</v>
      </c>
      <c r="I95" t="s">
        <v>203</v>
      </c>
      <c r="J95" t="s">
        <v>203</v>
      </c>
      <c r="K95" t="s">
        <v>203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3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3</v>
      </c>
      <c r="AQ95">
        <v>3</v>
      </c>
      <c r="AR95">
        <v>3</v>
      </c>
      <c r="AS95">
        <v>3</v>
      </c>
      <c r="AT95">
        <v>3</v>
      </c>
      <c r="AU95">
        <v>3</v>
      </c>
      <c r="AV95">
        <v>3</v>
      </c>
      <c r="AW95" t="s">
        <v>203</v>
      </c>
    </row>
    <row r="96" spans="1:49" ht="12.75">
      <c r="A96" t="s">
        <v>201</v>
      </c>
      <c r="B96" t="s">
        <v>29</v>
      </c>
      <c r="C96" t="s">
        <v>875</v>
      </c>
      <c r="D96" t="s">
        <v>203</v>
      </c>
      <c r="E96" t="s">
        <v>203</v>
      </c>
      <c r="F96" t="s">
        <v>223</v>
      </c>
      <c r="G96" t="s">
        <v>793</v>
      </c>
      <c r="H96" t="s">
        <v>203</v>
      </c>
      <c r="I96" t="s">
        <v>203</v>
      </c>
      <c r="J96" t="s">
        <v>203</v>
      </c>
      <c r="K96" t="s">
        <v>203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 t="s">
        <v>203</v>
      </c>
    </row>
    <row r="97" spans="1:49" ht="12.75">
      <c r="A97" t="s">
        <v>201</v>
      </c>
      <c r="B97" t="s">
        <v>29</v>
      </c>
      <c r="C97" t="s">
        <v>205</v>
      </c>
      <c r="D97" t="s">
        <v>203</v>
      </c>
      <c r="E97" t="s">
        <v>203</v>
      </c>
      <c r="F97" t="s">
        <v>223</v>
      </c>
      <c r="G97" t="s">
        <v>793</v>
      </c>
      <c r="H97" t="s">
        <v>203</v>
      </c>
      <c r="I97" t="s">
        <v>203</v>
      </c>
      <c r="J97" t="s">
        <v>203</v>
      </c>
      <c r="K97" t="s">
        <v>203</v>
      </c>
      <c r="L97">
        <v>0.85</v>
      </c>
      <c r="M97">
        <v>0.90</v>
      </c>
      <c r="N97">
        <v>0.85</v>
      </c>
      <c r="O97">
        <v>0.90</v>
      </c>
      <c r="P97">
        <v>0.85</v>
      </c>
      <c r="Q97">
        <v>0.90</v>
      </c>
      <c r="R97">
        <v>0.85</v>
      </c>
      <c r="S97">
        <v>0.85</v>
      </c>
      <c r="T97">
        <v>0.90</v>
      </c>
      <c r="U97">
        <v>0.90</v>
      </c>
      <c r="V97">
        <v>0.85</v>
      </c>
      <c r="W97">
        <v>0.85</v>
      </c>
      <c r="X97">
        <v>0.90</v>
      </c>
      <c r="Y97">
        <v>0.90</v>
      </c>
      <c r="Z97">
        <v>0.90</v>
      </c>
      <c r="AA97">
        <v>0.85</v>
      </c>
      <c r="AB97">
        <v>0.85</v>
      </c>
      <c r="AC97">
        <v>0.90</v>
      </c>
      <c r="AD97">
        <v>0.90</v>
      </c>
      <c r="AE97">
        <v>0.90</v>
      </c>
      <c r="AF97">
        <v>0.85</v>
      </c>
      <c r="AG97">
        <v>0.85</v>
      </c>
      <c r="AH97">
        <v>0.90</v>
      </c>
      <c r="AI97">
        <v>0.85</v>
      </c>
      <c r="AJ97">
        <v>0.85</v>
      </c>
      <c r="AK97">
        <v>0.85</v>
      </c>
      <c r="AL97">
        <v>0.85</v>
      </c>
      <c r="AM97">
        <v>0.90</v>
      </c>
      <c r="AN97">
        <v>0.90</v>
      </c>
      <c r="AO97">
        <v>0.85</v>
      </c>
      <c r="AP97">
        <v>0.85</v>
      </c>
      <c r="AQ97">
        <v>0.85</v>
      </c>
      <c r="AR97">
        <v>0.85</v>
      </c>
      <c r="AS97">
        <v>0.90</v>
      </c>
      <c r="AT97">
        <v>0.85</v>
      </c>
      <c r="AU97">
        <v>0.85</v>
      </c>
      <c r="AV97">
        <v>0.90</v>
      </c>
      <c r="AW97" t="s">
        <v>203</v>
      </c>
    </row>
    <row r="98" spans="1:49" ht="12.75">
      <c r="A98" t="s">
        <v>201</v>
      </c>
      <c r="B98" t="s">
        <v>29</v>
      </c>
      <c r="C98" t="s">
        <v>206</v>
      </c>
      <c r="D98" t="s">
        <v>203</v>
      </c>
      <c r="E98" t="s">
        <v>203</v>
      </c>
      <c r="F98" t="s">
        <v>223</v>
      </c>
      <c r="G98" t="s">
        <v>793</v>
      </c>
      <c r="H98" t="s">
        <v>203</v>
      </c>
      <c r="I98" t="s">
        <v>203</v>
      </c>
      <c r="J98" t="s">
        <v>203</v>
      </c>
      <c r="K98" t="s">
        <v>203</v>
      </c>
      <c r="L98">
        <v>0.85</v>
      </c>
      <c r="M98">
        <v>0.95</v>
      </c>
      <c r="N98">
        <v>0.85</v>
      </c>
      <c r="O98">
        <v>0.95</v>
      </c>
      <c r="P98">
        <v>0.85</v>
      </c>
      <c r="Q98">
        <v>0.95</v>
      </c>
      <c r="R98">
        <v>0.85</v>
      </c>
      <c r="S98">
        <v>0.85</v>
      </c>
      <c r="T98">
        <v>0.95</v>
      </c>
      <c r="U98">
        <v>0.95</v>
      </c>
      <c r="V98">
        <v>0.85</v>
      </c>
      <c r="W98">
        <v>0.95</v>
      </c>
      <c r="X98">
        <v>0.95</v>
      </c>
      <c r="Y98">
        <v>0.95</v>
      </c>
      <c r="Z98">
        <v>0.95</v>
      </c>
      <c r="AA98">
        <v>0.90</v>
      </c>
      <c r="AB98">
        <v>0.90</v>
      </c>
      <c r="AC98">
        <v>0.95</v>
      </c>
      <c r="AD98">
        <v>0.95</v>
      </c>
      <c r="AE98">
        <v>0.95</v>
      </c>
      <c r="AF98">
        <v>0.85</v>
      </c>
      <c r="AG98">
        <v>0.85</v>
      </c>
      <c r="AH98">
        <v>0.95</v>
      </c>
      <c r="AI98">
        <v>0.85</v>
      </c>
      <c r="AJ98">
        <v>0.85</v>
      </c>
      <c r="AK98">
        <v>0.85</v>
      </c>
      <c r="AL98">
        <v>0.85</v>
      </c>
      <c r="AM98">
        <v>0.95</v>
      </c>
      <c r="AN98">
        <v>0.95</v>
      </c>
      <c r="AO98">
        <v>0.85</v>
      </c>
      <c r="AP98">
        <v>0.90</v>
      </c>
      <c r="AQ98">
        <v>0.85</v>
      </c>
      <c r="AR98">
        <v>0.85</v>
      </c>
      <c r="AS98">
        <v>0.95</v>
      </c>
      <c r="AT98">
        <v>0.90</v>
      </c>
      <c r="AU98">
        <v>0.85</v>
      </c>
      <c r="AV98">
        <v>0.95</v>
      </c>
      <c r="AW98" t="s">
        <v>203</v>
      </c>
    </row>
    <row r="99" spans="1:49" ht="12.75">
      <c r="A99" t="s">
        <v>201</v>
      </c>
      <c r="B99" t="s">
        <v>29</v>
      </c>
      <c r="C99" t="s">
        <v>207</v>
      </c>
      <c r="D99" t="s">
        <v>203</v>
      </c>
      <c r="E99" t="s">
        <v>203</v>
      </c>
      <c r="F99" t="s">
        <v>223</v>
      </c>
      <c r="G99" t="s">
        <v>793</v>
      </c>
      <c r="H99" t="s">
        <v>203</v>
      </c>
      <c r="I99" t="s">
        <v>203</v>
      </c>
      <c r="J99" t="s">
        <v>203</v>
      </c>
      <c r="K99" t="s">
        <v>203</v>
      </c>
      <c r="L99">
        <v>0.85</v>
      </c>
      <c r="M99">
        <v>0.95</v>
      </c>
      <c r="N99">
        <v>0.85</v>
      </c>
      <c r="O99">
        <v>0.95</v>
      </c>
      <c r="P99">
        <v>0.85</v>
      </c>
      <c r="Q99">
        <v>0.95</v>
      </c>
      <c r="R99">
        <v>0.85</v>
      </c>
      <c r="S99">
        <v>0.85</v>
      </c>
      <c r="T99">
        <v>0.95</v>
      </c>
      <c r="U99">
        <v>0.95</v>
      </c>
      <c r="V99">
        <v>0.85</v>
      </c>
      <c r="W99">
        <v>0.95</v>
      </c>
      <c r="X99">
        <v>0.95</v>
      </c>
      <c r="Y99">
        <v>0.95</v>
      </c>
      <c r="Z99">
        <v>0.95</v>
      </c>
      <c r="AA99">
        <v>0.90</v>
      </c>
      <c r="AB99">
        <v>0.90</v>
      </c>
      <c r="AC99">
        <v>0.95</v>
      </c>
      <c r="AD99">
        <v>0.95</v>
      </c>
      <c r="AE99">
        <v>0.95</v>
      </c>
      <c r="AF99">
        <v>0.85</v>
      </c>
      <c r="AG99">
        <v>0.85</v>
      </c>
      <c r="AH99">
        <v>0.95</v>
      </c>
      <c r="AI99">
        <v>0.85</v>
      </c>
      <c r="AJ99">
        <v>0.85</v>
      </c>
      <c r="AK99">
        <v>0.85</v>
      </c>
      <c r="AL99">
        <v>0.85</v>
      </c>
      <c r="AM99">
        <v>0.95</v>
      </c>
      <c r="AN99">
        <v>0.95</v>
      </c>
      <c r="AO99">
        <v>0.85</v>
      </c>
      <c r="AP99">
        <v>0.90</v>
      </c>
      <c r="AQ99">
        <v>0.85</v>
      </c>
      <c r="AR99">
        <v>0.85</v>
      </c>
      <c r="AS99">
        <v>0.95</v>
      </c>
      <c r="AT99">
        <v>0.90</v>
      </c>
      <c r="AU99">
        <v>0.85</v>
      </c>
      <c r="AV99">
        <v>0.95</v>
      </c>
      <c r="AW99" t="s">
        <v>203</v>
      </c>
    </row>
    <row r="100" spans="1:49" ht="12.75">
      <c r="A100" t="s">
        <v>201</v>
      </c>
      <c r="B100" t="s">
        <v>29</v>
      </c>
      <c r="C100" t="s">
        <v>208</v>
      </c>
      <c r="D100" t="s">
        <v>203</v>
      </c>
      <c r="E100" t="s">
        <v>203</v>
      </c>
      <c r="F100" t="s">
        <v>223</v>
      </c>
      <c r="G100" t="s">
        <v>793</v>
      </c>
      <c r="H100" t="s">
        <v>203</v>
      </c>
      <c r="I100" t="s">
        <v>203</v>
      </c>
      <c r="J100" t="s">
        <v>203</v>
      </c>
      <c r="K100" t="s">
        <v>203</v>
      </c>
      <c r="L100">
        <v>0.75</v>
      </c>
      <c r="M100">
        <v>0.80</v>
      </c>
      <c r="N100">
        <v>0.75</v>
      </c>
      <c r="O100">
        <v>0.80</v>
      </c>
      <c r="P100">
        <v>0.75</v>
      </c>
      <c r="Q100">
        <v>0.80</v>
      </c>
      <c r="R100">
        <v>0.80</v>
      </c>
      <c r="S100">
        <v>0.75</v>
      </c>
      <c r="T100">
        <v>0.80</v>
      </c>
      <c r="U100">
        <v>0.80</v>
      </c>
      <c r="V100">
        <v>0.80</v>
      </c>
      <c r="W100">
        <v>0.75</v>
      </c>
      <c r="X100">
        <v>0.80</v>
      </c>
      <c r="Y100">
        <v>0.80</v>
      </c>
      <c r="Z100">
        <v>0.80</v>
      </c>
      <c r="AA100">
        <v>0.80</v>
      </c>
      <c r="AB100">
        <v>0.75</v>
      </c>
      <c r="AC100">
        <v>0.80</v>
      </c>
      <c r="AD100">
        <v>0.80</v>
      </c>
      <c r="AE100">
        <v>0.80</v>
      </c>
      <c r="AF100">
        <v>0.75</v>
      </c>
      <c r="AG100">
        <v>0.75</v>
      </c>
      <c r="AH100">
        <v>0.80</v>
      </c>
      <c r="AI100">
        <v>0.75</v>
      </c>
      <c r="AJ100">
        <v>0.75</v>
      </c>
      <c r="AK100">
        <v>0.75</v>
      </c>
      <c r="AL100">
        <v>0.75</v>
      </c>
      <c r="AM100">
        <v>0.80</v>
      </c>
      <c r="AN100">
        <v>0.80</v>
      </c>
      <c r="AO100">
        <v>0.75</v>
      </c>
      <c r="AP100">
        <v>0.75</v>
      </c>
      <c r="AQ100">
        <v>0.75</v>
      </c>
      <c r="AR100">
        <v>0.75</v>
      </c>
      <c r="AS100">
        <v>0.80</v>
      </c>
      <c r="AT100">
        <v>0.80</v>
      </c>
      <c r="AU100">
        <v>0.75</v>
      </c>
      <c r="AV100">
        <v>0.80</v>
      </c>
      <c r="AW100" t="s">
        <v>203</v>
      </c>
    </row>
    <row r="101" spans="1:49" ht="12.75">
      <c r="A101" t="s">
        <v>201</v>
      </c>
      <c r="B101" t="s">
        <v>29</v>
      </c>
      <c r="C101" t="s">
        <v>209</v>
      </c>
      <c r="D101" t="s">
        <v>203</v>
      </c>
      <c r="E101" t="s">
        <v>203</v>
      </c>
      <c r="F101" t="s">
        <v>223</v>
      </c>
      <c r="G101" t="s">
        <v>793</v>
      </c>
      <c r="H101" t="s">
        <v>203</v>
      </c>
      <c r="I101" t="s">
        <v>203</v>
      </c>
      <c r="J101" t="s">
        <v>203</v>
      </c>
      <c r="K101" t="s">
        <v>203</v>
      </c>
      <c r="L101">
        <v>0.75</v>
      </c>
      <c r="M101">
        <v>0.80</v>
      </c>
      <c r="N101">
        <v>0.75</v>
      </c>
      <c r="O101">
        <v>0.80</v>
      </c>
      <c r="P101">
        <v>0.75</v>
      </c>
      <c r="Q101">
        <v>0.80</v>
      </c>
      <c r="R101">
        <v>0.80</v>
      </c>
      <c r="S101">
        <v>0.75</v>
      </c>
      <c r="T101">
        <v>0.80</v>
      </c>
      <c r="U101">
        <v>0.80</v>
      </c>
      <c r="V101">
        <v>0.80</v>
      </c>
      <c r="W101">
        <v>0.75</v>
      </c>
      <c r="X101">
        <v>0.80</v>
      </c>
      <c r="Y101">
        <v>0.80</v>
      </c>
      <c r="Z101">
        <v>0.80</v>
      </c>
      <c r="AA101">
        <v>0.80</v>
      </c>
      <c r="AB101">
        <v>0.75</v>
      </c>
      <c r="AC101">
        <v>0.80</v>
      </c>
      <c r="AD101">
        <v>0.80</v>
      </c>
      <c r="AE101">
        <v>0.80</v>
      </c>
      <c r="AF101">
        <v>0.75</v>
      </c>
      <c r="AG101">
        <v>0.75</v>
      </c>
      <c r="AH101">
        <v>0.80</v>
      </c>
      <c r="AI101">
        <v>0.75</v>
      </c>
      <c r="AJ101">
        <v>0.75</v>
      </c>
      <c r="AK101">
        <v>0.75</v>
      </c>
      <c r="AL101">
        <v>0.75</v>
      </c>
      <c r="AM101">
        <v>0.80</v>
      </c>
      <c r="AN101">
        <v>0.80</v>
      </c>
      <c r="AO101">
        <v>0.75</v>
      </c>
      <c r="AP101">
        <v>0.75</v>
      </c>
      <c r="AQ101">
        <v>0.75</v>
      </c>
      <c r="AR101">
        <v>0.75</v>
      </c>
      <c r="AS101">
        <v>0.80</v>
      </c>
      <c r="AT101">
        <v>0.80</v>
      </c>
      <c r="AU101">
        <v>0.75</v>
      </c>
      <c r="AV101">
        <v>0.80</v>
      </c>
      <c r="AW101" t="s">
        <v>203</v>
      </c>
    </row>
    <row r="102" spans="1:49" ht="12.75">
      <c r="A102" t="s">
        <v>201</v>
      </c>
      <c r="B102" t="s">
        <v>29</v>
      </c>
      <c r="C102" t="s">
        <v>210</v>
      </c>
      <c r="D102" t="s">
        <v>203</v>
      </c>
      <c r="E102" t="s">
        <v>203</v>
      </c>
      <c r="F102" t="s">
        <v>223</v>
      </c>
      <c r="G102" t="s">
        <v>793</v>
      </c>
      <c r="H102" t="s">
        <v>203</v>
      </c>
      <c r="I102" t="s">
        <v>203</v>
      </c>
      <c r="J102" t="s">
        <v>203</v>
      </c>
      <c r="K102" t="s">
        <v>203</v>
      </c>
      <c r="L102">
        <v>0.65</v>
      </c>
      <c r="M102">
        <v>0.70</v>
      </c>
      <c r="N102">
        <v>0.65</v>
      </c>
      <c r="O102">
        <v>0.70</v>
      </c>
      <c r="P102">
        <v>0.65</v>
      </c>
      <c r="Q102">
        <v>0.70</v>
      </c>
      <c r="R102">
        <v>0.70</v>
      </c>
      <c r="S102">
        <v>0.65</v>
      </c>
      <c r="T102">
        <v>0.70</v>
      </c>
      <c r="U102">
        <v>0.70</v>
      </c>
      <c r="V102">
        <v>0.70</v>
      </c>
      <c r="W102">
        <v>0.65</v>
      </c>
      <c r="X102">
        <v>0.70</v>
      </c>
      <c r="Y102">
        <v>0.70</v>
      </c>
      <c r="Z102">
        <v>0.70</v>
      </c>
      <c r="AA102">
        <v>0.70</v>
      </c>
      <c r="AB102">
        <v>0.65</v>
      </c>
      <c r="AC102">
        <v>0.70</v>
      </c>
      <c r="AD102">
        <v>0.70</v>
      </c>
      <c r="AE102">
        <v>0.70</v>
      </c>
      <c r="AF102">
        <v>0.65</v>
      </c>
      <c r="AG102">
        <v>0.65</v>
      </c>
      <c r="AH102">
        <v>0.70</v>
      </c>
      <c r="AI102">
        <v>0.65</v>
      </c>
      <c r="AJ102">
        <v>0.65</v>
      </c>
      <c r="AK102">
        <v>0.65</v>
      </c>
      <c r="AL102">
        <v>0.65</v>
      </c>
      <c r="AM102">
        <v>0.70</v>
      </c>
      <c r="AN102">
        <v>0.70</v>
      </c>
      <c r="AO102">
        <v>0.65</v>
      </c>
      <c r="AP102">
        <v>0.65</v>
      </c>
      <c r="AQ102">
        <v>0.65</v>
      </c>
      <c r="AR102">
        <v>0.65</v>
      </c>
      <c r="AS102">
        <v>0.70</v>
      </c>
      <c r="AT102">
        <v>0.70</v>
      </c>
      <c r="AU102">
        <v>0.65</v>
      </c>
      <c r="AV102">
        <v>0.70</v>
      </c>
      <c r="AW102" t="s">
        <v>203</v>
      </c>
    </row>
    <row r="103" spans="1:49" ht="12.75">
      <c r="A103" t="s">
        <v>201</v>
      </c>
      <c r="B103" t="s">
        <v>29</v>
      </c>
      <c r="C103" t="s">
        <v>211</v>
      </c>
      <c r="D103" t="s">
        <v>203</v>
      </c>
      <c r="E103" t="s">
        <v>203</v>
      </c>
      <c r="F103" t="s">
        <v>223</v>
      </c>
      <c r="G103" t="s">
        <v>793</v>
      </c>
      <c r="H103" t="s">
        <v>203</v>
      </c>
      <c r="I103" t="s">
        <v>203</v>
      </c>
      <c r="J103" t="s">
        <v>203</v>
      </c>
      <c r="K103" t="s">
        <v>203</v>
      </c>
      <c r="L103">
        <v>0.60</v>
      </c>
      <c r="M103">
        <v>0.65</v>
      </c>
      <c r="N103">
        <v>0.60</v>
      </c>
      <c r="O103">
        <v>0.65</v>
      </c>
      <c r="P103">
        <v>0.60</v>
      </c>
      <c r="Q103">
        <v>0.65</v>
      </c>
      <c r="R103">
        <v>0.65</v>
      </c>
      <c r="S103">
        <v>0.60</v>
      </c>
      <c r="T103">
        <v>0.65</v>
      </c>
      <c r="U103">
        <v>0.65</v>
      </c>
      <c r="V103">
        <v>0.65</v>
      </c>
      <c r="W103">
        <v>0.60</v>
      </c>
      <c r="X103">
        <v>0.65</v>
      </c>
      <c r="Y103">
        <v>0.65</v>
      </c>
      <c r="Z103">
        <v>0.65</v>
      </c>
      <c r="AA103">
        <v>0.65</v>
      </c>
      <c r="AB103">
        <v>0.60</v>
      </c>
      <c r="AC103">
        <v>0.65</v>
      </c>
      <c r="AD103">
        <v>0.65</v>
      </c>
      <c r="AE103">
        <v>0.65</v>
      </c>
      <c r="AF103">
        <v>0.60</v>
      </c>
      <c r="AG103">
        <v>0.60</v>
      </c>
      <c r="AH103">
        <v>0.65</v>
      </c>
      <c r="AI103">
        <v>0.60</v>
      </c>
      <c r="AJ103">
        <v>0.60</v>
      </c>
      <c r="AK103">
        <v>0.60</v>
      </c>
      <c r="AL103">
        <v>0.60</v>
      </c>
      <c r="AM103">
        <v>0.65</v>
      </c>
      <c r="AN103">
        <v>0.65</v>
      </c>
      <c r="AO103">
        <v>0.60</v>
      </c>
      <c r="AP103">
        <v>0.60</v>
      </c>
      <c r="AQ103">
        <v>0.60</v>
      </c>
      <c r="AR103">
        <v>0.60</v>
      </c>
      <c r="AS103">
        <v>0.65</v>
      </c>
      <c r="AT103">
        <v>0.65</v>
      </c>
      <c r="AU103">
        <v>0.60</v>
      </c>
      <c r="AV103">
        <v>0.65</v>
      </c>
      <c r="AW103" t="s">
        <v>203</v>
      </c>
    </row>
    <row r="104" spans="1:49" ht="12.75">
      <c r="A104" t="s">
        <v>201</v>
      </c>
      <c r="B104" t="s">
        <v>29</v>
      </c>
      <c r="C104" t="s">
        <v>879</v>
      </c>
      <c r="D104" t="s">
        <v>203</v>
      </c>
      <c r="E104" t="s">
        <v>203</v>
      </c>
      <c r="F104" t="s">
        <v>223</v>
      </c>
      <c r="G104" t="s">
        <v>793</v>
      </c>
      <c r="H104" t="s">
        <v>203</v>
      </c>
      <c r="I104" t="s">
        <v>203</v>
      </c>
      <c r="J104" t="s">
        <v>203</v>
      </c>
      <c r="K104" t="s">
        <v>203</v>
      </c>
      <c r="L104">
        <v>2.50</v>
      </c>
      <c r="M104">
        <v>2.50</v>
      </c>
      <c r="N104">
        <v>2.50</v>
      </c>
      <c r="O104">
        <v>2.50</v>
      </c>
      <c r="P104">
        <v>2.50</v>
      </c>
      <c r="Q104">
        <v>2.50</v>
      </c>
      <c r="R104">
        <v>2.50</v>
      </c>
      <c r="S104">
        <v>2.50</v>
      </c>
      <c r="T104">
        <v>2.50</v>
      </c>
      <c r="U104">
        <v>2.50</v>
      </c>
      <c r="V104">
        <v>2.50</v>
      </c>
      <c r="W104">
        <v>2.50</v>
      </c>
      <c r="X104">
        <v>2.50</v>
      </c>
      <c r="Y104">
        <v>2.50</v>
      </c>
      <c r="Z104">
        <v>2.50</v>
      </c>
      <c r="AA104">
        <v>2.50</v>
      </c>
      <c r="AB104">
        <v>2.50</v>
      </c>
      <c r="AC104">
        <v>2.50</v>
      </c>
      <c r="AD104">
        <v>2.50</v>
      </c>
      <c r="AE104">
        <v>2.50</v>
      </c>
      <c r="AF104">
        <v>2.50</v>
      </c>
      <c r="AG104">
        <v>2.50</v>
      </c>
      <c r="AH104">
        <v>2.50</v>
      </c>
      <c r="AI104">
        <v>2.50</v>
      </c>
      <c r="AJ104">
        <v>2.50</v>
      </c>
      <c r="AK104">
        <v>2.50</v>
      </c>
      <c r="AL104">
        <v>2.50</v>
      </c>
      <c r="AM104">
        <v>2.50</v>
      </c>
      <c r="AN104">
        <v>2.50</v>
      </c>
      <c r="AO104">
        <v>2.50</v>
      </c>
      <c r="AP104">
        <v>2.50</v>
      </c>
      <c r="AQ104">
        <v>2.50</v>
      </c>
      <c r="AR104">
        <v>2.50</v>
      </c>
      <c r="AS104">
        <v>2.50</v>
      </c>
      <c r="AT104">
        <v>2.50</v>
      </c>
      <c r="AU104">
        <v>2.50</v>
      </c>
      <c r="AV104">
        <v>2.50</v>
      </c>
      <c r="AW104" t="s">
        <v>203</v>
      </c>
    </row>
    <row r="105" spans="1:49" ht="12.75">
      <c r="A105" t="s">
        <v>201</v>
      </c>
      <c r="B105" t="s">
        <v>29</v>
      </c>
      <c r="C105" t="s">
        <v>880</v>
      </c>
      <c r="D105" t="s">
        <v>203</v>
      </c>
      <c r="E105" t="s">
        <v>203</v>
      </c>
      <c r="F105" t="s">
        <v>223</v>
      </c>
      <c r="G105" t="s">
        <v>793</v>
      </c>
      <c r="H105" t="s">
        <v>203</v>
      </c>
      <c r="I105" t="s">
        <v>203</v>
      </c>
      <c r="J105" t="s">
        <v>203</v>
      </c>
      <c r="K105" t="s">
        <v>203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3</v>
      </c>
      <c r="AR105">
        <v>3</v>
      </c>
      <c r="AS105">
        <v>3</v>
      </c>
      <c r="AT105">
        <v>3</v>
      </c>
      <c r="AU105">
        <v>3</v>
      </c>
      <c r="AV105">
        <v>3</v>
      </c>
      <c r="AW105" t="s">
        <v>203</v>
      </c>
    </row>
    <row r="106" spans="1:49" ht="12.75">
      <c r="A106" t="s">
        <v>201</v>
      </c>
      <c r="B106" t="s">
        <v>29</v>
      </c>
      <c r="C106" t="s">
        <v>881</v>
      </c>
      <c r="D106" t="s">
        <v>203</v>
      </c>
      <c r="E106" t="s">
        <v>203</v>
      </c>
      <c r="F106" t="s">
        <v>223</v>
      </c>
      <c r="G106" t="s">
        <v>793</v>
      </c>
      <c r="H106" t="s">
        <v>203</v>
      </c>
      <c r="I106" t="s">
        <v>203</v>
      </c>
      <c r="J106" t="s">
        <v>203</v>
      </c>
      <c r="K106" t="s">
        <v>203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 t="s">
        <v>203</v>
      </c>
    </row>
    <row r="107" spans="1:49" ht="12.75">
      <c r="A107" t="s">
        <v>201</v>
      </c>
      <c r="B107" t="s">
        <v>29</v>
      </c>
      <c r="C107" t="s">
        <v>212</v>
      </c>
      <c r="D107" t="s">
        <v>203</v>
      </c>
      <c r="E107" t="s">
        <v>203</v>
      </c>
      <c r="F107" t="s">
        <v>223</v>
      </c>
      <c r="G107" t="s">
        <v>793</v>
      </c>
      <c r="H107" t="s">
        <v>203</v>
      </c>
      <c r="I107" t="s">
        <v>203</v>
      </c>
      <c r="J107" t="s">
        <v>203</v>
      </c>
      <c r="K107" t="s">
        <v>203</v>
      </c>
      <c r="L107">
        <v>0.85</v>
      </c>
      <c r="M107">
        <v>0.90</v>
      </c>
      <c r="N107">
        <v>0.85</v>
      </c>
      <c r="O107">
        <v>0.90</v>
      </c>
      <c r="P107">
        <v>0.85</v>
      </c>
      <c r="Q107">
        <v>0.90</v>
      </c>
      <c r="R107">
        <v>0.85</v>
      </c>
      <c r="S107">
        <v>0.85</v>
      </c>
      <c r="T107">
        <v>0.90</v>
      </c>
      <c r="U107">
        <v>0.90</v>
      </c>
      <c r="V107">
        <v>0.85</v>
      </c>
      <c r="W107">
        <v>0.85</v>
      </c>
      <c r="X107">
        <v>0.90</v>
      </c>
      <c r="Y107">
        <v>0.90</v>
      </c>
      <c r="Z107">
        <v>0.90</v>
      </c>
      <c r="AA107">
        <v>0.85</v>
      </c>
      <c r="AB107">
        <v>0.85</v>
      </c>
      <c r="AC107">
        <v>0.90</v>
      </c>
      <c r="AD107">
        <v>0.90</v>
      </c>
      <c r="AE107">
        <v>0.90</v>
      </c>
      <c r="AF107">
        <v>0.85</v>
      </c>
      <c r="AG107">
        <v>0.85</v>
      </c>
      <c r="AH107">
        <v>0.90</v>
      </c>
      <c r="AI107">
        <v>0.85</v>
      </c>
      <c r="AJ107">
        <v>0.85</v>
      </c>
      <c r="AK107">
        <v>0.85</v>
      </c>
      <c r="AL107">
        <v>0.85</v>
      </c>
      <c r="AM107">
        <v>0.90</v>
      </c>
      <c r="AN107">
        <v>0.90</v>
      </c>
      <c r="AO107">
        <v>0.85</v>
      </c>
      <c r="AP107">
        <v>0.85</v>
      </c>
      <c r="AQ107">
        <v>0.85</v>
      </c>
      <c r="AR107">
        <v>0.85</v>
      </c>
      <c r="AS107">
        <v>0.90</v>
      </c>
      <c r="AT107">
        <v>0.85</v>
      </c>
      <c r="AU107">
        <v>0.85</v>
      </c>
      <c r="AV107">
        <v>0.90</v>
      </c>
      <c r="AW107" t="s">
        <v>203</v>
      </c>
    </row>
    <row r="108" spans="1:49" ht="12.75">
      <c r="A108" t="s">
        <v>201</v>
      </c>
      <c r="B108" t="s">
        <v>29</v>
      </c>
      <c r="C108" t="s">
        <v>213</v>
      </c>
      <c r="D108" t="s">
        <v>203</v>
      </c>
      <c r="E108" t="s">
        <v>203</v>
      </c>
      <c r="F108" t="s">
        <v>223</v>
      </c>
      <c r="G108" t="s">
        <v>793</v>
      </c>
      <c r="H108" t="s">
        <v>203</v>
      </c>
      <c r="I108" t="s">
        <v>203</v>
      </c>
      <c r="J108" t="s">
        <v>203</v>
      </c>
      <c r="K108" t="s">
        <v>203</v>
      </c>
      <c r="L108">
        <v>0.85</v>
      </c>
      <c r="M108">
        <v>0.95</v>
      </c>
      <c r="N108">
        <v>0.85</v>
      </c>
      <c r="O108">
        <v>0.95</v>
      </c>
      <c r="P108">
        <v>0.85</v>
      </c>
      <c r="Q108">
        <v>0.95</v>
      </c>
      <c r="R108">
        <v>0.85</v>
      </c>
      <c r="S108">
        <v>0.85</v>
      </c>
      <c r="T108">
        <v>0.95</v>
      </c>
      <c r="U108">
        <v>0.95</v>
      </c>
      <c r="V108">
        <v>0.85</v>
      </c>
      <c r="W108">
        <v>0.95</v>
      </c>
      <c r="X108">
        <v>0.95</v>
      </c>
      <c r="Y108">
        <v>0.95</v>
      </c>
      <c r="Z108">
        <v>0.95</v>
      </c>
      <c r="AA108">
        <v>0.90</v>
      </c>
      <c r="AB108">
        <v>0.90</v>
      </c>
      <c r="AC108">
        <v>0.95</v>
      </c>
      <c r="AD108">
        <v>0.95</v>
      </c>
      <c r="AE108">
        <v>0.95</v>
      </c>
      <c r="AF108">
        <v>0.85</v>
      </c>
      <c r="AG108">
        <v>0.85</v>
      </c>
      <c r="AH108">
        <v>0.95</v>
      </c>
      <c r="AI108">
        <v>0.85</v>
      </c>
      <c r="AJ108">
        <v>0.85</v>
      </c>
      <c r="AK108">
        <v>0.85</v>
      </c>
      <c r="AL108">
        <v>0.85</v>
      </c>
      <c r="AM108">
        <v>0.95</v>
      </c>
      <c r="AN108">
        <v>0.95</v>
      </c>
      <c r="AO108">
        <v>0.85</v>
      </c>
      <c r="AP108">
        <v>0.90</v>
      </c>
      <c r="AQ108">
        <v>0.85</v>
      </c>
      <c r="AR108">
        <v>0.85</v>
      </c>
      <c r="AS108">
        <v>0.95</v>
      </c>
      <c r="AT108">
        <v>0.90</v>
      </c>
      <c r="AU108">
        <v>0.85</v>
      </c>
      <c r="AV108">
        <v>0.95</v>
      </c>
      <c r="AW108" t="s">
        <v>203</v>
      </c>
    </row>
    <row r="109" spans="1:49" ht="12.75">
      <c r="A109" t="s">
        <v>201</v>
      </c>
      <c r="B109" t="s">
        <v>29</v>
      </c>
      <c r="C109" t="s">
        <v>214</v>
      </c>
      <c r="D109" t="s">
        <v>203</v>
      </c>
      <c r="E109" t="s">
        <v>203</v>
      </c>
      <c r="F109" t="s">
        <v>223</v>
      </c>
      <c r="G109" t="s">
        <v>793</v>
      </c>
      <c r="H109" t="s">
        <v>203</v>
      </c>
      <c r="I109" t="s">
        <v>203</v>
      </c>
      <c r="J109" t="s">
        <v>203</v>
      </c>
      <c r="K109" t="s">
        <v>203</v>
      </c>
      <c r="L109">
        <v>0.85</v>
      </c>
      <c r="M109">
        <v>0.95</v>
      </c>
      <c r="N109">
        <v>0.85</v>
      </c>
      <c r="O109">
        <v>0.95</v>
      </c>
      <c r="P109">
        <v>0.85</v>
      </c>
      <c r="Q109">
        <v>0.95</v>
      </c>
      <c r="R109">
        <v>0.85</v>
      </c>
      <c r="S109">
        <v>0.85</v>
      </c>
      <c r="T109">
        <v>0.95</v>
      </c>
      <c r="U109">
        <v>0.95</v>
      </c>
      <c r="V109">
        <v>0.85</v>
      </c>
      <c r="W109">
        <v>0.95</v>
      </c>
      <c r="X109">
        <v>0.95</v>
      </c>
      <c r="Y109">
        <v>0.95</v>
      </c>
      <c r="Z109">
        <v>0.95</v>
      </c>
      <c r="AA109">
        <v>0.90</v>
      </c>
      <c r="AB109">
        <v>0.90</v>
      </c>
      <c r="AC109">
        <v>0.95</v>
      </c>
      <c r="AD109">
        <v>0.95</v>
      </c>
      <c r="AE109">
        <v>0.95</v>
      </c>
      <c r="AF109">
        <v>0.85</v>
      </c>
      <c r="AG109">
        <v>0.85</v>
      </c>
      <c r="AH109">
        <v>0.95</v>
      </c>
      <c r="AI109">
        <v>0.85</v>
      </c>
      <c r="AJ109">
        <v>0.85</v>
      </c>
      <c r="AK109">
        <v>0.85</v>
      </c>
      <c r="AL109">
        <v>0.85</v>
      </c>
      <c r="AM109">
        <v>0.95</v>
      </c>
      <c r="AN109">
        <v>0.95</v>
      </c>
      <c r="AO109">
        <v>0.85</v>
      </c>
      <c r="AP109">
        <v>0.90</v>
      </c>
      <c r="AQ109">
        <v>0.85</v>
      </c>
      <c r="AR109">
        <v>0.85</v>
      </c>
      <c r="AS109">
        <v>0.95</v>
      </c>
      <c r="AT109">
        <v>0.90</v>
      </c>
      <c r="AU109">
        <v>0.85</v>
      </c>
      <c r="AV109">
        <v>0.95</v>
      </c>
      <c r="AW109" t="s">
        <v>203</v>
      </c>
    </row>
    <row r="110" spans="1:49" ht="12.75">
      <c r="A110" t="s">
        <v>201</v>
      </c>
      <c r="B110" t="s">
        <v>29</v>
      </c>
      <c r="C110" t="s">
        <v>215</v>
      </c>
      <c r="D110" t="s">
        <v>203</v>
      </c>
      <c r="E110" t="s">
        <v>203</v>
      </c>
      <c r="F110" t="s">
        <v>223</v>
      </c>
      <c r="G110" t="s">
        <v>793</v>
      </c>
      <c r="H110" t="s">
        <v>203</v>
      </c>
      <c r="I110" t="s">
        <v>203</v>
      </c>
      <c r="J110" t="s">
        <v>203</v>
      </c>
      <c r="K110" t="s">
        <v>203</v>
      </c>
      <c r="L110">
        <v>0.75</v>
      </c>
      <c r="M110">
        <v>0.80</v>
      </c>
      <c r="N110">
        <v>0.75</v>
      </c>
      <c r="O110">
        <v>0.80</v>
      </c>
      <c r="P110">
        <v>0.75</v>
      </c>
      <c r="Q110">
        <v>0.80</v>
      </c>
      <c r="R110">
        <v>0.80</v>
      </c>
      <c r="S110">
        <v>0.75</v>
      </c>
      <c r="T110">
        <v>0.80</v>
      </c>
      <c r="U110">
        <v>0.80</v>
      </c>
      <c r="V110">
        <v>0.80</v>
      </c>
      <c r="W110">
        <v>0.75</v>
      </c>
      <c r="X110">
        <v>0.80</v>
      </c>
      <c r="Y110">
        <v>0.80</v>
      </c>
      <c r="Z110">
        <v>0.80</v>
      </c>
      <c r="AA110">
        <v>0.80</v>
      </c>
      <c r="AB110">
        <v>0.75</v>
      </c>
      <c r="AC110">
        <v>0.80</v>
      </c>
      <c r="AD110">
        <v>0.80</v>
      </c>
      <c r="AE110">
        <v>0.80</v>
      </c>
      <c r="AF110">
        <v>0.75</v>
      </c>
      <c r="AG110">
        <v>0.75</v>
      </c>
      <c r="AH110">
        <v>0.80</v>
      </c>
      <c r="AI110">
        <v>0.75</v>
      </c>
      <c r="AJ110">
        <v>0.75</v>
      </c>
      <c r="AK110">
        <v>0.75</v>
      </c>
      <c r="AL110">
        <v>0.75</v>
      </c>
      <c r="AM110">
        <v>0.80</v>
      </c>
      <c r="AN110">
        <v>0.80</v>
      </c>
      <c r="AO110">
        <v>0.75</v>
      </c>
      <c r="AP110">
        <v>0.75</v>
      </c>
      <c r="AQ110">
        <v>0.75</v>
      </c>
      <c r="AR110">
        <v>0.75</v>
      </c>
      <c r="AS110">
        <v>0.80</v>
      </c>
      <c r="AT110">
        <v>0.80</v>
      </c>
      <c r="AU110">
        <v>0.75</v>
      </c>
      <c r="AV110">
        <v>0.80</v>
      </c>
      <c r="AW110" t="s">
        <v>203</v>
      </c>
    </row>
    <row r="111" spans="1:49" ht="12.75">
      <c r="A111" t="s">
        <v>201</v>
      </c>
      <c r="B111" t="s">
        <v>29</v>
      </c>
      <c r="C111" t="s">
        <v>216</v>
      </c>
      <c r="D111" t="s">
        <v>203</v>
      </c>
      <c r="E111" t="s">
        <v>203</v>
      </c>
      <c r="F111" t="s">
        <v>223</v>
      </c>
      <c r="G111" t="s">
        <v>793</v>
      </c>
      <c r="H111" t="s">
        <v>203</v>
      </c>
      <c r="I111" t="s">
        <v>203</v>
      </c>
      <c r="J111" t="s">
        <v>203</v>
      </c>
      <c r="K111" t="s">
        <v>203</v>
      </c>
      <c r="L111">
        <v>0.75</v>
      </c>
      <c r="M111">
        <v>0.80</v>
      </c>
      <c r="N111">
        <v>0.75</v>
      </c>
      <c r="O111">
        <v>0.80</v>
      </c>
      <c r="P111">
        <v>0.75</v>
      </c>
      <c r="Q111">
        <v>0.80</v>
      </c>
      <c r="R111">
        <v>0.80</v>
      </c>
      <c r="S111">
        <v>0.75</v>
      </c>
      <c r="T111">
        <v>0.80</v>
      </c>
      <c r="U111">
        <v>0.80</v>
      </c>
      <c r="V111">
        <v>0.80</v>
      </c>
      <c r="W111">
        <v>0.75</v>
      </c>
      <c r="X111">
        <v>0.80</v>
      </c>
      <c r="Y111">
        <v>0.80</v>
      </c>
      <c r="Z111">
        <v>0.80</v>
      </c>
      <c r="AA111">
        <v>0.80</v>
      </c>
      <c r="AB111">
        <v>0.75</v>
      </c>
      <c r="AC111">
        <v>0.80</v>
      </c>
      <c r="AD111">
        <v>0.80</v>
      </c>
      <c r="AE111">
        <v>0.80</v>
      </c>
      <c r="AF111">
        <v>0.75</v>
      </c>
      <c r="AG111">
        <v>0.75</v>
      </c>
      <c r="AH111">
        <v>0.80</v>
      </c>
      <c r="AI111">
        <v>0.75</v>
      </c>
      <c r="AJ111">
        <v>0.75</v>
      </c>
      <c r="AK111">
        <v>0.75</v>
      </c>
      <c r="AL111">
        <v>0.75</v>
      </c>
      <c r="AM111">
        <v>0.80</v>
      </c>
      <c r="AN111">
        <v>0.80</v>
      </c>
      <c r="AO111">
        <v>0.75</v>
      </c>
      <c r="AP111">
        <v>0.75</v>
      </c>
      <c r="AQ111">
        <v>0.75</v>
      </c>
      <c r="AR111">
        <v>0.75</v>
      </c>
      <c r="AS111">
        <v>0.80</v>
      </c>
      <c r="AT111">
        <v>0.80</v>
      </c>
      <c r="AU111">
        <v>0.75</v>
      </c>
      <c r="AV111">
        <v>0.80</v>
      </c>
      <c r="AW111" t="s">
        <v>203</v>
      </c>
    </row>
    <row r="112" spans="1:49" ht="12.75">
      <c r="A112" t="s">
        <v>201</v>
      </c>
      <c r="B112" t="s">
        <v>29</v>
      </c>
      <c r="C112" t="s">
        <v>217</v>
      </c>
      <c r="D112" t="s">
        <v>203</v>
      </c>
      <c r="E112" t="s">
        <v>203</v>
      </c>
      <c r="F112" t="s">
        <v>223</v>
      </c>
      <c r="G112" t="s">
        <v>793</v>
      </c>
      <c r="H112" t="s">
        <v>203</v>
      </c>
      <c r="I112" t="s">
        <v>203</v>
      </c>
      <c r="J112" t="s">
        <v>203</v>
      </c>
      <c r="K112" t="s">
        <v>203</v>
      </c>
      <c r="L112">
        <v>0.65</v>
      </c>
      <c r="M112">
        <v>0.70</v>
      </c>
      <c r="N112">
        <v>0.65</v>
      </c>
      <c r="O112">
        <v>0.70</v>
      </c>
      <c r="P112">
        <v>0.65</v>
      </c>
      <c r="Q112">
        <v>0.70</v>
      </c>
      <c r="R112">
        <v>0.70</v>
      </c>
      <c r="S112">
        <v>0.65</v>
      </c>
      <c r="T112">
        <v>0.70</v>
      </c>
      <c r="U112">
        <v>0.70</v>
      </c>
      <c r="V112">
        <v>0.70</v>
      </c>
      <c r="W112">
        <v>0.65</v>
      </c>
      <c r="X112">
        <v>0.70</v>
      </c>
      <c r="Y112">
        <v>0.70</v>
      </c>
      <c r="Z112">
        <v>0.70</v>
      </c>
      <c r="AA112">
        <v>0.70</v>
      </c>
      <c r="AB112">
        <v>0.65</v>
      </c>
      <c r="AC112">
        <v>0.70</v>
      </c>
      <c r="AD112">
        <v>0.70</v>
      </c>
      <c r="AE112">
        <v>0.70</v>
      </c>
      <c r="AF112">
        <v>0.65</v>
      </c>
      <c r="AG112">
        <v>0.65</v>
      </c>
      <c r="AH112">
        <v>0.70</v>
      </c>
      <c r="AI112">
        <v>0.65</v>
      </c>
      <c r="AJ112">
        <v>0.65</v>
      </c>
      <c r="AK112">
        <v>0.65</v>
      </c>
      <c r="AL112">
        <v>0.65</v>
      </c>
      <c r="AM112">
        <v>0.70</v>
      </c>
      <c r="AN112">
        <v>0.70</v>
      </c>
      <c r="AO112">
        <v>0.65</v>
      </c>
      <c r="AP112">
        <v>0.65</v>
      </c>
      <c r="AQ112">
        <v>0.65</v>
      </c>
      <c r="AR112">
        <v>0.65</v>
      </c>
      <c r="AS112">
        <v>0.70</v>
      </c>
      <c r="AT112">
        <v>0.70</v>
      </c>
      <c r="AU112">
        <v>0.65</v>
      </c>
      <c r="AV112">
        <v>0.70</v>
      </c>
      <c r="AW112" t="s">
        <v>203</v>
      </c>
    </row>
    <row r="113" spans="1:49" ht="12.75">
      <c r="A113" t="s">
        <v>201</v>
      </c>
      <c r="B113" t="s">
        <v>29</v>
      </c>
      <c r="C113" t="s">
        <v>218</v>
      </c>
      <c r="D113" t="s">
        <v>203</v>
      </c>
      <c r="E113" t="s">
        <v>203</v>
      </c>
      <c r="F113" t="s">
        <v>223</v>
      </c>
      <c r="G113" t="s">
        <v>793</v>
      </c>
      <c r="H113" t="s">
        <v>203</v>
      </c>
      <c r="I113" t="s">
        <v>203</v>
      </c>
      <c r="J113" t="s">
        <v>203</v>
      </c>
      <c r="K113" t="s">
        <v>203</v>
      </c>
      <c r="L113">
        <v>0.60</v>
      </c>
      <c r="M113">
        <v>0.65</v>
      </c>
      <c r="N113">
        <v>0.60</v>
      </c>
      <c r="O113">
        <v>0.65</v>
      </c>
      <c r="P113">
        <v>0.60</v>
      </c>
      <c r="Q113">
        <v>0.65</v>
      </c>
      <c r="R113">
        <v>0.65</v>
      </c>
      <c r="S113">
        <v>0.60</v>
      </c>
      <c r="T113">
        <v>0.65</v>
      </c>
      <c r="U113">
        <v>0.65</v>
      </c>
      <c r="V113">
        <v>0.65</v>
      </c>
      <c r="W113">
        <v>0.60</v>
      </c>
      <c r="X113">
        <v>0.65</v>
      </c>
      <c r="Y113">
        <v>0.65</v>
      </c>
      <c r="Z113">
        <v>0.65</v>
      </c>
      <c r="AA113">
        <v>0.65</v>
      </c>
      <c r="AB113">
        <v>0.60</v>
      </c>
      <c r="AC113">
        <v>0.65</v>
      </c>
      <c r="AD113">
        <v>0.65</v>
      </c>
      <c r="AE113">
        <v>0.65</v>
      </c>
      <c r="AF113">
        <v>0.60</v>
      </c>
      <c r="AG113">
        <v>0.60</v>
      </c>
      <c r="AH113">
        <v>0.65</v>
      </c>
      <c r="AI113">
        <v>0.60</v>
      </c>
      <c r="AJ113">
        <v>0.60</v>
      </c>
      <c r="AK113">
        <v>0.60</v>
      </c>
      <c r="AL113">
        <v>0.60</v>
      </c>
      <c r="AM113">
        <v>0.65</v>
      </c>
      <c r="AN113">
        <v>0.65</v>
      </c>
      <c r="AO113">
        <v>0.60</v>
      </c>
      <c r="AP113">
        <v>0.60</v>
      </c>
      <c r="AQ113">
        <v>0.60</v>
      </c>
      <c r="AR113">
        <v>0.60</v>
      </c>
      <c r="AS113">
        <v>0.65</v>
      </c>
      <c r="AT113">
        <v>0.65</v>
      </c>
      <c r="AU113">
        <v>0.60</v>
      </c>
      <c r="AV113">
        <v>0.65</v>
      </c>
      <c r="AW113" t="s">
        <v>203</v>
      </c>
    </row>
    <row r="114" spans="1:49" ht="12.75">
      <c r="A114" t="s">
        <v>201</v>
      </c>
      <c r="B114" t="s">
        <v>29</v>
      </c>
      <c r="C114" t="s">
        <v>882</v>
      </c>
      <c r="D114" t="s">
        <v>203</v>
      </c>
      <c r="E114" t="s">
        <v>203</v>
      </c>
      <c r="F114" t="s">
        <v>223</v>
      </c>
      <c r="G114" t="s">
        <v>793</v>
      </c>
      <c r="H114" t="s">
        <v>203</v>
      </c>
      <c r="I114" t="s">
        <v>203</v>
      </c>
      <c r="J114" t="s">
        <v>203</v>
      </c>
      <c r="K114" t="s">
        <v>203</v>
      </c>
      <c r="L114">
        <v>2.50</v>
      </c>
      <c r="M114">
        <v>2.50</v>
      </c>
      <c r="N114">
        <v>2.50</v>
      </c>
      <c r="O114">
        <v>2.50</v>
      </c>
      <c r="P114">
        <v>2.50</v>
      </c>
      <c r="Q114">
        <v>2.50</v>
      </c>
      <c r="R114">
        <v>2.50</v>
      </c>
      <c r="S114">
        <v>2.50</v>
      </c>
      <c r="T114">
        <v>2.50</v>
      </c>
      <c r="U114">
        <v>2.50</v>
      </c>
      <c r="V114">
        <v>2.50</v>
      </c>
      <c r="W114">
        <v>2.50</v>
      </c>
      <c r="X114">
        <v>2.50</v>
      </c>
      <c r="Y114">
        <v>2.50</v>
      </c>
      <c r="Z114">
        <v>2.50</v>
      </c>
      <c r="AA114">
        <v>2.50</v>
      </c>
      <c r="AB114">
        <v>2.50</v>
      </c>
      <c r="AC114">
        <v>2.50</v>
      </c>
      <c r="AD114">
        <v>2.50</v>
      </c>
      <c r="AE114">
        <v>2.50</v>
      </c>
      <c r="AF114">
        <v>2.50</v>
      </c>
      <c r="AG114">
        <v>2.50</v>
      </c>
      <c r="AH114">
        <v>2.50</v>
      </c>
      <c r="AI114">
        <v>2.50</v>
      </c>
      <c r="AJ114">
        <v>2.50</v>
      </c>
      <c r="AK114">
        <v>2.50</v>
      </c>
      <c r="AL114">
        <v>2.50</v>
      </c>
      <c r="AM114">
        <v>2.50</v>
      </c>
      <c r="AN114">
        <v>2.50</v>
      </c>
      <c r="AO114">
        <v>2.50</v>
      </c>
      <c r="AP114">
        <v>2.50</v>
      </c>
      <c r="AQ114">
        <v>2.50</v>
      </c>
      <c r="AR114">
        <v>2.50</v>
      </c>
      <c r="AS114">
        <v>2.50</v>
      </c>
      <c r="AT114">
        <v>2.50</v>
      </c>
      <c r="AU114">
        <v>2.50</v>
      </c>
      <c r="AV114">
        <v>2.50</v>
      </c>
      <c r="AW114" t="s">
        <v>203</v>
      </c>
    </row>
    <row r="115" spans="1:49" ht="12.75">
      <c r="A115" t="s">
        <v>201</v>
      </c>
      <c r="B115" t="s">
        <v>29</v>
      </c>
      <c r="C115" t="s">
        <v>883</v>
      </c>
      <c r="D115" t="s">
        <v>203</v>
      </c>
      <c r="E115" t="s">
        <v>203</v>
      </c>
      <c r="F115" t="s">
        <v>223</v>
      </c>
      <c r="G115" t="s">
        <v>793</v>
      </c>
      <c r="H115" t="s">
        <v>203</v>
      </c>
      <c r="I115" t="s">
        <v>203</v>
      </c>
      <c r="J115" t="s">
        <v>203</v>
      </c>
      <c r="K115" t="s">
        <v>203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3</v>
      </c>
      <c r="AK115">
        <v>3</v>
      </c>
      <c r="AL115">
        <v>3</v>
      </c>
      <c r="AM115">
        <v>3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3</v>
      </c>
      <c r="AT115">
        <v>3</v>
      </c>
      <c r="AU115">
        <v>3</v>
      </c>
      <c r="AV115">
        <v>3</v>
      </c>
      <c r="AW115" t="s">
        <v>203</v>
      </c>
    </row>
    <row r="116" spans="1:49" ht="12.75">
      <c r="A116" t="s">
        <v>201</v>
      </c>
      <c r="B116" t="s">
        <v>29</v>
      </c>
      <c r="C116" t="s">
        <v>884</v>
      </c>
      <c r="D116" t="s">
        <v>203</v>
      </c>
      <c r="E116" t="s">
        <v>203</v>
      </c>
      <c r="F116" t="s">
        <v>223</v>
      </c>
      <c r="G116" t="s">
        <v>793</v>
      </c>
      <c r="H116" t="s">
        <v>203</v>
      </c>
      <c r="I116" t="s">
        <v>203</v>
      </c>
      <c r="J116" t="s">
        <v>203</v>
      </c>
      <c r="K116" t="s">
        <v>203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 t="s">
        <v>203</v>
      </c>
    </row>
    <row r="117" spans="1:49" ht="12.75">
      <c r="A117" t="s">
        <v>201</v>
      </c>
      <c r="B117" t="s">
        <v>29</v>
      </c>
      <c r="C117" t="s">
        <v>219</v>
      </c>
      <c r="D117" t="s">
        <v>203</v>
      </c>
      <c r="E117" t="s">
        <v>203</v>
      </c>
      <c r="F117" t="s">
        <v>223</v>
      </c>
      <c r="G117" t="s">
        <v>793</v>
      </c>
      <c r="H117" t="s">
        <v>203</v>
      </c>
      <c r="I117" t="s">
        <v>203</v>
      </c>
      <c r="J117" t="s">
        <v>203</v>
      </c>
      <c r="K117" t="s">
        <v>203</v>
      </c>
      <c r="L117">
        <v>0.85</v>
      </c>
      <c r="M117">
        <v>0.90</v>
      </c>
      <c r="N117">
        <v>0.85</v>
      </c>
      <c r="O117">
        <v>0.90</v>
      </c>
      <c r="P117">
        <v>0.85</v>
      </c>
      <c r="Q117">
        <v>0.90</v>
      </c>
      <c r="R117">
        <v>0.85</v>
      </c>
      <c r="S117">
        <v>0.85</v>
      </c>
      <c r="T117">
        <v>0.90</v>
      </c>
      <c r="U117">
        <v>0.90</v>
      </c>
      <c r="V117">
        <v>0.85</v>
      </c>
      <c r="W117">
        <v>0.85</v>
      </c>
      <c r="X117">
        <v>0.90</v>
      </c>
      <c r="Y117">
        <v>0.90</v>
      </c>
      <c r="Z117">
        <v>0.90</v>
      </c>
      <c r="AA117">
        <v>0.85</v>
      </c>
      <c r="AB117">
        <v>0.85</v>
      </c>
      <c r="AC117">
        <v>0.90</v>
      </c>
      <c r="AD117">
        <v>0.90</v>
      </c>
      <c r="AE117">
        <v>0.90</v>
      </c>
      <c r="AF117">
        <v>0.85</v>
      </c>
      <c r="AG117">
        <v>0.85</v>
      </c>
      <c r="AH117">
        <v>0.90</v>
      </c>
      <c r="AI117">
        <v>0.85</v>
      </c>
      <c r="AJ117">
        <v>0.85</v>
      </c>
      <c r="AK117">
        <v>0.85</v>
      </c>
      <c r="AL117">
        <v>0.85</v>
      </c>
      <c r="AM117">
        <v>0.90</v>
      </c>
      <c r="AN117">
        <v>0.90</v>
      </c>
      <c r="AO117">
        <v>0.85</v>
      </c>
      <c r="AP117">
        <v>0.85</v>
      </c>
      <c r="AQ117">
        <v>0.85</v>
      </c>
      <c r="AR117">
        <v>0.85</v>
      </c>
      <c r="AS117">
        <v>0.90</v>
      </c>
      <c r="AT117">
        <v>0.85</v>
      </c>
      <c r="AU117">
        <v>0.85</v>
      </c>
      <c r="AV117">
        <v>0.90</v>
      </c>
      <c r="AW117" t="s">
        <v>203</v>
      </c>
    </row>
    <row r="118" spans="1:49" ht="12.75">
      <c r="A118" t="s">
        <v>201</v>
      </c>
      <c r="B118" t="s">
        <v>29</v>
      </c>
      <c r="C118" t="s">
        <v>220</v>
      </c>
      <c r="D118" t="s">
        <v>203</v>
      </c>
      <c r="E118" t="s">
        <v>203</v>
      </c>
      <c r="F118" t="s">
        <v>223</v>
      </c>
      <c r="G118" t="s">
        <v>793</v>
      </c>
      <c r="H118" t="s">
        <v>203</v>
      </c>
      <c r="I118" t="s">
        <v>203</v>
      </c>
      <c r="J118" t="s">
        <v>203</v>
      </c>
      <c r="K118" t="s">
        <v>203</v>
      </c>
      <c r="L118">
        <v>0.85</v>
      </c>
      <c r="M118">
        <v>0.95</v>
      </c>
      <c r="N118">
        <v>0.85</v>
      </c>
      <c r="O118">
        <v>0.95</v>
      </c>
      <c r="P118">
        <v>0.85</v>
      </c>
      <c r="Q118">
        <v>0.95</v>
      </c>
      <c r="R118">
        <v>0.85</v>
      </c>
      <c r="S118">
        <v>0.85</v>
      </c>
      <c r="T118">
        <v>0.95</v>
      </c>
      <c r="U118">
        <v>0.95</v>
      </c>
      <c r="V118">
        <v>0.85</v>
      </c>
      <c r="W118">
        <v>0.95</v>
      </c>
      <c r="X118">
        <v>0.95</v>
      </c>
      <c r="Y118">
        <v>0.95</v>
      </c>
      <c r="Z118">
        <v>0.95</v>
      </c>
      <c r="AA118">
        <v>0.90</v>
      </c>
      <c r="AB118">
        <v>0.90</v>
      </c>
      <c r="AC118">
        <v>0.95</v>
      </c>
      <c r="AD118">
        <v>0.95</v>
      </c>
      <c r="AE118">
        <v>0.95</v>
      </c>
      <c r="AF118">
        <v>0.85</v>
      </c>
      <c r="AG118">
        <v>0.85</v>
      </c>
      <c r="AH118">
        <v>0.95</v>
      </c>
      <c r="AI118">
        <v>0.85</v>
      </c>
      <c r="AJ118">
        <v>0.85</v>
      </c>
      <c r="AK118">
        <v>0.85</v>
      </c>
      <c r="AL118">
        <v>0.85</v>
      </c>
      <c r="AM118">
        <v>0.95</v>
      </c>
      <c r="AN118">
        <v>0.95</v>
      </c>
      <c r="AO118">
        <v>0.85</v>
      </c>
      <c r="AP118">
        <v>0.90</v>
      </c>
      <c r="AQ118">
        <v>0.85</v>
      </c>
      <c r="AR118">
        <v>0.85</v>
      </c>
      <c r="AS118">
        <v>0.95</v>
      </c>
      <c r="AT118">
        <v>0.90</v>
      </c>
      <c r="AU118">
        <v>0.85</v>
      </c>
      <c r="AV118">
        <v>0.95</v>
      </c>
      <c r="AW118" t="s">
        <v>203</v>
      </c>
    </row>
    <row r="119" spans="1:49" ht="12.75">
      <c r="A119" t="s">
        <v>201</v>
      </c>
      <c r="B119" t="s">
        <v>29</v>
      </c>
      <c r="C119" t="s">
        <v>221</v>
      </c>
      <c r="D119" t="s">
        <v>203</v>
      </c>
      <c r="E119" t="s">
        <v>203</v>
      </c>
      <c r="F119" t="s">
        <v>223</v>
      </c>
      <c r="G119" t="s">
        <v>793</v>
      </c>
      <c r="H119" t="s">
        <v>203</v>
      </c>
      <c r="I119" t="s">
        <v>203</v>
      </c>
      <c r="J119" t="s">
        <v>203</v>
      </c>
      <c r="K119" t="s">
        <v>203</v>
      </c>
      <c r="L119">
        <v>0.85</v>
      </c>
      <c r="M119">
        <v>0.95</v>
      </c>
      <c r="N119">
        <v>0.85</v>
      </c>
      <c r="O119">
        <v>0.95</v>
      </c>
      <c r="P119">
        <v>0.85</v>
      </c>
      <c r="Q119">
        <v>0.95</v>
      </c>
      <c r="R119">
        <v>0.85</v>
      </c>
      <c r="S119">
        <v>0.85</v>
      </c>
      <c r="T119">
        <v>0.95</v>
      </c>
      <c r="U119">
        <v>0.95</v>
      </c>
      <c r="V119">
        <v>0.85</v>
      </c>
      <c r="W119">
        <v>0.95</v>
      </c>
      <c r="X119">
        <v>0.95</v>
      </c>
      <c r="Y119">
        <v>0.95</v>
      </c>
      <c r="Z119">
        <v>0.95</v>
      </c>
      <c r="AA119">
        <v>0.90</v>
      </c>
      <c r="AB119">
        <v>0.90</v>
      </c>
      <c r="AC119">
        <v>0.95</v>
      </c>
      <c r="AD119">
        <v>0.95</v>
      </c>
      <c r="AE119">
        <v>0.95</v>
      </c>
      <c r="AF119">
        <v>0.85</v>
      </c>
      <c r="AG119">
        <v>0.85</v>
      </c>
      <c r="AH119">
        <v>0.95</v>
      </c>
      <c r="AI119">
        <v>0.85</v>
      </c>
      <c r="AJ119">
        <v>0.85</v>
      </c>
      <c r="AK119">
        <v>0.85</v>
      </c>
      <c r="AL119">
        <v>0.85</v>
      </c>
      <c r="AM119">
        <v>0.95</v>
      </c>
      <c r="AN119">
        <v>0.95</v>
      </c>
      <c r="AO119">
        <v>0.85</v>
      </c>
      <c r="AP119">
        <v>0.90</v>
      </c>
      <c r="AQ119">
        <v>0.85</v>
      </c>
      <c r="AR119">
        <v>0.85</v>
      </c>
      <c r="AS119">
        <v>0.95</v>
      </c>
      <c r="AT119">
        <v>0.90</v>
      </c>
      <c r="AU119">
        <v>0.85</v>
      </c>
      <c r="AV119">
        <v>0.95</v>
      </c>
      <c r="AW119" t="s">
        <v>203</v>
      </c>
    </row>
    <row r="120" spans="1:49" ht="12.75">
      <c r="A120" t="s">
        <v>201</v>
      </c>
      <c r="B120" t="s">
        <v>29</v>
      </c>
      <c r="C120" t="s">
        <v>907</v>
      </c>
      <c r="D120" t="s">
        <v>203</v>
      </c>
      <c r="E120" t="s">
        <v>203</v>
      </c>
      <c r="F120" t="s">
        <v>223</v>
      </c>
      <c r="G120" t="s">
        <v>793</v>
      </c>
      <c r="H120" t="s">
        <v>203</v>
      </c>
      <c r="I120" t="s">
        <v>203</v>
      </c>
      <c r="J120" t="s">
        <v>203</v>
      </c>
      <c r="K120" t="s">
        <v>203</v>
      </c>
      <c r="L120">
        <v>0.75</v>
      </c>
      <c r="M120">
        <v>0.80</v>
      </c>
      <c r="N120">
        <v>0.75</v>
      </c>
      <c r="O120">
        <v>0.80</v>
      </c>
      <c r="P120">
        <v>0.75</v>
      </c>
      <c r="Q120">
        <v>0.80</v>
      </c>
      <c r="R120">
        <v>0.80</v>
      </c>
      <c r="S120">
        <v>0.75</v>
      </c>
      <c r="T120">
        <v>0.80</v>
      </c>
      <c r="U120">
        <v>0.80</v>
      </c>
      <c r="V120">
        <v>0.80</v>
      </c>
      <c r="W120">
        <v>0.75</v>
      </c>
      <c r="X120">
        <v>0.80</v>
      </c>
      <c r="Y120">
        <v>0.80</v>
      </c>
      <c r="Z120">
        <v>0.80</v>
      </c>
      <c r="AA120">
        <v>0.80</v>
      </c>
      <c r="AB120">
        <v>0.75</v>
      </c>
      <c r="AC120">
        <v>0.80</v>
      </c>
      <c r="AD120">
        <v>0.80</v>
      </c>
      <c r="AE120">
        <v>0.80</v>
      </c>
      <c r="AF120">
        <v>0.75</v>
      </c>
      <c r="AG120">
        <v>0.75</v>
      </c>
      <c r="AH120">
        <v>0.80</v>
      </c>
      <c r="AI120">
        <v>0.75</v>
      </c>
      <c r="AJ120">
        <v>0.75</v>
      </c>
      <c r="AK120">
        <v>0.75</v>
      </c>
      <c r="AL120">
        <v>0.75</v>
      </c>
      <c r="AM120">
        <v>0.80</v>
      </c>
      <c r="AN120">
        <v>0.80</v>
      </c>
      <c r="AO120">
        <v>0.75</v>
      </c>
      <c r="AP120">
        <v>0.75</v>
      </c>
      <c r="AQ120">
        <v>0.75</v>
      </c>
      <c r="AR120">
        <v>0.75</v>
      </c>
      <c r="AS120">
        <v>0.80</v>
      </c>
      <c r="AT120">
        <v>0.80</v>
      </c>
      <c r="AU120">
        <v>0.75</v>
      </c>
      <c r="AV120">
        <v>0.80</v>
      </c>
      <c r="AW120" t="s">
        <v>203</v>
      </c>
    </row>
    <row r="121" spans="1:49" ht="12.75">
      <c r="A121" t="s">
        <v>201</v>
      </c>
      <c r="B121" t="s">
        <v>29</v>
      </c>
      <c r="C121" t="s">
        <v>908</v>
      </c>
      <c r="D121" t="s">
        <v>203</v>
      </c>
      <c r="E121" t="s">
        <v>203</v>
      </c>
      <c r="F121" t="s">
        <v>223</v>
      </c>
      <c r="G121" t="s">
        <v>793</v>
      </c>
      <c r="H121" t="s">
        <v>203</v>
      </c>
      <c r="I121" t="s">
        <v>203</v>
      </c>
      <c r="J121" t="s">
        <v>203</v>
      </c>
      <c r="K121" t="s">
        <v>203</v>
      </c>
      <c r="L121">
        <v>0.75</v>
      </c>
      <c r="M121">
        <v>0.80</v>
      </c>
      <c r="N121">
        <v>0.75</v>
      </c>
      <c r="O121">
        <v>0.80</v>
      </c>
      <c r="P121">
        <v>0.75</v>
      </c>
      <c r="Q121">
        <v>0.80</v>
      </c>
      <c r="R121">
        <v>0.80</v>
      </c>
      <c r="S121">
        <v>0.75</v>
      </c>
      <c r="T121">
        <v>0.80</v>
      </c>
      <c r="U121">
        <v>0.80</v>
      </c>
      <c r="V121">
        <v>0.80</v>
      </c>
      <c r="W121">
        <v>0.75</v>
      </c>
      <c r="X121">
        <v>0.80</v>
      </c>
      <c r="Y121">
        <v>0.80</v>
      </c>
      <c r="Z121">
        <v>0.80</v>
      </c>
      <c r="AA121">
        <v>0.80</v>
      </c>
      <c r="AB121">
        <v>0.75</v>
      </c>
      <c r="AC121">
        <v>0.80</v>
      </c>
      <c r="AD121">
        <v>0.80</v>
      </c>
      <c r="AE121">
        <v>0.80</v>
      </c>
      <c r="AF121">
        <v>0.75</v>
      </c>
      <c r="AG121">
        <v>0.75</v>
      </c>
      <c r="AH121">
        <v>0.80</v>
      </c>
      <c r="AI121">
        <v>0.75</v>
      </c>
      <c r="AJ121">
        <v>0.75</v>
      </c>
      <c r="AK121">
        <v>0.75</v>
      </c>
      <c r="AL121">
        <v>0.75</v>
      </c>
      <c r="AM121">
        <v>0.80</v>
      </c>
      <c r="AN121">
        <v>0.80</v>
      </c>
      <c r="AO121">
        <v>0.75</v>
      </c>
      <c r="AP121">
        <v>0.75</v>
      </c>
      <c r="AQ121">
        <v>0.75</v>
      </c>
      <c r="AR121">
        <v>0.75</v>
      </c>
      <c r="AS121">
        <v>0.80</v>
      </c>
      <c r="AT121">
        <v>0.80</v>
      </c>
      <c r="AU121">
        <v>0.75</v>
      </c>
      <c r="AV121">
        <v>0.80</v>
      </c>
      <c r="AW121" t="s">
        <v>203</v>
      </c>
    </row>
    <row r="122" spans="12:48" ht="12.75"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</row>
    <row r="123" spans="12:48" ht="12.75"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</row>
    <row r="124" spans="12:48" ht="12.75"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12:48" ht="12.75"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12:48" ht="12.75"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12:48" ht="12.75"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</row>
    <row r="128" spans="12:48" ht="12.75"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</row>
    <row r="129" s="0" customFormat="1" ht="12.75"/>
    <row r="130" s="0" customFormat="1" ht="12.75"/>
    <row r="131" s="0" customFormat="1" ht="12.75"/>
    <row r="132" s="0" customFormat="1" ht="12.75"/>
    <row r="133" s="0" customFormat="1" ht="12.75"/>
    <row r="134" s="0" customFormat="1" ht="12.75"/>
    <row r="135" s="0" customFormat="1" ht="12.75"/>
    <row r="136" s="0" customFormat="1" ht="12.75"/>
    <row r="137" s="0" customFormat="1" ht="12.75"/>
    <row r="138" s="0" customFormat="1" ht="12.75"/>
    <row r="139" s="0" customFormat="1" ht="12.75"/>
    <row r="140" s="0" customFormat="1" ht="12.75"/>
    <row r="141" s="0" customFormat="1" ht="12.75"/>
    <row r="142" s="0" customFormat="1" ht="12.75"/>
    <row r="143" s="0" customFormat="1" ht="12.75"/>
    <row r="144" s="0" customFormat="1" ht="12.75"/>
    <row r="145" s="0" customFormat="1" ht="12.75"/>
    <row r="146" s="0" customFormat="1" ht="12.75"/>
    <row r="147" s="0" customFormat="1" ht="12.75"/>
    <row r="148" s="0" customFormat="1" ht="12.75"/>
    <row r="149" s="0" customFormat="1" ht="12.75"/>
    <row r="150" s="0" customFormat="1" ht="12.75"/>
    <row r="151" s="0" customFormat="1" ht="12.75"/>
    <row r="152" s="0" customFormat="1" ht="12.75"/>
    <row r="153" s="0" customFormat="1" ht="12.75"/>
    <row r="154" s="0" customFormat="1" ht="12.75"/>
    <row r="155" s="0" customFormat="1" ht="12.75"/>
    <row r="156" s="0" customFormat="1" ht="12.75"/>
    <row r="157" s="0" customFormat="1" ht="12.75"/>
    <row r="158" s="0" customFormat="1" ht="12.75"/>
    <row r="159" s="0" customFormat="1" ht="12.75"/>
    <row r="160" s="0" customFormat="1" ht="12.75"/>
    <row r="161" s="0" customFormat="1" ht="12.75"/>
    <row r="162" s="0" customFormat="1" ht="12.75"/>
    <row r="163" s="0" customFormat="1" ht="12.75"/>
    <row r="164" s="0" customFormat="1" ht="12.75"/>
    <row r="165" s="0" customFormat="1" ht="12.75"/>
    <row r="166" s="0" customFormat="1" ht="12.75"/>
    <row r="167" s="0" customFormat="1" ht="12.75"/>
    <row r="168" s="0" customFormat="1" ht="12.75"/>
    <row r="169" s="0" customFormat="1" ht="12.75"/>
    <row r="170" s="0" customFormat="1" ht="12.75"/>
    <row r="171" s="0" customFormat="1" ht="12.75"/>
    <row r="172" s="0" customFormat="1" ht="12.75"/>
    <row r="173" s="0" customFormat="1" ht="12.75"/>
    <row r="174" s="0" customFormat="1" ht="12.75"/>
    <row r="175" s="0" customFormat="1" ht="12.75"/>
    <row r="176" s="0" customFormat="1" ht="12.75"/>
    <row r="177" s="0" customFormat="1" ht="12.75"/>
    <row r="178" s="0" customFormat="1" ht="12.75"/>
    <row r="179" s="0" customFormat="1" ht="12.75"/>
    <row r="180" s="0" customFormat="1" ht="12.75"/>
    <row r="181" s="0" customFormat="1" ht="12.75"/>
    <row r="182" s="0" customFormat="1" ht="12.75"/>
    <row r="183" s="0" customFormat="1" ht="12.75"/>
    <row r="184" s="0" customFormat="1" ht="12.75"/>
    <row r="185" s="0" customFormat="1" ht="12.75"/>
    <row r="186" s="0" customFormat="1" ht="12.75"/>
    <row r="187" s="0" customFormat="1" ht="12.75"/>
    <row r="188" s="0" customFormat="1" ht="12.75"/>
    <row r="189" s="0" customFormat="1" ht="12.75"/>
    <row r="190" s="0" customFormat="1" ht="12.75"/>
    <row r="191" s="0" customFormat="1" ht="12.75"/>
    <row r="192" s="0" customFormat="1" ht="12.75"/>
    <row r="193" s="0" customFormat="1" ht="12.75"/>
    <row r="194" s="0" customFormat="1" ht="12.75"/>
    <row r="195" s="0" customFormat="1" ht="12.75"/>
    <row r="196" s="0" customFormat="1" ht="12.75"/>
    <row r="197" s="0" customFormat="1" ht="12.75"/>
    <row r="198" s="0" customFormat="1" ht="12.75"/>
    <row r="199" s="0" customFormat="1" ht="12.75"/>
    <row r="200" s="0" customFormat="1" ht="12.75"/>
    <row r="201" s="0" customFormat="1" ht="12.75"/>
    <row r="202" s="0" customFormat="1" ht="12.75"/>
    <row r="203" s="0" customFormat="1" ht="12.75"/>
    <row r="204" s="0" customFormat="1" ht="12.75"/>
    <row r="205" s="0" customFormat="1" ht="12.75"/>
    <row r="206" s="0" customFormat="1" ht="12.75"/>
    <row r="207" s="0" customFormat="1" ht="12.75"/>
    <row r="208" s="0" customFormat="1" ht="12.75"/>
    <row r="209" s="0" customFormat="1" ht="12.75"/>
    <row r="210" s="0" customFormat="1" ht="12.75"/>
    <row r="211" s="0" customFormat="1" ht="12.75"/>
    <row r="212" s="0" customFormat="1" ht="12.75"/>
    <row r="213" s="0" customFormat="1" ht="12.75"/>
    <row r="214" s="0" customFormat="1" ht="12.75"/>
    <row r="215" s="0" customFormat="1" ht="12.75"/>
    <row r="216" s="0" customFormat="1" ht="12.75"/>
    <row r="217" s="0" customFormat="1" ht="12.75"/>
    <row r="218" s="0" customFormat="1" ht="12.75"/>
    <row r="219" s="0" customFormat="1" ht="12.75"/>
    <row r="220" s="0" customFormat="1" ht="12.75"/>
    <row r="221" s="0" customFormat="1" ht="12.75"/>
    <row r="222" s="0" customFormat="1" ht="12.75"/>
    <row r="223" s="0" customFormat="1" ht="12.75"/>
    <row r="224" s="0" customFormat="1" ht="12.75"/>
    <row r="225" s="0" customFormat="1" ht="12.75"/>
    <row r="226" s="0" customFormat="1" ht="12.75"/>
    <row r="227" s="0" customFormat="1" ht="12.75"/>
    <row r="228" s="0" customFormat="1" ht="12.75"/>
    <row r="229" s="0" customFormat="1" ht="12.75"/>
    <row r="230" s="0" customFormat="1" ht="12.75"/>
    <row r="231" s="0" customFormat="1" ht="12.75"/>
    <row r="232" s="0" customFormat="1" ht="12.75"/>
    <row r="233" s="0" customFormat="1" ht="12.75"/>
    <row r="234" s="0" customFormat="1" ht="12.75"/>
    <row r="235" s="0" customFormat="1" ht="12.75"/>
    <row r="236" s="0" customFormat="1" ht="12.75"/>
    <row r="237" s="0" customFormat="1" ht="12.75"/>
    <row r="238" s="0" customFormat="1" ht="12.75"/>
    <row r="239" s="0" customFormat="1" ht="12.75"/>
    <row r="240" s="0" customFormat="1" ht="12.75"/>
    <row r="241" s="0" customFormat="1" ht="12.75"/>
    <row r="242" s="0" customFormat="1" ht="12.75"/>
    <row r="243" s="0" customFormat="1" ht="12.75"/>
    <row r="244" s="0" customFormat="1" ht="12.75"/>
    <row r="245" s="0" customFormat="1" ht="12.75"/>
    <row r="246" s="0" customFormat="1" ht="12.75"/>
    <row r="247" s="0" customFormat="1" ht="12.75"/>
    <row r="248" s="0" customFormat="1" ht="12.75"/>
    <row r="249" s="0" customFormat="1" ht="12.75"/>
    <row r="250" s="0" customFormat="1" ht="12.75"/>
    <row r="251" s="0" customFormat="1" ht="12.75"/>
    <row r="252" s="0" customFormat="1" ht="12.75"/>
    <row r="253" s="0" customFormat="1" ht="12.75"/>
    <row r="254" s="0" customFormat="1" ht="12.75"/>
    <row r="255" s="0" customFormat="1" ht="12.75"/>
    <row r="256" s="0" customFormat="1" ht="12.75"/>
    <row r="257" s="0" customFormat="1" ht="12.75"/>
    <row r="258" s="0" customFormat="1" ht="12.75"/>
    <row r="259" s="0" customFormat="1" ht="12.75"/>
    <row r="260" s="0" customFormat="1" ht="12.75"/>
    <row r="261" s="0" customFormat="1" ht="12.75"/>
    <row r="262" s="0" customFormat="1" ht="12.75"/>
    <row r="263" s="0" customFormat="1" ht="12.75"/>
    <row r="264" s="0" customFormat="1" ht="12.75"/>
    <row r="265" s="0" customFormat="1" ht="12.75"/>
    <row r="266" s="0" customFormat="1" ht="12.75"/>
    <row r="267" s="0" customFormat="1" ht="12.75"/>
    <row r="268" s="0" customFormat="1" ht="12.75"/>
    <row r="269" s="0" customFormat="1" ht="12.75"/>
    <row r="270" s="0" customFormat="1" ht="12.75"/>
    <row r="271" s="0" customFormat="1" ht="12.75"/>
    <row r="272" s="0" customFormat="1" ht="12.75"/>
    <row r="273" s="0" customFormat="1" ht="12.75"/>
    <row r="274" s="0" customFormat="1" ht="12.75"/>
    <row r="275" s="0" customFormat="1" ht="12.75"/>
    <row r="276" s="0" customFormat="1" ht="12.75"/>
    <row r="277" s="0" customFormat="1" ht="12.75"/>
    <row r="278" s="0" customFormat="1" ht="12.75"/>
    <row r="279" s="0" customFormat="1" ht="12.75"/>
    <row r="280" s="0" customFormat="1" ht="12.75"/>
    <row r="281" s="0" customFormat="1" ht="12.75"/>
    <row r="282" s="0" customFormat="1" ht="12.75"/>
    <row r="283" s="0" customFormat="1" ht="12.75"/>
    <row r="284" s="0" customFormat="1" ht="12.75"/>
    <row r="285" s="0" customFormat="1" ht="12.75"/>
    <row r="286" s="0" customFormat="1" ht="12.75"/>
    <row r="287" s="0" customFormat="1" ht="12.75"/>
    <row r="288" s="0" customFormat="1" ht="12.75"/>
    <row r="289" s="0" customFormat="1" ht="12.75"/>
    <row r="290" s="0" customFormat="1" ht="12.75"/>
    <row r="291" s="0" customFormat="1" ht="12.75"/>
    <row r="292" s="0" customFormat="1" ht="12.75"/>
    <row r="293" s="0" customFormat="1" ht="12.75"/>
    <row r="294" s="0" customFormat="1" ht="12.75"/>
    <row r="295" s="0" customFormat="1" ht="12.75"/>
    <row r="296" s="0" customFormat="1" ht="12.75"/>
    <row r="297" s="0" customFormat="1" ht="12.75"/>
    <row r="298" s="0" customFormat="1" ht="12.75"/>
    <row r="299" s="0" customFormat="1" ht="12.75"/>
    <row r="300" s="0" customFormat="1" ht="12.75"/>
    <row r="301" s="0" customFormat="1" ht="12.75"/>
    <row r="302" s="0" customFormat="1" ht="12.75"/>
    <row r="303" s="0" customFormat="1" ht="12.75"/>
    <row r="304" s="0" customFormat="1" ht="12.75"/>
    <row r="305" s="0" customFormat="1" ht="12.75"/>
    <row r="306" s="0" customFormat="1" ht="12.75"/>
    <row r="307" s="0" customFormat="1" ht="12.75"/>
    <row r="308" s="0" customFormat="1" ht="12.75"/>
    <row r="309" s="0" customFormat="1" ht="12.75"/>
    <row r="310" s="0" customFormat="1" ht="12.75"/>
    <row r="311" s="0" customFormat="1" ht="12.75"/>
    <row r="312" s="0" customFormat="1" ht="12.75"/>
    <row r="313" s="0" customFormat="1" ht="12.75"/>
    <row r="314" s="0" customFormat="1" ht="12.75"/>
    <row r="315" s="0" customFormat="1" ht="12.75"/>
    <row r="316" s="0" customFormat="1" ht="12.75"/>
    <row r="317" s="0" customFormat="1" ht="12.75"/>
    <row r="318" s="0" customFormat="1" ht="12.75"/>
    <row r="319" s="0" customFormat="1" ht="12.75"/>
    <row r="320" s="0" customFormat="1" ht="12.75"/>
    <row r="321" s="0" customFormat="1" ht="12.75"/>
    <row r="322" s="0" customFormat="1" ht="12.75"/>
    <row r="323" s="0" customFormat="1" ht="12.75"/>
    <row r="324" s="0" customFormat="1" ht="12.75"/>
    <row r="325" s="0" customFormat="1" ht="12.75"/>
    <row r="326" s="0" customFormat="1" ht="12.75"/>
    <row r="327" s="0" customFormat="1" ht="12.75"/>
    <row r="328" s="0" customFormat="1" ht="12.75"/>
    <row r="329" s="0" customFormat="1" ht="12.75"/>
    <row r="330" s="0" customFormat="1" ht="12.75"/>
    <row r="331" s="0" customFormat="1" ht="12.75"/>
    <row r="332" s="0" customFormat="1" ht="12.75"/>
    <row r="333" s="0" customFormat="1" ht="12.75"/>
    <row r="334" s="0" customFormat="1" ht="12.75"/>
    <row r="335" s="0" customFormat="1" ht="12.75"/>
    <row r="336" s="0" customFormat="1" ht="12.75"/>
    <row r="337" s="0" customFormat="1" ht="12.75"/>
    <row r="338" s="0" customFormat="1" ht="12.75"/>
    <row r="339" s="0" customFormat="1" ht="12.75"/>
    <row r="340" s="0" customFormat="1" ht="12.75"/>
    <row r="341" s="0" customFormat="1" ht="12.75"/>
    <row r="342" s="0" customFormat="1" ht="12.75"/>
    <row r="343" s="0" customFormat="1" ht="12.75"/>
    <row r="344" s="0" customFormat="1" ht="12.75"/>
    <row r="345" s="0" customFormat="1" ht="12.75"/>
    <row r="346" s="0" customFormat="1" ht="12.75"/>
    <row r="347" s="0" customFormat="1" ht="12.75"/>
    <row r="348" s="0" customFormat="1" ht="12.75"/>
    <row r="349" s="0" customFormat="1" ht="12.75"/>
    <row r="350" s="0" customFormat="1" ht="12.75"/>
    <row r="351" s="0" customFormat="1" ht="12.75"/>
    <row r="352" s="0" customFormat="1" ht="12.75"/>
    <row r="353" s="0" customFormat="1" ht="12.75"/>
    <row r="354" s="0" customFormat="1" ht="12.75"/>
    <row r="355" s="0" customFormat="1" ht="12.75"/>
    <row r="356" s="0" customFormat="1" ht="12.75"/>
    <row r="357" s="0" customFormat="1" ht="12.75"/>
    <row r="358" s="0" customFormat="1" ht="12.75"/>
    <row r="359" s="0" customFormat="1" ht="12.75"/>
    <row r="360" s="0" customFormat="1" ht="12.75"/>
    <row r="361" s="0" customFormat="1" ht="12.75"/>
    <row r="362" s="0" customFormat="1" ht="12.75"/>
    <row r="363" s="0" customFormat="1" ht="12.75"/>
    <row r="364" s="0" customFormat="1" ht="12.75"/>
    <row r="365" s="0" customFormat="1" ht="12.75"/>
    <row r="366" s="0" customFormat="1" ht="12.75"/>
    <row r="367" s="0" customFormat="1" ht="12.75"/>
    <row r="368" s="0" customFormat="1" ht="12.75"/>
    <row r="369" s="0" customFormat="1" ht="12.75"/>
    <row r="370" s="0" customFormat="1" ht="12.75"/>
    <row r="371" s="0" customFormat="1" ht="12.75"/>
    <row r="372" s="0" customFormat="1" ht="12.75"/>
    <row r="373" s="0" customFormat="1" ht="12.75"/>
    <row r="374" s="0" customFormat="1" ht="12.75"/>
    <row r="375" s="0" customFormat="1" ht="12.75"/>
    <row r="376" s="0" customFormat="1" ht="12.75"/>
    <row r="377" s="0" customFormat="1" ht="12.75"/>
    <row r="378" s="0" customFormat="1" ht="12.75"/>
    <row r="379" s="0" customFormat="1" ht="12.75"/>
    <row r="380" s="0" customFormat="1" ht="12.75"/>
    <row r="381" s="0" customFormat="1" ht="12.75"/>
    <row r="382" s="0" customFormat="1" ht="12.75"/>
    <row r="383" s="0" customFormat="1" ht="12.75"/>
    <row r="384" s="0" customFormat="1" ht="12.75"/>
    <row r="385" s="0" customFormat="1" ht="12.75"/>
    <row r="386" s="0" customFormat="1" ht="12.75"/>
    <row r="387" s="0" customFormat="1" ht="12.75"/>
    <row r="388" s="0" customFormat="1" ht="12.75"/>
    <row r="389" s="0" customFormat="1" ht="12.75"/>
    <row r="390" s="0" customFormat="1" ht="12.75"/>
    <row r="391" s="0" customFormat="1" ht="12.75"/>
    <row r="392" s="0" customFormat="1" ht="12.75"/>
    <row r="393" s="0" customFormat="1" ht="12.75"/>
    <row r="394" s="0" customFormat="1" ht="12.75"/>
    <row r="395" s="0" customFormat="1" ht="12.75"/>
    <row r="396" s="0" customFormat="1" ht="12.75"/>
    <row r="397" s="0" customFormat="1" ht="12.75"/>
    <row r="398" s="0" customFormat="1" ht="12.75"/>
    <row r="399" s="0" customFormat="1" ht="12.75"/>
    <row r="400" s="0" customFormat="1" ht="12.75"/>
    <row r="401" s="0" customFormat="1" ht="12.75"/>
    <row r="402" s="0" customFormat="1" ht="12.75"/>
    <row r="403" s="0" customFormat="1" ht="12.75"/>
    <row r="404" s="0" customFormat="1" ht="12.75"/>
    <row r="405" s="0" customFormat="1" ht="12.75"/>
    <row r="406" s="0" customFormat="1" ht="12.75"/>
    <row r="407" s="0" customFormat="1" ht="12.75"/>
    <row r="408" s="0" customFormat="1" ht="12.75"/>
    <row r="409" s="0" customFormat="1" ht="12.75"/>
    <row r="410" s="0" customFormat="1" ht="12.75"/>
    <row r="411" s="0" customFormat="1" ht="12.75"/>
    <row r="412" s="0" customFormat="1" ht="12.75"/>
    <row r="413" s="0" customFormat="1" ht="12.75"/>
    <row r="414" s="0" customFormat="1" ht="12.75"/>
    <row r="415" s="0" customFormat="1" ht="12.75"/>
    <row r="416" s="0" customFormat="1" ht="12.75"/>
    <row r="417" s="0" customFormat="1" ht="12.75"/>
    <row r="418" s="0" customFormat="1" ht="12.75"/>
    <row r="419" s="0" customFormat="1" ht="12.75"/>
    <row r="420" s="0" customFormat="1" ht="12.75"/>
    <row r="421" s="0" customFormat="1" ht="12.75"/>
    <row r="422" s="0" customFormat="1" ht="12.75"/>
    <row r="423" s="0" customFormat="1" ht="12.75"/>
    <row r="424" s="0" customFormat="1" ht="12.75"/>
    <row r="425" s="0" customFormat="1" ht="12.75"/>
    <row r="426" s="0" customFormat="1" ht="12.75"/>
    <row r="427" s="0" customFormat="1" ht="12.75"/>
    <row r="428" s="0" customFormat="1" ht="12.75"/>
    <row r="429" s="0" customFormat="1" ht="12.75"/>
    <row r="430" s="0" customFormat="1" ht="12.75"/>
    <row r="431" s="0" customFormat="1" ht="12.75"/>
    <row r="432" s="0" customFormat="1" ht="12.75"/>
    <row r="433" s="0" customFormat="1" ht="12.75"/>
    <row r="434" s="0" customFormat="1" ht="12.75"/>
    <row r="435" s="0" customFormat="1" ht="12.75"/>
    <row r="436" s="0" customFormat="1" ht="12.75"/>
    <row r="437" s="0" customFormat="1" ht="12.75"/>
    <row r="438" s="0" customFormat="1" ht="12.75"/>
    <row r="439" s="0" customFormat="1" ht="12.75"/>
    <row r="440" s="0" customFormat="1" ht="12.75"/>
    <row r="441" s="0" customFormat="1" ht="12.75"/>
    <row r="442" s="0" customFormat="1" ht="12.75"/>
    <row r="443" s="0" customFormat="1" ht="12.75"/>
    <row r="444" s="0" customFormat="1" ht="12.75"/>
    <row r="445" s="0" customFormat="1" ht="12.75"/>
    <row r="446" s="0" customFormat="1" ht="12.75"/>
    <row r="447" s="0" customFormat="1" ht="12.75"/>
    <row r="448" s="0" customFormat="1" ht="12.75"/>
    <row r="449" s="0" customFormat="1" ht="12.75"/>
    <row r="450" s="0" customFormat="1" ht="12.75"/>
    <row r="451" s="0" customFormat="1" ht="12.75"/>
    <row r="452" s="0" customFormat="1" ht="12.75"/>
    <row r="453" s="0" customFormat="1" ht="12.75"/>
    <row r="454" s="0" customFormat="1" ht="12.75"/>
    <row r="455" s="0" customFormat="1" ht="12.75"/>
    <row r="456" s="0" customFormat="1" ht="12.75"/>
    <row r="457" s="0" customFormat="1" ht="12.75"/>
    <row r="458" s="0" customFormat="1" ht="12.75"/>
    <row r="459" s="0" customFormat="1" ht="12.75"/>
    <row r="460" s="0" customFormat="1" ht="12.75"/>
    <row r="461" s="0" customFormat="1" ht="12.75"/>
    <row r="462" s="0" customFormat="1" ht="12.75"/>
    <row r="463" s="0" customFormat="1" ht="12.75"/>
    <row r="464" s="0" customFormat="1" ht="12.75"/>
    <row r="465" s="0" customFormat="1" ht="12.75"/>
    <row r="466" s="0" customFormat="1" ht="12.75"/>
    <row r="467" s="0" customFormat="1" ht="12.75"/>
    <row r="468" s="0" customFormat="1" ht="12.75"/>
    <row r="469" s="0" customFormat="1" ht="12.75"/>
    <row r="470" s="0" customFormat="1" ht="12.75"/>
    <row r="471" s="0" customFormat="1" ht="12.75"/>
    <row r="472" s="0" customFormat="1" ht="12.75"/>
    <row r="473" s="0" customFormat="1" ht="12.75"/>
    <row r="474" s="0" customFormat="1" ht="12.75"/>
    <row r="475" s="0" customFormat="1" ht="12.75"/>
    <row r="476" s="0" customFormat="1" ht="12.75"/>
    <row r="477" s="0" customFormat="1" ht="12.75"/>
    <row r="478" s="0" customFormat="1" ht="12.75"/>
    <row r="479" s="0" customFormat="1" ht="12.75"/>
    <row r="480" s="0" customFormat="1" ht="12.75"/>
    <row r="481" s="0" customFormat="1" ht="12.75"/>
    <row r="482" s="0" customFormat="1" ht="12.75"/>
    <row r="483" s="0" customFormat="1" ht="12.75"/>
    <row r="484" s="0" customFormat="1" ht="12.75"/>
    <row r="485" s="0" customFormat="1" ht="12.75"/>
    <row r="486" s="0" customFormat="1" ht="12.75"/>
    <row r="487" s="0" customFormat="1" ht="12.75"/>
    <row r="488" s="0" customFormat="1" ht="12.75"/>
    <row r="489" s="0" customFormat="1" ht="12.75"/>
    <row r="490" s="0" customFormat="1" ht="12.75"/>
    <row r="491" s="0" customFormat="1" ht="12.75"/>
    <row r="492" s="0" customFormat="1" ht="12.75"/>
    <row r="493" s="0" customFormat="1" ht="12.75"/>
    <row r="494" s="0" customFormat="1" ht="12.75"/>
    <row r="495" s="0" customFormat="1" ht="12.75"/>
    <row r="496" s="0" customFormat="1" ht="12.75"/>
    <row r="497" s="0" customFormat="1" ht="12.75"/>
    <row r="498" s="0" customFormat="1" ht="12.75"/>
    <row r="499" s="0" customFormat="1" ht="12.75"/>
    <row r="500" s="0" customFormat="1" ht="12.75"/>
    <row r="501" s="0" customFormat="1" ht="12.75"/>
    <row r="502" s="0" customFormat="1" ht="12.75"/>
    <row r="503" s="0" customFormat="1" ht="12.75"/>
    <row r="504" s="0" customFormat="1" ht="12.75"/>
    <row r="505" s="0" customFormat="1" ht="12.75"/>
    <row r="506" s="0" customFormat="1" ht="12.75"/>
    <row r="507" s="0" customFormat="1" ht="12.75"/>
    <row r="508" s="0" customFormat="1" ht="12.75"/>
    <row r="509" s="0" customFormat="1" ht="12.75"/>
    <row r="510" s="0" customFormat="1" ht="12.75"/>
    <row r="511" s="0" customFormat="1" ht="12.75"/>
    <row r="512" s="0" customFormat="1" ht="12.75"/>
    <row r="513" s="0" customFormat="1" ht="12.75"/>
    <row r="514" s="0" customFormat="1" ht="12.75"/>
    <row r="515" s="0" customFormat="1" ht="12.75"/>
    <row r="516" s="0" customFormat="1" ht="12.75"/>
    <row r="517" s="0" customFormat="1" ht="12.75"/>
    <row r="518" s="0" customFormat="1" ht="12.75"/>
    <row r="519" s="0" customFormat="1" ht="12.75"/>
    <row r="520" s="0" customFormat="1" ht="12.75"/>
    <row r="521" s="0" customFormat="1" ht="12.75"/>
    <row r="522" s="0" customFormat="1" ht="12.75"/>
    <row r="523" s="0" customFormat="1" ht="12.75"/>
    <row r="524" s="0" customFormat="1" ht="12.75"/>
    <row r="525" s="0" customFormat="1" ht="12.75"/>
    <row r="526" s="0" customFormat="1" ht="12.75"/>
    <row r="527" s="0" customFormat="1" ht="12.75"/>
    <row r="528" s="0" customFormat="1" ht="12.75"/>
    <row r="529" s="0" customFormat="1" ht="12.75"/>
    <row r="530" s="0" customFormat="1" ht="12.75"/>
    <row r="531" s="0" customFormat="1" ht="12.75"/>
    <row r="532" s="0" customFormat="1" ht="12.75"/>
    <row r="533" s="0" customFormat="1" ht="12.75"/>
    <row r="534" s="0" customFormat="1" ht="12.75"/>
    <row r="535" s="0" customFormat="1" ht="12.75"/>
    <row r="536" s="0" customFormat="1" ht="12.75"/>
    <row r="537" s="0" customFormat="1" ht="12.75"/>
    <row r="538" s="0" customFormat="1" ht="12.75"/>
    <row r="539" s="0" customFormat="1" ht="12.75"/>
    <row r="540" s="0" customFormat="1" ht="12.75"/>
    <row r="541" s="0" customFormat="1" ht="12.75"/>
    <row r="542" s="0" customFormat="1" ht="12.75"/>
    <row r="543" s="0" customFormat="1" ht="12.75"/>
    <row r="544" s="0" customFormat="1" ht="12.75"/>
    <row r="545" s="0" customFormat="1" ht="12.75"/>
    <row r="546" s="0" customFormat="1" ht="12.75"/>
    <row r="547" s="0" customFormat="1" ht="12.75"/>
    <row r="548" s="0" customFormat="1" ht="12.75"/>
    <row r="549" s="0" customFormat="1" ht="12.75"/>
    <row r="550" s="0" customFormat="1" ht="12.75"/>
    <row r="551" s="0" customFormat="1" ht="12.75"/>
    <row r="552" s="0" customFormat="1" ht="12.75"/>
    <row r="553" s="0" customFormat="1" ht="12.75"/>
    <row r="554" s="0" customFormat="1" ht="12.75"/>
    <row r="555" s="0" customFormat="1" ht="12.75"/>
    <row r="556" s="0" customFormat="1" ht="12.75"/>
    <row r="557" s="0" customFormat="1" ht="12.75"/>
    <row r="558" s="0" customFormat="1" ht="12.75"/>
    <row r="559" s="0" customFormat="1" ht="12.75"/>
    <row r="560" s="0" customFormat="1" ht="12.75"/>
    <row r="561" s="0" customFormat="1" ht="12.75"/>
    <row r="562" s="0" customFormat="1" ht="12.75"/>
    <row r="563" s="0" customFormat="1" ht="12.75"/>
    <row r="564" s="0" customFormat="1" ht="12.75"/>
    <row r="565" s="0" customFormat="1" ht="12.75"/>
    <row r="566" s="0" customFormat="1" ht="12.75"/>
    <row r="567" s="0" customFormat="1" ht="12.75"/>
    <row r="568" s="0" customFormat="1" ht="12.75"/>
    <row r="569" s="0" customFormat="1" ht="12.75"/>
    <row r="570" s="0" customFormat="1" ht="12.75"/>
    <row r="571" s="0" customFormat="1" ht="12.75"/>
    <row r="572" s="0" customFormat="1" ht="12.75"/>
    <row r="573" s="0" customFormat="1" ht="12.75"/>
    <row r="574" s="0" customFormat="1" ht="12.75"/>
    <row r="575" s="0" customFormat="1" ht="12.75"/>
    <row r="576" s="0" customFormat="1" ht="12.75"/>
    <row r="577" s="0" customFormat="1" ht="12.75"/>
    <row r="578" s="0" customFormat="1" ht="12.75"/>
    <row r="579" s="0" customFormat="1" ht="12.75"/>
    <row r="580" s="0" customFormat="1" ht="12.75"/>
    <row r="581" s="0" customFormat="1" ht="12.75"/>
    <row r="582" s="0" customFormat="1" ht="12.75"/>
    <row r="583" s="0" customFormat="1" ht="12.75"/>
    <row r="584" s="0" customFormat="1" ht="12.75"/>
    <row r="585" s="0" customFormat="1" ht="12.75"/>
    <row r="586" s="0" customFormat="1" ht="12.75"/>
    <row r="587" s="0" customFormat="1" ht="12.75"/>
    <row r="588" s="0" customFormat="1" ht="12.75"/>
    <row r="589" s="0" customFormat="1" ht="12.75"/>
    <row r="590" s="0" customFormat="1" ht="12.75"/>
    <row r="591" s="0" customFormat="1" ht="12.75"/>
    <row r="592" s="0" customFormat="1" ht="12.75"/>
    <row r="593" s="0" customFormat="1" ht="12.75"/>
    <row r="594" s="0" customFormat="1" ht="12.75"/>
    <row r="595" s="0" customFormat="1" ht="12.75"/>
    <row r="596" s="0" customFormat="1" ht="12.75"/>
    <row r="597" s="0" customFormat="1" ht="12.75"/>
    <row r="598" s="0" customFormat="1" ht="12.75"/>
    <row r="599" s="0" customFormat="1" ht="12.75"/>
    <row r="600" s="0" customFormat="1" ht="12.75"/>
    <row r="601" s="0" customFormat="1" ht="12.75"/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49"/>
  <sheetViews>
    <sheetView workbookViewId="0" topLeftCell="A1"/>
  </sheetViews>
  <sheetFormatPr defaultRowHeight="12.75"/>
  <sheetData>
    <row r="1" spans="1:49" ht="12.75">
      <c r="A1" t="s">
        <v>885</v>
      </c>
      <c r="B1" t="s">
        <v>886</v>
      </c>
      <c r="C1" t="s">
        <v>887</v>
      </c>
      <c r="D1" t="s">
        <v>888</v>
      </c>
      <c r="E1" t="s">
        <v>889</v>
      </c>
      <c r="F1" t="s">
        <v>890</v>
      </c>
      <c r="G1" t="s">
        <v>891</v>
      </c>
      <c r="H1" t="s">
        <v>892</v>
      </c>
      <c r="I1" t="s">
        <v>893</v>
      </c>
      <c r="J1" t="s">
        <v>894</v>
      </c>
      <c r="K1" t="s">
        <v>895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906</v>
      </c>
    </row>
    <row r="2" spans="1:49" ht="12.75">
      <c r="A2" t="s">
        <v>201</v>
      </c>
      <c r="B2" t="s">
        <v>52</v>
      </c>
      <c r="C2" t="s">
        <v>224</v>
      </c>
      <c r="D2" t="s">
        <v>203</v>
      </c>
      <c r="E2" t="s">
        <v>222</v>
      </c>
      <c r="F2" t="s">
        <v>203</v>
      </c>
      <c r="G2" t="s">
        <v>793</v>
      </c>
      <c r="H2" t="s">
        <v>203</v>
      </c>
      <c r="I2" t="s">
        <v>203</v>
      </c>
      <c r="J2" t="s">
        <v>203</v>
      </c>
      <c r="K2" t="s">
        <v>203</v>
      </c>
      <c r="L2">
        <v>0.024815579244214198</v>
      </c>
      <c r="M2">
        <v>0.026163789907819601</v>
      </c>
      <c r="N2">
        <v>0.0130924133953164</v>
      </c>
      <c r="O2">
        <v>0.022154431458604799</v>
      </c>
      <c r="P2">
        <v>0.017639247628040599</v>
      </c>
      <c r="Q2">
        <v>0.019789784314238699</v>
      </c>
      <c r="R2">
        <v>0.022016615011670002</v>
      </c>
      <c r="S2">
        <v>0.016570421792852699</v>
      </c>
      <c r="T2">
        <v>0.021416335886684599</v>
      </c>
      <c r="U2">
        <v>0.022609526683434598</v>
      </c>
      <c r="V2">
        <v>0.020783504914615301</v>
      </c>
      <c r="W2">
        <v>0.024236124350948501</v>
      </c>
      <c r="X2">
        <v>0.027929540173183401</v>
      </c>
      <c r="Y2">
        <v>0.0264163002032991</v>
      </c>
      <c r="Z2">
        <v>0.023146812119180099</v>
      </c>
      <c r="AA2">
        <v>0.014271100719649101</v>
      </c>
      <c r="AB2">
        <v>0.0124082488140676</v>
      </c>
      <c r="AC2">
        <v>0.0250031533929112</v>
      </c>
      <c r="AD2">
        <v>0.0244918687515253</v>
      </c>
      <c r="AE2">
        <v>0.019633719658858101</v>
      </c>
      <c r="AF2">
        <v>0.0099620396611548607</v>
      </c>
      <c r="AG2">
        <v>0.017074147964365401</v>
      </c>
      <c r="AH2">
        <v>0.017815470849275001</v>
      </c>
      <c r="AI2">
        <v>0.0239535670191184</v>
      </c>
      <c r="AJ2">
        <v>0.017648292330328798</v>
      </c>
      <c r="AK2">
        <v>0.0145692738759457</v>
      </c>
      <c r="AL2">
        <v>0.010716070814948599</v>
      </c>
      <c r="AM2">
        <v>0.0214967077250043</v>
      </c>
      <c r="AN2">
        <v>0.035834053241728503</v>
      </c>
      <c r="AO2">
        <v>0.0213420821544534</v>
      </c>
      <c r="AP2">
        <v>0.034456590413286102</v>
      </c>
      <c r="AQ2">
        <v>0.0143012225370781</v>
      </c>
      <c r="AR2">
        <v>0.0161092470203896</v>
      </c>
      <c r="AS2">
        <v>0.021612122934021798</v>
      </c>
      <c r="AT2">
        <v>0.028772248577818401</v>
      </c>
      <c r="AU2">
        <v>0.021840342652476599</v>
      </c>
      <c r="AV2">
        <v>0.021419365704021899</v>
      </c>
      <c r="AW2" t="s">
        <v>203</v>
      </c>
    </row>
    <row r="3" spans="1:49" ht="12.75">
      <c r="A3" t="s">
        <v>201</v>
      </c>
      <c r="B3" t="s">
        <v>52</v>
      </c>
      <c r="C3" t="s">
        <v>225</v>
      </c>
      <c r="D3" t="s">
        <v>203</v>
      </c>
      <c r="E3" t="s">
        <v>222</v>
      </c>
      <c r="F3" t="s">
        <v>203</v>
      </c>
      <c r="G3" t="s">
        <v>793</v>
      </c>
      <c r="H3" t="s">
        <v>203</v>
      </c>
      <c r="I3" t="s">
        <v>203</v>
      </c>
      <c r="J3" t="s">
        <v>203</v>
      </c>
      <c r="K3" t="s">
        <v>203</v>
      </c>
      <c r="L3">
        <v>0.024815579244214198</v>
      </c>
      <c r="M3">
        <v>0.026163789907819601</v>
      </c>
      <c r="N3">
        <v>0.0130924133953164</v>
      </c>
      <c r="O3">
        <v>0.022154431458604799</v>
      </c>
      <c r="P3">
        <v>0.017639247628040599</v>
      </c>
      <c r="Q3">
        <v>0.019789784314238699</v>
      </c>
      <c r="R3">
        <v>0.022016615011670002</v>
      </c>
      <c r="S3">
        <v>0.016570421792852699</v>
      </c>
      <c r="T3">
        <v>0.021416335886684599</v>
      </c>
      <c r="U3">
        <v>0.022609526683434598</v>
      </c>
      <c r="V3">
        <v>0.020783504914615301</v>
      </c>
      <c r="W3">
        <v>0.024236124350948501</v>
      </c>
      <c r="X3">
        <v>0.027929540173183401</v>
      </c>
      <c r="Y3">
        <v>0.0264163002032991</v>
      </c>
      <c r="Z3">
        <v>0.023146812119180099</v>
      </c>
      <c r="AA3">
        <v>0.014271100719649101</v>
      </c>
      <c r="AB3">
        <v>0.0124082488140676</v>
      </c>
      <c r="AC3">
        <v>0.0250031533929112</v>
      </c>
      <c r="AD3">
        <v>0.0244918687515253</v>
      </c>
      <c r="AE3">
        <v>0.019633719658858101</v>
      </c>
      <c r="AF3">
        <v>0.0099620396611548607</v>
      </c>
      <c r="AG3">
        <v>0.017074147964365401</v>
      </c>
      <c r="AH3">
        <v>0.017815470849275001</v>
      </c>
      <c r="AI3">
        <v>0.0239535670191184</v>
      </c>
      <c r="AJ3">
        <v>0.017648292330328798</v>
      </c>
      <c r="AK3">
        <v>0.0145692738759457</v>
      </c>
      <c r="AL3">
        <v>0.010716070814948599</v>
      </c>
      <c r="AM3">
        <v>0.0214967077250043</v>
      </c>
      <c r="AN3">
        <v>0.035834053241728503</v>
      </c>
      <c r="AO3">
        <v>0.0213420821544534</v>
      </c>
      <c r="AP3">
        <v>0.034456590413286102</v>
      </c>
      <c r="AQ3">
        <v>0.0143012225370781</v>
      </c>
      <c r="AR3">
        <v>0.0161092470203896</v>
      </c>
      <c r="AS3">
        <v>0.021612122934021798</v>
      </c>
      <c r="AT3">
        <v>0.028772248577818401</v>
      </c>
      <c r="AU3">
        <v>0.021840342652476599</v>
      </c>
      <c r="AV3">
        <v>0.021419365704021899</v>
      </c>
      <c r="AW3" t="s">
        <v>203</v>
      </c>
    </row>
    <row r="4" spans="1:49" ht="12.75">
      <c r="A4" t="s">
        <v>201</v>
      </c>
      <c r="B4" t="s">
        <v>52</v>
      </c>
      <c r="C4" t="s">
        <v>226</v>
      </c>
      <c r="D4" t="s">
        <v>203</v>
      </c>
      <c r="E4" t="s">
        <v>222</v>
      </c>
      <c r="F4" t="s">
        <v>203</v>
      </c>
      <c r="G4" t="s">
        <v>793</v>
      </c>
      <c r="H4" t="s">
        <v>203</v>
      </c>
      <c r="I4" t="s">
        <v>203</v>
      </c>
      <c r="J4" t="s">
        <v>203</v>
      </c>
      <c r="K4" t="s">
        <v>203</v>
      </c>
      <c r="L4">
        <v>0.074446737732642501</v>
      </c>
      <c r="M4">
        <v>0.078491369723458701</v>
      </c>
      <c r="N4">
        <v>0.039277240185949303</v>
      </c>
      <c r="O4">
        <v>0.0664632943758144</v>
      </c>
      <c r="P4">
        <v>0.0529177428841218</v>
      </c>
      <c r="Q4">
        <v>0.059369352942716003</v>
      </c>
      <c r="R4">
        <v>0.066049845035010005</v>
      </c>
      <c r="S4">
        <v>0.049711265378558203</v>
      </c>
      <c r="T4">
        <v>0.0642490076600538</v>
      </c>
      <c r="U4">
        <v>0.067828580050303705</v>
      </c>
      <c r="V4">
        <v>0.0623505147438458</v>
      </c>
      <c r="W4">
        <v>0.072708373052845499</v>
      </c>
      <c r="X4">
        <v>0.0837886205195503</v>
      </c>
      <c r="Y4">
        <v>0.079248900609897296</v>
      </c>
      <c r="Z4">
        <v>0.069440436357540394</v>
      </c>
      <c r="AA4">
        <v>0.0428133021589472</v>
      </c>
      <c r="AB4">
        <v>0.037224746442202701</v>
      </c>
      <c r="AC4">
        <v>0.0750094601787335</v>
      </c>
      <c r="AD4">
        <v>0.073475606254575901</v>
      </c>
      <c r="AE4">
        <v>0.058901158976574303</v>
      </c>
      <c r="AF4">
        <v>0.029886118983464601</v>
      </c>
      <c r="AG4">
        <v>0.051222443893096201</v>
      </c>
      <c r="AH4">
        <v>0.053446412547824999</v>
      </c>
      <c r="AI4">
        <v>0.071860701057355203</v>
      </c>
      <c r="AJ4">
        <v>0.052944876990986302</v>
      </c>
      <c r="AK4">
        <v>0.0437078216278372</v>
      </c>
      <c r="AL4">
        <v>0.032148212444845801</v>
      </c>
      <c r="AM4">
        <v>0.064490123175012903</v>
      </c>
      <c r="AN4">
        <v>0.107502159725185</v>
      </c>
      <c r="AO4">
        <v>0.064026246463360206</v>
      </c>
      <c r="AP4">
        <v>0.10336977123985799</v>
      </c>
      <c r="AQ4">
        <v>0.042903667611234202</v>
      </c>
      <c r="AR4">
        <v>0.048327741061168897</v>
      </c>
      <c r="AS4">
        <v>0.064836368802065295</v>
      </c>
      <c r="AT4">
        <v>0.0863167457334552</v>
      </c>
      <c r="AU4">
        <v>0.065521027957429798</v>
      </c>
      <c r="AV4">
        <v>0.064258097112065704</v>
      </c>
      <c r="AW4" t="s">
        <v>203</v>
      </c>
    </row>
    <row r="5" spans="1:49" ht="12.75">
      <c r="A5" t="s">
        <v>201</v>
      </c>
      <c r="B5" t="s">
        <v>52</v>
      </c>
      <c r="C5" t="s">
        <v>227</v>
      </c>
      <c r="D5" t="s">
        <v>203</v>
      </c>
      <c r="E5" t="s">
        <v>222</v>
      </c>
      <c r="F5" t="s">
        <v>203</v>
      </c>
      <c r="G5" t="s">
        <v>793</v>
      </c>
      <c r="H5" t="s">
        <v>203</v>
      </c>
      <c r="I5" t="s">
        <v>203</v>
      </c>
      <c r="J5" t="s">
        <v>203</v>
      </c>
      <c r="K5" t="s">
        <v>203</v>
      </c>
      <c r="L5">
        <v>0.031019474055267698</v>
      </c>
      <c r="M5">
        <v>0.032704737384774502</v>
      </c>
      <c r="N5">
        <v>0.016365516744145499</v>
      </c>
      <c r="O5">
        <v>0.027693039323256001</v>
      </c>
      <c r="P5">
        <v>0.022049059535050701</v>
      </c>
      <c r="Q5">
        <v>0.0247372303927983</v>
      </c>
      <c r="R5">
        <v>0.027520768764587498</v>
      </c>
      <c r="S5">
        <v>0.020713027241065898</v>
      </c>
      <c r="T5">
        <v>0.0267704198583558</v>
      </c>
      <c r="U5">
        <v>0.028261908354293201</v>
      </c>
      <c r="V5">
        <v>0.025979381143269101</v>
      </c>
      <c r="W5">
        <v>0.030295155438685599</v>
      </c>
      <c r="X5">
        <v>0.034911925216479303</v>
      </c>
      <c r="Y5">
        <v>0.0330203752541239</v>
      </c>
      <c r="Z5">
        <v>0.0289335151489752</v>
      </c>
      <c r="AA5">
        <v>0.017838875899561301</v>
      </c>
      <c r="AB5">
        <v>0.0155103110175844</v>
      </c>
      <c r="AC5">
        <v>0.031253941741138998</v>
      </c>
      <c r="AD5">
        <v>0.030614835939406601</v>
      </c>
      <c r="AE5">
        <v>0.024542149573572598</v>
      </c>
      <c r="AF5">
        <v>0.0124525495764436</v>
      </c>
      <c r="AG5">
        <v>0.021342684955456701</v>
      </c>
      <c r="AH5">
        <v>0.022269338561593702</v>
      </c>
      <c r="AI5">
        <v>0.029941958773897999</v>
      </c>
      <c r="AJ5">
        <v>0.022060365412910999</v>
      </c>
      <c r="AK5">
        <v>0.0182115923449322</v>
      </c>
      <c r="AL5">
        <v>0.0133950885186857</v>
      </c>
      <c r="AM5">
        <v>0.026870884656255398</v>
      </c>
      <c r="AN5">
        <v>0.044792566552160601</v>
      </c>
      <c r="AO5">
        <v>0.026677602693066699</v>
      </c>
      <c r="AP5">
        <v>0.043070738016607601</v>
      </c>
      <c r="AQ5">
        <v>0.017876528171347598</v>
      </c>
      <c r="AR5">
        <v>0.0201365587754871</v>
      </c>
      <c r="AS5">
        <v>0.0270151536675272</v>
      </c>
      <c r="AT5">
        <v>0.035965310722272999</v>
      </c>
      <c r="AU5">
        <v>0.027300428315595801</v>
      </c>
      <c r="AV5">
        <v>0.0267742071300274</v>
      </c>
      <c r="AW5" t="s">
        <v>203</v>
      </c>
    </row>
    <row r="6" spans="1:49" ht="12.75">
      <c r="A6" t="s">
        <v>201</v>
      </c>
      <c r="B6" t="s">
        <v>52</v>
      </c>
      <c r="C6" t="s">
        <v>228</v>
      </c>
      <c r="D6" t="s">
        <v>203</v>
      </c>
      <c r="E6" t="s">
        <v>222</v>
      </c>
      <c r="F6" t="s">
        <v>203</v>
      </c>
      <c r="G6" t="s">
        <v>793</v>
      </c>
      <c r="H6" t="s">
        <v>203</v>
      </c>
      <c r="I6" t="s">
        <v>203</v>
      </c>
      <c r="J6" t="s">
        <v>203</v>
      </c>
      <c r="K6" t="s">
        <v>203</v>
      </c>
      <c r="L6">
        <v>0.024815579244214198</v>
      </c>
      <c r="M6">
        <v>0.026163789907819601</v>
      </c>
      <c r="N6">
        <v>0.0130924133953164</v>
      </c>
      <c r="O6">
        <v>0.022154431458604799</v>
      </c>
      <c r="P6">
        <v>0.017639247628040599</v>
      </c>
      <c r="Q6">
        <v>0.019789784314238699</v>
      </c>
      <c r="R6">
        <v>0.022016615011670002</v>
      </c>
      <c r="S6">
        <v>0.016570421792852699</v>
      </c>
      <c r="T6">
        <v>0.021416335886684599</v>
      </c>
      <c r="U6">
        <v>0.022609526683434598</v>
      </c>
      <c r="V6">
        <v>0.020783504914615301</v>
      </c>
      <c r="W6">
        <v>0.024236124350948501</v>
      </c>
      <c r="X6">
        <v>0.027929540173183401</v>
      </c>
      <c r="Y6">
        <v>0.0264163002032991</v>
      </c>
      <c r="Z6">
        <v>0.023146812119180099</v>
      </c>
      <c r="AA6">
        <v>0.014271100719649101</v>
      </c>
      <c r="AB6">
        <v>0.0124082488140676</v>
      </c>
      <c r="AC6">
        <v>0.0250031533929112</v>
      </c>
      <c r="AD6">
        <v>0.0244918687515253</v>
      </c>
      <c r="AE6">
        <v>0.019633719658858101</v>
      </c>
      <c r="AF6">
        <v>0.0099620396611548607</v>
      </c>
      <c r="AG6">
        <v>0.017074147964365401</v>
      </c>
      <c r="AH6">
        <v>0.017815470849275001</v>
      </c>
      <c r="AI6">
        <v>0.0239535670191184</v>
      </c>
      <c r="AJ6">
        <v>0.017648292330328798</v>
      </c>
      <c r="AK6">
        <v>0.0145692738759457</v>
      </c>
      <c r="AL6">
        <v>0.010716070814948599</v>
      </c>
      <c r="AM6">
        <v>0.0214967077250043</v>
      </c>
      <c r="AN6">
        <v>0.035834053241728503</v>
      </c>
      <c r="AO6">
        <v>0.0213420821544534</v>
      </c>
      <c r="AP6">
        <v>0.034456590413286102</v>
      </c>
      <c r="AQ6">
        <v>0.0143012225370781</v>
      </c>
      <c r="AR6">
        <v>0.0161092470203896</v>
      </c>
      <c r="AS6">
        <v>0.021612122934021798</v>
      </c>
      <c r="AT6">
        <v>0.028772248577818401</v>
      </c>
      <c r="AU6">
        <v>0.021840342652476599</v>
      </c>
      <c r="AV6">
        <v>0.021419365704021899</v>
      </c>
      <c r="AW6" t="s">
        <v>203</v>
      </c>
    </row>
    <row r="7" spans="1:49" ht="12.75">
      <c r="A7" t="s">
        <v>201</v>
      </c>
      <c r="B7" t="s">
        <v>52</v>
      </c>
      <c r="C7" t="s">
        <v>229</v>
      </c>
      <c r="D7" t="s">
        <v>203</v>
      </c>
      <c r="E7" t="s">
        <v>222</v>
      </c>
      <c r="F7" t="s">
        <v>203</v>
      </c>
      <c r="G7" t="s">
        <v>793</v>
      </c>
      <c r="H7" t="s">
        <v>203</v>
      </c>
      <c r="I7" t="s">
        <v>203</v>
      </c>
      <c r="J7" t="s">
        <v>203</v>
      </c>
      <c r="K7" t="s">
        <v>203</v>
      </c>
      <c r="L7">
        <v>0.031019474055267698</v>
      </c>
      <c r="M7">
        <v>0.032704737384774502</v>
      </c>
      <c r="N7">
        <v>0.016365516744145499</v>
      </c>
      <c r="O7">
        <v>0.027693039323256001</v>
      </c>
      <c r="P7">
        <v>0.022049059535050701</v>
      </c>
      <c r="Q7">
        <v>0.0247372303927983</v>
      </c>
      <c r="R7">
        <v>0.027520768764587498</v>
      </c>
      <c r="S7">
        <v>0.020713027241065898</v>
      </c>
      <c r="T7">
        <v>0.0267704198583558</v>
      </c>
      <c r="U7">
        <v>0.028261908354293201</v>
      </c>
      <c r="V7">
        <v>0.025979381143269101</v>
      </c>
      <c r="W7">
        <v>0.030295155438685599</v>
      </c>
      <c r="X7">
        <v>0.034911925216479303</v>
      </c>
      <c r="Y7">
        <v>0.0330203752541239</v>
      </c>
      <c r="Z7">
        <v>0.0289335151489752</v>
      </c>
      <c r="AA7">
        <v>0.017838875899561301</v>
      </c>
      <c r="AB7">
        <v>0.0155103110175844</v>
      </c>
      <c r="AC7">
        <v>0.031253941741138998</v>
      </c>
      <c r="AD7">
        <v>0.030614835939406601</v>
      </c>
      <c r="AE7">
        <v>0.024542149573572598</v>
      </c>
      <c r="AF7">
        <v>0.0124525495764436</v>
      </c>
      <c r="AG7">
        <v>0.021342684955456701</v>
      </c>
      <c r="AH7">
        <v>0.022269338561593702</v>
      </c>
      <c r="AI7">
        <v>0.029941958773897999</v>
      </c>
      <c r="AJ7">
        <v>0.022060365412910999</v>
      </c>
      <c r="AK7">
        <v>0.0182115923449322</v>
      </c>
      <c r="AL7">
        <v>0.0133950885186857</v>
      </c>
      <c r="AM7">
        <v>0.026870884656255398</v>
      </c>
      <c r="AN7">
        <v>0.044792566552160601</v>
      </c>
      <c r="AO7">
        <v>0.026677602693066699</v>
      </c>
      <c r="AP7">
        <v>0.043070738016607601</v>
      </c>
      <c r="AQ7">
        <v>0.017876528171347598</v>
      </c>
      <c r="AR7">
        <v>0.0201365587754871</v>
      </c>
      <c r="AS7">
        <v>0.0270151536675272</v>
      </c>
      <c r="AT7">
        <v>0.035965310722272999</v>
      </c>
      <c r="AU7">
        <v>0.027300428315595801</v>
      </c>
      <c r="AV7">
        <v>0.0267742071300274</v>
      </c>
      <c r="AW7" t="s">
        <v>203</v>
      </c>
    </row>
    <row r="8" spans="1:49" ht="12.75">
      <c r="A8" t="s">
        <v>201</v>
      </c>
      <c r="B8" t="s">
        <v>52</v>
      </c>
      <c r="C8" t="s">
        <v>230</v>
      </c>
      <c r="D8" t="s">
        <v>203</v>
      </c>
      <c r="E8" t="s">
        <v>222</v>
      </c>
      <c r="F8" t="s">
        <v>203</v>
      </c>
      <c r="G8" t="s">
        <v>793</v>
      </c>
      <c r="H8" t="s">
        <v>203</v>
      </c>
      <c r="I8" t="s">
        <v>203</v>
      </c>
      <c r="J8" t="s">
        <v>203</v>
      </c>
      <c r="K8" t="s">
        <v>203</v>
      </c>
      <c r="L8">
        <v>0.024815579244214198</v>
      </c>
      <c r="M8">
        <v>0.026163789907819601</v>
      </c>
      <c r="N8">
        <v>0.0130924133953164</v>
      </c>
      <c r="O8">
        <v>0.022154431458604799</v>
      </c>
      <c r="P8">
        <v>0.017639247628040599</v>
      </c>
      <c r="Q8">
        <v>0.019789784314238699</v>
      </c>
      <c r="R8">
        <v>0.022016615011670002</v>
      </c>
      <c r="S8">
        <v>0.016570421792852699</v>
      </c>
      <c r="T8">
        <v>0.021416335886684599</v>
      </c>
      <c r="U8">
        <v>0.022609526683434598</v>
      </c>
      <c r="V8">
        <v>0.020783504914615301</v>
      </c>
      <c r="W8">
        <v>0.024236124350948501</v>
      </c>
      <c r="X8">
        <v>0.027929540173183401</v>
      </c>
      <c r="Y8">
        <v>0.0264163002032991</v>
      </c>
      <c r="Z8">
        <v>0.023146812119180099</v>
      </c>
      <c r="AA8">
        <v>0.014271100719649101</v>
      </c>
      <c r="AB8">
        <v>0.0124082488140676</v>
      </c>
      <c r="AC8">
        <v>0.0250031533929112</v>
      </c>
      <c r="AD8">
        <v>0.0244918687515253</v>
      </c>
      <c r="AE8">
        <v>0.019633719658858101</v>
      </c>
      <c r="AF8">
        <v>0.0099620396611548607</v>
      </c>
      <c r="AG8">
        <v>0.017074147964365401</v>
      </c>
      <c r="AH8">
        <v>0.017815470849275001</v>
      </c>
      <c r="AI8">
        <v>0.0239535670191184</v>
      </c>
      <c r="AJ8">
        <v>0.017648292330328798</v>
      </c>
      <c r="AK8">
        <v>0.0145692738759457</v>
      </c>
      <c r="AL8">
        <v>0.010716070814948599</v>
      </c>
      <c r="AM8">
        <v>0.0214967077250043</v>
      </c>
      <c r="AN8">
        <v>0.035834053241728503</v>
      </c>
      <c r="AO8">
        <v>0.0213420821544534</v>
      </c>
      <c r="AP8">
        <v>0.034456590413286102</v>
      </c>
      <c r="AQ8">
        <v>0.0143012225370781</v>
      </c>
      <c r="AR8">
        <v>0.0161092470203896</v>
      </c>
      <c r="AS8">
        <v>0.021612122934021798</v>
      </c>
      <c r="AT8">
        <v>0.028772248577818401</v>
      </c>
      <c r="AU8">
        <v>0.021840342652476599</v>
      </c>
      <c r="AV8">
        <v>0.021419365704021899</v>
      </c>
      <c r="AW8" t="s">
        <v>203</v>
      </c>
    </row>
    <row r="9" spans="1:49" ht="12.75">
      <c r="A9" t="s">
        <v>201</v>
      </c>
      <c r="B9" t="s">
        <v>52</v>
      </c>
      <c r="C9" t="s">
        <v>856</v>
      </c>
      <c r="D9" t="s">
        <v>203</v>
      </c>
      <c r="E9" t="s">
        <v>222</v>
      </c>
      <c r="F9" t="s">
        <v>203</v>
      </c>
      <c r="G9" t="s">
        <v>793</v>
      </c>
      <c r="H9" t="s">
        <v>203</v>
      </c>
      <c r="I9" t="s">
        <v>203</v>
      </c>
      <c r="J9" t="s">
        <v>203</v>
      </c>
      <c r="K9" t="s">
        <v>203</v>
      </c>
      <c r="L9">
        <v>0.024815579244214198</v>
      </c>
      <c r="M9">
        <v>0.026163789907819601</v>
      </c>
      <c r="N9">
        <v>0.0130924133953164</v>
      </c>
      <c r="O9">
        <v>0.022154431458604799</v>
      </c>
      <c r="P9">
        <v>0.017639247628040599</v>
      </c>
      <c r="Q9">
        <v>0.019789784314238699</v>
      </c>
      <c r="R9">
        <v>0.022016615011670002</v>
      </c>
      <c r="S9">
        <v>0.016570421792852699</v>
      </c>
      <c r="T9">
        <v>0.021416335886684599</v>
      </c>
      <c r="U9">
        <v>0.022609526683434598</v>
      </c>
      <c r="V9">
        <v>0.020783504914615301</v>
      </c>
      <c r="W9">
        <v>0.024236124350948501</v>
      </c>
      <c r="X9">
        <v>0.027929540173183401</v>
      </c>
      <c r="Y9">
        <v>0.0264163002032991</v>
      </c>
      <c r="Z9">
        <v>0.023146812119180099</v>
      </c>
      <c r="AA9">
        <v>0.014271100719649101</v>
      </c>
      <c r="AB9">
        <v>0.0124082488140676</v>
      </c>
      <c r="AC9">
        <v>0.0250031533929112</v>
      </c>
      <c r="AD9">
        <v>0.0244918687515253</v>
      </c>
      <c r="AE9">
        <v>0.019633719658858101</v>
      </c>
      <c r="AF9">
        <v>0.0099620396611548607</v>
      </c>
      <c r="AG9">
        <v>0.017074147964365401</v>
      </c>
      <c r="AH9">
        <v>0.017815470849275001</v>
      </c>
      <c r="AI9">
        <v>0.0239535670191184</v>
      </c>
      <c r="AJ9">
        <v>0.017648292330328798</v>
      </c>
      <c r="AK9">
        <v>0.0145692738759457</v>
      </c>
      <c r="AL9">
        <v>0.010716070814948599</v>
      </c>
      <c r="AM9">
        <v>0.0214967077250043</v>
      </c>
      <c r="AN9">
        <v>0.035834053241728503</v>
      </c>
      <c r="AO9">
        <v>0.0213420821544534</v>
      </c>
      <c r="AP9">
        <v>0.034456590413286102</v>
      </c>
      <c r="AQ9">
        <v>0.0143012225370781</v>
      </c>
      <c r="AR9">
        <v>0.0161092470203896</v>
      </c>
      <c r="AS9">
        <v>0.021612122934021798</v>
      </c>
      <c r="AT9">
        <v>0.028772248577818401</v>
      </c>
      <c r="AU9">
        <v>0.021840342652476599</v>
      </c>
      <c r="AV9">
        <v>0.021419365704021899</v>
      </c>
      <c r="AW9" t="s">
        <v>203</v>
      </c>
    </row>
    <row r="10" spans="1:49" ht="12.75">
      <c r="A10" t="s">
        <v>201</v>
      </c>
      <c r="B10" t="s">
        <v>52</v>
      </c>
      <c r="C10" t="s">
        <v>231</v>
      </c>
      <c r="D10" t="s">
        <v>203</v>
      </c>
      <c r="E10" t="s">
        <v>222</v>
      </c>
      <c r="F10" t="s">
        <v>203</v>
      </c>
      <c r="G10" t="s">
        <v>793</v>
      </c>
      <c r="H10" t="s">
        <v>203</v>
      </c>
      <c r="I10" t="s">
        <v>203</v>
      </c>
      <c r="J10" t="s">
        <v>203</v>
      </c>
      <c r="K10" t="s">
        <v>203</v>
      </c>
      <c r="L10">
        <v>0.093058422165803095</v>
      </c>
      <c r="M10">
        <v>0.098114212154323394</v>
      </c>
      <c r="N10">
        <v>0.0490965502324366</v>
      </c>
      <c r="O10">
        <v>0.083079117969767996</v>
      </c>
      <c r="P10">
        <v>0.066147178605152193</v>
      </c>
      <c r="Q10">
        <v>0.074211691178395003</v>
      </c>
      <c r="R10">
        <v>0.0825623062937626</v>
      </c>
      <c r="S10">
        <v>0.062139081723197799</v>
      </c>
      <c r="T10">
        <v>0.080311259575067295</v>
      </c>
      <c r="U10">
        <v>0.084785725062879694</v>
      </c>
      <c r="V10">
        <v>0.077938143429807302</v>
      </c>
      <c r="W10">
        <v>0.090885466316056804</v>
      </c>
      <c r="X10">
        <v>0.10473577564943801</v>
      </c>
      <c r="Y10">
        <v>0.099061125762371693</v>
      </c>
      <c r="Z10">
        <v>0.086800545446925503</v>
      </c>
      <c r="AA10">
        <v>0.053516627698683997</v>
      </c>
      <c r="AB10">
        <v>0.046530933052753298</v>
      </c>
      <c r="AC10">
        <v>0.093761825223416903</v>
      </c>
      <c r="AD10">
        <v>0.091844507818219803</v>
      </c>
      <c r="AE10">
        <v>0.073626448720717802</v>
      </c>
      <c r="AF10">
        <v>0.0373576487293307</v>
      </c>
      <c r="AG10">
        <v>0.064028054866370199</v>
      </c>
      <c r="AH10">
        <v>0.066808015684781202</v>
      </c>
      <c r="AI10">
        <v>0.089825876321694004</v>
      </c>
      <c r="AJ10">
        <v>0.066181096238732903</v>
      </c>
      <c r="AK10">
        <v>0.054634777034796501</v>
      </c>
      <c r="AL10">
        <v>0.040185265556057198</v>
      </c>
      <c r="AM10">
        <v>0.080612653968766199</v>
      </c>
      <c r="AN10">
        <v>0.134377699656482</v>
      </c>
      <c r="AO10">
        <v>0.080032808079200296</v>
      </c>
      <c r="AP10">
        <v>0.129212214049823</v>
      </c>
      <c r="AQ10">
        <v>0.053629584514042802</v>
      </c>
      <c r="AR10">
        <v>0.060409676326461201</v>
      </c>
      <c r="AS10">
        <v>0.081045461002581601</v>
      </c>
      <c r="AT10">
        <v>0.107895932166819</v>
      </c>
      <c r="AU10">
        <v>0.081901284946787306</v>
      </c>
      <c r="AV10">
        <v>0.080322621390082199</v>
      </c>
      <c r="AW10" t="s">
        <v>203</v>
      </c>
    </row>
    <row r="11" spans="1:49" ht="12.75">
      <c r="A11" t="s">
        <v>201</v>
      </c>
      <c r="B11" t="s">
        <v>52</v>
      </c>
      <c r="C11" t="s">
        <v>232</v>
      </c>
      <c r="D11" t="s">
        <v>203</v>
      </c>
      <c r="E11" t="s">
        <v>222</v>
      </c>
      <c r="F11" t="s">
        <v>203</v>
      </c>
      <c r="G11" t="s">
        <v>793</v>
      </c>
      <c r="H11" t="s">
        <v>203</v>
      </c>
      <c r="I11" t="s">
        <v>203</v>
      </c>
      <c r="J11" t="s">
        <v>203</v>
      </c>
      <c r="K11" t="s">
        <v>203</v>
      </c>
      <c r="L11">
        <v>0.093058422165803095</v>
      </c>
      <c r="M11">
        <v>0.098114212154323394</v>
      </c>
      <c r="N11">
        <v>0.0490965502324366</v>
      </c>
      <c r="O11">
        <v>0.083079117969767996</v>
      </c>
      <c r="P11">
        <v>0.066147178605152193</v>
      </c>
      <c r="Q11">
        <v>0.074211691178395003</v>
      </c>
      <c r="R11">
        <v>0.0825623062937626</v>
      </c>
      <c r="S11">
        <v>0.062139081723197799</v>
      </c>
      <c r="T11">
        <v>0.080311259575067295</v>
      </c>
      <c r="U11">
        <v>0.084785725062879694</v>
      </c>
      <c r="V11">
        <v>0.077938143429807302</v>
      </c>
      <c r="W11">
        <v>0.090885466316056804</v>
      </c>
      <c r="X11">
        <v>0.10473577564943801</v>
      </c>
      <c r="Y11">
        <v>0.099061125762371693</v>
      </c>
      <c r="Z11">
        <v>0.086800545446925503</v>
      </c>
      <c r="AA11">
        <v>0.053516627698683997</v>
      </c>
      <c r="AB11">
        <v>0.046530933052753298</v>
      </c>
      <c r="AC11">
        <v>0.093761825223416903</v>
      </c>
      <c r="AD11">
        <v>0.091844507818219803</v>
      </c>
      <c r="AE11">
        <v>0.073626448720717802</v>
      </c>
      <c r="AF11">
        <v>0.0373576487293307</v>
      </c>
      <c r="AG11">
        <v>0.064028054866370199</v>
      </c>
      <c r="AH11">
        <v>0.066808015684781202</v>
      </c>
      <c r="AI11">
        <v>0.089825876321694004</v>
      </c>
      <c r="AJ11">
        <v>0.066181096238732903</v>
      </c>
      <c r="AK11">
        <v>0.054634777034796501</v>
      </c>
      <c r="AL11">
        <v>0.040185265556057198</v>
      </c>
      <c r="AM11">
        <v>0.080612653968766199</v>
      </c>
      <c r="AN11">
        <v>0.134377699656482</v>
      </c>
      <c r="AO11">
        <v>0.080032808079200296</v>
      </c>
      <c r="AP11">
        <v>0.129212214049823</v>
      </c>
      <c r="AQ11">
        <v>0.053629584514042802</v>
      </c>
      <c r="AR11">
        <v>0.060409676326461201</v>
      </c>
      <c r="AS11">
        <v>0.081045461002581601</v>
      </c>
      <c r="AT11">
        <v>0.107895932166819</v>
      </c>
      <c r="AU11">
        <v>0.081901284946787306</v>
      </c>
      <c r="AV11">
        <v>0.080322621390082199</v>
      </c>
      <c r="AW11" t="s">
        <v>203</v>
      </c>
    </row>
    <row r="12" spans="1:49" ht="12.75">
      <c r="A12" t="s">
        <v>201</v>
      </c>
      <c r="B12" t="s">
        <v>52</v>
      </c>
      <c r="C12" t="s">
        <v>233</v>
      </c>
      <c r="D12" t="s">
        <v>203</v>
      </c>
      <c r="E12" t="s">
        <v>222</v>
      </c>
      <c r="F12" t="s">
        <v>203</v>
      </c>
      <c r="G12" t="s">
        <v>793</v>
      </c>
      <c r="H12" t="s">
        <v>203</v>
      </c>
      <c r="I12" t="s">
        <v>203</v>
      </c>
      <c r="J12" t="s">
        <v>203</v>
      </c>
      <c r="K12" t="s">
        <v>203</v>
      </c>
      <c r="L12">
        <v>0.093058422165803095</v>
      </c>
      <c r="M12">
        <v>0.098114212154323394</v>
      </c>
      <c r="N12">
        <v>0.0490965502324366</v>
      </c>
      <c r="O12">
        <v>0.083079117969767996</v>
      </c>
      <c r="P12">
        <v>0.066147178605152193</v>
      </c>
      <c r="Q12">
        <v>0.074211691178395003</v>
      </c>
      <c r="R12">
        <v>0.0825623062937626</v>
      </c>
      <c r="S12">
        <v>0.062139081723197799</v>
      </c>
      <c r="T12">
        <v>0.080311259575067295</v>
      </c>
      <c r="U12">
        <v>0.084785725062879694</v>
      </c>
      <c r="V12">
        <v>0.077938143429807302</v>
      </c>
      <c r="W12">
        <v>0.090885466316056804</v>
      </c>
      <c r="X12">
        <v>0.10473577564943801</v>
      </c>
      <c r="Y12">
        <v>0.099061125762371693</v>
      </c>
      <c r="Z12">
        <v>0.086800545446925503</v>
      </c>
      <c r="AA12">
        <v>0.053516627698683997</v>
      </c>
      <c r="AB12">
        <v>0.046530933052753298</v>
      </c>
      <c r="AC12">
        <v>0.093761825223416903</v>
      </c>
      <c r="AD12">
        <v>0.091844507818219803</v>
      </c>
      <c r="AE12">
        <v>0.073626448720717802</v>
      </c>
      <c r="AF12">
        <v>0.0373576487293307</v>
      </c>
      <c r="AG12">
        <v>0.064028054866370199</v>
      </c>
      <c r="AH12">
        <v>0.066808015684781202</v>
      </c>
      <c r="AI12">
        <v>0.089825876321694004</v>
      </c>
      <c r="AJ12">
        <v>0.066181096238732903</v>
      </c>
      <c r="AK12">
        <v>0.054634777034796501</v>
      </c>
      <c r="AL12">
        <v>0.040185265556057198</v>
      </c>
      <c r="AM12">
        <v>0.080612653968766199</v>
      </c>
      <c r="AN12">
        <v>0.134377699656482</v>
      </c>
      <c r="AO12">
        <v>0.080032808079200296</v>
      </c>
      <c r="AP12">
        <v>0.129212214049823</v>
      </c>
      <c r="AQ12">
        <v>0.053629584514042802</v>
      </c>
      <c r="AR12">
        <v>0.060409676326461201</v>
      </c>
      <c r="AS12">
        <v>0.081045461002581601</v>
      </c>
      <c r="AT12">
        <v>0.107895932166819</v>
      </c>
      <c r="AU12">
        <v>0.081901284946787306</v>
      </c>
      <c r="AV12">
        <v>0.080322621390082199</v>
      </c>
      <c r="AW12" t="s">
        <v>203</v>
      </c>
    </row>
    <row r="13" spans="1:49" ht="12.75">
      <c r="A13" t="s">
        <v>201</v>
      </c>
      <c r="B13" t="s">
        <v>52</v>
      </c>
      <c r="C13" t="s">
        <v>234</v>
      </c>
      <c r="D13" t="s">
        <v>203</v>
      </c>
      <c r="E13" t="s">
        <v>222</v>
      </c>
      <c r="F13" t="s">
        <v>203</v>
      </c>
      <c r="G13" t="s">
        <v>793</v>
      </c>
      <c r="H13" t="s">
        <v>203</v>
      </c>
      <c r="I13" t="s">
        <v>203</v>
      </c>
      <c r="J13" t="s">
        <v>203</v>
      </c>
      <c r="K13" t="s">
        <v>203</v>
      </c>
      <c r="L13">
        <v>0.093058422165803095</v>
      </c>
      <c r="M13">
        <v>0.098114212154323394</v>
      </c>
      <c r="N13">
        <v>0.0490965502324366</v>
      </c>
      <c r="O13">
        <v>0.083079117969767996</v>
      </c>
      <c r="P13">
        <v>0.066147178605152193</v>
      </c>
      <c r="Q13">
        <v>0.074211691178395003</v>
      </c>
      <c r="R13">
        <v>0.0825623062937626</v>
      </c>
      <c r="S13">
        <v>0.062139081723197799</v>
      </c>
      <c r="T13">
        <v>0.080311259575067295</v>
      </c>
      <c r="U13">
        <v>0.084785725062879694</v>
      </c>
      <c r="V13">
        <v>0.077938143429807302</v>
      </c>
      <c r="W13">
        <v>0.090885466316056804</v>
      </c>
      <c r="X13">
        <v>0.10473577564943801</v>
      </c>
      <c r="Y13">
        <v>0.099061125762371693</v>
      </c>
      <c r="Z13">
        <v>0.086800545446925503</v>
      </c>
      <c r="AA13">
        <v>0.053516627698683997</v>
      </c>
      <c r="AB13">
        <v>0.046530933052753298</v>
      </c>
      <c r="AC13">
        <v>0.093761825223416903</v>
      </c>
      <c r="AD13">
        <v>0.091844507818219803</v>
      </c>
      <c r="AE13">
        <v>0.073626448720717802</v>
      </c>
      <c r="AF13">
        <v>0.0373576487293307</v>
      </c>
      <c r="AG13">
        <v>0.064028054866370199</v>
      </c>
      <c r="AH13">
        <v>0.066808015684781202</v>
      </c>
      <c r="AI13">
        <v>0.089825876321694004</v>
      </c>
      <c r="AJ13">
        <v>0.066181096238732903</v>
      </c>
      <c r="AK13">
        <v>0.054634777034796501</v>
      </c>
      <c r="AL13">
        <v>0.040185265556057198</v>
      </c>
      <c r="AM13">
        <v>0.080612653968766199</v>
      </c>
      <c r="AN13">
        <v>0.134377699656482</v>
      </c>
      <c r="AO13">
        <v>0.080032808079200296</v>
      </c>
      <c r="AP13">
        <v>0.129212214049823</v>
      </c>
      <c r="AQ13">
        <v>0.053629584514042802</v>
      </c>
      <c r="AR13">
        <v>0.060409676326461201</v>
      </c>
      <c r="AS13">
        <v>0.081045461002581601</v>
      </c>
      <c r="AT13">
        <v>0.107895932166819</v>
      </c>
      <c r="AU13">
        <v>0.081901284946787306</v>
      </c>
      <c r="AV13">
        <v>0.080322621390082199</v>
      </c>
      <c r="AW13" t="s">
        <v>203</v>
      </c>
    </row>
    <row r="14" spans="1:49" ht="12.75">
      <c r="A14" t="s">
        <v>201</v>
      </c>
      <c r="B14" t="s">
        <v>52</v>
      </c>
      <c r="C14" t="s">
        <v>235</v>
      </c>
      <c r="D14" t="s">
        <v>203</v>
      </c>
      <c r="E14" t="s">
        <v>222</v>
      </c>
      <c r="F14" t="s">
        <v>203</v>
      </c>
      <c r="G14" t="s">
        <v>793</v>
      </c>
      <c r="H14" t="s">
        <v>203</v>
      </c>
      <c r="I14" t="s">
        <v>203</v>
      </c>
      <c r="J14" t="s">
        <v>203</v>
      </c>
      <c r="K14" t="s">
        <v>203</v>
      </c>
      <c r="L14">
        <v>0.093058422165803095</v>
      </c>
      <c r="M14">
        <v>0.098114212154323394</v>
      </c>
      <c r="N14">
        <v>0.0490965502324366</v>
      </c>
      <c r="O14">
        <v>0.083079117969767996</v>
      </c>
      <c r="P14">
        <v>0.066147178605152193</v>
      </c>
      <c r="Q14">
        <v>0.074211691178395003</v>
      </c>
      <c r="R14">
        <v>0.0825623062937626</v>
      </c>
      <c r="S14">
        <v>0.062139081723197799</v>
      </c>
      <c r="T14">
        <v>0.080311259575067295</v>
      </c>
      <c r="U14">
        <v>0.084785725062879694</v>
      </c>
      <c r="V14">
        <v>0.077938143429807302</v>
      </c>
      <c r="W14">
        <v>0.090885466316056804</v>
      </c>
      <c r="X14">
        <v>0.10473577564943801</v>
      </c>
      <c r="Y14">
        <v>0.099061125762371693</v>
      </c>
      <c r="Z14">
        <v>0.086800545446925503</v>
      </c>
      <c r="AA14">
        <v>0.053516627698683997</v>
      </c>
      <c r="AB14">
        <v>0.046530933052753298</v>
      </c>
      <c r="AC14">
        <v>0.093761825223416903</v>
      </c>
      <c r="AD14">
        <v>0.091844507818219803</v>
      </c>
      <c r="AE14">
        <v>0.073626448720717802</v>
      </c>
      <c r="AF14">
        <v>0.0373576487293307</v>
      </c>
      <c r="AG14">
        <v>0.064028054866370199</v>
      </c>
      <c r="AH14">
        <v>0.066808015684781202</v>
      </c>
      <c r="AI14">
        <v>0.089825876321694004</v>
      </c>
      <c r="AJ14">
        <v>0.066181096238732903</v>
      </c>
      <c r="AK14">
        <v>0.054634777034796501</v>
      </c>
      <c r="AL14">
        <v>0.040185265556057198</v>
      </c>
      <c r="AM14">
        <v>0.080612653968766199</v>
      </c>
      <c r="AN14">
        <v>0.134377699656482</v>
      </c>
      <c r="AO14">
        <v>0.080032808079200296</v>
      </c>
      <c r="AP14">
        <v>0.129212214049823</v>
      </c>
      <c r="AQ14">
        <v>0.053629584514042802</v>
      </c>
      <c r="AR14">
        <v>0.060409676326461201</v>
      </c>
      <c r="AS14">
        <v>0.081045461002581601</v>
      </c>
      <c r="AT14">
        <v>0.107895932166819</v>
      </c>
      <c r="AU14">
        <v>0.081901284946787306</v>
      </c>
      <c r="AV14">
        <v>0.080322621390082199</v>
      </c>
      <c r="AW14" t="s">
        <v>203</v>
      </c>
    </row>
    <row r="15" spans="1:49" ht="12.75">
      <c r="A15" t="s">
        <v>201</v>
      </c>
      <c r="B15" t="s">
        <v>52</v>
      </c>
      <c r="C15" t="s">
        <v>236</v>
      </c>
      <c r="D15" t="s">
        <v>203</v>
      </c>
      <c r="E15" t="s">
        <v>222</v>
      </c>
      <c r="F15" t="s">
        <v>203</v>
      </c>
      <c r="G15" t="s">
        <v>793</v>
      </c>
      <c r="H15" t="s">
        <v>203</v>
      </c>
      <c r="I15" t="s">
        <v>203</v>
      </c>
      <c r="J15" t="s">
        <v>203</v>
      </c>
      <c r="K15" t="s">
        <v>203</v>
      </c>
      <c r="L15">
        <v>0.093058422165803095</v>
      </c>
      <c r="M15">
        <v>0.098114212154323394</v>
      </c>
      <c r="N15">
        <v>0.0490965502324366</v>
      </c>
      <c r="O15">
        <v>0.083079117969767996</v>
      </c>
      <c r="P15">
        <v>0.066147178605152193</v>
      </c>
      <c r="Q15">
        <v>0.074211691178395003</v>
      </c>
      <c r="R15">
        <v>0.0825623062937626</v>
      </c>
      <c r="S15">
        <v>0.062139081723197799</v>
      </c>
      <c r="T15">
        <v>0.080311259575067295</v>
      </c>
      <c r="U15">
        <v>0.084785725062879694</v>
      </c>
      <c r="V15">
        <v>0.077938143429807302</v>
      </c>
      <c r="W15">
        <v>0.090885466316056804</v>
      </c>
      <c r="X15">
        <v>0.10473577564943801</v>
      </c>
      <c r="Y15">
        <v>0.099061125762371693</v>
      </c>
      <c r="Z15">
        <v>0.086800545446925503</v>
      </c>
      <c r="AA15">
        <v>0.053516627698683997</v>
      </c>
      <c r="AB15">
        <v>0.046530933052753298</v>
      </c>
      <c r="AC15">
        <v>0.093761825223416903</v>
      </c>
      <c r="AD15">
        <v>0.091844507818219803</v>
      </c>
      <c r="AE15">
        <v>0.073626448720717802</v>
      </c>
      <c r="AF15">
        <v>0.0373576487293307</v>
      </c>
      <c r="AG15">
        <v>0.064028054866370199</v>
      </c>
      <c r="AH15">
        <v>0.066808015684781202</v>
      </c>
      <c r="AI15">
        <v>0.089825876321694004</v>
      </c>
      <c r="AJ15">
        <v>0.066181096238732903</v>
      </c>
      <c r="AK15">
        <v>0.054634777034796501</v>
      </c>
      <c r="AL15">
        <v>0.040185265556057198</v>
      </c>
      <c r="AM15">
        <v>0.080612653968766199</v>
      </c>
      <c r="AN15">
        <v>0.134377699656482</v>
      </c>
      <c r="AO15">
        <v>0.080032808079200296</v>
      </c>
      <c r="AP15">
        <v>0.129212214049823</v>
      </c>
      <c r="AQ15">
        <v>0.053629584514042802</v>
      </c>
      <c r="AR15">
        <v>0.060409676326461201</v>
      </c>
      <c r="AS15">
        <v>0.081045461002581601</v>
      </c>
      <c r="AT15">
        <v>0.107895932166819</v>
      </c>
      <c r="AU15">
        <v>0.081901284946787306</v>
      </c>
      <c r="AV15">
        <v>0.080322621390082199</v>
      </c>
      <c r="AW15" t="s">
        <v>203</v>
      </c>
    </row>
    <row r="16" spans="1:49" ht="12.75">
      <c r="A16" t="s">
        <v>201</v>
      </c>
      <c r="B16" t="s">
        <v>52</v>
      </c>
      <c r="C16" t="s">
        <v>237</v>
      </c>
      <c r="D16" t="s">
        <v>203</v>
      </c>
      <c r="E16" t="s">
        <v>222</v>
      </c>
      <c r="F16" t="s">
        <v>203</v>
      </c>
      <c r="G16" t="s">
        <v>793</v>
      </c>
      <c r="H16" t="s">
        <v>203</v>
      </c>
      <c r="I16" t="s">
        <v>203</v>
      </c>
      <c r="J16" t="s">
        <v>203</v>
      </c>
      <c r="K16" t="s">
        <v>203</v>
      </c>
      <c r="L16">
        <v>0.093058422165803095</v>
      </c>
      <c r="M16">
        <v>0.098114212154323394</v>
      </c>
      <c r="N16">
        <v>0.0490965502324366</v>
      </c>
      <c r="O16">
        <v>0.083079117969767996</v>
      </c>
      <c r="P16">
        <v>0.066147178605152193</v>
      </c>
      <c r="Q16">
        <v>0.074211691178395003</v>
      </c>
      <c r="R16">
        <v>0.0825623062937626</v>
      </c>
      <c r="S16">
        <v>0.062139081723197799</v>
      </c>
      <c r="T16">
        <v>0.080311259575067295</v>
      </c>
      <c r="U16">
        <v>0.084785725062879694</v>
      </c>
      <c r="V16">
        <v>0.077938143429807302</v>
      </c>
      <c r="W16">
        <v>0.090885466316056804</v>
      </c>
      <c r="X16">
        <v>0.10473577564943801</v>
      </c>
      <c r="Y16">
        <v>0.099061125762371693</v>
      </c>
      <c r="Z16">
        <v>0.086800545446925503</v>
      </c>
      <c r="AA16">
        <v>0.053516627698683997</v>
      </c>
      <c r="AB16">
        <v>0.046530933052753298</v>
      </c>
      <c r="AC16">
        <v>0.093761825223416903</v>
      </c>
      <c r="AD16">
        <v>0.091844507818219803</v>
      </c>
      <c r="AE16">
        <v>0.073626448720717802</v>
      </c>
      <c r="AF16">
        <v>0.0373576487293307</v>
      </c>
      <c r="AG16">
        <v>0.064028054866370199</v>
      </c>
      <c r="AH16">
        <v>0.066808015684781202</v>
      </c>
      <c r="AI16">
        <v>0.089825876321694004</v>
      </c>
      <c r="AJ16">
        <v>0.066181096238732903</v>
      </c>
      <c r="AK16">
        <v>0.054634777034796501</v>
      </c>
      <c r="AL16">
        <v>0.040185265556057198</v>
      </c>
      <c r="AM16">
        <v>0.080612653968766199</v>
      </c>
      <c r="AN16">
        <v>0.134377699656482</v>
      </c>
      <c r="AO16">
        <v>0.080032808079200296</v>
      </c>
      <c r="AP16">
        <v>0.129212214049823</v>
      </c>
      <c r="AQ16">
        <v>0.053629584514042802</v>
      </c>
      <c r="AR16">
        <v>0.060409676326461201</v>
      </c>
      <c r="AS16">
        <v>0.081045461002581601</v>
      </c>
      <c r="AT16">
        <v>0.107895932166819</v>
      </c>
      <c r="AU16">
        <v>0.081901284946787306</v>
      </c>
      <c r="AV16">
        <v>0.080322621390082199</v>
      </c>
      <c r="AW16" t="s">
        <v>203</v>
      </c>
    </row>
    <row r="17" spans="1:49" ht="12.75">
      <c r="A17" t="s">
        <v>201</v>
      </c>
      <c r="B17" t="s">
        <v>52</v>
      </c>
      <c r="C17" t="s">
        <v>857</v>
      </c>
      <c r="D17" t="s">
        <v>203</v>
      </c>
      <c r="E17" t="s">
        <v>222</v>
      </c>
      <c r="F17" t="s">
        <v>203</v>
      </c>
      <c r="G17" t="s">
        <v>793</v>
      </c>
      <c r="H17" t="s">
        <v>203</v>
      </c>
      <c r="I17" t="s">
        <v>203</v>
      </c>
      <c r="J17" t="s">
        <v>203</v>
      </c>
      <c r="K17" t="s">
        <v>203</v>
      </c>
      <c r="L17">
        <v>0.093058422165803095</v>
      </c>
      <c r="M17">
        <v>0.098114212154323394</v>
      </c>
      <c r="N17">
        <v>0.0490965502324366</v>
      </c>
      <c r="O17">
        <v>0.083079117969767996</v>
      </c>
      <c r="P17">
        <v>0.066147178605152193</v>
      </c>
      <c r="Q17">
        <v>0.074211691178395003</v>
      </c>
      <c r="R17">
        <v>0.0825623062937626</v>
      </c>
      <c r="S17">
        <v>0.062139081723197799</v>
      </c>
      <c r="T17">
        <v>0.080311259575067295</v>
      </c>
      <c r="U17">
        <v>0.084785725062879694</v>
      </c>
      <c r="V17">
        <v>0.077938143429807302</v>
      </c>
      <c r="W17">
        <v>0.090885466316056804</v>
      </c>
      <c r="X17">
        <v>0.10473577564943801</v>
      </c>
      <c r="Y17">
        <v>0.099061125762371693</v>
      </c>
      <c r="Z17">
        <v>0.086800545446925503</v>
      </c>
      <c r="AA17">
        <v>0.053516627698683997</v>
      </c>
      <c r="AB17">
        <v>0.046530933052753298</v>
      </c>
      <c r="AC17">
        <v>0.093761825223416903</v>
      </c>
      <c r="AD17">
        <v>0.091844507818219803</v>
      </c>
      <c r="AE17">
        <v>0.073626448720717802</v>
      </c>
      <c r="AF17">
        <v>0.0373576487293307</v>
      </c>
      <c r="AG17">
        <v>0.064028054866370199</v>
      </c>
      <c r="AH17">
        <v>0.066808015684781202</v>
      </c>
      <c r="AI17">
        <v>0.089825876321694004</v>
      </c>
      <c r="AJ17">
        <v>0.066181096238732903</v>
      </c>
      <c r="AK17">
        <v>0.054634777034796501</v>
      </c>
      <c r="AL17">
        <v>0.040185265556057198</v>
      </c>
      <c r="AM17">
        <v>0.080612653968766199</v>
      </c>
      <c r="AN17">
        <v>0.134377699656482</v>
      </c>
      <c r="AO17">
        <v>0.080032808079200296</v>
      </c>
      <c r="AP17">
        <v>0.129212214049823</v>
      </c>
      <c r="AQ17">
        <v>0.053629584514042802</v>
      </c>
      <c r="AR17">
        <v>0.060409676326461201</v>
      </c>
      <c r="AS17">
        <v>0.081045461002581601</v>
      </c>
      <c r="AT17">
        <v>0.107895932166819</v>
      </c>
      <c r="AU17">
        <v>0.081901284946787306</v>
      </c>
      <c r="AV17">
        <v>0.080322621390082199</v>
      </c>
      <c r="AW17" t="s">
        <v>203</v>
      </c>
    </row>
    <row r="18" spans="1:49" ht="12.75">
      <c r="A18" t="s">
        <v>201</v>
      </c>
      <c r="B18" t="s">
        <v>52</v>
      </c>
      <c r="C18" t="s">
        <v>238</v>
      </c>
      <c r="D18" t="s">
        <v>203</v>
      </c>
      <c r="E18" t="s">
        <v>222</v>
      </c>
      <c r="F18" t="s">
        <v>203</v>
      </c>
      <c r="G18" t="s">
        <v>793</v>
      </c>
      <c r="H18" t="s">
        <v>203</v>
      </c>
      <c r="I18" t="s">
        <v>203</v>
      </c>
      <c r="J18" t="s">
        <v>203</v>
      </c>
      <c r="K18" t="s">
        <v>203</v>
      </c>
      <c r="L18">
        <v>0.024815579244214198</v>
      </c>
      <c r="M18">
        <v>0.026163789907819601</v>
      </c>
      <c r="N18">
        <v>0.0130924133953164</v>
      </c>
      <c r="O18">
        <v>0.022154431458604799</v>
      </c>
      <c r="P18">
        <v>0.017639247628040599</v>
      </c>
      <c r="Q18">
        <v>0.019789784314238699</v>
      </c>
      <c r="R18">
        <v>0.022016615011670002</v>
      </c>
      <c r="S18">
        <v>0.016570421792852699</v>
      </c>
      <c r="T18">
        <v>0.021416335886684599</v>
      </c>
      <c r="U18">
        <v>0.022609526683434598</v>
      </c>
      <c r="V18">
        <v>0.020783504914615301</v>
      </c>
      <c r="W18">
        <v>0.024236124350948501</v>
      </c>
      <c r="X18">
        <v>0.027929540173183401</v>
      </c>
      <c r="Y18">
        <v>0.0264163002032991</v>
      </c>
      <c r="Z18">
        <v>0.023146812119180099</v>
      </c>
      <c r="AA18">
        <v>0.014271100719649101</v>
      </c>
      <c r="AB18">
        <v>0.0124082488140676</v>
      </c>
      <c r="AC18">
        <v>0.0250031533929112</v>
      </c>
      <c r="AD18">
        <v>0.0244918687515253</v>
      </c>
      <c r="AE18">
        <v>0.019633719658858101</v>
      </c>
      <c r="AF18">
        <v>0.0099620396611548607</v>
      </c>
      <c r="AG18">
        <v>0.017074147964365401</v>
      </c>
      <c r="AH18">
        <v>0.017815470849275001</v>
      </c>
      <c r="AI18">
        <v>0.0239535670191184</v>
      </c>
      <c r="AJ18">
        <v>0.017648292330328798</v>
      </c>
      <c r="AK18">
        <v>0.0145692738759457</v>
      </c>
      <c r="AL18">
        <v>0.010716070814948599</v>
      </c>
      <c r="AM18">
        <v>0.0214967077250043</v>
      </c>
      <c r="AN18">
        <v>0.035834053241728503</v>
      </c>
      <c r="AO18">
        <v>0.0213420821544534</v>
      </c>
      <c r="AP18">
        <v>0.034456590413286102</v>
      </c>
      <c r="AQ18">
        <v>0.0143012225370781</v>
      </c>
      <c r="AR18">
        <v>0.0161092470203896</v>
      </c>
      <c r="AS18">
        <v>0.021612122934021798</v>
      </c>
      <c r="AT18">
        <v>0.028772248577818401</v>
      </c>
      <c r="AU18">
        <v>0.021840342652476599</v>
      </c>
      <c r="AV18">
        <v>0.021419365704021899</v>
      </c>
      <c r="AW18" t="s">
        <v>203</v>
      </c>
    </row>
    <row r="19" spans="1:49" ht="12.75">
      <c r="A19" t="s">
        <v>201</v>
      </c>
      <c r="B19" t="s">
        <v>52</v>
      </c>
      <c r="C19" t="s">
        <v>239</v>
      </c>
      <c r="D19" t="s">
        <v>203</v>
      </c>
      <c r="E19" t="s">
        <v>222</v>
      </c>
      <c r="F19" t="s">
        <v>203</v>
      </c>
      <c r="G19" t="s">
        <v>793</v>
      </c>
      <c r="H19" t="s">
        <v>203</v>
      </c>
      <c r="I19" t="s">
        <v>203</v>
      </c>
      <c r="J19" t="s">
        <v>203</v>
      </c>
      <c r="K19" t="s">
        <v>203</v>
      </c>
      <c r="L19">
        <v>0.024815579244214198</v>
      </c>
      <c r="M19">
        <v>0.026163789907819601</v>
      </c>
      <c r="N19">
        <v>0.0130924133953164</v>
      </c>
      <c r="O19">
        <v>0.022154431458604799</v>
      </c>
      <c r="P19">
        <v>0.017639247628040599</v>
      </c>
      <c r="Q19">
        <v>0.019789784314238699</v>
      </c>
      <c r="R19">
        <v>0.022016615011670002</v>
      </c>
      <c r="S19">
        <v>0.016570421792852699</v>
      </c>
      <c r="T19">
        <v>0.021416335886684599</v>
      </c>
      <c r="U19">
        <v>0.022609526683434598</v>
      </c>
      <c r="V19">
        <v>0.020783504914615301</v>
      </c>
      <c r="W19">
        <v>0.024236124350948501</v>
      </c>
      <c r="X19">
        <v>0.027929540173183401</v>
      </c>
      <c r="Y19">
        <v>0.0264163002032991</v>
      </c>
      <c r="Z19">
        <v>0.023146812119180099</v>
      </c>
      <c r="AA19">
        <v>0.014271100719649101</v>
      </c>
      <c r="AB19">
        <v>0.0124082488140676</v>
      </c>
      <c r="AC19">
        <v>0.0250031533929112</v>
      </c>
      <c r="AD19">
        <v>0.0244918687515253</v>
      </c>
      <c r="AE19">
        <v>0.019633719658858101</v>
      </c>
      <c r="AF19">
        <v>0.0099620396611548607</v>
      </c>
      <c r="AG19">
        <v>0.017074147964365401</v>
      </c>
      <c r="AH19">
        <v>0.017815470849275001</v>
      </c>
      <c r="AI19">
        <v>0.0239535670191184</v>
      </c>
      <c r="AJ19">
        <v>0.017648292330328798</v>
      </c>
      <c r="AK19">
        <v>0.0145692738759457</v>
      </c>
      <c r="AL19">
        <v>0.010716070814948599</v>
      </c>
      <c r="AM19">
        <v>0.0214967077250043</v>
      </c>
      <c r="AN19">
        <v>0.035834053241728503</v>
      </c>
      <c r="AO19">
        <v>0.0213420821544534</v>
      </c>
      <c r="AP19">
        <v>0.034456590413286102</v>
      </c>
      <c r="AQ19">
        <v>0.0143012225370781</v>
      </c>
      <c r="AR19">
        <v>0.0161092470203896</v>
      </c>
      <c r="AS19">
        <v>0.021612122934021798</v>
      </c>
      <c r="AT19">
        <v>0.028772248577818401</v>
      </c>
      <c r="AU19">
        <v>0.021840342652476599</v>
      </c>
      <c r="AV19">
        <v>0.021419365704021899</v>
      </c>
      <c r="AW19" t="s">
        <v>203</v>
      </c>
    </row>
    <row r="20" spans="1:49" ht="12.75">
      <c r="A20" t="s">
        <v>201</v>
      </c>
      <c r="B20" t="s">
        <v>52</v>
      </c>
      <c r="C20" t="s">
        <v>240</v>
      </c>
      <c r="D20" t="s">
        <v>203</v>
      </c>
      <c r="E20" t="s">
        <v>222</v>
      </c>
      <c r="F20" t="s">
        <v>203</v>
      </c>
      <c r="G20" t="s">
        <v>793</v>
      </c>
      <c r="H20" t="s">
        <v>203</v>
      </c>
      <c r="I20" t="s">
        <v>203</v>
      </c>
      <c r="J20" t="s">
        <v>203</v>
      </c>
      <c r="K20" t="s">
        <v>203</v>
      </c>
      <c r="L20">
        <v>0.074446737732642501</v>
      </c>
      <c r="M20">
        <v>0.078491369723458701</v>
      </c>
      <c r="N20">
        <v>0.039277240185949303</v>
      </c>
      <c r="O20">
        <v>0.0664632943758144</v>
      </c>
      <c r="P20">
        <v>0.0529177428841218</v>
      </c>
      <c r="Q20">
        <v>0.059369352942716003</v>
      </c>
      <c r="R20">
        <v>0.066049845035010005</v>
      </c>
      <c r="S20">
        <v>0.049711265378558203</v>
      </c>
      <c r="T20">
        <v>0.0642490076600538</v>
      </c>
      <c r="U20">
        <v>0.067828580050303705</v>
      </c>
      <c r="V20">
        <v>0.0623505147438458</v>
      </c>
      <c r="W20">
        <v>0.072708373052845499</v>
      </c>
      <c r="X20">
        <v>0.0837886205195503</v>
      </c>
      <c r="Y20">
        <v>0.079248900609897296</v>
      </c>
      <c r="Z20">
        <v>0.069440436357540394</v>
      </c>
      <c r="AA20">
        <v>0.0428133021589472</v>
      </c>
      <c r="AB20">
        <v>0.037224746442202701</v>
      </c>
      <c r="AC20">
        <v>0.0750094601787335</v>
      </c>
      <c r="AD20">
        <v>0.073475606254575901</v>
      </c>
      <c r="AE20">
        <v>0.058901158976574303</v>
      </c>
      <c r="AF20">
        <v>0.029886118983464601</v>
      </c>
      <c r="AG20">
        <v>0.051222443893096201</v>
      </c>
      <c r="AH20">
        <v>0.053446412547824999</v>
      </c>
      <c r="AI20">
        <v>0.071860701057355203</v>
      </c>
      <c r="AJ20">
        <v>0.052944876990986302</v>
      </c>
      <c r="AK20">
        <v>0.0437078216278372</v>
      </c>
      <c r="AL20">
        <v>0.032148212444845801</v>
      </c>
      <c r="AM20">
        <v>0.064490123175012903</v>
      </c>
      <c r="AN20">
        <v>0.107502159725185</v>
      </c>
      <c r="AO20">
        <v>0.064026246463360206</v>
      </c>
      <c r="AP20">
        <v>0.10336977123985799</v>
      </c>
      <c r="AQ20">
        <v>0.042903667611234202</v>
      </c>
      <c r="AR20">
        <v>0.048327741061168897</v>
      </c>
      <c r="AS20">
        <v>0.064836368802065295</v>
      </c>
      <c r="AT20">
        <v>0.0863167457334552</v>
      </c>
      <c r="AU20">
        <v>0.065521027957429798</v>
      </c>
      <c r="AV20">
        <v>0.064258097112065704</v>
      </c>
      <c r="AW20" t="s">
        <v>203</v>
      </c>
    </row>
    <row r="21" spans="1:49" ht="12.75">
      <c r="A21" t="s">
        <v>201</v>
      </c>
      <c r="B21" t="s">
        <v>52</v>
      </c>
      <c r="C21" t="s">
        <v>241</v>
      </c>
      <c r="D21" t="s">
        <v>203</v>
      </c>
      <c r="E21" t="s">
        <v>222</v>
      </c>
      <c r="F21" t="s">
        <v>203</v>
      </c>
      <c r="G21" t="s">
        <v>793</v>
      </c>
      <c r="H21" t="s">
        <v>203</v>
      </c>
      <c r="I21" t="s">
        <v>203</v>
      </c>
      <c r="J21" t="s">
        <v>203</v>
      </c>
      <c r="K21" t="s">
        <v>203</v>
      </c>
      <c r="L21">
        <v>0.031019474055267698</v>
      </c>
      <c r="M21">
        <v>0.032704737384774502</v>
      </c>
      <c r="N21">
        <v>0.016365516744145499</v>
      </c>
      <c r="O21">
        <v>0.027693039323256001</v>
      </c>
      <c r="P21">
        <v>0.022049059535050701</v>
      </c>
      <c r="Q21">
        <v>0.0247372303927983</v>
      </c>
      <c r="R21">
        <v>0.027520768764587498</v>
      </c>
      <c r="S21">
        <v>0.020713027241065898</v>
      </c>
      <c r="T21">
        <v>0.0267704198583558</v>
      </c>
      <c r="U21">
        <v>0.028261908354293201</v>
      </c>
      <c r="V21">
        <v>0.025979381143269101</v>
      </c>
      <c r="W21">
        <v>0.030295155438685599</v>
      </c>
      <c r="X21">
        <v>0.034911925216479303</v>
      </c>
      <c r="Y21">
        <v>0.0330203752541239</v>
      </c>
      <c r="Z21">
        <v>0.0289335151489752</v>
      </c>
      <c r="AA21">
        <v>0.017838875899561301</v>
      </c>
      <c r="AB21">
        <v>0.0155103110175844</v>
      </c>
      <c r="AC21">
        <v>0.031253941741138998</v>
      </c>
      <c r="AD21">
        <v>0.030614835939406601</v>
      </c>
      <c r="AE21">
        <v>0.024542149573572598</v>
      </c>
      <c r="AF21">
        <v>0.0124525495764436</v>
      </c>
      <c r="AG21">
        <v>0.021342684955456701</v>
      </c>
      <c r="AH21">
        <v>0.022269338561593702</v>
      </c>
      <c r="AI21">
        <v>0.029941958773897999</v>
      </c>
      <c r="AJ21">
        <v>0.022060365412910999</v>
      </c>
      <c r="AK21">
        <v>0.0182115923449322</v>
      </c>
      <c r="AL21">
        <v>0.0133950885186857</v>
      </c>
      <c r="AM21">
        <v>0.026870884656255398</v>
      </c>
      <c r="AN21">
        <v>0.044792566552160601</v>
      </c>
      <c r="AO21">
        <v>0.026677602693066699</v>
      </c>
      <c r="AP21">
        <v>0.043070738016607601</v>
      </c>
      <c r="AQ21">
        <v>0.017876528171347598</v>
      </c>
      <c r="AR21">
        <v>0.0201365587754871</v>
      </c>
      <c r="AS21">
        <v>0.0270151536675272</v>
      </c>
      <c r="AT21">
        <v>0.035965310722272999</v>
      </c>
      <c r="AU21">
        <v>0.027300428315595801</v>
      </c>
      <c r="AV21">
        <v>0.0267742071300274</v>
      </c>
      <c r="AW21" t="s">
        <v>203</v>
      </c>
    </row>
    <row r="22" spans="1:49" ht="12.75">
      <c r="A22" t="s">
        <v>201</v>
      </c>
      <c r="B22" t="s">
        <v>52</v>
      </c>
      <c r="C22" t="s">
        <v>242</v>
      </c>
      <c r="D22" t="s">
        <v>203</v>
      </c>
      <c r="E22" t="s">
        <v>222</v>
      </c>
      <c r="F22" t="s">
        <v>203</v>
      </c>
      <c r="G22" t="s">
        <v>793</v>
      </c>
      <c r="H22" t="s">
        <v>203</v>
      </c>
      <c r="I22" t="s">
        <v>203</v>
      </c>
      <c r="J22" t="s">
        <v>203</v>
      </c>
      <c r="K22" t="s">
        <v>203</v>
      </c>
      <c r="L22">
        <v>0.024815579244214198</v>
      </c>
      <c r="M22">
        <v>0.026163789907819601</v>
      </c>
      <c r="N22">
        <v>0.0130924133953164</v>
      </c>
      <c r="O22">
        <v>0.022154431458604799</v>
      </c>
      <c r="P22">
        <v>0.017639247628040599</v>
      </c>
      <c r="Q22">
        <v>0.019789784314238699</v>
      </c>
      <c r="R22">
        <v>0.022016615011670002</v>
      </c>
      <c r="S22">
        <v>0.016570421792852699</v>
      </c>
      <c r="T22">
        <v>0.021416335886684599</v>
      </c>
      <c r="U22">
        <v>0.022609526683434598</v>
      </c>
      <c r="V22">
        <v>0.020783504914615301</v>
      </c>
      <c r="W22">
        <v>0.024236124350948501</v>
      </c>
      <c r="X22">
        <v>0.027929540173183401</v>
      </c>
      <c r="Y22">
        <v>0.0264163002032991</v>
      </c>
      <c r="Z22">
        <v>0.023146812119180099</v>
      </c>
      <c r="AA22">
        <v>0.014271100719649101</v>
      </c>
      <c r="AB22">
        <v>0.0124082488140676</v>
      </c>
      <c r="AC22">
        <v>0.0250031533929112</v>
      </c>
      <c r="AD22">
        <v>0.0244918687515253</v>
      </c>
      <c r="AE22">
        <v>0.019633719658858101</v>
      </c>
      <c r="AF22">
        <v>0.0099620396611548607</v>
      </c>
      <c r="AG22">
        <v>0.017074147964365401</v>
      </c>
      <c r="AH22">
        <v>0.017815470849275001</v>
      </c>
      <c r="AI22">
        <v>0.0239535670191184</v>
      </c>
      <c r="AJ22">
        <v>0.017648292330328798</v>
      </c>
      <c r="AK22">
        <v>0.0145692738759457</v>
      </c>
      <c r="AL22">
        <v>0.010716070814948599</v>
      </c>
      <c r="AM22">
        <v>0.0214967077250043</v>
      </c>
      <c r="AN22">
        <v>0.035834053241728503</v>
      </c>
      <c r="AO22">
        <v>0.0213420821544534</v>
      </c>
      <c r="AP22">
        <v>0.034456590413286102</v>
      </c>
      <c r="AQ22">
        <v>0.0143012225370781</v>
      </c>
      <c r="AR22">
        <v>0.0161092470203896</v>
      </c>
      <c r="AS22">
        <v>0.021612122934021798</v>
      </c>
      <c r="AT22">
        <v>0.028772248577818401</v>
      </c>
      <c r="AU22">
        <v>0.021840342652476599</v>
      </c>
      <c r="AV22">
        <v>0.021419365704021899</v>
      </c>
      <c r="AW22" t="s">
        <v>203</v>
      </c>
    </row>
    <row r="23" spans="1:49" ht="12.75">
      <c r="A23" t="s">
        <v>201</v>
      </c>
      <c r="B23" t="s">
        <v>52</v>
      </c>
      <c r="C23" t="s">
        <v>243</v>
      </c>
      <c r="D23" t="s">
        <v>203</v>
      </c>
      <c r="E23" t="s">
        <v>222</v>
      </c>
      <c r="F23" t="s">
        <v>203</v>
      </c>
      <c r="G23" t="s">
        <v>793</v>
      </c>
      <c r="H23" t="s">
        <v>203</v>
      </c>
      <c r="I23" t="s">
        <v>203</v>
      </c>
      <c r="J23" t="s">
        <v>203</v>
      </c>
      <c r="K23" t="s">
        <v>203</v>
      </c>
      <c r="L23">
        <v>0.031019474055267698</v>
      </c>
      <c r="M23">
        <v>0.032704737384774502</v>
      </c>
      <c r="N23">
        <v>0.016365516744145499</v>
      </c>
      <c r="O23">
        <v>0.027693039323256001</v>
      </c>
      <c r="P23">
        <v>0.022049059535050701</v>
      </c>
      <c r="Q23">
        <v>0.0247372303927983</v>
      </c>
      <c r="R23">
        <v>0.027520768764587498</v>
      </c>
      <c r="S23">
        <v>0.020713027241065898</v>
      </c>
      <c r="T23">
        <v>0.0267704198583558</v>
      </c>
      <c r="U23">
        <v>0.028261908354293201</v>
      </c>
      <c r="V23">
        <v>0.025979381143269101</v>
      </c>
      <c r="W23">
        <v>0.030295155438685599</v>
      </c>
      <c r="X23">
        <v>0.034911925216479303</v>
      </c>
      <c r="Y23">
        <v>0.0330203752541239</v>
      </c>
      <c r="Z23">
        <v>0.0289335151489752</v>
      </c>
      <c r="AA23">
        <v>0.017838875899561301</v>
      </c>
      <c r="AB23">
        <v>0.0155103110175844</v>
      </c>
      <c r="AC23">
        <v>0.031253941741138998</v>
      </c>
      <c r="AD23">
        <v>0.030614835939406601</v>
      </c>
      <c r="AE23">
        <v>0.024542149573572598</v>
      </c>
      <c r="AF23">
        <v>0.0124525495764436</v>
      </c>
      <c r="AG23">
        <v>0.021342684955456701</v>
      </c>
      <c r="AH23">
        <v>0.022269338561593702</v>
      </c>
      <c r="AI23">
        <v>0.029941958773897999</v>
      </c>
      <c r="AJ23">
        <v>0.022060365412910999</v>
      </c>
      <c r="AK23">
        <v>0.0182115923449322</v>
      </c>
      <c r="AL23">
        <v>0.0133950885186857</v>
      </c>
      <c r="AM23">
        <v>0.026870884656255398</v>
      </c>
      <c r="AN23">
        <v>0.044792566552160601</v>
      </c>
      <c r="AO23">
        <v>0.026677602693066699</v>
      </c>
      <c r="AP23">
        <v>0.043070738016607601</v>
      </c>
      <c r="AQ23">
        <v>0.017876528171347598</v>
      </c>
      <c r="AR23">
        <v>0.0201365587754871</v>
      </c>
      <c r="AS23">
        <v>0.0270151536675272</v>
      </c>
      <c r="AT23">
        <v>0.035965310722272999</v>
      </c>
      <c r="AU23">
        <v>0.027300428315595801</v>
      </c>
      <c r="AV23">
        <v>0.0267742071300274</v>
      </c>
      <c r="AW23" t="s">
        <v>203</v>
      </c>
    </row>
    <row r="24" spans="1:49" ht="12.75">
      <c r="A24" t="s">
        <v>201</v>
      </c>
      <c r="B24" t="s">
        <v>52</v>
      </c>
      <c r="C24" t="s">
        <v>244</v>
      </c>
      <c r="D24" t="s">
        <v>203</v>
      </c>
      <c r="E24" t="s">
        <v>222</v>
      </c>
      <c r="F24" t="s">
        <v>203</v>
      </c>
      <c r="G24" t="s">
        <v>793</v>
      </c>
      <c r="H24" t="s">
        <v>203</v>
      </c>
      <c r="I24" t="s">
        <v>203</v>
      </c>
      <c r="J24" t="s">
        <v>203</v>
      </c>
      <c r="K24" t="s">
        <v>203</v>
      </c>
      <c r="L24">
        <v>0.024815579244214198</v>
      </c>
      <c r="M24">
        <v>0.026163789907819601</v>
      </c>
      <c r="N24">
        <v>0.0130924133953164</v>
      </c>
      <c r="O24">
        <v>0.022154431458604799</v>
      </c>
      <c r="P24">
        <v>0.017639247628040599</v>
      </c>
      <c r="Q24">
        <v>0.019789784314238699</v>
      </c>
      <c r="R24">
        <v>0.022016615011670002</v>
      </c>
      <c r="S24">
        <v>0.016570421792852699</v>
      </c>
      <c r="T24">
        <v>0.021416335886684599</v>
      </c>
      <c r="U24">
        <v>0.022609526683434598</v>
      </c>
      <c r="V24">
        <v>0.020783504914615301</v>
      </c>
      <c r="W24">
        <v>0.024236124350948501</v>
      </c>
      <c r="X24">
        <v>0.027929540173183401</v>
      </c>
      <c r="Y24">
        <v>0.0264163002032991</v>
      </c>
      <c r="Z24">
        <v>0.023146812119180099</v>
      </c>
      <c r="AA24">
        <v>0.014271100719649101</v>
      </c>
      <c r="AB24">
        <v>0.0124082488140676</v>
      </c>
      <c r="AC24">
        <v>0.0250031533929112</v>
      </c>
      <c r="AD24">
        <v>0.0244918687515253</v>
      </c>
      <c r="AE24">
        <v>0.019633719658858101</v>
      </c>
      <c r="AF24">
        <v>0.0099620396611548607</v>
      </c>
      <c r="AG24">
        <v>0.017074147964365401</v>
      </c>
      <c r="AH24">
        <v>0.017815470849275001</v>
      </c>
      <c r="AI24">
        <v>0.0239535670191184</v>
      </c>
      <c r="AJ24">
        <v>0.017648292330328798</v>
      </c>
      <c r="AK24">
        <v>0.0145692738759457</v>
      </c>
      <c r="AL24">
        <v>0.010716070814948599</v>
      </c>
      <c r="AM24">
        <v>0.0214967077250043</v>
      </c>
      <c r="AN24">
        <v>0.035834053241728503</v>
      </c>
      <c r="AO24">
        <v>0.0213420821544534</v>
      </c>
      <c r="AP24">
        <v>0.034456590413286102</v>
      </c>
      <c r="AQ24">
        <v>0.0143012225370781</v>
      </c>
      <c r="AR24">
        <v>0.0161092470203896</v>
      </c>
      <c r="AS24">
        <v>0.021612122934021798</v>
      </c>
      <c r="AT24">
        <v>0.028772248577818401</v>
      </c>
      <c r="AU24">
        <v>0.021840342652476599</v>
      </c>
      <c r="AV24">
        <v>0.021419365704021899</v>
      </c>
      <c r="AW24" t="s">
        <v>203</v>
      </c>
    </row>
    <row r="25" spans="1:49" ht="12.75">
      <c r="A25" t="s">
        <v>201</v>
      </c>
      <c r="B25" t="s">
        <v>52</v>
      </c>
      <c r="C25" t="s">
        <v>858</v>
      </c>
      <c r="D25" t="s">
        <v>203</v>
      </c>
      <c r="E25" t="s">
        <v>222</v>
      </c>
      <c r="F25" t="s">
        <v>203</v>
      </c>
      <c r="G25" t="s">
        <v>793</v>
      </c>
      <c r="H25" t="s">
        <v>203</v>
      </c>
      <c r="I25" t="s">
        <v>203</v>
      </c>
      <c r="J25" t="s">
        <v>203</v>
      </c>
      <c r="K25" t="s">
        <v>203</v>
      </c>
      <c r="L25">
        <v>0.024815579244214198</v>
      </c>
      <c r="M25">
        <v>0.026163789907819601</v>
      </c>
      <c r="N25">
        <v>0.0130924133953164</v>
      </c>
      <c r="O25">
        <v>0.022154431458604799</v>
      </c>
      <c r="P25">
        <v>0.017639247628040599</v>
      </c>
      <c r="Q25">
        <v>0.019789784314238699</v>
      </c>
      <c r="R25">
        <v>0.022016615011670002</v>
      </c>
      <c r="S25">
        <v>0.016570421792852699</v>
      </c>
      <c r="T25">
        <v>0.021416335886684599</v>
      </c>
      <c r="U25">
        <v>0.022609526683434598</v>
      </c>
      <c r="V25">
        <v>0.020783504914615301</v>
      </c>
      <c r="W25">
        <v>0.024236124350948501</v>
      </c>
      <c r="X25">
        <v>0.027929540173183401</v>
      </c>
      <c r="Y25">
        <v>0.0264163002032991</v>
      </c>
      <c r="Z25">
        <v>0.023146812119180099</v>
      </c>
      <c r="AA25">
        <v>0.014271100719649101</v>
      </c>
      <c r="AB25">
        <v>0.0124082488140676</v>
      </c>
      <c r="AC25">
        <v>0.0250031533929112</v>
      </c>
      <c r="AD25">
        <v>0.0244918687515253</v>
      </c>
      <c r="AE25">
        <v>0.019633719658858101</v>
      </c>
      <c r="AF25">
        <v>0.0099620396611548607</v>
      </c>
      <c r="AG25">
        <v>0.017074147964365401</v>
      </c>
      <c r="AH25">
        <v>0.017815470849275001</v>
      </c>
      <c r="AI25">
        <v>0.0239535670191184</v>
      </c>
      <c r="AJ25">
        <v>0.017648292330328798</v>
      </c>
      <c r="AK25">
        <v>0.0145692738759457</v>
      </c>
      <c r="AL25">
        <v>0.010716070814948599</v>
      </c>
      <c r="AM25">
        <v>0.0214967077250043</v>
      </c>
      <c r="AN25">
        <v>0.035834053241728503</v>
      </c>
      <c r="AO25">
        <v>0.0213420821544534</v>
      </c>
      <c r="AP25">
        <v>0.034456590413286102</v>
      </c>
      <c r="AQ25">
        <v>0.0143012225370781</v>
      </c>
      <c r="AR25">
        <v>0.0161092470203896</v>
      </c>
      <c r="AS25">
        <v>0.021612122934021798</v>
      </c>
      <c r="AT25">
        <v>0.028772248577818401</v>
      </c>
      <c r="AU25">
        <v>0.021840342652476599</v>
      </c>
      <c r="AV25">
        <v>0.021419365704021899</v>
      </c>
      <c r="AW25" t="s">
        <v>203</v>
      </c>
    </row>
    <row r="26" spans="1:49" ht="12.75">
      <c r="A26" t="s">
        <v>201</v>
      </c>
      <c r="B26" t="s">
        <v>29</v>
      </c>
      <c r="C26" t="s">
        <v>224</v>
      </c>
      <c r="D26" t="s">
        <v>203</v>
      </c>
      <c r="E26" t="s">
        <v>203</v>
      </c>
      <c r="F26" t="s">
        <v>223</v>
      </c>
      <c r="G26" t="s">
        <v>793</v>
      </c>
      <c r="H26" t="s">
        <v>203</v>
      </c>
      <c r="I26" t="s">
        <v>203</v>
      </c>
      <c r="J26" t="s">
        <v>203</v>
      </c>
      <c r="K26" t="s">
        <v>203</v>
      </c>
      <c r="L26">
        <v>0.42</v>
      </c>
      <c r="M26">
        <v>0.50</v>
      </c>
      <c r="N26">
        <v>0.43</v>
      </c>
      <c r="O26">
        <v>0.47</v>
      </c>
      <c r="P26">
        <v>0.40</v>
      </c>
      <c r="Q26">
        <v>0.55000000000000004</v>
      </c>
      <c r="R26">
        <v>0.35</v>
      </c>
      <c r="S26">
        <v>0.42</v>
      </c>
      <c r="T26">
        <v>0.55000000000000004</v>
      </c>
      <c r="U26">
        <v>0.52</v>
      </c>
      <c r="V26">
        <v>0.45</v>
      </c>
      <c r="W26">
        <v>0.42</v>
      </c>
      <c r="X26">
        <v>0.45</v>
      </c>
      <c r="Y26">
        <v>0.52</v>
      </c>
      <c r="Z26">
        <v>0.50</v>
      </c>
      <c r="AA26">
        <v>0.43</v>
      </c>
      <c r="AB26">
        <v>0.41</v>
      </c>
      <c r="AC26">
        <v>0.48</v>
      </c>
      <c r="AD26">
        <v>0.52</v>
      </c>
      <c r="AE26">
        <v>0.46</v>
      </c>
      <c r="AF26">
        <v>0.43</v>
      </c>
      <c r="AG26">
        <v>0.42</v>
      </c>
      <c r="AH26">
        <v>0.50</v>
      </c>
      <c r="AI26">
        <v>0.45</v>
      </c>
      <c r="AJ26">
        <v>0.43</v>
      </c>
      <c r="AK26">
        <v>0.42</v>
      </c>
      <c r="AL26">
        <v>0.65</v>
      </c>
      <c r="AM26">
        <v>0.51</v>
      </c>
      <c r="AN26">
        <v>0.52</v>
      </c>
      <c r="AO26">
        <v>0.45</v>
      </c>
      <c r="AP26">
        <v>0.46</v>
      </c>
      <c r="AQ26">
        <v>0.40</v>
      </c>
      <c r="AR26">
        <v>0.43</v>
      </c>
      <c r="AS26">
        <v>0.45</v>
      </c>
      <c r="AT26">
        <v>0.48</v>
      </c>
      <c r="AU26">
        <v>0.40</v>
      </c>
      <c r="AV26">
        <v>0.65</v>
      </c>
      <c r="AW26" t="s">
        <v>203</v>
      </c>
    </row>
    <row r="27" spans="1:49" ht="12.75">
      <c r="A27" t="s">
        <v>201</v>
      </c>
      <c r="B27" t="s">
        <v>29</v>
      </c>
      <c r="C27" t="s">
        <v>225</v>
      </c>
      <c r="D27" t="s">
        <v>203</v>
      </c>
      <c r="E27" t="s">
        <v>203</v>
      </c>
      <c r="F27" t="s">
        <v>223</v>
      </c>
      <c r="G27" t="s">
        <v>793</v>
      </c>
      <c r="H27" t="s">
        <v>203</v>
      </c>
      <c r="I27" t="s">
        <v>203</v>
      </c>
      <c r="J27" t="s">
        <v>203</v>
      </c>
      <c r="K27" t="s">
        <v>203</v>
      </c>
      <c r="L27">
        <v>0.65</v>
      </c>
      <c r="M27">
        <v>0.51</v>
      </c>
      <c r="N27">
        <v>0.65</v>
      </c>
      <c r="O27">
        <v>0.65</v>
      </c>
      <c r="P27">
        <v>0.41</v>
      </c>
      <c r="Q27">
        <v>0.65</v>
      </c>
      <c r="R27">
        <v>0.65</v>
      </c>
      <c r="S27">
        <v>0.44</v>
      </c>
      <c r="T27">
        <v>0.65</v>
      </c>
      <c r="U27">
        <v>0.65</v>
      </c>
      <c r="V27">
        <v>0.65</v>
      </c>
      <c r="W27">
        <v>0.65</v>
      </c>
      <c r="X27">
        <v>0.65</v>
      </c>
      <c r="Y27">
        <v>0.65</v>
      </c>
      <c r="Z27">
        <v>0.65</v>
      </c>
      <c r="AA27">
        <v>0.65</v>
      </c>
      <c r="AB27">
        <v>0.42</v>
      </c>
      <c r="AC27">
        <v>0.50</v>
      </c>
      <c r="AD27">
        <v>0.65</v>
      </c>
      <c r="AE27">
        <v>0.65</v>
      </c>
      <c r="AF27">
        <v>0.65</v>
      </c>
      <c r="AG27">
        <v>0.65</v>
      </c>
      <c r="AH27">
        <v>0.65</v>
      </c>
      <c r="AI27">
        <v>0.65</v>
      </c>
      <c r="AJ27">
        <v>0.65</v>
      </c>
      <c r="AK27">
        <v>0.65</v>
      </c>
      <c r="AL27">
        <v>0.65</v>
      </c>
      <c r="AM27">
        <v>0.65</v>
      </c>
      <c r="AN27">
        <v>0.51</v>
      </c>
      <c r="AO27">
        <v>0.46</v>
      </c>
      <c r="AP27">
        <v>0.65</v>
      </c>
      <c r="AQ27">
        <v>0.65</v>
      </c>
      <c r="AR27">
        <v>0.65</v>
      </c>
      <c r="AS27">
        <v>0.65</v>
      </c>
      <c r="AT27">
        <v>0.65</v>
      </c>
      <c r="AU27">
        <v>0.65</v>
      </c>
      <c r="AV27">
        <v>0.50</v>
      </c>
      <c r="AW27" t="s">
        <v>203</v>
      </c>
    </row>
    <row r="28" spans="1:49" ht="12.75">
      <c r="A28" t="s">
        <v>201</v>
      </c>
      <c r="B28" t="s">
        <v>29</v>
      </c>
      <c r="C28" t="s">
        <v>226</v>
      </c>
      <c r="D28" t="s">
        <v>203</v>
      </c>
      <c r="E28" t="s">
        <v>203</v>
      </c>
      <c r="F28" t="s">
        <v>223</v>
      </c>
      <c r="G28" t="s">
        <v>793</v>
      </c>
      <c r="H28" t="s">
        <v>203</v>
      </c>
      <c r="I28" t="s">
        <v>203</v>
      </c>
      <c r="J28" t="s">
        <v>203</v>
      </c>
      <c r="K28" t="s">
        <v>203</v>
      </c>
      <c r="L28">
        <v>0.65</v>
      </c>
      <c r="M28">
        <v>0.76</v>
      </c>
      <c r="N28">
        <v>0.67</v>
      </c>
      <c r="O28">
        <v>0.73</v>
      </c>
      <c r="P28">
        <v>0.61</v>
      </c>
      <c r="Q28">
        <v>0.84</v>
      </c>
      <c r="R28">
        <v>0.54</v>
      </c>
      <c r="S28">
        <v>0.65</v>
      </c>
      <c r="T28">
        <v>0.84</v>
      </c>
      <c r="U28">
        <v>0.80</v>
      </c>
      <c r="V28">
        <v>0.69</v>
      </c>
      <c r="W28">
        <v>0.65</v>
      </c>
      <c r="X28">
        <v>0.69</v>
      </c>
      <c r="Y28">
        <v>0.80</v>
      </c>
      <c r="Z28">
        <v>0.76</v>
      </c>
      <c r="AA28">
        <v>0.67</v>
      </c>
      <c r="AB28">
        <v>0.63</v>
      </c>
      <c r="AC28">
        <v>0.74</v>
      </c>
      <c r="AD28">
        <v>0.80</v>
      </c>
      <c r="AE28">
        <v>0.71</v>
      </c>
      <c r="AF28">
        <v>0.67</v>
      </c>
      <c r="AG28">
        <v>0.65</v>
      </c>
      <c r="AH28">
        <v>0.76</v>
      </c>
      <c r="AI28">
        <v>0.69</v>
      </c>
      <c r="AJ28">
        <v>0.67</v>
      </c>
      <c r="AK28">
        <v>0.65</v>
      </c>
      <c r="AL28">
        <v>0.57999999999999996</v>
      </c>
      <c r="AM28">
        <v>0.785</v>
      </c>
      <c r="AN28">
        <v>0.80</v>
      </c>
      <c r="AO28">
        <v>0.69</v>
      </c>
      <c r="AP28">
        <v>0.71</v>
      </c>
      <c r="AQ28">
        <v>0.61</v>
      </c>
      <c r="AR28">
        <v>0.67</v>
      </c>
      <c r="AS28">
        <v>0.69</v>
      </c>
      <c r="AT28">
        <v>0.74</v>
      </c>
      <c r="AU28">
        <v>0.61</v>
      </c>
      <c r="AV28">
        <v>0.74</v>
      </c>
      <c r="AW28" t="s">
        <v>203</v>
      </c>
    </row>
    <row r="29" spans="1:49" ht="12.75">
      <c r="A29" t="s">
        <v>201</v>
      </c>
      <c r="B29" t="s">
        <v>29</v>
      </c>
      <c r="C29" t="s">
        <v>227</v>
      </c>
      <c r="D29" t="s">
        <v>203</v>
      </c>
      <c r="E29" t="s">
        <v>203</v>
      </c>
      <c r="F29" t="s">
        <v>223</v>
      </c>
      <c r="G29" t="s">
        <v>793</v>
      </c>
      <c r="H29" t="s">
        <v>203</v>
      </c>
      <c r="I29" t="s">
        <v>203</v>
      </c>
      <c r="J29" t="s">
        <v>203</v>
      </c>
      <c r="K29" t="s">
        <v>203</v>
      </c>
      <c r="L29">
        <v>0.53</v>
      </c>
      <c r="M29">
        <v>0.62</v>
      </c>
      <c r="N29">
        <v>0.54</v>
      </c>
      <c r="O29">
        <v>0.59</v>
      </c>
      <c r="P29">
        <v>0.50</v>
      </c>
      <c r="Q29">
        <v>0.68</v>
      </c>
      <c r="R29">
        <v>0.65</v>
      </c>
      <c r="S29">
        <v>0.53</v>
      </c>
      <c r="T29">
        <v>0.68</v>
      </c>
      <c r="U29">
        <v>0.65</v>
      </c>
      <c r="V29">
        <v>0.56000000000000005</v>
      </c>
      <c r="W29">
        <v>0.53</v>
      </c>
      <c r="X29">
        <v>0.56000000000000005</v>
      </c>
      <c r="Y29">
        <v>0.65</v>
      </c>
      <c r="Z29">
        <v>0.62</v>
      </c>
      <c r="AA29">
        <v>0.54</v>
      </c>
      <c r="AB29">
        <v>0.51</v>
      </c>
      <c r="AC29">
        <v>0.60</v>
      </c>
      <c r="AD29">
        <v>0.65</v>
      </c>
      <c r="AE29">
        <v>0.57999999999999996</v>
      </c>
      <c r="AF29">
        <v>0.54</v>
      </c>
      <c r="AG29">
        <v>0.53</v>
      </c>
      <c r="AH29">
        <v>0.62</v>
      </c>
      <c r="AI29">
        <v>0.56000000000000005</v>
      </c>
      <c r="AJ29">
        <v>0.54</v>
      </c>
      <c r="AK29">
        <v>0.53</v>
      </c>
      <c r="AL29">
        <v>0.65</v>
      </c>
      <c r="AM29">
        <v>0.64</v>
      </c>
      <c r="AN29">
        <v>0.65</v>
      </c>
      <c r="AO29">
        <v>0.56000000000000005</v>
      </c>
      <c r="AP29">
        <v>0.57999999999999996</v>
      </c>
      <c r="AQ29">
        <v>0.50</v>
      </c>
      <c r="AR29">
        <v>0.54</v>
      </c>
      <c r="AS29">
        <v>0.56000000000000005</v>
      </c>
      <c r="AT29">
        <v>0.60</v>
      </c>
      <c r="AU29">
        <v>0.50</v>
      </c>
      <c r="AV29">
        <v>0.60</v>
      </c>
      <c r="AW29" t="s">
        <v>203</v>
      </c>
    </row>
    <row r="30" spans="1:49" ht="12.75">
      <c r="A30" t="s">
        <v>201</v>
      </c>
      <c r="B30" t="s">
        <v>29</v>
      </c>
      <c r="C30" t="s">
        <v>228</v>
      </c>
      <c r="D30" t="s">
        <v>203</v>
      </c>
      <c r="E30" t="s">
        <v>203</v>
      </c>
      <c r="F30" t="s">
        <v>223</v>
      </c>
      <c r="G30" t="s">
        <v>793</v>
      </c>
      <c r="H30" t="s">
        <v>203</v>
      </c>
      <c r="I30" t="s">
        <v>203</v>
      </c>
      <c r="J30" t="s">
        <v>203</v>
      </c>
      <c r="K30" t="s">
        <v>203</v>
      </c>
      <c r="L30">
        <v>0.81</v>
      </c>
      <c r="M30">
        <v>0.89</v>
      </c>
      <c r="N30">
        <v>0.82</v>
      </c>
      <c r="O30">
        <v>0.87</v>
      </c>
      <c r="P30">
        <v>0.78</v>
      </c>
      <c r="Q30">
        <v>0.95</v>
      </c>
      <c r="R30">
        <v>0.65</v>
      </c>
      <c r="S30">
        <v>0.81</v>
      </c>
      <c r="T30">
        <v>0.95</v>
      </c>
      <c r="U30">
        <v>0.92</v>
      </c>
      <c r="V30">
        <v>0.84</v>
      </c>
      <c r="W30">
        <v>0.81</v>
      </c>
      <c r="X30">
        <v>0.65</v>
      </c>
      <c r="Y30">
        <v>0.92</v>
      </c>
      <c r="Z30">
        <v>0.89</v>
      </c>
      <c r="AA30">
        <v>0.82</v>
      </c>
      <c r="AB30">
        <v>0.80</v>
      </c>
      <c r="AC30">
        <v>0.65</v>
      </c>
      <c r="AD30">
        <v>0.92</v>
      </c>
      <c r="AE30">
        <v>0.85650557620817902</v>
      </c>
      <c r="AF30">
        <v>0.82</v>
      </c>
      <c r="AG30">
        <v>0.81</v>
      </c>
      <c r="AH30">
        <v>0.65</v>
      </c>
      <c r="AI30">
        <v>0.84</v>
      </c>
      <c r="AJ30">
        <v>0.82</v>
      </c>
      <c r="AK30">
        <v>0.81</v>
      </c>
      <c r="AL30">
        <v>0.65</v>
      </c>
      <c r="AM30">
        <v>0.91</v>
      </c>
      <c r="AN30">
        <v>0.92</v>
      </c>
      <c r="AO30">
        <v>0.84</v>
      </c>
      <c r="AP30">
        <v>0.86</v>
      </c>
      <c r="AQ30">
        <v>0.78</v>
      </c>
      <c r="AR30">
        <v>0.82</v>
      </c>
      <c r="AS30">
        <v>0.84</v>
      </c>
      <c r="AT30">
        <v>0.88</v>
      </c>
      <c r="AU30">
        <v>0.78</v>
      </c>
      <c r="AV30">
        <v>0.65</v>
      </c>
      <c r="AW30" t="s">
        <v>203</v>
      </c>
    </row>
    <row r="31" spans="1:49" ht="12.75">
      <c r="A31" t="s">
        <v>201</v>
      </c>
      <c r="B31" t="s">
        <v>29</v>
      </c>
      <c r="C31" t="s">
        <v>229</v>
      </c>
      <c r="D31" t="s">
        <v>203</v>
      </c>
      <c r="E31" t="s">
        <v>203</v>
      </c>
      <c r="F31" t="s">
        <v>223</v>
      </c>
      <c r="G31" t="s">
        <v>793</v>
      </c>
      <c r="H31" t="s">
        <v>203</v>
      </c>
      <c r="I31" t="s">
        <v>203</v>
      </c>
      <c r="J31" t="s">
        <v>203</v>
      </c>
      <c r="K31" t="s">
        <v>203</v>
      </c>
      <c r="L31">
        <v>0.51</v>
      </c>
      <c r="M31">
        <v>0.60</v>
      </c>
      <c r="N31">
        <v>0.52</v>
      </c>
      <c r="O31">
        <v>0.56999999999999995</v>
      </c>
      <c r="P31">
        <v>0.48</v>
      </c>
      <c r="Q31">
        <v>0.66</v>
      </c>
      <c r="R31">
        <v>0.42</v>
      </c>
      <c r="S31">
        <v>0.51</v>
      </c>
      <c r="T31">
        <v>0.66</v>
      </c>
      <c r="U31">
        <v>0.63</v>
      </c>
      <c r="V31">
        <v>0.54</v>
      </c>
      <c r="W31">
        <v>0.51</v>
      </c>
      <c r="X31">
        <v>0.54</v>
      </c>
      <c r="Y31">
        <v>0.63</v>
      </c>
      <c r="Z31">
        <v>0.60</v>
      </c>
      <c r="AA31">
        <v>0.52</v>
      </c>
      <c r="AB31">
        <v>0.49</v>
      </c>
      <c r="AC31">
        <v>0.57999999999999996</v>
      </c>
      <c r="AD31">
        <v>0.63</v>
      </c>
      <c r="AE31">
        <v>0.56000000000000005</v>
      </c>
      <c r="AF31">
        <v>0.52</v>
      </c>
      <c r="AG31">
        <v>0.51</v>
      </c>
      <c r="AH31">
        <v>0.60</v>
      </c>
      <c r="AI31">
        <v>0.54</v>
      </c>
      <c r="AJ31">
        <v>0.52</v>
      </c>
      <c r="AK31">
        <v>0.51</v>
      </c>
      <c r="AL31">
        <v>0.45</v>
      </c>
      <c r="AM31">
        <v>0.615</v>
      </c>
      <c r="AN31">
        <v>0.63</v>
      </c>
      <c r="AO31">
        <v>0.54</v>
      </c>
      <c r="AP31">
        <v>0.56000000000000005</v>
      </c>
      <c r="AQ31">
        <v>0.48</v>
      </c>
      <c r="AR31">
        <v>0.52</v>
      </c>
      <c r="AS31">
        <v>0.65</v>
      </c>
      <c r="AT31">
        <v>0.57999999999999996</v>
      </c>
      <c r="AU31">
        <v>0.48</v>
      </c>
      <c r="AV31">
        <v>0.57999999999999996</v>
      </c>
      <c r="AW31" t="s">
        <v>203</v>
      </c>
    </row>
    <row r="32" spans="1:49" ht="12.75">
      <c r="A32" t="s">
        <v>201</v>
      </c>
      <c r="B32" t="s">
        <v>29</v>
      </c>
      <c r="C32" t="s">
        <v>230</v>
      </c>
      <c r="D32" t="s">
        <v>203</v>
      </c>
      <c r="E32" t="s">
        <v>203</v>
      </c>
      <c r="F32" t="s">
        <v>223</v>
      </c>
      <c r="G32" t="s">
        <v>793</v>
      </c>
      <c r="H32" t="s">
        <v>203</v>
      </c>
      <c r="I32" t="s">
        <v>203</v>
      </c>
      <c r="J32" t="s">
        <v>203</v>
      </c>
      <c r="K32" t="s">
        <v>203</v>
      </c>
      <c r="L32">
        <v>0.50</v>
      </c>
      <c r="M32">
        <v>0.57999999999999996</v>
      </c>
      <c r="N32">
        <v>0.51</v>
      </c>
      <c r="O32">
        <v>0.55000000000000004</v>
      </c>
      <c r="P32">
        <v>0.65</v>
      </c>
      <c r="Q32">
        <v>0.64</v>
      </c>
      <c r="R32">
        <v>0.41</v>
      </c>
      <c r="S32">
        <v>0.65</v>
      </c>
      <c r="T32">
        <v>0.64</v>
      </c>
      <c r="U32">
        <v>0.61</v>
      </c>
      <c r="V32">
        <v>0.52</v>
      </c>
      <c r="W32">
        <v>0.50</v>
      </c>
      <c r="X32">
        <v>0.52</v>
      </c>
      <c r="Y32">
        <v>0.61</v>
      </c>
      <c r="Z32">
        <v>0.57999999999999996</v>
      </c>
      <c r="AA32">
        <v>0.51</v>
      </c>
      <c r="AB32">
        <v>0.65</v>
      </c>
      <c r="AC32">
        <v>0.56000000000000005</v>
      </c>
      <c r="AD32">
        <v>0.61</v>
      </c>
      <c r="AE32">
        <v>0.54</v>
      </c>
      <c r="AF32">
        <v>0.51</v>
      </c>
      <c r="AG32">
        <v>0.65</v>
      </c>
      <c r="AH32">
        <v>0.57999999999999996</v>
      </c>
      <c r="AI32">
        <v>0.52</v>
      </c>
      <c r="AJ32">
        <v>0.51</v>
      </c>
      <c r="AK32">
        <v>0.50</v>
      </c>
      <c r="AL32">
        <v>0.65</v>
      </c>
      <c r="AM32">
        <v>0.60</v>
      </c>
      <c r="AN32">
        <v>0.61</v>
      </c>
      <c r="AO32">
        <v>0.52</v>
      </c>
      <c r="AP32">
        <v>0.54</v>
      </c>
      <c r="AQ32">
        <v>0.47</v>
      </c>
      <c r="AR32">
        <v>0.51</v>
      </c>
      <c r="AS32">
        <v>0.52</v>
      </c>
      <c r="AT32">
        <v>0.56000000000000005</v>
      </c>
      <c r="AU32">
        <v>0.65</v>
      </c>
      <c r="AV32">
        <v>0.56000000000000005</v>
      </c>
      <c r="AW32" t="s">
        <v>203</v>
      </c>
    </row>
    <row r="33" spans="1:49" ht="12.75">
      <c r="A33" t="s">
        <v>201</v>
      </c>
      <c r="B33" t="s">
        <v>29</v>
      </c>
      <c r="C33" t="s">
        <v>856</v>
      </c>
      <c r="D33" t="s">
        <v>203</v>
      </c>
      <c r="E33" t="s">
        <v>203</v>
      </c>
      <c r="F33" t="s">
        <v>223</v>
      </c>
      <c r="G33" t="s">
        <v>793</v>
      </c>
      <c r="H33" t="s">
        <v>203</v>
      </c>
      <c r="I33" t="s">
        <v>203</v>
      </c>
      <c r="J33" t="s">
        <v>203</v>
      </c>
      <c r="K33" t="s">
        <v>203</v>
      </c>
      <c r="L33">
        <v>0.81</v>
      </c>
      <c r="M33">
        <v>0.89</v>
      </c>
      <c r="N33">
        <v>0.82</v>
      </c>
      <c r="O33">
        <v>0.87</v>
      </c>
      <c r="P33">
        <v>0.78</v>
      </c>
      <c r="Q33">
        <v>0.95</v>
      </c>
      <c r="R33">
        <v>0.65</v>
      </c>
      <c r="S33">
        <v>0.81</v>
      </c>
      <c r="T33">
        <v>0.95</v>
      </c>
      <c r="U33">
        <v>0.92</v>
      </c>
      <c r="V33">
        <v>0.84</v>
      </c>
      <c r="W33">
        <v>0.81</v>
      </c>
      <c r="X33">
        <v>0.65</v>
      </c>
      <c r="Y33">
        <v>0.92</v>
      </c>
      <c r="Z33">
        <v>0.89</v>
      </c>
      <c r="AA33">
        <v>0.82</v>
      </c>
      <c r="AB33">
        <v>0.80</v>
      </c>
      <c r="AC33">
        <v>0.65</v>
      </c>
      <c r="AD33">
        <v>0.92</v>
      </c>
      <c r="AE33">
        <v>0.85650557620817902</v>
      </c>
      <c r="AF33">
        <v>0.82</v>
      </c>
      <c r="AG33">
        <v>0.81</v>
      </c>
      <c r="AH33">
        <v>0.65</v>
      </c>
      <c r="AI33">
        <v>0.84</v>
      </c>
      <c r="AJ33">
        <v>0.82</v>
      </c>
      <c r="AK33">
        <v>0.81</v>
      </c>
      <c r="AL33">
        <v>0.65</v>
      </c>
      <c r="AM33">
        <v>0.91</v>
      </c>
      <c r="AN33">
        <v>0.92</v>
      </c>
      <c r="AO33">
        <v>0.84</v>
      </c>
      <c r="AP33">
        <v>0.86</v>
      </c>
      <c r="AQ33">
        <v>0.78</v>
      </c>
      <c r="AR33">
        <v>0.82</v>
      </c>
      <c r="AS33">
        <v>0.84</v>
      </c>
      <c r="AT33">
        <v>0.88</v>
      </c>
      <c r="AU33">
        <v>0.78</v>
      </c>
      <c r="AV33">
        <v>0.65</v>
      </c>
      <c r="AW33" t="s">
        <v>203</v>
      </c>
    </row>
    <row r="34" spans="1:49" ht="12.75">
      <c r="A34" t="s">
        <v>201</v>
      </c>
      <c r="B34" t="s">
        <v>29</v>
      </c>
      <c r="C34" t="s">
        <v>231</v>
      </c>
      <c r="D34" t="s">
        <v>203</v>
      </c>
      <c r="E34" t="s">
        <v>203</v>
      </c>
      <c r="F34" t="s">
        <v>223</v>
      </c>
      <c r="G34" t="s">
        <v>793</v>
      </c>
      <c r="H34" t="s">
        <v>203</v>
      </c>
      <c r="I34" t="s">
        <v>203</v>
      </c>
      <c r="J34" t="s">
        <v>203</v>
      </c>
      <c r="K34" t="s">
        <v>203</v>
      </c>
      <c r="L34">
        <v>0.42</v>
      </c>
      <c r="M34">
        <v>0.50</v>
      </c>
      <c r="N34">
        <v>0.43</v>
      </c>
      <c r="O34">
        <v>0.47</v>
      </c>
      <c r="P34">
        <v>0.40</v>
      </c>
      <c r="Q34">
        <v>0.55000000000000004</v>
      </c>
      <c r="R34">
        <v>0.35</v>
      </c>
      <c r="S34">
        <v>0.42</v>
      </c>
      <c r="T34">
        <v>0.55000000000000004</v>
      </c>
      <c r="U34">
        <v>0.52</v>
      </c>
      <c r="V34">
        <v>0.45</v>
      </c>
      <c r="W34">
        <v>0.42</v>
      </c>
      <c r="X34">
        <v>0.45</v>
      </c>
      <c r="Y34">
        <v>0.52</v>
      </c>
      <c r="Z34">
        <v>0.50</v>
      </c>
      <c r="AA34">
        <v>0.43</v>
      </c>
      <c r="AB34">
        <v>0.41</v>
      </c>
      <c r="AC34">
        <v>0.48</v>
      </c>
      <c r="AD34">
        <v>0.52</v>
      </c>
      <c r="AE34">
        <v>0.46</v>
      </c>
      <c r="AF34">
        <v>0.43</v>
      </c>
      <c r="AG34">
        <v>0.42</v>
      </c>
      <c r="AH34">
        <v>0.50</v>
      </c>
      <c r="AI34">
        <v>0.45</v>
      </c>
      <c r="AJ34">
        <v>0.43</v>
      </c>
      <c r="AK34">
        <v>0.42</v>
      </c>
      <c r="AL34">
        <v>0.65</v>
      </c>
      <c r="AM34">
        <v>0.51</v>
      </c>
      <c r="AN34">
        <v>0.52</v>
      </c>
      <c r="AO34">
        <v>0.45</v>
      </c>
      <c r="AP34">
        <v>0.46</v>
      </c>
      <c r="AQ34">
        <v>0.40</v>
      </c>
      <c r="AR34">
        <v>0.43</v>
      </c>
      <c r="AS34">
        <v>0.45</v>
      </c>
      <c r="AT34">
        <v>0.48</v>
      </c>
      <c r="AU34">
        <v>0.40</v>
      </c>
      <c r="AV34">
        <v>0.65</v>
      </c>
      <c r="AW34" t="s">
        <v>203</v>
      </c>
    </row>
    <row r="35" spans="1:49" ht="12.75">
      <c r="A35" t="s">
        <v>201</v>
      </c>
      <c r="B35" t="s">
        <v>29</v>
      </c>
      <c r="C35" t="s">
        <v>232</v>
      </c>
      <c r="D35" t="s">
        <v>203</v>
      </c>
      <c r="E35" t="s">
        <v>203</v>
      </c>
      <c r="F35" t="s">
        <v>223</v>
      </c>
      <c r="G35" t="s">
        <v>793</v>
      </c>
      <c r="H35" t="s">
        <v>203</v>
      </c>
      <c r="I35" t="s">
        <v>203</v>
      </c>
      <c r="J35" t="s">
        <v>203</v>
      </c>
      <c r="K35" t="s">
        <v>203</v>
      </c>
      <c r="L35">
        <v>0.65</v>
      </c>
      <c r="M35">
        <v>0.51</v>
      </c>
      <c r="N35">
        <v>0.65</v>
      </c>
      <c r="O35">
        <v>0.65</v>
      </c>
      <c r="P35">
        <v>0.41</v>
      </c>
      <c r="Q35">
        <v>0.65</v>
      </c>
      <c r="R35">
        <v>0.65</v>
      </c>
      <c r="S35">
        <v>0.44</v>
      </c>
      <c r="T35">
        <v>0.65</v>
      </c>
      <c r="U35">
        <v>0.65</v>
      </c>
      <c r="V35">
        <v>0.65</v>
      </c>
      <c r="W35">
        <v>0.65</v>
      </c>
      <c r="X35">
        <v>0.65</v>
      </c>
      <c r="Y35">
        <v>0.65</v>
      </c>
      <c r="Z35">
        <v>0.65</v>
      </c>
      <c r="AA35">
        <v>0.65</v>
      </c>
      <c r="AB35">
        <v>0.42</v>
      </c>
      <c r="AC35">
        <v>0.50</v>
      </c>
      <c r="AD35">
        <v>0.65</v>
      </c>
      <c r="AE35">
        <v>0.65</v>
      </c>
      <c r="AF35">
        <v>0.65</v>
      </c>
      <c r="AG35">
        <v>0.65</v>
      </c>
      <c r="AH35">
        <v>0.65</v>
      </c>
      <c r="AI35">
        <v>0.65</v>
      </c>
      <c r="AJ35">
        <v>0.65</v>
      </c>
      <c r="AK35">
        <v>0.65</v>
      </c>
      <c r="AL35">
        <v>0.65</v>
      </c>
      <c r="AM35">
        <v>0.65</v>
      </c>
      <c r="AN35">
        <v>0.51</v>
      </c>
      <c r="AO35">
        <v>0.46</v>
      </c>
      <c r="AP35">
        <v>0.65</v>
      </c>
      <c r="AQ35">
        <v>0.65</v>
      </c>
      <c r="AR35">
        <v>0.65</v>
      </c>
      <c r="AS35">
        <v>0.65</v>
      </c>
      <c r="AT35">
        <v>0.65</v>
      </c>
      <c r="AU35">
        <v>0.65</v>
      </c>
      <c r="AV35">
        <v>0.50</v>
      </c>
      <c r="AW35" t="s">
        <v>203</v>
      </c>
    </row>
    <row r="36" spans="1:49" ht="12.75">
      <c r="A36" t="s">
        <v>201</v>
      </c>
      <c r="B36" t="s">
        <v>29</v>
      </c>
      <c r="C36" t="s">
        <v>233</v>
      </c>
      <c r="D36" t="s">
        <v>203</v>
      </c>
      <c r="E36" t="s">
        <v>203</v>
      </c>
      <c r="F36" t="s">
        <v>223</v>
      </c>
      <c r="G36" t="s">
        <v>793</v>
      </c>
      <c r="H36" t="s">
        <v>203</v>
      </c>
      <c r="I36" t="s">
        <v>203</v>
      </c>
      <c r="J36" t="s">
        <v>203</v>
      </c>
      <c r="K36" t="s">
        <v>203</v>
      </c>
      <c r="L36">
        <v>0.65</v>
      </c>
      <c r="M36">
        <v>0.76</v>
      </c>
      <c r="N36">
        <v>0.67</v>
      </c>
      <c r="O36">
        <v>0.73</v>
      </c>
      <c r="P36">
        <v>0.61</v>
      </c>
      <c r="Q36">
        <v>0.84</v>
      </c>
      <c r="R36">
        <v>0.54</v>
      </c>
      <c r="S36">
        <v>0.65</v>
      </c>
      <c r="T36">
        <v>0.84</v>
      </c>
      <c r="U36">
        <v>0.80</v>
      </c>
      <c r="V36">
        <v>0.69</v>
      </c>
      <c r="W36">
        <v>0.65</v>
      </c>
      <c r="X36">
        <v>0.69</v>
      </c>
      <c r="Y36">
        <v>0.80</v>
      </c>
      <c r="Z36">
        <v>0.76</v>
      </c>
      <c r="AA36">
        <v>0.67</v>
      </c>
      <c r="AB36">
        <v>0.63</v>
      </c>
      <c r="AC36">
        <v>0.74</v>
      </c>
      <c r="AD36">
        <v>0.80</v>
      </c>
      <c r="AE36">
        <v>0.71</v>
      </c>
      <c r="AF36">
        <v>0.67</v>
      </c>
      <c r="AG36">
        <v>0.65</v>
      </c>
      <c r="AH36">
        <v>0.76</v>
      </c>
      <c r="AI36">
        <v>0.69</v>
      </c>
      <c r="AJ36">
        <v>0.67</v>
      </c>
      <c r="AK36">
        <v>0.65</v>
      </c>
      <c r="AL36">
        <v>0.57999999999999996</v>
      </c>
      <c r="AM36">
        <v>0.785</v>
      </c>
      <c r="AN36">
        <v>0.80</v>
      </c>
      <c r="AO36">
        <v>0.69</v>
      </c>
      <c r="AP36">
        <v>0.71</v>
      </c>
      <c r="AQ36">
        <v>0.61</v>
      </c>
      <c r="AR36">
        <v>0.67</v>
      </c>
      <c r="AS36">
        <v>0.69</v>
      </c>
      <c r="AT36">
        <v>0.74</v>
      </c>
      <c r="AU36">
        <v>0.61</v>
      </c>
      <c r="AV36">
        <v>0.74</v>
      </c>
      <c r="AW36" t="s">
        <v>203</v>
      </c>
    </row>
    <row r="37" spans="1:49" ht="12.75">
      <c r="A37" t="s">
        <v>201</v>
      </c>
      <c r="B37" t="s">
        <v>29</v>
      </c>
      <c r="C37" t="s">
        <v>234</v>
      </c>
      <c r="D37" t="s">
        <v>203</v>
      </c>
      <c r="E37" t="s">
        <v>203</v>
      </c>
      <c r="F37" t="s">
        <v>223</v>
      </c>
      <c r="G37" t="s">
        <v>793</v>
      </c>
      <c r="H37" t="s">
        <v>203</v>
      </c>
      <c r="I37" t="s">
        <v>203</v>
      </c>
      <c r="J37" t="s">
        <v>203</v>
      </c>
      <c r="K37" t="s">
        <v>203</v>
      </c>
      <c r="L37">
        <v>0.53</v>
      </c>
      <c r="M37">
        <v>0.62</v>
      </c>
      <c r="N37">
        <v>0.54</v>
      </c>
      <c r="O37">
        <v>0.59</v>
      </c>
      <c r="P37">
        <v>0.50</v>
      </c>
      <c r="Q37">
        <v>0.68</v>
      </c>
      <c r="R37">
        <v>0.65</v>
      </c>
      <c r="S37">
        <v>0.53</v>
      </c>
      <c r="T37">
        <v>0.68</v>
      </c>
      <c r="U37">
        <v>0.65</v>
      </c>
      <c r="V37">
        <v>0.56000000000000005</v>
      </c>
      <c r="W37">
        <v>0.53</v>
      </c>
      <c r="X37">
        <v>0.56000000000000005</v>
      </c>
      <c r="Y37">
        <v>0.65</v>
      </c>
      <c r="Z37">
        <v>0.62</v>
      </c>
      <c r="AA37">
        <v>0.54</v>
      </c>
      <c r="AB37">
        <v>0.51</v>
      </c>
      <c r="AC37">
        <v>0.60</v>
      </c>
      <c r="AD37">
        <v>0.65</v>
      </c>
      <c r="AE37">
        <v>0.57999999999999996</v>
      </c>
      <c r="AF37">
        <v>0.54</v>
      </c>
      <c r="AG37">
        <v>0.53</v>
      </c>
      <c r="AH37">
        <v>0.62</v>
      </c>
      <c r="AI37">
        <v>0.56000000000000005</v>
      </c>
      <c r="AJ37">
        <v>0.54</v>
      </c>
      <c r="AK37">
        <v>0.53</v>
      </c>
      <c r="AL37">
        <v>0.65</v>
      </c>
      <c r="AM37">
        <v>0.64</v>
      </c>
      <c r="AN37">
        <v>0.65</v>
      </c>
      <c r="AO37">
        <v>0.56000000000000005</v>
      </c>
      <c r="AP37">
        <v>0.57999999999999996</v>
      </c>
      <c r="AQ37">
        <v>0.50</v>
      </c>
      <c r="AR37">
        <v>0.54</v>
      </c>
      <c r="AS37">
        <v>0.56000000000000005</v>
      </c>
      <c r="AT37">
        <v>0.60</v>
      </c>
      <c r="AU37">
        <v>0.50</v>
      </c>
      <c r="AV37">
        <v>0.60</v>
      </c>
      <c r="AW37" t="s">
        <v>203</v>
      </c>
    </row>
    <row r="38" spans="1:49" ht="12.75">
      <c r="A38" t="s">
        <v>201</v>
      </c>
      <c r="B38" t="s">
        <v>29</v>
      </c>
      <c r="C38" t="s">
        <v>235</v>
      </c>
      <c r="D38" t="s">
        <v>203</v>
      </c>
      <c r="E38" t="s">
        <v>203</v>
      </c>
      <c r="F38" t="s">
        <v>223</v>
      </c>
      <c r="G38" t="s">
        <v>793</v>
      </c>
      <c r="H38" t="s">
        <v>203</v>
      </c>
      <c r="I38" t="s">
        <v>203</v>
      </c>
      <c r="J38" t="s">
        <v>203</v>
      </c>
      <c r="K38" t="s">
        <v>203</v>
      </c>
      <c r="L38">
        <v>0.81</v>
      </c>
      <c r="M38">
        <v>0.89</v>
      </c>
      <c r="N38">
        <v>0.82</v>
      </c>
      <c r="O38">
        <v>0.87</v>
      </c>
      <c r="P38">
        <v>0.78</v>
      </c>
      <c r="Q38">
        <v>0.95</v>
      </c>
      <c r="R38">
        <v>0.65</v>
      </c>
      <c r="S38">
        <v>0.81</v>
      </c>
      <c r="T38">
        <v>0.95</v>
      </c>
      <c r="U38">
        <v>0.92</v>
      </c>
      <c r="V38">
        <v>0.84</v>
      </c>
      <c r="W38">
        <v>0.81</v>
      </c>
      <c r="X38">
        <v>0.65</v>
      </c>
      <c r="Y38">
        <v>0.92</v>
      </c>
      <c r="Z38">
        <v>0.89</v>
      </c>
      <c r="AA38">
        <v>0.82</v>
      </c>
      <c r="AB38">
        <v>0.80</v>
      </c>
      <c r="AC38">
        <v>0.65</v>
      </c>
      <c r="AD38">
        <v>0.92</v>
      </c>
      <c r="AE38">
        <v>0.85650557620817902</v>
      </c>
      <c r="AF38">
        <v>0.82</v>
      </c>
      <c r="AG38">
        <v>0.81</v>
      </c>
      <c r="AH38">
        <v>0.65</v>
      </c>
      <c r="AI38">
        <v>0.84</v>
      </c>
      <c r="AJ38">
        <v>0.82</v>
      </c>
      <c r="AK38">
        <v>0.81</v>
      </c>
      <c r="AL38">
        <v>0.65</v>
      </c>
      <c r="AM38">
        <v>0.91</v>
      </c>
      <c r="AN38">
        <v>0.92</v>
      </c>
      <c r="AO38">
        <v>0.84</v>
      </c>
      <c r="AP38">
        <v>0.86</v>
      </c>
      <c r="AQ38">
        <v>0.78</v>
      </c>
      <c r="AR38">
        <v>0.82</v>
      </c>
      <c r="AS38">
        <v>0.84</v>
      </c>
      <c r="AT38">
        <v>0.88</v>
      </c>
      <c r="AU38">
        <v>0.78</v>
      </c>
      <c r="AV38">
        <v>0.65</v>
      </c>
      <c r="AW38" t="s">
        <v>203</v>
      </c>
    </row>
    <row r="39" spans="1:49" ht="12.75">
      <c r="A39" t="s">
        <v>201</v>
      </c>
      <c r="B39" t="s">
        <v>29</v>
      </c>
      <c r="C39" t="s">
        <v>236</v>
      </c>
      <c r="D39" t="s">
        <v>203</v>
      </c>
      <c r="E39" t="s">
        <v>203</v>
      </c>
      <c r="F39" t="s">
        <v>223</v>
      </c>
      <c r="G39" t="s">
        <v>793</v>
      </c>
      <c r="H39" t="s">
        <v>203</v>
      </c>
      <c r="I39" t="s">
        <v>203</v>
      </c>
      <c r="J39" t="s">
        <v>203</v>
      </c>
      <c r="K39" t="s">
        <v>203</v>
      </c>
      <c r="L39">
        <v>0.51</v>
      </c>
      <c r="M39">
        <v>0.60</v>
      </c>
      <c r="N39">
        <v>0.52</v>
      </c>
      <c r="O39">
        <v>0.56999999999999995</v>
      </c>
      <c r="P39">
        <v>0.48</v>
      </c>
      <c r="Q39">
        <v>0.66</v>
      </c>
      <c r="R39">
        <v>0.42</v>
      </c>
      <c r="S39">
        <v>0.51</v>
      </c>
      <c r="T39">
        <v>0.66</v>
      </c>
      <c r="U39">
        <v>0.63</v>
      </c>
      <c r="V39">
        <v>0.54</v>
      </c>
      <c r="W39">
        <v>0.51</v>
      </c>
      <c r="X39">
        <v>0.54</v>
      </c>
      <c r="Y39">
        <v>0.63</v>
      </c>
      <c r="Z39">
        <v>0.60</v>
      </c>
      <c r="AA39">
        <v>0.52</v>
      </c>
      <c r="AB39">
        <v>0.49</v>
      </c>
      <c r="AC39">
        <v>0.57999999999999996</v>
      </c>
      <c r="AD39">
        <v>0.63</v>
      </c>
      <c r="AE39">
        <v>0.56000000000000005</v>
      </c>
      <c r="AF39">
        <v>0.52</v>
      </c>
      <c r="AG39">
        <v>0.51</v>
      </c>
      <c r="AH39">
        <v>0.60</v>
      </c>
      <c r="AI39">
        <v>0.54</v>
      </c>
      <c r="AJ39">
        <v>0.52</v>
      </c>
      <c r="AK39">
        <v>0.51</v>
      </c>
      <c r="AL39">
        <v>0.45</v>
      </c>
      <c r="AM39">
        <v>0.615</v>
      </c>
      <c r="AN39">
        <v>0.63</v>
      </c>
      <c r="AO39">
        <v>0.54</v>
      </c>
      <c r="AP39">
        <v>0.56000000000000005</v>
      </c>
      <c r="AQ39">
        <v>0.48</v>
      </c>
      <c r="AR39">
        <v>0.52</v>
      </c>
      <c r="AS39">
        <v>0.65</v>
      </c>
      <c r="AT39">
        <v>0.57999999999999996</v>
      </c>
      <c r="AU39">
        <v>0.48</v>
      </c>
      <c r="AV39">
        <v>0.57999999999999996</v>
      </c>
      <c r="AW39" t="s">
        <v>203</v>
      </c>
    </row>
    <row r="40" spans="1:49" ht="12.75">
      <c r="A40" t="s">
        <v>201</v>
      </c>
      <c r="B40" t="s">
        <v>29</v>
      </c>
      <c r="C40" t="s">
        <v>237</v>
      </c>
      <c r="D40" t="s">
        <v>203</v>
      </c>
      <c r="E40" t="s">
        <v>203</v>
      </c>
      <c r="F40" t="s">
        <v>223</v>
      </c>
      <c r="G40" t="s">
        <v>793</v>
      </c>
      <c r="H40" t="s">
        <v>203</v>
      </c>
      <c r="I40" t="s">
        <v>203</v>
      </c>
      <c r="J40" t="s">
        <v>203</v>
      </c>
      <c r="K40" t="s">
        <v>203</v>
      </c>
      <c r="L40">
        <v>0.50</v>
      </c>
      <c r="M40">
        <v>0.57999999999999996</v>
      </c>
      <c r="N40">
        <v>0.51</v>
      </c>
      <c r="O40">
        <v>0.55000000000000004</v>
      </c>
      <c r="P40">
        <v>0.65</v>
      </c>
      <c r="Q40">
        <v>0.64</v>
      </c>
      <c r="R40">
        <v>0.41</v>
      </c>
      <c r="S40">
        <v>0.65</v>
      </c>
      <c r="T40">
        <v>0.64</v>
      </c>
      <c r="U40">
        <v>0.61</v>
      </c>
      <c r="V40">
        <v>0.52</v>
      </c>
      <c r="W40">
        <v>0.50</v>
      </c>
      <c r="X40">
        <v>0.52</v>
      </c>
      <c r="Y40">
        <v>0.61</v>
      </c>
      <c r="Z40">
        <v>0.57999999999999996</v>
      </c>
      <c r="AA40">
        <v>0.51</v>
      </c>
      <c r="AB40">
        <v>0.65</v>
      </c>
      <c r="AC40">
        <v>0.56000000000000005</v>
      </c>
      <c r="AD40">
        <v>0.61</v>
      </c>
      <c r="AE40">
        <v>0.54</v>
      </c>
      <c r="AF40">
        <v>0.51</v>
      </c>
      <c r="AG40">
        <v>0.65</v>
      </c>
      <c r="AH40">
        <v>0.57999999999999996</v>
      </c>
      <c r="AI40">
        <v>0.52</v>
      </c>
      <c r="AJ40">
        <v>0.51</v>
      </c>
      <c r="AK40">
        <v>0.50</v>
      </c>
      <c r="AL40">
        <v>0.65</v>
      </c>
      <c r="AM40">
        <v>0.60</v>
      </c>
      <c r="AN40">
        <v>0.61</v>
      </c>
      <c r="AO40">
        <v>0.52</v>
      </c>
      <c r="AP40">
        <v>0.54</v>
      </c>
      <c r="AQ40">
        <v>0.47</v>
      </c>
      <c r="AR40">
        <v>0.51</v>
      </c>
      <c r="AS40">
        <v>0.52</v>
      </c>
      <c r="AT40">
        <v>0.56000000000000005</v>
      </c>
      <c r="AU40">
        <v>0.65</v>
      </c>
      <c r="AV40">
        <v>0.56000000000000005</v>
      </c>
      <c r="AW40" t="s">
        <v>203</v>
      </c>
    </row>
    <row r="41" spans="1:49" ht="12.75">
      <c r="A41" t="s">
        <v>201</v>
      </c>
      <c r="B41" t="s">
        <v>29</v>
      </c>
      <c r="C41" t="s">
        <v>857</v>
      </c>
      <c r="D41" t="s">
        <v>203</v>
      </c>
      <c r="E41" t="s">
        <v>203</v>
      </c>
      <c r="F41" t="s">
        <v>223</v>
      </c>
      <c r="G41" t="s">
        <v>793</v>
      </c>
      <c r="H41" t="s">
        <v>203</v>
      </c>
      <c r="I41" t="s">
        <v>203</v>
      </c>
      <c r="J41" t="s">
        <v>203</v>
      </c>
      <c r="K41" t="s">
        <v>203</v>
      </c>
      <c r="L41">
        <v>0.81</v>
      </c>
      <c r="M41">
        <v>0.89</v>
      </c>
      <c r="N41">
        <v>0.82</v>
      </c>
      <c r="O41">
        <v>0.87</v>
      </c>
      <c r="P41">
        <v>0.78</v>
      </c>
      <c r="Q41">
        <v>0.95</v>
      </c>
      <c r="R41">
        <v>0.65</v>
      </c>
      <c r="S41">
        <v>0.81</v>
      </c>
      <c r="T41">
        <v>0.95</v>
      </c>
      <c r="U41">
        <v>0.92</v>
      </c>
      <c r="V41">
        <v>0.84</v>
      </c>
      <c r="W41">
        <v>0.81</v>
      </c>
      <c r="X41">
        <v>0.65</v>
      </c>
      <c r="Y41">
        <v>0.92</v>
      </c>
      <c r="Z41">
        <v>0.89</v>
      </c>
      <c r="AA41">
        <v>0.82</v>
      </c>
      <c r="AB41">
        <v>0.80</v>
      </c>
      <c r="AC41">
        <v>0.65</v>
      </c>
      <c r="AD41">
        <v>0.92</v>
      </c>
      <c r="AE41">
        <v>0.85650557620817902</v>
      </c>
      <c r="AF41">
        <v>0.82</v>
      </c>
      <c r="AG41">
        <v>0.81</v>
      </c>
      <c r="AH41">
        <v>0.65</v>
      </c>
      <c r="AI41">
        <v>0.84</v>
      </c>
      <c r="AJ41">
        <v>0.82</v>
      </c>
      <c r="AK41">
        <v>0.81</v>
      </c>
      <c r="AL41">
        <v>0.65</v>
      </c>
      <c r="AM41">
        <v>0.91</v>
      </c>
      <c r="AN41">
        <v>0.92</v>
      </c>
      <c r="AO41">
        <v>0.84</v>
      </c>
      <c r="AP41">
        <v>0.86</v>
      </c>
      <c r="AQ41">
        <v>0.78</v>
      </c>
      <c r="AR41">
        <v>0.82</v>
      </c>
      <c r="AS41">
        <v>0.84</v>
      </c>
      <c r="AT41">
        <v>0.88</v>
      </c>
      <c r="AU41">
        <v>0.78</v>
      </c>
      <c r="AV41">
        <v>0.65</v>
      </c>
      <c r="AW41" t="s">
        <v>203</v>
      </c>
    </row>
    <row r="42" spans="1:49" ht="12.75">
      <c r="A42" t="s">
        <v>201</v>
      </c>
      <c r="B42" t="s">
        <v>29</v>
      </c>
      <c r="C42" t="s">
        <v>238</v>
      </c>
      <c r="D42" t="s">
        <v>203</v>
      </c>
      <c r="E42" t="s">
        <v>203</v>
      </c>
      <c r="F42" t="s">
        <v>223</v>
      </c>
      <c r="G42" t="s">
        <v>793</v>
      </c>
      <c r="H42" t="s">
        <v>203</v>
      </c>
      <c r="I42" t="s">
        <v>203</v>
      </c>
      <c r="J42" t="s">
        <v>203</v>
      </c>
      <c r="K42" t="s">
        <v>203</v>
      </c>
      <c r="L42">
        <v>0.42</v>
      </c>
      <c r="M42">
        <v>0.50</v>
      </c>
      <c r="N42">
        <v>0.43</v>
      </c>
      <c r="O42">
        <v>0.47</v>
      </c>
      <c r="P42">
        <v>0.40</v>
      </c>
      <c r="Q42">
        <v>0.55000000000000004</v>
      </c>
      <c r="R42">
        <v>0.35</v>
      </c>
      <c r="S42">
        <v>0.42</v>
      </c>
      <c r="T42">
        <v>0.55000000000000004</v>
      </c>
      <c r="U42">
        <v>0.52</v>
      </c>
      <c r="V42">
        <v>0.45</v>
      </c>
      <c r="W42">
        <v>0.42</v>
      </c>
      <c r="X42">
        <v>0.45</v>
      </c>
      <c r="Y42">
        <v>0.52</v>
      </c>
      <c r="Z42">
        <v>0.50</v>
      </c>
      <c r="AA42">
        <v>0.43</v>
      </c>
      <c r="AB42">
        <v>0.41</v>
      </c>
      <c r="AC42">
        <v>0.48</v>
      </c>
      <c r="AD42">
        <v>0.52</v>
      </c>
      <c r="AE42">
        <v>0.46</v>
      </c>
      <c r="AF42">
        <v>0.43</v>
      </c>
      <c r="AG42">
        <v>0.42</v>
      </c>
      <c r="AH42">
        <v>0.50</v>
      </c>
      <c r="AI42">
        <v>0.45</v>
      </c>
      <c r="AJ42">
        <v>0.43</v>
      </c>
      <c r="AK42">
        <v>0.42</v>
      </c>
      <c r="AL42">
        <v>0.65</v>
      </c>
      <c r="AM42">
        <v>0.51</v>
      </c>
      <c r="AN42">
        <v>0.52</v>
      </c>
      <c r="AO42">
        <v>0.45</v>
      </c>
      <c r="AP42">
        <v>0.46</v>
      </c>
      <c r="AQ42">
        <v>0.40</v>
      </c>
      <c r="AR42">
        <v>0.43</v>
      </c>
      <c r="AS42">
        <v>0.45</v>
      </c>
      <c r="AT42">
        <v>0.48</v>
      </c>
      <c r="AU42">
        <v>0.40</v>
      </c>
      <c r="AV42">
        <v>0.65</v>
      </c>
      <c r="AW42" t="s">
        <v>203</v>
      </c>
    </row>
    <row r="43" spans="1:49" ht="12.75">
      <c r="A43" t="s">
        <v>201</v>
      </c>
      <c r="B43" t="s">
        <v>29</v>
      </c>
      <c r="C43" t="s">
        <v>239</v>
      </c>
      <c r="D43" t="s">
        <v>203</v>
      </c>
      <c r="E43" t="s">
        <v>203</v>
      </c>
      <c r="F43" t="s">
        <v>223</v>
      </c>
      <c r="G43" t="s">
        <v>793</v>
      </c>
      <c r="H43" t="s">
        <v>203</v>
      </c>
      <c r="I43" t="s">
        <v>203</v>
      </c>
      <c r="J43" t="s">
        <v>203</v>
      </c>
      <c r="K43" t="s">
        <v>203</v>
      </c>
      <c r="L43">
        <v>0.65</v>
      </c>
      <c r="M43">
        <v>0.51</v>
      </c>
      <c r="N43">
        <v>0.65</v>
      </c>
      <c r="O43">
        <v>0.65</v>
      </c>
      <c r="P43">
        <v>0.41</v>
      </c>
      <c r="Q43">
        <v>0.65</v>
      </c>
      <c r="R43">
        <v>0.65</v>
      </c>
      <c r="S43">
        <v>0.44</v>
      </c>
      <c r="T43">
        <v>0.65</v>
      </c>
      <c r="U43">
        <v>0.65</v>
      </c>
      <c r="V43">
        <v>0.65</v>
      </c>
      <c r="W43">
        <v>0.65</v>
      </c>
      <c r="X43">
        <v>0.65</v>
      </c>
      <c r="Y43">
        <v>0.65</v>
      </c>
      <c r="Z43">
        <v>0.65</v>
      </c>
      <c r="AA43">
        <v>0.65</v>
      </c>
      <c r="AB43">
        <v>0.42</v>
      </c>
      <c r="AC43">
        <v>0.50</v>
      </c>
      <c r="AD43">
        <v>0.65</v>
      </c>
      <c r="AE43">
        <v>0.65</v>
      </c>
      <c r="AF43">
        <v>0.65</v>
      </c>
      <c r="AG43">
        <v>0.65</v>
      </c>
      <c r="AH43">
        <v>0.65</v>
      </c>
      <c r="AI43">
        <v>0.65</v>
      </c>
      <c r="AJ43">
        <v>0.65</v>
      </c>
      <c r="AK43">
        <v>0.65</v>
      </c>
      <c r="AL43">
        <v>0.65</v>
      </c>
      <c r="AM43">
        <v>0.65</v>
      </c>
      <c r="AN43">
        <v>0.51</v>
      </c>
      <c r="AO43">
        <v>0.46</v>
      </c>
      <c r="AP43">
        <v>0.65</v>
      </c>
      <c r="AQ43">
        <v>0.65</v>
      </c>
      <c r="AR43">
        <v>0.65</v>
      </c>
      <c r="AS43">
        <v>0.65</v>
      </c>
      <c r="AT43">
        <v>0.65</v>
      </c>
      <c r="AU43">
        <v>0.65</v>
      </c>
      <c r="AV43">
        <v>0.50</v>
      </c>
      <c r="AW43" t="s">
        <v>203</v>
      </c>
    </row>
    <row r="44" spans="1:49" ht="12.75">
      <c r="A44" t="s">
        <v>201</v>
      </c>
      <c r="B44" t="s">
        <v>29</v>
      </c>
      <c r="C44" t="s">
        <v>240</v>
      </c>
      <c r="D44" t="s">
        <v>203</v>
      </c>
      <c r="E44" t="s">
        <v>203</v>
      </c>
      <c r="F44" t="s">
        <v>223</v>
      </c>
      <c r="G44" t="s">
        <v>793</v>
      </c>
      <c r="H44" t="s">
        <v>203</v>
      </c>
      <c r="I44" t="s">
        <v>203</v>
      </c>
      <c r="J44" t="s">
        <v>203</v>
      </c>
      <c r="K44" t="s">
        <v>203</v>
      </c>
      <c r="L44">
        <v>0.65</v>
      </c>
      <c r="M44">
        <v>0.76</v>
      </c>
      <c r="N44">
        <v>0.67</v>
      </c>
      <c r="O44">
        <v>0.73</v>
      </c>
      <c r="P44">
        <v>0.61</v>
      </c>
      <c r="Q44">
        <v>0.84</v>
      </c>
      <c r="R44">
        <v>0.54</v>
      </c>
      <c r="S44">
        <v>0.65</v>
      </c>
      <c r="T44">
        <v>0.84</v>
      </c>
      <c r="U44">
        <v>0.80</v>
      </c>
      <c r="V44">
        <v>0.69</v>
      </c>
      <c r="W44">
        <v>0.65</v>
      </c>
      <c r="X44">
        <v>0.69</v>
      </c>
      <c r="Y44">
        <v>0.80</v>
      </c>
      <c r="Z44">
        <v>0.76</v>
      </c>
      <c r="AA44">
        <v>0.67</v>
      </c>
      <c r="AB44">
        <v>0.63</v>
      </c>
      <c r="AC44">
        <v>0.74</v>
      </c>
      <c r="AD44">
        <v>0.80</v>
      </c>
      <c r="AE44">
        <v>0.71</v>
      </c>
      <c r="AF44">
        <v>0.67</v>
      </c>
      <c r="AG44">
        <v>0.65</v>
      </c>
      <c r="AH44">
        <v>0.76</v>
      </c>
      <c r="AI44">
        <v>0.69</v>
      </c>
      <c r="AJ44">
        <v>0.67</v>
      </c>
      <c r="AK44">
        <v>0.65</v>
      </c>
      <c r="AL44">
        <v>0.57999999999999996</v>
      </c>
      <c r="AM44">
        <v>0.785</v>
      </c>
      <c r="AN44">
        <v>0.80</v>
      </c>
      <c r="AO44">
        <v>0.69</v>
      </c>
      <c r="AP44">
        <v>0.71</v>
      </c>
      <c r="AQ44">
        <v>0.61</v>
      </c>
      <c r="AR44">
        <v>0.67</v>
      </c>
      <c r="AS44">
        <v>0.69</v>
      </c>
      <c r="AT44">
        <v>0.74</v>
      </c>
      <c r="AU44">
        <v>0.61</v>
      </c>
      <c r="AV44">
        <v>0.74</v>
      </c>
      <c r="AW44" t="s">
        <v>203</v>
      </c>
    </row>
    <row r="45" spans="1:49" ht="12.75">
      <c r="A45" t="s">
        <v>201</v>
      </c>
      <c r="B45" t="s">
        <v>29</v>
      </c>
      <c r="C45" t="s">
        <v>241</v>
      </c>
      <c r="D45" t="s">
        <v>203</v>
      </c>
      <c r="E45" t="s">
        <v>203</v>
      </c>
      <c r="F45" t="s">
        <v>223</v>
      </c>
      <c r="G45" t="s">
        <v>793</v>
      </c>
      <c r="H45" t="s">
        <v>203</v>
      </c>
      <c r="I45" t="s">
        <v>203</v>
      </c>
      <c r="J45" t="s">
        <v>203</v>
      </c>
      <c r="K45" t="s">
        <v>203</v>
      </c>
      <c r="L45">
        <v>0.53</v>
      </c>
      <c r="M45">
        <v>0.62</v>
      </c>
      <c r="N45">
        <v>0.54</v>
      </c>
      <c r="O45">
        <v>0.59</v>
      </c>
      <c r="P45">
        <v>0.50</v>
      </c>
      <c r="Q45">
        <v>0.68</v>
      </c>
      <c r="R45">
        <v>0.65</v>
      </c>
      <c r="S45">
        <v>0.53</v>
      </c>
      <c r="T45">
        <v>0.68</v>
      </c>
      <c r="U45">
        <v>0.65</v>
      </c>
      <c r="V45">
        <v>0.56000000000000005</v>
      </c>
      <c r="W45">
        <v>0.53</v>
      </c>
      <c r="X45">
        <v>0.56000000000000005</v>
      </c>
      <c r="Y45">
        <v>0.65</v>
      </c>
      <c r="Z45">
        <v>0.62</v>
      </c>
      <c r="AA45">
        <v>0.54</v>
      </c>
      <c r="AB45">
        <v>0.51</v>
      </c>
      <c r="AC45">
        <v>0.60</v>
      </c>
      <c r="AD45">
        <v>0.65</v>
      </c>
      <c r="AE45">
        <v>0.57999999999999996</v>
      </c>
      <c r="AF45">
        <v>0.54</v>
      </c>
      <c r="AG45">
        <v>0.53</v>
      </c>
      <c r="AH45">
        <v>0.62</v>
      </c>
      <c r="AI45">
        <v>0.56000000000000005</v>
      </c>
      <c r="AJ45">
        <v>0.54</v>
      </c>
      <c r="AK45">
        <v>0.53</v>
      </c>
      <c r="AL45">
        <v>0.65</v>
      </c>
      <c r="AM45">
        <v>0.64</v>
      </c>
      <c r="AN45">
        <v>0.65</v>
      </c>
      <c r="AO45">
        <v>0.56000000000000005</v>
      </c>
      <c r="AP45">
        <v>0.57999999999999996</v>
      </c>
      <c r="AQ45">
        <v>0.50</v>
      </c>
      <c r="AR45">
        <v>0.54</v>
      </c>
      <c r="AS45">
        <v>0.56000000000000005</v>
      </c>
      <c r="AT45">
        <v>0.60</v>
      </c>
      <c r="AU45">
        <v>0.50</v>
      </c>
      <c r="AV45">
        <v>0.60</v>
      </c>
      <c r="AW45" t="s">
        <v>203</v>
      </c>
    </row>
    <row r="46" spans="1:49" ht="12.75">
      <c r="A46" t="s">
        <v>201</v>
      </c>
      <c r="B46" t="s">
        <v>29</v>
      </c>
      <c r="C46" t="s">
        <v>242</v>
      </c>
      <c r="D46" t="s">
        <v>203</v>
      </c>
      <c r="E46" t="s">
        <v>203</v>
      </c>
      <c r="F46" t="s">
        <v>223</v>
      </c>
      <c r="G46" t="s">
        <v>793</v>
      </c>
      <c r="H46" t="s">
        <v>203</v>
      </c>
      <c r="I46" t="s">
        <v>203</v>
      </c>
      <c r="J46" t="s">
        <v>203</v>
      </c>
      <c r="K46" t="s">
        <v>203</v>
      </c>
      <c r="L46">
        <v>0.81</v>
      </c>
      <c r="M46">
        <v>0.89</v>
      </c>
      <c r="N46">
        <v>0.82</v>
      </c>
      <c r="O46">
        <v>0.87</v>
      </c>
      <c r="P46">
        <v>0.78</v>
      </c>
      <c r="Q46">
        <v>0.95</v>
      </c>
      <c r="R46">
        <v>0.65</v>
      </c>
      <c r="S46">
        <v>0.81</v>
      </c>
      <c r="T46">
        <v>0.95</v>
      </c>
      <c r="U46">
        <v>0.92</v>
      </c>
      <c r="V46">
        <v>0.84</v>
      </c>
      <c r="W46">
        <v>0.81</v>
      </c>
      <c r="X46">
        <v>0.65</v>
      </c>
      <c r="Y46">
        <v>0.92</v>
      </c>
      <c r="Z46">
        <v>0.89</v>
      </c>
      <c r="AA46">
        <v>0.82</v>
      </c>
      <c r="AB46">
        <v>0.80</v>
      </c>
      <c r="AC46">
        <v>0.65</v>
      </c>
      <c r="AD46">
        <v>0.92</v>
      </c>
      <c r="AE46">
        <v>0.85650557620817902</v>
      </c>
      <c r="AF46">
        <v>0.82</v>
      </c>
      <c r="AG46">
        <v>0.81</v>
      </c>
      <c r="AH46">
        <v>0.65</v>
      </c>
      <c r="AI46">
        <v>0.84</v>
      </c>
      <c r="AJ46">
        <v>0.82</v>
      </c>
      <c r="AK46">
        <v>0.81</v>
      </c>
      <c r="AL46">
        <v>0.65</v>
      </c>
      <c r="AM46">
        <v>0.91</v>
      </c>
      <c r="AN46">
        <v>0.92</v>
      </c>
      <c r="AO46">
        <v>0.84</v>
      </c>
      <c r="AP46">
        <v>0.86</v>
      </c>
      <c r="AQ46">
        <v>0.78</v>
      </c>
      <c r="AR46">
        <v>0.82</v>
      </c>
      <c r="AS46">
        <v>0.84</v>
      </c>
      <c r="AT46">
        <v>0.88</v>
      </c>
      <c r="AU46">
        <v>0.78</v>
      </c>
      <c r="AV46">
        <v>0.65</v>
      </c>
      <c r="AW46" t="s">
        <v>203</v>
      </c>
    </row>
    <row r="47" spans="1:49" ht="12.75">
      <c r="A47" t="s">
        <v>201</v>
      </c>
      <c r="B47" t="s">
        <v>29</v>
      </c>
      <c r="C47" t="s">
        <v>243</v>
      </c>
      <c r="D47" t="s">
        <v>203</v>
      </c>
      <c r="E47" t="s">
        <v>203</v>
      </c>
      <c r="F47" t="s">
        <v>223</v>
      </c>
      <c r="G47" t="s">
        <v>793</v>
      </c>
      <c r="H47" t="s">
        <v>203</v>
      </c>
      <c r="I47" t="s">
        <v>203</v>
      </c>
      <c r="J47" t="s">
        <v>203</v>
      </c>
      <c r="K47" t="s">
        <v>203</v>
      </c>
      <c r="L47">
        <v>0.51</v>
      </c>
      <c r="M47">
        <v>0.60</v>
      </c>
      <c r="N47">
        <v>0.52</v>
      </c>
      <c r="O47">
        <v>0.56999999999999995</v>
      </c>
      <c r="P47">
        <v>0.48</v>
      </c>
      <c r="Q47">
        <v>0.66</v>
      </c>
      <c r="R47">
        <v>0.42</v>
      </c>
      <c r="S47">
        <v>0.51</v>
      </c>
      <c r="T47">
        <v>0.66</v>
      </c>
      <c r="U47">
        <v>0.63</v>
      </c>
      <c r="V47">
        <v>0.54</v>
      </c>
      <c r="W47">
        <v>0.51</v>
      </c>
      <c r="X47">
        <v>0.54</v>
      </c>
      <c r="Y47">
        <v>0.63</v>
      </c>
      <c r="Z47">
        <v>0.60</v>
      </c>
      <c r="AA47">
        <v>0.52</v>
      </c>
      <c r="AB47">
        <v>0.49</v>
      </c>
      <c r="AC47">
        <v>0.57999999999999996</v>
      </c>
      <c r="AD47">
        <v>0.63</v>
      </c>
      <c r="AE47">
        <v>0.56000000000000005</v>
      </c>
      <c r="AF47">
        <v>0.52</v>
      </c>
      <c r="AG47">
        <v>0.51</v>
      </c>
      <c r="AH47">
        <v>0.60</v>
      </c>
      <c r="AI47">
        <v>0.54</v>
      </c>
      <c r="AJ47">
        <v>0.52</v>
      </c>
      <c r="AK47">
        <v>0.51</v>
      </c>
      <c r="AL47">
        <v>0.45</v>
      </c>
      <c r="AM47">
        <v>0.615</v>
      </c>
      <c r="AN47">
        <v>0.63</v>
      </c>
      <c r="AO47">
        <v>0.54</v>
      </c>
      <c r="AP47">
        <v>0.56000000000000005</v>
      </c>
      <c r="AQ47">
        <v>0.48</v>
      </c>
      <c r="AR47">
        <v>0.52</v>
      </c>
      <c r="AS47">
        <v>0.65</v>
      </c>
      <c r="AT47">
        <v>0.57999999999999996</v>
      </c>
      <c r="AU47">
        <v>0.48</v>
      </c>
      <c r="AV47">
        <v>0.57999999999999996</v>
      </c>
      <c r="AW47" t="s">
        <v>203</v>
      </c>
    </row>
    <row r="48" spans="1:49" ht="12.75">
      <c r="A48" t="s">
        <v>201</v>
      </c>
      <c r="B48" t="s">
        <v>29</v>
      </c>
      <c r="C48" t="s">
        <v>244</v>
      </c>
      <c r="D48" t="s">
        <v>203</v>
      </c>
      <c r="E48" t="s">
        <v>203</v>
      </c>
      <c r="F48" t="s">
        <v>223</v>
      </c>
      <c r="G48" t="s">
        <v>793</v>
      </c>
      <c r="H48" t="s">
        <v>203</v>
      </c>
      <c r="I48" t="s">
        <v>203</v>
      </c>
      <c r="J48" t="s">
        <v>203</v>
      </c>
      <c r="K48" t="s">
        <v>203</v>
      </c>
      <c r="L48">
        <v>0.50</v>
      </c>
      <c r="M48">
        <v>0.57999999999999996</v>
      </c>
      <c r="N48">
        <v>0.51</v>
      </c>
      <c r="O48">
        <v>0.55000000000000004</v>
      </c>
      <c r="P48">
        <v>0.65</v>
      </c>
      <c r="Q48">
        <v>0.64</v>
      </c>
      <c r="R48">
        <v>0.41</v>
      </c>
      <c r="S48">
        <v>0.65</v>
      </c>
      <c r="T48">
        <v>0.64</v>
      </c>
      <c r="U48">
        <v>0.61</v>
      </c>
      <c r="V48">
        <v>0.52</v>
      </c>
      <c r="W48">
        <v>0.50</v>
      </c>
      <c r="X48">
        <v>0.52</v>
      </c>
      <c r="Y48">
        <v>0.61</v>
      </c>
      <c r="Z48">
        <v>0.57999999999999996</v>
      </c>
      <c r="AA48">
        <v>0.51</v>
      </c>
      <c r="AB48">
        <v>0.65</v>
      </c>
      <c r="AC48">
        <v>0.56000000000000005</v>
      </c>
      <c r="AD48">
        <v>0.61</v>
      </c>
      <c r="AE48">
        <v>0.54</v>
      </c>
      <c r="AF48">
        <v>0.51</v>
      </c>
      <c r="AG48">
        <v>0.65</v>
      </c>
      <c r="AH48">
        <v>0.57999999999999996</v>
      </c>
      <c r="AI48">
        <v>0.52</v>
      </c>
      <c r="AJ48">
        <v>0.51</v>
      </c>
      <c r="AK48">
        <v>0.50</v>
      </c>
      <c r="AL48">
        <v>0.65</v>
      </c>
      <c r="AM48">
        <v>0.60</v>
      </c>
      <c r="AN48">
        <v>0.61</v>
      </c>
      <c r="AO48">
        <v>0.52</v>
      </c>
      <c r="AP48">
        <v>0.54</v>
      </c>
      <c r="AQ48">
        <v>0.47</v>
      </c>
      <c r="AR48">
        <v>0.51</v>
      </c>
      <c r="AS48">
        <v>0.52</v>
      </c>
      <c r="AT48">
        <v>0.56000000000000005</v>
      </c>
      <c r="AU48">
        <v>0.65</v>
      </c>
      <c r="AV48">
        <v>0.56000000000000005</v>
      </c>
      <c r="AW48" t="s">
        <v>203</v>
      </c>
    </row>
    <row r="49" spans="1:49" ht="12.75">
      <c r="A49" t="s">
        <v>201</v>
      </c>
      <c r="B49" t="s">
        <v>29</v>
      </c>
      <c r="C49" t="s">
        <v>858</v>
      </c>
      <c r="D49" t="s">
        <v>203</v>
      </c>
      <c r="E49" t="s">
        <v>203</v>
      </c>
      <c r="F49" t="s">
        <v>223</v>
      </c>
      <c r="G49" t="s">
        <v>793</v>
      </c>
      <c r="H49" t="s">
        <v>203</v>
      </c>
      <c r="I49" t="s">
        <v>203</v>
      </c>
      <c r="J49" t="s">
        <v>203</v>
      </c>
      <c r="K49" t="s">
        <v>203</v>
      </c>
      <c r="L49">
        <v>0.81</v>
      </c>
      <c r="M49">
        <v>0.89</v>
      </c>
      <c r="N49">
        <v>0.82</v>
      </c>
      <c r="O49">
        <v>0.87</v>
      </c>
      <c r="P49">
        <v>0.78</v>
      </c>
      <c r="Q49">
        <v>0.95</v>
      </c>
      <c r="R49">
        <v>0.65</v>
      </c>
      <c r="S49">
        <v>0.81</v>
      </c>
      <c r="T49">
        <v>0.95</v>
      </c>
      <c r="U49">
        <v>0.92</v>
      </c>
      <c r="V49">
        <v>0.84</v>
      </c>
      <c r="W49">
        <v>0.81</v>
      </c>
      <c r="X49">
        <v>0.65</v>
      </c>
      <c r="Y49">
        <v>0.92</v>
      </c>
      <c r="Z49">
        <v>0.89</v>
      </c>
      <c r="AA49">
        <v>0.82</v>
      </c>
      <c r="AB49">
        <v>0.80</v>
      </c>
      <c r="AC49">
        <v>0.65</v>
      </c>
      <c r="AD49">
        <v>0.92</v>
      </c>
      <c r="AE49">
        <v>0.85650557620817902</v>
      </c>
      <c r="AF49">
        <v>0.82</v>
      </c>
      <c r="AG49">
        <v>0.81</v>
      </c>
      <c r="AH49">
        <v>0.65</v>
      </c>
      <c r="AI49">
        <v>0.84</v>
      </c>
      <c r="AJ49">
        <v>0.82</v>
      </c>
      <c r="AK49">
        <v>0.81</v>
      </c>
      <c r="AL49">
        <v>0.65</v>
      </c>
      <c r="AM49">
        <v>0.91</v>
      </c>
      <c r="AN49">
        <v>0.92</v>
      </c>
      <c r="AO49">
        <v>0.84</v>
      </c>
      <c r="AP49">
        <v>0.86</v>
      </c>
      <c r="AQ49">
        <v>0.78</v>
      </c>
      <c r="AR49">
        <v>0.82</v>
      </c>
      <c r="AS49">
        <v>0.84</v>
      </c>
      <c r="AT49">
        <v>0.88</v>
      </c>
      <c r="AU49">
        <v>0.78</v>
      </c>
      <c r="AV49">
        <v>0.65</v>
      </c>
      <c r="AW49" t="s">
        <v>203</v>
      </c>
    </row>
  </sheetData>
  <pageMargins left="0.7" right="0.7" top="0.75" bottom="0.75" header="0.3" footer="0.3"/>
  <pageSetup orientation="portrait" paperSize="1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7"/>
  <sheetViews>
    <sheetView workbookViewId="0" topLeftCell="A1"/>
  </sheetViews>
  <sheetFormatPr defaultRowHeight="12.75"/>
  <cols>
    <col min="3" max="3" width="15.8571428571429" customWidth="1"/>
  </cols>
  <sheetData>
    <row r="1" spans="1:49" ht="12.75">
      <c r="A1" t="s">
        <v>885</v>
      </c>
      <c r="B1" t="s">
        <v>886</v>
      </c>
      <c r="C1" t="s">
        <v>887</v>
      </c>
      <c r="D1" t="s">
        <v>888</v>
      </c>
      <c r="E1" t="s">
        <v>889</v>
      </c>
      <c r="F1" t="s">
        <v>890</v>
      </c>
      <c r="G1" t="s">
        <v>891</v>
      </c>
      <c r="H1" t="s">
        <v>892</v>
      </c>
      <c r="I1" t="s">
        <v>893</v>
      </c>
      <c r="J1" t="s">
        <v>894</v>
      </c>
      <c r="K1" t="s">
        <v>895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906</v>
      </c>
    </row>
    <row r="2" spans="1:49" ht="12.75">
      <c r="A2" t="s">
        <v>201</v>
      </c>
      <c r="B2" t="s">
        <v>52</v>
      </c>
      <c r="C2" t="s">
        <v>245</v>
      </c>
      <c r="D2" t="s">
        <v>203</v>
      </c>
      <c r="E2" t="s">
        <v>222</v>
      </c>
      <c r="F2" t="s">
        <v>203</v>
      </c>
      <c r="G2" t="s">
        <v>793</v>
      </c>
      <c r="H2" t="s">
        <v>203</v>
      </c>
      <c r="I2" t="s">
        <v>203</v>
      </c>
      <c r="J2" t="s">
        <v>203</v>
      </c>
      <c r="K2" t="s">
        <v>203</v>
      </c>
      <c r="L2">
        <v>0.022883590208291501</v>
      </c>
      <c r="M2">
        <v>0.0021302164424318502</v>
      </c>
      <c r="N2">
        <v>0.054996058590660202</v>
      </c>
      <c r="O2">
        <v>0.0069617956665415396</v>
      </c>
      <c r="P2">
        <v>0.00360274250538167</v>
      </c>
      <c r="Q2">
        <v>0.0021595309593404602</v>
      </c>
      <c r="R2">
        <v>0.0491819845897652</v>
      </c>
      <c r="S2">
        <v>0.00039949171238895498</v>
      </c>
      <c r="T2">
        <v>0.001913072529442</v>
      </c>
      <c r="U2">
        <v>0.001443708353098</v>
      </c>
      <c r="V2">
        <v>8.14194119618869E-05</v>
      </c>
      <c r="W2">
        <v>0.0171471607358736</v>
      </c>
      <c r="X2">
        <v>0.0127244985576873</v>
      </c>
      <c r="Y2">
        <v>0.00051828235385553603</v>
      </c>
      <c r="Z2">
        <v>0.014718314668544201</v>
      </c>
      <c r="AA2">
        <v>0.026783388227772899</v>
      </c>
      <c r="AB2">
        <v>0.000424014139315131</v>
      </c>
      <c r="AC2">
        <v>0.0011683860507482799</v>
      </c>
      <c r="AD2">
        <v>0.00045030461435534199</v>
      </c>
      <c r="AE2">
        <v>0.013152332419677899</v>
      </c>
      <c r="AF2">
        <v>0.046086778524127903</v>
      </c>
      <c r="AG2">
        <v>6.6124823120836999E-05</v>
      </c>
      <c r="AH2">
        <v>0.0197520381485423</v>
      </c>
      <c r="AI2">
        <v>1.0873073948011399E-05</v>
      </c>
      <c r="AJ2">
        <v>0.022813612819336099</v>
      </c>
      <c r="AK2">
        <v>0.065256273164681106</v>
      </c>
      <c r="AL2">
        <v>0.056542394729850801</v>
      </c>
      <c r="AM2">
        <v>0.0045234859232420304</v>
      </c>
      <c r="AN2">
        <v>0.0016626780748656301</v>
      </c>
      <c r="AO2">
        <v>0.00026127892895197501</v>
      </c>
      <c r="AP2">
        <v>0.0091620390462388897</v>
      </c>
      <c r="AQ2">
        <v>0.00054641281125837604</v>
      </c>
      <c r="AR2">
        <v>0.059964650759345699</v>
      </c>
      <c r="AS2">
        <v>0.00109733605276681</v>
      </c>
      <c r="AT2">
        <v>0.0042112949785892296</v>
      </c>
      <c r="AU2">
        <v>0.00132081945126404</v>
      </c>
      <c r="AV2">
        <v>0.00078546003161163202</v>
      </c>
      <c r="AW2" t="s">
        <v>203</v>
      </c>
    </row>
    <row r="3" spans="1:49" ht="12.75">
      <c r="A3" t="s">
        <v>201</v>
      </c>
      <c r="B3" t="s">
        <v>52</v>
      </c>
      <c r="C3" t="s">
        <v>246</v>
      </c>
      <c r="D3" t="s">
        <v>203</v>
      </c>
      <c r="E3" t="s">
        <v>222</v>
      </c>
      <c r="F3" t="s">
        <v>203</v>
      </c>
      <c r="G3" t="s">
        <v>793</v>
      </c>
      <c r="H3" t="s">
        <v>203</v>
      </c>
      <c r="I3" t="s">
        <v>203</v>
      </c>
      <c r="J3" t="s">
        <v>203</v>
      </c>
      <c r="K3" t="s">
        <v>203</v>
      </c>
      <c r="L3">
        <v>0.022883590208291501</v>
      </c>
      <c r="M3">
        <v>0.0021302164424318502</v>
      </c>
      <c r="N3">
        <v>0.054996058590660202</v>
      </c>
      <c r="O3">
        <v>0.0069617956665415396</v>
      </c>
      <c r="P3">
        <v>0.00360274250538167</v>
      </c>
      <c r="Q3">
        <v>0.0021595309593404602</v>
      </c>
      <c r="R3">
        <v>0.0491819845897652</v>
      </c>
      <c r="S3">
        <v>0.00039949171238895498</v>
      </c>
      <c r="T3">
        <v>0.001913072529442</v>
      </c>
      <c r="U3">
        <v>0.001443708353098</v>
      </c>
      <c r="V3">
        <v>8.14194119618869E-05</v>
      </c>
      <c r="W3">
        <v>0.0171471607358736</v>
      </c>
      <c r="X3">
        <v>0.0127244985576873</v>
      </c>
      <c r="Y3">
        <v>0.00051828235385553603</v>
      </c>
      <c r="Z3">
        <v>0.014718314668544201</v>
      </c>
      <c r="AA3">
        <v>0.026783388227772899</v>
      </c>
      <c r="AB3">
        <v>0.000424014139315131</v>
      </c>
      <c r="AC3">
        <v>0.0011683860507482799</v>
      </c>
      <c r="AD3">
        <v>0.00045030461435534199</v>
      </c>
      <c r="AE3">
        <v>0.013152332419677899</v>
      </c>
      <c r="AF3">
        <v>0.046086778524127903</v>
      </c>
      <c r="AG3">
        <v>6.6124823120836999E-05</v>
      </c>
      <c r="AH3">
        <v>0.0197520381485423</v>
      </c>
      <c r="AI3">
        <v>1.0873073948011399E-05</v>
      </c>
      <c r="AJ3">
        <v>0.022813612819336099</v>
      </c>
      <c r="AK3">
        <v>0.065256273164681106</v>
      </c>
      <c r="AL3">
        <v>0.056542394729850801</v>
      </c>
      <c r="AM3">
        <v>0.0045234859232420304</v>
      </c>
      <c r="AN3">
        <v>0.0016626780748656301</v>
      </c>
      <c r="AO3">
        <v>0.00026127892895197501</v>
      </c>
      <c r="AP3">
        <v>0.0091620390462388897</v>
      </c>
      <c r="AQ3">
        <v>0.00054641281125837604</v>
      </c>
      <c r="AR3">
        <v>0.059964650759345699</v>
      </c>
      <c r="AS3">
        <v>0.00109733605276681</v>
      </c>
      <c r="AT3">
        <v>0.0042112949785892296</v>
      </c>
      <c r="AU3">
        <v>0.00132081945126404</v>
      </c>
      <c r="AV3">
        <v>0.00078546003161163202</v>
      </c>
      <c r="AW3" t="s">
        <v>203</v>
      </c>
    </row>
    <row r="4" spans="1:49" ht="12.75">
      <c r="A4" t="s">
        <v>201</v>
      </c>
      <c r="B4" t="s">
        <v>52</v>
      </c>
      <c r="C4" t="s">
        <v>247</v>
      </c>
      <c r="D4" t="s">
        <v>203</v>
      </c>
      <c r="E4" t="s">
        <v>222</v>
      </c>
      <c r="F4" t="s">
        <v>203</v>
      </c>
      <c r="G4" t="s">
        <v>793</v>
      </c>
      <c r="H4" t="s">
        <v>203</v>
      </c>
      <c r="I4" t="s">
        <v>203</v>
      </c>
      <c r="J4" t="s">
        <v>203</v>
      </c>
      <c r="K4" t="s">
        <v>203</v>
      </c>
      <c r="L4">
        <v>0.022883590208291501</v>
      </c>
      <c r="M4">
        <v>0.0021302164424318502</v>
      </c>
      <c r="N4">
        <v>0.054996058590660202</v>
      </c>
      <c r="O4">
        <v>0.0069617956665415396</v>
      </c>
      <c r="P4">
        <v>0.00360274250538167</v>
      </c>
      <c r="Q4">
        <v>0.0021595309593404602</v>
      </c>
      <c r="R4">
        <v>0.0491819845897652</v>
      </c>
      <c r="S4">
        <v>0.00039949171238895498</v>
      </c>
      <c r="T4">
        <v>0.001913072529442</v>
      </c>
      <c r="U4">
        <v>0.001443708353098</v>
      </c>
      <c r="V4">
        <v>8.14194119618869E-05</v>
      </c>
      <c r="W4">
        <v>0.0171471607358736</v>
      </c>
      <c r="X4">
        <v>0.0127244985576873</v>
      </c>
      <c r="Y4">
        <v>0.00051828235385553603</v>
      </c>
      <c r="Z4">
        <v>0.014718314668544201</v>
      </c>
      <c r="AA4">
        <v>0.026783388227772899</v>
      </c>
      <c r="AB4">
        <v>0.000424014139315131</v>
      </c>
      <c r="AC4">
        <v>0.0011683860507482799</v>
      </c>
      <c r="AD4">
        <v>0.00045030461435534199</v>
      </c>
      <c r="AE4">
        <v>0.013152332419677899</v>
      </c>
      <c r="AF4">
        <v>0.046086778524127903</v>
      </c>
      <c r="AG4">
        <v>6.6124823120836999E-05</v>
      </c>
      <c r="AH4">
        <v>0.0197520381485423</v>
      </c>
      <c r="AI4">
        <v>1.0873073948011399E-05</v>
      </c>
      <c r="AJ4">
        <v>0.022813612819336099</v>
      </c>
      <c r="AK4">
        <v>0.065256273164681106</v>
      </c>
      <c r="AL4">
        <v>0.056542394729850801</v>
      </c>
      <c r="AM4">
        <v>0.0045234859232420304</v>
      </c>
      <c r="AN4">
        <v>0.0016626780748656301</v>
      </c>
      <c r="AO4">
        <v>0.00026127892895197501</v>
      </c>
      <c r="AP4">
        <v>0.0091620390462388897</v>
      </c>
      <c r="AQ4">
        <v>0.00054641281125837604</v>
      </c>
      <c r="AR4">
        <v>0.059964650759345699</v>
      </c>
      <c r="AS4">
        <v>0.00109733605276681</v>
      </c>
      <c r="AT4">
        <v>0.0042112949785892296</v>
      </c>
      <c r="AU4">
        <v>0.00132081945126404</v>
      </c>
      <c r="AV4">
        <v>0.00078546003161163202</v>
      </c>
      <c r="AW4" t="s">
        <v>203</v>
      </c>
    </row>
    <row r="5" spans="1:49" ht="12.75">
      <c r="A5" t="s">
        <v>201</v>
      </c>
      <c r="B5" t="s">
        <v>29</v>
      </c>
      <c r="C5" t="s">
        <v>245</v>
      </c>
      <c r="D5" t="s">
        <v>203</v>
      </c>
      <c r="E5" t="s">
        <v>203</v>
      </c>
      <c r="F5" t="s">
        <v>223</v>
      </c>
      <c r="G5" t="s">
        <v>793</v>
      </c>
      <c r="H5" t="s">
        <v>203</v>
      </c>
      <c r="I5" t="s">
        <v>203</v>
      </c>
      <c r="J5" t="s">
        <v>203</v>
      </c>
      <c r="K5" t="s">
        <v>203</v>
      </c>
      <c r="L5">
        <v>1.95</v>
      </c>
      <c r="M5">
        <v>2.10</v>
      </c>
      <c r="N5">
        <v>1.97</v>
      </c>
      <c r="O5">
        <v>2.0499999999999998</v>
      </c>
      <c r="P5">
        <v>1.90</v>
      </c>
      <c r="Q5">
        <v>2.19</v>
      </c>
      <c r="R5">
        <v>1.80</v>
      </c>
      <c r="S5">
        <v>1.95</v>
      </c>
      <c r="T5">
        <v>2.19</v>
      </c>
      <c r="U5">
        <v>2.14</v>
      </c>
      <c r="V5">
        <v>2</v>
      </c>
      <c r="W5">
        <v>1.95</v>
      </c>
      <c r="X5">
        <v>2</v>
      </c>
      <c r="Y5">
        <v>2.14</v>
      </c>
      <c r="Z5">
        <v>2.10</v>
      </c>
      <c r="AA5">
        <v>1.97</v>
      </c>
      <c r="AB5">
        <v>1.92</v>
      </c>
      <c r="AC5">
        <v>2.0699999999999998</v>
      </c>
      <c r="AD5">
        <v>2.14</v>
      </c>
      <c r="AE5">
        <v>2.0299999999999998</v>
      </c>
      <c r="AF5">
        <v>1.97</v>
      </c>
      <c r="AG5">
        <v>1.95</v>
      </c>
      <c r="AH5">
        <v>2.10</v>
      </c>
      <c r="AI5">
        <v>2</v>
      </c>
      <c r="AJ5">
        <v>1.97</v>
      </c>
      <c r="AK5">
        <v>1.95</v>
      </c>
      <c r="AL5">
        <v>1.85</v>
      </c>
      <c r="AM5">
        <v>2.125</v>
      </c>
      <c r="AN5">
        <v>2.14</v>
      </c>
      <c r="AO5">
        <v>2</v>
      </c>
      <c r="AP5">
        <v>2.0299999999999998</v>
      </c>
      <c r="AQ5">
        <v>1.90</v>
      </c>
      <c r="AR5">
        <v>1.97</v>
      </c>
      <c r="AS5">
        <v>2</v>
      </c>
      <c r="AT5">
        <v>2.0699999999999998</v>
      </c>
      <c r="AU5">
        <v>1.90</v>
      </c>
      <c r="AV5">
        <v>2.0699999999999998</v>
      </c>
      <c r="AW5" t="s">
        <v>203</v>
      </c>
    </row>
    <row r="6" spans="1:49" ht="12.75">
      <c r="A6" t="s">
        <v>201</v>
      </c>
      <c r="B6" t="s">
        <v>29</v>
      </c>
      <c r="C6" t="s">
        <v>246</v>
      </c>
      <c r="D6" t="s">
        <v>203</v>
      </c>
      <c r="E6" t="s">
        <v>203</v>
      </c>
      <c r="F6" t="s">
        <v>223</v>
      </c>
      <c r="G6" t="s">
        <v>793</v>
      </c>
      <c r="H6" t="s">
        <v>203</v>
      </c>
      <c r="I6" t="s">
        <v>203</v>
      </c>
      <c r="J6" t="s">
        <v>203</v>
      </c>
      <c r="K6" t="s">
        <v>203</v>
      </c>
      <c r="L6">
        <v>1.95</v>
      </c>
      <c r="M6">
        <v>2.10</v>
      </c>
      <c r="N6">
        <v>1.97</v>
      </c>
      <c r="O6">
        <v>2.0499999999999998</v>
      </c>
      <c r="P6">
        <v>1.90</v>
      </c>
      <c r="Q6">
        <v>2.19</v>
      </c>
      <c r="R6">
        <v>1.80</v>
      </c>
      <c r="S6">
        <v>1.95</v>
      </c>
      <c r="T6">
        <v>2.19</v>
      </c>
      <c r="U6">
        <v>2.14</v>
      </c>
      <c r="V6">
        <v>2</v>
      </c>
      <c r="W6">
        <v>1.95</v>
      </c>
      <c r="X6">
        <v>2</v>
      </c>
      <c r="Y6">
        <v>2.14</v>
      </c>
      <c r="Z6">
        <v>2.10</v>
      </c>
      <c r="AA6">
        <v>1.97</v>
      </c>
      <c r="AB6">
        <v>1.92</v>
      </c>
      <c r="AC6">
        <v>2.0699999999999998</v>
      </c>
      <c r="AD6">
        <v>2.14</v>
      </c>
      <c r="AE6">
        <v>2.0299999999999998</v>
      </c>
      <c r="AF6">
        <v>1.97</v>
      </c>
      <c r="AG6">
        <v>1.95</v>
      </c>
      <c r="AH6">
        <v>2.10</v>
      </c>
      <c r="AI6">
        <v>2</v>
      </c>
      <c r="AJ6">
        <v>1.97</v>
      </c>
      <c r="AK6">
        <v>1.95</v>
      </c>
      <c r="AL6">
        <v>1.85</v>
      </c>
      <c r="AM6">
        <v>2.125</v>
      </c>
      <c r="AN6">
        <v>2.14</v>
      </c>
      <c r="AO6">
        <v>2</v>
      </c>
      <c r="AP6">
        <v>2.0299999999999998</v>
      </c>
      <c r="AQ6">
        <v>1.90</v>
      </c>
      <c r="AR6">
        <v>1.97</v>
      </c>
      <c r="AS6">
        <v>2</v>
      </c>
      <c r="AT6">
        <v>2.0699999999999998</v>
      </c>
      <c r="AU6">
        <v>1.90</v>
      </c>
      <c r="AV6">
        <v>2.0699999999999998</v>
      </c>
      <c r="AW6" t="s">
        <v>203</v>
      </c>
    </row>
    <row r="7" spans="1:49" ht="12.75">
      <c r="A7" t="s">
        <v>201</v>
      </c>
      <c r="B7" t="s">
        <v>29</v>
      </c>
      <c r="C7" t="s">
        <v>247</v>
      </c>
      <c r="D7" t="s">
        <v>203</v>
      </c>
      <c r="E7" t="s">
        <v>203</v>
      </c>
      <c r="F7" t="s">
        <v>223</v>
      </c>
      <c r="G7" t="s">
        <v>793</v>
      </c>
      <c r="H7" t="s">
        <v>203</v>
      </c>
      <c r="I7" t="s">
        <v>203</v>
      </c>
      <c r="J7" t="s">
        <v>203</v>
      </c>
      <c r="K7" t="s">
        <v>203</v>
      </c>
      <c r="L7">
        <v>1.95</v>
      </c>
      <c r="M7">
        <v>2.10</v>
      </c>
      <c r="N7">
        <v>1.97</v>
      </c>
      <c r="O7">
        <v>2.0499999999999998</v>
      </c>
      <c r="P7">
        <v>1.90</v>
      </c>
      <c r="Q7">
        <v>2.19</v>
      </c>
      <c r="R7">
        <v>1.80</v>
      </c>
      <c r="S7">
        <v>1.95</v>
      </c>
      <c r="T7">
        <v>2.19</v>
      </c>
      <c r="U7">
        <v>2.14</v>
      </c>
      <c r="V7">
        <v>2</v>
      </c>
      <c r="W7">
        <v>1.95</v>
      </c>
      <c r="X7">
        <v>2</v>
      </c>
      <c r="Y7">
        <v>2.14</v>
      </c>
      <c r="Z7">
        <v>2.10</v>
      </c>
      <c r="AA7">
        <v>1.97</v>
      </c>
      <c r="AB7">
        <v>1.92</v>
      </c>
      <c r="AC7">
        <v>2.0699999999999998</v>
      </c>
      <c r="AD7">
        <v>2.14</v>
      </c>
      <c r="AE7">
        <v>2.0299999999999998</v>
      </c>
      <c r="AF7">
        <v>1.97</v>
      </c>
      <c r="AG7">
        <v>1.95</v>
      </c>
      <c r="AH7">
        <v>2.10</v>
      </c>
      <c r="AI7">
        <v>2</v>
      </c>
      <c r="AJ7">
        <v>1.97</v>
      </c>
      <c r="AK7">
        <v>1.95</v>
      </c>
      <c r="AL7">
        <v>1.85</v>
      </c>
      <c r="AM7">
        <v>2.125</v>
      </c>
      <c r="AN7">
        <v>2.14</v>
      </c>
      <c r="AO7">
        <v>2</v>
      </c>
      <c r="AP7">
        <v>2.0299999999999998</v>
      </c>
      <c r="AQ7">
        <v>1.90</v>
      </c>
      <c r="AR7">
        <v>1.97</v>
      </c>
      <c r="AS7">
        <v>2</v>
      </c>
      <c r="AT7">
        <v>2.0699999999999998</v>
      </c>
      <c r="AU7">
        <v>1.90</v>
      </c>
      <c r="AV7">
        <v>2.0699999999999998</v>
      </c>
      <c r="AW7" t="s">
        <v>203</v>
      </c>
    </row>
  </sheetData>
  <pageMargins left="0.7" right="0.7" top="0.75" bottom="0.75" header="0.3" footer="0.3"/>
  <pageSetup orientation="portrait" paperSize="1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37"/>
  <sheetViews>
    <sheetView workbookViewId="0" topLeftCell="A1">
      <selection pane="topLeft" activeCell="D22" sqref="D22"/>
    </sheetView>
  </sheetViews>
  <sheetFormatPr defaultRowHeight="12.75"/>
  <cols>
    <col min="3" max="3" width="17.4285714285714" bestFit="1" customWidth="1"/>
  </cols>
  <sheetData>
    <row r="1" spans="1:49" ht="12.75">
      <c r="A1" t="s">
        <v>885</v>
      </c>
      <c r="B1" t="s">
        <v>886</v>
      </c>
      <c r="C1" t="s">
        <v>887</v>
      </c>
      <c r="D1" t="s">
        <v>888</v>
      </c>
      <c r="E1" t="s">
        <v>889</v>
      </c>
      <c r="F1" t="s">
        <v>890</v>
      </c>
      <c r="G1" t="s">
        <v>891</v>
      </c>
      <c r="H1" t="s">
        <v>892</v>
      </c>
      <c r="I1" t="s">
        <v>893</v>
      </c>
      <c r="J1" t="s">
        <v>894</v>
      </c>
      <c r="K1" t="s">
        <v>895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906</v>
      </c>
    </row>
    <row r="2" spans="1:49" ht="12.75">
      <c r="A2" t="s">
        <v>201</v>
      </c>
      <c r="B2" t="s">
        <v>29</v>
      </c>
      <c r="C2" t="s">
        <v>262</v>
      </c>
      <c r="D2" t="s">
        <v>203</v>
      </c>
      <c r="E2" t="s">
        <v>203</v>
      </c>
      <c r="F2" t="s">
        <v>223</v>
      </c>
      <c r="G2" t="s">
        <v>793</v>
      </c>
      <c r="H2" t="s">
        <v>203</v>
      </c>
      <c r="I2" t="s">
        <v>203</v>
      </c>
      <c r="J2" t="s">
        <v>203</v>
      </c>
      <c r="K2" t="s">
        <v>203</v>
      </c>
      <c r="L2">
        <v>0.33000000000000002</v>
      </c>
      <c r="M2">
        <v>0.34999999999999998</v>
      </c>
      <c r="P2">
        <v>0.32000000000000001</v>
      </c>
      <c r="Q2">
        <v>0.34999999999999998</v>
      </c>
      <c r="S2">
        <v>0.32000000000000001</v>
      </c>
      <c r="V2">
        <v>0.32000000000000001</v>
      </c>
      <c r="W2">
        <v>0.33000000000000002</v>
      </c>
      <c r="X2">
        <v>0.33000000000000002</v>
      </c>
      <c r="AB2">
        <v>0.33000000000000002</v>
      </c>
      <c r="AD2">
        <v>0.34999999999999998</v>
      </c>
      <c r="AG2">
        <v>0.32000000000000001</v>
      </c>
      <c r="AI2">
        <v>0.33000000000000002</v>
      </c>
      <c r="AJ2">
        <v>0.33000000000000002</v>
      </c>
      <c r="AK2">
        <v>0.33000000000000002</v>
      </c>
      <c r="AN2">
        <v>0.34999999999999998</v>
      </c>
      <c r="AO2">
        <v>0.33000000000000002</v>
      </c>
      <c r="AP2">
        <v>0.32000000000000001</v>
      </c>
      <c r="AQ2">
        <v>0.32000000000000001</v>
      </c>
      <c r="AT2">
        <v>0.34999999999999998</v>
      </c>
      <c r="AW2" t="s">
        <v>203</v>
      </c>
    </row>
    <row r="3" spans="1:49" ht="12.75">
      <c r="A3" t="s">
        <v>201</v>
      </c>
      <c r="B3" t="s">
        <v>29</v>
      </c>
      <c r="C3" t="s">
        <v>261</v>
      </c>
      <c r="D3" t="s">
        <v>203</v>
      </c>
      <c r="E3" t="s">
        <v>203</v>
      </c>
      <c r="F3" t="s">
        <v>223</v>
      </c>
      <c r="G3" t="s">
        <v>793</v>
      </c>
      <c r="H3" t="s">
        <v>203</v>
      </c>
      <c r="I3" t="s">
        <v>203</v>
      </c>
      <c r="J3" t="s">
        <v>203</v>
      </c>
      <c r="K3" t="s">
        <v>203</v>
      </c>
      <c r="M3">
        <v>0.34999999999999998</v>
      </c>
      <c r="P3">
        <v>0.32000000000000001</v>
      </c>
      <c r="Q3">
        <v>0.34999999999999998</v>
      </c>
      <c r="X3">
        <v>0.33000000000000002</v>
      </c>
      <c r="AB3">
        <v>0.33000000000000002</v>
      </c>
      <c r="AD3">
        <v>0.34999999999999998</v>
      </c>
      <c r="AN3">
        <v>0.34999999999999998</v>
      </c>
      <c r="AO3">
        <v>0.33000000000000002</v>
      </c>
      <c r="AW3" t="s">
        <v>203</v>
      </c>
    </row>
    <row r="4" spans="1:49" ht="12.75">
      <c r="A4" t="s">
        <v>201</v>
      </c>
      <c r="B4" t="s">
        <v>29</v>
      </c>
      <c r="C4" t="s">
        <v>260</v>
      </c>
      <c r="D4" t="s">
        <v>203</v>
      </c>
      <c r="E4" t="s">
        <v>203</v>
      </c>
      <c r="F4" t="s">
        <v>223</v>
      </c>
      <c r="G4" t="s">
        <v>793</v>
      </c>
      <c r="H4" t="s">
        <v>203</v>
      </c>
      <c r="I4" t="s">
        <v>203</v>
      </c>
      <c r="J4" t="s">
        <v>203</v>
      </c>
      <c r="K4" t="s">
        <v>203</v>
      </c>
      <c r="L4">
        <v>0.81000000000000005</v>
      </c>
      <c r="M4">
        <v>0.82999999999999996</v>
      </c>
      <c r="N4">
        <v>0.81000000000000005</v>
      </c>
      <c r="O4">
        <v>0.82999999999999996</v>
      </c>
      <c r="P4">
        <v>0.80000000000000004</v>
      </c>
      <c r="Q4">
        <v>0.83999999999999997</v>
      </c>
      <c r="R4">
        <v>0.80000000000000004</v>
      </c>
      <c r="S4">
        <v>0.80000000000000004</v>
      </c>
      <c r="T4">
        <v>0.83999999999999997</v>
      </c>
      <c r="U4">
        <v>0.83999999999999997</v>
      </c>
      <c r="V4">
        <v>0.80000000000000004</v>
      </c>
      <c r="W4">
        <v>0.81000000000000005</v>
      </c>
      <c r="X4">
        <v>0.81000000000000005</v>
      </c>
      <c r="Y4">
        <v>0.83999999999999997</v>
      </c>
      <c r="Z4">
        <v>0.83999999999999997</v>
      </c>
      <c r="AA4">
        <v>0.81000000000000005</v>
      </c>
      <c r="AB4">
        <v>0.81000000000000005</v>
      </c>
      <c r="AC4">
        <v>0.82999999999999996</v>
      </c>
      <c r="AD4">
        <v>0.83999999999999997</v>
      </c>
      <c r="AE4">
        <v>0.83999999999999997</v>
      </c>
      <c r="AF4">
        <v>0.81000000000000005</v>
      </c>
      <c r="AG4">
        <v>0.80000000000000004</v>
      </c>
      <c r="AH4">
        <v>0.83999999999999997</v>
      </c>
      <c r="AI4">
        <v>0.81000000000000005</v>
      </c>
      <c r="AJ4">
        <v>0.81000000000000005</v>
      </c>
      <c r="AK4">
        <v>0.81000000000000005</v>
      </c>
      <c r="AL4">
        <v>0.81000000000000005</v>
      </c>
      <c r="AM4">
        <v>0.83499999999999996</v>
      </c>
      <c r="AN4">
        <v>0.83999999999999997</v>
      </c>
      <c r="AO4">
        <v>0.81000000000000005</v>
      </c>
      <c r="AP4">
        <v>0.80000000000000004</v>
      </c>
      <c r="AQ4">
        <v>0.80000000000000004</v>
      </c>
      <c r="AR4">
        <v>0.81000000000000005</v>
      </c>
      <c r="AS4">
        <v>0.84999999999999998</v>
      </c>
      <c r="AT4">
        <v>0.83999999999999997</v>
      </c>
      <c r="AU4">
        <v>0.81000000000000005</v>
      </c>
      <c r="AV4">
        <v>0.82999999999999996</v>
      </c>
      <c r="AW4" t="s">
        <v>203</v>
      </c>
    </row>
    <row r="5" spans="1:49" ht="12.75">
      <c r="A5" t="s">
        <v>201</v>
      </c>
      <c r="B5" t="s">
        <v>29</v>
      </c>
      <c r="C5" t="s">
        <v>259</v>
      </c>
      <c r="D5" t="s">
        <v>203</v>
      </c>
      <c r="E5" t="s">
        <v>203</v>
      </c>
      <c r="F5" t="s">
        <v>223</v>
      </c>
      <c r="G5" t="s">
        <v>793</v>
      </c>
      <c r="H5" t="s">
        <v>203</v>
      </c>
      <c r="I5" t="s">
        <v>203</v>
      </c>
      <c r="J5" t="s">
        <v>203</v>
      </c>
      <c r="K5" t="s">
        <v>203</v>
      </c>
      <c r="L5">
        <v>0.46000000000000002</v>
      </c>
      <c r="M5">
        <v>0.48999999999999999</v>
      </c>
      <c r="N5">
        <v>0.46000000000000002</v>
      </c>
      <c r="O5">
        <v>0.48999999999999999</v>
      </c>
      <c r="P5">
        <v>0.44</v>
      </c>
      <c r="Q5">
        <v>0.48999999999999999</v>
      </c>
      <c r="S5">
        <v>0.45000000000000001</v>
      </c>
      <c r="T5">
        <v>0.48999999999999999</v>
      </c>
      <c r="U5">
        <v>0.48999999999999999</v>
      </c>
      <c r="V5">
        <v>0.45000000000000001</v>
      </c>
      <c r="W5">
        <v>0.46000000000000002</v>
      </c>
      <c r="X5">
        <v>0.46000000000000002</v>
      </c>
      <c r="Y5">
        <v>0.5</v>
      </c>
      <c r="Z5">
        <v>0.48999999999999999</v>
      </c>
      <c r="AA5">
        <v>0.46000000000000002</v>
      </c>
      <c r="AB5">
        <v>0.46000000000000002</v>
      </c>
      <c r="AC5">
        <v>0.47999999999999998</v>
      </c>
      <c r="AD5">
        <v>0.48999999999999999</v>
      </c>
      <c r="AE5">
        <v>0.5</v>
      </c>
      <c r="AF5">
        <v>0.46000000000000002</v>
      </c>
      <c r="AG5">
        <v>0.45000000000000001</v>
      </c>
      <c r="AH5">
        <v>0.5</v>
      </c>
      <c r="AI5">
        <v>0.46000000000000002</v>
      </c>
      <c r="AJ5">
        <v>0.46000000000000002</v>
      </c>
      <c r="AK5">
        <v>0.46000000000000002</v>
      </c>
      <c r="AM5">
        <v>0.48499999999999999</v>
      </c>
      <c r="AN5">
        <v>0.48999999999999999</v>
      </c>
      <c r="AO5">
        <v>0.46000000000000002</v>
      </c>
      <c r="AP5">
        <v>0.44</v>
      </c>
      <c r="AQ5">
        <v>0.45000000000000001</v>
      </c>
      <c r="AR5">
        <v>0.46000000000000002</v>
      </c>
      <c r="AS5">
        <v>0.5</v>
      </c>
      <c r="AT5">
        <v>0.48999999999999999</v>
      </c>
      <c r="AU5">
        <v>0.46000000000000002</v>
      </c>
      <c r="AV5">
        <v>0.47999999999999998</v>
      </c>
      <c r="AW5" t="s">
        <v>203</v>
      </c>
    </row>
    <row r="6" spans="1:49" ht="12.75">
      <c r="A6" t="s">
        <v>201</v>
      </c>
      <c r="B6" t="s">
        <v>29</v>
      </c>
      <c r="C6" t="s">
        <v>258</v>
      </c>
      <c r="D6" t="s">
        <v>203</v>
      </c>
      <c r="E6" t="s">
        <v>203</v>
      </c>
      <c r="F6" t="s">
        <v>223</v>
      </c>
      <c r="G6" t="s">
        <v>793</v>
      </c>
      <c r="H6" t="s">
        <v>203</v>
      </c>
      <c r="I6" t="s">
        <v>203</v>
      </c>
      <c r="J6" t="s">
        <v>203</v>
      </c>
      <c r="K6" t="s">
        <v>203</v>
      </c>
      <c r="L6">
        <v>0.42999999999999999</v>
      </c>
      <c r="M6">
        <v>0.45000000000000001</v>
      </c>
      <c r="N6">
        <v>0.42999999999999999</v>
      </c>
      <c r="O6">
        <v>0.45000000000000001</v>
      </c>
      <c r="P6">
        <v>0.40999999999999998</v>
      </c>
      <c r="Q6">
        <v>0.46000000000000002</v>
      </c>
      <c r="R6">
        <v>0.41999999999999998</v>
      </c>
      <c r="S6">
        <v>0.41999999999999998</v>
      </c>
      <c r="T6">
        <v>0.46000000000000002</v>
      </c>
      <c r="U6">
        <v>0.46000000000000002</v>
      </c>
      <c r="V6">
        <v>0.41999999999999998</v>
      </c>
      <c r="W6">
        <v>0.42999999999999999</v>
      </c>
      <c r="X6">
        <v>0.42999999999999999</v>
      </c>
      <c r="Y6">
        <v>0.46000000000000002</v>
      </c>
      <c r="Z6">
        <v>0.46000000000000002</v>
      </c>
      <c r="AA6">
        <v>0.42999999999999999</v>
      </c>
      <c r="AB6">
        <v>0.41999999999999998</v>
      </c>
      <c r="AC6">
        <v>0.45000000000000001</v>
      </c>
      <c r="AD6">
        <v>0.46000000000000002</v>
      </c>
      <c r="AE6">
        <v>0.46000000000000002</v>
      </c>
      <c r="AF6">
        <v>0.42999999999999999</v>
      </c>
      <c r="AG6">
        <v>0.41999999999999998</v>
      </c>
      <c r="AH6">
        <v>0.46000000000000002</v>
      </c>
      <c r="AI6">
        <v>0.42999999999999999</v>
      </c>
      <c r="AJ6">
        <v>0.42999999999999999</v>
      </c>
      <c r="AK6">
        <v>0.42999999999999999</v>
      </c>
      <c r="AL6">
        <v>0.42999999999999999</v>
      </c>
      <c r="AM6">
        <v>0.45000000000000001</v>
      </c>
      <c r="AN6">
        <v>0.46000000000000002</v>
      </c>
      <c r="AO6">
        <v>0.42999999999999999</v>
      </c>
      <c r="AP6">
        <v>0.40999999999999998</v>
      </c>
      <c r="AQ6">
        <v>0.41999999999999998</v>
      </c>
      <c r="AR6">
        <v>0.42999999999999999</v>
      </c>
      <c r="AT6">
        <v>0.46000000000000002</v>
      </c>
      <c r="AU6">
        <v>0.42999999999999999</v>
      </c>
      <c r="AV6">
        <v>0.45000000000000001</v>
      </c>
      <c r="AW6" t="s">
        <v>203</v>
      </c>
    </row>
    <row r="7" spans="1:49" ht="12.75">
      <c r="A7" t="s">
        <v>201</v>
      </c>
      <c r="B7" t="s">
        <v>29</v>
      </c>
      <c r="C7" t="s">
        <v>257</v>
      </c>
      <c r="D7" t="s">
        <v>203</v>
      </c>
      <c r="E7" t="s">
        <v>203</v>
      </c>
      <c r="F7" t="s">
        <v>223</v>
      </c>
      <c r="G7" t="s">
        <v>793</v>
      </c>
      <c r="H7" t="s">
        <v>203</v>
      </c>
      <c r="I7" t="s">
        <v>203</v>
      </c>
      <c r="J7" t="s">
        <v>203</v>
      </c>
      <c r="K7" t="s">
        <v>203</v>
      </c>
      <c r="L7">
        <v>0.33000000000000002</v>
      </c>
      <c r="M7">
        <v>0.34999999999999998</v>
      </c>
      <c r="P7">
        <v>0.32000000000000001</v>
      </c>
      <c r="Q7">
        <v>0.34999999999999998</v>
      </c>
      <c r="S7">
        <v>0.32000000000000001</v>
      </c>
      <c r="V7">
        <v>0.32000000000000001</v>
      </c>
      <c r="W7">
        <v>0.33000000000000002</v>
      </c>
      <c r="X7">
        <v>0.33000000000000002</v>
      </c>
      <c r="AB7">
        <v>0.33000000000000002</v>
      </c>
      <c r="AD7">
        <v>0.34999999999999998</v>
      </c>
      <c r="AG7">
        <v>0.32000000000000001</v>
      </c>
      <c r="AI7">
        <v>0.33000000000000002</v>
      </c>
      <c r="AJ7">
        <v>0.33000000000000002</v>
      </c>
      <c r="AK7">
        <v>0.33000000000000002</v>
      </c>
      <c r="AN7">
        <v>0.34999999999999998</v>
      </c>
      <c r="AO7">
        <v>0.33000000000000002</v>
      </c>
      <c r="AP7">
        <v>0.32000000000000001</v>
      </c>
      <c r="AQ7">
        <v>0.32000000000000001</v>
      </c>
      <c r="AT7">
        <v>0.34999999999999998</v>
      </c>
      <c r="AW7" t="s">
        <v>203</v>
      </c>
    </row>
    <row r="8" spans="1:49" ht="12.75">
      <c r="A8" t="s">
        <v>201</v>
      </c>
      <c r="B8" t="s">
        <v>29</v>
      </c>
      <c r="C8" t="s">
        <v>256</v>
      </c>
      <c r="D8" t="s">
        <v>203</v>
      </c>
      <c r="E8" t="s">
        <v>203</v>
      </c>
      <c r="F8" t="s">
        <v>223</v>
      </c>
      <c r="G8" t="s">
        <v>793</v>
      </c>
      <c r="H8" t="s">
        <v>203</v>
      </c>
      <c r="I8" t="s">
        <v>203</v>
      </c>
      <c r="J8" t="s">
        <v>203</v>
      </c>
      <c r="K8" t="s">
        <v>203</v>
      </c>
      <c r="M8">
        <v>0.34999999999999998</v>
      </c>
      <c r="P8">
        <v>0.32000000000000001</v>
      </c>
      <c r="Q8">
        <v>0.34999999999999998</v>
      </c>
      <c r="X8">
        <v>0.33000000000000002</v>
      </c>
      <c r="AB8">
        <v>0.33000000000000002</v>
      </c>
      <c r="AD8">
        <v>0.34999999999999998</v>
      </c>
      <c r="AN8">
        <v>0.34999999999999998</v>
      </c>
      <c r="AO8">
        <v>0.33000000000000002</v>
      </c>
      <c r="AW8" t="s">
        <v>203</v>
      </c>
    </row>
    <row r="9" spans="1:49" ht="12.75">
      <c r="A9" t="s">
        <v>201</v>
      </c>
      <c r="B9" t="s">
        <v>29</v>
      </c>
      <c r="C9" t="s">
        <v>255</v>
      </c>
      <c r="D9" t="s">
        <v>203</v>
      </c>
      <c r="E9" t="s">
        <v>203</v>
      </c>
      <c r="F9" t="s">
        <v>223</v>
      </c>
      <c r="G9" t="s">
        <v>793</v>
      </c>
      <c r="H9" t="s">
        <v>203</v>
      </c>
      <c r="I9" t="s">
        <v>203</v>
      </c>
      <c r="J9" t="s">
        <v>203</v>
      </c>
      <c r="K9" t="s">
        <v>203</v>
      </c>
      <c r="L9">
        <v>0.81000000000000005</v>
      </c>
      <c r="M9">
        <v>0.82999999999999996</v>
      </c>
      <c r="N9">
        <v>0.81000000000000005</v>
      </c>
      <c r="O9">
        <v>0.82999999999999996</v>
      </c>
      <c r="P9">
        <v>0.80000000000000004</v>
      </c>
      <c r="Q9">
        <v>0.83999999999999997</v>
      </c>
      <c r="R9">
        <v>0.80000000000000004</v>
      </c>
      <c r="S9">
        <v>0.80000000000000004</v>
      </c>
      <c r="T9">
        <v>0.83999999999999997</v>
      </c>
      <c r="U9">
        <v>0.83999999999999997</v>
      </c>
      <c r="V9">
        <v>0.80000000000000004</v>
      </c>
      <c r="W9">
        <v>0.81000000000000005</v>
      </c>
      <c r="X9">
        <v>0.81000000000000005</v>
      </c>
      <c r="Y9">
        <v>0.83999999999999997</v>
      </c>
      <c r="Z9">
        <v>0.83999999999999997</v>
      </c>
      <c r="AA9">
        <v>0.81000000000000005</v>
      </c>
      <c r="AB9">
        <v>0.81000000000000005</v>
      </c>
      <c r="AC9">
        <v>0.82999999999999996</v>
      </c>
      <c r="AD9">
        <v>0.83999999999999997</v>
      </c>
      <c r="AE9">
        <v>0.83999999999999997</v>
      </c>
      <c r="AF9">
        <v>0.81000000000000005</v>
      </c>
      <c r="AG9">
        <v>0.80000000000000004</v>
      </c>
      <c r="AH9">
        <v>0.83999999999999997</v>
      </c>
      <c r="AI9">
        <v>0.81000000000000005</v>
      </c>
      <c r="AJ9">
        <v>0.81000000000000005</v>
      </c>
      <c r="AK9">
        <v>0.81000000000000005</v>
      </c>
      <c r="AL9">
        <v>0.81000000000000005</v>
      </c>
      <c r="AM9">
        <v>0.83499999999999996</v>
      </c>
      <c r="AN9">
        <v>0.83999999999999997</v>
      </c>
      <c r="AO9">
        <v>0.81000000000000005</v>
      </c>
      <c r="AP9">
        <v>0.80000000000000004</v>
      </c>
      <c r="AQ9">
        <v>0.80000000000000004</v>
      </c>
      <c r="AR9">
        <v>0.81000000000000005</v>
      </c>
      <c r="AS9">
        <v>0.84999999999999998</v>
      </c>
      <c r="AT9">
        <v>0.83999999999999997</v>
      </c>
      <c r="AU9">
        <v>0.81000000000000005</v>
      </c>
      <c r="AV9">
        <v>0.82999999999999996</v>
      </c>
      <c r="AW9" t="s">
        <v>203</v>
      </c>
    </row>
    <row r="10" spans="1:49" ht="12.75">
      <c r="A10" t="s">
        <v>201</v>
      </c>
      <c r="B10" t="s">
        <v>29</v>
      </c>
      <c r="C10" t="s">
        <v>254</v>
      </c>
      <c r="D10" t="s">
        <v>203</v>
      </c>
      <c r="E10" t="s">
        <v>203</v>
      </c>
      <c r="F10" t="s">
        <v>223</v>
      </c>
      <c r="G10" t="s">
        <v>793</v>
      </c>
      <c r="H10" t="s">
        <v>203</v>
      </c>
      <c r="I10" t="s">
        <v>203</v>
      </c>
      <c r="J10" t="s">
        <v>203</v>
      </c>
      <c r="K10" t="s">
        <v>203</v>
      </c>
      <c r="L10">
        <v>0.46000000000000002</v>
      </c>
      <c r="M10">
        <v>0.48999999999999999</v>
      </c>
      <c r="N10">
        <v>0.46000000000000002</v>
      </c>
      <c r="O10">
        <v>0.48999999999999999</v>
      </c>
      <c r="P10">
        <v>0.44</v>
      </c>
      <c r="Q10">
        <v>0.48999999999999999</v>
      </c>
      <c r="S10">
        <v>0.45000000000000001</v>
      </c>
      <c r="T10">
        <v>0.48999999999999999</v>
      </c>
      <c r="U10">
        <v>0.48999999999999999</v>
      </c>
      <c r="V10">
        <v>0.45000000000000001</v>
      </c>
      <c r="W10">
        <v>0.46000000000000002</v>
      </c>
      <c r="X10">
        <v>0.46000000000000002</v>
      </c>
      <c r="Y10">
        <v>0.5</v>
      </c>
      <c r="Z10">
        <v>0.48999999999999999</v>
      </c>
      <c r="AA10">
        <v>0.46000000000000002</v>
      </c>
      <c r="AB10">
        <v>0.46000000000000002</v>
      </c>
      <c r="AC10">
        <v>0.47999999999999998</v>
      </c>
      <c r="AD10">
        <v>0.48999999999999999</v>
      </c>
      <c r="AE10">
        <v>0.5</v>
      </c>
      <c r="AF10">
        <v>0.46000000000000002</v>
      </c>
      <c r="AG10">
        <v>0.45000000000000001</v>
      </c>
      <c r="AH10">
        <v>0.5</v>
      </c>
      <c r="AI10">
        <v>0.46000000000000002</v>
      </c>
      <c r="AJ10">
        <v>0.46000000000000002</v>
      </c>
      <c r="AK10">
        <v>0.46000000000000002</v>
      </c>
      <c r="AM10">
        <v>0.48499999999999999</v>
      </c>
      <c r="AN10">
        <v>0.48999999999999999</v>
      </c>
      <c r="AO10">
        <v>0.46000000000000002</v>
      </c>
      <c r="AP10">
        <v>0.44</v>
      </c>
      <c r="AQ10">
        <v>0.45000000000000001</v>
      </c>
      <c r="AR10">
        <v>0.46000000000000002</v>
      </c>
      <c r="AS10">
        <v>0.5</v>
      </c>
      <c r="AT10">
        <v>0.48999999999999999</v>
      </c>
      <c r="AU10">
        <v>0.46000000000000002</v>
      </c>
      <c r="AV10">
        <v>0.47999999999999998</v>
      </c>
      <c r="AW10" t="s">
        <v>203</v>
      </c>
    </row>
    <row r="11" spans="1:49" ht="12.75">
      <c r="A11" t="s">
        <v>201</v>
      </c>
      <c r="B11" t="s">
        <v>29</v>
      </c>
      <c r="C11" t="s">
        <v>253</v>
      </c>
      <c r="D11" t="s">
        <v>203</v>
      </c>
      <c r="E11" t="s">
        <v>203</v>
      </c>
      <c r="F11" t="s">
        <v>223</v>
      </c>
      <c r="G11" t="s">
        <v>793</v>
      </c>
      <c r="H11" t="s">
        <v>203</v>
      </c>
      <c r="I11" t="s">
        <v>203</v>
      </c>
      <c r="J11" t="s">
        <v>203</v>
      </c>
      <c r="K11" t="s">
        <v>203</v>
      </c>
      <c r="L11">
        <v>0.42999999999999999</v>
      </c>
      <c r="M11">
        <v>0.45000000000000001</v>
      </c>
      <c r="N11">
        <v>0.42999999999999999</v>
      </c>
      <c r="O11">
        <v>0.45000000000000001</v>
      </c>
      <c r="P11">
        <v>0.40999999999999998</v>
      </c>
      <c r="Q11">
        <v>0.46000000000000002</v>
      </c>
      <c r="R11">
        <v>0.41999999999999998</v>
      </c>
      <c r="S11">
        <v>0.41999999999999998</v>
      </c>
      <c r="T11">
        <v>0.46000000000000002</v>
      </c>
      <c r="U11">
        <v>0.46000000000000002</v>
      </c>
      <c r="V11">
        <v>0.41999999999999998</v>
      </c>
      <c r="W11">
        <v>0.42999999999999999</v>
      </c>
      <c r="X11">
        <v>0.42999999999999999</v>
      </c>
      <c r="Y11">
        <v>0.46000000000000002</v>
      </c>
      <c r="Z11">
        <v>0.46000000000000002</v>
      </c>
      <c r="AA11">
        <v>0.42999999999999999</v>
      </c>
      <c r="AB11">
        <v>0.41999999999999998</v>
      </c>
      <c r="AC11">
        <v>0.45000000000000001</v>
      </c>
      <c r="AD11">
        <v>0.46000000000000002</v>
      </c>
      <c r="AE11">
        <v>0.46000000000000002</v>
      </c>
      <c r="AF11">
        <v>0.42999999999999999</v>
      </c>
      <c r="AG11">
        <v>0.41999999999999998</v>
      </c>
      <c r="AH11">
        <v>0.46000000000000002</v>
      </c>
      <c r="AI11">
        <v>0.42999999999999999</v>
      </c>
      <c r="AJ11">
        <v>0.42999999999999999</v>
      </c>
      <c r="AK11">
        <v>0.42999999999999999</v>
      </c>
      <c r="AL11">
        <v>0.42999999999999999</v>
      </c>
      <c r="AM11">
        <v>0.45000000000000001</v>
      </c>
      <c r="AN11">
        <v>0.46000000000000002</v>
      </c>
      <c r="AO11">
        <v>0.42999999999999999</v>
      </c>
      <c r="AP11">
        <v>0.40999999999999998</v>
      </c>
      <c r="AQ11">
        <v>0.41999999999999998</v>
      </c>
      <c r="AR11">
        <v>0.42999999999999999</v>
      </c>
      <c r="AT11">
        <v>0.46000000000000002</v>
      </c>
      <c r="AU11">
        <v>0.42999999999999999</v>
      </c>
      <c r="AV11">
        <v>0.45000000000000001</v>
      </c>
      <c r="AW11" t="s">
        <v>203</v>
      </c>
    </row>
    <row r="12" spans="1:49" ht="12.75">
      <c r="A12" t="s">
        <v>201</v>
      </c>
      <c r="B12" t="s">
        <v>29</v>
      </c>
      <c r="C12" t="s">
        <v>252</v>
      </c>
      <c r="D12" t="s">
        <v>203</v>
      </c>
      <c r="E12" t="s">
        <v>203</v>
      </c>
      <c r="F12" t="s">
        <v>223</v>
      </c>
      <c r="G12" t="s">
        <v>793</v>
      </c>
      <c r="H12" t="s">
        <v>203</v>
      </c>
      <c r="I12" t="s">
        <v>203</v>
      </c>
      <c r="J12" t="s">
        <v>203</v>
      </c>
      <c r="K12" t="s">
        <v>203</v>
      </c>
      <c r="L12">
        <v>0.33000000000000002</v>
      </c>
      <c r="M12">
        <v>0.34999999999999998</v>
      </c>
      <c r="P12">
        <v>0.32000000000000001</v>
      </c>
      <c r="Q12">
        <v>0.34999999999999998</v>
      </c>
      <c r="S12">
        <v>0.32000000000000001</v>
      </c>
      <c r="V12">
        <v>0.32000000000000001</v>
      </c>
      <c r="W12">
        <v>0.33000000000000002</v>
      </c>
      <c r="X12">
        <v>0.33000000000000002</v>
      </c>
      <c r="AB12">
        <v>0.33000000000000002</v>
      </c>
      <c r="AD12">
        <v>0.34999999999999998</v>
      </c>
      <c r="AG12">
        <v>0.32000000000000001</v>
      </c>
      <c r="AI12">
        <v>0.33000000000000002</v>
      </c>
      <c r="AJ12">
        <v>0.33000000000000002</v>
      </c>
      <c r="AK12">
        <v>0.33000000000000002</v>
      </c>
      <c r="AN12">
        <v>0.34999999999999998</v>
      </c>
      <c r="AO12">
        <v>0.33000000000000002</v>
      </c>
      <c r="AP12">
        <v>0.32000000000000001</v>
      </c>
      <c r="AQ12">
        <v>0.32000000000000001</v>
      </c>
      <c r="AT12">
        <v>0.34999999999999998</v>
      </c>
      <c r="AW12" t="s">
        <v>203</v>
      </c>
    </row>
    <row r="13" spans="1:49" ht="12.75">
      <c r="A13" t="s">
        <v>201</v>
      </c>
      <c r="B13" t="s">
        <v>29</v>
      </c>
      <c r="C13" t="s">
        <v>251</v>
      </c>
      <c r="D13" t="s">
        <v>203</v>
      </c>
      <c r="E13" t="s">
        <v>203</v>
      </c>
      <c r="F13" t="s">
        <v>223</v>
      </c>
      <c r="G13" t="s">
        <v>793</v>
      </c>
      <c r="H13" t="s">
        <v>203</v>
      </c>
      <c r="I13" t="s">
        <v>203</v>
      </c>
      <c r="J13" t="s">
        <v>203</v>
      </c>
      <c r="K13" t="s">
        <v>203</v>
      </c>
      <c r="M13">
        <v>0.34999999999999998</v>
      </c>
      <c r="P13">
        <v>0.32000000000000001</v>
      </c>
      <c r="Q13">
        <v>0.34999999999999998</v>
      </c>
      <c r="X13">
        <v>0.33000000000000002</v>
      </c>
      <c r="AB13">
        <v>0.33000000000000002</v>
      </c>
      <c r="AD13">
        <v>0.34999999999999998</v>
      </c>
      <c r="AN13">
        <v>0.34999999999999998</v>
      </c>
      <c r="AO13">
        <v>0.33000000000000002</v>
      </c>
      <c r="AW13" t="s">
        <v>203</v>
      </c>
    </row>
    <row r="14" spans="1:49" ht="12.75">
      <c r="A14" t="s">
        <v>201</v>
      </c>
      <c r="B14" t="s">
        <v>29</v>
      </c>
      <c r="C14" t="s">
        <v>250</v>
      </c>
      <c r="D14" t="s">
        <v>203</v>
      </c>
      <c r="E14" t="s">
        <v>203</v>
      </c>
      <c r="F14" t="s">
        <v>223</v>
      </c>
      <c r="G14" t="s">
        <v>793</v>
      </c>
      <c r="H14" t="s">
        <v>203</v>
      </c>
      <c r="I14" t="s">
        <v>203</v>
      </c>
      <c r="J14" t="s">
        <v>203</v>
      </c>
      <c r="K14" t="s">
        <v>203</v>
      </c>
      <c r="L14">
        <v>0.81000000000000005</v>
      </c>
      <c r="M14">
        <v>0.82999999999999996</v>
      </c>
      <c r="N14">
        <v>0.81000000000000005</v>
      </c>
      <c r="O14">
        <v>0.82999999999999996</v>
      </c>
      <c r="P14">
        <v>0.80000000000000004</v>
      </c>
      <c r="Q14">
        <v>0.83999999999999997</v>
      </c>
      <c r="R14">
        <v>0.80000000000000004</v>
      </c>
      <c r="S14">
        <v>0.80000000000000004</v>
      </c>
      <c r="T14">
        <v>0.83999999999999997</v>
      </c>
      <c r="U14">
        <v>0.83999999999999997</v>
      </c>
      <c r="V14">
        <v>0.80000000000000004</v>
      </c>
      <c r="W14">
        <v>0.81000000000000005</v>
      </c>
      <c r="X14">
        <v>0.81000000000000005</v>
      </c>
      <c r="Y14">
        <v>0.83999999999999997</v>
      </c>
      <c r="Z14">
        <v>0.83999999999999997</v>
      </c>
      <c r="AA14">
        <v>0.81000000000000005</v>
      </c>
      <c r="AB14">
        <v>0.81000000000000005</v>
      </c>
      <c r="AC14">
        <v>0.82999999999999996</v>
      </c>
      <c r="AD14">
        <v>0.83999999999999997</v>
      </c>
      <c r="AE14">
        <v>0.83999999999999997</v>
      </c>
      <c r="AF14">
        <v>0.81000000000000005</v>
      </c>
      <c r="AG14">
        <v>0.80000000000000004</v>
      </c>
      <c r="AH14">
        <v>0.83999999999999997</v>
      </c>
      <c r="AI14">
        <v>0.81000000000000005</v>
      </c>
      <c r="AJ14">
        <v>0.81000000000000005</v>
      </c>
      <c r="AK14">
        <v>0.81000000000000005</v>
      </c>
      <c r="AL14">
        <v>0.81000000000000005</v>
      </c>
      <c r="AM14">
        <v>0.83499999999999996</v>
      </c>
      <c r="AN14">
        <v>0.83999999999999997</v>
      </c>
      <c r="AO14">
        <v>0.81000000000000005</v>
      </c>
      <c r="AP14">
        <v>0.80000000000000004</v>
      </c>
      <c r="AQ14">
        <v>0.80000000000000004</v>
      </c>
      <c r="AR14">
        <v>0.81000000000000005</v>
      </c>
      <c r="AS14">
        <v>0.84999999999999998</v>
      </c>
      <c r="AT14">
        <v>0.83999999999999997</v>
      </c>
      <c r="AU14">
        <v>0.81000000000000005</v>
      </c>
      <c r="AV14">
        <v>0.82999999999999996</v>
      </c>
      <c r="AW14" t="s">
        <v>203</v>
      </c>
    </row>
    <row r="15" spans="1:49" ht="12.75">
      <c r="A15" t="s">
        <v>201</v>
      </c>
      <c r="B15" t="s">
        <v>29</v>
      </c>
      <c r="C15" t="s">
        <v>249</v>
      </c>
      <c r="D15" t="s">
        <v>203</v>
      </c>
      <c r="E15" t="s">
        <v>203</v>
      </c>
      <c r="F15" t="s">
        <v>223</v>
      </c>
      <c r="G15" t="s">
        <v>793</v>
      </c>
      <c r="H15" t="s">
        <v>203</v>
      </c>
      <c r="I15" t="s">
        <v>203</v>
      </c>
      <c r="J15" t="s">
        <v>203</v>
      </c>
      <c r="K15" t="s">
        <v>203</v>
      </c>
      <c r="L15">
        <v>0.46000000000000002</v>
      </c>
      <c r="M15">
        <v>0.48999999999999999</v>
      </c>
      <c r="N15">
        <v>0.46000000000000002</v>
      </c>
      <c r="O15">
        <v>0.48999999999999999</v>
      </c>
      <c r="P15">
        <v>0.44</v>
      </c>
      <c r="Q15">
        <v>0.48999999999999999</v>
      </c>
      <c r="S15">
        <v>0.45000000000000001</v>
      </c>
      <c r="T15">
        <v>0.48999999999999999</v>
      </c>
      <c r="U15">
        <v>0.48999999999999999</v>
      </c>
      <c r="V15">
        <v>0.45000000000000001</v>
      </c>
      <c r="W15">
        <v>0.46000000000000002</v>
      </c>
      <c r="X15">
        <v>0.46000000000000002</v>
      </c>
      <c r="Y15">
        <v>0.5</v>
      </c>
      <c r="Z15">
        <v>0.48999999999999999</v>
      </c>
      <c r="AA15">
        <v>0.46000000000000002</v>
      </c>
      <c r="AB15">
        <v>0.46000000000000002</v>
      </c>
      <c r="AC15">
        <v>0.47999999999999998</v>
      </c>
      <c r="AD15">
        <v>0.48999999999999999</v>
      </c>
      <c r="AE15">
        <v>0.5</v>
      </c>
      <c r="AF15">
        <v>0.46000000000000002</v>
      </c>
      <c r="AG15">
        <v>0.45000000000000001</v>
      </c>
      <c r="AH15">
        <v>0.5</v>
      </c>
      <c r="AI15">
        <v>0.46000000000000002</v>
      </c>
      <c r="AJ15">
        <v>0.46000000000000002</v>
      </c>
      <c r="AK15">
        <v>0.46000000000000002</v>
      </c>
      <c r="AM15">
        <v>0.48499999999999999</v>
      </c>
      <c r="AN15">
        <v>0.48999999999999999</v>
      </c>
      <c r="AO15">
        <v>0.46000000000000002</v>
      </c>
      <c r="AP15">
        <v>0.44</v>
      </c>
      <c r="AQ15">
        <v>0.45000000000000001</v>
      </c>
      <c r="AR15">
        <v>0.46000000000000002</v>
      </c>
      <c r="AS15">
        <v>0.5</v>
      </c>
      <c r="AT15">
        <v>0.48999999999999999</v>
      </c>
      <c r="AU15">
        <v>0.46000000000000002</v>
      </c>
      <c r="AV15">
        <v>0.47999999999999998</v>
      </c>
      <c r="AW15" t="s">
        <v>203</v>
      </c>
    </row>
    <row r="16" spans="1:49" ht="12.75">
      <c r="A16" t="s">
        <v>201</v>
      </c>
      <c r="B16" t="s">
        <v>29</v>
      </c>
      <c r="C16" t="s">
        <v>248</v>
      </c>
      <c r="D16" t="s">
        <v>203</v>
      </c>
      <c r="E16" t="s">
        <v>203</v>
      </c>
      <c r="F16" t="s">
        <v>223</v>
      </c>
      <c r="G16" t="s">
        <v>793</v>
      </c>
      <c r="H16" t="s">
        <v>203</v>
      </c>
      <c r="I16" t="s">
        <v>203</v>
      </c>
      <c r="J16" t="s">
        <v>203</v>
      </c>
      <c r="K16" t="s">
        <v>203</v>
      </c>
      <c r="L16">
        <v>0.42999999999999999</v>
      </c>
      <c r="M16">
        <v>0.45000000000000001</v>
      </c>
      <c r="N16">
        <v>0.42999999999999999</v>
      </c>
      <c r="O16">
        <v>0.45000000000000001</v>
      </c>
      <c r="P16">
        <v>0.40999999999999998</v>
      </c>
      <c r="Q16">
        <v>0.46000000000000002</v>
      </c>
      <c r="R16">
        <v>0.41999999999999998</v>
      </c>
      <c r="S16">
        <v>0.41999999999999998</v>
      </c>
      <c r="T16">
        <v>0.46000000000000002</v>
      </c>
      <c r="U16">
        <v>0.46000000000000002</v>
      </c>
      <c r="V16">
        <v>0.41999999999999998</v>
      </c>
      <c r="W16">
        <v>0.42999999999999999</v>
      </c>
      <c r="X16">
        <v>0.42999999999999999</v>
      </c>
      <c r="Y16">
        <v>0.46000000000000002</v>
      </c>
      <c r="Z16">
        <v>0.46000000000000002</v>
      </c>
      <c r="AA16">
        <v>0.42999999999999999</v>
      </c>
      <c r="AB16">
        <v>0.41999999999999998</v>
      </c>
      <c r="AC16">
        <v>0.45000000000000001</v>
      </c>
      <c r="AD16">
        <v>0.46000000000000002</v>
      </c>
      <c r="AE16">
        <v>0.46000000000000002</v>
      </c>
      <c r="AF16">
        <v>0.42999999999999999</v>
      </c>
      <c r="AG16">
        <v>0.41999999999999998</v>
      </c>
      <c r="AH16">
        <v>0.46000000000000002</v>
      </c>
      <c r="AI16">
        <v>0.42999999999999999</v>
      </c>
      <c r="AJ16">
        <v>0.42999999999999999</v>
      </c>
      <c r="AK16">
        <v>0.42999999999999999</v>
      </c>
      <c r="AL16">
        <v>0.42999999999999999</v>
      </c>
      <c r="AM16">
        <v>0.45000000000000001</v>
      </c>
      <c r="AN16">
        <v>0.46000000000000002</v>
      </c>
      <c r="AO16">
        <v>0.42999999999999999</v>
      </c>
      <c r="AP16">
        <v>0.40999999999999998</v>
      </c>
      <c r="AQ16">
        <v>0.41999999999999998</v>
      </c>
      <c r="AR16">
        <v>0.42999999999999999</v>
      </c>
      <c r="AT16">
        <v>0.46000000000000002</v>
      </c>
      <c r="AU16">
        <v>0.42999999999999999</v>
      </c>
      <c r="AV16">
        <v>0.45000000000000001</v>
      </c>
      <c r="AW16" t="s">
        <v>203</v>
      </c>
    </row>
    <row r="17" spans="1:49" ht="12.75">
      <c r="A17" t="s">
        <v>201</v>
      </c>
      <c r="B17" t="s">
        <v>103</v>
      </c>
      <c r="C17" t="s">
        <v>100</v>
      </c>
      <c r="D17" t="s">
        <v>913</v>
      </c>
      <c r="E17" t="s">
        <v>203</v>
      </c>
      <c r="F17" t="s">
        <v>223</v>
      </c>
      <c r="G17" t="s">
        <v>793</v>
      </c>
      <c r="H17" t="s">
        <v>203</v>
      </c>
      <c r="I17" t="s">
        <v>203</v>
      </c>
      <c r="J17" t="s">
        <v>203</v>
      </c>
      <c r="K17" t="s">
        <v>203</v>
      </c>
      <c r="L17">
        <v>1.35065489320105</v>
      </c>
      <c r="M17">
        <v>1.4528305937164101</v>
      </c>
      <c r="N17">
        <v>1.35065489320105</v>
      </c>
      <c r="O17">
        <v>1.4858904731059499</v>
      </c>
      <c r="P17">
        <v>1.60975252692902</v>
      </c>
      <c r="Q17">
        <v>1.4528305937164101</v>
      </c>
      <c r="R17">
        <v>1.7516789609619301</v>
      </c>
      <c r="S17">
        <v>1.19828571638232</v>
      </c>
      <c r="T17">
        <v>1.3448908423427799</v>
      </c>
      <c r="U17">
        <v>1.3580896614240501</v>
      </c>
      <c r="V17">
        <v>1.57115635885105</v>
      </c>
      <c r="W17">
        <v>1.35065489320105</v>
      </c>
      <c r="X17">
        <v>1.63269843029955</v>
      </c>
      <c r="Y17">
        <v>1.46097640517921</v>
      </c>
      <c r="Z17">
        <v>1.5834953608665501</v>
      </c>
      <c r="AA17">
        <v>1.4718270455272799</v>
      </c>
      <c r="AB17">
        <v>1.2406208204629801</v>
      </c>
      <c r="AC17">
        <v>1.5168224186119399</v>
      </c>
      <c r="AD17">
        <v>1.3802608987337299</v>
      </c>
      <c r="AE17">
        <v>1.35922119475577</v>
      </c>
      <c r="AF17">
        <v>1.35065489320105</v>
      </c>
      <c r="AG17">
        <v>1.2966457342621001</v>
      </c>
      <c r="AH17">
        <v>1.4336778026197501</v>
      </c>
      <c r="AI17">
        <v>1.5496890088914099</v>
      </c>
      <c r="AJ17">
        <v>1.35065489320105</v>
      </c>
      <c r="AK17">
        <v>1.35065489320105</v>
      </c>
      <c r="AL17">
        <v>1.4233452445087</v>
      </c>
      <c r="AM17">
        <v>1.35869501399</v>
      </c>
      <c r="AN17">
        <v>1.3802608987337299</v>
      </c>
      <c r="AO17">
        <v>1.25784880073383</v>
      </c>
      <c r="AP17">
        <v>1.5696323408050199</v>
      </c>
      <c r="AQ17">
        <v>1.4106391648763399</v>
      </c>
      <c r="AR17">
        <v>1.35065489320105</v>
      </c>
      <c r="AS17">
        <v>1.3802608987337299</v>
      </c>
      <c r="AT17">
        <v>1.5277628162852499</v>
      </c>
      <c r="AU17">
        <v>1.24471931678514</v>
      </c>
      <c r="AV17">
        <v>1.4703969481929</v>
      </c>
      <c r="AW17" t="s">
        <v>203</v>
      </c>
    </row>
    <row r="18" spans="1:49" ht="12.75">
      <c r="A18" t="s">
        <v>201</v>
      </c>
      <c r="B18" t="s">
        <v>103</v>
      </c>
      <c r="C18" t="s">
        <v>99</v>
      </c>
      <c r="D18" t="s">
        <v>913</v>
      </c>
      <c r="E18" t="s">
        <v>203</v>
      </c>
      <c r="F18" t="s">
        <v>223</v>
      </c>
      <c r="G18" t="s">
        <v>793</v>
      </c>
      <c r="H18" t="s">
        <v>203</v>
      </c>
      <c r="I18" t="s">
        <v>203</v>
      </c>
      <c r="J18" t="s">
        <v>203</v>
      </c>
      <c r="K18" t="s">
        <v>203</v>
      </c>
      <c r="L18">
        <v>0.63344039886993397</v>
      </c>
      <c r="M18">
        <v>0.69565673740706502</v>
      </c>
      <c r="N18">
        <v>0.63344039886993397</v>
      </c>
      <c r="O18">
        <v>0.71658653625794799</v>
      </c>
      <c r="P18">
        <v>0.79621341214282104</v>
      </c>
      <c r="Q18">
        <v>0.69565673740706502</v>
      </c>
      <c r="R18">
        <v>0.89315818314707696</v>
      </c>
      <c r="S18">
        <v>0.54314893018664601</v>
      </c>
      <c r="T18">
        <v>0.62859133238506804</v>
      </c>
      <c r="U18">
        <v>0.63571625445705504</v>
      </c>
      <c r="V18">
        <v>0.80383409470593803</v>
      </c>
      <c r="W18">
        <v>0.63344039886993397</v>
      </c>
      <c r="X18">
        <v>0.80949437121626699</v>
      </c>
      <c r="Y18">
        <v>0.70077137994135796</v>
      </c>
      <c r="Z18">
        <v>0.78025358073754203</v>
      </c>
      <c r="AA18">
        <v>0.70772941414727597</v>
      </c>
      <c r="AB18">
        <v>0.54783735556166702</v>
      </c>
      <c r="AC18">
        <v>0.74142936559009298</v>
      </c>
      <c r="AD18">
        <v>0.64982188324182499</v>
      </c>
      <c r="AE18">
        <v>0.65557663909344199</v>
      </c>
      <c r="AF18">
        <v>0.63344039886993397</v>
      </c>
      <c r="AG18">
        <v>0.60000311077991297</v>
      </c>
      <c r="AH18">
        <v>0.69303636782091205</v>
      </c>
      <c r="AI18">
        <v>0.77359501105408701</v>
      </c>
      <c r="AJ18">
        <v>0.63344039886993397</v>
      </c>
      <c r="AK18">
        <v>0.63344039886993397</v>
      </c>
      <c r="AL18">
        <v>0.67659419947729404</v>
      </c>
      <c r="AM18">
        <v>0.63629085708376798</v>
      </c>
      <c r="AN18">
        <v>0.64982188324182499</v>
      </c>
      <c r="AO18">
        <v>0.57695961139964902</v>
      </c>
      <c r="AP18">
        <v>0.768770146880005</v>
      </c>
      <c r="AQ18">
        <v>0.680539576458283</v>
      </c>
      <c r="AR18">
        <v>0.63344039886993397</v>
      </c>
      <c r="AS18">
        <v>0.64982188324182499</v>
      </c>
      <c r="AT18">
        <v>0.74352221618578096</v>
      </c>
      <c r="AU18">
        <v>0.57036849757217301</v>
      </c>
      <c r="AV18">
        <v>0.70657715778410901</v>
      </c>
      <c r="AW18" t="s">
        <v>203</v>
      </c>
    </row>
    <row r="19" spans="1:49" ht="12.75">
      <c r="A19" t="s">
        <v>201</v>
      </c>
      <c r="B19" t="s">
        <v>103</v>
      </c>
      <c r="C19" t="s">
        <v>101</v>
      </c>
      <c r="D19" t="s">
        <v>913</v>
      </c>
      <c r="E19" t="s">
        <v>203</v>
      </c>
      <c r="F19" t="s">
        <v>223</v>
      </c>
      <c r="G19" t="s">
        <v>793</v>
      </c>
      <c r="H19" t="s">
        <v>203</v>
      </c>
      <c r="I19" t="s">
        <v>203</v>
      </c>
      <c r="J19" t="s">
        <v>203</v>
      </c>
      <c r="K19" t="s">
        <v>203</v>
      </c>
      <c r="L19">
        <v>0.83333716359447496</v>
      </c>
      <c r="M19">
        <v>0.94166672990790801</v>
      </c>
      <c r="N19">
        <v>0.83333716359447496</v>
      </c>
      <c r="O19">
        <v>0.97750478646154304</v>
      </c>
      <c r="P19">
        <v>1.1191604596548299</v>
      </c>
      <c r="Q19">
        <v>0.94166672990790801</v>
      </c>
      <c r="R19">
        <v>1.2892961280428801</v>
      </c>
      <c r="S19">
        <v>0.68135848037843805</v>
      </c>
      <c r="T19">
        <v>0.82820056792845897</v>
      </c>
      <c r="U19">
        <v>0.84120604489432504</v>
      </c>
      <c r="V19">
        <v>1.05651609308376</v>
      </c>
      <c r="W19">
        <v>0.83333716359447496</v>
      </c>
      <c r="X19">
        <v>1.07732862191423</v>
      </c>
      <c r="Y19">
        <v>0.95052782083245402</v>
      </c>
      <c r="Z19">
        <v>1.0878365108030701</v>
      </c>
      <c r="AA19">
        <v>0.96211546334488796</v>
      </c>
      <c r="AB19">
        <v>0.72018984946266196</v>
      </c>
      <c r="AC19">
        <v>1.0202179298113001</v>
      </c>
      <c r="AD19">
        <v>0.86444861462288503</v>
      </c>
      <c r="AE19">
        <v>0.87259243769696004</v>
      </c>
      <c r="AF19">
        <v>0.83333716359447496</v>
      </c>
      <c r="AG19">
        <v>0.77546576698782799</v>
      </c>
      <c r="AH19">
        <v>0.93736821886990296</v>
      </c>
      <c r="AI19">
        <v>1.0781964390206999</v>
      </c>
      <c r="AJ19">
        <v>0.83333716359447496</v>
      </c>
      <c r="AK19">
        <v>0.83333716359447496</v>
      </c>
      <c r="AL19">
        <v>0.90854739419738095</v>
      </c>
      <c r="AM19">
        <v>0.84158711927308805</v>
      </c>
      <c r="AN19">
        <v>0.86444861462288503</v>
      </c>
      <c r="AO19">
        <v>0.73776177411303201</v>
      </c>
      <c r="AP19">
        <v>1.0214794402849201</v>
      </c>
      <c r="AQ19">
        <v>0.875859776626699</v>
      </c>
      <c r="AR19">
        <v>0.83333716359447496</v>
      </c>
      <c r="AS19">
        <v>0.86444861462288503</v>
      </c>
      <c r="AT19">
        <v>1.0243632668585401</v>
      </c>
      <c r="AU19">
        <v>0.72592164543141102</v>
      </c>
      <c r="AV19">
        <v>0.96032574086298605</v>
      </c>
      <c r="AW19" t="s">
        <v>203</v>
      </c>
    </row>
    <row r="20" spans="1:49" ht="12.75">
      <c r="A20" t="s">
        <v>201</v>
      </c>
      <c r="B20" t="s">
        <v>103</v>
      </c>
      <c r="C20" t="s">
        <v>97</v>
      </c>
      <c r="D20" t="s">
        <v>913</v>
      </c>
      <c r="E20" t="s">
        <v>203</v>
      </c>
      <c r="F20" t="s">
        <v>223</v>
      </c>
      <c r="G20" t="s">
        <v>793</v>
      </c>
      <c r="H20" t="s">
        <v>203</v>
      </c>
      <c r="I20" t="s">
        <v>203</v>
      </c>
      <c r="J20" t="s">
        <v>203</v>
      </c>
      <c r="K20" t="s">
        <v>203</v>
      </c>
      <c r="L20">
        <v>0.099564296793933499</v>
      </c>
      <c r="M20">
        <v>0.099140470488409696</v>
      </c>
      <c r="N20">
        <v>0.099564296793933499</v>
      </c>
      <c r="O20">
        <v>0.093281255308745301</v>
      </c>
      <c r="P20">
        <v>0.105953510731462</v>
      </c>
      <c r="Q20">
        <v>0.099140470488409696</v>
      </c>
      <c r="R20">
        <v>0.100298866466374</v>
      </c>
      <c r="S20">
        <v>0.093740151800578903</v>
      </c>
      <c r="T20">
        <v>0.10196711255094899</v>
      </c>
      <c r="U20">
        <v>0.098362193514375099</v>
      </c>
      <c r="V20">
        <v>0.10029889087874699</v>
      </c>
      <c r="W20">
        <v>0.099564296793933499</v>
      </c>
      <c r="X20">
        <v>0.094829110787308005</v>
      </c>
      <c r="Y20">
        <v>0.096799480318972606</v>
      </c>
      <c r="Z20">
        <v>0.099186539506174801</v>
      </c>
      <c r="AA20">
        <v>0.099199150052783402</v>
      </c>
      <c r="AB20">
        <v>0.098803084437537006</v>
      </c>
      <c r="AC20">
        <v>0.099140860914882306</v>
      </c>
      <c r="AD20">
        <v>0.098317527442142894</v>
      </c>
      <c r="AE20">
        <v>0.096222713293535503</v>
      </c>
      <c r="AF20">
        <v>0.099564296793933499</v>
      </c>
      <c r="AG20">
        <v>0.100299442538205</v>
      </c>
      <c r="AH20">
        <v>0.099141560183692606</v>
      </c>
      <c r="AI20">
        <v>0.100299730315284</v>
      </c>
      <c r="AJ20">
        <v>0.099564296793933499</v>
      </c>
      <c r="AK20">
        <v>0.099564296793933499</v>
      </c>
      <c r="AL20">
        <v>0.100298961251347</v>
      </c>
      <c r="AM20">
        <v>0.099141612531984405</v>
      </c>
      <c r="AN20">
        <v>0.098317527442142894</v>
      </c>
      <c r="AO20">
        <v>0.100298602609503</v>
      </c>
      <c r="AP20">
        <v>0.098587312747806397</v>
      </c>
      <c r="AQ20">
        <v>0.10401086138648</v>
      </c>
      <c r="AR20">
        <v>0.099564296793933499</v>
      </c>
      <c r="AS20">
        <v>0.098317527442142894</v>
      </c>
      <c r="AT20">
        <v>0.10029943231656401</v>
      </c>
      <c r="AU20">
        <v>0.100299072787824</v>
      </c>
      <c r="AV20">
        <v>0.099772727539248401</v>
      </c>
      <c r="AW20" t="s">
        <v>203</v>
      </c>
    </row>
    <row r="21" spans="1:49" ht="12.75">
      <c r="A21" t="s">
        <v>201</v>
      </c>
      <c r="B21" t="s">
        <v>103</v>
      </c>
      <c r="C21" t="s">
        <v>102</v>
      </c>
      <c r="D21" t="s">
        <v>913</v>
      </c>
      <c r="E21" t="s">
        <v>203</v>
      </c>
      <c r="F21" t="s">
        <v>223</v>
      </c>
      <c r="G21" t="s">
        <v>793</v>
      </c>
      <c r="H21" t="s">
        <v>203</v>
      </c>
      <c r="I21" t="s">
        <v>203</v>
      </c>
      <c r="J21" t="s">
        <v>203</v>
      </c>
      <c r="K21" t="s">
        <v>203</v>
      </c>
      <c r="L21">
        <v>1.1383772480727501</v>
      </c>
      <c r="M21">
        <v>1.1826273836783101</v>
      </c>
      <c r="N21">
        <v>1.1383772480727501</v>
      </c>
      <c r="O21">
        <v>1.24461245309556</v>
      </c>
      <c r="P21">
        <v>1.6265523962650601</v>
      </c>
      <c r="Q21">
        <v>1.1826273836783101</v>
      </c>
      <c r="R21">
        <v>1.74559072888871</v>
      </c>
      <c r="S21">
        <v>0.88069196836089503</v>
      </c>
      <c r="T21">
        <v>1.0081829587757101</v>
      </c>
      <c r="U21">
        <v>1.01418484035558</v>
      </c>
      <c r="V21">
        <v>1.5334123638667201</v>
      </c>
      <c r="W21">
        <v>1.1383772480727501</v>
      </c>
      <c r="X21">
        <v>1.5224105424929599</v>
      </c>
      <c r="Y21">
        <v>1.1805012115401501</v>
      </c>
      <c r="Z21">
        <v>1.3991597071062001</v>
      </c>
      <c r="AA21">
        <v>1.28992637005877</v>
      </c>
      <c r="AB21">
        <v>0.94616772726523601</v>
      </c>
      <c r="AC21">
        <v>1.3120957150321799</v>
      </c>
      <c r="AD21">
        <v>1.02825707670547</v>
      </c>
      <c r="AE21">
        <v>1.1310411880976901</v>
      </c>
      <c r="AF21">
        <v>1.1383772480727501</v>
      </c>
      <c r="AG21">
        <v>1.07344111447035</v>
      </c>
      <c r="AH21">
        <v>1.1521221532656201</v>
      </c>
      <c r="AI21">
        <v>1.5002997555330599</v>
      </c>
      <c r="AJ21">
        <v>1.1383772480727501</v>
      </c>
      <c r="AK21">
        <v>1.1383772480727501</v>
      </c>
      <c r="AL21">
        <v>1.16965707424128</v>
      </c>
      <c r="AM21">
        <v>1.0075968561816699</v>
      </c>
      <c r="AN21">
        <v>1.02825707670547</v>
      </c>
      <c r="AO21">
        <v>0.966265892862188</v>
      </c>
      <c r="AP21">
        <v>1.4367497168600301</v>
      </c>
      <c r="AQ21">
        <v>1.28623896841712</v>
      </c>
      <c r="AR21">
        <v>1.1383772480727501</v>
      </c>
      <c r="AS21">
        <v>1.02825707670547</v>
      </c>
      <c r="AT21">
        <v>1.33912071547254</v>
      </c>
      <c r="AU21">
        <v>0.94329318528499195</v>
      </c>
      <c r="AV21">
        <v>1.211948394218</v>
      </c>
      <c r="AW21" t="s">
        <v>203</v>
      </c>
    </row>
    <row r="22" spans="1:49" ht="12.75">
      <c r="A22" t="s">
        <v>201</v>
      </c>
      <c r="B22" t="s">
        <v>103</v>
      </c>
      <c r="C22" t="s">
        <v>98</v>
      </c>
      <c r="D22" t="s">
        <v>913</v>
      </c>
      <c r="E22" t="s">
        <v>203</v>
      </c>
      <c r="F22" t="s">
        <v>223</v>
      </c>
      <c r="G22" t="s">
        <v>793</v>
      </c>
      <c r="H22" t="s">
        <v>203</v>
      </c>
      <c r="I22" t="s">
        <v>203</v>
      </c>
      <c r="J22" t="s">
        <v>203</v>
      </c>
      <c r="K22" t="s">
        <v>203</v>
      </c>
      <c r="L22">
        <v>1.3855407807470901</v>
      </c>
      <c r="M22">
        <v>1.4699645373596</v>
      </c>
      <c r="N22">
        <v>1.3855407807470901</v>
      </c>
      <c r="O22">
        <v>1.53245749322911</v>
      </c>
      <c r="P22">
        <v>1.63368051003922</v>
      </c>
      <c r="Q22">
        <v>1.4699645373596</v>
      </c>
      <c r="R22">
        <v>1.70575040913806</v>
      </c>
      <c r="S22">
        <v>1.59207454851514</v>
      </c>
      <c r="T22">
        <v>1.3512031690584101</v>
      </c>
      <c r="U22">
        <v>1.3525852970965999</v>
      </c>
      <c r="V22">
        <v>1.71252917505387</v>
      </c>
      <c r="W22">
        <v>1.3855407807470901</v>
      </c>
      <c r="X22">
        <v>1.43940218558268</v>
      </c>
      <c r="Y22">
        <v>1.4467597571748301</v>
      </c>
      <c r="Z22">
        <v>1.57346728073961</v>
      </c>
      <c r="AA22">
        <v>1.53402535580259</v>
      </c>
      <c r="AB22">
        <v>1.5537824747906701</v>
      </c>
      <c r="AC22">
        <v>1.47248041494709</v>
      </c>
      <c r="AD22">
        <v>1.40808562989607</v>
      </c>
      <c r="AE22">
        <v>1.4428369994508801</v>
      </c>
      <c r="AF22">
        <v>1.3855407807470901</v>
      </c>
      <c r="AG22">
        <v>1.6334684452803701</v>
      </c>
      <c r="AH22">
        <v>1.42819298297883</v>
      </c>
      <c r="AI22">
        <v>1.59497056935454</v>
      </c>
      <c r="AJ22">
        <v>1.3855407807470901</v>
      </c>
      <c r="AK22">
        <v>1.3855407807470901</v>
      </c>
      <c r="AL22">
        <v>1.7219433136946101</v>
      </c>
      <c r="AM22">
        <v>1.31086111612435</v>
      </c>
      <c r="AN22">
        <v>1.40808562989607</v>
      </c>
      <c r="AO22">
        <v>1.4663513636358601</v>
      </c>
      <c r="AP22">
        <v>1.5560253432692901</v>
      </c>
      <c r="AQ22">
        <v>1.4063589746409799</v>
      </c>
      <c r="AR22">
        <v>1.3855407807470901</v>
      </c>
      <c r="AS22">
        <v>1.40808562989607</v>
      </c>
      <c r="AT22">
        <v>1.7348765752161399</v>
      </c>
      <c r="AU22">
        <v>1.67430115753333</v>
      </c>
      <c r="AV22">
        <v>1.3160865881433499</v>
      </c>
      <c r="AW22" t="s">
        <v>203</v>
      </c>
    </row>
    <row r="23" spans="1:49" ht="12.75">
      <c r="A23" t="s">
        <v>201</v>
      </c>
      <c r="B23" t="s">
        <v>114</v>
      </c>
      <c r="C23" t="s">
        <v>262</v>
      </c>
      <c r="D23" t="s">
        <v>203</v>
      </c>
      <c r="E23" t="s">
        <v>203</v>
      </c>
      <c r="F23" t="s">
        <v>203</v>
      </c>
      <c r="G23" t="s">
        <v>203</v>
      </c>
      <c r="H23" t="s">
        <v>203</v>
      </c>
      <c r="I23" t="s">
        <v>203</v>
      </c>
      <c r="J23" t="s">
        <v>203</v>
      </c>
      <c r="K23" t="s">
        <v>203</v>
      </c>
      <c r="L23">
        <v>0.0096401693011622103</v>
      </c>
      <c r="M23">
        <v>0.0030415222889943099</v>
      </c>
      <c r="P23">
        <v>0.0036540878403332499</v>
      </c>
      <c r="Q23">
        <v>0.002</v>
      </c>
      <c r="S23">
        <v>0.00282814602417679</v>
      </c>
      <c r="V23">
        <v>0.0027660559835486899</v>
      </c>
      <c r="W23">
        <v>0.0056268447984466202</v>
      </c>
      <c r="X23">
        <v>0.0038085079249353302</v>
      </c>
      <c r="AB23">
        <v>0.0027436497090527899</v>
      </c>
      <c r="AD23">
        <v>0.002</v>
      </c>
      <c r="AG23">
        <v>0.0024095486640133101</v>
      </c>
      <c r="AI23">
        <v>0.0018732826292421499</v>
      </c>
      <c r="AJ23">
        <v>0.0079551734298874497</v>
      </c>
      <c r="AK23">
        <v>0.002</v>
      </c>
      <c r="AN23">
        <v>0.002</v>
      </c>
      <c r="AO23">
        <v>0.0031582031254655</v>
      </c>
      <c r="AP23">
        <v>0.015925988068439</v>
      </c>
      <c r="AQ23">
        <v>0.0026716940978137199</v>
      </c>
      <c r="AT23">
        <v>0.0023401915005250799</v>
      </c>
      <c r="AW23" t="s">
        <v>203</v>
      </c>
    </row>
    <row r="24" spans="1:49" ht="12.75">
      <c r="A24" t="s">
        <v>201</v>
      </c>
      <c r="B24" t="s">
        <v>114</v>
      </c>
      <c r="C24" t="s">
        <v>261</v>
      </c>
      <c r="D24" t="s">
        <v>203</v>
      </c>
      <c r="E24" t="s">
        <v>203</v>
      </c>
      <c r="F24" t="s">
        <v>203</v>
      </c>
      <c r="G24" t="s">
        <v>203</v>
      </c>
      <c r="H24" t="s">
        <v>203</v>
      </c>
      <c r="I24" t="s">
        <v>203</v>
      </c>
      <c r="J24" t="s">
        <v>203</v>
      </c>
      <c r="K24" t="s">
        <v>203</v>
      </c>
      <c r="M24">
        <v>0.0030415222889943099</v>
      </c>
      <c r="P24">
        <v>0.0036540878403332499</v>
      </c>
      <c r="Q24">
        <v>0.002</v>
      </c>
      <c r="X24">
        <v>0.0038085079249353302</v>
      </c>
      <c r="AB24">
        <v>0.0027436497090527899</v>
      </c>
      <c r="AD24">
        <v>0.002</v>
      </c>
      <c r="AN24">
        <v>0.002</v>
      </c>
      <c r="AO24">
        <v>0.0031582031254655</v>
      </c>
      <c r="AW24" t="s">
        <v>203</v>
      </c>
    </row>
    <row r="25" spans="1:49" ht="12.75">
      <c r="A25" t="s">
        <v>201</v>
      </c>
      <c r="B25" t="s">
        <v>114</v>
      </c>
      <c r="C25" t="s">
        <v>260</v>
      </c>
      <c r="D25" t="s">
        <v>203</v>
      </c>
      <c r="E25" t="s">
        <v>203</v>
      </c>
      <c r="F25" t="s">
        <v>203</v>
      </c>
      <c r="G25" t="s">
        <v>203</v>
      </c>
      <c r="H25" t="s">
        <v>203</v>
      </c>
      <c r="I25" t="s">
        <v>203</v>
      </c>
      <c r="J25" t="s">
        <v>203</v>
      </c>
      <c r="K25" t="s">
        <v>203</v>
      </c>
      <c r="L25">
        <v>0.0096401693011622103</v>
      </c>
      <c r="M25">
        <v>0.0030415222889943099</v>
      </c>
      <c r="N25">
        <v>0.0042581434154369702</v>
      </c>
      <c r="O25">
        <v>0.0034102939388338601</v>
      </c>
      <c r="P25">
        <v>0.0036540878403332499</v>
      </c>
      <c r="Q25">
        <v>0.0035508103674260398</v>
      </c>
      <c r="R25">
        <v>0.0031425495224675199</v>
      </c>
      <c r="S25">
        <v>0.00282814602417679</v>
      </c>
      <c r="T25">
        <v>0.0032488705943226602</v>
      </c>
      <c r="U25">
        <v>0.0028361456877566298</v>
      </c>
      <c r="V25">
        <v>0.0027660559835486899</v>
      </c>
      <c r="W25">
        <v>0.0056268447984466202</v>
      </c>
      <c r="X25">
        <v>0.0038085079249353302</v>
      </c>
      <c r="Y25">
        <v>0.0026293573109243702</v>
      </c>
      <c r="Z25">
        <v>0.0046456785706277598</v>
      </c>
      <c r="AA25">
        <v>0.0030876066146761599</v>
      </c>
      <c r="AB25">
        <v>0.0027436497090527899</v>
      </c>
      <c r="AC25">
        <v>0.0029707409502925399</v>
      </c>
      <c r="AD25">
        <v>0.0022971797935458001</v>
      </c>
      <c r="AE25">
        <v>0.00245637074056372</v>
      </c>
      <c r="AF25">
        <v>0.00375506972701621</v>
      </c>
      <c r="AG25">
        <v>0.0024095486640133101</v>
      </c>
      <c r="AH25">
        <v>0.00289512767497408</v>
      </c>
      <c r="AI25">
        <v>0.0018732826292421499</v>
      </c>
      <c r="AJ25">
        <v>0.0079551734298874497</v>
      </c>
      <c r="AK25">
        <v>0.0052408564883108097</v>
      </c>
      <c r="AL25">
        <v>0.0040464055195662601</v>
      </c>
      <c r="AM25">
        <v>0.0033326076925638301</v>
      </c>
      <c r="AN25">
        <v>0.0074120673285544697</v>
      </c>
      <c r="AO25">
        <v>0.0031582031254655</v>
      </c>
      <c r="AP25">
        <v>0.015925988068439</v>
      </c>
      <c r="AQ25">
        <v>0.0026716940978137199</v>
      </c>
      <c r="AR25">
        <v>0.0048263692079581399</v>
      </c>
      <c r="AS25">
        <v>0.00265130540461551</v>
      </c>
      <c r="AT25">
        <v>0.0023401915005250799</v>
      </c>
      <c r="AU25">
        <v>0.0036328190444342499</v>
      </c>
      <c r="AV25">
        <v>0.0020315868994864</v>
      </c>
      <c r="AW25" t="s">
        <v>203</v>
      </c>
    </row>
    <row r="26" spans="1:49" ht="12.75">
      <c r="A26" t="s">
        <v>201</v>
      </c>
      <c r="B26" t="s">
        <v>114</v>
      </c>
      <c r="C26" t="s">
        <v>259</v>
      </c>
      <c r="D26" t="s">
        <v>203</v>
      </c>
      <c r="E26" t="s">
        <v>203</v>
      </c>
      <c r="F26" t="s">
        <v>203</v>
      </c>
      <c r="G26" t="s">
        <v>203</v>
      </c>
      <c r="H26" t="s">
        <v>203</v>
      </c>
      <c r="I26" t="s">
        <v>203</v>
      </c>
      <c r="J26" t="s">
        <v>203</v>
      </c>
      <c r="K26" t="s">
        <v>203</v>
      </c>
      <c r="L26">
        <v>0.002</v>
      </c>
      <c r="M26">
        <v>0.0030415222889943099</v>
      </c>
      <c r="N26">
        <v>0.0042581434154369702</v>
      </c>
      <c r="O26">
        <v>0.0034102939388338601</v>
      </c>
      <c r="P26">
        <v>0.0036540878403332499</v>
      </c>
      <c r="Q26">
        <v>0.0035508103674260398</v>
      </c>
      <c r="S26">
        <v>0.00282814602417679</v>
      </c>
      <c r="T26">
        <v>0.0032488705943226602</v>
      </c>
      <c r="U26">
        <v>0.0028361456877566298</v>
      </c>
      <c r="V26">
        <v>0.0027660559835486899</v>
      </c>
      <c r="W26">
        <v>0.0056268447984466202</v>
      </c>
      <c r="X26">
        <v>0.0038085079249353302</v>
      </c>
      <c r="Y26">
        <v>0.0026293573109243702</v>
      </c>
      <c r="Z26">
        <v>0.0046456785706277598</v>
      </c>
      <c r="AA26">
        <v>0.0030876066146761599</v>
      </c>
      <c r="AB26">
        <v>0.0027436497090527899</v>
      </c>
      <c r="AC26">
        <v>0.0029707409502925399</v>
      </c>
      <c r="AD26">
        <v>0.002</v>
      </c>
      <c r="AE26">
        <v>0.00245637074056372</v>
      </c>
      <c r="AF26">
        <v>0.002</v>
      </c>
      <c r="AG26">
        <v>0.0024095486640133101</v>
      </c>
      <c r="AH26">
        <v>0.00289512767497408</v>
      </c>
      <c r="AI26">
        <v>0.0018732826292421499</v>
      </c>
      <c r="AJ26">
        <v>0.002</v>
      </c>
      <c r="AK26">
        <v>0.002</v>
      </c>
      <c r="AM26">
        <v>0.0033326076925638301</v>
      </c>
      <c r="AN26">
        <v>0.0074120673285544801</v>
      </c>
      <c r="AO26">
        <v>0.0031582031254655</v>
      </c>
      <c r="AP26">
        <v>0.015925988068439</v>
      </c>
      <c r="AQ26">
        <v>0.0026716940978137199</v>
      </c>
      <c r="AR26">
        <v>0.0048263692079581399</v>
      </c>
      <c r="AS26">
        <v>0.00265130540461551</v>
      </c>
      <c r="AT26">
        <v>0.0023401915005250799</v>
      </c>
      <c r="AU26">
        <v>0.0036328190444342499</v>
      </c>
      <c r="AV26">
        <v>0.0020315868994864</v>
      </c>
      <c r="AW26" t="s">
        <v>203</v>
      </c>
    </row>
    <row r="27" spans="1:49" ht="12.75">
      <c r="A27" t="s">
        <v>201</v>
      </c>
      <c r="B27" t="s">
        <v>114</v>
      </c>
      <c r="C27" t="s">
        <v>258</v>
      </c>
      <c r="D27" t="s">
        <v>203</v>
      </c>
      <c r="E27" t="s">
        <v>203</v>
      </c>
      <c r="F27" t="s">
        <v>203</v>
      </c>
      <c r="G27" t="s">
        <v>203</v>
      </c>
      <c r="H27" t="s">
        <v>203</v>
      </c>
      <c r="I27" t="s">
        <v>203</v>
      </c>
      <c r="J27" t="s">
        <v>203</v>
      </c>
      <c r="K27" t="s">
        <v>203</v>
      </c>
      <c r="L27">
        <v>0.0096401693011622103</v>
      </c>
      <c r="M27">
        <v>0.0030415222889943099</v>
      </c>
      <c r="N27">
        <v>0.002</v>
      </c>
      <c r="O27">
        <v>0.0034102939388338601</v>
      </c>
      <c r="P27">
        <v>0.0036540878403332499</v>
      </c>
      <c r="Q27">
        <v>0.002</v>
      </c>
      <c r="R27">
        <v>0.0031425495224675199</v>
      </c>
      <c r="S27">
        <v>0.00282814602417679</v>
      </c>
      <c r="T27">
        <v>0.0032488705943226602</v>
      </c>
      <c r="U27">
        <v>0.0028361456877566298</v>
      </c>
      <c r="V27">
        <v>0.0027660559835486899</v>
      </c>
      <c r="W27">
        <v>0.0056268447984466202</v>
      </c>
      <c r="X27">
        <v>0.0038085079249353302</v>
      </c>
      <c r="Y27">
        <v>0.0026293573109243702</v>
      </c>
      <c r="Z27">
        <v>0.0046456785706277598</v>
      </c>
      <c r="AA27">
        <v>0.0030876066146761599</v>
      </c>
      <c r="AB27">
        <v>0.0027436497090527899</v>
      </c>
      <c r="AC27">
        <v>0.0029707409502925399</v>
      </c>
      <c r="AD27">
        <v>0.0022971797935458001</v>
      </c>
      <c r="AE27">
        <v>0.00245637074056372</v>
      </c>
      <c r="AF27">
        <v>0.00375506972701621</v>
      </c>
      <c r="AG27">
        <v>0.0024095486640133101</v>
      </c>
      <c r="AH27">
        <v>0.00289512767497408</v>
      </c>
      <c r="AI27">
        <v>0.0018732826292421499</v>
      </c>
      <c r="AJ27">
        <v>0.002</v>
      </c>
      <c r="AK27">
        <v>0.0052408564883108097</v>
      </c>
      <c r="AL27">
        <v>0.0040464055195662601</v>
      </c>
      <c r="AM27">
        <v>0.0033326076925638301</v>
      </c>
      <c r="AN27">
        <v>0.0074120673285544801</v>
      </c>
      <c r="AO27">
        <v>0.0031582031254655</v>
      </c>
      <c r="AP27">
        <v>0.015925988068439</v>
      </c>
      <c r="AQ27">
        <v>0.0026716940978137199</v>
      </c>
      <c r="AR27">
        <v>0.0048263692079581399</v>
      </c>
      <c r="AT27">
        <v>0.0023401915005250799</v>
      </c>
      <c r="AU27">
        <v>0.0036328190444342499</v>
      </c>
      <c r="AV27">
        <v>0.0020315868994864</v>
      </c>
      <c r="AW27" t="s">
        <v>203</v>
      </c>
    </row>
    <row r="28" spans="1:49" ht="12.75">
      <c r="A28" t="s">
        <v>201</v>
      </c>
      <c r="B28" t="s">
        <v>114</v>
      </c>
      <c r="C28" t="s">
        <v>257</v>
      </c>
      <c r="D28" t="s">
        <v>203</v>
      </c>
      <c r="E28" t="s">
        <v>203</v>
      </c>
      <c r="F28" t="s">
        <v>203</v>
      </c>
      <c r="G28" t="s">
        <v>203</v>
      </c>
      <c r="H28" t="s">
        <v>203</v>
      </c>
      <c r="I28" t="s">
        <v>203</v>
      </c>
      <c r="J28" t="s">
        <v>203</v>
      </c>
      <c r="K28" t="s">
        <v>203</v>
      </c>
      <c r="L28">
        <v>0.0096401693011622103</v>
      </c>
      <c r="M28">
        <v>0.0030415222889943099</v>
      </c>
      <c r="P28">
        <v>0.0036540878403332499</v>
      </c>
      <c r="Q28">
        <v>0.002</v>
      </c>
      <c r="S28">
        <v>0.00282814602417679</v>
      </c>
      <c r="V28">
        <v>0.0027660559835486899</v>
      </c>
      <c r="W28">
        <v>0.0056268447984466202</v>
      </c>
      <c r="X28">
        <v>0.0038085079249353302</v>
      </c>
      <c r="AB28">
        <v>0.0027436497090527899</v>
      </c>
      <c r="AD28">
        <v>0.002</v>
      </c>
      <c r="AG28">
        <v>0.0024095486640133101</v>
      </c>
      <c r="AI28">
        <v>0.0018732826292421499</v>
      </c>
      <c r="AJ28">
        <v>0.0079551734298874497</v>
      </c>
      <c r="AK28">
        <v>0.002</v>
      </c>
      <c r="AN28">
        <v>0.002</v>
      </c>
      <c r="AO28">
        <v>0.0031582031254655</v>
      </c>
      <c r="AP28">
        <v>0.015925988068439</v>
      </c>
      <c r="AQ28">
        <v>0.0026716940978137199</v>
      </c>
      <c r="AT28">
        <v>0.0023401915005250799</v>
      </c>
      <c r="AW28" t="s">
        <v>203</v>
      </c>
    </row>
    <row r="29" spans="1:49" ht="12.75">
      <c r="A29" t="s">
        <v>201</v>
      </c>
      <c r="B29" t="s">
        <v>114</v>
      </c>
      <c r="C29" t="s">
        <v>256</v>
      </c>
      <c r="D29" t="s">
        <v>203</v>
      </c>
      <c r="E29" t="s">
        <v>203</v>
      </c>
      <c r="F29" t="s">
        <v>203</v>
      </c>
      <c r="G29" t="s">
        <v>203</v>
      </c>
      <c r="H29" t="s">
        <v>203</v>
      </c>
      <c r="I29" t="s">
        <v>203</v>
      </c>
      <c r="J29" t="s">
        <v>203</v>
      </c>
      <c r="K29" t="s">
        <v>203</v>
      </c>
      <c r="M29">
        <v>0.0030415222889943099</v>
      </c>
      <c r="P29">
        <v>0.0036540878403332499</v>
      </c>
      <c r="Q29">
        <v>0.002</v>
      </c>
      <c r="X29">
        <v>0.0038085079249353302</v>
      </c>
      <c r="AB29">
        <v>0.0027436497090527899</v>
      </c>
      <c r="AD29">
        <v>0.002</v>
      </c>
      <c r="AN29">
        <v>0.002</v>
      </c>
      <c r="AO29">
        <v>0.0031582031254655</v>
      </c>
      <c r="AW29" t="s">
        <v>203</v>
      </c>
    </row>
    <row r="30" spans="1:49" ht="12.75">
      <c r="A30" t="s">
        <v>201</v>
      </c>
      <c r="B30" t="s">
        <v>114</v>
      </c>
      <c r="C30" t="s">
        <v>255</v>
      </c>
      <c r="D30" t="s">
        <v>203</v>
      </c>
      <c r="E30" t="s">
        <v>203</v>
      </c>
      <c r="F30" t="s">
        <v>203</v>
      </c>
      <c r="G30" t="s">
        <v>203</v>
      </c>
      <c r="H30" t="s">
        <v>203</v>
      </c>
      <c r="I30" t="s">
        <v>203</v>
      </c>
      <c r="J30" t="s">
        <v>203</v>
      </c>
      <c r="K30" t="s">
        <v>203</v>
      </c>
      <c r="L30">
        <v>0.0096401693011622103</v>
      </c>
      <c r="M30">
        <v>0.0030415222889943099</v>
      </c>
      <c r="N30">
        <v>0.0042581434154369702</v>
      </c>
      <c r="O30">
        <v>0.0034102939388338601</v>
      </c>
      <c r="P30">
        <v>0.0036540878403332499</v>
      </c>
      <c r="Q30">
        <v>0.0035508103674260398</v>
      </c>
      <c r="R30">
        <v>0.0031425495224675199</v>
      </c>
      <c r="S30">
        <v>0.00282814602417679</v>
      </c>
      <c r="T30">
        <v>0.0032488705943226602</v>
      </c>
      <c r="U30">
        <v>0.0028361456877566298</v>
      </c>
      <c r="V30">
        <v>0.0027660559835486899</v>
      </c>
      <c r="W30">
        <v>0.0056268447984466202</v>
      </c>
      <c r="X30">
        <v>0.0038085079249353302</v>
      </c>
      <c r="Y30">
        <v>0.0026293573109243702</v>
      </c>
      <c r="Z30">
        <v>0.0046456785706277598</v>
      </c>
      <c r="AA30">
        <v>0.0030876066146761599</v>
      </c>
      <c r="AB30">
        <v>0.0027436497090527899</v>
      </c>
      <c r="AC30">
        <v>0.0029707409502925399</v>
      </c>
      <c r="AD30">
        <v>0.0022971797935458001</v>
      </c>
      <c r="AE30">
        <v>0.00245637074056372</v>
      </c>
      <c r="AF30">
        <v>0.00375506972701621</v>
      </c>
      <c r="AG30">
        <v>0.0024095486640133101</v>
      </c>
      <c r="AH30">
        <v>0.00289512767497408</v>
      </c>
      <c r="AI30">
        <v>0.0018732826292421499</v>
      </c>
      <c r="AJ30">
        <v>0.0079551734298874497</v>
      </c>
      <c r="AK30">
        <v>0.0052408564883108097</v>
      </c>
      <c r="AL30">
        <v>0.0040464055195662601</v>
      </c>
      <c r="AM30">
        <v>0.0033326076925638301</v>
      </c>
      <c r="AN30">
        <v>0.0074120673285544697</v>
      </c>
      <c r="AO30">
        <v>0.0031582031254655</v>
      </c>
      <c r="AP30">
        <v>0.015925988068439</v>
      </c>
      <c r="AQ30">
        <v>0.0026716940978137199</v>
      </c>
      <c r="AR30">
        <v>0.0048263692079581399</v>
      </c>
      <c r="AS30">
        <v>0.00265130540461551</v>
      </c>
      <c r="AT30">
        <v>0.0023401915005250799</v>
      </c>
      <c r="AU30">
        <v>0.0036328190444342499</v>
      </c>
      <c r="AV30">
        <v>0.0020315868994864</v>
      </c>
      <c r="AW30" t="s">
        <v>203</v>
      </c>
    </row>
    <row r="31" spans="1:49" ht="12.75">
      <c r="A31" t="s">
        <v>201</v>
      </c>
      <c r="B31" t="s">
        <v>114</v>
      </c>
      <c r="C31" t="s">
        <v>254</v>
      </c>
      <c r="D31" t="s">
        <v>203</v>
      </c>
      <c r="E31" t="s">
        <v>203</v>
      </c>
      <c r="F31" t="s">
        <v>203</v>
      </c>
      <c r="G31" t="s">
        <v>203</v>
      </c>
      <c r="H31" t="s">
        <v>203</v>
      </c>
      <c r="I31" t="s">
        <v>203</v>
      </c>
      <c r="J31" t="s">
        <v>203</v>
      </c>
      <c r="K31" t="s">
        <v>203</v>
      </c>
      <c r="L31">
        <v>0.002</v>
      </c>
      <c r="M31">
        <v>0.0030415222889943099</v>
      </c>
      <c r="N31">
        <v>0.0042581434154369702</v>
      </c>
      <c r="O31">
        <v>0.0034102939388338601</v>
      </c>
      <c r="P31">
        <v>0.0036540878403332499</v>
      </c>
      <c r="Q31">
        <v>0.0035508103674260398</v>
      </c>
      <c r="S31">
        <v>0.00282814602417679</v>
      </c>
      <c r="T31">
        <v>0.0032488705943226602</v>
      </c>
      <c r="U31">
        <v>0.0028361456877566298</v>
      </c>
      <c r="V31">
        <v>0.0027660559835486899</v>
      </c>
      <c r="W31">
        <v>0.0056268447984466202</v>
      </c>
      <c r="X31">
        <v>0.0038085079249353302</v>
      </c>
      <c r="Y31">
        <v>0.0026293573109243702</v>
      </c>
      <c r="Z31">
        <v>0.0046456785706277598</v>
      </c>
      <c r="AA31">
        <v>0.0030876066146761599</v>
      </c>
      <c r="AB31">
        <v>0.0027436497090527899</v>
      </c>
      <c r="AC31">
        <v>0.0029707409502925399</v>
      </c>
      <c r="AD31">
        <v>0.002</v>
      </c>
      <c r="AE31">
        <v>0.00245637074056372</v>
      </c>
      <c r="AF31">
        <v>0.002</v>
      </c>
      <c r="AG31">
        <v>0.0024095486640133101</v>
      </c>
      <c r="AH31">
        <v>0.00289512767497408</v>
      </c>
      <c r="AI31">
        <v>0.0018732826292421499</v>
      </c>
      <c r="AJ31">
        <v>0.002</v>
      </c>
      <c r="AK31">
        <v>0.002</v>
      </c>
      <c r="AM31">
        <v>0.0033326076925638301</v>
      </c>
      <c r="AN31">
        <v>0.0074120673285544801</v>
      </c>
      <c r="AO31">
        <v>0.0031582031254655</v>
      </c>
      <c r="AP31">
        <v>0.015925988068439</v>
      </c>
      <c r="AQ31">
        <v>0.0026716940978137199</v>
      </c>
      <c r="AR31">
        <v>0.0048263692079581399</v>
      </c>
      <c r="AS31">
        <v>0.00265130540461551</v>
      </c>
      <c r="AT31">
        <v>0.0023401915005250799</v>
      </c>
      <c r="AU31">
        <v>0.0036328190444342499</v>
      </c>
      <c r="AV31">
        <v>0.0020315868994864</v>
      </c>
      <c r="AW31" t="s">
        <v>203</v>
      </c>
    </row>
    <row r="32" spans="1:49" ht="12.75">
      <c r="A32" t="s">
        <v>201</v>
      </c>
      <c r="B32" t="s">
        <v>114</v>
      </c>
      <c r="C32" t="s">
        <v>253</v>
      </c>
      <c r="D32" t="s">
        <v>203</v>
      </c>
      <c r="E32" t="s">
        <v>203</v>
      </c>
      <c r="F32" t="s">
        <v>203</v>
      </c>
      <c r="G32" t="s">
        <v>203</v>
      </c>
      <c r="H32" t="s">
        <v>203</v>
      </c>
      <c r="I32" t="s">
        <v>203</v>
      </c>
      <c r="J32" t="s">
        <v>203</v>
      </c>
      <c r="K32" t="s">
        <v>203</v>
      </c>
      <c r="L32">
        <v>0.0096401693011622103</v>
      </c>
      <c r="M32">
        <v>0.0030415222889943099</v>
      </c>
      <c r="N32">
        <v>0.002</v>
      </c>
      <c r="O32">
        <v>0.0034102939388338601</v>
      </c>
      <c r="P32">
        <v>0.0036540878403332499</v>
      </c>
      <c r="Q32">
        <v>0.002</v>
      </c>
      <c r="R32">
        <v>0.0031425495224675199</v>
      </c>
      <c r="S32">
        <v>0.00282814602417679</v>
      </c>
      <c r="T32">
        <v>0.0032488705943226602</v>
      </c>
      <c r="U32">
        <v>0.0028361456877566298</v>
      </c>
      <c r="V32">
        <v>0.0027660559835486899</v>
      </c>
      <c r="W32">
        <v>0.0056268447984466202</v>
      </c>
      <c r="X32">
        <v>0.0038085079249353302</v>
      </c>
      <c r="Y32">
        <v>0.0026293573109243702</v>
      </c>
      <c r="Z32">
        <v>0.0046456785706277598</v>
      </c>
      <c r="AA32">
        <v>0.0030876066146761599</v>
      </c>
      <c r="AB32">
        <v>0.0027436497090527899</v>
      </c>
      <c r="AC32">
        <v>0.0029707409502925399</v>
      </c>
      <c r="AD32">
        <v>0.0022971797935458001</v>
      </c>
      <c r="AE32">
        <v>0.00245637074056372</v>
      </c>
      <c r="AF32">
        <v>0.00375506972701621</v>
      </c>
      <c r="AG32">
        <v>0.0024095486640133101</v>
      </c>
      <c r="AH32">
        <v>0.00289512767497408</v>
      </c>
      <c r="AI32">
        <v>0.0018732826292421499</v>
      </c>
      <c r="AJ32">
        <v>0.002</v>
      </c>
      <c r="AK32">
        <v>0.0052408564883108097</v>
      </c>
      <c r="AL32">
        <v>0.0040464055195662601</v>
      </c>
      <c r="AM32">
        <v>0.0033326076925638301</v>
      </c>
      <c r="AN32">
        <v>0.0074120673285544801</v>
      </c>
      <c r="AO32">
        <v>0.0031582031254655</v>
      </c>
      <c r="AP32">
        <v>0.015925988068439</v>
      </c>
      <c r="AQ32">
        <v>0.0026716940978137199</v>
      </c>
      <c r="AR32">
        <v>0.0048263692079581399</v>
      </c>
      <c r="AT32">
        <v>0.0023401915005250799</v>
      </c>
      <c r="AU32">
        <v>0.0036328190444342499</v>
      </c>
      <c r="AV32">
        <v>0.0020315868994864</v>
      </c>
      <c r="AW32" t="s">
        <v>203</v>
      </c>
    </row>
    <row r="33" spans="1:49" ht="12.75">
      <c r="A33" t="s">
        <v>201</v>
      </c>
      <c r="B33" t="s">
        <v>114</v>
      </c>
      <c r="C33" t="s">
        <v>252</v>
      </c>
      <c r="D33" t="s">
        <v>203</v>
      </c>
      <c r="E33" t="s">
        <v>203</v>
      </c>
      <c r="F33" t="s">
        <v>203</v>
      </c>
      <c r="G33" t="s">
        <v>203</v>
      </c>
      <c r="H33" t="s">
        <v>203</v>
      </c>
      <c r="I33" t="s">
        <v>203</v>
      </c>
      <c r="J33" t="s">
        <v>203</v>
      </c>
      <c r="K33" t="s">
        <v>203</v>
      </c>
      <c r="L33">
        <v>0.0096401693011622103</v>
      </c>
      <c r="M33">
        <v>0.0030415222889943099</v>
      </c>
      <c r="P33">
        <v>0.0036540878403332499</v>
      </c>
      <c r="Q33">
        <v>0.002</v>
      </c>
      <c r="S33">
        <v>0.00282814602417679</v>
      </c>
      <c r="V33">
        <v>0.0027660559835486899</v>
      </c>
      <c r="W33">
        <v>0.0056268447984466202</v>
      </c>
      <c r="X33">
        <v>0.0038085079249353302</v>
      </c>
      <c r="AB33">
        <v>0.0027436497090527899</v>
      </c>
      <c r="AD33">
        <v>0.002</v>
      </c>
      <c r="AG33">
        <v>0.0024095486640133101</v>
      </c>
      <c r="AI33">
        <v>0.0018732826292421499</v>
      </c>
      <c r="AJ33">
        <v>0.0079551734298874497</v>
      </c>
      <c r="AK33">
        <v>0.002</v>
      </c>
      <c r="AN33">
        <v>0.002</v>
      </c>
      <c r="AO33">
        <v>0.0031582031254655</v>
      </c>
      <c r="AP33">
        <v>0.015925988068439</v>
      </c>
      <c r="AQ33">
        <v>0.0026716940978137199</v>
      </c>
      <c r="AT33">
        <v>0.0023401915005250799</v>
      </c>
      <c r="AW33" t="s">
        <v>203</v>
      </c>
    </row>
    <row r="34" spans="1:49" ht="12.75">
      <c r="A34" t="s">
        <v>201</v>
      </c>
      <c r="B34" t="s">
        <v>114</v>
      </c>
      <c r="C34" t="s">
        <v>251</v>
      </c>
      <c r="D34" t="s">
        <v>203</v>
      </c>
      <c r="E34" t="s">
        <v>203</v>
      </c>
      <c r="F34" t="s">
        <v>203</v>
      </c>
      <c r="G34" t="s">
        <v>203</v>
      </c>
      <c r="H34" t="s">
        <v>203</v>
      </c>
      <c r="I34" t="s">
        <v>203</v>
      </c>
      <c r="J34" t="s">
        <v>203</v>
      </c>
      <c r="K34" t="s">
        <v>203</v>
      </c>
      <c r="M34">
        <v>0.0030415222889943099</v>
      </c>
      <c r="P34">
        <v>0.0036540878403332499</v>
      </c>
      <c r="Q34">
        <v>0.002</v>
      </c>
      <c r="X34">
        <v>0.0038085079249353302</v>
      </c>
      <c r="AB34">
        <v>0.0027436497090527899</v>
      </c>
      <c r="AD34">
        <v>0.002</v>
      </c>
      <c r="AN34">
        <v>0.002</v>
      </c>
      <c r="AO34">
        <v>0.0031582031254655</v>
      </c>
      <c r="AW34" t="s">
        <v>203</v>
      </c>
    </row>
    <row r="35" spans="1:49" ht="12.75">
      <c r="A35" t="s">
        <v>201</v>
      </c>
      <c r="B35" t="s">
        <v>114</v>
      </c>
      <c r="C35" t="s">
        <v>250</v>
      </c>
      <c r="D35" t="s">
        <v>203</v>
      </c>
      <c r="E35" t="s">
        <v>203</v>
      </c>
      <c r="F35" t="s">
        <v>203</v>
      </c>
      <c r="G35" t="s">
        <v>203</v>
      </c>
      <c r="H35" t="s">
        <v>203</v>
      </c>
      <c r="I35" t="s">
        <v>203</v>
      </c>
      <c r="J35" t="s">
        <v>203</v>
      </c>
      <c r="K35" t="s">
        <v>203</v>
      </c>
      <c r="L35">
        <v>0.0096401693011622103</v>
      </c>
      <c r="M35">
        <v>0.0030415222889943099</v>
      </c>
      <c r="N35">
        <v>0.0042581434154369702</v>
      </c>
      <c r="O35">
        <v>0.0034102939388338601</v>
      </c>
      <c r="P35">
        <v>0.0036540878403332499</v>
      </c>
      <c r="Q35">
        <v>0.0035508103674260398</v>
      </c>
      <c r="R35">
        <v>0.0031425495224675199</v>
      </c>
      <c r="S35">
        <v>0.00282814602417679</v>
      </c>
      <c r="T35">
        <v>0.0032488705943226602</v>
      </c>
      <c r="U35">
        <v>0.0028361456877566298</v>
      </c>
      <c r="V35">
        <v>0.0027660559835486899</v>
      </c>
      <c r="W35">
        <v>0.0056268447984466202</v>
      </c>
      <c r="X35">
        <v>0.0038085079249353302</v>
      </c>
      <c r="Y35">
        <v>0.0026293573109243702</v>
      </c>
      <c r="Z35">
        <v>0.0046456785706277598</v>
      </c>
      <c r="AA35">
        <v>0.0030876066146761599</v>
      </c>
      <c r="AB35">
        <v>0.0027436497090527899</v>
      </c>
      <c r="AC35">
        <v>0.0029707409502925399</v>
      </c>
      <c r="AD35">
        <v>0.0022971797935458001</v>
      </c>
      <c r="AE35">
        <v>0.00245637074056372</v>
      </c>
      <c r="AF35">
        <v>0.00375506972701621</v>
      </c>
      <c r="AG35">
        <v>0.0024095486640133101</v>
      </c>
      <c r="AH35">
        <v>0.00289512767497408</v>
      </c>
      <c r="AI35">
        <v>0.0018732826292421499</v>
      </c>
      <c r="AJ35">
        <v>0.0079551734298874497</v>
      </c>
      <c r="AK35">
        <v>0.0052408564883108097</v>
      </c>
      <c r="AL35">
        <v>0.0040464055195662601</v>
      </c>
      <c r="AM35">
        <v>0.0033326076925638301</v>
      </c>
      <c r="AN35">
        <v>0.0074120673285544697</v>
      </c>
      <c r="AO35">
        <v>0.0031582031254655</v>
      </c>
      <c r="AP35">
        <v>0.015925988068439</v>
      </c>
      <c r="AQ35">
        <v>0.0026716940978137199</v>
      </c>
      <c r="AR35">
        <v>0.0048263692079581399</v>
      </c>
      <c r="AS35">
        <v>0.00265130540461551</v>
      </c>
      <c r="AT35">
        <v>0.0023401915005250799</v>
      </c>
      <c r="AU35">
        <v>0.0036328190444342499</v>
      </c>
      <c r="AV35">
        <v>0.0020315868994864</v>
      </c>
      <c r="AW35" t="s">
        <v>203</v>
      </c>
    </row>
    <row r="36" spans="1:49" ht="12.75">
      <c r="A36" t="s">
        <v>201</v>
      </c>
      <c r="B36" t="s">
        <v>114</v>
      </c>
      <c r="C36" t="s">
        <v>249</v>
      </c>
      <c r="D36" t="s">
        <v>203</v>
      </c>
      <c r="E36" t="s">
        <v>203</v>
      </c>
      <c r="F36" t="s">
        <v>203</v>
      </c>
      <c r="G36" t="s">
        <v>203</v>
      </c>
      <c r="H36" t="s">
        <v>203</v>
      </c>
      <c r="I36" t="s">
        <v>203</v>
      </c>
      <c r="J36" t="s">
        <v>203</v>
      </c>
      <c r="K36" t="s">
        <v>203</v>
      </c>
      <c r="L36">
        <v>0.002</v>
      </c>
      <c r="M36">
        <v>0.0030415222889943099</v>
      </c>
      <c r="N36">
        <v>0.0042581434154369702</v>
      </c>
      <c r="O36">
        <v>0.0034102939388338601</v>
      </c>
      <c r="P36">
        <v>0.0036540878403332499</v>
      </c>
      <c r="Q36">
        <v>0.0035508103674260398</v>
      </c>
      <c r="S36">
        <v>0.00282814602417679</v>
      </c>
      <c r="T36">
        <v>0.0032488705943226602</v>
      </c>
      <c r="U36">
        <v>0.0028361456877566298</v>
      </c>
      <c r="V36">
        <v>0.0027660559835486899</v>
      </c>
      <c r="W36">
        <v>0.0056268447984466202</v>
      </c>
      <c r="X36">
        <v>0.0038085079249353302</v>
      </c>
      <c r="Y36">
        <v>0.0026293573109243702</v>
      </c>
      <c r="Z36">
        <v>0.0046456785706277598</v>
      </c>
      <c r="AA36">
        <v>0.0030876066146761599</v>
      </c>
      <c r="AB36">
        <v>0.0027436497090527899</v>
      </c>
      <c r="AC36">
        <v>0.0029707409502925399</v>
      </c>
      <c r="AD36">
        <v>0.002</v>
      </c>
      <c r="AE36">
        <v>0.00245637074056372</v>
      </c>
      <c r="AF36">
        <v>0.002</v>
      </c>
      <c r="AG36">
        <v>0.0024095486640133101</v>
      </c>
      <c r="AH36">
        <v>0.00289512767497408</v>
      </c>
      <c r="AI36">
        <v>0.0018732826292421499</v>
      </c>
      <c r="AJ36">
        <v>0.002</v>
      </c>
      <c r="AK36">
        <v>0.002</v>
      </c>
      <c r="AM36">
        <v>0.0033326076925638301</v>
      </c>
      <c r="AN36">
        <v>0.0074120673285544801</v>
      </c>
      <c r="AO36">
        <v>0.0031582031254655</v>
      </c>
      <c r="AP36">
        <v>0.015925988068439</v>
      </c>
      <c r="AQ36">
        <v>0.0026716940978137199</v>
      </c>
      <c r="AR36">
        <v>0.0048263692079581399</v>
      </c>
      <c r="AS36">
        <v>0.00265130540461551</v>
      </c>
      <c r="AT36">
        <v>0.0023401915005250799</v>
      </c>
      <c r="AU36">
        <v>0.0036328190444342499</v>
      </c>
      <c r="AV36">
        <v>0.0020315868994864</v>
      </c>
      <c r="AW36" t="s">
        <v>203</v>
      </c>
    </row>
    <row r="37" spans="1:49" ht="12.75">
      <c r="A37" t="s">
        <v>201</v>
      </c>
      <c r="B37" t="s">
        <v>114</v>
      </c>
      <c r="C37" t="s">
        <v>248</v>
      </c>
      <c r="D37" t="s">
        <v>203</v>
      </c>
      <c r="E37" t="s">
        <v>203</v>
      </c>
      <c r="F37" t="s">
        <v>203</v>
      </c>
      <c r="G37" t="s">
        <v>203</v>
      </c>
      <c r="H37" t="s">
        <v>203</v>
      </c>
      <c r="I37" t="s">
        <v>203</v>
      </c>
      <c r="J37" t="s">
        <v>203</v>
      </c>
      <c r="K37" t="s">
        <v>203</v>
      </c>
      <c r="L37">
        <v>0.0096401693011622103</v>
      </c>
      <c r="M37">
        <v>0.0030415222889943099</v>
      </c>
      <c r="N37">
        <v>0.002</v>
      </c>
      <c r="O37">
        <v>0.0034102939388338601</v>
      </c>
      <c r="P37">
        <v>0.0036540878403332499</v>
      </c>
      <c r="Q37">
        <v>0.002</v>
      </c>
      <c r="R37">
        <v>0.0031425495224675199</v>
      </c>
      <c r="S37">
        <v>0.00282814602417679</v>
      </c>
      <c r="T37">
        <v>0.0032488705943226602</v>
      </c>
      <c r="U37">
        <v>0.0028361456877566298</v>
      </c>
      <c r="V37">
        <v>0.0027660559835486899</v>
      </c>
      <c r="W37">
        <v>0.0056268447984466202</v>
      </c>
      <c r="X37">
        <v>0.0038085079249353302</v>
      </c>
      <c r="Y37">
        <v>0.0026293573109243702</v>
      </c>
      <c r="Z37">
        <v>0.0046456785706277598</v>
      </c>
      <c r="AA37">
        <v>0.0030876066146761599</v>
      </c>
      <c r="AB37">
        <v>0.0027436497090527899</v>
      </c>
      <c r="AC37">
        <v>0.0029707409502925399</v>
      </c>
      <c r="AD37">
        <v>0.0022971797935458001</v>
      </c>
      <c r="AE37">
        <v>0.00245637074056372</v>
      </c>
      <c r="AF37">
        <v>0.00375506972701621</v>
      </c>
      <c r="AG37">
        <v>0.0024095486640133101</v>
      </c>
      <c r="AH37">
        <v>0.00289512767497408</v>
      </c>
      <c r="AI37">
        <v>0.0018732826292421499</v>
      </c>
      <c r="AJ37">
        <v>0.002</v>
      </c>
      <c r="AK37">
        <v>0.0052408564883108097</v>
      </c>
      <c r="AL37">
        <v>0.0040464055195662601</v>
      </c>
      <c r="AM37">
        <v>0.0033326076925638301</v>
      </c>
      <c r="AN37">
        <v>0.0074120673285544801</v>
      </c>
      <c r="AO37">
        <v>0.0031582031254655</v>
      </c>
      <c r="AP37">
        <v>0.015925988068439</v>
      </c>
      <c r="AQ37">
        <v>0.0026716940978137199</v>
      </c>
      <c r="AR37">
        <v>0.0048263692079581399</v>
      </c>
      <c r="AT37">
        <v>0.0023401915005250799</v>
      </c>
      <c r="AU37">
        <v>0.0036328190444342499</v>
      </c>
      <c r="AV37">
        <v>0.0020315868994864</v>
      </c>
      <c r="AW37" t="s">
        <v>203</v>
      </c>
    </row>
  </sheetData>
  <pageMargins left="0.7" right="0.7" top="0.75" bottom="0.75" header="0.3" footer="0.3"/>
  <pageSetup orientation="portrait" paperSize="1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499900013208389"/>
  </sheetPr>
  <dimension ref="B1:AN164"/>
  <sheetViews>
    <sheetView zoomScale="85" zoomScaleNormal="85" workbookViewId="0" topLeftCell="A1">
      <pane ySplit="3" topLeftCell="A4" activePane="bottomLeft" state="frozen"/>
      <selection pane="topLeft" activeCell="M19" sqref="M19"/>
      <selection pane="bottomLeft" activeCell="L1" sqref="L1"/>
    </sheetView>
  </sheetViews>
  <sheetFormatPr defaultColWidth="9.14428571428571" defaultRowHeight="12.75"/>
  <cols>
    <col min="3" max="3" width="29" bestFit="1" customWidth="1"/>
    <col min="4" max="4" width="7.14285714285714" customWidth="1"/>
    <col min="11" max="11" width="2.14285714285714" customWidth="1"/>
    <col min="21" max="21" width="2.14285714285714" customWidth="1"/>
    <col min="31" max="31" width="2.14285714285714" customWidth="1"/>
  </cols>
  <sheetData>
    <row r="1" spans="2:40" ht="21">
      <c r="B1" s="84" t="s">
        <v>472</v>
      </c>
      <c r="C1" s="84"/>
      <c r="D1" s="84"/>
      <c r="E1" s="85"/>
      <c r="F1" s="85"/>
      <c r="G1" s="85"/>
      <c r="H1" s="85"/>
      <c r="I1" s="85"/>
      <c r="J1" s="85"/>
      <c r="K1" s="85"/>
      <c r="L1" s="84" t="s">
        <v>473</v>
      </c>
      <c r="M1" s="84"/>
      <c r="N1" s="84"/>
      <c r="O1" s="85"/>
      <c r="P1" s="85"/>
      <c r="Q1" s="85"/>
      <c r="R1" s="85"/>
      <c r="S1" s="85"/>
      <c r="T1" s="85"/>
      <c r="V1" s="84" t="s">
        <v>474</v>
      </c>
      <c r="W1" s="84"/>
      <c r="X1" s="84"/>
      <c r="Y1" s="85"/>
      <c r="Z1" s="85"/>
      <c r="AA1" s="85"/>
      <c r="AB1" s="85"/>
      <c r="AC1" s="85"/>
      <c r="AD1" s="85"/>
      <c r="AE1" s="85"/>
      <c r="AF1" s="84" t="s">
        <v>475</v>
      </c>
      <c r="AG1" s="84"/>
      <c r="AH1" s="84"/>
      <c r="AI1" s="85"/>
      <c r="AJ1" s="85"/>
      <c r="AK1" s="85"/>
      <c r="AL1" s="85"/>
      <c r="AM1" s="85"/>
      <c r="AN1" s="85"/>
    </row>
    <row r="2" spans="2:40" ht="15">
      <c r="B2" s="86" t="s">
        <v>865</v>
      </c>
      <c r="C2" s="87"/>
      <c r="D2" s="87"/>
      <c r="E2" s="86"/>
      <c r="F2" s="87"/>
      <c r="G2" s="87"/>
      <c r="H2" s="87"/>
      <c r="I2" s="87"/>
      <c r="J2" s="87"/>
      <c r="K2" s="85"/>
      <c r="L2" s="86" t="s">
        <v>865</v>
      </c>
      <c r="M2" s="87"/>
      <c r="N2" s="87"/>
      <c r="O2" s="86"/>
      <c r="P2" s="87"/>
      <c r="Q2" s="87"/>
      <c r="R2" s="87"/>
      <c r="S2" s="87"/>
      <c r="T2" s="87"/>
      <c r="V2" s="86" t="s">
        <v>865</v>
      </c>
      <c r="W2" s="87"/>
      <c r="X2" s="87"/>
      <c r="Y2" s="86"/>
      <c r="Z2" s="87"/>
      <c r="AA2" s="87"/>
      <c r="AB2" s="87"/>
      <c r="AC2" s="87"/>
      <c r="AD2" s="87"/>
      <c r="AE2" s="85"/>
      <c r="AF2" s="86" t="s">
        <v>865</v>
      </c>
      <c r="AG2" s="87"/>
      <c r="AH2" s="87"/>
      <c r="AI2" s="86"/>
      <c r="AJ2" s="87"/>
      <c r="AK2" s="87"/>
      <c r="AL2" s="87"/>
      <c r="AM2" s="87"/>
      <c r="AN2" s="87"/>
    </row>
    <row r="3" spans="2:40" ht="15.75" thickBot="1">
      <c r="B3" s="88" t="s">
        <v>35</v>
      </c>
      <c r="C3" s="88" t="s">
        <v>397</v>
      </c>
      <c r="D3" s="88" t="s">
        <v>477</v>
      </c>
      <c r="E3" s="88" t="s">
        <v>478</v>
      </c>
      <c r="F3" s="89">
        <v>2011</v>
      </c>
      <c r="G3" s="89">
        <v>2020</v>
      </c>
      <c r="H3" s="89">
        <v>2030</v>
      </c>
      <c r="I3" s="89">
        <v>2040</v>
      </c>
      <c r="J3" s="89">
        <v>2050</v>
      </c>
      <c r="K3" s="85"/>
      <c r="L3" s="88" t="s">
        <v>35</v>
      </c>
      <c r="M3" s="88" t="s">
        <v>397</v>
      </c>
      <c r="N3" s="88" t="s">
        <v>477</v>
      </c>
      <c r="O3" s="88" t="s">
        <v>478</v>
      </c>
      <c r="P3" s="89">
        <v>2011</v>
      </c>
      <c r="Q3" s="89">
        <v>2020</v>
      </c>
      <c r="R3" s="89">
        <v>2030</v>
      </c>
      <c r="S3" s="89">
        <v>2040</v>
      </c>
      <c r="T3" s="89">
        <v>2050</v>
      </c>
      <c r="V3" s="88" t="s">
        <v>35</v>
      </c>
      <c r="W3" s="88" t="s">
        <v>397</v>
      </c>
      <c r="X3" s="88" t="s">
        <v>477</v>
      </c>
      <c r="Y3" s="88" t="s">
        <v>478</v>
      </c>
      <c r="Z3" s="89">
        <v>2011</v>
      </c>
      <c r="AA3" s="89">
        <v>2020</v>
      </c>
      <c r="AB3" s="89">
        <v>2030</v>
      </c>
      <c r="AC3" s="89">
        <v>2040</v>
      </c>
      <c r="AD3" s="89">
        <v>2050</v>
      </c>
      <c r="AE3" s="85"/>
      <c r="AF3" s="88" t="s">
        <v>35</v>
      </c>
      <c r="AG3" s="88" t="s">
        <v>397</v>
      </c>
      <c r="AH3" s="88" t="s">
        <v>477</v>
      </c>
      <c r="AI3" s="88" t="s">
        <v>478</v>
      </c>
      <c r="AJ3" s="89">
        <v>2011</v>
      </c>
      <c r="AK3" s="89">
        <v>2020</v>
      </c>
      <c r="AL3" s="89">
        <v>2030</v>
      </c>
      <c r="AM3" s="89">
        <v>2040</v>
      </c>
      <c r="AN3" s="89">
        <v>2050</v>
      </c>
    </row>
    <row r="4" spans="2:10" ht="12.75">
      <c r="B4" t="s">
        <v>479</v>
      </c>
      <c r="C4" t="str">
        <f>RSDTechsCE!B4</f>
        <v>R_ES-SH-DH_OIL01</v>
      </c>
      <c r="D4" s="85"/>
      <c r="E4" t="s">
        <v>480</v>
      </c>
      <c r="F4" s="90">
        <f>IFERROR(RSDTechsCE!L4/1000,"")</f>
        <v>5.5270000000000001</v>
      </c>
      <c r="G4" s="90">
        <f>IFERROR(RSDTechsCE!M4/1000,"")</f>
        <v>5.5270000000000001</v>
      </c>
      <c r="H4" s="90">
        <f>IFERROR(RSDTechsCE!N4/1000,"")</f>
        <v>5.5270000000000001</v>
      </c>
      <c r="I4" s="90">
        <f>IFERROR(RSDTechsCE!O4/1000,"")</f>
        <v>5.5270000000000001</v>
      </c>
      <c r="J4" s="90">
        <f>IFERROR(RSDTechsCE!P4/1000,"")</f>
        <v>5.5270000000000001</v>
      </c>
    </row>
    <row r="5" spans="2:10" ht="12.75">
      <c r="B5" t="s">
        <v>479</v>
      </c>
      <c r="C5" t="str">
        <f>RSDTechsCE!B5</f>
        <v>R_ES-SH-DH_OIL02</v>
      </c>
      <c r="D5" s="85"/>
      <c r="E5" t="s">
        <v>480</v>
      </c>
      <c r="F5" s="90">
        <f>IFERROR(RSDTechsCE!L5/1000,"")</f>
        <v>5.5270000000000001</v>
      </c>
      <c r="G5" s="90">
        <f>IFERROR(RSDTechsCE!M5/1000,"")</f>
        <v>5.5270000000000001</v>
      </c>
      <c r="H5" s="90">
        <f>IFERROR(RSDTechsCE!N5/1000,"")</f>
        <v>5.5270000000000001</v>
      </c>
      <c r="I5" s="90">
        <f>IFERROR(RSDTechsCE!O5/1000,"")</f>
        <v>5.5270000000000001</v>
      </c>
      <c r="J5" s="90">
        <f>IFERROR(RSDTechsCE!P5/1000,"")</f>
        <v>5.5270000000000001</v>
      </c>
    </row>
    <row r="6" spans="2:10" ht="12.75">
      <c r="B6" t="s">
        <v>479</v>
      </c>
      <c r="C6" t="str">
        <f>RSDTechsCE!B6</f>
        <v>R_ES-SH-DH_OIL02-SOLspl</v>
      </c>
      <c r="D6" s="85"/>
      <c r="E6" t="s">
        <v>480</v>
      </c>
      <c r="F6" s="90">
        <f>IFERROR(RSDTechsCE!L6/1000,"")</f>
        <v>6.2939999999999996</v>
      </c>
      <c r="G6" s="90">
        <f>IFERROR(RSDTechsCE!M6/1000,"")</f>
        <v>6.0003599999999997</v>
      </c>
      <c r="H6" s="90">
        <f>IFERROR(RSDTechsCE!N6/1000,"")</f>
        <v>5.7556599999999998</v>
      </c>
      <c r="I6" s="90">
        <f>IFERROR(RSDTechsCE!O6/1000,"")</f>
        <v>4.6789799999999993</v>
      </c>
      <c r="J6" s="90">
        <f>IFERROR(RSDTechsCE!P6/1000,"")</f>
        <v>4.6789799999999993</v>
      </c>
    </row>
    <row r="7" spans="2:10" ht="12.75">
      <c r="B7" t="s">
        <v>479</v>
      </c>
      <c r="C7" t="str">
        <f>RSDTechsCE!B7</f>
        <v>R_ES-SH-DH_OIL02-BIOspl</v>
      </c>
      <c r="D7" s="85"/>
      <c r="E7" t="s">
        <v>480</v>
      </c>
      <c r="F7" s="90">
        <f>IFERROR(RSDTechsCE!L7/1000,"")</f>
        <v>4.2000000000000002</v>
      </c>
      <c r="G7" s="90">
        <f>IFERROR(RSDTechsCE!M7/1000,"")</f>
        <v>4.2000000000000002</v>
      </c>
      <c r="H7" s="90">
        <f>IFERROR(RSDTechsCE!N7/1000,"")</f>
        <v>5.0999999999999996</v>
      </c>
      <c r="I7" s="90">
        <f>IFERROR(RSDTechsCE!O7/1000,"")</f>
        <v>5.0999999999999996</v>
      </c>
      <c r="J7" s="90">
        <f>IFERROR(RSDTechsCE!P7/1000,"")</f>
        <v>5.0999999999999996</v>
      </c>
    </row>
    <row r="8" spans="2:10" ht="12.75">
      <c r="B8" t="s">
        <v>479</v>
      </c>
      <c r="C8" t="str">
        <f>RSDTechsCE!B8</f>
        <v>R_ES-SH-DH_GAS01</v>
      </c>
      <c r="D8" s="85"/>
      <c r="E8" t="s">
        <v>480</v>
      </c>
      <c r="F8" s="90">
        <f>IFERROR(RSDTechsCE!L8/1000,"")</f>
        <v>4.3090000000000002</v>
      </c>
      <c r="G8" s="90">
        <f>IFERROR(RSDTechsCE!M8/1000,"")</f>
        <v>4.3090000000000002</v>
      </c>
      <c r="H8" s="90">
        <f>IFERROR(RSDTechsCE!N8/1000,"")</f>
        <v>4.3090000000000002</v>
      </c>
      <c r="I8" s="90">
        <f>IFERROR(RSDTechsCE!O8/1000,"")</f>
        <v>4.3090000000000002</v>
      </c>
      <c r="J8" s="90">
        <f>IFERROR(RSDTechsCE!P8/1000,"")</f>
        <v>4.3090000000000002</v>
      </c>
    </row>
    <row r="9" spans="2:10" ht="12.75">
      <c r="B9" t="s">
        <v>479</v>
      </c>
      <c r="C9" t="str">
        <f>RSDTechsCE!B9</f>
        <v>R_ES-SH-DH_GAS02</v>
      </c>
      <c r="D9" s="85"/>
      <c r="E9" t="s">
        <v>480</v>
      </c>
      <c r="F9" s="90">
        <f>IFERROR(RSDTechsCE!L9/1000,"")</f>
        <v>4.3090000000000002</v>
      </c>
      <c r="G9" s="90">
        <f>IFERROR(RSDTechsCE!M9/1000,"")</f>
        <v>4.3090000000000002</v>
      </c>
      <c r="H9" s="90">
        <f>IFERROR(RSDTechsCE!N9/1000,"")</f>
        <v>4.3090000000000002</v>
      </c>
      <c r="I9" s="90">
        <f>IFERROR(RSDTechsCE!O9/1000,"")</f>
        <v>4.3090000000000002</v>
      </c>
      <c r="J9" s="90">
        <f>IFERROR(RSDTechsCE!P9/1000,"")</f>
        <v>4.3090000000000002</v>
      </c>
    </row>
    <row r="10" spans="2:10" ht="12.75">
      <c r="B10" t="s">
        <v>479</v>
      </c>
      <c r="C10" t="str">
        <f>RSDTechsCE!B10</f>
        <v>R_ES-SH-DH_GAS01-SOLspl</v>
      </c>
      <c r="D10" s="85"/>
      <c r="E10" t="s">
        <v>480</v>
      </c>
      <c r="F10" s="90">
        <f>IFERROR(RSDTechsCE!L10/1000,"")</f>
        <v>6.2939999999999996</v>
      </c>
      <c r="G10" s="90">
        <f>IFERROR(RSDTechsCE!M10/1000,"")</f>
        <v>6.0003599999999997</v>
      </c>
      <c r="H10" s="90">
        <f>IFERROR(RSDTechsCE!N10/1000,"")</f>
        <v>5.7556599999999998</v>
      </c>
      <c r="I10" s="90">
        <f>IFERROR(RSDTechsCE!O10/1000,"")</f>
        <v>4.6789799999999993</v>
      </c>
      <c r="J10" s="90">
        <f>IFERROR(RSDTechsCE!P10/1000,"")</f>
        <v>4.6789799999999993</v>
      </c>
    </row>
    <row r="11" spans="2:10" ht="12.75">
      <c r="B11" t="s">
        <v>479</v>
      </c>
      <c r="C11" t="str">
        <f>RSDTechsCE!B11</f>
        <v>R_ES-SH-DH_GAS02-BIOspl</v>
      </c>
      <c r="D11" s="85"/>
      <c r="E11" t="s">
        <v>480</v>
      </c>
      <c r="F11" s="90">
        <f>IFERROR(RSDTechsCE!L11/1000,"")</f>
        <v>4.2000000000000002</v>
      </c>
      <c r="G11" s="90">
        <f>IFERROR(RSDTechsCE!M11/1000,"")</f>
        <v>4.2000000000000002</v>
      </c>
      <c r="H11" s="90">
        <f>IFERROR(RSDTechsCE!N11/1000,"")</f>
        <v>5.0999999999999996</v>
      </c>
      <c r="I11" s="90">
        <f>IFERROR(RSDTechsCE!O11/1000,"")</f>
        <v>5.0999999999999996</v>
      </c>
      <c r="J11" s="90">
        <f>IFERROR(RSDTechsCE!P11/1000,"")</f>
        <v>5.0999999999999996</v>
      </c>
    </row>
    <row r="12" spans="2:10" ht="12.75">
      <c r="B12" t="s">
        <v>479</v>
      </c>
      <c r="C12" t="str">
        <f>RSDTechsCE!B12</f>
        <v>R_ES-SH-DH_BIO01</v>
      </c>
      <c r="D12" s="85"/>
      <c r="E12" t="s">
        <v>480</v>
      </c>
      <c r="F12" s="90">
        <f>IFERROR(RSDTechsCE!L12/1000,"")</f>
        <v>16.550000000000001</v>
      </c>
      <c r="G12" s="90">
        <f>IFERROR(RSDTechsCE!M12/1000,"")</f>
        <v>16.550000000000001</v>
      </c>
      <c r="H12" s="90">
        <f>IFERROR(RSDTechsCE!N12/1000,"")</f>
        <v>17.719999999999999</v>
      </c>
      <c r="I12" s="90">
        <f>IFERROR(RSDTechsCE!O12/1000,"")</f>
        <v>17.719999999999999</v>
      </c>
      <c r="J12" s="90">
        <f>IFERROR(RSDTechsCE!P12/1000,"")</f>
        <v>17.719999999999999</v>
      </c>
    </row>
    <row r="13" spans="2:10" ht="12.75">
      <c r="B13" t="s">
        <v>479</v>
      </c>
      <c r="C13" t="str">
        <f>RSDTechsCE!B13</f>
        <v>R_ES-SH-DH_ELC01</v>
      </c>
      <c r="D13" s="85"/>
      <c r="E13" t="s">
        <v>480</v>
      </c>
      <c r="F13" s="90">
        <f>IFERROR(RSDTechsCE!L13/1000,"")</f>
        <v>4</v>
      </c>
      <c r="G13" s="90">
        <f>IFERROR(RSDTechsCE!M13/1000,"")</f>
        <v>4</v>
      </c>
      <c r="H13" s="90">
        <f>IFERROR(RSDTechsCE!N13/1000,"")</f>
        <v>4</v>
      </c>
      <c r="I13" s="90">
        <f>IFERROR(RSDTechsCE!O13/1000,"")</f>
        <v>4</v>
      </c>
      <c r="J13" s="90">
        <f>IFERROR(RSDTechsCE!P13/1000,"")</f>
        <v>4</v>
      </c>
    </row>
    <row r="14" spans="2:10" ht="12.75">
      <c r="B14" t="s">
        <v>479</v>
      </c>
      <c r="C14" t="str">
        <f>RSDTechsCE!B14</f>
        <v>R_ES-SH-DH_ELC02</v>
      </c>
      <c r="D14" s="85"/>
      <c r="E14" t="s">
        <v>480</v>
      </c>
      <c r="F14" s="90">
        <f>IFERROR(RSDTechsCE!L14/1000,"")</f>
        <v>15.388999999999999</v>
      </c>
      <c r="G14" s="90">
        <f>IFERROR(RSDTechsCE!M14/1000,"")</f>
        <v>14.619549999999998</v>
      </c>
      <c r="H14" s="90">
        <f>IFERROR(RSDTechsCE!N14/1000,"")</f>
        <v>13.234540000000001</v>
      </c>
      <c r="I14" s="90">
        <f>IFERROR(RSDTechsCE!O14/1000,"")</f>
        <v>12.618979999999999</v>
      </c>
      <c r="J14" s="90">
        <f>IFERROR(RSDTechsCE!P14/1000,"")</f>
        <v>12.618979999999999</v>
      </c>
    </row>
    <row r="15" spans="2:10" ht="12.75">
      <c r="B15" t="s">
        <v>479</v>
      </c>
      <c r="C15" t="str">
        <f>RSDTechsCE!B15</f>
        <v>R_ES-SH-DH_ELC02-ELCspl</v>
      </c>
      <c r="D15" s="85"/>
      <c r="E15" t="s">
        <v>480</v>
      </c>
      <c r="F15" s="90">
        <f>IFERROR(RSDTechsCE!L15/1000,"")</f>
        <v>3.0395388059701487</v>
      </c>
      <c r="G15" s="90">
        <f>IFERROR(RSDTechsCE!M15/1000,"")</f>
        <v>3.0395388059701487</v>
      </c>
      <c r="H15" s="90">
        <f>IFERROR(RSDTechsCE!N15/1000,"")</f>
        <v>3.0395388059701487</v>
      </c>
      <c r="I15" s="90">
        <f>IFERROR(RSDTechsCE!O15/1000,"")</f>
        <v>3.0395388059701487</v>
      </c>
      <c r="J15" s="90">
        <f>IFERROR(RSDTechsCE!P15/1000,"")</f>
        <v>3.0395388059701487</v>
      </c>
    </row>
    <row r="16" spans="2:10" ht="12.75">
      <c r="B16" t="s">
        <v>479</v>
      </c>
      <c r="C16" t="str">
        <f>RSDTechsCE!B16</f>
        <v>R_ES-SH-DH_ELC02-GASspl</v>
      </c>
      <c r="D16" s="85"/>
      <c r="E16" t="s">
        <v>480</v>
      </c>
      <c r="F16" s="90">
        <f>IFERROR(RSDTechsCE!L16/1000,"")</f>
        <v>5.3480999999999987</v>
      </c>
      <c r="G16" s="90">
        <f>IFERROR(RSDTechsCE!M16/1000,"")</f>
        <v>5.3480999999999987</v>
      </c>
      <c r="H16" s="90">
        <f>IFERROR(RSDTechsCE!N16/1000,"")</f>
        <v>5.3480999999999987</v>
      </c>
      <c r="I16" s="90">
        <f>IFERROR(RSDTechsCE!O16/1000,"")</f>
        <v>5.3480999999999987</v>
      </c>
      <c r="J16" s="90">
        <f>IFERROR(RSDTechsCE!P16/1000,"")</f>
        <v>5.3480999999999987</v>
      </c>
    </row>
    <row r="17" spans="2:10" ht="12.75">
      <c r="B17" t="s">
        <v>479</v>
      </c>
      <c r="C17" t="str">
        <f>RSDTechsCE!B17</f>
        <v>R_ES-SH-DH_ELC02-BIOspl</v>
      </c>
      <c r="D17" s="85"/>
      <c r="E17" t="s">
        <v>480</v>
      </c>
      <c r="F17" s="90">
        <f>IFERROR(RSDTechsCE!L17/1000,"")</f>
        <v>10.328099999999999</v>
      </c>
      <c r="G17" s="90">
        <f>IFERROR(RSDTechsCE!M17/1000,"")</f>
        <v>10.328099999999999</v>
      </c>
      <c r="H17" s="90">
        <f>IFERROR(RSDTechsCE!N17/1000,"")</f>
        <v>11.257629000000001</v>
      </c>
      <c r="I17" s="90">
        <f>IFERROR(RSDTechsCE!O17/1000,"")</f>
        <v>11.257629000000001</v>
      </c>
      <c r="J17" s="90">
        <f>IFERROR(RSDTechsCE!P17/1000,"")</f>
        <v>11.257629000000001</v>
      </c>
    </row>
    <row r="18" spans="2:10" ht="12.75">
      <c r="B18" t="s">
        <v>479</v>
      </c>
      <c r="C18" t="str">
        <f>RSDTechsCE!B18</f>
        <v>R_ES-SH-DH_ELC02-SOLspl</v>
      </c>
      <c r="D18" s="85"/>
      <c r="E18" t="s">
        <v>480</v>
      </c>
      <c r="F18" s="90">
        <f>IFERROR(RSDTechsCE!L18/1000,"")</f>
        <v>4.3965999999999985</v>
      </c>
      <c r="G18" s="90">
        <f>IFERROR(RSDTechsCE!M18/1000,"")</f>
        <v>5.0272139999999981</v>
      </c>
      <c r="H18" s="90">
        <f>IFERROR(RSDTechsCE!N18/1000,"")</f>
        <v>4.759808999999998</v>
      </c>
      <c r="I18" s="90">
        <f>IFERROR(RSDTechsCE!O18/1000,"")</f>
        <v>3.5832269999999986</v>
      </c>
      <c r="J18" s="90">
        <f>IFERROR(RSDTechsCE!P18/1000,"")</f>
        <v>3.5832269999999986</v>
      </c>
    </row>
    <row r="19" spans="2:10" ht="12.75">
      <c r="B19" t="s">
        <v>479</v>
      </c>
      <c r="C19" t="str">
        <f>RSDTechsCE!B19</f>
        <v>R_ES-SH-DH_ELC04</v>
      </c>
      <c r="D19" s="85"/>
      <c r="E19" t="s">
        <v>480</v>
      </c>
      <c r="F19" s="90">
        <f>IFERROR(RSDTechsCE!L19/1000,"")</f>
        <v>15.388999999999999</v>
      </c>
      <c r="G19" s="90">
        <f>IFERROR(RSDTechsCE!M19/1000,"")</f>
        <v>14.00399</v>
      </c>
      <c r="H19" s="90">
        <f>IFERROR(RSDTechsCE!N19/1000,"")</f>
        <v>14.00399</v>
      </c>
      <c r="I19" s="90">
        <f>IFERROR(RSDTechsCE!O19/1000,"")</f>
        <v>12.618979999999999</v>
      </c>
      <c r="J19" s="90">
        <f>IFERROR(RSDTechsCE!P19/1000,"")</f>
        <v>12.618979999999999</v>
      </c>
    </row>
    <row r="20" spans="2:10" ht="12.75">
      <c r="B20" t="s">
        <v>479</v>
      </c>
      <c r="C20" t="str">
        <f>RSDTechsCE!B20</f>
        <v>R_ES-SH-DH_ELC05</v>
      </c>
      <c r="D20" s="85"/>
      <c r="E20" t="s">
        <v>480</v>
      </c>
      <c r="F20" s="90">
        <f>IFERROR(RSDTechsCE!L20/1000,"")</f>
        <v>16.927900000000001</v>
      </c>
      <c r="G20" s="90">
        <f>IFERROR(RSDTechsCE!M20/1000,"")</f>
        <v>15.404389000000002</v>
      </c>
      <c r="H20" s="90">
        <f>IFERROR(RSDTechsCE!N20/1000,"")</f>
        <v>15.404389000000002</v>
      </c>
      <c r="I20" s="90">
        <f>IFERROR(RSDTechsCE!O20/1000,"")</f>
        <v>13.880878000000001</v>
      </c>
      <c r="J20" s="90">
        <f>IFERROR(RSDTechsCE!P20/1000,"")</f>
        <v>13.880878000000001</v>
      </c>
    </row>
    <row r="21" spans="2:10" ht="12.75">
      <c r="B21" t="s">
        <v>479</v>
      </c>
      <c r="C21" t="str">
        <f>RSDTechsCE!B21</f>
        <v>R_ES-SH-DH_ELC06</v>
      </c>
      <c r="D21" s="85"/>
      <c r="E21" t="s">
        <v>480</v>
      </c>
      <c r="F21" s="90">
        <f>IFERROR(RSDTechsCE!L21/1000,"")</f>
        <v>16.350000000000001</v>
      </c>
      <c r="G21" s="90">
        <f>IFERROR(RSDTechsCE!M21/1000,"")</f>
        <v>15.205500000000001</v>
      </c>
      <c r="H21" s="90">
        <f>IFERROR(RSDTechsCE!N21/1000,"")</f>
        <v>14.061</v>
      </c>
      <c r="I21" s="90">
        <f>IFERROR(RSDTechsCE!O21/1000,"")</f>
        <v>12.916499999999999</v>
      </c>
      <c r="J21" s="90">
        <f>IFERROR(RSDTechsCE!P21/1000,"")</f>
        <v>12.916499999999999</v>
      </c>
    </row>
    <row r="22" spans="2:10" ht="12.75">
      <c r="B22" t="s">
        <v>479</v>
      </c>
      <c r="C22" t="str">
        <f>RSDTechsCE!B22</f>
        <v>R_ES-SH-DH_ELC07</v>
      </c>
      <c r="D22" s="85"/>
      <c r="E22" t="s">
        <v>480</v>
      </c>
      <c r="F22" s="90">
        <f>IFERROR(RSDTechsCE!L22/1000,"")</f>
        <v>17.984999999999999</v>
      </c>
      <c r="G22" s="90">
        <f>IFERROR(RSDTechsCE!M22/1000,"")</f>
        <v>16.726050000000004</v>
      </c>
      <c r="H22" s="90">
        <f>IFERROR(RSDTechsCE!N22/1000,"")</f>
        <v>15.4671</v>
      </c>
      <c r="I22" s="90">
        <f>IFERROR(RSDTechsCE!O22/1000,"")</f>
        <v>14.208150000000002</v>
      </c>
      <c r="J22" s="90">
        <f>IFERROR(RSDTechsCE!P22/1000,"")</f>
        <v>14.208150000000002</v>
      </c>
    </row>
    <row r="23" spans="2:10" ht="12.75">
      <c r="B23" t="s">
        <v>479</v>
      </c>
      <c r="C23" t="str">
        <f>RSDTechsCE!B23</f>
        <v>R_ES-SH-DH_ELC08</v>
      </c>
      <c r="D23" s="85"/>
      <c r="E23" t="s">
        <v>480</v>
      </c>
      <c r="F23" s="90">
        <f>IFERROR(RSDTechsCE!L23/1000,"")</f>
        <v>25.800000000000001</v>
      </c>
      <c r="G23" s="90">
        <f>IFERROR(RSDTechsCE!M23/1000,"")</f>
        <v>24.6555</v>
      </c>
      <c r="H23" s="90">
        <f>IFERROR(RSDTechsCE!N23/1000,"")</f>
        <v>23.510999999999999</v>
      </c>
      <c r="I23" s="90">
        <f>IFERROR(RSDTechsCE!O23/1000,"")</f>
        <v>22.366499999999998</v>
      </c>
      <c r="J23" s="90">
        <f>IFERROR(RSDTechsCE!P23/1000,"")</f>
        <v>22.366499999999998</v>
      </c>
    </row>
    <row r="24" spans="2:10" ht="12.75">
      <c r="B24" t="s">
        <v>479</v>
      </c>
      <c r="C24" t="str">
        <f>RSDTechsCE!B24</f>
        <v>R_ES-SH-DH_ELC09</v>
      </c>
      <c r="D24" s="85"/>
      <c r="E24" t="s">
        <v>480</v>
      </c>
      <c r="F24" s="90">
        <f>IFERROR(RSDTechsCE!L24/1000,"")</f>
        <v>28.380000000000003</v>
      </c>
      <c r="G24" s="90">
        <f>IFERROR(RSDTechsCE!M24/1000,"")</f>
        <v>27.121050000000004</v>
      </c>
      <c r="H24" s="90">
        <f>IFERROR(RSDTechsCE!N24/1000,"")</f>
        <v>25.862100000000002</v>
      </c>
      <c r="I24" s="90">
        <f>IFERROR(RSDTechsCE!O24/1000,"")</f>
        <v>24.603150000000003</v>
      </c>
      <c r="J24" s="90">
        <f>IFERROR(RSDTechsCE!P24/1000,"")</f>
        <v>24.603150000000003</v>
      </c>
    </row>
    <row r="25" spans="2:10" ht="12.75">
      <c r="B25" t="s">
        <v>479</v>
      </c>
      <c r="C25" t="str">
        <f>RSDTechsCE!B25</f>
        <v>R_ES-SH-DH_ELC10</v>
      </c>
      <c r="D25" s="85"/>
      <c r="E25" t="s">
        <v>480</v>
      </c>
      <c r="F25" s="90">
        <f>IFERROR(RSDTechsCE!L25/1000,"")</f>
        <v>25.734999999999999</v>
      </c>
      <c r="G25" s="90">
        <f>IFERROR(RSDTechsCE!M25/1000,"")</f>
        <v>25.734999999999999</v>
      </c>
      <c r="H25" s="90">
        <f>IFERROR(RSDTechsCE!N25/1000,"")</f>
        <v>21.647500000000001</v>
      </c>
      <c r="I25" s="90">
        <f>IFERROR(RSDTechsCE!O25/1000,"")</f>
        <v>21.647500000000001</v>
      </c>
      <c r="J25" s="90">
        <f>IFERROR(RSDTechsCE!P25/1000,"")</f>
        <v>20.012499999999999</v>
      </c>
    </row>
    <row r="26" spans="2:10" ht="12.75">
      <c r="B26" t="s">
        <v>479</v>
      </c>
      <c r="C26" t="str">
        <f>RSDTechsCE!B26</f>
        <v>R_ES-SH-DH_ELC11</v>
      </c>
      <c r="D26" s="85"/>
      <c r="E26" t="s">
        <v>480</v>
      </c>
      <c r="F26" s="90">
        <f>IFERROR(RSDTechsCE!L26/1000,"")</f>
        <v>28.308500000000002</v>
      </c>
      <c r="G26" s="90">
        <f>IFERROR(RSDTechsCE!M26/1000,"")</f>
        <v>28.308500000000002</v>
      </c>
      <c r="H26" s="90">
        <f>IFERROR(RSDTechsCE!N26/1000,"")</f>
        <v>23.812250000000002</v>
      </c>
      <c r="I26" s="90">
        <f>IFERROR(RSDTechsCE!O26/1000,"")</f>
        <v>23.812250000000002</v>
      </c>
      <c r="J26" s="90">
        <f>IFERROR(RSDTechsCE!P26/1000,"")</f>
        <v>22.013750000000002</v>
      </c>
    </row>
    <row r="27" spans="2:10" ht="12.75">
      <c r="B27" t="s">
        <v>479</v>
      </c>
      <c r="C27" t="str">
        <f>RSDTechsCE!B27</f>
        <v>R_ES-SH-DH_GAS03</v>
      </c>
      <c r="D27" s="85"/>
      <c r="E27" t="s">
        <v>480</v>
      </c>
      <c r="F27" s="90">
        <f>IFERROR(RSDTechsCE!L27/1000,"")</f>
        <v>28.899999999999999</v>
      </c>
      <c r="G27" s="90">
        <f>IFERROR(RSDTechsCE!M27/1000,"")</f>
        <v>28.899999999999999</v>
      </c>
      <c r="H27" s="90">
        <f>IFERROR(RSDTechsCE!N27/1000,"")</f>
        <v>27.166</v>
      </c>
      <c r="I27" s="90">
        <f>IFERROR(RSDTechsCE!O27/1000,"")</f>
        <v>27.166</v>
      </c>
      <c r="J27" s="90">
        <f>IFERROR(RSDTechsCE!P27/1000,"")</f>
        <v>27.166</v>
      </c>
    </row>
    <row r="28" spans="2:10" ht="12.75">
      <c r="B28" t="s">
        <v>479</v>
      </c>
      <c r="C28" t="str">
        <f>RSDTechsCE!B28</f>
        <v>R_ES-SH-DH_GAS04</v>
      </c>
      <c r="D28" s="85"/>
      <c r="E28" t="s">
        <v>480</v>
      </c>
      <c r="F28" s="90">
        <f>IFERROR(RSDTechsCE!L28/1000,"")</f>
        <v>31.790000000000003</v>
      </c>
      <c r="G28" s="90">
        <f>IFERROR(RSDTechsCE!M28/1000,"")</f>
        <v>31.790000000000003</v>
      </c>
      <c r="H28" s="90">
        <f>IFERROR(RSDTechsCE!N28/1000,"")</f>
        <v>29.882600000000004</v>
      </c>
      <c r="I28" s="90">
        <f>IFERROR(RSDTechsCE!O28/1000,"")</f>
        <v>29.882600000000004</v>
      </c>
      <c r="J28" s="90">
        <f>IFERROR(RSDTechsCE!P28/1000,"")</f>
        <v>29.882600000000004</v>
      </c>
    </row>
    <row r="29" spans="2:10" ht="12.75">
      <c r="B29" t="s">
        <v>479</v>
      </c>
      <c r="C29" t="str">
        <f>RSDTechsCE!B29</f>
        <v>R_ES-SH-DH_GAS05</v>
      </c>
      <c r="D29" s="85"/>
      <c r="E29" t="s">
        <v>480</v>
      </c>
      <c r="F29" s="90">
        <f>IFERROR(RSDTechsCE!L29/1000,"")</f>
        <v>19.495999999999999</v>
      </c>
      <c r="G29" s="90">
        <f>IFERROR(RSDTechsCE!M29/1000,"")</f>
        <v>19.495999999999999</v>
      </c>
      <c r="H29" s="90">
        <f>IFERROR(RSDTechsCE!N29/1000,"")</f>
        <v>19.495999999999999</v>
      </c>
      <c r="I29" s="90">
        <f>IFERROR(RSDTechsCE!O29/1000,"")</f>
        <v>19.495999999999999</v>
      </c>
      <c r="J29" s="90">
        <f>IFERROR(RSDTechsCE!P29/1000,"")</f>
        <v>19.495999999999999</v>
      </c>
    </row>
    <row r="30" spans="2:10" ht="12.75">
      <c r="B30" t="s">
        <v>479</v>
      </c>
      <c r="C30" t="str">
        <f>RSDTechsCE!B30</f>
        <v>R_ES-SH-DH_GAS06</v>
      </c>
      <c r="D30" s="85"/>
      <c r="E30" t="s">
        <v>480</v>
      </c>
      <c r="F30" s="90">
        <f>IFERROR(RSDTechsCE!L30/1000,"")</f>
        <v>21.445600000000002</v>
      </c>
      <c r="G30" s="90">
        <f>IFERROR(RSDTechsCE!M30/1000,"")</f>
        <v>21.445600000000002</v>
      </c>
      <c r="H30" s="90">
        <f>IFERROR(RSDTechsCE!N30/1000,"")</f>
        <v>21.445600000000002</v>
      </c>
      <c r="I30" s="90">
        <f>IFERROR(RSDTechsCE!O30/1000,"")</f>
        <v>21.445600000000002</v>
      </c>
      <c r="J30" s="90">
        <f>IFERROR(RSDTechsCE!P30/1000,"")</f>
        <v>21.445600000000002</v>
      </c>
    </row>
    <row r="31" spans="2:10" ht="12.75">
      <c r="B31" t="s">
        <v>479</v>
      </c>
      <c r="C31" t="str">
        <f>RSDTechsCE!B31</f>
        <v>R_ES-SH-DH_GAS07</v>
      </c>
      <c r="D31" s="85"/>
      <c r="E31" t="s">
        <v>480</v>
      </c>
      <c r="F31" s="90">
        <f>IFERROR(RSDTechsCE!L31/1000,"")</f>
        <v>47.5</v>
      </c>
      <c r="G31" s="90">
        <f>IFERROR(RSDTechsCE!M31/1000,"")</f>
        <v>47.5</v>
      </c>
      <c r="H31" s="90">
        <f>IFERROR(RSDTechsCE!N31/1000,"")</f>
        <v>47.5</v>
      </c>
      <c r="I31" s="90">
        <f>IFERROR(RSDTechsCE!O31/1000,"")</f>
        <v>47.5</v>
      </c>
      <c r="J31" s="90">
        <f>IFERROR(RSDTechsCE!P31/1000,"")</f>
        <v>47.5</v>
      </c>
    </row>
    <row r="32" spans="2:10" ht="12.75">
      <c r="B32" t="s">
        <v>479</v>
      </c>
      <c r="C32" t="str">
        <f>RSDTechsCE!B32</f>
        <v>R_ES-SH-DH_GAS08</v>
      </c>
      <c r="D32" s="85"/>
      <c r="E32" t="s">
        <v>480</v>
      </c>
      <c r="F32" s="90">
        <f>IFERROR(RSDTechsCE!L32/1000,"")</f>
        <v>52.250000000000007</v>
      </c>
      <c r="G32" s="90">
        <f>IFERROR(RSDTechsCE!M32/1000,"")</f>
        <v>52.250000000000007</v>
      </c>
      <c r="H32" s="90">
        <f>IFERROR(RSDTechsCE!N32/1000,"")</f>
        <v>52.250000000000007</v>
      </c>
      <c r="I32" s="90">
        <f>IFERROR(RSDTechsCE!O32/1000,"")</f>
        <v>52.250000000000007</v>
      </c>
      <c r="J32" s="90">
        <f>IFERROR(RSDTechsCE!P32/1000,"")</f>
        <v>52.250000000000007</v>
      </c>
    </row>
    <row r="33" spans="2:10" ht="12.75">
      <c r="B33" t="s">
        <v>479</v>
      </c>
      <c r="C33" t="str">
        <f>RSDTechsCE!B33</f>
        <v>R_ES-CHP-DH_GAS01</v>
      </c>
      <c r="D33" s="85"/>
      <c r="E33" t="s">
        <v>480</v>
      </c>
      <c r="F33" s="90">
        <f>IFERROR(RSDTechsCE!L33/1000,"")</f>
        <v>103.98</v>
      </c>
      <c r="G33" s="90">
        <f>IFERROR(RSDTechsCE!M33/1000,"")</f>
        <v>103.98</v>
      </c>
      <c r="H33" s="90">
        <f>IFERROR(RSDTechsCE!N33/1000,"")</f>
        <v>77.984999999999999</v>
      </c>
      <c r="I33" s="90">
        <f>IFERROR(RSDTechsCE!O33/1000,"")</f>
        <v>77.984999999999999</v>
      </c>
      <c r="J33" s="90">
        <f>IFERROR(RSDTechsCE!P33/1000,"")</f>
        <v>62.387999999999998</v>
      </c>
    </row>
    <row r="34" spans="2:10" ht="12.75">
      <c r="B34" t="s">
        <v>479</v>
      </c>
      <c r="C34" t="str">
        <f>RSDTechsCE!B34</f>
        <v>R_ES-CHP-DH_OIL01</v>
      </c>
      <c r="D34" s="85"/>
      <c r="E34" t="s">
        <v>480</v>
      </c>
      <c r="F34" s="90">
        <f>IFERROR(RSDTechsCE!L34/1000,"")</f>
        <v>103.98</v>
      </c>
      <c r="G34" s="90">
        <f>IFERROR(RSDTechsCE!M34/1000,"")</f>
        <v>103.98</v>
      </c>
      <c r="H34" s="90">
        <f>IFERROR(RSDTechsCE!N34/1000,"")</f>
        <v>77.984999999999999</v>
      </c>
      <c r="I34" s="90">
        <f>IFERROR(RSDTechsCE!O34/1000,"")</f>
        <v>77.984999999999999</v>
      </c>
      <c r="J34" s="90">
        <f>IFERROR(RSDTechsCE!P34/1000,"")</f>
        <v>62.387999999999998</v>
      </c>
    </row>
    <row r="35" spans="2:10" ht="12.75">
      <c r="B35" t="s">
        <v>479</v>
      </c>
      <c r="C35" t="str">
        <f>RSDTechsCE!B35</f>
        <v>R_ES-CHP-DH_GAS02</v>
      </c>
      <c r="D35" s="85"/>
      <c r="E35" t="s">
        <v>480</v>
      </c>
      <c r="F35" s="90">
        <f>IFERROR(RSDTechsCE!L35/1000,"")</f>
        <v>23.199999999999999</v>
      </c>
      <c r="G35" s="90">
        <f>IFERROR(RSDTechsCE!M35/1000,"")</f>
        <v>19.07</v>
      </c>
      <c r="H35" s="90">
        <f>IFERROR(RSDTechsCE!N35/1000,"")</f>
        <v>16.3855</v>
      </c>
      <c r="I35" s="90">
        <f>IFERROR(RSDTechsCE!O35/1000,"")</f>
        <v>16.3855</v>
      </c>
      <c r="J35" s="90">
        <f>IFERROR(RSDTechsCE!P35/1000,"")</f>
        <v>16.3855</v>
      </c>
    </row>
    <row r="36" spans="2:10" ht="12.75">
      <c r="B36" t="s">
        <v>479</v>
      </c>
      <c r="C36" t="str">
        <f>RSDTechsCE!B36</f>
        <v>R_ES-CHP-DH_OIL02</v>
      </c>
      <c r="D36" s="85"/>
      <c r="E36" t="s">
        <v>480</v>
      </c>
      <c r="F36" s="90">
        <f>IFERROR(RSDTechsCE!L36/1000,"")</f>
        <v>24</v>
      </c>
      <c r="G36" s="90">
        <f>IFERROR(RSDTechsCE!M36/1000,"")</f>
        <v>19.710000000000001</v>
      </c>
      <c r="H36" s="90">
        <f>IFERROR(RSDTechsCE!N36/1000,"")</f>
        <v>16.921500000000002</v>
      </c>
      <c r="I36" s="90">
        <f>IFERROR(RSDTechsCE!O36/1000,"")</f>
        <v>16.921500000000002</v>
      </c>
      <c r="J36" s="90">
        <f>IFERROR(RSDTechsCE!P36/1000,"")</f>
        <v>16.921500000000002</v>
      </c>
    </row>
    <row r="37" spans="2:10" ht="12.75">
      <c r="B37" t="s">
        <v>479</v>
      </c>
      <c r="C37" t="str">
        <f>RSDTechsCE!B37</f>
        <v>R_ES-CHP-DH_GAS03</v>
      </c>
      <c r="D37" s="85"/>
      <c r="E37" t="s">
        <v>480</v>
      </c>
      <c r="F37" s="90">
        <f>IFERROR(RSDTechsCE!L37/1000,"")</f>
        <v>18.5</v>
      </c>
      <c r="G37" s="90">
        <f>IFERROR(RSDTechsCE!M37/1000,"")</f>
        <v>16.75</v>
      </c>
      <c r="H37" s="90">
        <f>IFERROR(RSDTechsCE!N37/1000,"")</f>
        <v>14.125</v>
      </c>
      <c r="I37" s="90">
        <f>IFERROR(RSDTechsCE!O37/1000,"")</f>
        <v>14.125</v>
      </c>
      <c r="J37" s="90">
        <f>IFERROR(RSDTechsCE!P37/1000,"")</f>
        <v>14.125</v>
      </c>
    </row>
    <row r="38" spans="2:10" ht="12.75">
      <c r="B38" t="s">
        <v>479</v>
      </c>
      <c r="C38" t="str">
        <f>RSDTechsCE!B38</f>
        <v>R_ES-CHP-DH_GAS04</v>
      </c>
      <c r="D38" s="85"/>
      <c r="E38" t="s">
        <v>480</v>
      </c>
      <c r="F38" s="90">
        <f>IFERROR(RSDTechsCE!L38/1000,"")</f>
        <v>21.491</v>
      </c>
      <c r="G38" s="90">
        <f>IFERROR(RSDTechsCE!M38/1000,"")</f>
        <v>21.491</v>
      </c>
      <c r="H38" s="90">
        <f>IFERROR(RSDTechsCE!N38/1000,"")</f>
        <v>9.0909999999999993</v>
      </c>
      <c r="I38" s="90">
        <f>IFERROR(RSDTechsCE!O38/1000,"")</f>
        <v>9.0909999999999993</v>
      </c>
      <c r="J38" s="90">
        <f>IFERROR(RSDTechsCE!P38/1000,"")</f>
        <v>4.1310000000000002</v>
      </c>
    </row>
    <row r="39" spans="2:10" ht="12.75">
      <c r="B39" t="s">
        <v>479</v>
      </c>
      <c r="C39" t="str">
        <f>RSDTechsCE!B39</f>
        <v>R_ES-CHP-DH_HH201</v>
      </c>
      <c r="D39" s="85"/>
      <c r="E39" t="s">
        <v>480</v>
      </c>
      <c r="F39" s="90">
        <f>IFERROR(RSDTechsCE!L39/1000,"")</f>
        <v>13</v>
      </c>
      <c r="G39" s="90">
        <f>IFERROR(RSDTechsCE!M39/1000,"")</f>
        <v>6.9000000000000004</v>
      </c>
      <c r="H39" s="90">
        <f>IFERROR(RSDTechsCE!N39/1000,"")</f>
        <v>5.0999999999999996</v>
      </c>
      <c r="I39" s="90" t="str">
        <f>IFERROR(RSDTechsCE!O39/1000,"")</f>
        <v/>
      </c>
      <c r="J39" s="90" t="str">
        <f>IFERROR(RSDTechsCE!P39/1000,"")</f>
        <v/>
      </c>
    </row>
    <row r="40" spans="2:10" ht="12.75">
      <c r="B40" t="s">
        <v>479</v>
      </c>
      <c r="C40" t="str">
        <f>RSDTechsCE!B40</f>
        <v>R_ES-CHP-DH-GASspl</v>
      </c>
      <c r="D40" s="85"/>
      <c r="E40" t="s">
        <v>480</v>
      </c>
      <c r="F40" s="90">
        <f>IFERROR(RSDTechsCE!L40/1000,"")</f>
        <v>4.3090000000000002</v>
      </c>
      <c r="G40" s="90">
        <f>IFERROR(RSDTechsCE!M40/1000,"")</f>
        <v>4.3090000000000002</v>
      </c>
      <c r="H40" s="90">
        <f>IFERROR(RSDTechsCE!N40/1000,"")</f>
        <v>4.3090000000000002</v>
      </c>
      <c r="I40" s="90">
        <f>IFERROR(RSDTechsCE!O40/1000,"")</f>
        <v>4.3090000000000002</v>
      </c>
      <c r="J40" s="90">
        <f>IFERROR(RSDTechsCE!P40/1000,"")</f>
        <v>4.3090000000000002</v>
      </c>
    </row>
    <row r="41" spans="2:10" ht="12.75">
      <c r="B41" t="s">
        <v>479</v>
      </c>
      <c r="C41" t="str">
        <f>RSDTechsCE!B41</f>
        <v>R_ES-CHP-DH-OILspl</v>
      </c>
      <c r="D41" s="85"/>
      <c r="E41" t="s">
        <v>480</v>
      </c>
      <c r="F41" s="90">
        <f>IFERROR(RSDTechsCE!L41/1000,"")</f>
        <v>5.5270000000000001</v>
      </c>
      <c r="G41" s="90">
        <f>IFERROR(RSDTechsCE!M41/1000,"")</f>
        <v>5.5270000000000001</v>
      </c>
      <c r="H41" s="90">
        <f>IFERROR(RSDTechsCE!N41/1000,"")</f>
        <v>5.5270000000000001</v>
      </c>
      <c r="I41" s="90">
        <f>IFERROR(RSDTechsCE!O41/1000,"")</f>
        <v>5.5270000000000001</v>
      </c>
      <c r="J41" s="90">
        <f>IFERROR(RSDTechsCE!P41/1000,"")</f>
        <v>5.5270000000000001</v>
      </c>
    </row>
    <row r="43" spans="2:10" ht="15">
      <c r="B43" s="86" t="s">
        <v>865</v>
      </c>
      <c r="C43" s="87"/>
      <c r="D43" s="87"/>
      <c r="E43" s="86"/>
      <c r="F43" s="87"/>
      <c r="G43" s="87"/>
      <c r="H43" s="87"/>
      <c r="I43" s="87"/>
      <c r="J43" s="87"/>
    </row>
    <row r="44" spans="2:10" ht="15.75" thickBot="1">
      <c r="B44" s="88" t="s">
        <v>35</v>
      </c>
      <c r="C44" s="88" t="s">
        <v>397</v>
      </c>
      <c r="D44" s="88" t="s">
        <v>477</v>
      </c>
      <c r="E44" s="88" t="s">
        <v>478</v>
      </c>
      <c r="F44" s="89">
        <v>2011</v>
      </c>
      <c r="G44" s="89">
        <v>2020</v>
      </c>
      <c r="H44" s="89">
        <v>2030</v>
      </c>
      <c r="I44" s="89">
        <v>2040</v>
      </c>
      <c r="J44" s="89">
        <v>2050</v>
      </c>
    </row>
    <row r="45" spans="2:10" ht="12.75">
      <c r="B45" t="s">
        <v>479</v>
      </c>
      <c r="C45" t="str">
        <f>RSDTechsCE!B45</f>
        <v>R_ES-SH-DH-70_OIL01</v>
      </c>
      <c r="D45" s="85"/>
      <c r="E45" t="s">
        <v>480</v>
      </c>
      <c r="F45" s="90">
        <f>IFERROR(RSDTechsCE!L45/1000,"")</f>
        <v>5.5270000000000001</v>
      </c>
      <c r="G45" s="90">
        <f>IFERROR(RSDTechsCE!M45/1000,"")</f>
        <v>5.5270000000000001</v>
      </c>
      <c r="H45" s="90">
        <f>IFERROR(RSDTechsCE!N45/1000,"")</f>
        <v>5.5270000000000001</v>
      </c>
      <c r="I45" s="90">
        <f>IFERROR(RSDTechsCE!O45/1000,"")</f>
        <v>5.5270000000000001</v>
      </c>
      <c r="J45" s="90">
        <f>IFERROR(RSDTechsCE!P45/1000,"")</f>
        <v>5.5270000000000001</v>
      </c>
    </row>
    <row r="46" spans="2:10" ht="12.75">
      <c r="B46" t="s">
        <v>479</v>
      </c>
      <c r="C46" t="str">
        <f>RSDTechsCE!B46</f>
        <v>R_ES-SH-DH-70_OIL02</v>
      </c>
      <c r="D46" s="85"/>
      <c r="E46" t="s">
        <v>480</v>
      </c>
      <c r="F46" s="90">
        <f>IFERROR(RSDTechsCE!L46/1000,"")</f>
        <v>5.5270000000000001</v>
      </c>
      <c r="G46" s="90">
        <f>IFERROR(RSDTechsCE!M46/1000,"")</f>
        <v>5.5270000000000001</v>
      </c>
      <c r="H46" s="90">
        <f>IFERROR(RSDTechsCE!N46/1000,"")</f>
        <v>5.5270000000000001</v>
      </c>
      <c r="I46" s="90">
        <f>IFERROR(RSDTechsCE!O46/1000,"")</f>
        <v>5.5270000000000001</v>
      </c>
      <c r="J46" s="90">
        <f>IFERROR(RSDTechsCE!P46/1000,"")</f>
        <v>5.5270000000000001</v>
      </c>
    </row>
    <row r="47" spans="2:10" ht="12.75">
      <c r="B47" t="s">
        <v>479</v>
      </c>
      <c r="C47" t="str">
        <f>RSDTechsCE!B47</f>
        <v>R_ES-SH-DH-70_OIL02-SOLspl</v>
      </c>
      <c r="D47" s="85"/>
      <c r="E47" t="s">
        <v>480</v>
      </c>
      <c r="F47" s="90">
        <f>IFERROR(RSDTechsCE!L47/1000,"")</f>
        <v>6.2939999999999996</v>
      </c>
      <c r="G47" s="90">
        <f>IFERROR(RSDTechsCE!M47/1000,"")</f>
        <v>6.0003599999999997</v>
      </c>
      <c r="H47" s="90">
        <f>IFERROR(RSDTechsCE!N47/1000,"")</f>
        <v>5.7556599999999998</v>
      </c>
      <c r="I47" s="90">
        <f>IFERROR(RSDTechsCE!O47/1000,"")</f>
        <v>4.6789799999999993</v>
      </c>
      <c r="J47" s="90">
        <f>IFERROR(RSDTechsCE!P47/1000,"")</f>
        <v>4.6789799999999993</v>
      </c>
    </row>
    <row r="48" spans="2:10" ht="12.75">
      <c r="B48" t="s">
        <v>479</v>
      </c>
      <c r="C48" t="str">
        <f>RSDTechsCE!B48</f>
        <v>R_ES-SH-DH-70_OIL02-BIOspl</v>
      </c>
      <c r="D48" s="85"/>
      <c r="E48" t="s">
        <v>480</v>
      </c>
      <c r="F48" s="90">
        <f>IFERROR(RSDTechsCE!L48/1000,"")</f>
        <v>4.2000000000000002</v>
      </c>
      <c r="G48" s="90">
        <f>IFERROR(RSDTechsCE!M48/1000,"")</f>
        <v>4.2000000000000002</v>
      </c>
      <c r="H48" s="90">
        <f>IFERROR(RSDTechsCE!N48/1000,"")</f>
        <v>5.0999999999999996</v>
      </c>
      <c r="I48" s="90">
        <f>IFERROR(RSDTechsCE!O48/1000,"")</f>
        <v>5.0999999999999996</v>
      </c>
      <c r="J48" s="90">
        <f>IFERROR(RSDTechsCE!P48/1000,"")</f>
        <v>5.0999999999999996</v>
      </c>
    </row>
    <row r="49" spans="2:10" ht="12.75">
      <c r="B49" t="s">
        <v>479</v>
      </c>
      <c r="C49" t="str">
        <f>RSDTechsCE!B49</f>
        <v>R_ES-SH-DH-70_GAS01</v>
      </c>
      <c r="D49" s="85"/>
      <c r="E49" t="s">
        <v>480</v>
      </c>
      <c r="F49" s="90">
        <f>IFERROR(RSDTechsCE!L49/1000,"")</f>
        <v>4.3090000000000002</v>
      </c>
      <c r="G49" s="90">
        <f>IFERROR(RSDTechsCE!M49/1000,"")</f>
        <v>4.3090000000000002</v>
      </c>
      <c r="H49" s="90">
        <f>IFERROR(RSDTechsCE!N49/1000,"")</f>
        <v>4.3090000000000002</v>
      </c>
      <c r="I49" s="90">
        <f>IFERROR(RSDTechsCE!O49/1000,"")</f>
        <v>4.3090000000000002</v>
      </c>
      <c r="J49" s="90">
        <f>IFERROR(RSDTechsCE!P49/1000,"")</f>
        <v>4.3090000000000002</v>
      </c>
    </row>
    <row r="50" spans="2:10" ht="12.75">
      <c r="B50" t="s">
        <v>479</v>
      </c>
      <c r="C50" t="str">
        <f>RSDTechsCE!B50</f>
        <v>R_ES-SH-DH-70_GAS02</v>
      </c>
      <c r="D50" s="85"/>
      <c r="E50" t="s">
        <v>480</v>
      </c>
      <c r="F50" s="90">
        <f>IFERROR(RSDTechsCE!L50/1000,"")</f>
        <v>4.3090000000000002</v>
      </c>
      <c r="G50" s="90">
        <f>IFERROR(RSDTechsCE!M50/1000,"")</f>
        <v>4.3090000000000002</v>
      </c>
      <c r="H50" s="90">
        <f>IFERROR(RSDTechsCE!N50/1000,"")</f>
        <v>4.3090000000000002</v>
      </c>
      <c r="I50" s="90">
        <f>IFERROR(RSDTechsCE!O50/1000,"")</f>
        <v>4.3090000000000002</v>
      </c>
      <c r="J50" s="90">
        <f>IFERROR(RSDTechsCE!P50/1000,"")</f>
        <v>4.3090000000000002</v>
      </c>
    </row>
    <row r="51" spans="2:10" ht="12.75">
      <c r="B51" t="s">
        <v>479</v>
      </c>
      <c r="C51" t="str">
        <f>RSDTechsCE!B51</f>
        <v>R_ES-SH-DH-70_GAS02-SOLspl</v>
      </c>
      <c r="D51" s="85"/>
      <c r="E51" t="s">
        <v>480</v>
      </c>
      <c r="F51" s="90">
        <f>IFERROR(RSDTechsCE!L51/1000,"")</f>
        <v>6.2939999999999996</v>
      </c>
      <c r="G51" s="90">
        <f>IFERROR(RSDTechsCE!M51/1000,"")</f>
        <v>6.0003599999999997</v>
      </c>
      <c r="H51" s="90">
        <f>IFERROR(RSDTechsCE!N51/1000,"")</f>
        <v>5.7556599999999998</v>
      </c>
      <c r="I51" s="90">
        <f>IFERROR(RSDTechsCE!O51/1000,"")</f>
        <v>4.6789799999999993</v>
      </c>
      <c r="J51" s="90">
        <f>IFERROR(RSDTechsCE!P51/1000,"")</f>
        <v>4.6789799999999993</v>
      </c>
    </row>
    <row r="52" spans="2:10" ht="12.75">
      <c r="B52" t="s">
        <v>479</v>
      </c>
      <c r="C52" t="str">
        <f>RSDTechsCE!B52</f>
        <v>R_ES-SH-DH-70_GAS02-BIOspl</v>
      </c>
      <c r="D52" s="85"/>
      <c r="E52" t="s">
        <v>480</v>
      </c>
      <c r="F52" s="90">
        <f>IFERROR(RSDTechsCE!L52/1000,"")</f>
        <v>4.2000000000000002</v>
      </c>
      <c r="G52" s="90">
        <f>IFERROR(RSDTechsCE!M52/1000,"")</f>
        <v>4.2000000000000002</v>
      </c>
      <c r="H52" s="90">
        <f>IFERROR(RSDTechsCE!N52/1000,"")</f>
        <v>5.0999999999999996</v>
      </c>
      <c r="I52" s="90">
        <f>IFERROR(RSDTechsCE!O52/1000,"")</f>
        <v>5.0999999999999996</v>
      </c>
      <c r="J52" s="90">
        <f>IFERROR(RSDTechsCE!P52/1000,"")</f>
        <v>5.0999999999999996</v>
      </c>
    </row>
    <row r="53" spans="2:10" ht="12.75">
      <c r="B53" t="s">
        <v>479</v>
      </c>
      <c r="C53" t="str">
        <f>RSDTechsCE!B53</f>
        <v>R_ES-SH-DH-70_BIO01</v>
      </c>
      <c r="D53" s="85"/>
      <c r="E53" t="s">
        <v>480</v>
      </c>
      <c r="F53" s="90">
        <f>IFERROR(RSDTechsCE!L53/1000,"")</f>
        <v>16.550000000000001</v>
      </c>
      <c r="G53" s="90">
        <f>IFERROR(RSDTechsCE!M53/1000,"")</f>
        <v>16.550000000000001</v>
      </c>
      <c r="H53" s="90">
        <f>IFERROR(RSDTechsCE!N53/1000,"")</f>
        <v>17.719999999999999</v>
      </c>
      <c r="I53" s="90">
        <f>IFERROR(RSDTechsCE!O53/1000,"")</f>
        <v>17.719999999999999</v>
      </c>
      <c r="J53" s="90">
        <f>IFERROR(RSDTechsCE!P53/1000,"")</f>
        <v>17.719999999999999</v>
      </c>
    </row>
    <row r="54" spans="2:10" ht="12.75">
      <c r="B54" t="s">
        <v>479</v>
      </c>
      <c r="C54" t="str">
        <f>RSDTechsCE!B54</f>
        <v>R_ES-SH-DH-70_ELC01</v>
      </c>
      <c r="D54" s="85"/>
      <c r="E54" t="s">
        <v>480</v>
      </c>
      <c r="F54" s="90">
        <f>IFERROR(RSDTechsCE!L54/1000,"")</f>
        <v>4</v>
      </c>
      <c r="G54" s="90">
        <f>IFERROR(RSDTechsCE!M54/1000,"")</f>
        <v>4</v>
      </c>
      <c r="H54" s="90">
        <f>IFERROR(RSDTechsCE!N54/1000,"")</f>
        <v>4</v>
      </c>
      <c r="I54" s="90">
        <f>IFERROR(RSDTechsCE!O54/1000,"")</f>
        <v>4</v>
      </c>
      <c r="J54" s="90">
        <f>IFERROR(RSDTechsCE!P54/1000,"")</f>
        <v>4</v>
      </c>
    </row>
    <row r="55" spans="2:10" ht="12.75">
      <c r="B55" t="s">
        <v>479</v>
      </c>
      <c r="C55" t="str">
        <f>RSDTechsCE!B55</f>
        <v>R_ES-SH-DH-70_ELC02</v>
      </c>
      <c r="D55" s="85"/>
      <c r="E55" t="s">
        <v>480</v>
      </c>
      <c r="F55" s="90">
        <f>IFERROR(RSDTechsCE!L55/1000,"")</f>
        <v>15.388999999999999</v>
      </c>
      <c r="G55" s="90">
        <f>IFERROR(RSDTechsCE!M55/1000,"")</f>
        <v>14.619549999999998</v>
      </c>
      <c r="H55" s="90">
        <f>IFERROR(RSDTechsCE!N55/1000,"")</f>
        <v>13.234540000000001</v>
      </c>
      <c r="I55" s="90">
        <f>IFERROR(RSDTechsCE!O55/1000,"")</f>
        <v>12.618979999999999</v>
      </c>
      <c r="J55" s="90">
        <f>IFERROR(RSDTechsCE!P55/1000,"")</f>
        <v>12.618979999999999</v>
      </c>
    </row>
    <row r="56" spans="2:10" ht="12.75">
      <c r="B56" t="s">
        <v>479</v>
      </c>
      <c r="C56" t="str">
        <f>RSDTechsCE!B56</f>
        <v>R_ES-SH-DH-70_ELC02-ELCspl</v>
      </c>
      <c r="D56" s="85"/>
      <c r="E56" t="s">
        <v>480</v>
      </c>
      <c r="F56" s="90">
        <f>IFERROR(RSDTechsCE!L56/1000,"")</f>
        <v>3.0395388059701487</v>
      </c>
      <c r="G56" s="90">
        <f>IFERROR(RSDTechsCE!M56/1000,"")</f>
        <v>3.0395388059701487</v>
      </c>
      <c r="H56" s="90">
        <f>IFERROR(RSDTechsCE!N56/1000,"")</f>
        <v>3.0395388059701487</v>
      </c>
      <c r="I56" s="90">
        <f>IFERROR(RSDTechsCE!O56/1000,"")</f>
        <v>3.0395388059701487</v>
      </c>
      <c r="J56" s="90">
        <f>IFERROR(RSDTechsCE!P56/1000,"")</f>
        <v>3.0395388059701487</v>
      </c>
    </row>
    <row r="57" spans="2:10" ht="12.75">
      <c r="B57" t="s">
        <v>479</v>
      </c>
      <c r="C57" t="str">
        <f>RSDTechsCE!B57</f>
        <v>R_ES-SH-DH-70_ELC02-GASspl</v>
      </c>
      <c r="D57" s="85"/>
      <c r="E57" t="s">
        <v>480</v>
      </c>
      <c r="F57" s="90">
        <f>IFERROR(RSDTechsCE!L57/1000,"")</f>
        <v>5.3480999999999987</v>
      </c>
      <c r="G57" s="90">
        <f>IFERROR(RSDTechsCE!M57/1000,"")</f>
        <v>5.3480999999999987</v>
      </c>
      <c r="H57" s="90">
        <f>IFERROR(RSDTechsCE!N57/1000,"")</f>
        <v>5.3480999999999987</v>
      </c>
      <c r="I57" s="90">
        <f>IFERROR(RSDTechsCE!O57/1000,"")</f>
        <v>5.3480999999999987</v>
      </c>
      <c r="J57" s="90">
        <f>IFERROR(RSDTechsCE!P57/1000,"")</f>
        <v>5.3480999999999987</v>
      </c>
    </row>
    <row r="58" spans="2:10" ht="12.75">
      <c r="B58" t="s">
        <v>479</v>
      </c>
      <c r="C58" t="str">
        <f>RSDTechsCE!B58</f>
        <v>R_ES-SH-DH-70_ELC02-BIOspl</v>
      </c>
      <c r="D58" s="85"/>
      <c r="E58" t="s">
        <v>480</v>
      </c>
      <c r="F58" s="90">
        <f>IFERROR(RSDTechsCE!L58/1000,"")</f>
        <v>10.328099999999999</v>
      </c>
      <c r="G58" s="90">
        <f>IFERROR(RSDTechsCE!M58/1000,"")</f>
        <v>10.328099999999999</v>
      </c>
      <c r="H58" s="90">
        <f>IFERROR(RSDTechsCE!N58/1000,"")</f>
        <v>11.257629000000001</v>
      </c>
      <c r="I58" s="90">
        <f>IFERROR(RSDTechsCE!O58/1000,"")</f>
        <v>11.257629000000001</v>
      </c>
      <c r="J58" s="90">
        <f>IFERROR(RSDTechsCE!P58/1000,"")</f>
        <v>11.257629000000001</v>
      </c>
    </row>
    <row r="59" spans="2:10" ht="12.75">
      <c r="B59" t="s">
        <v>479</v>
      </c>
      <c r="C59" t="str">
        <f>RSDTechsCE!B59</f>
        <v>R_ES-SH-DH-70_ELC02-SOLspl</v>
      </c>
      <c r="D59" s="85"/>
      <c r="E59" t="s">
        <v>480</v>
      </c>
      <c r="F59" s="90">
        <f>IFERROR(RSDTechsCE!L59/1000,"")</f>
        <v>4.3965999999999985</v>
      </c>
      <c r="G59" s="90">
        <f>IFERROR(RSDTechsCE!M59/1000,"")</f>
        <v>5.0272139999999981</v>
      </c>
      <c r="H59" s="90">
        <f>IFERROR(RSDTechsCE!N59/1000,"")</f>
        <v>4.759808999999998</v>
      </c>
      <c r="I59" s="90">
        <f>IFERROR(RSDTechsCE!O59/1000,"")</f>
        <v>3.5832269999999986</v>
      </c>
      <c r="J59" s="90">
        <f>IFERROR(RSDTechsCE!P59/1000,"")</f>
        <v>3.5832269999999986</v>
      </c>
    </row>
    <row r="60" spans="2:10" ht="12.75">
      <c r="B60" t="s">
        <v>479</v>
      </c>
      <c r="C60" t="str">
        <f>RSDTechsCE!B60</f>
        <v>R_ES-SH-DH-70_ELC04</v>
      </c>
      <c r="D60" s="85"/>
      <c r="E60" t="s">
        <v>480</v>
      </c>
      <c r="F60" s="90">
        <f>IFERROR(RSDTechsCE!L60/1000,"")</f>
        <v>15.388999999999999</v>
      </c>
      <c r="G60" s="90">
        <f>IFERROR(RSDTechsCE!M60/1000,"")</f>
        <v>14.00399</v>
      </c>
      <c r="H60" s="90">
        <f>IFERROR(RSDTechsCE!N60/1000,"")</f>
        <v>14.00399</v>
      </c>
      <c r="I60" s="90">
        <f>IFERROR(RSDTechsCE!O60/1000,"")</f>
        <v>12.618979999999999</v>
      </c>
      <c r="J60" s="90">
        <f>IFERROR(RSDTechsCE!P60/1000,"")</f>
        <v>12.618979999999999</v>
      </c>
    </row>
    <row r="61" spans="2:10" ht="12.75">
      <c r="B61" t="s">
        <v>479</v>
      </c>
      <c r="C61" t="str">
        <f>RSDTechsCE!B61</f>
        <v>R_ES-SH-DH-70_ELC05</v>
      </c>
      <c r="D61" s="85"/>
      <c r="E61" t="s">
        <v>480</v>
      </c>
      <c r="F61" s="90">
        <f>IFERROR(RSDTechsCE!L61/1000,"")</f>
        <v>16.927900000000001</v>
      </c>
      <c r="G61" s="90">
        <f>IFERROR(RSDTechsCE!M61/1000,"")</f>
        <v>15.404389000000002</v>
      </c>
      <c r="H61" s="90">
        <f>IFERROR(RSDTechsCE!N61/1000,"")</f>
        <v>15.404389000000002</v>
      </c>
      <c r="I61" s="90">
        <f>IFERROR(RSDTechsCE!O61/1000,"")</f>
        <v>13.880878000000001</v>
      </c>
      <c r="J61" s="90">
        <f>IFERROR(RSDTechsCE!P61/1000,"")</f>
        <v>13.880878000000001</v>
      </c>
    </row>
    <row r="62" spans="2:10" ht="12.75">
      <c r="B62" t="s">
        <v>479</v>
      </c>
      <c r="C62" t="str">
        <f>RSDTechsCE!B62</f>
        <v>R_ES-SH-DH-70_ELC06</v>
      </c>
      <c r="D62" s="85"/>
      <c r="E62" t="s">
        <v>480</v>
      </c>
      <c r="F62" s="90">
        <f>IFERROR(RSDTechsCE!L62/1000,"")</f>
        <v>16.350000000000001</v>
      </c>
      <c r="G62" s="90">
        <f>IFERROR(RSDTechsCE!M62/1000,"")</f>
        <v>15.205500000000001</v>
      </c>
      <c r="H62" s="90">
        <f>IFERROR(RSDTechsCE!N62/1000,"")</f>
        <v>14.061</v>
      </c>
      <c r="I62" s="90">
        <f>IFERROR(RSDTechsCE!O62/1000,"")</f>
        <v>12.916499999999999</v>
      </c>
      <c r="J62" s="90">
        <f>IFERROR(RSDTechsCE!P62/1000,"")</f>
        <v>12.916499999999999</v>
      </c>
    </row>
    <row r="63" spans="2:10" ht="12.75">
      <c r="B63" t="s">
        <v>479</v>
      </c>
      <c r="C63" t="str">
        <f>RSDTechsCE!B63</f>
        <v>R_ES-SH-DH-70_ELC07</v>
      </c>
      <c r="D63" s="85"/>
      <c r="E63" t="s">
        <v>480</v>
      </c>
      <c r="F63" s="90">
        <f>IFERROR(RSDTechsCE!L63/1000,"")</f>
        <v>17.984999999999999</v>
      </c>
      <c r="G63" s="90">
        <f>IFERROR(RSDTechsCE!M63/1000,"")</f>
        <v>16.726050000000004</v>
      </c>
      <c r="H63" s="90">
        <f>IFERROR(RSDTechsCE!N63/1000,"")</f>
        <v>15.4671</v>
      </c>
      <c r="I63" s="90">
        <f>IFERROR(RSDTechsCE!O63/1000,"")</f>
        <v>14.208150000000002</v>
      </c>
      <c r="J63" s="90">
        <f>IFERROR(RSDTechsCE!P63/1000,"")</f>
        <v>14.208150000000002</v>
      </c>
    </row>
    <row r="64" spans="2:10" ht="12.75">
      <c r="B64" t="s">
        <v>479</v>
      </c>
      <c r="C64" t="str">
        <f>RSDTechsCE!B64</f>
        <v>R_ES-SH-DH-70_ELC08</v>
      </c>
      <c r="D64" s="85"/>
      <c r="E64" t="s">
        <v>480</v>
      </c>
      <c r="F64" s="90">
        <f>IFERROR(RSDTechsCE!L64/1000,"")</f>
        <v>25.800000000000001</v>
      </c>
      <c r="G64" s="90">
        <f>IFERROR(RSDTechsCE!M64/1000,"")</f>
        <v>24.6555</v>
      </c>
      <c r="H64" s="90">
        <f>IFERROR(RSDTechsCE!N64/1000,"")</f>
        <v>23.510999999999999</v>
      </c>
      <c r="I64" s="90">
        <f>IFERROR(RSDTechsCE!O64/1000,"")</f>
        <v>22.366499999999998</v>
      </c>
      <c r="J64" s="90">
        <f>IFERROR(RSDTechsCE!P64/1000,"")</f>
        <v>22.366499999999998</v>
      </c>
    </row>
    <row r="65" spans="2:10" ht="12.75">
      <c r="B65" t="s">
        <v>479</v>
      </c>
      <c r="C65" t="str">
        <f>RSDTechsCE!B65</f>
        <v>R_ES-SH-DH-70_ELC09</v>
      </c>
      <c r="D65" s="85"/>
      <c r="E65" t="s">
        <v>480</v>
      </c>
      <c r="F65" s="90">
        <f>IFERROR(RSDTechsCE!L65/1000,"")</f>
        <v>28.380000000000003</v>
      </c>
      <c r="G65" s="90">
        <f>IFERROR(RSDTechsCE!M65/1000,"")</f>
        <v>27.121050000000004</v>
      </c>
      <c r="H65" s="90">
        <f>IFERROR(RSDTechsCE!N65/1000,"")</f>
        <v>25.862100000000002</v>
      </c>
      <c r="I65" s="90">
        <f>IFERROR(RSDTechsCE!O65/1000,"")</f>
        <v>24.603150000000003</v>
      </c>
      <c r="J65" s="90">
        <f>IFERROR(RSDTechsCE!P65/1000,"")</f>
        <v>24.603150000000003</v>
      </c>
    </row>
    <row r="66" spans="2:10" ht="12.75">
      <c r="B66" t="s">
        <v>479</v>
      </c>
      <c r="C66" t="str">
        <f>RSDTechsCE!B66</f>
        <v>R_ES-SH-DH-70_ELC10</v>
      </c>
      <c r="D66" s="85"/>
      <c r="E66" t="s">
        <v>480</v>
      </c>
      <c r="F66" s="90">
        <f>IFERROR(RSDTechsCE!L66/1000,"")</f>
        <v>25.734999999999999</v>
      </c>
      <c r="G66" s="90">
        <f>IFERROR(RSDTechsCE!M66/1000,"")</f>
        <v>25.734999999999999</v>
      </c>
      <c r="H66" s="90">
        <f>IFERROR(RSDTechsCE!N66/1000,"")</f>
        <v>21.647500000000001</v>
      </c>
      <c r="I66" s="90">
        <f>IFERROR(RSDTechsCE!O66/1000,"")</f>
        <v>21.647500000000001</v>
      </c>
      <c r="J66" s="90">
        <f>IFERROR(RSDTechsCE!P66/1000,"")</f>
        <v>20.012499999999999</v>
      </c>
    </row>
    <row r="67" spans="2:10" ht="12.75">
      <c r="B67" t="s">
        <v>479</v>
      </c>
      <c r="C67" t="str">
        <f>RSDTechsCE!B67</f>
        <v>R_ES-SH-DH-70_ELC11</v>
      </c>
      <c r="D67" s="85"/>
      <c r="E67" t="s">
        <v>480</v>
      </c>
      <c r="F67" s="90">
        <f>IFERROR(RSDTechsCE!L67/1000,"")</f>
        <v>28.308500000000002</v>
      </c>
      <c r="G67" s="90">
        <f>IFERROR(RSDTechsCE!M67/1000,"")</f>
        <v>28.308500000000002</v>
      </c>
      <c r="H67" s="90">
        <f>IFERROR(RSDTechsCE!N67/1000,"")</f>
        <v>23.812250000000002</v>
      </c>
      <c r="I67" s="90">
        <f>IFERROR(RSDTechsCE!O67/1000,"")</f>
        <v>23.812250000000002</v>
      </c>
      <c r="J67" s="90">
        <f>IFERROR(RSDTechsCE!P67/1000,"")</f>
        <v>22.013750000000002</v>
      </c>
    </row>
    <row r="68" spans="2:10" ht="12.75">
      <c r="B68" t="s">
        <v>479</v>
      </c>
      <c r="C68" t="str">
        <f>RSDTechsCE!B68</f>
        <v>R_ES-SH-DH-70_GAS03</v>
      </c>
      <c r="D68" s="85"/>
      <c r="E68" t="s">
        <v>480</v>
      </c>
      <c r="F68" s="90">
        <f>IFERROR(RSDTechsCE!L68/1000,"")</f>
        <v>28.899999999999999</v>
      </c>
      <c r="G68" s="90">
        <f>IFERROR(RSDTechsCE!M68/1000,"")</f>
        <v>28.899999999999999</v>
      </c>
      <c r="H68" s="90">
        <f>IFERROR(RSDTechsCE!N68/1000,"")</f>
        <v>27.166</v>
      </c>
      <c r="I68" s="90">
        <f>IFERROR(RSDTechsCE!O68/1000,"")</f>
        <v>27.166</v>
      </c>
      <c r="J68" s="90">
        <f>IFERROR(RSDTechsCE!P68/1000,"")</f>
        <v>27.166</v>
      </c>
    </row>
    <row r="69" spans="2:10" ht="12.75">
      <c r="B69" t="s">
        <v>479</v>
      </c>
      <c r="C69" t="str">
        <f>RSDTechsCE!B69</f>
        <v>R_ES-SH-DH-70_GAS04</v>
      </c>
      <c r="D69" s="85"/>
      <c r="E69" t="s">
        <v>480</v>
      </c>
      <c r="F69" s="90">
        <f>IFERROR(RSDTechsCE!L69/1000,"")</f>
        <v>31.790000000000003</v>
      </c>
      <c r="G69" s="90">
        <f>IFERROR(RSDTechsCE!M69/1000,"")</f>
        <v>31.790000000000003</v>
      </c>
      <c r="H69" s="90">
        <f>IFERROR(RSDTechsCE!N69/1000,"")</f>
        <v>29.882600000000004</v>
      </c>
      <c r="I69" s="90">
        <f>IFERROR(RSDTechsCE!O69/1000,"")</f>
        <v>29.882600000000004</v>
      </c>
      <c r="J69" s="90">
        <f>IFERROR(RSDTechsCE!P69/1000,"")</f>
        <v>29.882600000000004</v>
      </c>
    </row>
    <row r="70" spans="2:10" ht="12.75">
      <c r="B70" t="s">
        <v>479</v>
      </c>
      <c r="C70" t="str">
        <f>RSDTechsCE!B70</f>
        <v>R_ES-SH-DH-70_GAS05</v>
      </c>
      <c r="D70" s="85"/>
      <c r="E70" t="s">
        <v>480</v>
      </c>
      <c r="F70" s="90">
        <f>IFERROR(RSDTechsCE!L70/1000,"")</f>
        <v>19.495999999999999</v>
      </c>
      <c r="G70" s="90">
        <f>IFERROR(RSDTechsCE!M70/1000,"")</f>
        <v>19.495999999999999</v>
      </c>
      <c r="H70" s="90">
        <f>IFERROR(RSDTechsCE!N70/1000,"")</f>
        <v>19.495999999999999</v>
      </c>
      <c r="I70" s="90">
        <f>IFERROR(RSDTechsCE!O70/1000,"")</f>
        <v>19.495999999999999</v>
      </c>
      <c r="J70" s="90">
        <f>IFERROR(RSDTechsCE!P70/1000,"")</f>
        <v>19.495999999999999</v>
      </c>
    </row>
    <row r="71" spans="2:10" ht="12.75">
      <c r="B71" t="s">
        <v>479</v>
      </c>
      <c r="C71" t="str">
        <f>RSDTechsCE!B71</f>
        <v>R_ES-SH-DH-70_GAS06</v>
      </c>
      <c r="D71" s="85"/>
      <c r="E71" t="s">
        <v>480</v>
      </c>
      <c r="F71" s="90">
        <f>IFERROR(RSDTechsCE!L71/1000,"")</f>
        <v>21.445600000000002</v>
      </c>
      <c r="G71" s="90">
        <f>IFERROR(RSDTechsCE!M71/1000,"")</f>
        <v>21.445600000000002</v>
      </c>
      <c r="H71" s="90">
        <f>IFERROR(RSDTechsCE!N71/1000,"")</f>
        <v>21.445600000000002</v>
      </c>
      <c r="I71" s="90">
        <f>IFERROR(RSDTechsCE!O71/1000,"")</f>
        <v>21.445600000000002</v>
      </c>
      <c r="J71" s="90">
        <f>IFERROR(RSDTechsCE!P71/1000,"")</f>
        <v>21.445600000000002</v>
      </c>
    </row>
    <row r="72" spans="2:10" ht="12.75">
      <c r="B72" t="s">
        <v>479</v>
      </c>
      <c r="C72" t="str">
        <f>RSDTechsCE!B72</f>
        <v>R_ES-SH-DH-70_GAS07</v>
      </c>
      <c r="D72" s="85"/>
      <c r="E72" t="s">
        <v>480</v>
      </c>
      <c r="F72" s="90">
        <f>IFERROR(RSDTechsCE!L72/1000,"")</f>
        <v>47.5</v>
      </c>
      <c r="G72" s="90">
        <f>IFERROR(RSDTechsCE!M72/1000,"")</f>
        <v>47.5</v>
      </c>
      <c r="H72" s="90">
        <f>IFERROR(RSDTechsCE!N72/1000,"")</f>
        <v>47.5</v>
      </c>
      <c r="I72" s="90">
        <f>IFERROR(RSDTechsCE!O72/1000,"")</f>
        <v>47.5</v>
      </c>
      <c r="J72" s="90">
        <f>IFERROR(RSDTechsCE!P72/1000,"")</f>
        <v>47.5</v>
      </c>
    </row>
    <row r="73" spans="2:10" ht="12.75">
      <c r="B73" t="s">
        <v>479</v>
      </c>
      <c r="C73" t="str">
        <f>RSDTechsCE!B73</f>
        <v>R_ES-SH-DH-70_GAS08</v>
      </c>
      <c r="D73" s="85"/>
      <c r="E73" t="s">
        <v>480</v>
      </c>
      <c r="F73" s="90">
        <f>IFERROR(RSDTechsCE!L73/1000,"")</f>
        <v>52.250000000000007</v>
      </c>
      <c r="G73" s="90">
        <f>IFERROR(RSDTechsCE!M73/1000,"")</f>
        <v>52.250000000000007</v>
      </c>
      <c r="H73" s="90">
        <f>IFERROR(RSDTechsCE!N73/1000,"")</f>
        <v>52.250000000000007</v>
      </c>
      <c r="I73" s="90">
        <f>IFERROR(RSDTechsCE!O73/1000,"")</f>
        <v>52.250000000000007</v>
      </c>
      <c r="J73" s="90">
        <f>IFERROR(RSDTechsCE!P73/1000,"")</f>
        <v>52.250000000000007</v>
      </c>
    </row>
    <row r="74" spans="2:10" ht="12.75">
      <c r="B74" t="s">
        <v>479</v>
      </c>
      <c r="C74" t="str">
        <f>RSDTechsCE!B74</f>
        <v>R_ES-CHP-DH-70_GAS01</v>
      </c>
      <c r="D74" s="85"/>
      <c r="E74" t="s">
        <v>480</v>
      </c>
      <c r="F74" s="90">
        <f>IFERROR(RSDTechsCE!L74/1000,"")</f>
        <v>103.98</v>
      </c>
      <c r="G74" s="90">
        <f>IFERROR(RSDTechsCE!M74/1000,"")</f>
        <v>103.98</v>
      </c>
      <c r="H74" s="90">
        <f>IFERROR(RSDTechsCE!N74/1000,"")</f>
        <v>77.984999999999999</v>
      </c>
      <c r="I74" s="90">
        <f>IFERROR(RSDTechsCE!O74/1000,"")</f>
        <v>77.984999999999999</v>
      </c>
      <c r="J74" s="90">
        <f>IFERROR(RSDTechsCE!P74/1000,"")</f>
        <v>62.387999999999998</v>
      </c>
    </row>
    <row r="75" spans="2:10" ht="12.75">
      <c r="B75" t="s">
        <v>479</v>
      </c>
      <c r="C75" t="str">
        <f>RSDTechsCE!B75</f>
        <v>R_ES-CHP-DH-70_OIL01</v>
      </c>
      <c r="D75" s="85"/>
      <c r="E75" t="s">
        <v>480</v>
      </c>
      <c r="F75" s="90">
        <f>IFERROR(RSDTechsCE!L75/1000,"")</f>
        <v>103.98</v>
      </c>
      <c r="G75" s="90">
        <f>IFERROR(RSDTechsCE!M75/1000,"")</f>
        <v>103.98</v>
      </c>
      <c r="H75" s="90">
        <f>IFERROR(RSDTechsCE!N75/1000,"")</f>
        <v>77.984999999999999</v>
      </c>
      <c r="I75" s="90">
        <f>IFERROR(RSDTechsCE!O75/1000,"")</f>
        <v>77.984999999999999</v>
      </c>
      <c r="J75" s="90">
        <f>IFERROR(RSDTechsCE!P75/1000,"")</f>
        <v>62.387999999999998</v>
      </c>
    </row>
    <row r="76" spans="2:10" ht="12.75">
      <c r="B76" t="s">
        <v>479</v>
      </c>
      <c r="C76" t="str">
        <f>RSDTechsCE!B76</f>
        <v>R_ES-CHP-DH-70_GAS02</v>
      </c>
      <c r="D76" s="85"/>
      <c r="E76" t="s">
        <v>480</v>
      </c>
      <c r="F76" s="90">
        <f>IFERROR(RSDTechsCE!L76/1000,"")</f>
        <v>23.199999999999999</v>
      </c>
      <c r="G76" s="90">
        <f>IFERROR(RSDTechsCE!M76/1000,"")</f>
        <v>19.07</v>
      </c>
      <c r="H76" s="90">
        <f>IFERROR(RSDTechsCE!N76/1000,"")</f>
        <v>16.3855</v>
      </c>
      <c r="I76" s="90">
        <f>IFERROR(RSDTechsCE!O76/1000,"")</f>
        <v>16.3855</v>
      </c>
      <c r="J76" s="90">
        <f>IFERROR(RSDTechsCE!P76/1000,"")</f>
        <v>16.3855</v>
      </c>
    </row>
    <row r="77" spans="2:10" ht="12.75">
      <c r="B77" t="s">
        <v>479</v>
      </c>
      <c r="C77" t="str">
        <f>RSDTechsCE!B77</f>
        <v>R_ES-CHP-DH-70_OIL02</v>
      </c>
      <c r="D77" s="85"/>
      <c r="E77" t="s">
        <v>480</v>
      </c>
      <c r="F77" s="90">
        <f>IFERROR(RSDTechsCE!L77/1000,"")</f>
        <v>24</v>
      </c>
      <c r="G77" s="90">
        <f>IFERROR(RSDTechsCE!M77/1000,"")</f>
        <v>19.710000000000001</v>
      </c>
      <c r="H77" s="90">
        <f>IFERROR(RSDTechsCE!N77/1000,"")</f>
        <v>16.921500000000002</v>
      </c>
      <c r="I77" s="90">
        <f>IFERROR(RSDTechsCE!O77/1000,"")</f>
        <v>16.921500000000002</v>
      </c>
      <c r="J77" s="90">
        <f>IFERROR(RSDTechsCE!P77/1000,"")</f>
        <v>16.921500000000002</v>
      </c>
    </row>
    <row r="78" spans="2:10" ht="12.75">
      <c r="B78" t="s">
        <v>479</v>
      </c>
      <c r="C78" t="str">
        <f>RSDTechsCE!B78</f>
        <v>R_ES-CHP-DH-70_GAS03</v>
      </c>
      <c r="D78" s="85"/>
      <c r="E78" t="s">
        <v>480</v>
      </c>
      <c r="F78" s="90">
        <f>IFERROR(RSDTechsCE!L78/1000,"")</f>
        <v>18.5</v>
      </c>
      <c r="G78" s="90">
        <f>IFERROR(RSDTechsCE!M78/1000,"")</f>
        <v>16.75</v>
      </c>
      <c r="H78" s="90">
        <f>IFERROR(RSDTechsCE!N78/1000,"")</f>
        <v>14.125</v>
      </c>
      <c r="I78" s="90">
        <f>IFERROR(RSDTechsCE!O78/1000,"")</f>
        <v>14.125</v>
      </c>
      <c r="J78" s="90">
        <f>IFERROR(RSDTechsCE!P78/1000,"")</f>
        <v>14.125</v>
      </c>
    </row>
    <row r="79" spans="2:10" ht="12.75">
      <c r="B79" t="s">
        <v>479</v>
      </c>
      <c r="C79" t="str">
        <f>RSDTechsCE!B79</f>
        <v>R_ES-CHP-DH-70_GAS04</v>
      </c>
      <c r="D79" s="85"/>
      <c r="E79" t="s">
        <v>480</v>
      </c>
      <c r="F79" s="90">
        <f>IFERROR(RSDTechsCE!L79/1000,"")</f>
        <v>21.491</v>
      </c>
      <c r="G79" s="90">
        <f>IFERROR(RSDTechsCE!M79/1000,"")</f>
        <v>21.491</v>
      </c>
      <c r="H79" s="90">
        <f>IFERROR(RSDTechsCE!N79/1000,"")</f>
        <v>9.0909999999999993</v>
      </c>
      <c r="I79" s="90">
        <f>IFERROR(RSDTechsCE!O79/1000,"")</f>
        <v>9.0909999999999993</v>
      </c>
      <c r="J79" s="90">
        <f>IFERROR(RSDTechsCE!P79/1000,"")</f>
        <v>4.1310000000000002</v>
      </c>
    </row>
    <row r="80" spans="2:10" ht="12.75">
      <c r="B80" t="s">
        <v>479</v>
      </c>
      <c r="C80" t="str">
        <f>RSDTechsCE!B80</f>
        <v>R_ES-CHP-DH-70_HH201</v>
      </c>
      <c r="D80" s="85"/>
      <c r="E80" t="s">
        <v>480</v>
      </c>
      <c r="F80" s="90">
        <f>IFERROR(RSDTechsCE!L80/1000,"")</f>
        <v>13</v>
      </c>
      <c r="G80" s="90">
        <f>IFERROR(RSDTechsCE!M80/1000,"")</f>
        <v>6.9000000000000004</v>
      </c>
      <c r="H80" s="90">
        <f>IFERROR(RSDTechsCE!N80/1000,"")</f>
        <v>5.0999999999999996</v>
      </c>
      <c r="I80" s="90" t="str">
        <f>IFERROR(RSDTechsCE!O80/1000,"")</f>
        <v/>
      </c>
      <c r="J80" s="90" t="str">
        <f>IFERROR(RSDTechsCE!P80/1000,"")</f>
        <v/>
      </c>
    </row>
    <row r="81" spans="2:10" ht="12.75">
      <c r="B81" t="s">
        <v>479</v>
      </c>
      <c r="C81" t="str">
        <f>RSDTechsCE!B81</f>
        <v>R_ES-CHP-DH-70-GASspl</v>
      </c>
      <c r="D81" s="85"/>
      <c r="E81" t="s">
        <v>480</v>
      </c>
      <c r="F81" s="90">
        <f>IFERROR(RSDTechsCE!L81/1000,"")</f>
        <v>4.3090000000000002</v>
      </c>
      <c r="G81" s="90">
        <f>IFERROR(RSDTechsCE!M81/1000,"")</f>
        <v>4.3090000000000002</v>
      </c>
      <c r="H81" s="90">
        <f>IFERROR(RSDTechsCE!N81/1000,"")</f>
        <v>4.3090000000000002</v>
      </c>
      <c r="I81" s="90">
        <f>IFERROR(RSDTechsCE!O81/1000,"")</f>
        <v>4.3090000000000002</v>
      </c>
      <c r="J81" s="90">
        <f>IFERROR(RSDTechsCE!P81/1000,"")</f>
        <v>4.3090000000000002</v>
      </c>
    </row>
    <row r="82" spans="2:10" ht="12.75">
      <c r="B82" t="s">
        <v>479</v>
      </c>
      <c r="C82" t="str">
        <f>RSDTechsCE!B82</f>
        <v>R_ES-CHP-DH-70-OILspl</v>
      </c>
      <c r="D82" s="85"/>
      <c r="E82" t="s">
        <v>480</v>
      </c>
      <c r="F82" s="90">
        <f>IFERROR(RSDTechsCE!L82/1000,"")</f>
        <v>5.5270000000000001</v>
      </c>
      <c r="G82" s="90">
        <f>IFERROR(RSDTechsCE!M82/1000,"")</f>
        <v>5.5270000000000001</v>
      </c>
      <c r="H82" s="90">
        <f>IFERROR(RSDTechsCE!N82/1000,"")</f>
        <v>5.5270000000000001</v>
      </c>
      <c r="I82" s="90">
        <f>IFERROR(RSDTechsCE!O82/1000,"")</f>
        <v>5.5270000000000001</v>
      </c>
      <c r="J82" s="90">
        <f>IFERROR(RSDTechsCE!P82/1000,"")</f>
        <v>5.5270000000000001</v>
      </c>
    </row>
    <row r="83" spans="4:4" ht="12.75">
      <c r="D83" s="85"/>
    </row>
    <row r="84" spans="2:10" ht="15">
      <c r="B84" s="86" t="s">
        <v>865</v>
      </c>
      <c r="C84" s="87"/>
      <c r="D84" s="87"/>
      <c r="E84" s="86"/>
      <c r="F84" s="87"/>
      <c r="G84" s="87"/>
      <c r="H84" s="87"/>
      <c r="I84" s="87"/>
      <c r="J84" s="87"/>
    </row>
    <row r="85" spans="2:10" ht="15.75" thickBot="1">
      <c r="B85" s="88" t="s">
        <v>35</v>
      </c>
      <c r="C85" s="88" t="s">
        <v>397</v>
      </c>
      <c r="D85" s="88" t="s">
        <v>477</v>
      </c>
      <c r="E85" s="88" t="s">
        <v>478</v>
      </c>
      <c r="F85" s="89">
        <v>2011</v>
      </c>
      <c r="G85" s="89">
        <v>2020</v>
      </c>
      <c r="H85" s="89">
        <v>2030</v>
      </c>
      <c r="I85" s="89">
        <v>2040</v>
      </c>
      <c r="J85" s="89">
        <v>2050</v>
      </c>
    </row>
    <row r="86" spans="2:10" ht="12.75">
      <c r="B86" t="s">
        <v>479</v>
      </c>
      <c r="C86" t="str">
        <f>RSDTechsCE!B86</f>
        <v>R_ES-SH-SD_OIL01</v>
      </c>
      <c r="D86" s="85"/>
      <c r="E86" t="s">
        <v>480</v>
      </c>
      <c r="F86" s="90">
        <f>IFERROR(RSDTechsCE!L86/1000,"")</f>
        <v>5.5270000000000001</v>
      </c>
      <c r="G86" s="90">
        <f>IFERROR(RSDTechsCE!M86/1000,"")</f>
        <v>5.5270000000000001</v>
      </c>
      <c r="H86" s="90">
        <f>IFERROR(RSDTechsCE!N86/1000,"")</f>
        <v>5.5270000000000001</v>
      </c>
      <c r="I86" s="90">
        <f>IFERROR(RSDTechsCE!O86/1000,"")</f>
        <v>5.5270000000000001</v>
      </c>
      <c r="J86" s="90">
        <f>IFERROR(RSDTechsCE!P86/1000,"")</f>
        <v>5.5270000000000001</v>
      </c>
    </row>
    <row r="87" spans="2:10" ht="12.75">
      <c r="B87" t="s">
        <v>479</v>
      </c>
      <c r="C87" t="str">
        <f>RSDTechsCE!B87</f>
        <v>R_ES-SH-SD_OIL02</v>
      </c>
      <c r="D87" s="85"/>
      <c r="E87" t="s">
        <v>480</v>
      </c>
      <c r="F87" s="90">
        <f>IFERROR(RSDTechsCE!L87/1000,"")</f>
        <v>5.5270000000000001</v>
      </c>
      <c r="G87" s="90">
        <f>IFERROR(RSDTechsCE!M87/1000,"")</f>
        <v>5.5270000000000001</v>
      </c>
      <c r="H87" s="90">
        <f>IFERROR(RSDTechsCE!N87/1000,"")</f>
        <v>5.5270000000000001</v>
      </c>
      <c r="I87" s="90">
        <f>IFERROR(RSDTechsCE!O87/1000,"")</f>
        <v>5.5270000000000001</v>
      </c>
      <c r="J87" s="90">
        <f>IFERROR(RSDTechsCE!P87/1000,"")</f>
        <v>5.5270000000000001</v>
      </c>
    </row>
    <row r="88" spans="2:10" ht="12.75">
      <c r="B88" t="s">
        <v>479</v>
      </c>
      <c r="C88" t="str">
        <f>RSDTechsCE!B88</f>
        <v>R_ES-SH-SD_OIL02-SOLspl</v>
      </c>
      <c r="D88" s="85"/>
      <c r="E88" t="s">
        <v>480</v>
      </c>
      <c r="F88" s="90">
        <f>IFERROR(RSDTechsCE!L88/1000,"")</f>
        <v>6.2939999999999996</v>
      </c>
      <c r="G88" s="90">
        <f>IFERROR(RSDTechsCE!M88/1000,"")</f>
        <v>6.0003599999999997</v>
      </c>
      <c r="H88" s="90">
        <f>IFERROR(RSDTechsCE!N88/1000,"")</f>
        <v>5.7556599999999998</v>
      </c>
      <c r="I88" s="90">
        <f>IFERROR(RSDTechsCE!O88/1000,"")</f>
        <v>4.6789799999999993</v>
      </c>
      <c r="J88" s="90">
        <f>IFERROR(RSDTechsCE!P88/1000,"")</f>
        <v>4.6789799999999993</v>
      </c>
    </row>
    <row r="89" spans="2:10" ht="12.75">
      <c r="B89" t="s">
        <v>479</v>
      </c>
      <c r="C89" t="str">
        <f>RSDTechsCE!B89</f>
        <v>R_ES-SH-SD_OIL02-BIOspl</v>
      </c>
      <c r="D89" s="85"/>
      <c r="E89" t="s">
        <v>480</v>
      </c>
      <c r="F89" s="90">
        <f>IFERROR(RSDTechsCE!L89/1000,"")</f>
        <v>4.2000000000000002</v>
      </c>
      <c r="G89" s="90">
        <f>IFERROR(RSDTechsCE!M89/1000,"")</f>
        <v>4.2000000000000002</v>
      </c>
      <c r="H89" s="90">
        <f>IFERROR(RSDTechsCE!N89/1000,"")</f>
        <v>5.0999999999999996</v>
      </c>
      <c r="I89" s="90">
        <f>IFERROR(RSDTechsCE!O89/1000,"")</f>
        <v>5.0999999999999996</v>
      </c>
      <c r="J89" s="90">
        <f>IFERROR(RSDTechsCE!P89/1000,"")</f>
        <v>5.0999999999999996</v>
      </c>
    </row>
    <row r="90" spans="2:10" ht="12.75">
      <c r="B90" t="s">
        <v>479</v>
      </c>
      <c r="C90" t="str">
        <f>RSDTechsCE!B90</f>
        <v>R_ES-SH-SD_GAS01</v>
      </c>
      <c r="D90" s="85"/>
      <c r="E90" t="s">
        <v>480</v>
      </c>
      <c r="F90" s="90">
        <f>IFERROR(RSDTechsCE!L90/1000,"")</f>
        <v>4.3090000000000002</v>
      </c>
      <c r="G90" s="90">
        <f>IFERROR(RSDTechsCE!M90/1000,"")</f>
        <v>4.3090000000000002</v>
      </c>
      <c r="H90" s="90">
        <f>IFERROR(RSDTechsCE!N90/1000,"")</f>
        <v>4.3090000000000002</v>
      </c>
      <c r="I90" s="90">
        <f>IFERROR(RSDTechsCE!O90/1000,"")</f>
        <v>4.3090000000000002</v>
      </c>
      <c r="J90" s="90">
        <f>IFERROR(RSDTechsCE!P90/1000,"")</f>
        <v>4.3090000000000002</v>
      </c>
    </row>
    <row r="91" spans="2:10" ht="12.75">
      <c r="B91" t="s">
        <v>479</v>
      </c>
      <c r="C91" t="str">
        <f>RSDTechsCE!B91</f>
        <v>R_ES-SH-SD_GAS02</v>
      </c>
      <c r="D91" s="85"/>
      <c r="E91" t="s">
        <v>480</v>
      </c>
      <c r="F91" s="90">
        <f>IFERROR(RSDTechsCE!L91/1000,"")</f>
        <v>4.3090000000000002</v>
      </c>
      <c r="G91" s="90">
        <f>IFERROR(RSDTechsCE!M91/1000,"")</f>
        <v>4.3090000000000002</v>
      </c>
      <c r="H91" s="90">
        <f>IFERROR(RSDTechsCE!N91/1000,"")</f>
        <v>4.3090000000000002</v>
      </c>
      <c r="I91" s="90">
        <f>IFERROR(RSDTechsCE!O91/1000,"")</f>
        <v>4.3090000000000002</v>
      </c>
      <c r="J91" s="90">
        <f>IFERROR(RSDTechsCE!P91/1000,"")</f>
        <v>4.3090000000000002</v>
      </c>
    </row>
    <row r="92" spans="2:10" ht="12.75">
      <c r="B92" t="s">
        <v>479</v>
      </c>
      <c r="C92" t="str">
        <f>RSDTechsCE!B92</f>
        <v>R_ES-SH-SD_GAS02-SOLspl</v>
      </c>
      <c r="D92" s="85"/>
      <c r="E92" t="s">
        <v>480</v>
      </c>
      <c r="F92" s="90">
        <f>IFERROR(RSDTechsCE!L92/1000,"")</f>
        <v>6.2939999999999996</v>
      </c>
      <c r="G92" s="90">
        <f>IFERROR(RSDTechsCE!M92/1000,"")</f>
        <v>6.0003599999999997</v>
      </c>
      <c r="H92" s="90">
        <f>IFERROR(RSDTechsCE!N92/1000,"")</f>
        <v>5.7556599999999998</v>
      </c>
      <c r="I92" s="90">
        <f>IFERROR(RSDTechsCE!O92/1000,"")</f>
        <v>4.6789799999999993</v>
      </c>
      <c r="J92" s="90">
        <f>IFERROR(RSDTechsCE!P92/1000,"")</f>
        <v>4.6789799999999993</v>
      </c>
    </row>
    <row r="93" spans="2:10" ht="12.75">
      <c r="B93" t="s">
        <v>479</v>
      </c>
      <c r="C93" t="str">
        <f>RSDTechsCE!B93</f>
        <v>R_ES-SH-SD_GAS02-BIOspl</v>
      </c>
      <c r="D93" s="85"/>
      <c r="E93" t="s">
        <v>480</v>
      </c>
      <c r="F93" s="90">
        <f>IFERROR(RSDTechsCE!L93/1000,"")</f>
        <v>4.2000000000000002</v>
      </c>
      <c r="G93" s="90">
        <f>IFERROR(RSDTechsCE!M93/1000,"")</f>
        <v>4.2000000000000002</v>
      </c>
      <c r="H93" s="90">
        <f>IFERROR(RSDTechsCE!N93/1000,"")</f>
        <v>5.0999999999999996</v>
      </c>
      <c r="I93" s="90">
        <f>IFERROR(RSDTechsCE!O93/1000,"")</f>
        <v>5.0999999999999996</v>
      </c>
      <c r="J93" s="90">
        <f>IFERROR(RSDTechsCE!P93/1000,"")</f>
        <v>5.0999999999999996</v>
      </c>
    </row>
    <row r="94" spans="2:10" ht="12.75">
      <c r="B94" t="s">
        <v>479</v>
      </c>
      <c r="C94" t="str">
        <f>RSDTechsCE!B94</f>
        <v>R_ES-SH-SD_BIO01</v>
      </c>
      <c r="D94" s="85"/>
      <c r="E94" t="s">
        <v>480</v>
      </c>
      <c r="F94" s="90">
        <f>IFERROR(RSDTechsCE!L94/1000,"")</f>
        <v>16.550000000000001</v>
      </c>
      <c r="G94" s="90">
        <f>IFERROR(RSDTechsCE!M94/1000,"")</f>
        <v>16.550000000000001</v>
      </c>
      <c r="H94" s="90">
        <f>IFERROR(RSDTechsCE!N94/1000,"")</f>
        <v>17.719999999999999</v>
      </c>
      <c r="I94" s="90">
        <f>IFERROR(RSDTechsCE!O94/1000,"")</f>
        <v>17.719999999999999</v>
      </c>
      <c r="J94" s="90">
        <f>IFERROR(RSDTechsCE!P94/1000,"")</f>
        <v>17.719999999999999</v>
      </c>
    </row>
    <row r="95" spans="2:10" ht="12.75">
      <c r="B95" t="s">
        <v>479</v>
      </c>
      <c r="C95" t="str">
        <f>RSDTechsCE!B95</f>
        <v>R_ES-SH-SD_ELC01</v>
      </c>
      <c r="D95" s="85"/>
      <c r="E95" t="s">
        <v>480</v>
      </c>
      <c r="F95" s="90">
        <f>IFERROR(RSDTechsCE!L95/1000,"")</f>
        <v>4</v>
      </c>
      <c r="G95" s="90">
        <f>IFERROR(RSDTechsCE!M95/1000,"")</f>
        <v>4</v>
      </c>
      <c r="H95" s="90">
        <f>IFERROR(RSDTechsCE!N95/1000,"")</f>
        <v>4</v>
      </c>
      <c r="I95" s="90">
        <f>IFERROR(RSDTechsCE!O95/1000,"")</f>
        <v>4</v>
      </c>
      <c r="J95" s="90">
        <f>IFERROR(RSDTechsCE!P95/1000,"")</f>
        <v>4</v>
      </c>
    </row>
    <row r="96" spans="2:10" ht="12.75">
      <c r="B96" t="s">
        <v>479</v>
      </c>
      <c r="C96" t="str">
        <f>RSDTechsCE!B96</f>
        <v>R_ES-SH-SD_ELC02</v>
      </c>
      <c r="D96" s="85"/>
      <c r="E96" t="s">
        <v>480</v>
      </c>
      <c r="F96" s="90">
        <f>IFERROR(RSDTechsCE!L96/1000,"")</f>
        <v>15.388999999999999</v>
      </c>
      <c r="G96" s="90">
        <f>IFERROR(RSDTechsCE!M96/1000,"")</f>
        <v>14.619549999999998</v>
      </c>
      <c r="H96" s="90">
        <f>IFERROR(RSDTechsCE!N96/1000,"")</f>
        <v>13.234540000000001</v>
      </c>
      <c r="I96" s="90">
        <f>IFERROR(RSDTechsCE!O96/1000,"")</f>
        <v>12.618979999999999</v>
      </c>
      <c r="J96" s="90">
        <f>IFERROR(RSDTechsCE!P96/1000,"")</f>
        <v>12.618979999999999</v>
      </c>
    </row>
    <row r="97" spans="2:10" ht="12.75">
      <c r="B97" t="s">
        <v>479</v>
      </c>
      <c r="C97" t="str">
        <f>RSDTechsCE!B97</f>
        <v>R_ES-SH-SD_ELC02-ELCspl</v>
      </c>
      <c r="D97" s="85"/>
      <c r="E97" t="s">
        <v>480</v>
      </c>
      <c r="F97" s="90">
        <f>IFERROR(RSDTechsCE!L97/1000,"")</f>
        <v>3.0395388059701487</v>
      </c>
      <c r="G97" s="90">
        <f>IFERROR(RSDTechsCE!M97/1000,"")</f>
        <v>3.0395388059701487</v>
      </c>
      <c r="H97" s="90">
        <f>IFERROR(RSDTechsCE!N97/1000,"")</f>
        <v>3.0395388059701487</v>
      </c>
      <c r="I97" s="90">
        <f>IFERROR(RSDTechsCE!O97/1000,"")</f>
        <v>3.0395388059701487</v>
      </c>
      <c r="J97" s="90">
        <f>IFERROR(RSDTechsCE!P97/1000,"")</f>
        <v>3.0395388059701487</v>
      </c>
    </row>
    <row r="98" spans="2:10" ht="12.75">
      <c r="B98" t="s">
        <v>479</v>
      </c>
      <c r="C98" t="str">
        <f>RSDTechsCE!B98</f>
        <v>R_ES-SH-SD_ELC02-GASspl</v>
      </c>
      <c r="D98" s="85"/>
      <c r="E98" t="s">
        <v>480</v>
      </c>
      <c r="F98" s="90">
        <f>IFERROR(RSDTechsCE!L98/1000,"")</f>
        <v>5.3480999999999987</v>
      </c>
      <c r="G98" s="90">
        <f>IFERROR(RSDTechsCE!M98/1000,"")</f>
        <v>5.3480999999999987</v>
      </c>
      <c r="H98" s="90">
        <f>IFERROR(RSDTechsCE!N98/1000,"")</f>
        <v>5.3480999999999987</v>
      </c>
      <c r="I98" s="90">
        <f>IFERROR(RSDTechsCE!O98/1000,"")</f>
        <v>5.3480999999999987</v>
      </c>
      <c r="J98" s="90">
        <f>IFERROR(RSDTechsCE!P98/1000,"")</f>
        <v>5.3480999999999987</v>
      </c>
    </row>
    <row r="99" spans="2:10" ht="12.75">
      <c r="B99" t="s">
        <v>479</v>
      </c>
      <c r="C99" t="str">
        <f>RSDTechsCE!B99</f>
        <v>R_ES-SH-SD_ELC02-BIOspl</v>
      </c>
      <c r="D99" s="85"/>
      <c r="E99" t="s">
        <v>480</v>
      </c>
      <c r="F99" s="90">
        <f>IFERROR(RSDTechsCE!L99/1000,"")</f>
        <v>10.328099999999999</v>
      </c>
      <c r="G99" s="90">
        <f>IFERROR(RSDTechsCE!M99/1000,"")</f>
        <v>10.328099999999999</v>
      </c>
      <c r="H99" s="90">
        <f>IFERROR(RSDTechsCE!N99/1000,"")</f>
        <v>11.257629000000001</v>
      </c>
      <c r="I99" s="90">
        <f>IFERROR(RSDTechsCE!O99/1000,"")</f>
        <v>11.257629000000001</v>
      </c>
      <c r="J99" s="90">
        <f>IFERROR(RSDTechsCE!P99/1000,"")</f>
        <v>11.257629000000001</v>
      </c>
    </row>
    <row r="100" spans="2:10" ht="12.75">
      <c r="B100" t="s">
        <v>479</v>
      </c>
      <c r="C100" t="str">
        <f>RSDTechsCE!B100</f>
        <v>R_ES-SH-SD_ELC02-SOLspl</v>
      </c>
      <c r="D100" s="85"/>
      <c r="E100" t="s">
        <v>480</v>
      </c>
      <c r="F100" s="90">
        <f>IFERROR(RSDTechsCE!L100/1000,"")</f>
        <v>4.3965999999999985</v>
      </c>
      <c r="G100" s="90">
        <f>IFERROR(RSDTechsCE!M100/1000,"")</f>
        <v>5.0272139999999981</v>
      </c>
      <c r="H100" s="90">
        <f>IFERROR(RSDTechsCE!N100/1000,"")</f>
        <v>4.759808999999998</v>
      </c>
      <c r="I100" s="90">
        <f>IFERROR(RSDTechsCE!O100/1000,"")</f>
        <v>3.5832269999999986</v>
      </c>
      <c r="J100" s="90">
        <f>IFERROR(RSDTechsCE!P100/1000,"")</f>
        <v>3.5832269999999986</v>
      </c>
    </row>
    <row r="101" spans="2:10" ht="12.75">
      <c r="B101" t="s">
        <v>479</v>
      </c>
      <c r="C101" t="str">
        <f>RSDTechsCE!B101</f>
        <v>R_ES-SH-SD_ELC04</v>
      </c>
      <c r="D101" s="85"/>
      <c r="E101" t="s">
        <v>480</v>
      </c>
      <c r="F101" s="90">
        <f>IFERROR(RSDTechsCE!L101/1000,"")</f>
        <v>15.388999999999999</v>
      </c>
      <c r="G101" s="90">
        <f>IFERROR(RSDTechsCE!M101/1000,"")</f>
        <v>14.00399</v>
      </c>
      <c r="H101" s="90">
        <f>IFERROR(RSDTechsCE!N101/1000,"")</f>
        <v>14.00399</v>
      </c>
      <c r="I101" s="90">
        <f>IFERROR(RSDTechsCE!O101/1000,"")</f>
        <v>12.618979999999999</v>
      </c>
      <c r="J101" s="90">
        <f>IFERROR(RSDTechsCE!P101/1000,"")</f>
        <v>12.618979999999999</v>
      </c>
    </row>
    <row r="102" spans="2:10" ht="12.75">
      <c r="B102" t="s">
        <v>479</v>
      </c>
      <c r="C102" t="str">
        <f>RSDTechsCE!B102</f>
        <v>R_ES-SH-SD_ELC05</v>
      </c>
      <c r="D102" s="85"/>
      <c r="E102" t="s">
        <v>480</v>
      </c>
      <c r="F102" s="90">
        <f>IFERROR(RSDTechsCE!L102/1000,"")</f>
        <v>16.927900000000001</v>
      </c>
      <c r="G102" s="90">
        <f>IFERROR(RSDTechsCE!M102/1000,"")</f>
        <v>15.404389000000002</v>
      </c>
      <c r="H102" s="90">
        <f>IFERROR(RSDTechsCE!N102/1000,"")</f>
        <v>15.404389000000002</v>
      </c>
      <c r="I102" s="90">
        <f>IFERROR(RSDTechsCE!O102/1000,"")</f>
        <v>13.880878000000001</v>
      </c>
      <c r="J102" s="90">
        <f>IFERROR(RSDTechsCE!P102/1000,"")</f>
        <v>13.880878000000001</v>
      </c>
    </row>
    <row r="103" spans="2:10" ht="12.75">
      <c r="B103" t="s">
        <v>479</v>
      </c>
      <c r="C103" t="str">
        <f>RSDTechsCE!B103</f>
        <v>R_ES-SH-SD_ELC06</v>
      </c>
      <c r="D103" s="85"/>
      <c r="E103" t="s">
        <v>480</v>
      </c>
      <c r="F103" s="90">
        <f>IFERROR(RSDTechsCE!L103/1000,"")</f>
        <v>16.350000000000001</v>
      </c>
      <c r="G103" s="90">
        <f>IFERROR(RSDTechsCE!M103/1000,"")</f>
        <v>15.205500000000001</v>
      </c>
      <c r="H103" s="90">
        <f>IFERROR(RSDTechsCE!N103/1000,"")</f>
        <v>14.061</v>
      </c>
      <c r="I103" s="90">
        <f>IFERROR(RSDTechsCE!O103/1000,"")</f>
        <v>12.916499999999999</v>
      </c>
      <c r="J103" s="90">
        <f>IFERROR(RSDTechsCE!P103/1000,"")</f>
        <v>12.916499999999999</v>
      </c>
    </row>
    <row r="104" spans="2:10" ht="12.75">
      <c r="B104" t="s">
        <v>479</v>
      </c>
      <c r="C104" t="str">
        <f>RSDTechsCE!B104</f>
        <v>R_ES-SH-SD_ELC07</v>
      </c>
      <c r="D104" s="85"/>
      <c r="E104" t="s">
        <v>480</v>
      </c>
      <c r="F104" s="90">
        <f>IFERROR(RSDTechsCE!L104/1000,"")</f>
        <v>17.984999999999999</v>
      </c>
      <c r="G104" s="90">
        <f>IFERROR(RSDTechsCE!M104/1000,"")</f>
        <v>16.726050000000004</v>
      </c>
      <c r="H104" s="90">
        <f>IFERROR(RSDTechsCE!N104/1000,"")</f>
        <v>15.4671</v>
      </c>
      <c r="I104" s="90">
        <f>IFERROR(RSDTechsCE!O104/1000,"")</f>
        <v>14.208150000000002</v>
      </c>
      <c r="J104" s="90">
        <f>IFERROR(RSDTechsCE!P104/1000,"")</f>
        <v>14.208150000000002</v>
      </c>
    </row>
    <row r="105" spans="2:10" ht="12.75">
      <c r="B105" t="s">
        <v>479</v>
      </c>
      <c r="C105" t="str">
        <f>RSDTechsCE!B105</f>
        <v>R_ES-SH-SD_ELC08</v>
      </c>
      <c r="D105" s="85"/>
      <c r="E105" t="s">
        <v>480</v>
      </c>
      <c r="F105" s="90">
        <f>IFERROR(RSDTechsCE!L105/1000,"")</f>
        <v>25.800000000000001</v>
      </c>
      <c r="G105" s="90">
        <f>IFERROR(RSDTechsCE!M105/1000,"")</f>
        <v>24.6555</v>
      </c>
      <c r="H105" s="90">
        <f>IFERROR(RSDTechsCE!N105/1000,"")</f>
        <v>23.510999999999999</v>
      </c>
      <c r="I105" s="90">
        <f>IFERROR(RSDTechsCE!O105/1000,"")</f>
        <v>22.366499999999998</v>
      </c>
      <c r="J105" s="90">
        <f>IFERROR(RSDTechsCE!P105/1000,"")</f>
        <v>22.366499999999998</v>
      </c>
    </row>
    <row r="106" spans="2:10" ht="12.75">
      <c r="B106" t="s">
        <v>479</v>
      </c>
      <c r="C106" t="str">
        <f>RSDTechsCE!B106</f>
        <v>R_ES-SH-SD_ELC09</v>
      </c>
      <c r="D106" s="85"/>
      <c r="E106" t="s">
        <v>480</v>
      </c>
      <c r="F106" s="90">
        <f>IFERROR(RSDTechsCE!L106/1000,"")</f>
        <v>28.380000000000003</v>
      </c>
      <c r="G106" s="90">
        <f>IFERROR(RSDTechsCE!M106/1000,"")</f>
        <v>27.121050000000004</v>
      </c>
      <c r="H106" s="90">
        <f>IFERROR(RSDTechsCE!N106/1000,"")</f>
        <v>25.862100000000002</v>
      </c>
      <c r="I106" s="90">
        <f>IFERROR(RSDTechsCE!O106/1000,"")</f>
        <v>24.603150000000003</v>
      </c>
      <c r="J106" s="90">
        <f>IFERROR(RSDTechsCE!P106/1000,"")</f>
        <v>24.603150000000003</v>
      </c>
    </row>
    <row r="107" spans="2:10" ht="12.75">
      <c r="B107" t="s">
        <v>479</v>
      </c>
      <c r="C107" t="str">
        <f>RSDTechsCE!B107</f>
        <v>R_ES-SH-SD_ELC10</v>
      </c>
      <c r="D107" s="85"/>
      <c r="E107" t="s">
        <v>480</v>
      </c>
      <c r="F107" s="90">
        <f>IFERROR(RSDTechsCE!L107/1000,"")</f>
        <v>25.734999999999999</v>
      </c>
      <c r="G107" s="90">
        <f>IFERROR(RSDTechsCE!M107/1000,"")</f>
        <v>25.734999999999999</v>
      </c>
      <c r="H107" s="90">
        <f>IFERROR(RSDTechsCE!N107/1000,"")</f>
        <v>21.647500000000001</v>
      </c>
      <c r="I107" s="90">
        <f>IFERROR(RSDTechsCE!O107/1000,"")</f>
        <v>21.647500000000001</v>
      </c>
      <c r="J107" s="90">
        <f>IFERROR(RSDTechsCE!P107/1000,"")</f>
        <v>20.012499999999999</v>
      </c>
    </row>
    <row r="108" spans="2:10" ht="12.75">
      <c r="B108" t="s">
        <v>479</v>
      </c>
      <c r="C108" t="str">
        <f>RSDTechsCE!B108</f>
        <v>R_ES-SH-SD_ELC11</v>
      </c>
      <c r="D108" s="85"/>
      <c r="E108" t="s">
        <v>480</v>
      </c>
      <c r="F108" s="90">
        <f>IFERROR(RSDTechsCE!L108/1000,"")</f>
        <v>28.308500000000002</v>
      </c>
      <c r="G108" s="90">
        <f>IFERROR(RSDTechsCE!M108/1000,"")</f>
        <v>28.308500000000002</v>
      </c>
      <c r="H108" s="90">
        <f>IFERROR(RSDTechsCE!N108/1000,"")</f>
        <v>23.812250000000002</v>
      </c>
      <c r="I108" s="90">
        <f>IFERROR(RSDTechsCE!O108/1000,"")</f>
        <v>23.812250000000002</v>
      </c>
      <c r="J108" s="90">
        <f>IFERROR(RSDTechsCE!P108/1000,"")</f>
        <v>22.013750000000002</v>
      </c>
    </row>
    <row r="109" spans="2:10" ht="12.75">
      <c r="B109" t="s">
        <v>479</v>
      </c>
      <c r="C109" t="str">
        <f>RSDTechsCE!B109</f>
        <v>R_ES-SH-SD_GAS03</v>
      </c>
      <c r="D109" s="85"/>
      <c r="E109" t="s">
        <v>480</v>
      </c>
      <c r="F109" s="90">
        <f>IFERROR(RSDTechsCE!L109/1000,"")</f>
        <v>28.899999999999999</v>
      </c>
      <c r="G109" s="90">
        <f>IFERROR(RSDTechsCE!M109/1000,"")</f>
        <v>28.899999999999999</v>
      </c>
      <c r="H109" s="90">
        <f>IFERROR(RSDTechsCE!N109/1000,"")</f>
        <v>27.166</v>
      </c>
      <c r="I109" s="90">
        <f>IFERROR(RSDTechsCE!O109/1000,"")</f>
        <v>27.166</v>
      </c>
      <c r="J109" s="90">
        <f>IFERROR(RSDTechsCE!P109/1000,"")</f>
        <v>27.166</v>
      </c>
    </row>
    <row r="110" spans="2:10" ht="12.75">
      <c r="B110" t="s">
        <v>479</v>
      </c>
      <c r="C110" t="str">
        <f>RSDTechsCE!B110</f>
        <v>R_ES-SH-SD_GAS04</v>
      </c>
      <c r="D110" s="85"/>
      <c r="E110" t="s">
        <v>480</v>
      </c>
      <c r="F110" s="90">
        <f>IFERROR(RSDTechsCE!L110/1000,"")</f>
        <v>31.790000000000003</v>
      </c>
      <c r="G110" s="90">
        <f>IFERROR(RSDTechsCE!M110/1000,"")</f>
        <v>31.790000000000003</v>
      </c>
      <c r="H110" s="90">
        <f>IFERROR(RSDTechsCE!N110/1000,"")</f>
        <v>29.882600000000004</v>
      </c>
      <c r="I110" s="90">
        <f>IFERROR(RSDTechsCE!O110/1000,"")</f>
        <v>29.882600000000004</v>
      </c>
      <c r="J110" s="90">
        <f>IFERROR(RSDTechsCE!P110/1000,"")</f>
        <v>29.882600000000004</v>
      </c>
    </row>
    <row r="111" spans="2:10" ht="12.75">
      <c r="B111" t="s">
        <v>479</v>
      </c>
      <c r="C111" t="str">
        <f>RSDTechsCE!B111</f>
        <v>R_ES-SH-SD_GAS05</v>
      </c>
      <c r="D111" s="85"/>
      <c r="E111" t="s">
        <v>480</v>
      </c>
      <c r="F111" s="90">
        <f>IFERROR(RSDTechsCE!L111/1000,"")</f>
        <v>19.495999999999999</v>
      </c>
      <c r="G111" s="90">
        <f>IFERROR(RSDTechsCE!M111/1000,"")</f>
        <v>19.495999999999999</v>
      </c>
      <c r="H111" s="90">
        <f>IFERROR(RSDTechsCE!N111/1000,"")</f>
        <v>19.495999999999999</v>
      </c>
      <c r="I111" s="90">
        <f>IFERROR(RSDTechsCE!O111/1000,"")</f>
        <v>19.495999999999999</v>
      </c>
      <c r="J111" s="90">
        <f>IFERROR(RSDTechsCE!P111/1000,"")</f>
        <v>19.495999999999999</v>
      </c>
    </row>
    <row r="112" spans="2:10" ht="12.75">
      <c r="B112" t="s">
        <v>479</v>
      </c>
      <c r="C112" t="str">
        <f>RSDTechsCE!B112</f>
        <v>R_ES-SH-SD_GAS06</v>
      </c>
      <c r="D112" s="85"/>
      <c r="E112" t="s">
        <v>480</v>
      </c>
      <c r="F112" s="90">
        <f>IFERROR(RSDTechsCE!L112/1000,"")</f>
        <v>21.445600000000002</v>
      </c>
      <c r="G112" s="90">
        <f>IFERROR(RSDTechsCE!M112/1000,"")</f>
        <v>21.445600000000002</v>
      </c>
      <c r="H112" s="90">
        <f>IFERROR(RSDTechsCE!N112/1000,"")</f>
        <v>21.445600000000002</v>
      </c>
      <c r="I112" s="90">
        <f>IFERROR(RSDTechsCE!O112/1000,"")</f>
        <v>21.445600000000002</v>
      </c>
      <c r="J112" s="90">
        <f>IFERROR(RSDTechsCE!P112/1000,"")</f>
        <v>21.445600000000002</v>
      </c>
    </row>
    <row r="113" spans="2:10" ht="12.75">
      <c r="B113" t="s">
        <v>479</v>
      </c>
      <c r="C113" t="str">
        <f>RSDTechsCE!B113</f>
        <v>R_ES-SH-SD_GAS07</v>
      </c>
      <c r="D113" s="85"/>
      <c r="E113" t="s">
        <v>480</v>
      </c>
      <c r="F113" s="90">
        <f>IFERROR(RSDTechsCE!L113/1000,"")</f>
        <v>47.5</v>
      </c>
      <c r="G113" s="90">
        <f>IFERROR(RSDTechsCE!M113/1000,"")</f>
        <v>47.5</v>
      </c>
      <c r="H113" s="90">
        <f>IFERROR(RSDTechsCE!N113/1000,"")</f>
        <v>47.5</v>
      </c>
      <c r="I113" s="90">
        <f>IFERROR(RSDTechsCE!O113/1000,"")</f>
        <v>47.5</v>
      </c>
      <c r="J113" s="90">
        <f>IFERROR(RSDTechsCE!P113/1000,"")</f>
        <v>47.5</v>
      </c>
    </row>
    <row r="114" spans="2:10" ht="12.75">
      <c r="B114" t="s">
        <v>479</v>
      </c>
      <c r="C114" t="str">
        <f>RSDTechsCE!B114</f>
        <v>R_ES-SH-SD_GAS08</v>
      </c>
      <c r="D114" s="85"/>
      <c r="E114" t="s">
        <v>480</v>
      </c>
      <c r="F114" s="90">
        <f>IFERROR(RSDTechsCE!L114/1000,"")</f>
        <v>52.250000000000007</v>
      </c>
      <c r="G114" s="90">
        <f>IFERROR(RSDTechsCE!M114/1000,"")</f>
        <v>52.250000000000007</v>
      </c>
      <c r="H114" s="90">
        <f>IFERROR(RSDTechsCE!N114/1000,"")</f>
        <v>52.250000000000007</v>
      </c>
      <c r="I114" s="90">
        <f>IFERROR(RSDTechsCE!O114/1000,"")</f>
        <v>52.250000000000007</v>
      </c>
      <c r="J114" s="90">
        <f>IFERROR(RSDTechsCE!P114/1000,"")</f>
        <v>52.250000000000007</v>
      </c>
    </row>
    <row r="115" spans="2:10" ht="12.75">
      <c r="B115" t="s">
        <v>479</v>
      </c>
      <c r="C115" t="str">
        <f>RSDTechsCE!B115</f>
        <v>R_ES-CHP-SD_GAS01</v>
      </c>
      <c r="D115" s="85"/>
      <c r="E115" t="s">
        <v>480</v>
      </c>
      <c r="F115" s="90">
        <f>IFERROR(RSDTechsCE!L115/1000,"")</f>
        <v>103.98</v>
      </c>
      <c r="G115" s="90">
        <f>IFERROR(RSDTechsCE!M115/1000,"")</f>
        <v>103.98</v>
      </c>
      <c r="H115" s="90">
        <f>IFERROR(RSDTechsCE!N115/1000,"")</f>
        <v>77.984999999999999</v>
      </c>
      <c r="I115" s="90">
        <f>IFERROR(RSDTechsCE!O115/1000,"")</f>
        <v>77.984999999999999</v>
      </c>
      <c r="J115" s="90">
        <f>IFERROR(RSDTechsCE!P115/1000,"")</f>
        <v>62.387999999999998</v>
      </c>
    </row>
    <row r="116" spans="2:10" ht="12.75">
      <c r="B116" t="s">
        <v>479</v>
      </c>
      <c r="C116" t="str">
        <f>RSDTechsCE!B116</f>
        <v>R_ES-CHP-SD_OIL01</v>
      </c>
      <c r="D116" s="85"/>
      <c r="E116" t="s">
        <v>480</v>
      </c>
      <c r="F116" s="90">
        <f>IFERROR(RSDTechsCE!L116/1000,"")</f>
        <v>103.98</v>
      </c>
      <c r="G116" s="90">
        <f>IFERROR(RSDTechsCE!M116/1000,"")</f>
        <v>103.98</v>
      </c>
      <c r="H116" s="90">
        <f>IFERROR(RSDTechsCE!N116/1000,"")</f>
        <v>77.984999999999999</v>
      </c>
      <c r="I116" s="90">
        <f>IFERROR(RSDTechsCE!O116/1000,"")</f>
        <v>77.984999999999999</v>
      </c>
      <c r="J116" s="90">
        <f>IFERROR(RSDTechsCE!P116/1000,"")</f>
        <v>62.387999999999998</v>
      </c>
    </row>
    <row r="117" spans="2:10" ht="12.75">
      <c r="B117" t="s">
        <v>479</v>
      </c>
      <c r="C117" t="str">
        <f>RSDTechsCE!B117</f>
        <v>R_ES-CHP-SD_GAS02</v>
      </c>
      <c r="D117" s="85"/>
      <c r="E117" t="s">
        <v>480</v>
      </c>
      <c r="F117" s="90">
        <f>IFERROR(RSDTechsCE!L117/1000,"")</f>
        <v>23.199999999999999</v>
      </c>
      <c r="G117" s="90">
        <f>IFERROR(RSDTechsCE!M117/1000,"")</f>
        <v>19.07</v>
      </c>
      <c r="H117" s="90">
        <f>IFERROR(RSDTechsCE!N117/1000,"")</f>
        <v>16.3855</v>
      </c>
      <c r="I117" s="90">
        <f>IFERROR(RSDTechsCE!O117/1000,"")</f>
        <v>16.3855</v>
      </c>
      <c r="J117" s="90">
        <f>IFERROR(RSDTechsCE!P117/1000,"")</f>
        <v>16.3855</v>
      </c>
    </row>
    <row r="118" spans="2:10" ht="12.75">
      <c r="B118" t="s">
        <v>479</v>
      </c>
      <c r="C118" t="str">
        <f>RSDTechsCE!B118</f>
        <v>R_ES-CHP-SD_OIL02</v>
      </c>
      <c r="D118" s="85"/>
      <c r="E118" t="s">
        <v>480</v>
      </c>
      <c r="F118" s="90">
        <f>IFERROR(RSDTechsCE!L118/1000,"")</f>
        <v>24</v>
      </c>
      <c r="G118" s="90">
        <f>IFERROR(RSDTechsCE!M118/1000,"")</f>
        <v>19.710000000000001</v>
      </c>
      <c r="H118" s="90">
        <f>IFERROR(RSDTechsCE!N118/1000,"")</f>
        <v>16.921500000000002</v>
      </c>
      <c r="I118" s="90">
        <f>IFERROR(RSDTechsCE!O118/1000,"")</f>
        <v>16.921500000000002</v>
      </c>
      <c r="J118" s="90">
        <f>IFERROR(RSDTechsCE!P118/1000,"")</f>
        <v>16.921500000000002</v>
      </c>
    </row>
    <row r="119" spans="2:10" ht="12.75">
      <c r="B119" t="s">
        <v>479</v>
      </c>
      <c r="C119" t="str">
        <f>RSDTechsCE!B119</f>
        <v>R_ES-CHP-SD_GAS03</v>
      </c>
      <c r="D119" s="85"/>
      <c r="E119" t="s">
        <v>480</v>
      </c>
      <c r="F119" s="90">
        <f>IFERROR(RSDTechsCE!L119/1000,"")</f>
        <v>18.5</v>
      </c>
      <c r="G119" s="90">
        <f>IFERROR(RSDTechsCE!M119/1000,"")</f>
        <v>16.75</v>
      </c>
      <c r="H119" s="90">
        <f>IFERROR(RSDTechsCE!N119/1000,"")</f>
        <v>14.125</v>
      </c>
      <c r="I119" s="90">
        <f>IFERROR(RSDTechsCE!O119/1000,"")</f>
        <v>14.125</v>
      </c>
      <c r="J119" s="90">
        <f>IFERROR(RSDTechsCE!P119/1000,"")</f>
        <v>14.125</v>
      </c>
    </row>
    <row r="120" spans="2:10" ht="12.75">
      <c r="B120" t="s">
        <v>479</v>
      </c>
      <c r="C120" t="str">
        <f>RSDTechsCE!B120</f>
        <v>R_ES-CHP-SD_GAS04</v>
      </c>
      <c r="D120" s="85"/>
      <c r="E120" t="s">
        <v>480</v>
      </c>
      <c r="F120" s="90">
        <f>IFERROR(RSDTechsCE!L120/1000,"")</f>
        <v>21.491</v>
      </c>
      <c r="G120" s="90">
        <f>IFERROR(RSDTechsCE!M120/1000,"")</f>
        <v>21.491</v>
      </c>
      <c r="H120" s="90">
        <f>IFERROR(RSDTechsCE!N120/1000,"")</f>
        <v>9.0909999999999993</v>
      </c>
      <c r="I120" s="90">
        <f>IFERROR(RSDTechsCE!O120/1000,"")</f>
        <v>9.0909999999999993</v>
      </c>
      <c r="J120" s="90">
        <f>IFERROR(RSDTechsCE!P120/1000,"")</f>
        <v>4.1310000000000002</v>
      </c>
    </row>
    <row r="121" spans="2:10" ht="12.75">
      <c r="B121" t="s">
        <v>479</v>
      </c>
      <c r="C121" t="str">
        <f>RSDTechsCE!B121</f>
        <v>R_ES-CHP-SD_HH201</v>
      </c>
      <c r="D121" s="85"/>
      <c r="E121" t="s">
        <v>480</v>
      </c>
      <c r="F121" s="90">
        <f>IFERROR(RSDTechsCE!L121/1000,"")</f>
        <v>13</v>
      </c>
      <c r="G121" s="90">
        <f>IFERROR(RSDTechsCE!M121/1000,"")</f>
        <v>6.9000000000000004</v>
      </c>
      <c r="H121" s="90">
        <f>IFERROR(RSDTechsCE!N121/1000,"")</f>
        <v>5.0999999999999996</v>
      </c>
      <c r="I121" s="90" t="str">
        <f>IFERROR(RSDTechsCE!O121/1000,"")</f>
        <v/>
      </c>
      <c r="J121" s="90" t="str">
        <f>IFERROR(RSDTechsCE!P121/1000,"")</f>
        <v/>
      </c>
    </row>
    <row r="122" spans="2:10" ht="12.75">
      <c r="B122" t="s">
        <v>479</v>
      </c>
      <c r="C122" t="str">
        <f>RSDTechsCE!B122</f>
        <v>R_ES-CHP-SD-GASspl</v>
      </c>
      <c r="D122" s="85"/>
      <c r="E122" t="s">
        <v>480</v>
      </c>
      <c r="F122" s="90">
        <f>IFERROR(RSDTechsCE!L122/1000,"")</f>
        <v>4.3090000000000002</v>
      </c>
      <c r="G122" s="90">
        <f>IFERROR(RSDTechsCE!M122/1000,"")</f>
        <v>4.3090000000000002</v>
      </c>
      <c r="H122" s="90">
        <f>IFERROR(RSDTechsCE!N122/1000,"")</f>
        <v>4.3090000000000002</v>
      </c>
      <c r="I122" s="90">
        <f>IFERROR(RSDTechsCE!O122/1000,"")</f>
        <v>4.3090000000000002</v>
      </c>
      <c r="J122" s="90">
        <f>IFERROR(RSDTechsCE!P122/1000,"")</f>
        <v>4.3090000000000002</v>
      </c>
    </row>
    <row r="123" spans="2:10" ht="12.75">
      <c r="B123" t="s">
        <v>479</v>
      </c>
      <c r="C123" t="str">
        <f>RSDTechsCE!B123</f>
        <v>R_ES-CHP-SD-OILspl</v>
      </c>
      <c r="D123" s="85"/>
      <c r="E123" t="s">
        <v>480</v>
      </c>
      <c r="F123" s="90">
        <f>IFERROR(RSDTechsCE!L123/1000,"")</f>
        <v>5.5270000000000001</v>
      </c>
      <c r="G123" s="90">
        <f>IFERROR(RSDTechsCE!M123/1000,"")</f>
        <v>5.5270000000000001</v>
      </c>
      <c r="H123" s="90">
        <f>IFERROR(RSDTechsCE!N123/1000,"")</f>
        <v>5.5270000000000001</v>
      </c>
      <c r="I123" s="90">
        <f>IFERROR(RSDTechsCE!O123/1000,"")</f>
        <v>5.5270000000000001</v>
      </c>
      <c r="J123" s="90">
        <f>IFERROR(RSDTechsCE!P123/1000,"")</f>
        <v>5.5270000000000001</v>
      </c>
    </row>
    <row r="124" spans="4:4" ht="12.75">
      <c r="D124" s="85"/>
    </row>
    <row r="125" spans="2:10" ht="15">
      <c r="B125" s="86" t="s">
        <v>865</v>
      </c>
      <c r="C125" s="87"/>
      <c r="D125" s="87"/>
      <c r="E125" s="86"/>
      <c r="F125" s="87"/>
      <c r="G125" s="87"/>
      <c r="H125" s="87"/>
      <c r="I125" s="87"/>
      <c r="J125" s="87"/>
    </row>
    <row r="126" spans="2:10" ht="15.75" thickBot="1">
      <c r="B126" s="88" t="s">
        <v>35</v>
      </c>
      <c r="C126" s="88" t="s">
        <v>397</v>
      </c>
      <c r="D126" s="88" t="s">
        <v>477</v>
      </c>
      <c r="E126" s="88" t="s">
        <v>478</v>
      </c>
      <c r="F126" s="89">
        <v>2011</v>
      </c>
      <c r="G126" s="89">
        <v>2020</v>
      </c>
      <c r="H126" s="89">
        <v>2030</v>
      </c>
      <c r="I126" s="89">
        <v>2040</v>
      </c>
      <c r="J126" s="89">
        <v>2050</v>
      </c>
    </row>
    <row r="127" spans="2:10" ht="12.75">
      <c r="B127" t="s">
        <v>479</v>
      </c>
      <c r="C127" t="str">
        <f>RSDTechsCE!B127</f>
        <v>R_ES-SH-FL_OIL01</v>
      </c>
      <c r="D127" s="85"/>
      <c r="E127" t="s">
        <v>480</v>
      </c>
      <c r="F127" s="90">
        <f>IFERROR(RSDTechsCE!L127/1000,"")</f>
        <v>3.375</v>
      </c>
      <c r="G127" s="90">
        <f>IFERROR(RSDTechsCE!M127/1000,"")</f>
        <v>3.375</v>
      </c>
      <c r="H127" s="90">
        <f>IFERROR(RSDTechsCE!N127/1000,"")</f>
        <v>3.375</v>
      </c>
      <c r="I127" s="90">
        <f>IFERROR(RSDTechsCE!O127/1000,"")</f>
        <v>3.375</v>
      </c>
      <c r="J127" s="90">
        <f>IFERROR(RSDTechsCE!P127/1000,"")</f>
        <v>3.375</v>
      </c>
    </row>
    <row r="128" spans="2:10" ht="12.75">
      <c r="B128" t="s">
        <v>479</v>
      </c>
      <c r="C128" t="str">
        <f>RSDTechsCE!B128</f>
        <v>R_ES-SH-FL_OIL02</v>
      </c>
      <c r="D128" s="85"/>
      <c r="E128" t="s">
        <v>480</v>
      </c>
      <c r="F128" s="90">
        <f>IFERROR(RSDTechsCE!L128/1000,"")</f>
        <v>3.375</v>
      </c>
      <c r="G128" s="90">
        <f>IFERROR(RSDTechsCE!M128/1000,"")</f>
        <v>3.375</v>
      </c>
      <c r="H128" s="90">
        <f>IFERROR(RSDTechsCE!N128/1000,"")</f>
        <v>3.375</v>
      </c>
      <c r="I128" s="90">
        <f>IFERROR(RSDTechsCE!O128/1000,"")</f>
        <v>3.375</v>
      </c>
      <c r="J128" s="90">
        <f>IFERROR(RSDTechsCE!P128/1000,"")</f>
        <v>3.375</v>
      </c>
    </row>
    <row r="129" spans="2:10" ht="12.75">
      <c r="B129" t="s">
        <v>479</v>
      </c>
      <c r="C129" t="str">
        <f>RSDTechsCE!B129</f>
        <v>R_ES-SH-FL_OIL02-SOLspl</v>
      </c>
      <c r="D129" s="85"/>
      <c r="E129" t="s">
        <v>480</v>
      </c>
      <c r="F129" s="90">
        <f>IFERROR(RSDTechsCE!L129/1000,"")</f>
        <v>4.9666666666666668</v>
      </c>
      <c r="G129" s="90">
        <f>IFERROR(RSDTechsCE!M129/1000,"")</f>
        <v>4.5586666666666673</v>
      </c>
      <c r="H129" s="90">
        <f>IFERROR(RSDTechsCE!N129/1000,"")</f>
        <v>4.2186666666666666</v>
      </c>
      <c r="I129" s="90">
        <f>IFERROR(RSDTechsCE!O129/1000,"")</f>
        <v>2.7226666666666666</v>
      </c>
      <c r="J129" s="90">
        <f>IFERROR(RSDTechsCE!P129/1000,"")</f>
        <v>2.7226666666666666</v>
      </c>
    </row>
    <row r="130" spans="2:10" ht="12.75">
      <c r="B130" t="s">
        <v>479</v>
      </c>
      <c r="C130" t="str">
        <f>RSDTechsCE!B130</f>
        <v>R_ES-SH-FL_OIL02-BIOspl</v>
      </c>
      <c r="D130" s="85"/>
      <c r="E130" t="s">
        <v>480</v>
      </c>
      <c r="F130" s="90">
        <f>IFERROR(RSDTechsCE!L130/1000,"")</f>
        <v>4.2000000000000002</v>
      </c>
      <c r="G130" s="90">
        <f>IFERROR(RSDTechsCE!M130/1000,"")</f>
        <v>4.2000000000000002</v>
      </c>
      <c r="H130" s="90">
        <f>IFERROR(RSDTechsCE!N130/1000,"")</f>
        <v>5.0999999999999996</v>
      </c>
      <c r="I130" s="90">
        <f>IFERROR(RSDTechsCE!O130/1000,"")</f>
        <v>5.0999999999999996</v>
      </c>
      <c r="J130" s="90">
        <f>IFERROR(RSDTechsCE!P130/1000,"")</f>
        <v>5.0999999999999996</v>
      </c>
    </row>
    <row r="131" spans="2:10" ht="12.75">
      <c r="B131" t="s">
        <v>479</v>
      </c>
      <c r="C131" t="str">
        <f>RSDTechsCE!B131</f>
        <v>R_ES-SH-FL_GAS01</v>
      </c>
      <c r="D131" s="85"/>
      <c r="E131" t="s">
        <v>480</v>
      </c>
      <c r="F131" s="90">
        <f>IFERROR(RSDTechsCE!L131/1000,"")</f>
        <v>2.742</v>
      </c>
      <c r="G131" s="90">
        <f>IFERROR(RSDTechsCE!M131/1000,"")</f>
        <v>2.3992499999999999</v>
      </c>
      <c r="H131" s="90">
        <f>IFERROR(RSDTechsCE!N131/1000,"")</f>
        <v>2.0565000000000002</v>
      </c>
      <c r="I131" s="90">
        <f>IFERROR(RSDTechsCE!O131/1000,"")</f>
        <v>2.0565000000000002</v>
      </c>
      <c r="J131" s="90">
        <f>IFERROR(RSDTechsCE!P131/1000,"")</f>
        <v>2.0565000000000002</v>
      </c>
    </row>
    <row r="132" spans="2:10" ht="12.75">
      <c r="B132" t="s">
        <v>479</v>
      </c>
      <c r="C132" t="str">
        <f>RSDTechsCE!B132</f>
        <v>R_ES-SH-FL_GAS02</v>
      </c>
      <c r="D132" s="85"/>
      <c r="E132" t="s">
        <v>480</v>
      </c>
      <c r="F132" s="90">
        <f>IFERROR(RSDTechsCE!L132/1000,"")</f>
        <v>2.742</v>
      </c>
      <c r="G132" s="90">
        <f>IFERROR(RSDTechsCE!M132/1000,"")</f>
        <v>2.3992499999999999</v>
      </c>
      <c r="H132" s="90">
        <f>IFERROR(RSDTechsCE!N132/1000,"")</f>
        <v>2.0565000000000002</v>
      </c>
      <c r="I132" s="90">
        <f>IFERROR(RSDTechsCE!O132/1000,"")</f>
        <v>2.0565000000000002</v>
      </c>
      <c r="J132" s="90">
        <f>IFERROR(RSDTechsCE!P132/1000,"")</f>
        <v>2.0565000000000002</v>
      </c>
    </row>
    <row r="133" spans="2:10" ht="12.75">
      <c r="B133" t="s">
        <v>479</v>
      </c>
      <c r="C133" t="str">
        <f>RSDTechsCE!B133</f>
        <v>R_ES-SH-FL_GAS01-SOLspl</v>
      </c>
      <c r="D133" s="85"/>
      <c r="E133" t="s">
        <v>480</v>
      </c>
      <c r="F133" s="90">
        <f>IFERROR(RSDTechsCE!L133/1000,"")</f>
        <v>4.9666666666666668</v>
      </c>
      <c r="G133" s="90">
        <f>IFERROR(RSDTechsCE!M133/1000,"")</f>
        <v>4.5586666666666673</v>
      </c>
      <c r="H133" s="90">
        <f>IFERROR(RSDTechsCE!N133/1000,"")</f>
        <v>4.2186666666666666</v>
      </c>
      <c r="I133" s="90">
        <f>IFERROR(RSDTechsCE!O133/1000,"")</f>
        <v>2.7226666666666666</v>
      </c>
      <c r="J133" s="90">
        <f>IFERROR(RSDTechsCE!P133/1000,"")</f>
        <v>2.7226666666666666</v>
      </c>
    </row>
    <row r="134" spans="2:10" ht="12.75">
      <c r="B134" t="s">
        <v>479</v>
      </c>
      <c r="C134" t="str">
        <f>RSDTechsCE!B134</f>
        <v>R_ES-SH-FL_GAS01-BIOspl</v>
      </c>
      <c r="D134" s="85"/>
      <c r="E134" t="s">
        <v>480</v>
      </c>
      <c r="F134" s="90">
        <f>IFERROR(RSDTechsCE!L134/1000,"")</f>
        <v>4.2000000000000002</v>
      </c>
      <c r="G134" s="90">
        <f>IFERROR(RSDTechsCE!M134/1000,"")</f>
        <v>4.2000000000000002</v>
      </c>
      <c r="H134" s="90">
        <f>IFERROR(RSDTechsCE!N134/1000,"")</f>
        <v>5.0999999999999996</v>
      </c>
      <c r="I134" s="90">
        <f>IFERROR(RSDTechsCE!O134/1000,"")</f>
        <v>5.0999999999999996</v>
      </c>
      <c r="J134" s="90">
        <f>IFERROR(RSDTechsCE!P134/1000,"")</f>
        <v>5.0999999999999996</v>
      </c>
    </row>
    <row r="135" spans="2:10" ht="12.75">
      <c r="B135" t="s">
        <v>479</v>
      </c>
      <c r="C135" t="str">
        <f>RSDTechsCE!B135</f>
        <v>R_ES-SH-FL_BIO01</v>
      </c>
      <c r="D135" s="85"/>
      <c r="E135" t="s">
        <v>480</v>
      </c>
      <c r="F135" s="90">
        <f>IFERROR(RSDTechsCE!L135/1000,"")</f>
        <v>10.4625</v>
      </c>
      <c r="G135" s="90">
        <f>IFERROR(RSDTechsCE!M135/1000,"")</f>
        <v>10.4625</v>
      </c>
      <c r="H135" s="90">
        <f>IFERROR(RSDTechsCE!N135/1000,"")</f>
        <v>10.4625</v>
      </c>
      <c r="I135" s="90">
        <f>IFERROR(RSDTechsCE!O135/1000,"")</f>
        <v>10.4625</v>
      </c>
      <c r="J135" s="90">
        <f>IFERROR(RSDTechsCE!P135/1000,"")</f>
        <v>10.4625</v>
      </c>
    </row>
    <row r="136" spans="2:10" ht="12.75">
      <c r="B136" t="s">
        <v>479</v>
      </c>
      <c r="C136" t="str">
        <f>RSDTechsCE!B136</f>
        <v>R_ES-SH-FL_ELC01</v>
      </c>
      <c r="D136" s="85"/>
      <c r="E136" t="s">
        <v>480</v>
      </c>
      <c r="F136" s="90">
        <f>IFERROR(RSDTechsCE!L136/1000,"")</f>
        <v>2.6600000000000001</v>
      </c>
      <c r="G136" s="90">
        <f>IFERROR(RSDTechsCE!M136/1000,"")</f>
        <v>2.6600000000000001</v>
      </c>
      <c r="H136" s="90">
        <f>IFERROR(RSDTechsCE!N136/1000,"")</f>
        <v>2.6600000000000001</v>
      </c>
      <c r="I136" s="90">
        <f>IFERROR(RSDTechsCE!O136/1000,"")</f>
        <v>2.6600000000000001</v>
      </c>
      <c r="J136" s="90">
        <f>IFERROR(RSDTechsCE!P136/1000,"")</f>
        <v>2.6600000000000001</v>
      </c>
    </row>
    <row r="137" spans="2:10" ht="12.75">
      <c r="B137" t="s">
        <v>479</v>
      </c>
      <c r="C137" t="str">
        <f>RSDTechsCE!B137</f>
        <v>R_ES-SH-FL_ELC02</v>
      </c>
      <c r="D137" s="85"/>
      <c r="E137" t="s">
        <v>480</v>
      </c>
      <c r="F137" s="90">
        <f>IFERROR(RSDTechsCE!L137/1000,"")</f>
        <v>13.5701</v>
      </c>
      <c r="G137" s="90">
        <f>IFERROR(RSDTechsCE!M137/1000,"")</f>
        <v>12.891594999999999</v>
      </c>
      <c r="H137" s="90">
        <f>IFERROR(RSDTechsCE!N137/1000,"")</f>
        <v>11.670285999999999</v>
      </c>
      <c r="I137" s="90">
        <f>IFERROR(RSDTechsCE!O137/1000,"")</f>
        <v>11.127481999999999</v>
      </c>
      <c r="J137" s="90">
        <f>IFERROR(RSDTechsCE!P137/1000,"")</f>
        <v>11.127481999999999</v>
      </c>
    </row>
    <row r="138" spans="2:10" ht="12.75">
      <c r="B138" t="s">
        <v>479</v>
      </c>
      <c r="C138" t="str">
        <f>RSDTechsCE!B138</f>
        <v>R_ES-SH-FL_ELC02-ELCspl</v>
      </c>
      <c r="D138" s="85"/>
      <c r="E138" t="s">
        <v>480</v>
      </c>
      <c r="F138" s="90">
        <f>IFERROR(RSDTechsCE!L138/1000,"")</f>
        <v>2.7022521044776115</v>
      </c>
      <c r="G138" s="90">
        <f>IFERROR(RSDTechsCE!M138/1000,"")</f>
        <v>2.7022521044776115</v>
      </c>
      <c r="H138" s="90">
        <f>IFERROR(RSDTechsCE!N138/1000,"")</f>
        <v>2.7022521044776115</v>
      </c>
      <c r="I138" s="90">
        <f>IFERROR(RSDTechsCE!O138/1000,"")</f>
        <v>2.7022521044776115</v>
      </c>
      <c r="J138" s="90">
        <f>IFERROR(RSDTechsCE!P138/1000,"")</f>
        <v>2.7022521044776115</v>
      </c>
    </row>
    <row r="139" spans="2:10" ht="12.75">
      <c r="B139" t="s">
        <v>479</v>
      </c>
      <c r="C139" t="str">
        <f>RSDTechsCE!B139</f>
        <v>R_ES-SH-FL_ELC02-GASspl</v>
      </c>
      <c r="D139" s="85"/>
      <c r="E139" t="s">
        <v>480</v>
      </c>
      <c r="F139" s="90">
        <f>IFERROR(RSDTechsCE!L139/1000,"")</f>
        <v>2.1441500000000002</v>
      </c>
      <c r="G139" s="90">
        <f>IFERROR(RSDTechsCE!M139/1000,"")</f>
        <v>1.8014000000000001</v>
      </c>
      <c r="H139" s="90">
        <f>IFERROR(RSDTechsCE!N139/1000,"")</f>
        <v>1.45865</v>
      </c>
      <c r="I139" s="90">
        <f>IFERROR(RSDTechsCE!O139/1000,"")</f>
        <v>1.45865</v>
      </c>
      <c r="J139" s="90">
        <f>IFERROR(RSDTechsCE!P139/1000,"")</f>
        <v>1.45865</v>
      </c>
    </row>
    <row r="140" spans="2:10" ht="12.75">
      <c r="B140" t="s">
        <v>479</v>
      </c>
      <c r="C140" t="str">
        <f>RSDTechsCE!B140</f>
        <v>R_ES-SH-FL_ELC02-BIOspl</v>
      </c>
      <c r="D140" s="85"/>
      <c r="E140" t="s">
        <v>480</v>
      </c>
      <c r="F140" s="90">
        <f>IFERROR(RSDTechsCE!L140/1000,"")</f>
        <v>10.4625</v>
      </c>
      <c r="G140" s="90">
        <f>IFERROR(RSDTechsCE!M140/1000,"")</f>
        <v>10.4625</v>
      </c>
      <c r="H140" s="90">
        <f>IFERROR(RSDTechsCE!N140/1000,"")</f>
        <v>10.4625</v>
      </c>
      <c r="I140" s="90">
        <f>IFERROR(RSDTechsCE!O140/1000,"")</f>
        <v>10.4625</v>
      </c>
      <c r="J140" s="90">
        <f>IFERROR(RSDTechsCE!P140/1000,"")</f>
        <v>10.4625</v>
      </c>
    </row>
    <row r="141" spans="2:10" ht="12.75">
      <c r="B141" t="s">
        <v>479</v>
      </c>
      <c r="C141" t="str">
        <f>RSDTechsCE!B141</f>
        <v>R_ES-SH-FL_ELC02-SOLspl</v>
      </c>
      <c r="D141" s="85"/>
      <c r="E141" t="s">
        <v>480</v>
      </c>
      <c r="F141" s="90">
        <f>IFERROR(RSDTechsCE!L141/1000,"")</f>
        <v>6.7999999999999998</v>
      </c>
      <c r="G141" s="90">
        <f>IFERROR(RSDTechsCE!M141/1000,"")</f>
        <v>6.7999999999999998</v>
      </c>
      <c r="H141" s="90">
        <f>IFERROR(RSDTechsCE!N141/1000,"")</f>
        <v>6.7999999999999998</v>
      </c>
      <c r="I141" s="90">
        <f>IFERROR(RSDTechsCE!O141/1000,"")</f>
        <v>6.7999999999999998</v>
      </c>
      <c r="J141" s="90">
        <f>IFERROR(RSDTechsCE!P141/1000,"")</f>
        <v>6.7999999999999998</v>
      </c>
    </row>
    <row r="142" spans="2:10" ht="12.75">
      <c r="B142" t="s">
        <v>479</v>
      </c>
      <c r="C142" t="str">
        <f>RSDTechsCE!B142</f>
        <v>R_ES-SH-FL_ELC04</v>
      </c>
      <c r="D142" s="85"/>
      <c r="E142" t="s">
        <v>480</v>
      </c>
      <c r="F142" s="90">
        <f>IFERROR(RSDTechsCE!L142/1000,"")</f>
        <v>12</v>
      </c>
      <c r="G142" s="90">
        <f>IFERROR(RSDTechsCE!M142/1000,"")</f>
        <v>12</v>
      </c>
      <c r="H142" s="90">
        <f>IFERROR(RSDTechsCE!N142/1000,"")</f>
        <v>10.666666666666666</v>
      </c>
      <c r="I142" s="90">
        <f>IFERROR(RSDTechsCE!O142/1000,"")</f>
        <v>9.3333333333333339</v>
      </c>
      <c r="J142" s="90">
        <f>IFERROR(RSDTechsCE!P142/1000,"")</f>
        <v>9.3333333333333339</v>
      </c>
    </row>
    <row r="143" spans="2:10" ht="12.75">
      <c r="B143" t="s">
        <v>479</v>
      </c>
      <c r="C143" t="str">
        <f>RSDTechsCE!B143</f>
        <v>R_ES-SH-FL_ELC05</v>
      </c>
      <c r="D143" s="85"/>
      <c r="E143" t="s">
        <v>480</v>
      </c>
      <c r="F143" s="90">
        <f>IFERROR(RSDTechsCE!L143/1000,"")</f>
        <v>13.200000000000001</v>
      </c>
      <c r="G143" s="90">
        <f>IFERROR(RSDTechsCE!M143/1000,"")</f>
        <v>13.200000000000001</v>
      </c>
      <c r="H143" s="90">
        <f>IFERROR(RSDTechsCE!N143/1000,"")</f>
        <v>11.733333333333334</v>
      </c>
      <c r="I143" s="90">
        <f>IFERROR(RSDTechsCE!O143/1000,"")</f>
        <v>10.266666666666667</v>
      </c>
      <c r="J143" s="90">
        <f>IFERROR(RSDTechsCE!P143/1000,"")</f>
        <v>10.266666666666667</v>
      </c>
    </row>
    <row r="144" spans="2:10" ht="12.75">
      <c r="B144" t="s">
        <v>479</v>
      </c>
      <c r="C144" t="str">
        <f>RSDTechsCE!B144</f>
        <v>R_ES-SH-FL_ELC06</v>
      </c>
      <c r="D144" s="85"/>
      <c r="E144" t="s">
        <v>480</v>
      </c>
      <c r="F144" s="90">
        <f>IFERROR(RSDTechsCE!L144/1000,"")</f>
        <v>10.949999999999999</v>
      </c>
      <c r="G144" s="90">
        <f>IFERROR(RSDTechsCE!M144/1000,"")</f>
        <v>10.949999999999999</v>
      </c>
      <c r="H144" s="90">
        <f>IFERROR(RSDTechsCE!N144/1000,"")</f>
        <v>9.7454999999999998</v>
      </c>
      <c r="I144" s="90">
        <f>IFERROR(RSDTechsCE!O144/1000,"")</f>
        <v>8.5410000000000004</v>
      </c>
      <c r="J144" s="90">
        <f>IFERROR(RSDTechsCE!P144/1000,"")</f>
        <v>8.5410000000000004</v>
      </c>
    </row>
    <row r="145" spans="2:10" ht="12.75">
      <c r="B145" t="s">
        <v>479</v>
      </c>
      <c r="C145" t="str">
        <f>RSDTechsCE!B145</f>
        <v>R_ES-SH-FL_ELC07</v>
      </c>
      <c r="D145" s="85"/>
      <c r="E145" t="s">
        <v>480</v>
      </c>
      <c r="F145" s="90">
        <f>IFERROR(RSDTechsCE!L145/1000,"")</f>
        <v>12.045000000000002</v>
      </c>
      <c r="G145" s="90">
        <f>IFERROR(RSDTechsCE!M145/1000,"")</f>
        <v>12.045000000000002</v>
      </c>
      <c r="H145" s="90">
        <f>IFERROR(RSDTechsCE!N145/1000,"")</f>
        <v>10.720050000000001</v>
      </c>
      <c r="I145" s="90">
        <f>IFERROR(RSDTechsCE!O145/1000,"")</f>
        <v>9.3951000000000011</v>
      </c>
      <c r="J145" s="90">
        <f>IFERROR(RSDTechsCE!P145/1000,"")</f>
        <v>9.3951000000000011</v>
      </c>
    </row>
    <row r="146" spans="2:10" ht="12.75">
      <c r="B146" t="s">
        <v>479</v>
      </c>
      <c r="C146" t="str">
        <f>RSDTechsCE!B146</f>
        <v>R_ES-SH-FL_ELC08</v>
      </c>
      <c r="D146" s="85"/>
      <c r="E146" t="s">
        <v>480</v>
      </c>
      <c r="F146" s="90">
        <f>IFERROR(RSDTechsCE!L146/1000,"")</f>
        <v>17.925000000000001</v>
      </c>
      <c r="G146" s="90">
        <f>IFERROR(RSDTechsCE!M146/1000,"")</f>
        <v>17.925000000000001</v>
      </c>
      <c r="H146" s="90">
        <f>IFERROR(RSDTechsCE!N146/1000,"")</f>
        <v>17.408785714285713</v>
      </c>
      <c r="I146" s="90">
        <f>IFERROR(RSDTechsCE!O146/1000,"")</f>
        <v>16.892571428571429</v>
      </c>
      <c r="J146" s="90">
        <f>IFERROR(RSDTechsCE!P146/1000,"")</f>
        <v>16.892571428571429</v>
      </c>
    </row>
    <row r="147" spans="2:10" ht="12.75">
      <c r="B147" t="s">
        <v>479</v>
      </c>
      <c r="C147" t="str">
        <f>RSDTechsCE!B147</f>
        <v>R_ES-SH-FL_ELC09</v>
      </c>
      <c r="D147" s="85"/>
      <c r="E147" t="s">
        <v>480</v>
      </c>
      <c r="F147" s="90">
        <f>IFERROR(RSDTechsCE!L147/1000,"")</f>
        <v>19.717500000000001</v>
      </c>
      <c r="G147" s="90">
        <f>IFERROR(RSDTechsCE!M147/1000,"")</f>
        <v>19.717500000000001</v>
      </c>
      <c r="H147" s="90">
        <f>IFERROR(RSDTechsCE!N147/1000,"")</f>
        <v>19.149664285714287</v>
      </c>
      <c r="I147" s="90">
        <f>IFERROR(RSDTechsCE!O147/1000,"")</f>
        <v>18.58182857142857</v>
      </c>
      <c r="J147" s="90">
        <f>IFERROR(RSDTechsCE!P147/1000,"")</f>
        <v>18.58182857142857</v>
      </c>
    </row>
    <row r="148" spans="2:10" ht="12.75">
      <c r="B148" t="s">
        <v>479</v>
      </c>
      <c r="C148" t="str">
        <f>RSDTechsCE!B148</f>
        <v>R_ES-SH-FL_ELC10</v>
      </c>
      <c r="D148" s="85"/>
      <c r="E148" t="s">
        <v>480</v>
      </c>
      <c r="F148" s="90">
        <f>IFERROR(RSDTechsCE!L148/1000,"")</f>
        <v>17.628333333333334</v>
      </c>
      <c r="G148" s="90">
        <f>IFERROR(RSDTechsCE!M148/1000,"")</f>
        <v>17.628333333333334</v>
      </c>
      <c r="H148" s="90">
        <f>IFERROR(RSDTechsCE!N148/1000,"")</f>
        <v>14.003333333333334</v>
      </c>
      <c r="I148" s="90">
        <f>IFERROR(RSDTechsCE!O148/1000,"")</f>
        <v>14.003333333333334</v>
      </c>
      <c r="J148" s="90">
        <f>IFERROR(RSDTechsCE!P148/1000,"")</f>
        <v>12.553333333333335</v>
      </c>
    </row>
    <row r="149" spans="2:10" ht="12.75">
      <c r="B149" t="s">
        <v>479</v>
      </c>
      <c r="C149" t="str">
        <f>RSDTechsCE!B149</f>
        <v>R_ES-SH-FL_ELC11</v>
      </c>
      <c r="D149" s="85"/>
      <c r="E149" t="s">
        <v>480</v>
      </c>
      <c r="F149" s="90">
        <f>IFERROR(RSDTechsCE!L149/1000,"")</f>
        <v>19.391166666666667</v>
      </c>
      <c r="G149" s="90">
        <f>IFERROR(RSDTechsCE!M149/1000,"")</f>
        <v>19.391166666666667</v>
      </c>
      <c r="H149" s="90">
        <f>IFERROR(RSDTechsCE!N149/1000,"")</f>
        <v>15.403666666666668</v>
      </c>
      <c r="I149" s="90">
        <f>IFERROR(RSDTechsCE!O149/1000,"")</f>
        <v>15.403666666666668</v>
      </c>
      <c r="J149" s="90">
        <f>IFERROR(RSDTechsCE!P149/1000,"")</f>
        <v>13.808666666666667</v>
      </c>
    </row>
    <row r="150" spans="2:10" ht="12.75">
      <c r="B150" t="s">
        <v>479</v>
      </c>
      <c r="C150" t="str">
        <f>RSDTechsCE!B150</f>
        <v>R_ES-SH-FL_GAS03</v>
      </c>
      <c r="D150" s="85"/>
      <c r="E150" t="s">
        <v>480</v>
      </c>
      <c r="F150" s="90">
        <f>IFERROR(RSDTechsCE!L150/1000,"")</f>
        <v>23.120000000000001</v>
      </c>
      <c r="G150" s="90">
        <f>IFERROR(RSDTechsCE!M150/1000,"")</f>
        <v>23.120000000000001</v>
      </c>
      <c r="H150" s="90">
        <f>IFERROR(RSDTechsCE!N150/1000,"")</f>
        <v>21.732800000000005</v>
      </c>
      <c r="I150" s="90">
        <f>IFERROR(RSDTechsCE!O150/1000,"")</f>
        <v>21.732800000000005</v>
      </c>
      <c r="J150" s="90">
        <f>IFERROR(RSDTechsCE!P150/1000,"")</f>
        <v>21.732800000000005</v>
      </c>
    </row>
    <row r="151" spans="2:10" ht="12.75">
      <c r="B151" t="s">
        <v>479</v>
      </c>
      <c r="C151" t="str">
        <f>RSDTechsCE!B151</f>
        <v>R_ES-SH-FL_GAS04</v>
      </c>
      <c r="D151" s="85"/>
      <c r="E151" t="s">
        <v>480</v>
      </c>
      <c r="F151" s="90">
        <f>IFERROR(RSDTechsCE!L151/1000,"")</f>
        <v>25.432000000000002</v>
      </c>
      <c r="G151" s="90">
        <f>IFERROR(RSDTechsCE!M151/1000,"")</f>
        <v>25.432000000000002</v>
      </c>
      <c r="H151" s="90">
        <f>IFERROR(RSDTechsCE!N151/1000,"")</f>
        <v>23.906080000000006</v>
      </c>
      <c r="I151" s="90">
        <f>IFERROR(RSDTechsCE!O151/1000,"")</f>
        <v>23.906080000000006</v>
      </c>
      <c r="J151" s="90">
        <f>IFERROR(RSDTechsCE!P151/1000,"")</f>
        <v>23.906080000000006</v>
      </c>
    </row>
    <row r="152" spans="2:10" ht="12.75">
      <c r="B152" t="s">
        <v>479</v>
      </c>
      <c r="C152" t="str">
        <f>RSDTechsCE!B152</f>
        <v>R_ES-SH-FL_GAS05</v>
      </c>
      <c r="D152" s="85"/>
      <c r="E152" t="s">
        <v>480</v>
      </c>
      <c r="F152" s="90">
        <f>IFERROR(RSDTechsCE!L152/1000,"")</f>
        <v>12.997333333333334</v>
      </c>
      <c r="G152" s="90">
        <f>IFERROR(RSDTechsCE!M152/1000,"")</f>
        <v>12.997333333333334</v>
      </c>
      <c r="H152" s="90">
        <f>IFERROR(RSDTechsCE!N152/1000,"")</f>
        <v>12.997333333333334</v>
      </c>
      <c r="I152" s="90">
        <f>IFERROR(RSDTechsCE!O152/1000,"")</f>
        <v>12.997333333333334</v>
      </c>
      <c r="J152" s="90">
        <f>IFERROR(RSDTechsCE!P152/1000,"")</f>
        <v>12.997333333333334</v>
      </c>
    </row>
    <row r="153" spans="2:10" ht="12.75">
      <c r="B153" t="s">
        <v>479</v>
      </c>
      <c r="C153" t="str">
        <f>RSDTechsCE!B153</f>
        <v>R_ES-SH-FL_GAS06</v>
      </c>
      <c r="D153" s="85"/>
      <c r="E153" t="s">
        <v>480</v>
      </c>
      <c r="F153" s="90">
        <f>IFERROR(RSDTechsCE!L153/1000,"")</f>
        <v>14.297066666666669</v>
      </c>
      <c r="G153" s="90">
        <f>IFERROR(RSDTechsCE!M153/1000,"")</f>
        <v>14.297066666666669</v>
      </c>
      <c r="H153" s="90">
        <f>IFERROR(RSDTechsCE!N153/1000,"")</f>
        <v>14.297066666666669</v>
      </c>
      <c r="I153" s="90">
        <f>IFERROR(RSDTechsCE!O153/1000,"")</f>
        <v>14.297066666666669</v>
      </c>
      <c r="J153" s="90">
        <f>IFERROR(RSDTechsCE!P153/1000,"")</f>
        <v>14.297066666666669</v>
      </c>
    </row>
    <row r="154" spans="2:10" ht="12.75">
      <c r="B154" t="s">
        <v>479</v>
      </c>
      <c r="C154" t="str">
        <f>RSDTechsCE!B154</f>
        <v>R_ES-SH-FL_GAS07</v>
      </c>
      <c r="D154" s="85"/>
      <c r="E154" t="s">
        <v>480</v>
      </c>
      <c r="F154" s="90">
        <f>IFERROR(RSDTechsCE!L154/1000,"")</f>
        <v>31.666666666666668</v>
      </c>
      <c r="G154" s="90">
        <f>IFERROR(RSDTechsCE!M154/1000,"")</f>
        <v>31.666666666666668</v>
      </c>
      <c r="H154" s="90">
        <f>IFERROR(RSDTechsCE!N154/1000,"")</f>
        <v>31.666666666666668</v>
      </c>
      <c r="I154" s="90">
        <f>IFERROR(RSDTechsCE!O154/1000,"")</f>
        <v>31.666666666666668</v>
      </c>
      <c r="J154" s="90">
        <f>IFERROR(RSDTechsCE!P154/1000,"")</f>
        <v>31.666666666666668</v>
      </c>
    </row>
    <row r="155" spans="2:10" ht="12.75">
      <c r="B155" t="s">
        <v>479</v>
      </c>
      <c r="C155" t="str">
        <f>RSDTechsCE!B155</f>
        <v>R_ES-SH-FL_GAS08</v>
      </c>
      <c r="D155" s="85"/>
      <c r="E155" t="s">
        <v>480</v>
      </c>
      <c r="F155" s="90">
        <f>IFERROR(RSDTechsCE!L155/1000,"")</f>
        <v>34.833333333333336</v>
      </c>
      <c r="G155" s="90">
        <f>IFERROR(RSDTechsCE!M155/1000,"")</f>
        <v>34.833333333333336</v>
      </c>
      <c r="H155" s="90">
        <f>IFERROR(RSDTechsCE!N155/1000,"")</f>
        <v>34.833333333333336</v>
      </c>
      <c r="I155" s="90">
        <f>IFERROR(RSDTechsCE!O155/1000,"")</f>
        <v>34.833333333333336</v>
      </c>
      <c r="J155" s="90">
        <f>IFERROR(RSDTechsCE!P155/1000,"")</f>
        <v>34.833333333333336</v>
      </c>
    </row>
    <row r="156" spans="2:10" ht="12.75">
      <c r="B156" t="s">
        <v>479</v>
      </c>
      <c r="C156" t="str">
        <f>RSDTechsCE!B156</f>
        <v>R_ES-CHP-FL_GAS01</v>
      </c>
      <c r="D156" s="85"/>
      <c r="E156" t="s">
        <v>480</v>
      </c>
      <c r="F156" s="90">
        <f>IFERROR(RSDTechsCE!L156/1000,"")</f>
        <v>68.75</v>
      </c>
      <c r="G156" s="90">
        <f>IFERROR(RSDTechsCE!M156/1000,"")</f>
        <v>68.75</v>
      </c>
      <c r="H156" s="90">
        <f>IFERROR(RSDTechsCE!N156/1000,"")</f>
        <v>51.5625</v>
      </c>
      <c r="I156" s="90">
        <f>IFERROR(RSDTechsCE!O156/1000,"")</f>
        <v>51.5625</v>
      </c>
      <c r="J156" s="90">
        <f>IFERROR(RSDTechsCE!P156/1000,"")</f>
        <v>41.25</v>
      </c>
    </row>
    <row r="157" spans="2:10" ht="12.75">
      <c r="B157" t="s">
        <v>479</v>
      </c>
      <c r="C157" t="str">
        <f>RSDTechsCE!B157</f>
        <v>R_ES-CHP-FL_OIL01</v>
      </c>
      <c r="D157" s="85"/>
      <c r="E157" t="s">
        <v>480</v>
      </c>
      <c r="F157" s="90">
        <f>IFERROR(RSDTechsCE!L157/1000,"")</f>
        <v>68.75</v>
      </c>
      <c r="G157" s="90">
        <f>IFERROR(RSDTechsCE!M157/1000,"")</f>
        <v>68.75</v>
      </c>
      <c r="H157" s="90">
        <f>IFERROR(RSDTechsCE!N157/1000,"")</f>
        <v>51.5625</v>
      </c>
      <c r="I157" s="90">
        <f>IFERROR(RSDTechsCE!O157/1000,"")</f>
        <v>51.5625</v>
      </c>
      <c r="J157" s="90">
        <f>IFERROR(RSDTechsCE!P157/1000,"")</f>
        <v>41.25</v>
      </c>
    </row>
    <row r="158" spans="2:10" ht="12.75">
      <c r="B158" t="s">
        <v>479</v>
      </c>
      <c r="C158" t="str">
        <f>RSDTechsCE!B158</f>
        <v>R_ES-CHP-FL_GAS02</v>
      </c>
      <c r="D158" s="85"/>
      <c r="E158" t="s">
        <v>480</v>
      </c>
      <c r="F158" s="90">
        <f>IFERROR(RSDTechsCE!L158/1000,"")</f>
        <v>17.550000000000001</v>
      </c>
      <c r="G158" s="90">
        <f>IFERROR(RSDTechsCE!M158/1000,"")</f>
        <v>17.550000000000001</v>
      </c>
      <c r="H158" s="90">
        <f>IFERROR(RSDTechsCE!N158/1000,"")</f>
        <v>17.550000000000001</v>
      </c>
      <c r="I158" s="90" t="str">
        <f>IFERROR(RSDTechsCE!O158/1000,"")</f>
        <v/>
      </c>
      <c r="J158" s="90" t="str">
        <f>IFERROR(RSDTechsCE!P158/1000,"")</f>
        <v/>
      </c>
    </row>
    <row r="159" spans="2:10" ht="12.75">
      <c r="B159" t="s">
        <v>479</v>
      </c>
      <c r="C159" t="str">
        <f>RSDTechsCE!B159</f>
        <v>R_ES-CHP-FL_OIL02</v>
      </c>
      <c r="D159" s="85"/>
      <c r="E159" t="s">
        <v>480</v>
      </c>
      <c r="F159" s="90">
        <f>IFERROR(RSDTechsCE!L159/1000,"")</f>
        <v>16</v>
      </c>
      <c r="G159" s="90">
        <f>IFERROR(RSDTechsCE!M159/1000,"")</f>
        <v>13.140000000000001</v>
      </c>
      <c r="H159" s="90">
        <f>IFERROR(RSDTechsCE!N159/1000,"")</f>
        <v>11.281000000000001</v>
      </c>
      <c r="I159" s="90">
        <f>IFERROR(RSDTechsCE!O159/1000,"")</f>
        <v>11.281000000000001</v>
      </c>
      <c r="J159" s="90">
        <f>IFERROR(RSDTechsCE!P159/1000,"")</f>
        <v>11.281000000000001</v>
      </c>
    </row>
    <row r="160" spans="2:10" ht="12.75">
      <c r="B160" t="s">
        <v>479</v>
      </c>
      <c r="C160" t="str">
        <f>RSDTechsCE!B160</f>
        <v>R_ES-CHP-FL_GAS03</v>
      </c>
      <c r="D160" s="85"/>
      <c r="E160" t="s">
        <v>480</v>
      </c>
      <c r="F160" s="90">
        <f>IFERROR(RSDTechsCE!L160/1000,"")</f>
        <v>13.333333333333334</v>
      </c>
      <c r="G160" s="90">
        <f>IFERROR(RSDTechsCE!M160/1000,"")</f>
        <v>12</v>
      </c>
      <c r="H160" s="90">
        <f>IFERROR(RSDTechsCE!N160/1000,"")</f>
        <v>10</v>
      </c>
      <c r="I160" s="90" t="str">
        <f>IFERROR(RSDTechsCE!O160/1000,"")</f>
        <v/>
      </c>
      <c r="J160" s="90" t="str">
        <f>IFERROR(RSDTechsCE!P160/1000,"")</f>
        <v/>
      </c>
    </row>
    <row r="161" spans="2:10" ht="12.75">
      <c r="B161" t="s">
        <v>479</v>
      </c>
      <c r="C161" t="str">
        <f>RSDTechsCE!B161</f>
        <v>R_ES-CHP-FL_GAS04</v>
      </c>
      <c r="D161" s="85"/>
      <c r="E161" t="s">
        <v>480</v>
      </c>
      <c r="F161" s="90">
        <f>IFERROR(RSDTechsCE!L161/1000,"")</f>
        <v>15.372</v>
      </c>
      <c r="G161" s="90">
        <f>IFERROR(RSDTechsCE!M161/1000,"")</f>
        <v>15.6005</v>
      </c>
      <c r="H161" s="90">
        <f>IFERROR(RSDTechsCE!N161/1000,"")</f>
        <v>7.5623333333333331</v>
      </c>
      <c r="I161" s="90">
        <f>IFERROR(RSDTechsCE!O161/1000,"")</f>
        <v>7.5623333333333331</v>
      </c>
      <c r="J161" s="90">
        <f>IFERROR(RSDTechsCE!P161/1000,"")</f>
        <v>4.2556666666666674</v>
      </c>
    </row>
    <row r="162" spans="2:10" ht="12.75">
      <c r="B162" t="s">
        <v>479</v>
      </c>
      <c r="C162" t="str">
        <f>RSDTechsCE!B162</f>
        <v>R_ES-CHP-FL_HH201</v>
      </c>
      <c r="D162" s="85"/>
      <c r="E162" t="s">
        <v>480</v>
      </c>
      <c r="F162" s="90">
        <f>IFERROR(RSDTechsCE!L162/1000,"")</f>
        <v>8.6666666666666661</v>
      </c>
      <c r="G162" s="90">
        <f>IFERROR(RSDTechsCE!M162/1000,"")</f>
        <v>4.5999999999999996</v>
      </c>
      <c r="H162" s="90">
        <f>IFERROR(RSDTechsCE!N162/1000,"")</f>
        <v>3.3999999999999999</v>
      </c>
      <c r="I162" s="90" t="str">
        <f>IFERROR(RSDTechsCE!O162/1000,"")</f>
        <v/>
      </c>
      <c r="J162" s="90" t="str">
        <f>IFERROR(RSDTechsCE!P162/1000,"")</f>
        <v/>
      </c>
    </row>
    <row r="163" spans="2:10" ht="12.75">
      <c r="B163" t="s">
        <v>479</v>
      </c>
      <c r="C163" t="str">
        <f>RSDTechsCE!B163</f>
        <v>R_ES-CHP-FL-GASspl</v>
      </c>
      <c r="D163" s="85"/>
      <c r="E163" t="s">
        <v>480</v>
      </c>
      <c r="F163" s="90">
        <f>IFERROR(RSDTechsCE!L163/1000,"")</f>
        <v>2.742</v>
      </c>
      <c r="G163" s="90">
        <f>IFERROR(RSDTechsCE!M163/1000,"")</f>
        <v>2.3992499999999999</v>
      </c>
      <c r="H163" s="90">
        <f>IFERROR(RSDTechsCE!N163/1000,"")</f>
        <v>2.0565000000000002</v>
      </c>
      <c r="I163" s="90">
        <f>IFERROR(RSDTechsCE!O163/1000,"")</f>
        <v>2.0565000000000002</v>
      </c>
      <c r="J163" s="90">
        <f>IFERROR(RSDTechsCE!P163/1000,"")</f>
        <v>2.0565000000000002</v>
      </c>
    </row>
    <row r="164" spans="2:10" ht="12.75">
      <c r="B164" t="s">
        <v>479</v>
      </c>
      <c r="C164" t="str">
        <f>RSDTechsCE!B164</f>
        <v>R_ES-CHP-FL-OILspl</v>
      </c>
      <c r="D164" s="85"/>
      <c r="E164" t="s">
        <v>480</v>
      </c>
      <c r="F164" s="90">
        <f>IFERROR(RSDTechsCE!L164/1000,"")</f>
        <v>3.375</v>
      </c>
      <c r="G164" s="90">
        <f>IFERROR(RSDTechsCE!M164/1000,"")</f>
        <v>3.375</v>
      </c>
      <c r="H164" s="90">
        <f>IFERROR(RSDTechsCE!N164/1000,"")</f>
        <v>3.375</v>
      </c>
      <c r="I164" s="90">
        <f>IFERROR(RSDTechsCE!O164/1000,"")</f>
        <v>3.375</v>
      </c>
      <c r="J164" s="90">
        <f>IFERROR(RSDTechsCE!P164/1000,"")</f>
        <v>3.375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499900013208389"/>
  </sheetPr>
  <dimension ref="B1:AN11"/>
  <sheetViews>
    <sheetView zoomScale="85" zoomScaleNormal="85" workbookViewId="0" topLeftCell="A1">
      <pane ySplit="3" topLeftCell="A4" activePane="bottomLeft" state="frozen"/>
      <selection pane="topLeft" activeCell="M19" sqref="M19"/>
      <selection pane="bottomLeft" activeCell="M22" sqref="M22"/>
    </sheetView>
  </sheetViews>
  <sheetFormatPr defaultColWidth="9.14428571428571" defaultRowHeight="12.75"/>
  <cols>
    <col min="3" max="3" width="29" bestFit="1" customWidth="1"/>
    <col min="4" max="4" width="7.14285714285714" customWidth="1"/>
    <col min="11" max="11" width="2.14285714285714" customWidth="1"/>
    <col min="21" max="21" width="2.14285714285714" customWidth="1"/>
    <col min="31" max="31" width="2.14285714285714" customWidth="1"/>
  </cols>
  <sheetData>
    <row r="1" spans="2:40" ht="21">
      <c r="B1" s="84" t="s">
        <v>472</v>
      </c>
      <c r="C1" s="84"/>
      <c r="D1" s="84"/>
      <c r="E1" s="85"/>
      <c r="F1" s="85"/>
      <c r="G1" s="85"/>
      <c r="H1" s="85"/>
      <c r="I1" s="85"/>
      <c r="J1" s="85"/>
      <c r="K1" s="85"/>
      <c r="L1" s="84" t="s">
        <v>473</v>
      </c>
      <c r="M1" s="84"/>
      <c r="N1" s="84"/>
      <c r="O1" s="85"/>
      <c r="P1" s="85"/>
      <c r="Q1" s="85"/>
      <c r="R1" s="85"/>
      <c r="S1" s="85"/>
      <c r="T1" s="85"/>
      <c r="V1" s="84" t="s">
        <v>474</v>
      </c>
      <c r="W1" s="84"/>
      <c r="X1" s="84"/>
      <c r="Y1" s="85"/>
      <c r="Z1" s="85"/>
      <c r="AA1" s="85"/>
      <c r="AB1" s="85"/>
      <c r="AC1" s="85"/>
      <c r="AD1" s="85"/>
      <c r="AE1" s="85"/>
      <c r="AF1" s="84" t="s">
        <v>475</v>
      </c>
      <c r="AG1" s="84"/>
      <c r="AH1" s="84"/>
      <c r="AI1" s="85"/>
      <c r="AJ1" s="85"/>
      <c r="AK1" s="85"/>
      <c r="AL1" s="85"/>
      <c r="AM1" s="85"/>
      <c r="AN1" s="85"/>
    </row>
    <row r="2" spans="2:40" ht="15">
      <c r="B2" s="86" t="s">
        <v>865</v>
      </c>
      <c r="C2" s="87"/>
      <c r="D2" s="87"/>
      <c r="E2" s="86"/>
      <c r="F2" s="87"/>
      <c r="G2" s="87"/>
      <c r="H2" s="87"/>
      <c r="I2" s="87"/>
      <c r="J2" s="87"/>
      <c r="K2" s="85"/>
      <c r="L2" s="86" t="s">
        <v>865</v>
      </c>
      <c r="M2" s="87"/>
      <c r="N2" s="87"/>
      <c r="O2" s="86"/>
      <c r="P2" s="87"/>
      <c r="Q2" s="87"/>
      <c r="R2" s="87"/>
      <c r="S2" s="87"/>
      <c r="T2" s="87"/>
      <c r="V2" s="86" t="s">
        <v>865</v>
      </c>
      <c r="W2" s="87"/>
      <c r="X2" s="87"/>
      <c r="Y2" s="86"/>
      <c r="Z2" s="87"/>
      <c r="AA2" s="87"/>
      <c r="AB2" s="87"/>
      <c r="AC2" s="87"/>
      <c r="AD2" s="87"/>
      <c r="AE2" s="85"/>
      <c r="AF2" s="86" t="s">
        <v>865</v>
      </c>
      <c r="AG2" s="87"/>
      <c r="AH2" s="87"/>
      <c r="AI2" s="86"/>
      <c r="AJ2" s="87"/>
      <c r="AK2" s="87"/>
      <c r="AL2" s="87"/>
      <c r="AM2" s="87"/>
      <c r="AN2" s="87"/>
    </row>
    <row r="3" spans="2:40" ht="15.75" thickBot="1">
      <c r="B3" s="88" t="s">
        <v>35</v>
      </c>
      <c r="C3" s="88" t="s">
        <v>397</v>
      </c>
      <c r="D3" s="88" t="s">
        <v>477</v>
      </c>
      <c r="E3" s="88" t="s">
        <v>478</v>
      </c>
      <c r="F3" s="89">
        <v>2011</v>
      </c>
      <c r="G3" s="89">
        <v>2020</v>
      </c>
      <c r="H3" s="89">
        <v>2030</v>
      </c>
      <c r="I3" s="89">
        <v>2040</v>
      </c>
      <c r="J3" s="89">
        <v>2050</v>
      </c>
      <c r="K3" s="85"/>
      <c r="L3" s="88" t="s">
        <v>35</v>
      </c>
      <c r="M3" s="88" t="s">
        <v>397</v>
      </c>
      <c r="N3" s="88" t="s">
        <v>477</v>
      </c>
      <c r="O3" s="88" t="s">
        <v>478</v>
      </c>
      <c r="P3" s="89">
        <v>2011</v>
      </c>
      <c r="Q3" s="89">
        <v>2020</v>
      </c>
      <c r="R3" s="89">
        <v>2030</v>
      </c>
      <c r="S3" s="89">
        <v>2040</v>
      </c>
      <c r="T3" s="89">
        <v>2050</v>
      </c>
      <c r="V3" s="88" t="s">
        <v>35</v>
      </c>
      <c r="W3" s="88" t="s">
        <v>397</v>
      </c>
      <c r="X3" s="88" t="s">
        <v>477</v>
      </c>
      <c r="Y3" s="88" t="s">
        <v>478</v>
      </c>
      <c r="Z3" s="89">
        <v>2011</v>
      </c>
      <c r="AA3" s="89">
        <v>2020</v>
      </c>
      <c r="AB3" s="89">
        <v>2030</v>
      </c>
      <c r="AC3" s="89">
        <v>2040</v>
      </c>
      <c r="AD3" s="89">
        <v>2050</v>
      </c>
      <c r="AE3" s="85"/>
      <c r="AF3" s="88" t="s">
        <v>35</v>
      </c>
      <c r="AG3" s="88" t="s">
        <v>397</v>
      </c>
      <c r="AH3" s="88" t="s">
        <v>477</v>
      </c>
      <c r="AI3" s="88" t="s">
        <v>478</v>
      </c>
      <c r="AJ3" s="89">
        <v>2011</v>
      </c>
      <c r="AK3" s="89">
        <v>2020</v>
      </c>
      <c r="AL3" s="89">
        <v>2030</v>
      </c>
      <c r="AM3" s="89">
        <v>2040</v>
      </c>
      <c r="AN3" s="89">
        <v>2050</v>
      </c>
    </row>
    <row r="4" spans="2:10" ht="12.75">
      <c r="B4" t="s">
        <v>479</v>
      </c>
      <c r="C4" t="s">
        <v>868</v>
      </c>
      <c r="D4" s="85"/>
      <c r="E4" t="s">
        <v>480</v>
      </c>
      <c r="F4" s="90">
        <v>3</v>
      </c>
      <c r="G4" s="90"/>
      <c r="H4" s="90"/>
      <c r="I4" s="90"/>
      <c r="J4" s="90">
        <v>2.50</v>
      </c>
    </row>
    <row r="5" spans="2:10" ht="12.75">
      <c r="B5" t="s">
        <v>479</v>
      </c>
      <c r="C5" t="s">
        <v>869</v>
      </c>
      <c r="D5" s="85"/>
      <c r="E5" t="s">
        <v>480</v>
      </c>
      <c r="F5" s="90">
        <v>3</v>
      </c>
      <c r="G5" s="90"/>
      <c r="H5" s="90"/>
      <c r="I5" s="90"/>
      <c r="J5" s="90">
        <v>2.50</v>
      </c>
    </row>
    <row r="6" spans="2:10" ht="12.75">
      <c r="B6" t="s">
        <v>479</v>
      </c>
      <c r="C6" t="s">
        <v>870</v>
      </c>
      <c r="D6" s="85"/>
      <c r="E6" t="s">
        <v>480</v>
      </c>
      <c r="F6" s="90">
        <v>3</v>
      </c>
      <c r="G6" s="90"/>
      <c r="H6" s="90"/>
      <c r="I6" s="90"/>
      <c r="J6" s="90">
        <v>2.50</v>
      </c>
    </row>
    <row r="7" spans="2:10" ht="12.75">
      <c r="B7" t="s">
        <v>479</v>
      </c>
      <c r="C7" t="s">
        <v>871</v>
      </c>
      <c r="D7" s="85"/>
      <c r="E7" t="s">
        <v>480</v>
      </c>
      <c r="F7" s="90">
        <v>3</v>
      </c>
      <c r="G7" s="90"/>
      <c r="H7" s="90"/>
      <c r="I7" s="90"/>
      <c r="J7" s="90">
        <v>2.50</v>
      </c>
    </row>
    <row r="8" spans="2:10" ht="12.75">
      <c r="B8" t="s">
        <v>481</v>
      </c>
      <c r="C8" t="s">
        <v>868</v>
      </c>
      <c r="D8" s="85"/>
      <c r="E8" t="s">
        <v>480</v>
      </c>
      <c r="F8" s="90">
        <v>0.15</v>
      </c>
      <c r="G8" s="90"/>
      <c r="H8" s="90"/>
      <c r="I8" s="90"/>
      <c r="J8" s="90">
        <v>0.15</v>
      </c>
    </row>
    <row r="9" spans="2:10" ht="12.75">
      <c r="B9" t="s">
        <v>481</v>
      </c>
      <c r="C9" t="s">
        <v>869</v>
      </c>
      <c r="D9" s="85"/>
      <c r="E9" t="s">
        <v>480</v>
      </c>
      <c r="F9" s="90">
        <v>0.15</v>
      </c>
      <c r="G9" s="90"/>
      <c r="H9" s="90"/>
      <c r="I9" s="90"/>
      <c r="J9" s="90">
        <v>0.15</v>
      </c>
    </row>
    <row r="10" spans="2:10" ht="12.75">
      <c r="B10" t="s">
        <v>481</v>
      </c>
      <c r="C10" t="s">
        <v>870</v>
      </c>
      <c r="D10" s="85"/>
      <c r="E10" t="s">
        <v>480</v>
      </c>
      <c r="F10" s="90">
        <v>0.15</v>
      </c>
      <c r="G10" s="90"/>
      <c r="H10" s="90"/>
      <c r="I10" s="90"/>
      <c r="J10" s="90">
        <v>0.15</v>
      </c>
    </row>
    <row r="11" spans="2:10" ht="12.75">
      <c r="B11" t="s">
        <v>481</v>
      </c>
      <c r="C11" t="s">
        <v>871</v>
      </c>
      <c r="D11" s="85"/>
      <c r="E11" t="s">
        <v>480</v>
      </c>
      <c r="F11" s="90">
        <v>0.15</v>
      </c>
      <c r="G11" s="90"/>
      <c r="H11" s="90"/>
      <c r="I11" s="90"/>
      <c r="J11" s="90">
        <v>0.15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499900013208389"/>
  </sheetPr>
  <dimension ref="B1:X164"/>
  <sheetViews>
    <sheetView zoomScale="85" zoomScaleNormal="85" workbookViewId="0" topLeftCell="A1">
      <pane ySplit="3" topLeftCell="A4" activePane="bottomLeft" state="frozen"/>
      <selection pane="topLeft" activeCell="M19" sqref="M19"/>
      <selection pane="bottomLeft" activeCell="M19" sqref="M19"/>
    </sheetView>
  </sheetViews>
  <sheetFormatPr defaultColWidth="9.14428571428571" defaultRowHeight="12.75"/>
  <cols>
    <col min="3" max="3" width="28" customWidth="1"/>
    <col min="4" max="4" width="7.14285714285714" customWidth="1"/>
    <col min="7" max="7" width="2.14285714285714" customWidth="1"/>
    <col min="13" max="13" width="2.14285714285714" customWidth="1"/>
    <col min="19" max="19" width="2.14285714285714" customWidth="1"/>
  </cols>
  <sheetData>
    <row r="1" spans="2:24" ht="21">
      <c r="B1" s="84" t="s">
        <v>472</v>
      </c>
      <c r="C1" s="84"/>
      <c r="D1" s="84"/>
      <c r="E1" s="85"/>
      <c r="F1" s="85"/>
      <c r="G1" s="85"/>
      <c r="H1" s="84" t="s">
        <v>473</v>
      </c>
      <c r="I1" s="84"/>
      <c r="J1" s="84"/>
      <c r="K1" s="85"/>
      <c r="L1" s="85"/>
      <c r="N1" s="84" t="s">
        <v>474</v>
      </c>
      <c r="O1" s="84"/>
      <c r="P1" s="84"/>
      <c r="Q1" s="85"/>
      <c r="R1" s="85"/>
      <c r="S1" s="85"/>
      <c r="T1" s="84" t="s">
        <v>475</v>
      </c>
      <c r="U1" s="84"/>
      <c r="V1" s="84"/>
      <c r="W1" s="85"/>
      <c r="X1" s="85"/>
    </row>
    <row r="2" spans="2:24" ht="15">
      <c r="B2" s="86" t="s">
        <v>476</v>
      </c>
      <c r="C2" s="87"/>
      <c r="D2" s="87"/>
      <c r="E2" s="86"/>
      <c r="F2" s="87"/>
      <c r="G2" s="85"/>
      <c r="H2" s="86" t="s">
        <v>476</v>
      </c>
      <c r="I2" s="87"/>
      <c r="J2" s="87"/>
      <c r="K2" s="86"/>
      <c r="L2" s="87"/>
      <c r="N2" s="86" t="s">
        <v>476</v>
      </c>
      <c r="O2" s="87"/>
      <c r="P2" s="87"/>
      <c r="Q2" s="86"/>
      <c r="R2" s="87"/>
      <c r="S2" s="85"/>
      <c r="T2" s="86" t="s">
        <v>476</v>
      </c>
      <c r="U2" s="87"/>
      <c r="V2" s="87"/>
      <c r="W2" s="86"/>
      <c r="X2" s="87"/>
    </row>
    <row r="3" spans="2:24" ht="15.75" thickBot="1">
      <c r="B3" s="88" t="s">
        <v>35</v>
      </c>
      <c r="C3" s="88" t="s">
        <v>397</v>
      </c>
      <c r="D3" s="88" t="s">
        <v>477</v>
      </c>
      <c r="E3" s="88" t="s">
        <v>478</v>
      </c>
      <c r="F3" s="89">
        <v>2011</v>
      </c>
      <c r="G3" s="91"/>
      <c r="H3" s="88" t="s">
        <v>35</v>
      </c>
      <c r="I3" s="88" t="s">
        <v>397</v>
      </c>
      <c r="J3" s="88" t="s">
        <v>477</v>
      </c>
      <c r="K3" s="88" t="s">
        <v>478</v>
      </c>
      <c r="L3" s="89">
        <v>2011</v>
      </c>
      <c r="M3" s="91"/>
      <c r="N3" s="88" t="s">
        <v>35</v>
      </c>
      <c r="O3" s="88" t="s">
        <v>397</v>
      </c>
      <c r="P3" s="88" t="s">
        <v>477</v>
      </c>
      <c r="Q3" s="88" t="s">
        <v>478</v>
      </c>
      <c r="R3" s="89">
        <v>2011</v>
      </c>
      <c r="S3" s="91"/>
      <c r="T3" s="88" t="s">
        <v>35</v>
      </c>
      <c r="U3" s="88" t="s">
        <v>397</v>
      </c>
      <c r="V3" s="88" t="s">
        <v>477</v>
      </c>
      <c r="W3" s="88" t="s">
        <v>478</v>
      </c>
      <c r="X3" s="89">
        <v>2011</v>
      </c>
    </row>
    <row r="4" spans="2:6" ht="12.75">
      <c r="B4" t="s">
        <v>481</v>
      </c>
      <c r="C4" t="str">
        <f>RSDTechsCE!B4</f>
        <v>R_ES-SH-DH_OIL01</v>
      </c>
      <c r="D4" s="85"/>
      <c r="E4" t="s">
        <v>482</v>
      </c>
      <c r="F4" s="90">
        <f>IFERROR(RSDTechsCE!Q4/1000,"")</f>
        <v>0.185</v>
      </c>
    </row>
    <row r="5" spans="2:6" ht="12.75">
      <c r="B5" t="s">
        <v>481</v>
      </c>
      <c r="C5" t="str">
        <f>RSDTechsCE!B5</f>
        <v>R_ES-SH-DH_OIL02</v>
      </c>
      <c r="D5" s="85"/>
      <c r="E5" t="s">
        <v>482</v>
      </c>
      <c r="F5" s="90">
        <f>IFERROR(RSDTechsCE!Q5/1000,"")</f>
        <v>0.185</v>
      </c>
    </row>
    <row r="6" spans="2:6" ht="12.75">
      <c r="B6" t="s">
        <v>481</v>
      </c>
      <c r="C6" t="str">
        <f>RSDTechsCE!B6</f>
        <v>R_ES-SH-DH_OIL02-SOLspl</v>
      </c>
      <c r="D6" s="85"/>
      <c r="E6" t="s">
        <v>482</v>
      </c>
      <c r="F6" s="90">
        <f>IFERROR(RSDTechsCE!Q6/1000,"")</f>
        <v>0.115</v>
      </c>
    </row>
    <row r="7" spans="2:6" ht="12.75">
      <c r="B7" t="s">
        <v>481</v>
      </c>
      <c r="C7" t="str">
        <f>RSDTechsCE!B7</f>
        <v>R_ES-SH-DH_OIL02-BIOspl</v>
      </c>
      <c r="D7" s="85"/>
      <c r="E7" t="s">
        <v>482</v>
      </c>
      <c r="F7" s="90">
        <f>IFERROR(RSDTechsCE!Q7/1000,"")</f>
        <v>0.001</v>
      </c>
    </row>
    <row r="8" spans="2:6" ht="12.75">
      <c r="B8" t="s">
        <v>481</v>
      </c>
      <c r="C8" t="str">
        <f>RSDTechsCE!B8</f>
        <v>R_ES-SH-DH_GAS01</v>
      </c>
      <c r="D8" s="85"/>
      <c r="E8" t="s">
        <v>482</v>
      </c>
      <c r="F8" s="90">
        <f>IFERROR(RSDTechsCE!Q8/1000,"")</f>
        <v>0.22600000000000001</v>
      </c>
    </row>
    <row r="9" spans="2:6" ht="12.75">
      <c r="B9" t="s">
        <v>481</v>
      </c>
      <c r="C9" t="str">
        <f>RSDTechsCE!B9</f>
        <v>R_ES-SH-DH_GAS02</v>
      </c>
      <c r="D9" s="85"/>
      <c r="E9" t="s">
        <v>482</v>
      </c>
      <c r="F9" s="90">
        <f>IFERROR(RSDTechsCE!Q9/1000,"")</f>
        <v>0.22600000000000001</v>
      </c>
    </row>
    <row r="10" spans="2:6" ht="12.75">
      <c r="B10" t="s">
        <v>481</v>
      </c>
      <c r="C10" t="str">
        <f>RSDTechsCE!B10</f>
        <v>R_ES-SH-DH_GAS01-SOLspl</v>
      </c>
      <c r="D10" s="85"/>
      <c r="E10" t="s">
        <v>482</v>
      </c>
      <c r="F10" s="90">
        <f>IFERROR(RSDTechsCE!Q10/1000,"")</f>
        <v>0.115</v>
      </c>
    </row>
    <row r="11" spans="2:6" ht="12.75">
      <c r="B11" t="s">
        <v>481</v>
      </c>
      <c r="C11" t="str">
        <f>RSDTechsCE!B11</f>
        <v>R_ES-SH-DH_GAS02-BIOspl</v>
      </c>
      <c r="D11" s="85"/>
      <c r="E11" t="s">
        <v>482</v>
      </c>
      <c r="F11" s="90">
        <f>IFERROR(RSDTechsCE!Q11/1000,"")</f>
        <v>0.001</v>
      </c>
    </row>
    <row r="12" spans="2:6" ht="12.75">
      <c r="B12" t="s">
        <v>481</v>
      </c>
      <c r="C12" t="str">
        <f>RSDTechsCE!B12</f>
        <v>R_ES-SH-DH_BIO01</v>
      </c>
      <c r="D12" s="85"/>
      <c r="E12" t="s">
        <v>482</v>
      </c>
      <c r="F12" s="90">
        <f>IFERROR(RSDTechsCE!Q12/1000,"")</f>
        <v>0.4705882352941177</v>
      </c>
    </row>
    <row r="13" spans="2:6" ht="12.75">
      <c r="B13" t="s">
        <v>481</v>
      </c>
      <c r="C13" t="str">
        <f>RSDTechsCE!B13</f>
        <v>R_ES-SH-DH_ELC01</v>
      </c>
      <c r="D13" s="85"/>
      <c r="E13" t="s">
        <v>482</v>
      </c>
      <c r="F13" s="90">
        <f>IFERROR(RSDTechsCE!Q13/1000,"")</f>
        <v>0.01</v>
      </c>
    </row>
    <row r="14" spans="2:6" ht="12.75">
      <c r="B14" t="s">
        <v>481</v>
      </c>
      <c r="C14" t="str">
        <f>RSDTechsCE!B14</f>
        <v>R_ES-SH-DH_ELC02</v>
      </c>
      <c r="D14" s="85"/>
      <c r="E14" t="s">
        <v>482</v>
      </c>
      <c r="F14" s="90">
        <f>IFERROR(RSDTechsCE!Q14/1000,"")</f>
        <v>0.29999999999999999</v>
      </c>
    </row>
    <row r="15" spans="2:6" ht="12.75">
      <c r="B15" t="s">
        <v>481</v>
      </c>
      <c r="C15" t="str">
        <f>RSDTechsCE!B15</f>
        <v>R_ES-SH-DH_ELC02-ELCspl</v>
      </c>
      <c r="D15" s="85"/>
      <c r="E15" t="s">
        <v>482</v>
      </c>
      <c r="F15" s="90">
        <f>IFERROR(RSDTechsCE!Q15/1000,"")</f>
        <v>0.055</v>
      </c>
    </row>
    <row r="16" spans="2:6" ht="12.75">
      <c r="B16" t="s">
        <v>481</v>
      </c>
      <c r="C16" t="str">
        <f>RSDTechsCE!B16</f>
        <v>R_ES-SH-DH_ELC02-GASspl</v>
      </c>
      <c r="D16" s="85"/>
      <c r="E16" t="s">
        <v>482</v>
      </c>
      <c r="F16" s="90">
        <f>IFERROR(RSDTechsCE!Q16/1000,"")</f>
        <v>0.113</v>
      </c>
    </row>
    <row r="17" spans="2:6" ht="12.75">
      <c r="B17" t="s">
        <v>481</v>
      </c>
      <c r="C17" t="str">
        <f>RSDTechsCE!B17</f>
        <v>R_ES-SH-DH_ELC02-BIOspl</v>
      </c>
      <c r="D17" s="85"/>
      <c r="E17" t="s">
        <v>482</v>
      </c>
      <c r="F17" s="90">
        <f>IFERROR(RSDTechsCE!Q17/1000,"")</f>
        <v>0.13614999999999997</v>
      </c>
    </row>
    <row r="18" spans="2:6" ht="12.75">
      <c r="B18" t="s">
        <v>481</v>
      </c>
      <c r="C18" t="str">
        <f>RSDTechsCE!B18</f>
        <v>R_ES-SH-DH_ELC02-SOLspl</v>
      </c>
      <c r="D18" s="85"/>
      <c r="E18" t="s">
        <v>482</v>
      </c>
      <c r="F18" s="90">
        <f>IFERROR(RSDTechsCE!Q18/1000,"")</f>
        <v>0.060999999999999999</v>
      </c>
    </row>
    <row r="19" spans="2:6" ht="12.75">
      <c r="B19" t="s">
        <v>481</v>
      </c>
      <c r="C19" t="str">
        <f>RSDTechsCE!B19</f>
        <v>R_ES-SH-DH_ELC04</v>
      </c>
      <c r="D19" s="85"/>
      <c r="E19" t="s">
        <v>482</v>
      </c>
      <c r="F19" s="90">
        <f>IFERROR(RSDTechsCE!Q19/1000,"")</f>
        <v>0.246</v>
      </c>
    </row>
    <row r="20" spans="2:6" ht="12.75">
      <c r="B20" t="s">
        <v>481</v>
      </c>
      <c r="C20" t="str">
        <f>RSDTechsCE!B20</f>
        <v>R_ES-SH-DH_ELC05</v>
      </c>
      <c r="D20" s="85"/>
      <c r="E20" t="s">
        <v>482</v>
      </c>
      <c r="F20" s="90">
        <f>IFERROR(RSDTechsCE!Q20/1000,"")</f>
        <v>0.27060000000000001</v>
      </c>
    </row>
    <row r="21" spans="2:6" ht="12.75">
      <c r="B21" t="s">
        <v>481</v>
      </c>
      <c r="C21" t="str">
        <f>RSDTechsCE!B21</f>
        <v>R_ES-SH-DH_ELC06</v>
      </c>
      <c r="D21" s="85"/>
      <c r="E21" t="s">
        <v>482</v>
      </c>
      <c r="F21" s="90">
        <f>IFERROR(RSDTechsCE!Q21/1000,"")</f>
        <v>0.29999999999999999</v>
      </c>
    </row>
    <row r="22" spans="2:6" ht="12.75">
      <c r="B22" t="s">
        <v>481</v>
      </c>
      <c r="C22" t="str">
        <f>RSDTechsCE!B22</f>
        <v>R_ES-SH-DH_ELC07</v>
      </c>
      <c r="D22" s="85"/>
      <c r="E22" t="s">
        <v>482</v>
      </c>
      <c r="F22" s="90">
        <f>IFERROR(RSDTechsCE!Q22/1000,"")</f>
        <v>0.33000000000000002</v>
      </c>
    </row>
    <row r="23" spans="2:6" ht="12.75">
      <c r="B23" t="s">
        <v>481</v>
      </c>
      <c r="C23" t="str">
        <f>RSDTechsCE!B23</f>
        <v>R_ES-SH-DH_ELC08</v>
      </c>
      <c r="D23" s="85"/>
      <c r="E23" t="s">
        <v>482</v>
      </c>
      <c r="F23" s="90">
        <f>IFERROR(RSDTechsCE!Q23/1000,"")</f>
        <v>0.29999999999999999</v>
      </c>
    </row>
    <row r="24" spans="2:6" ht="12.75">
      <c r="B24" t="s">
        <v>481</v>
      </c>
      <c r="C24" t="str">
        <f>RSDTechsCE!B24</f>
        <v>R_ES-SH-DH_ELC09</v>
      </c>
      <c r="D24" s="85"/>
      <c r="E24" t="s">
        <v>482</v>
      </c>
      <c r="F24" s="90">
        <f>IFERROR(RSDTechsCE!Q24/1000,"")</f>
        <v>0.33000000000000002</v>
      </c>
    </row>
    <row r="25" spans="2:6" ht="12.75">
      <c r="B25" t="s">
        <v>481</v>
      </c>
      <c r="C25" t="str">
        <f>RSDTechsCE!B25</f>
        <v>R_ES-SH-DH_ELC10</v>
      </c>
      <c r="D25" s="85"/>
      <c r="E25" t="s">
        <v>482</v>
      </c>
      <c r="F25" s="90">
        <f>IFERROR(RSDTechsCE!Q25/1000,"")</f>
        <v>0.29999999999999999</v>
      </c>
    </row>
    <row r="26" spans="2:6" ht="12.75">
      <c r="B26" t="s">
        <v>481</v>
      </c>
      <c r="C26" t="str">
        <f>RSDTechsCE!B26</f>
        <v>R_ES-SH-DH_ELC11</v>
      </c>
      <c r="D26" s="85"/>
      <c r="E26" t="s">
        <v>482</v>
      </c>
      <c r="F26" s="90">
        <f>IFERROR(RSDTechsCE!Q26/1000,"")</f>
        <v>0.33000000000000002</v>
      </c>
    </row>
    <row r="27" spans="2:6" ht="12.75">
      <c r="B27" t="s">
        <v>481</v>
      </c>
      <c r="C27" t="str">
        <f>RSDTechsCE!B27</f>
        <v>R_ES-SH-DH_GAS03</v>
      </c>
      <c r="D27" s="85"/>
      <c r="E27" t="s">
        <v>482</v>
      </c>
      <c r="F27" s="90">
        <f>IFERROR(RSDTechsCE!Q27/1000,"")</f>
        <v>0.155</v>
      </c>
    </row>
    <row r="28" spans="2:6" ht="12.75">
      <c r="B28" t="s">
        <v>481</v>
      </c>
      <c r="C28" t="str">
        <f>RSDTechsCE!B28</f>
        <v>R_ES-SH-DH_GAS04</v>
      </c>
      <c r="D28" s="85"/>
      <c r="E28" t="s">
        <v>482</v>
      </c>
      <c r="F28" s="90">
        <f>IFERROR(RSDTechsCE!Q28/1000,"")</f>
        <v>0.17050000000000001</v>
      </c>
    </row>
    <row r="29" spans="2:6" ht="12.75">
      <c r="B29" t="s">
        <v>481</v>
      </c>
      <c r="C29" t="str">
        <f>RSDTechsCE!B29</f>
        <v>R_ES-SH-DH_GAS05</v>
      </c>
      <c r="D29" s="85"/>
      <c r="E29" t="s">
        <v>482</v>
      </c>
      <c r="F29" s="90">
        <f>IFERROR(RSDTechsCE!Q29/1000,"")</f>
        <v>0.27200000000000002</v>
      </c>
    </row>
    <row r="30" spans="2:6" ht="12.75">
      <c r="B30" t="s">
        <v>481</v>
      </c>
      <c r="C30" t="str">
        <f>RSDTechsCE!B30</f>
        <v>R_ES-SH-DH_GAS06</v>
      </c>
      <c r="D30" s="85"/>
      <c r="E30" t="s">
        <v>482</v>
      </c>
      <c r="F30" s="90">
        <f>IFERROR(RSDTechsCE!Q30/1000,"")</f>
        <v>0.29920000000000002</v>
      </c>
    </row>
    <row r="31" spans="2:6" ht="12.75">
      <c r="B31" t="s">
        <v>481</v>
      </c>
      <c r="C31" t="str">
        <f>RSDTechsCE!B31</f>
        <v>R_ES-SH-DH_GAS07</v>
      </c>
      <c r="D31" s="85"/>
      <c r="E31" t="s">
        <v>482</v>
      </c>
      <c r="F31" s="90">
        <f>IFERROR(RSDTechsCE!Q31/1000,"")</f>
        <v>0.13500000000000001</v>
      </c>
    </row>
    <row r="32" spans="2:6" ht="12.75">
      <c r="B32" t="s">
        <v>481</v>
      </c>
      <c r="C32" t="str">
        <f>RSDTechsCE!B32</f>
        <v>R_ES-SH-DH_GAS08</v>
      </c>
      <c r="D32" s="85"/>
      <c r="E32" t="s">
        <v>482</v>
      </c>
      <c r="F32" s="90">
        <f>IFERROR(RSDTechsCE!Q32/1000,"")</f>
        <v>0.14849999999999999</v>
      </c>
    </row>
    <row r="33" spans="2:6" ht="12.75">
      <c r="B33" t="s">
        <v>481</v>
      </c>
      <c r="C33" t="str">
        <f>RSDTechsCE!B33</f>
        <v>R_ES-CHP-DH_GAS01</v>
      </c>
      <c r="D33" s="85"/>
      <c r="E33" t="s">
        <v>482</v>
      </c>
      <c r="F33" s="90">
        <f>IFERROR(RSDTechsCE!Q33/1000,"")</f>
        <v>0</v>
      </c>
    </row>
    <row r="34" spans="2:6" ht="12.75">
      <c r="B34" t="s">
        <v>481</v>
      </c>
      <c r="C34" t="str">
        <f>RSDTechsCE!B34</f>
        <v>R_ES-CHP-DH_OIL01</v>
      </c>
      <c r="D34" s="85"/>
      <c r="E34" t="s">
        <v>482</v>
      </c>
      <c r="F34" s="90">
        <f>IFERROR(RSDTechsCE!Q34/1000,"")</f>
        <v>0</v>
      </c>
    </row>
    <row r="35" spans="2:6" ht="12.75">
      <c r="B35" t="s">
        <v>481</v>
      </c>
      <c r="C35" t="str">
        <f>RSDTechsCE!B35</f>
        <v>R_ES-CHP-DH_GAS02</v>
      </c>
      <c r="D35" s="85"/>
      <c r="E35" t="s">
        <v>482</v>
      </c>
      <c r="F35" s="90">
        <f>IFERROR(RSDTechsCE!Q35/1000,"")</f>
        <v>0.31</v>
      </c>
    </row>
    <row r="36" spans="2:6" ht="12.75">
      <c r="B36" t="s">
        <v>481</v>
      </c>
      <c r="C36" t="str">
        <f>RSDTechsCE!B36</f>
        <v>R_ES-CHP-DH_OIL02</v>
      </c>
      <c r="D36" s="85"/>
      <c r="E36" t="s">
        <v>482</v>
      </c>
      <c r="F36" s="90">
        <f>IFERROR(RSDTechsCE!Q36/1000,"")</f>
        <v>0.31</v>
      </c>
    </row>
    <row r="37" spans="2:6" ht="12.75">
      <c r="B37" t="s">
        <v>481</v>
      </c>
      <c r="C37" t="str">
        <f>RSDTechsCE!B37</f>
        <v>R_ES-CHP-DH_GAS03</v>
      </c>
      <c r="D37" s="85"/>
      <c r="E37" t="s">
        <v>482</v>
      </c>
      <c r="F37" s="90">
        <f>IFERROR(RSDTechsCE!Q37/1000,"")</f>
        <v>0.25</v>
      </c>
    </row>
    <row r="38" spans="2:6" ht="12.75">
      <c r="B38" t="s">
        <v>481</v>
      </c>
      <c r="C38" t="str">
        <f>RSDTechsCE!B38</f>
        <v>R_ES-CHP-DH_GAS04</v>
      </c>
      <c r="D38" s="85"/>
      <c r="E38" t="s">
        <v>482</v>
      </c>
      <c r="F38" s="90">
        <f>IFERROR(RSDTechsCE!Q38/1000,"")</f>
        <v>0.27400000000000002</v>
      </c>
    </row>
    <row r="39" spans="2:6" ht="12.75">
      <c r="B39" t="s">
        <v>481</v>
      </c>
      <c r="C39" t="str">
        <f>RSDTechsCE!B39</f>
        <v>R_ES-CHP-DH_HH201</v>
      </c>
      <c r="D39" s="85"/>
      <c r="E39" t="s">
        <v>482</v>
      </c>
      <c r="F39" s="90">
        <f>IFERROR(RSDTechsCE!Q39/1000,"")</f>
        <v>0.5</v>
      </c>
    </row>
    <row r="40" spans="2:6" ht="12.75">
      <c r="B40" t="s">
        <v>481</v>
      </c>
      <c r="C40" t="str">
        <f>RSDTechsCE!B40</f>
        <v>R_ES-CHP-DH-GASspl</v>
      </c>
      <c r="D40" s="85"/>
      <c r="E40" t="s">
        <v>482</v>
      </c>
      <c r="F40" s="90">
        <f>IFERROR(RSDTechsCE!Q40/1000,"")</f>
        <v>0.22600000000000001</v>
      </c>
    </row>
    <row r="41" spans="2:6" ht="12.75">
      <c r="B41" t="s">
        <v>481</v>
      </c>
      <c r="C41" t="str">
        <f>RSDTechsCE!B41</f>
        <v>R_ES-CHP-DH-OILspl</v>
      </c>
      <c r="D41" s="85"/>
      <c r="E41" t="s">
        <v>482</v>
      </c>
      <c r="F41" s="90">
        <f>IFERROR(RSDTechsCE!Q41/1000,"")</f>
        <v>0.185</v>
      </c>
    </row>
    <row r="43" spans="2:6" ht="15">
      <c r="B43" s="86" t="s">
        <v>476</v>
      </c>
      <c r="C43" s="87"/>
      <c r="D43" s="87"/>
      <c r="E43" s="86"/>
      <c r="F43" s="87"/>
    </row>
    <row r="44" spans="2:6" ht="15.75" thickBot="1">
      <c r="B44" s="88" t="s">
        <v>35</v>
      </c>
      <c r="C44" s="88" t="s">
        <v>397</v>
      </c>
      <c r="D44" s="88" t="s">
        <v>477</v>
      </c>
      <c r="E44" s="88" t="s">
        <v>478</v>
      </c>
      <c r="F44" s="89">
        <v>2011</v>
      </c>
    </row>
    <row r="45" spans="2:6" ht="12.75">
      <c r="B45" t="s">
        <v>481</v>
      </c>
      <c r="C45" t="str">
        <f>RSDTechsCE!B45</f>
        <v>R_ES-SH-DH-70_OIL01</v>
      </c>
      <c r="D45" s="85"/>
      <c r="E45" t="s">
        <v>482</v>
      </c>
      <c r="F45" s="90">
        <f>IFERROR(RSDTechsCE!Q45/1000,"")</f>
        <v>0.185</v>
      </c>
    </row>
    <row r="46" spans="2:6" ht="12.75">
      <c r="B46" t="s">
        <v>481</v>
      </c>
      <c r="C46" t="str">
        <f>RSDTechsCE!B46</f>
        <v>R_ES-SH-DH-70_OIL02</v>
      </c>
      <c r="D46" s="85"/>
      <c r="E46" t="s">
        <v>482</v>
      </c>
      <c r="F46" s="90">
        <f>IFERROR(RSDTechsCE!Q46/1000,"")</f>
        <v>0.185</v>
      </c>
    </row>
    <row r="47" spans="2:6" ht="12.75">
      <c r="B47" t="s">
        <v>481</v>
      </c>
      <c r="C47" t="str">
        <f>RSDTechsCE!B47</f>
        <v>R_ES-SH-DH-70_OIL02-SOLspl</v>
      </c>
      <c r="D47" s="85"/>
      <c r="E47" t="s">
        <v>482</v>
      </c>
      <c r="F47" s="90">
        <f>IFERROR(RSDTechsCE!Q47/1000,"")</f>
        <v>0.115</v>
      </c>
    </row>
    <row r="48" spans="2:6" ht="12.75">
      <c r="B48" t="s">
        <v>481</v>
      </c>
      <c r="C48" t="str">
        <f>RSDTechsCE!B48</f>
        <v>R_ES-SH-DH-70_OIL02-BIOspl</v>
      </c>
      <c r="D48" s="85"/>
      <c r="E48" t="s">
        <v>482</v>
      </c>
      <c r="F48" s="90">
        <f>IFERROR(RSDTechsCE!Q48/1000,"")</f>
        <v>0.001</v>
      </c>
    </row>
    <row r="49" spans="2:6" ht="12.75">
      <c r="B49" t="s">
        <v>481</v>
      </c>
      <c r="C49" t="str">
        <f>RSDTechsCE!B49</f>
        <v>R_ES-SH-DH-70_GAS01</v>
      </c>
      <c r="D49" s="85"/>
      <c r="E49" t="s">
        <v>482</v>
      </c>
      <c r="F49" s="90">
        <f>IFERROR(RSDTechsCE!Q49/1000,"")</f>
        <v>0.22600000000000001</v>
      </c>
    </row>
    <row r="50" spans="2:6" ht="12.75">
      <c r="B50" t="s">
        <v>481</v>
      </c>
      <c r="C50" t="str">
        <f>RSDTechsCE!B50</f>
        <v>R_ES-SH-DH-70_GAS02</v>
      </c>
      <c r="D50" s="85"/>
      <c r="E50" t="s">
        <v>482</v>
      </c>
      <c r="F50" s="90">
        <f>IFERROR(RSDTechsCE!Q50/1000,"")</f>
        <v>0.22600000000000001</v>
      </c>
    </row>
    <row r="51" spans="2:6" ht="12.75">
      <c r="B51" t="s">
        <v>481</v>
      </c>
      <c r="C51" t="str">
        <f>RSDTechsCE!B51</f>
        <v>R_ES-SH-DH-70_GAS02-SOLspl</v>
      </c>
      <c r="D51" s="85"/>
      <c r="E51" t="s">
        <v>482</v>
      </c>
      <c r="F51" s="90">
        <f>IFERROR(RSDTechsCE!Q51/1000,"")</f>
        <v>0.115</v>
      </c>
    </row>
    <row r="52" spans="2:6" ht="12.75">
      <c r="B52" t="s">
        <v>481</v>
      </c>
      <c r="C52" t="str">
        <f>RSDTechsCE!B52</f>
        <v>R_ES-SH-DH-70_GAS02-BIOspl</v>
      </c>
      <c r="D52" s="85"/>
      <c r="E52" t="s">
        <v>482</v>
      </c>
      <c r="F52" s="90">
        <f>IFERROR(RSDTechsCE!Q52/1000,"")</f>
        <v>0.001</v>
      </c>
    </row>
    <row r="53" spans="2:6" ht="12.75">
      <c r="B53" t="s">
        <v>481</v>
      </c>
      <c r="C53" t="str">
        <f>RSDTechsCE!B53</f>
        <v>R_ES-SH-DH-70_BIO01</v>
      </c>
      <c r="D53" s="85"/>
      <c r="E53" t="s">
        <v>482</v>
      </c>
      <c r="F53" s="90">
        <f>IFERROR(RSDTechsCE!Q53/1000,"")</f>
        <v>0.4705882352941177</v>
      </c>
    </row>
    <row r="54" spans="2:6" ht="12.75">
      <c r="B54" t="s">
        <v>481</v>
      </c>
      <c r="C54" t="str">
        <f>RSDTechsCE!B54</f>
        <v>R_ES-SH-DH-70_ELC01</v>
      </c>
      <c r="D54" s="85"/>
      <c r="E54" t="s">
        <v>482</v>
      </c>
      <c r="F54" s="90">
        <f>IFERROR(RSDTechsCE!Q54/1000,"")</f>
        <v>0.01</v>
      </c>
    </row>
    <row r="55" spans="2:6" ht="12.75">
      <c r="B55" t="s">
        <v>481</v>
      </c>
      <c r="C55" t="str">
        <f>RSDTechsCE!B55</f>
        <v>R_ES-SH-DH-70_ELC02</v>
      </c>
      <c r="D55" s="85"/>
      <c r="E55" t="s">
        <v>482</v>
      </c>
      <c r="F55" s="90">
        <f>IFERROR(RSDTechsCE!Q55/1000,"")</f>
        <v>0.29999999999999999</v>
      </c>
    </row>
    <row r="56" spans="2:6" ht="12.75">
      <c r="B56" t="s">
        <v>481</v>
      </c>
      <c r="C56" t="str">
        <f>RSDTechsCE!B56</f>
        <v>R_ES-SH-DH-70_ELC02-ELCspl</v>
      </c>
      <c r="D56" s="85"/>
      <c r="E56" t="s">
        <v>482</v>
      </c>
      <c r="F56" s="90">
        <f>IFERROR(RSDTechsCE!Q56/1000,"")</f>
        <v>0.055</v>
      </c>
    </row>
    <row r="57" spans="2:6" ht="12.75">
      <c r="B57" t="s">
        <v>481</v>
      </c>
      <c r="C57" t="str">
        <f>RSDTechsCE!B57</f>
        <v>R_ES-SH-DH-70_ELC02-GASspl</v>
      </c>
      <c r="D57" s="85"/>
      <c r="E57" t="s">
        <v>482</v>
      </c>
      <c r="F57" s="90">
        <f>IFERROR(RSDTechsCE!Q57/1000,"")</f>
        <v>0.113</v>
      </c>
    </row>
    <row r="58" spans="2:6" ht="12.75">
      <c r="B58" t="s">
        <v>481</v>
      </c>
      <c r="C58" t="str">
        <f>RSDTechsCE!B58</f>
        <v>R_ES-SH-DH-70_ELC02-BIOspl</v>
      </c>
      <c r="D58" s="85"/>
      <c r="E58" t="s">
        <v>482</v>
      </c>
      <c r="F58" s="90">
        <f>IFERROR(RSDTechsCE!Q58/1000,"")</f>
        <v>0.13614999999999997</v>
      </c>
    </row>
    <row r="59" spans="2:6" ht="12.75">
      <c r="B59" t="s">
        <v>481</v>
      </c>
      <c r="C59" t="str">
        <f>RSDTechsCE!B59</f>
        <v>R_ES-SH-DH-70_ELC02-SOLspl</v>
      </c>
      <c r="D59" s="85"/>
      <c r="E59" t="s">
        <v>482</v>
      </c>
      <c r="F59" s="90">
        <f>IFERROR(RSDTechsCE!Q59/1000,"")</f>
        <v>0.060999999999999999</v>
      </c>
    </row>
    <row r="60" spans="2:6" ht="12.75">
      <c r="B60" t="s">
        <v>481</v>
      </c>
      <c r="C60" t="str">
        <f>RSDTechsCE!B60</f>
        <v>R_ES-SH-DH-70_ELC04</v>
      </c>
      <c r="D60" s="85"/>
      <c r="E60" t="s">
        <v>482</v>
      </c>
      <c r="F60" s="90">
        <f>IFERROR(RSDTechsCE!Q60/1000,"")</f>
        <v>0.246</v>
      </c>
    </row>
    <row r="61" spans="2:6" ht="12.75">
      <c r="B61" t="s">
        <v>481</v>
      </c>
      <c r="C61" t="str">
        <f>RSDTechsCE!B61</f>
        <v>R_ES-SH-DH-70_ELC05</v>
      </c>
      <c r="D61" s="85"/>
      <c r="E61" t="s">
        <v>482</v>
      </c>
      <c r="F61" s="90">
        <f>IFERROR(RSDTechsCE!Q61/1000,"")</f>
        <v>0.27060000000000001</v>
      </c>
    </row>
    <row r="62" spans="2:6" ht="12.75">
      <c r="B62" t="s">
        <v>481</v>
      </c>
      <c r="C62" t="str">
        <f>RSDTechsCE!B62</f>
        <v>R_ES-SH-DH-70_ELC06</v>
      </c>
      <c r="D62" s="85"/>
      <c r="E62" t="s">
        <v>482</v>
      </c>
      <c r="F62" s="90">
        <f>IFERROR(RSDTechsCE!Q62/1000,"")</f>
        <v>0.29999999999999999</v>
      </c>
    </row>
    <row r="63" spans="2:6" ht="12.75">
      <c r="B63" t="s">
        <v>481</v>
      </c>
      <c r="C63" t="str">
        <f>RSDTechsCE!B63</f>
        <v>R_ES-SH-DH-70_ELC07</v>
      </c>
      <c r="D63" s="85"/>
      <c r="E63" t="s">
        <v>482</v>
      </c>
      <c r="F63" s="90">
        <f>IFERROR(RSDTechsCE!Q63/1000,"")</f>
        <v>0.33000000000000002</v>
      </c>
    </row>
    <row r="64" spans="2:6" ht="12.75">
      <c r="B64" t="s">
        <v>481</v>
      </c>
      <c r="C64" t="str">
        <f>RSDTechsCE!B64</f>
        <v>R_ES-SH-DH-70_ELC08</v>
      </c>
      <c r="D64" s="85"/>
      <c r="E64" t="s">
        <v>482</v>
      </c>
      <c r="F64" s="90">
        <f>IFERROR(RSDTechsCE!Q64/1000,"")</f>
        <v>0.29999999999999999</v>
      </c>
    </row>
    <row r="65" spans="2:6" ht="12.75">
      <c r="B65" t="s">
        <v>481</v>
      </c>
      <c r="C65" t="str">
        <f>RSDTechsCE!B65</f>
        <v>R_ES-SH-DH-70_ELC09</v>
      </c>
      <c r="D65" s="85"/>
      <c r="E65" t="s">
        <v>482</v>
      </c>
      <c r="F65" s="90">
        <f>IFERROR(RSDTechsCE!Q65/1000,"")</f>
        <v>0.33000000000000002</v>
      </c>
    </row>
    <row r="66" spans="2:6" ht="12.75">
      <c r="B66" t="s">
        <v>481</v>
      </c>
      <c r="C66" t="str">
        <f>RSDTechsCE!B66</f>
        <v>R_ES-SH-DH-70_ELC10</v>
      </c>
      <c r="D66" s="85"/>
      <c r="E66" t="s">
        <v>482</v>
      </c>
      <c r="F66" s="90">
        <f>IFERROR(RSDTechsCE!Q66/1000,"")</f>
        <v>0.29999999999999999</v>
      </c>
    </row>
    <row r="67" spans="2:6" ht="12.75">
      <c r="B67" t="s">
        <v>481</v>
      </c>
      <c r="C67" t="str">
        <f>RSDTechsCE!B67</f>
        <v>R_ES-SH-DH-70_ELC11</v>
      </c>
      <c r="D67" s="85"/>
      <c r="E67" t="s">
        <v>482</v>
      </c>
      <c r="F67" s="90">
        <f>IFERROR(RSDTechsCE!Q67/1000,"")</f>
        <v>0.33000000000000002</v>
      </c>
    </row>
    <row r="68" spans="2:6" ht="12.75">
      <c r="B68" t="s">
        <v>481</v>
      </c>
      <c r="C68" t="str">
        <f>RSDTechsCE!B68</f>
        <v>R_ES-SH-DH-70_GAS03</v>
      </c>
      <c r="D68" s="85"/>
      <c r="E68" t="s">
        <v>482</v>
      </c>
      <c r="F68" s="90">
        <f>IFERROR(RSDTechsCE!Q68/1000,"")</f>
        <v>0.155</v>
      </c>
    </row>
    <row r="69" spans="2:6" ht="12.75">
      <c r="B69" t="s">
        <v>481</v>
      </c>
      <c r="C69" t="str">
        <f>RSDTechsCE!B69</f>
        <v>R_ES-SH-DH-70_GAS04</v>
      </c>
      <c r="D69" s="85"/>
      <c r="E69" t="s">
        <v>482</v>
      </c>
      <c r="F69" s="90">
        <f>IFERROR(RSDTechsCE!Q69/1000,"")</f>
        <v>0.17050000000000001</v>
      </c>
    </row>
    <row r="70" spans="2:6" ht="12.75">
      <c r="B70" t="s">
        <v>481</v>
      </c>
      <c r="C70" t="str">
        <f>RSDTechsCE!B70</f>
        <v>R_ES-SH-DH-70_GAS05</v>
      </c>
      <c r="D70" s="85"/>
      <c r="E70" t="s">
        <v>482</v>
      </c>
      <c r="F70" s="90">
        <f>IFERROR(RSDTechsCE!Q70/1000,"")</f>
        <v>0.27200000000000002</v>
      </c>
    </row>
    <row r="71" spans="2:6" ht="12.75">
      <c r="B71" t="s">
        <v>481</v>
      </c>
      <c r="C71" t="str">
        <f>RSDTechsCE!B71</f>
        <v>R_ES-SH-DH-70_GAS06</v>
      </c>
      <c r="D71" s="85"/>
      <c r="E71" t="s">
        <v>482</v>
      </c>
      <c r="F71" s="90">
        <f>IFERROR(RSDTechsCE!Q71/1000,"")</f>
        <v>0.29920000000000002</v>
      </c>
    </row>
    <row r="72" spans="2:6" ht="12.75">
      <c r="B72" t="s">
        <v>481</v>
      </c>
      <c r="C72" t="str">
        <f>RSDTechsCE!B72</f>
        <v>R_ES-SH-DH-70_GAS07</v>
      </c>
      <c r="D72" s="85"/>
      <c r="E72" t="s">
        <v>482</v>
      </c>
      <c r="F72" s="90">
        <f>IFERROR(RSDTechsCE!Q72/1000,"")</f>
        <v>0.13500000000000001</v>
      </c>
    </row>
    <row r="73" spans="2:6" ht="12.75">
      <c r="B73" t="s">
        <v>481</v>
      </c>
      <c r="C73" t="str">
        <f>RSDTechsCE!B73</f>
        <v>R_ES-SH-DH-70_GAS08</v>
      </c>
      <c r="D73" s="85"/>
      <c r="E73" t="s">
        <v>482</v>
      </c>
      <c r="F73" s="90">
        <f>IFERROR(RSDTechsCE!Q73/1000,"")</f>
        <v>0.14849999999999999</v>
      </c>
    </row>
    <row r="74" spans="2:6" ht="12.75">
      <c r="B74" t="s">
        <v>481</v>
      </c>
      <c r="C74" t="str">
        <f>RSDTechsCE!B74</f>
        <v>R_ES-CHP-DH-70_GAS01</v>
      </c>
      <c r="D74" s="85"/>
      <c r="E74" t="s">
        <v>482</v>
      </c>
      <c r="F74" s="90" t="str">
        <f>IFERROR(RSDTechsCE!Q74/1000,"")</f>
        <v/>
      </c>
    </row>
    <row r="75" spans="2:6" ht="12.75">
      <c r="B75" t="s">
        <v>481</v>
      </c>
      <c r="C75" t="str">
        <f>RSDTechsCE!B75</f>
        <v>R_ES-CHP-DH-70_OIL01</v>
      </c>
      <c r="D75" s="85"/>
      <c r="E75" t="s">
        <v>482</v>
      </c>
      <c r="F75" s="90" t="str">
        <f>IFERROR(RSDTechsCE!Q75/1000,"")</f>
        <v/>
      </c>
    </row>
    <row r="76" spans="2:6" ht="12.75">
      <c r="B76" t="s">
        <v>481</v>
      </c>
      <c r="C76" t="str">
        <f>RSDTechsCE!B76</f>
        <v>R_ES-CHP-DH-70_GAS02</v>
      </c>
      <c r="D76" s="85"/>
      <c r="E76" t="s">
        <v>482</v>
      </c>
      <c r="F76" s="90">
        <f>IFERROR(RSDTechsCE!Q76/1000,"")</f>
        <v>0.31</v>
      </c>
    </row>
    <row r="77" spans="2:6" ht="12.75">
      <c r="B77" t="s">
        <v>481</v>
      </c>
      <c r="C77" t="str">
        <f>RSDTechsCE!B77</f>
        <v>R_ES-CHP-DH-70_OIL02</v>
      </c>
      <c r="D77" s="85"/>
      <c r="E77" t="s">
        <v>482</v>
      </c>
      <c r="F77" s="90">
        <f>IFERROR(RSDTechsCE!Q77/1000,"")</f>
        <v>0.31</v>
      </c>
    </row>
    <row r="78" spans="2:6" ht="12.75">
      <c r="B78" t="s">
        <v>481</v>
      </c>
      <c r="C78" t="str">
        <f>RSDTechsCE!B78</f>
        <v>R_ES-CHP-DH-70_GAS03</v>
      </c>
      <c r="D78" s="85"/>
      <c r="E78" t="s">
        <v>482</v>
      </c>
      <c r="F78" s="90">
        <f>IFERROR(RSDTechsCE!Q78/1000,"")</f>
        <v>0.25</v>
      </c>
    </row>
    <row r="79" spans="2:6" ht="12.75">
      <c r="B79" t="s">
        <v>481</v>
      </c>
      <c r="C79" t="str">
        <f>RSDTechsCE!B79</f>
        <v>R_ES-CHP-DH-70_GAS04</v>
      </c>
      <c r="D79" s="85"/>
      <c r="E79" t="s">
        <v>482</v>
      </c>
      <c r="F79" s="90">
        <f>IFERROR(RSDTechsCE!Q79/1000,"")</f>
        <v>0.27400000000000002</v>
      </c>
    </row>
    <row r="80" spans="2:6" ht="12.75">
      <c r="B80" t="s">
        <v>481</v>
      </c>
      <c r="C80" t="str">
        <f>RSDTechsCE!B80</f>
        <v>R_ES-CHP-DH-70_HH201</v>
      </c>
      <c r="D80" s="85"/>
      <c r="E80" t="s">
        <v>482</v>
      </c>
      <c r="F80" s="90">
        <f>IFERROR(RSDTechsCE!Q80/1000,"")</f>
        <v>0.5</v>
      </c>
    </row>
    <row r="81" spans="2:6" ht="12.75">
      <c r="B81" t="s">
        <v>481</v>
      </c>
      <c r="C81" t="str">
        <f>RSDTechsCE!B81</f>
        <v>R_ES-CHP-DH-70-GASspl</v>
      </c>
      <c r="D81" s="85"/>
      <c r="E81" t="s">
        <v>482</v>
      </c>
      <c r="F81" s="90">
        <f>IFERROR(RSDTechsCE!Q81/1000,"")</f>
        <v>0.22600000000000001</v>
      </c>
    </row>
    <row r="82" spans="2:6" ht="12.75">
      <c r="B82" t="s">
        <v>481</v>
      </c>
      <c r="C82" t="str">
        <f>RSDTechsCE!B82</f>
        <v>R_ES-CHP-DH-70-OILspl</v>
      </c>
      <c r="D82" s="85"/>
      <c r="E82" t="s">
        <v>482</v>
      </c>
      <c r="F82" s="90">
        <f>IFERROR(RSDTechsCE!Q82/1000,"")</f>
        <v>0.185</v>
      </c>
    </row>
    <row r="83" spans="4:4" ht="12.75">
      <c r="D83" s="85"/>
    </row>
    <row r="84" spans="2:6" ht="15">
      <c r="B84" s="86" t="s">
        <v>476</v>
      </c>
      <c r="C84" s="87"/>
      <c r="D84" s="87"/>
      <c r="E84" s="86"/>
      <c r="F84" s="87"/>
    </row>
    <row r="85" spans="2:6" ht="15.75" thickBot="1">
      <c r="B85" s="88" t="s">
        <v>35</v>
      </c>
      <c r="C85" s="88" t="s">
        <v>397</v>
      </c>
      <c r="D85" s="88" t="s">
        <v>477</v>
      </c>
      <c r="E85" s="88" t="s">
        <v>478</v>
      </c>
      <c r="F85" s="89">
        <v>2011</v>
      </c>
    </row>
    <row r="86" spans="2:6" ht="12.75">
      <c r="B86" t="s">
        <v>481</v>
      </c>
      <c r="C86" t="str">
        <f>RSDTechsCE!B86</f>
        <v>R_ES-SH-SD_OIL01</v>
      </c>
      <c r="D86" s="85"/>
      <c r="E86" t="s">
        <v>482</v>
      </c>
      <c r="F86" s="90">
        <f>IFERROR(RSDTechsCE!Q86/1000,"")</f>
        <v>0.185</v>
      </c>
    </row>
    <row r="87" spans="2:6" ht="12.75">
      <c r="B87" t="s">
        <v>481</v>
      </c>
      <c r="C87" t="str">
        <f>RSDTechsCE!B87</f>
        <v>R_ES-SH-SD_OIL02</v>
      </c>
      <c r="D87" s="85"/>
      <c r="E87" t="s">
        <v>482</v>
      </c>
      <c r="F87" s="90">
        <f>IFERROR(RSDTechsCE!Q87/1000,"")</f>
        <v>0.185</v>
      </c>
    </row>
    <row r="88" spans="2:6" ht="12.75">
      <c r="B88" t="s">
        <v>481</v>
      </c>
      <c r="C88" t="str">
        <f>RSDTechsCE!B88</f>
        <v>R_ES-SH-SD_OIL02-SOLspl</v>
      </c>
      <c r="D88" s="85"/>
      <c r="E88" t="s">
        <v>482</v>
      </c>
      <c r="F88" s="90">
        <f>IFERROR(RSDTechsCE!Q88/1000,"")</f>
        <v>0.115</v>
      </c>
    </row>
    <row r="89" spans="2:6" ht="12.75">
      <c r="B89" t="s">
        <v>481</v>
      </c>
      <c r="C89" t="str">
        <f>RSDTechsCE!B89</f>
        <v>R_ES-SH-SD_OIL02-BIOspl</v>
      </c>
      <c r="D89" s="85"/>
      <c r="E89" t="s">
        <v>482</v>
      </c>
      <c r="F89" s="90">
        <f>IFERROR(RSDTechsCE!Q89/1000,"")</f>
        <v>0.001</v>
      </c>
    </row>
    <row r="90" spans="2:6" ht="12.75">
      <c r="B90" t="s">
        <v>481</v>
      </c>
      <c r="C90" t="str">
        <f>RSDTechsCE!B90</f>
        <v>R_ES-SH-SD_GAS01</v>
      </c>
      <c r="D90" s="85"/>
      <c r="E90" t="s">
        <v>482</v>
      </c>
      <c r="F90" s="90">
        <f>IFERROR(RSDTechsCE!Q90/1000,"")</f>
        <v>0.22600000000000001</v>
      </c>
    </row>
    <row r="91" spans="2:6" ht="12.75">
      <c r="B91" t="s">
        <v>481</v>
      </c>
      <c r="C91" t="str">
        <f>RSDTechsCE!B91</f>
        <v>R_ES-SH-SD_GAS02</v>
      </c>
      <c r="D91" s="85"/>
      <c r="E91" t="s">
        <v>482</v>
      </c>
      <c r="F91" s="90">
        <f>IFERROR(RSDTechsCE!Q91/1000,"")</f>
        <v>0.22600000000000001</v>
      </c>
    </row>
    <row r="92" spans="2:6" ht="12.75">
      <c r="B92" t="s">
        <v>481</v>
      </c>
      <c r="C92" t="str">
        <f>RSDTechsCE!B92</f>
        <v>R_ES-SH-SD_GAS02-SOLspl</v>
      </c>
      <c r="D92" s="85"/>
      <c r="E92" t="s">
        <v>482</v>
      </c>
      <c r="F92" s="90">
        <f>IFERROR(RSDTechsCE!Q92/1000,"")</f>
        <v>0.115</v>
      </c>
    </row>
    <row r="93" spans="2:6" ht="12.75">
      <c r="B93" t="s">
        <v>481</v>
      </c>
      <c r="C93" t="str">
        <f>RSDTechsCE!B93</f>
        <v>R_ES-SH-SD_GAS02-BIOspl</v>
      </c>
      <c r="D93" s="85"/>
      <c r="E93" t="s">
        <v>482</v>
      </c>
      <c r="F93" s="90">
        <f>IFERROR(RSDTechsCE!Q93/1000,"")</f>
        <v>0.001</v>
      </c>
    </row>
    <row r="94" spans="2:6" ht="12.75">
      <c r="B94" t="s">
        <v>481</v>
      </c>
      <c r="C94" t="str">
        <f>RSDTechsCE!B94</f>
        <v>R_ES-SH-SD_BIO01</v>
      </c>
      <c r="D94" s="85"/>
      <c r="E94" t="s">
        <v>482</v>
      </c>
      <c r="F94" s="90">
        <f>IFERROR(RSDTechsCE!Q94/1000,"")</f>
        <v>0.4705882352941177</v>
      </c>
    </row>
    <row r="95" spans="2:6" ht="12.75">
      <c r="B95" t="s">
        <v>481</v>
      </c>
      <c r="C95" t="str">
        <f>RSDTechsCE!B95</f>
        <v>R_ES-SH-SD_ELC01</v>
      </c>
      <c r="D95" s="85"/>
      <c r="E95" t="s">
        <v>482</v>
      </c>
      <c r="F95" s="90">
        <f>IFERROR(RSDTechsCE!Q95/1000,"")</f>
        <v>0.01</v>
      </c>
    </row>
    <row r="96" spans="2:6" ht="12.75">
      <c r="B96" t="s">
        <v>481</v>
      </c>
      <c r="C96" t="str">
        <f>RSDTechsCE!B96</f>
        <v>R_ES-SH-SD_ELC02</v>
      </c>
      <c r="D96" s="85"/>
      <c r="E96" t="s">
        <v>482</v>
      </c>
      <c r="F96" s="90">
        <f>IFERROR(RSDTechsCE!Q96/1000,"")</f>
        <v>0.29999999999999999</v>
      </c>
    </row>
    <row r="97" spans="2:6" ht="12.75">
      <c r="B97" t="s">
        <v>481</v>
      </c>
      <c r="C97" t="str">
        <f>RSDTechsCE!B97</f>
        <v>R_ES-SH-SD_ELC02-ELCspl</v>
      </c>
      <c r="D97" s="85"/>
      <c r="E97" t="s">
        <v>482</v>
      </c>
      <c r="F97" s="90">
        <f>IFERROR(RSDTechsCE!Q97/1000,"")</f>
        <v>0.055</v>
      </c>
    </row>
    <row r="98" spans="2:6" ht="12.75">
      <c r="B98" t="s">
        <v>481</v>
      </c>
      <c r="C98" t="str">
        <f>RSDTechsCE!B98</f>
        <v>R_ES-SH-SD_ELC02-GASspl</v>
      </c>
      <c r="D98" s="85"/>
      <c r="E98" t="s">
        <v>482</v>
      </c>
      <c r="F98" s="90">
        <f>IFERROR(RSDTechsCE!Q98/1000,"")</f>
        <v>0.113</v>
      </c>
    </row>
    <row r="99" spans="2:6" ht="12.75">
      <c r="B99" t="s">
        <v>481</v>
      </c>
      <c r="C99" t="str">
        <f>RSDTechsCE!B99</f>
        <v>R_ES-SH-SD_ELC02-BIOspl</v>
      </c>
      <c r="D99" s="85"/>
      <c r="E99" t="s">
        <v>482</v>
      </c>
      <c r="F99" s="90">
        <f>IFERROR(RSDTechsCE!Q99/1000,"")</f>
        <v>0.13614999999999997</v>
      </c>
    </row>
    <row r="100" spans="2:6" ht="12.75">
      <c r="B100" t="s">
        <v>481</v>
      </c>
      <c r="C100" t="str">
        <f>RSDTechsCE!B100</f>
        <v>R_ES-SH-SD_ELC02-SOLspl</v>
      </c>
      <c r="D100" s="85"/>
      <c r="E100" t="s">
        <v>482</v>
      </c>
      <c r="F100" s="90">
        <f>IFERROR(RSDTechsCE!Q100/1000,"")</f>
        <v>0.060999999999999999</v>
      </c>
    </row>
    <row r="101" spans="2:6" ht="12.75">
      <c r="B101" t="s">
        <v>481</v>
      </c>
      <c r="C101" t="str">
        <f>RSDTechsCE!B101</f>
        <v>R_ES-SH-SD_ELC04</v>
      </c>
      <c r="D101" s="85"/>
      <c r="E101" t="s">
        <v>482</v>
      </c>
      <c r="F101" s="90">
        <f>IFERROR(RSDTechsCE!Q101/1000,"")</f>
        <v>0.246</v>
      </c>
    </row>
    <row r="102" spans="2:6" ht="12.75">
      <c r="B102" t="s">
        <v>481</v>
      </c>
      <c r="C102" t="str">
        <f>RSDTechsCE!B102</f>
        <v>R_ES-SH-SD_ELC05</v>
      </c>
      <c r="D102" s="85"/>
      <c r="E102" t="s">
        <v>482</v>
      </c>
      <c r="F102" s="90">
        <f>IFERROR(RSDTechsCE!Q102/1000,"")</f>
        <v>0.27060000000000001</v>
      </c>
    </row>
    <row r="103" spans="2:6" ht="12.75">
      <c r="B103" t="s">
        <v>481</v>
      </c>
      <c r="C103" t="str">
        <f>RSDTechsCE!B103</f>
        <v>R_ES-SH-SD_ELC06</v>
      </c>
      <c r="D103" s="85"/>
      <c r="E103" t="s">
        <v>482</v>
      </c>
      <c r="F103" s="90">
        <f>IFERROR(RSDTechsCE!Q103/1000,"")</f>
        <v>0.29999999999999999</v>
      </c>
    </row>
    <row r="104" spans="2:6" ht="12.75">
      <c r="B104" t="s">
        <v>481</v>
      </c>
      <c r="C104" t="str">
        <f>RSDTechsCE!B104</f>
        <v>R_ES-SH-SD_ELC07</v>
      </c>
      <c r="D104" s="85"/>
      <c r="E104" t="s">
        <v>482</v>
      </c>
      <c r="F104" s="90">
        <f>IFERROR(RSDTechsCE!Q104/1000,"")</f>
        <v>0.33000000000000002</v>
      </c>
    </row>
    <row r="105" spans="2:6" ht="12.75">
      <c r="B105" t="s">
        <v>481</v>
      </c>
      <c r="C105" t="str">
        <f>RSDTechsCE!B105</f>
        <v>R_ES-SH-SD_ELC08</v>
      </c>
      <c r="D105" s="85"/>
      <c r="E105" t="s">
        <v>482</v>
      </c>
      <c r="F105" s="90">
        <f>IFERROR(RSDTechsCE!Q105/1000,"")</f>
        <v>0.29999999999999999</v>
      </c>
    </row>
    <row r="106" spans="2:6" ht="12.75">
      <c r="B106" t="s">
        <v>481</v>
      </c>
      <c r="C106" t="str">
        <f>RSDTechsCE!B106</f>
        <v>R_ES-SH-SD_ELC09</v>
      </c>
      <c r="D106" s="85"/>
      <c r="E106" t="s">
        <v>482</v>
      </c>
      <c r="F106" s="90">
        <f>IFERROR(RSDTechsCE!Q106/1000,"")</f>
        <v>0.33000000000000002</v>
      </c>
    </row>
    <row r="107" spans="2:6" ht="12.75">
      <c r="B107" t="s">
        <v>481</v>
      </c>
      <c r="C107" t="str">
        <f>RSDTechsCE!B107</f>
        <v>R_ES-SH-SD_ELC10</v>
      </c>
      <c r="D107" s="85"/>
      <c r="E107" t="s">
        <v>482</v>
      </c>
      <c r="F107" s="90">
        <f>IFERROR(RSDTechsCE!Q107/1000,"")</f>
        <v>0.29999999999999999</v>
      </c>
    </row>
    <row r="108" spans="2:6" ht="12.75">
      <c r="B108" t="s">
        <v>481</v>
      </c>
      <c r="C108" t="str">
        <f>RSDTechsCE!B108</f>
        <v>R_ES-SH-SD_ELC11</v>
      </c>
      <c r="D108" s="85"/>
      <c r="E108" t="s">
        <v>482</v>
      </c>
      <c r="F108" s="90">
        <f>IFERROR(RSDTechsCE!Q108/1000,"")</f>
        <v>0.33000000000000002</v>
      </c>
    </row>
    <row r="109" spans="2:6" ht="12.75">
      <c r="B109" t="s">
        <v>481</v>
      </c>
      <c r="C109" t="str">
        <f>RSDTechsCE!B109</f>
        <v>R_ES-SH-SD_GAS03</v>
      </c>
      <c r="D109" s="85"/>
      <c r="E109" t="s">
        <v>482</v>
      </c>
      <c r="F109" s="90">
        <f>IFERROR(RSDTechsCE!Q109/1000,"")</f>
        <v>0.155</v>
      </c>
    </row>
    <row r="110" spans="2:6" ht="12.75">
      <c r="B110" t="s">
        <v>481</v>
      </c>
      <c r="C110" t="str">
        <f>RSDTechsCE!B110</f>
        <v>R_ES-SH-SD_GAS04</v>
      </c>
      <c r="D110" s="85"/>
      <c r="E110" t="s">
        <v>482</v>
      </c>
      <c r="F110" s="90">
        <f>IFERROR(RSDTechsCE!Q110/1000,"")</f>
        <v>0.17050000000000001</v>
      </c>
    </row>
    <row r="111" spans="2:6" ht="12.75">
      <c r="B111" t="s">
        <v>481</v>
      </c>
      <c r="C111" t="str">
        <f>RSDTechsCE!B111</f>
        <v>R_ES-SH-SD_GAS05</v>
      </c>
      <c r="D111" s="85"/>
      <c r="E111" t="s">
        <v>482</v>
      </c>
      <c r="F111" s="90">
        <f>IFERROR(RSDTechsCE!Q111/1000,"")</f>
        <v>0.27200000000000002</v>
      </c>
    </row>
    <row r="112" spans="2:6" ht="12.75">
      <c r="B112" t="s">
        <v>481</v>
      </c>
      <c r="C112" t="str">
        <f>RSDTechsCE!B112</f>
        <v>R_ES-SH-SD_GAS06</v>
      </c>
      <c r="D112" s="85"/>
      <c r="E112" t="s">
        <v>482</v>
      </c>
      <c r="F112" s="90">
        <f>IFERROR(RSDTechsCE!Q112/1000,"")</f>
        <v>0.29920000000000002</v>
      </c>
    </row>
    <row r="113" spans="2:6" ht="12.75">
      <c r="B113" t="s">
        <v>481</v>
      </c>
      <c r="C113" t="str">
        <f>RSDTechsCE!B113</f>
        <v>R_ES-SH-SD_GAS07</v>
      </c>
      <c r="D113" s="85"/>
      <c r="E113" t="s">
        <v>482</v>
      </c>
      <c r="F113" s="90">
        <f>IFERROR(RSDTechsCE!Q113/1000,"")</f>
        <v>0.13500000000000001</v>
      </c>
    </row>
    <row r="114" spans="2:6" ht="12.75">
      <c r="B114" t="s">
        <v>481</v>
      </c>
      <c r="C114" t="str">
        <f>RSDTechsCE!B114</f>
        <v>R_ES-SH-SD_GAS08</v>
      </c>
      <c r="D114" s="85"/>
      <c r="E114" t="s">
        <v>482</v>
      </c>
      <c r="F114" s="90">
        <f>IFERROR(RSDTechsCE!Q114/1000,"")</f>
        <v>0.14849999999999999</v>
      </c>
    </row>
    <row r="115" spans="2:6" ht="12.75">
      <c r="B115" t="s">
        <v>481</v>
      </c>
      <c r="C115" t="str">
        <f>RSDTechsCE!B115</f>
        <v>R_ES-CHP-SD_GAS01</v>
      </c>
      <c r="D115" s="85"/>
      <c r="E115" t="s">
        <v>482</v>
      </c>
      <c r="F115" s="90" t="str">
        <f>IFERROR(RSDTechsCE!Q115/1000,"")</f>
        <v/>
      </c>
    </row>
    <row r="116" spans="2:6" ht="12.75">
      <c r="B116" t="s">
        <v>481</v>
      </c>
      <c r="C116" t="str">
        <f>RSDTechsCE!B116</f>
        <v>R_ES-CHP-SD_OIL01</v>
      </c>
      <c r="D116" s="85"/>
      <c r="E116" t="s">
        <v>482</v>
      </c>
      <c r="F116" s="90" t="str">
        <f>IFERROR(RSDTechsCE!Q116/1000,"")</f>
        <v/>
      </c>
    </row>
    <row r="117" spans="2:6" ht="12.75">
      <c r="B117" t="s">
        <v>481</v>
      </c>
      <c r="C117" t="str">
        <f>RSDTechsCE!B117</f>
        <v>R_ES-CHP-SD_GAS02</v>
      </c>
      <c r="D117" s="85"/>
      <c r="E117" t="s">
        <v>482</v>
      </c>
      <c r="F117" s="90">
        <f>IFERROR(RSDTechsCE!Q117/1000,"")</f>
        <v>0.31</v>
      </c>
    </row>
    <row r="118" spans="2:6" ht="12.75">
      <c r="B118" t="s">
        <v>481</v>
      </c>
      <c r="C118" t="str">
        <f>RSDTechsCE!B118</f>
        <v>R_ES-CHP-SD_OIL02</v>
      </c>
      <c r="D118" s="85"/>
      <c r="E118" t="s">
        <v>482</v>
      </c>
      <c r="F118" s="90">
        <f>IFERROR(RSDTechsCE!Q118/1000,"")</f>
        <v>0.31</v>
      </c>
    </row>
    <row r="119" spans="2:6" ht="12.75">
      <c r="B119" t="s">
        <v>481</v>
      </c>
      <c r="C119" t="str">
        <f>RSDTechsCE!B119</f>
        <v>R_ES-CHP-SD_GAS03</v>
      </c>
      <c r="D119" s="85"/>
      <c r="E119" t="s">
        <v>482</v>
      </c>
      <c r="F119" s="90">
        <f>IFERROR(RSDTechsCE!Q119/1000,"")</f>
        <v>0.25</v>
      </c>
    </row>
    <row r="120" spans="2:6" ht="12.75">
      <c r="B120" t="s">
        <v>481</v>
      </c>
      <c r="C120" t="str">
        <f>RSDTechsCE!B120</f>
        <v>R_ES-CHP-SD_GAS04</v>
      </c>
      <c r="D120" s="85"/>
      <c r="E120" t="s">
        <v>482</v>
      </c>
      <c r="F120" s="90">
        <f>IFERROR(RSDTechsCE!Q120/1000,"")</f>
        <v>0.27400000000000002</v>
      </c>
    </row>
    <row r="121" spans="2:6" ht="12.75">
      <c r="B121" t="s">
        <v>481</v>
      </c>
      <c r="C121" t="str">
        <f>RSDTechsCE!B121</f>
        <v>R_ES-CHP-SD_HH201</v>
      </c>
      <c r="D121" s="85"/>
      <c r="E121" t="s">
        <v>482</v>
      </c>
      <c r="F121" s="90">
        <f>IFERROR(RSDTechsCE!Q121/1000,"")</f>
        <v>0.5</v>
      </c>
    </row>
    <row r="122" spans="2:6" ht="12.75">
      <c r="B122" t="s">
        <v>481</v>
      </c>
      <c r="C122" t="str">
        <f>RSDTechsCE!B122</f>
        <v>R_ES-CHP-SD-GASspl</v>
      </c>
      <c r="D122" s="85"/>
      <c r="E122" t="s">
        <v>482</v>
      </c>
      <c r="F122" s="90">
        <f>IFERROR(RSDTechsCE!Q122/1000,"")</f>
        <v>0.22600000000000001</v>
      </c>
    </row>
    <row r="123" spans="2:6" ht="12.75">
      <c r="B123" t="s">
        <v>481</v>
      </c>
      <c r="C123" t="str">
        <f>RSDTechsCE!B123</f>
        <v>R_ES-CHP-SD-OILspl</v>
      </c>
      <c r="D123" s="85"/>
      <c r="E123" t="s">
        <v>482</v>
      </c>
      <c r="F123" s="90">
        <f>IFERROR(RSDTechsCE!Q123/1000,"")</f>
        <v>0.185</v>
      </c>
    </row>
    <row r="124" spans="4:4" ht="12.75">
      <c r="D124" s="85"/>
    </row>
    <row r="125" spans="2:6" ht="15">
      <c r="B125" s="86" t="s">
        <v>476</v>
      </c>
      <c r="C125" s="87"/>
      <c r="D125" s="87"/>
      <c r="E125" s="86"/>
      <c r="F125" s="87"/>
    </row>
    <row r="126" spans="2:6" ht="15.75" thickBot="1">
      <c r="B126" s="88" t="s">
        <v>35</v>
      </c>
      <c r="C126" s="88" t="s">
        <v>397</v>
      </c>
      <c r="D126" s="88" t="s">
        <v>477</v>
      </c>
      <c r="E126" s="88" t="s">
        <v>478</v>
      </c>
      <c r="F126" s="89">
        <v>2011</v>
      </c>
    </row>
    <row r="127" spans="2:6" ht="12.75">
      <c r="B127" t="s">
        <v>481</v>
      </c>
      <c r="C127" t="str">
        <f>RSDTechsCE!B127</f>
        <v>R_ES-SH-FL_OIL01</v>
      </c>
      <c r="D127" s="85"/>
      <c r="E127" t="s">
        <v>482</v>
      </c>
      <c r="F127" s="90">
        <f>IFERROR(RSDTechsCE!Q127/1000,"")</f>
        <v>0.074999999999999997</v>
      </c>
    </row>
    <row r="128" spans="2:6" ht="12.75">
      <c r="B128" t="s">
        <v>481</v>
      </c>
      <c r="C128" t="str">
        <f>RSDTechsCE!B128</f>
        <v>R_ES-SH-FL_OIL02</v>
      </c>
      <c r="D128" s="85"/>
      <c r="E128" t="s">
        <v>482</v>
      </c>
      <c r="F128" s="90">
        <f>IFERROR(RSDTechsCE!Q128/1000,"")</f>
        <v>0.074999999999999997</v>
      </c>
    </row>
    <row r="129" spans="2:6" ht="12.75">
      <c r="B129" t="s">
        <v>481</v>
      </c>
      <c r="C129" t="str">
        <f>RSDTechsCE!B129</f>
        <v>R_ES-SH-FL_OIL02-SOLspl</v>
      </c>
      <c r="D129" s="85"/>
      <c r="E129" t="s">
        <v>482</v>
      </c>
      <c r="F129" s="90">
        <f>IFERROR(RSDTechsCE!Q129/1000,"")</f>
        <v>0.038333333333333337</v>
      </c>
    </row>
    <row r="130" spans="2:6" ht="12.75">
      <c r="B130" t="s">
        <v>481</v>
      </c>
      <c r="C130" t="str">
        <f>RSDTechsCE!B130</f>
        <v>R_ES-SH-FL_OIL02-BIOspl</v>
      </c>
      <c r="D130" s="85"/>
      <c r="E130" t="s">
        <v>482</v>
      </c>
      <c r="F130" s="90">
        <f>IFERROR(RSDTechsCE!Q130/1000,"")</f>
        <v>0.001</v>
      </c>
    </row>
    <row r="131" spans="2:6" ht="12.75">
      <c r="B131" t="s">
        <v>481</v>
      </c>
      <c r="C131" t="str">
        <f>RSDTechsCE!B131</f>
        <v>R_ES-SH-FL_GAS01</v>
      </c>
      <c r="D131" s="85"/>
      <c r="E131" t="s">
        <v>482</v>
      </c>
      <c r="F131" s="90">
        <f>IFERROR(RSDTechsCE!Q131/1000,"")</f>
        <v>0.22</v>
      </c>
    </row>
    <row r="132" spans="2:6" ht="12.75">
      <c r="B132" t="s">
        <v>481</v>
      </c>
      <c r="C132" t="str">
        <f>RSDTechsCE!B132</f>
        <v>R_ES-SH-FL_GAS02</v>
      </c>
      <c r="D132" s="85"/>
      <c r="E132" t="s">
        <v>482</v>
      </c>
      <c r="F132" s="90">
        <f>IFERROR(RSDTechsCE!Q132/1000,"")</f>
        <v>0.22</v>
      </c>
    </row>
    <row r="133" spans="2:6" ht="12.75">
      <c r="B133" t="s">
        <v>481</v>
      </c>
      <c r="C133" t="str">
        <f>RSDTechsCE!B133</f>
        <v>R_ES-SH-FL_GAS01-SOLspl</v>
      </c>
      <c r="D133" s="85"/>
      <c r="E133" t="s">
        <v>482</v>
      </c>
      <c r="F133" s="90">
        <f>IFERROR(RSDTechsCE!Q133/1000,"")</f>
        <v>0.038333333333333337</v>
      </c>
    </row>
    <row r="134" spans="2:6" ht="12.75">
      <c r="B134" t="s">
        <v>481</v>
      </c>
      <c r="C134" t="str">
        <f>RSDTechsCE!B134</f>
        <v>R_ES-SH-FL_GAS01-BIOspl</v>
      </c>
      <c r="D134" s="85"/>
      <c r="E134" t="s">
        <v>482</v>
      </c>
      <c r="F134" s="90">
        <f>IFERROR(RSDTechsCE!Q134/1000,"")</f>
        <v>0.001</v>
      </c>
    </row>
    <row r="135" spans="2:6" ht="12.75">
      <c r="B135" t="s">
        <v>481</v>
      </c>
      <c r="C135" t="str">
        <f>RSDTechsCE!B135</f>
        <v>R_ES-SH-FL_BIO01</v>
      </c>
      <c r="D135" s="85"/>
      <c r="E135" t="s">
        <v>482</v>
      </c>
      <c r="F135" s="90">
        <f>IFERROR(RSDTechsCE!Q135/1000,"")</f>
        <v>0.125</v>
      </c>
    </row>
    <row r="136" spans="2:6" ht="12.75">
      <c r="B136" t="s">
        <v>481</v>
      </c>
      <c r="C136" t="str">
        <f>RSDTechsCE!B136</f>
        <v>R_ES-SH-FL_ELC01</v>
      </c>
      <c r="D136" s="85"/>
      <c r="E136" t="s">
        <v>482</v>
      </c>
      <c r="F136" s="90">
        <f>IFERROR(RSDTechsCE!Q136/1000,"")</f>
        <v>0.0001</v>
      </c>
    </row>
    <row r="137" spans="2:6" ht="12.75">
      <c r="B137" t="s">
        <v>481</v>
      </c>
      <c r="C137" t="str">
        <f>RSDTechsCE!B137</f>
        <v>R_ES-SH-FL_ELC02</v>
      </c>
      <c r="D137" s="85"/>
      <c r="E137" t="s">
        <v>482</v>
      </c>
      <c r="F137" s="90">
        <f>IFERROR(RSDTechsCE!Q137/1000,"")</f>
        <v>0.32500000000000001</v>
      </c>
    </row>
    <row r="138" spans="2:6" ht="12.75">
      <c r="B138" t="s">
        <v>481</v>
      </c>
      <c r="C138" t="str">
        <f>RSDTechsCE!B138</f>
        <v>R_ES-SH-FL_ELC02-ELCspl</v>
      </c>
      <c r="D138" s="85"/>
      <c r="E138" t="s">
        <v>482</v>
      </c>
      <c r="F138" s="90">
        <f>IFERROR(RSDTechsCE!Q138/1000,"")</f>
        <v>0.0001</v>
      </c>
    </row>
    <row r="139" spans="2:6" ht="12.75">
      <c r="B139" t="s">
        <v>481</v>
      </c>
      <c r="C139" t="str">
        <f>RSDTechsCE!B139</f>
        <v>R_ES-SH-FL_ELC02-GASspl</v>
      </c>
      <c r="D139" s="85"/>
      <c r="E139" t="s">
        <v>482</v>
      </c>
      <c r="F139" s="90">
        <f>IFERROR(RSDTechsCE!Q139/1000,"")</f>
        <v>0.19</v>
      </c>
    </row>
    <row r="140" spans="2:6" ht="12.75">
      <c r="B140" t="s">
        <v>481</v>
      </c>
      <c r="C140" t="str">
        <f>RSDTechsCE!B140</f>
        <v>R_ES-SH-FL_ELC02-BIOspl</v>
      </c>
      <c r="D140" s="85"/>
      <c r="E140" t="s">
        <v>482</v>
      </c>
      <c r="F140" s="90">
        <f>IFERROR(RSDTechsCE!Q140/1000,"")</f>
        <v>0.20000000000000001</v>
      </c>
    </row>
    <row r="141" spans="2:6" ht="12.75">
      <c r="B141" t="s">
        <v>481</v>
      </c>
      <c r="C141" t="str">
        <f>RSDTechsCE!B141</f>
        <v>R_ES-SH-FL_ELC02-SOLspl</v>
      </c>
      <c r="D141" s="85"/>
      <c r="E141" t="s">
        <v>482</v>
      </c>
      <c r="F141" s="90">
        <f>IFERROR(RSDTechsCE!Q141/1000,"")</f>
        <v>0.038333333333333337</v>
      </c>
    </row>
    <row r="142" spans="2:6" ht="12.75">
      <c r="B142" t="s">
        <v>481</v>
      </c>
      <c r="C142" t="str">
        <f>RSDTechsCE!B142</f>
        <v>R_ES-SH-FL_ELC04</v>
      </c>
      <c r="D142" s="85"/>
      <c r="E142" t="s">
        <v>482</v>
      </c>
      <c r="F142" s="90">
        <f>IFERROR(RSDTechsCE!Q142/1000,"")</f>
        <v>0.014999999999999999</v>
      </c>
    </row>
    <row r="143" spans="2:6" ht="12.75">
      <c r="B143" t="s">
        <v>481</v>
      </c>
      <c r="C143" t="str">
        <f>RSDTechsCE!B143</f>
        <v>R_ES-SH-FL_ELC05</v>
      </c>
      <c r="D143" s="85"/>
      <c r="E143" t="s">
        <v>482</v>
      </c>
      <c r="F143" s="90">
        <f>IFERROR(RSDTechsCE!Q143/1000,"")</f>
        <v>0.016500000000000001</v>
      </c>
    </row>
    <row r="144" spans="2:6" ht="12.75">
      <c r="B144" t="s">
        <v>481</v>
      </c>
      <c r="C144" t="str">
        <f>RSDTechsCE!B144</f>
        <v>R_ES-SH-FL_ELC06</v>
      </c>
      <c r="D144" s="85"/>
      <c r="E144" t="s">
        <v>482</v>
      </c>
      <c r="F144" s="90">
        <f>IFERROR(RSDTechsCE!Q144/1000,"")</f>
        <v>0.050000000000000003</v>
      </c>
    </row>
    <row r="145" spans="2:6" ht="12.75">
      <c r="B145" t="s">
        <v>481</v>
      </c>
      <c r="C145" t="str">
        <f>RSDTechsCE!B145</f>
        <v>R_ES-SH-FL_ELC07</v>
      </c>
      <c r="D145" s="85"/>
      <c r="E145" t="s">
        <v>482</v>
      </c>
      <c r="F145" s="90">
        <f>IFERROR(RSDTechsCE!Q145/1000,"")</f>
        <v>0.055000000000000007</v>
      </c>
    </row>
    <row r="146" spans="2:6" ht="12.75">
      <c r="B146" t="s">
        <v>481</v>
      </c>
      <c r="C146" t="str">
        <f>RSDTechsCE!B146</f>
        <v>R_ES-SH-FL_ELC08</v>
      </c>
      <c r="D146" s="85"/>
      <c r="E146" t="s">
        <v>482</v>
      </c>
      <c r="F146" s="90">
        <f>IFERROR(RSDTechsCE!Q146/1000,"")</f>
        <v>0.0035714285714285718</v>
      </c>
    </row>
    <row r="147" spans="2:6" ht="12.75">
      <c r="B147" t="s">
        <v>481</v>
      </c>
      <c r="C147" t="str">
        <f>RSDTechsCE!B147</f>
        <v>R_ES-SH-FL_ELC09</v>
      </c>
      <c r="D147" s="85"/>
      <c r="E147" t="s">
        <v>482</v>
      </c>
      <c r="F147" s="90">
        <f>IFERROR(RSDTechsCE!Q147/1000,"")</f>
        <v>0.0039285714285714288</v>
      </c>
    </row>
    <row r="148" spans="2:6" ht="12.75">
      <c r="B148" t="s">
        <v>481</v>
      </c>
      <c r="C148" t="str">
        <f>RSDTechsCE!B148</f>
        <v>R_ES-SH-FL_ELC10</v>
      </c>
      <c r="D148" s="85"/>
      <c r="E148" t="s">
        <v>482</v>
      </c>
      <c r="F148" s="90">
        <f>IFERROR(RSDTechsCE!Q148/1000,"")</f>
        <v>0.050000000000000003</v>
      </c>
    </row>
    <row r="149" spans="2:6" ht="12.75">
      <c r="B149" t="s">
        <v>481</v>
      </c>
      <c r="C149" t="str">
        <f>RSDTechsCE!B149</f>
        <v>R_ES-SH-FL_ELC11</v>
      </c>
      <c r="D149" s="85"/>
      <c r="E149" t="s">
        <v>482</v>
      </c>
      <c r="F149" s="90">
        <f>IFERROR(RSDTechsCE!Q149/1000,"")</f>
        <v>0.055000000000000007</v>
      </c>
    </row>
    <row r="150" spans="2:6" ht="12.75">
      <c r="B150" t="s">
        <v>481</v>
      </c>
      <c r="C150" t="str">
        <f>RSDTechsCE!B150</f>
        <v>R_ES-SH-FL_GAS03</v>
      </c>
      <c r="D150" s="85"/>
      <c r="E150" t="s">
        <v>482</v>
      </c>
      <c r="F150" s="90">
        <f>IFERROR(RSDTechsCE!Q150/1000,"")</f>
        <v>0.024</v>
      </c>
    </row>
    <row r="151" spans="2:6" ht="12.75">
      <c r="B151" t="s">
        <v>481</v>
      </c>
      <c r="C151" t="str">
        <f>RSDTechsCE!B151</f>
        <v>R_ES-SH-FL_GAS04</v>
      </c>
      <c r="D151" s="85"/>
      <c r="E151" t="s">
        <v>482</v>
      </c>
      <c r="F151" s="90">
        <f>IFERROR(RSDTechsCE!Q151/1000,"")</f>
        <v>0.0264</v>
      </c>
    </row>
    <row r="152" spans="2:6" ht="12.75">
      <c r="B152" t="s">
        <v>481</v>
      </c>
      <c r="C152" t="str">
        <f>RSDTechsCE!B152</f>
        <v>R_ES-SH-FL_GAS05</v>
      </c>
      <c r="D152" s="85"/>
      <c r="E152" t="s">
        <v>482</v>
      </c>
      <c r="F152" s="90">
        <f>IFERROR(RSDTechsCE!Q152/1000,"")</f>
        <v>0.18133333333333335</v>
      </c>
    </row>
    <row r="153" spans="2:6" ht="12.75">
      <c r="B153" t="s">
        <v>481</v>
      </c>
      <c r="C153" t="str">
        <f>RSDTechsCE!B153</f>
        <v>R_ES-SH-FL_GAS06</v>
      </c>
      <c r="D153" s="85"/>
      <c r="E153" t="s">
        <v>482</v>
      </c>
      <c r="F153" s="90">
        <f>IFERROR(RSDTechsCE!Q153/1000,"")</f>
        <v>0.19946666666666671</v>
      </c>
    </row>
    <row r="154" spans="2:6" ht="12.75">
      <c r="B154" t="s">
        <v>481</v>
      </c>
      <c r="C154" t="str">
        <f>RSDTechsCE!B154</f>
        <v>R_ES-SH-FL_GAS07</v>
      </c>
      <c r="D154" s="85"/>
      <c r="E154" t="s">
        <v>482</v>
      </c>
      <c r="F154" s="90">
        <f>IFERROR(RSDTechsCE!Q154/1000,"")</f>
        <v>0.089999999999999997</v>
      </c>
    </row>
    <row r="155" spans="2:6" ht="12.75">
      <c r="B155" t="s">
        <v>481</v>
      </c>
      <c r="C155" t="str">
        <f>RSDTechsCE!B155</f>
        <v>R_ES-SH-FL_GAS08</v>
      </c>
      <c r="D155" s="85"/>
      <c r="E155" t="s">
        <v>482</v>
      </c>
      <c r="F155" s="90">
        <f>IFERROR(RSDTechsCE!Q155/1000,"")</f>
        <v>0.099000000000000019</v>
      </c>
    </row>
    <row r="156" spans="2:6" ht="12.75">
      <c r="B156" t="s">
        <v>481</v>
      </c>
      <c r="C156" t="str">
        <f>RSDTechsCE!B156</f>
        <v>R_ES-CHP-FL_GAS01</v>
      </c>
      <c r="D156" s="85"/>
      <c r="E156" t="s">
        <v>482</v>
      </c>
      <c r="F156" s="90">
        <f>IFERROR(RSDTechsCE!Q156/1000,"")</f>
        <v>0</v>
      </c>
    </row>
    <row r="157" spans="2:6" ht="12.75">
      <c r="B157" t="s">
        <v>481</v>
      </c>
      <c r="C157" t="str">
        <f>RSDTechsCE!B157</f>
        <v>R_ES-CHP-FL_OIL01</v>
      </c>
      <c r="D157" s="85"/>
      <c r="E157" t="s">
        <v>482</v>
      </c>
      <c r="F157" s="90">
        <f>IFERROR(RSDTechsCE!Q157/1000,"")</f>
        <v>0</v>
      </c>
    </row>
    <row r="158" spans="2:6" ht="12.75">
      <c r="B158" t="s">
        <v>481</v>
      </c>
      <c r="C158" t="str">
        <f>RSDTechsCE!B158</f>
        <v>R_ES-CHP-FL_GAS02</v>
      </c>
      <c r="D158" s="85"/>
      <c r="E158" t="s">
        <v>482</v>
      </c>
      <c r="F158" s="90">
        <f>IFERROR(RSDTechsCE!Q158/1000,"")</f>
        <v>0</v>
      </c>
    </row>
    <row r="159" spans="2:6" ht="12.75">
      <c r="B159" t="s">
        <v>481</v>
      </c>
      <c r="C159" t="str">
        <f>RSDTechsCE!B159</f>
        <v>R_ES-CHP-FL_OIL02</v>
      </c>
      <c r="D159" s="85"/>
      <c r="E159" t="s">
        <v>482</v>
      </c>
      <c r="F159" s="90">
        <f>IFERROR(RSDTechsCE!Q159/1000,"")</f>
        <v>0.20666666666666667</v>
      </c>
    </row>
    <row r="160" spans="2:6" ht="12.75">
      <c r="B160" t="s">
        <v>481</v>
      </c>
      <c r="C160" t="str">
        <f>RSDTechsCE!B160</f>
        <v>R_ES-CHP-FL_GAS03</v>
      </c>
      <c r="D160" s="85"/>
      <c r="E160" t="s">
        <v>482</v>
      </c>
      <c r="F160" s="90">
        <f>IFERROR(RSDTechsCE!Q160/1000,"")</f>
        <v>0</v>
      </c>
    </row>
    <row r="161" spans="2:6" ht="12.75">
      <c r="B161" t="s">
        <v>481</v>
      </c>
      <c r="C161" t="str">
        <f>RSDTechsCE!B161</f>
        <v>R_ES-CHP-FL_GAS04</v>
      </c>
      <c r="D161" s="85"/>
      <c r="E161" t="s">
        <v>482</v>
      </c>
      <c r="F161" s="90">
        <f>IFERROR(RSDTechsCE!Q161/1000,"")</f>
        <v>0.18266666666666664</v>
      </c>
    </row>
    <row r="162" spans="2:6" ht="12.75">
      <c r="B162" t="s">
        <v>481</v>
      </c>
      <c r="C162" t="str">
        <f>RSDTechsCE!B162</f>
        <v>R_ES-CHP-FL_HH201</v>
      </c>
      <c r="D162" s="85"/>
      <c r="E162" t="s">
        <v>482</v>
      </c>
      <c r="F162" s="90">
        <f>IFERROR(RSDTechsCE!Q162/1000,"")</f>
        <v>0.5</v>
      </c>
    </row>
    <row r="163" spans="2:6" ht="12.75">
      <c r="B163" t="s">
        <v>481</v>
      </c>
      <c r="C163" t="str">
        <f>RSDTechsCE!B163</f>
        <v>R_ES-CHP-FL-GASspl</v>
      </c>
      <c r="D163" s="85"/>
      <c r="E163" t="s">
        <v>482</v>
      </c>
      <c r="F163" s="90">
        <f>IFERROR(RSDTechsCE!Q163/1000,"")</f>
        <v>0.22</v>
      </c>
    </row>
    <row r="164" spans="2:6" ht="12.75">
      <c r="B164" t="s">
        <v>481</v>
      </c>
      <c r="C164" t="str">
        <f>RSDTechsCE!B164</f>
        <v>R_ES-CHP-FL-OILspl</v>
      </c>
      <c r="D164" s="85"/>
      <c r="E164" t="s">
        <v>482</v>
      </c>
      <c r="F164" s="90">
        <f>IFERROR(RSDTechsCE!Q164/1000,"")</f>
        <v>0.023125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249899998307228"/>
  </sheetPr>
  <dimension ref="A1:AT164"/>
  <sheetViews>
    <sheetView zoomScale="85" zoomScaleNormal="85" workbookViewId="0" topLeftCell="A1">
      <pane xSplit="2" ySplit="2" topLeftCell="C3" activePane="bottomRight" state="frozen"/>
      <selection pane="topLeft" activeCell="M19" sqref="M19"/>
      <selection pane="bottomLeft" activeCell="M19" sqref="M19"/>
      <selection pane="topRight" activeCell="M19" sqref="M19"/>
      <selection pane="bottomRight" activeCell="H38" sqref="H38"/>
    </sheetView>
  </sheetViews>
  <sheetFormatPr defaultColWidth="9.14428571428571" defaultRowHeight="14.25"/>
  <cols>
    <col min="1" max="1" width="11.7142857142857" style="93" customWidth="1"/>
    <col min="2" max="2" width="30" style="93" customWidth="1"/>
    <col min="3" max="3" width="55.1428571428571" style="93" customWidth="1"/>
    <col min="4" max="4" width="8.85714285714286" style="93" customWidth="1"/>
    <col min="5" max="5" width="75.5714285714286" style="93" hidden="1" customWidth="1"/>
    <col min="6" max="6" width="25.1428571428571" style="93" customWidth="1"/>
    <col min="7" max="7" width="8.71428571428571" style="93" customWidth="1"/>
    <col min="8" max="8" width="46.8571428571429" style="93" customWidth="1"/>
    <col min="9" max="9" width="19.2857142857143" style="93" hidden="1" customWidth="1"/>
    <col min="10" max="10" width="48" style="93" hidden="1" customWidth="1"/>
    <col min="11" max="16" width="11.8571428571429" style="93" customWidth="1"/>
    <col min="17" max="18" width="9" style="93" customWidth="1"/>
    <col min="19" max="23" width="7.28571428571429" style="93" customWidth="1"/>
    <col min="24" max="34" width="7.14285714285714" style="93" customWidth="1"/>
    <col min="35" max="37" width="7.71428571428571" style="93" customWidth="1"/>
    <col min="38" max="39" width="9.85714285714286" style="93" customWidth="1"/>
    <col min="40" max="40" width="7.85714285714286" style="93" customWidth="1"/>
    <col min="41" max="43" width="9.85714285714286" style="93" customWidth="1"/>
    <col min="44" max="45" width="10.1428571428571" style="93" customWidth="1"/>
    <col min="46" max="46" width="53.2857142857143" style="93" customWidth="1"/>
    <col min="47" max="16384" width="9.14285714285714" style="93"/>
  </cols>
  <sheetData>
    <row r="1" spans="1:12" ht="20.25">
      <c r="A1" s="92" t="s">
        <v>483</v>
      </c>
      <c r="B1" s="92"/>
      <c r="C1" s="92"/>
      <c r="D1" s="92"/>
      <c r="H1" s="94"/>
      <c r="L1" s="95"/>
    </row>
    <row r="2" spans="1:46" s="103" customFormat="1" ht="28.5" customHeight="1">
      <c r="A2" s="96" t="s">
        <v>484</v>
      </c>
      <c r="B2" s="96" t="s">
        <v>485</v>
      </c>
      <c r="C2" s="96" t="s">
        <v>486</v>
      </c>
      <c r="D2" s="96" t="s">
        <v>487</v>
      </c>
      <c r="E2" s="96" t="s">
        <v>488</v>
      </c>
      <c r="F2" s="97" t="s">
        <v>489</v>
      </c>
      <c r="G2" s="97" t="s">
        <v>490</v>
      </c>
      <c r="H2" s="97" t="s">
        <v>491</v>
      </c>
      <c r="I2" s="97" t="s">
        <v>492</v>
      </c>
      <c r="J2" s="97" t="s">
        <v>493</v>
      </c>
      <c r="K2" s="98" t="s">
        <v>494</v>
      </c>
      <c r="L2" s="99" t="s">
        <v>495</v>
      </c>
      <c r="M2" s="99" t="s">
        <v>496</v>
      </c>
      <c r="N2" s="99" t="s">
        <v>497</v>
      </c>
      <c r="O2" s="99" t="s">
        <v>498</v>
      </c>
      <c r="P2" s="99" t="s">
        <v>499</v>
      </c>
      <c r="Q2" s="99" t="s">
        <v>500</v>
      </c>
      <c r="R2" s="99" t="s">
        <v>501</v>
      </c>
      <c r="S2" s="98" t="s">
        <v>29</v>
      </c>
      <c r="T2" s="98" t="s">
        <v>502</v>
      </c>
      <c r="U2" s="98" t="s">
        <v>503</v>
      </c>
      <c r="V2" s="98" t="s">
        <v>504</v>
      </c>
      <c r="W2" s="98" t="s">
        <v>505</v>
      </c>
      <c r="X2" s="98" t="s">
        <v>506</v>
      </c>
      <c r="Y2" s="98" t="s">
        <v>507</v>
      </c>
      <c r="Z2" s="98" t="s">
        <v>508</v>
      </c>
      <c r="AA2" s="98" t="s">
        <v>509</v>
      </c>
      <c r="AB2" s="98" t="s">
        <v>510</v>
      </c>
      <c r="AC2" s="98" t="s">
        <v>511</v>
      </c>
      <c r="AD2" s="98" t="s">
        <v>512</v>
      </c>
      <c r="AE2" s="98" t="s">
        <v>513</v>
      </c>
      <c r="AF2" s="98" t="s">
        <v>514</v>
      </c>
      <c r="AG2" s="98" t="s">
        <v>515</v>
      </c>
      <c r="AH2" s="98" t="s">
        <v>516</v>
      </c>
      <c r="AI2" s="98" t="s">
        <v>517</v>
      </c>
      <c r="AJ2" s="98" t="s">
        <v>518</v>
      </c>
      <c r="AK2" s="98" t="s">
        <v>519</v>
      </c>
      <c r="AL2" s="98" t="s">
        <v>520</v>
      </c>
      <c r="AM2" s="98" t="s">
        <v>521</v>
      </c>
      <c r="AN2" s="98" t="s">
        <v>522</v>
      </c>
      <c r="AO2" s="100" t="s">
        <v>523</v>
      </c>
      <c r="AP2" s="100" t="s">
        <v>524</v>
      </c>
      <c r="AQ2" s="101" t="s">
        <v>525</v>
      </c>
      <c r="AR2" s="98" t="s">
        <v>526</v>
      </c>
      <c r="AS2" s="98" t="s">
        <v>527</v>
      </c>
      <c r="AT2" s="102"/>
    </row>
    <row r="3" spans="1:46" ht="14.25">
      <c r="A3" s="104" t="s">
        <v>528</v>
      </c>
      <c r="B3" s="104"/>
      <c r="C3" s="104"/>
      <c r="D3" s="104"/>
      <c r="E3" s="105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6"/>
      <c r="AS3" s="106"/>
      <c r="AT3" s="106"/>
    </row>
    <row r="4" spans="1:46" ht="14.25">
      <c r="A4" s="102" t="s">
        <v>529</v>
      </c>
      <c r="B4" s="106" t="s">
        <v>440</v>
      </c>
      <c r="C4" s="102" t="s">
        <v>530</v>
      </c>
      <c r="D4" s="102" t="s">
        <v>531</v>
      </c>
      <c r="E4" s="107" t="s">
        <v>532</v>
      </c>
      <c r="F4" s="106" t="s">
        <v>533</v>
      </c>
      <c r="G4" s="106"/>
      <c r="H4" s="106" t="s">
        <v>534</v>
      </c>
      <c r="I4" s="106" t="s">
        <v>442</v>
      </c>
      <c r="J4" s="106" t="s">
        <v>535</v>
      </c>
      <c r="K4" s="108">
        <v>20</v>
      </c>
      <c r="L4" s="109">
        <v>5527</v>
      </c>
      <c r="M4" s="109">
        <v>5527</v>
      </c>
      <c r="N4" s="109">
        <v>5527</v>
      </c>
      <c r="O4" s="109">
        <v>5527</v>
      </c>
      <c r="P4" s="109">
        <v>5527</v>
      </c>
      <c r="Q4" s="109">
        <v>185</v>
      </c>
      <c r="R4" s="109"/>
      <c r="S4" s="110">
        <v>0.84595205954248598</v>
      </c>
      <c r="T4" s="110">
        <v>0.84595205954248598</v>
      </c>
      <c r="U4" s="110">
        <v>0.84595205954248598</v>
      </c>
      <c r="V4" s="110">
        <v>0.84595205954248598</v>
      </c>
      <c r="W4" s="110">
        <v>0.84595205954248598</v>
      </c>
      <c r="X4" s="106"/>
      <c r="Y4" s="110"/>
      <c r="Z4" s="110"/>
      <c r="AA4" s="110"/>
      <c r="AB4" s="110"/>
      <c r="AC4" s="110"/>
      <c r="AD4" s="108"/>
      <c r="AE4" s="111">
        <v>1</v>
      </c>
      <c r="AF4" s="110">
        <v>1</v>
      </c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</row>
    <row r="5" spans="1:46" ht="14.25">
      <c r="A5" s="106" t="s">
        <v>529</v>
      </c>
      <c r="B5" s="106" t="s">
        <v>441</v>
      </c>
      <c r="C5" s="102" t="s">
        <v>536</v>
      </c>
      <c r="D5" s="102" t="s">
        <v>531</v>
      </c>
      <c r="E5" s="107" t="str">
        <f>E4</f>
        <v>HOB-oil</v>
      </c>
      <c r="F5" s="106" t="s">
        <v>533</v>
      </c>
      <c r="G5" s="106"/>
      <c r="H5" s="106" t="s">
        <v>534</v>
      </c>
      <c r="I5" s="102" t="s">
        <v>443</v>
      </c>
      <c r="J5" s="102" t="s">
        <v>537</v>
      </c>
      <c r="K5" s="112">
        <v>20</v>
      </c>
      <c r="L5" s="113">
        <f t="shared" si="0" ref="L5:W5">L4</f>
        <v>5527</v>
      </c>
      <c r="M5" s="113">
        <f t="shared" si="0"/>
        <v>5527</v>
      </c>
      <c r="N5" s="113">
        <f t="shared" si="0"/>
        <v>5527</v>
      </c>
      <c r="O5" s="113">
        <f t="shared" si="0"/>
        <v>5527</v>
      </c>
      <c r="P5" s="113">
        <f t="shared" si="0"/>
        <v>5527</v>
      </c>
      <c r="Q5" s="113">
        <f t="shared" si="0"/>
        <v>185</v>
      </c>
      <c r="R5" s="113"/>
      <c r="S5" s="110">
        <f t="shared" si="0"/>
        <v>0.84595205954248598</v>
      </c>
      <c r="T5" s="110">
        <f t="shared" si="0"/>
        <v>0.84595205954248598</v>
      </c>
      <c r="U5" s="110">
        <f t="shared" si="0"/>
        <v>0.84595205954248598</v>
      </c>
      <c r="V5" s="110">
        <f t="shared" si="0"/>
        <v>0.84595205954248598</v>
      </c>
      <c r="W5" s="110">
        <f t="shared" si="0"/>
        <v>0.84595205954248598</v>
      </c>
      <c r="X5" s="106"/>
      <c r="Y5" s="102"/>
      <c r="Z5" s="102"/>
      <c r="AA5" s="102"/>
      <c r="AB5" s="102"/>
      <c r="AC5" s="102"/>
      <c r="AD5" s="112"/>
      <c r="AE5" s="110"/>
      <c r="AF5" s="110"/>
      <c r="AG5" s="102"/>
      <c r="AH5" s="102"/>
      <c r="AI5" s="102"/>
      <c r="AJ5" s="102"/>
      <c r="AK5" s="102"/>
      <c r="AL5" s="102"/>
      <c r="AM5" s="102"/>
      <c r="AN5" s="102"/>
      <c r="AO5" s="106"/>
      <c r="AP5" s="106"/>
      <c r="AQ5" s="106"/>
      <c r="AR5" s="106"/>
      <c r="AS5" s="106"/>
      <c r="AT5" s="106"/>
    </row>
    <row r="6" spans="1:46" ht="14.25">
      <c r="A6" s="114" t="s">
        <v>538</v>
      </c>
      <c r="B6" s="106" t="str">
        <f>B5&amp;"-"&amp;RIGHT(F6,3)&amp;"spl"</f>
        <v>R_ES-SH-DH_OIL02-SOLspl</v>
      </c>
      <c r="C6" s="106" t="s">
        <v>539</v>
      </c>
      <c r="D6" s="106" t="s">
        <v>531</v>
      </c>
      <c r="E6" s="107" t="s">
        <v>540</v>
      </c>
      <c r="F6" s="106" t="s">
        <v>541</v>
      </c>
      <c r="G6" s="106"/>
      <c r="H6" s="106" t="s">
        <v>534</v>
      </c>
      <c r="I6" s="102"/>
      <c r="J6" s="102"/>
      <c r="K6" s="112">
        <v>20</v>
      </c>
      <c r="L6" s="113">
        <v>6294</v>
      </c>
      <c r="M6" s="113">
        <v>6000.36</v>
      </c>
      <c r="N6" s="113">
        <v>5755.66</v>
      </c>
      <c r="O6" s="113">
        <v>4678.9799999999996</v>
      </c>
      <c r="P6" s="113">
        <v>4678.9799999999996</v>
      </c>
      <c r="Q6" s="113">
        <v>115</v>
      </c>
      <c r="R6" s="102"/>
      <c r="S6" s="115">
        <v>1</v>
      </c>
      <c r="T6" s="115"/>
      <c r="U6" s="115"/>
      <c r="V6" s="115"/>
      <c r="W6" s="115"/>
      <c r="X6" s="106"/>
      <c r="Y6" s="102"/>
      <c r="Z6" s="102"/>
      <c r="AA6" s="102"/>
      <c r="AB6" s="102"/>
      <c r="AC6" s="102"/>
      <c r="AD6" s="112"/>
      <c r="AE6" s="111">
        <v>0.15</v>
      </c>
      <c r="AF6" s="110">
        <v>0.15</v>
      </c>
      <c r="AG6" s="102"/>
      <c r="AH6" s="102"/>
      <c r="AI6" s="102"/>
      <c r="AJ6" s="102"/>
      <c r="AK6" s="102"/>
      <c r="AL6" s="102"/>
      <c r="AM6" s="102"/>
      <c r="AN6" s="102"/>
      <c r="AO6" s="106" t="s">
        <v>542</v>
      </c>
      <c r="AP6" s="106"/>
      <c r="AQ6" s="106" t="s">
        <v>543</v>
      </c>
      <c r="AR6" s="106"/>
      <c r="AS6" s="106"/>
      <c r="AT6" s="106"/>
    </row>
    <row r="7" spans="1:46" ht="14.25">
      <c r="A7" s="114" t="s">
        <v>538</v>
      </c>
      <c r="B7" s="106" t="str">
        <f>B5&amp;"-"&amp;RIGHT(F7,3)&amp;"spl"</f>
        <v>R_ES-SH-DH_OIL02-BIOspl</v>
      </c>
      <c r="C7" s="106" t="s">
        <v>544</v>
      </c>
      <c r="D7" s="106" t="s">
        <v>531</v>
      </c>
      <c r="E7" s="107" t="s">
        <v>545</v>
      </c>
      <c r="F7" s="106" t="s">
        <v>546</v>
      </c>
      <c r="G7" s="106"/>
      <c r="H7" s="106" t="s">
        <v>58</v>
      </c>
      <c r="I7" s="102"/>
      <c r="J7" s="102"/>
      <c r="K7" s="112">
        <v>20</v>
      </c>
      <c r="L7" s="109">
        <v>4200</v>
      </c>
      <c r="M7" s="109">
        <v>4200</v>
      </c>
      <c r="N7" s="109">
        <v>5100</v>
      </c>
      <c r="O7" s="109">
        <v>5100</v>
      </c>
      <c r="P7" s="109">
        <v>5100</v>
      </c>
      <c r="Q7" s="109">
        <v>1</v>
      </c>
      <c r="R7" s="106"/>
      <c r="S7" s="111">
        <v>0.65</v>
      </c>
      <c r="T7" s="111">
        <v>0.70</v>
      </c>
      <c r="U7" s="111">
        <v>0.75</v>
      </c>
      <c r="V7" s="111">
        <v>0.75</v>
      </c>
      <c r="W7" s="111">
        <v>0.75</v>
      </c>
      <c r="X7" s="106"/>
      <c r="Y7" s="102"/>
      <c r="Z7" s="102"/>
      <c r="AA7" s="102"/>
      <c r="AB7" s="102"/>
      <c r="AC7" s="102"/>
      <c r="AD7" s="112"/>
      <c r="AE7" s="111">
        <v>0.40</v>
      </c>
      <c r="AF7" s="110"/>
      <c r="AG7" s="102"/>
      <c r="AH7" s="102"/>
      <c r="AI7" s="102"/>
      <c r="AJ7" s="102"/>
      <c r="AK7" s="102"/>
      <c r="AL7" s="102"/>
      <c r="AM7" s="102"/>
      <c r="AN7" s="102"/>
      <c r="AO7" s="106" t="s">
        <v>542</v>
      </c>
      <c r="AP7" s="106"/>
      <c r="AQ7" s="106" t="s">
        <v>547</v>
      </c>
      <c r="AR7" s="106"/>
      <c r="AS7" s="106"/>
      <c r="AT7" s="106"/>
    </row>
    <row r="8" spans="1:46" ht="14.25">
      <c r="A8" s="102" t="s">
        <v>529</v>
      </c>
      <c r="B8" s="106" t="s">
        <v>434</v>
      </c>
      <c r="C8" s="106" t="s">
        <v>548</v>
      </c>
      <c r="D8" s="106" t="s">
        <v>531</v>
      </c>
      <c r="E8" s="107" t="s">
        <v>549</v>
      </c>
      <c r="F8" s="106" t="s">
        <v>550</v>
      </c>
      <c r="G8" s="106"/>
      <c r="H8" s="106" t="s">
        <v>534</v>
      </c>
      <c r="I8" s="106" t="s">
        <v>438</v>
      </c>
      <c r="J8" s="106" t="s">
        <v>551</v>
      </c>
      <c r="K8" s="108">
        <v>22</v>
      </c>
      <c r="L8" s="109">
        <v>4309</v>
      </c>
      <c r="M8" s="109">
        <v>4309</v>
      </c>
      <c r="N8" s="109">
        <v>4309</v>
      </c>
      <c r="O8" s="109">
        <v>4309</v>
      </c>
      <c r="P8" s="109">
        <v>4309</v>
      </c>
      <c r="Q8" s="109">
        <v>226</v>
      </c>
      <c r="R8" s="106"/>
      <c r="S8" s="110">
        <v>0.84679858006836706</v>
      </c>
      <c r="T8" s="110">
        <v>0.84679858006836706</v>
      </c>
      <c r="U8" s="110">
        <v>0.84679858006836706</v>
      </c>
      <c r="V8" s="110">
        <v>0.84679858006836706</v>
      </c>
      <c r="W8" s="110">
        <v>0.84679858006836706</v>
      </c>
      <c r="X8" s="106"/>
      <c r="Y8" s="110"/>
      <c r="Z8" s="110"/>
      <c r="AA8" s="110"/>
      <c r="AB8" s="110"/>
      <c r="AC8" s="110"/>
      <c r="AD8" s="108"/>
      <c r="AE8" s="111">
        <v>1</v>
      </c>
      <c r="AF8" s="110">
        <v>1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</row>
    <row r="9" spans="1:46" ht="14.25">
      <c r="A9" s="102" t="s">
        <v>529</v>
      </c>
      <c r="B9" s="106" t="s">
        <v>435</v>
      </c>
      <c r="C9" s="106" t="s">
        <v>552</v>
      </c>
      <c r="D9" s="106" t="s">
        <v>531</v>
      </c>
      <c r="E9" s="107" t="s">
        <v>549</v>
      </c>
      <c r="F9" s="106" t="s">
        <v>550</v>
      </c>
      <c r="G9" s="106"/>
      <c r="H9" s="106" t="s">
        <v>534</v>
      </c>
      <c r="I9" s="106"/>
      <c r="J9" s="106"/>
      <c r="K9" s="108">
        <f>K8</f>
        <v>22</v>
      </c>
      <c r="L9" s="109">
        <f t="shared" si="1" ref="L9:W9">L8</f>
        <v>4309</v>
      </c>
      <c r="M9" s="109">
        <f t="shared" si="1"/>
        <v>4309</v>
      </c>
      <c r="N9" s="109">
        <f t="shared" si="1"/>
        <v>4309</v>
      </c>
      <c r="O9" s="109">
        <f t="shared" si="1"/>
        <v>4309</v>
      </c>
      <c r="P9" s="109">
        <f t="shared" si="1"/>
        <v>4309</v>
      </c>
      <c r="Q9" s="109">
        <f t="shared" si="1"/>
        <v>226</v>
      </c>
      <c r="R9" s="106"/>
      <c r="S9" s="115">
        <f t="shared" si="1"/>
        <v>0.84679858006836706</v>
      </c>
      <c r="T9" s="115">
        <f t="shared" si="1"/>
        <v>0.84679858006836706</v>
      </c>
      <c r="U9" s="115">
        <f t="shared" si="1"/>
        <v>0.84679858006836706</v>
      </c>
      <c r="V9" s="115">
        <f t="shared" si="1"/>
        <v>0.84679858006836706</v>
      </c>
      <c r="W9" s="115">
        <f t="shared" si="1"/>
        <v>0.84679858006836706</v>
      </c>
      <c r="X9" s="106"/>
      <c r="Y9" s="115"/>
      <c r="Z9" s="115"/>
      <c r="AA9" s="111"/>
      <c r="AB9" s="111"/>
      <c r="AC9" s="111"/>
      <c r="AD9" s="108"/>
      <c r="AE9" s="110">
        <f>AE8</f>
        <v>1</v>
      </c>
      <c r="AF9" s="110">
        <f>AF8</f>
        <v>1</v>
      </c>
      <c r="AG9" s="106"/>
      <c r="AH9" s="110"/>
      <c r="AI9" s="110"/>
      <c r="AJ9" s="110"/>
      <c r="AK9" s="110"/>
      <c r="AL9" s="110"/>
      <c r="AM9" s="110"/>
      <c r="AN9" s="110"/>
      <c r="AO9" s="106"/>
      <c r="AP9" s="106"/>
      <c r="AQ9" s="106"/>
      <c r="AR9" s="106"/>
      <c r="AS9" s="106"/>
      <c r="AT9" s="106"/>
    </row>
    <row r="10" spans="1:46" ht="14.25">
      <c r="A10" s="114" t="s">
        <v>538</v>
      </c>
      <c r="B10" s="106" t="str">
        <f>B8&amp;"-"&amp;RIGHT(F10,3)&amp;"spl"</f>
        <v>R_ES-SH-DH_GAS01-SOLspl</v>
      </c>
      <c r="C10" s="106" t="s">
        <v>553</v>
      </c>
      <c r="D10" s="106" t="s">
        <v>531</v>
      </c>
      <c r="E10" s="107" t="s">
        <v>540</v>
      </c>
      <c r="F10" s="106" t="s">
        <v>541</v>
      </c>
      <c r="G10" s="106"/>
      <c r="H10" s="106" t="s">
        <v>534</v>
      </c>
      <c r="I10" s="106"/>
      <c r="J10" s="106"/>
      <c r="K10" s="112">
        <v>20</v>
      </c>
      <c r="L10" s="109">
        <v>6294</v>
      </c>
      <c r="M10" s="109">
        <v>6000.36</v>
      </c>
      <c r="N10" s="109">
        <v>5755.66</v>
      </c>
      <c r="O10" s="109">
        <v>4678.9799999999996</v>
      </c>
      <c r="P10" s="109">
        <v>4678.9799999999996</v>
      </c>
      <c r="Q10" s="109">
        <v>115</v>
      </c>
      <c r="R10" s="106"/>
      <c r="S10" s="115">
        <v>1</v>
      </c>
      <c r="T10" s="115"/>
      <c r="U10" s="115"/>
      <c r="V10" s="115"/>
      <c r="W10" s="115"/>
      <c r="X10" s="106"/>
      <c r="Y10" s="115"/>
      <c r="Z10" s="115"/>
      <c r="AA10" s="111"/>
      <c r="AB10" s="111"/>
      <c r="AC10" s="111"/>
      <c r="AD10" s="108"/>
      <c r="AE10" s="111">
        <v>0.15</v>
      </c>
      <c r="AF10" s="110">
        <v>0.15</v>
      </c>
      <c r="AG10" s="106"/>
      <c r="AH10" s="110"/>
      <c r="AI10" s="110"/>
      <c r="AJ10" s="110"/>
      <c r="AK10" s="110"/>
      <c r="AL10" s="110"/>
      <c r="AM10" s="110"/>
      <c r="AN10" s="110"/>
      <c r="AO10" s="106" t="s">
        <v>542</v>
      </c>
      <c r="AP10" s="106"/>
      <c r="AQ10" s="106" t="s">
        <v>554</v>
      </c>
      <c r="AR10" s="106"/>
      <c r="AS10" s="106"/>
      <c r="AT10" s="106"/>
    </row>
    <row r="11" spans="1:46" ht="14.25">
      <c r="A11" s="114" t="s">
        <v>538</v>
      </c>
      <c r="B11" s="106" t="str">
        <f>B9&amp;"-"&amp;RIGHT(F11,3)&amp;"spl"</f>
        <v>R_ES-SH-DH_GAS02-BIOspl</v>
      </c>
      <c r="C11" s="106" t="s">
        <v>555</v>
      </c>
      <c r="D11" s="106" t="s">
        <v>531</v>
      </c>
      <c r="E11" s="107" t="s">
        <v>545</v>
      </c>
      <c r="F11" s="106" t="s">
        <v>546</v>
      </c>
      <c r="G11" s="106"/>
      <c r="H11" s="106" t="s">
        <v>58</v>
      </c>
      <c r="I11" s="106"/>
      <c r="J11" s="106"/>
      <c r="K11" s="112">
        <v>20</v>
      </c>
      <c r="L11" s="109">
        <v>4200</v>
      </c>
      <c r="M11" s="109">
        <v>4200</v>
      </c>
      <c r="N11" s="109">
        <v>5100</v>
      </c>
      <c r="O11" s="109">
        <v>5100</v>
      </c>
      <c r="P11" s="109">
        <v>5100</v>
      </c>
      <c r="Q11" s="109">
        <v>1</v>
      </c>
      <c r="R11" s="106"/>
      <c r="S11" s="115">
        <v>0.65</v>
      </c>
      <c r="T11" s="115">
        <v>0.70</v>
      </c>
      <c r="U11" s="115">
        <v>0.75</v>
      </c>
      <c r="V11" s="115">
        <v>0.75</v>
      </c>
      <c r="W11" s="115">
        <v>0.75</v>
      </c>
      <c r="X11" s="106"/>
      <c r="Y11" s="115"/>
      <c r="Z11" s="115"/>
      <c r="AA11" s="111"/>
      <c r="AB11" s="111"/>
      <c r="AC11" s="111"/>
      <c r="AD11" s="108"/>
      <c r="AE11" s="111">
        <v>0.40</v>
      </c>
      <c r="AF11" s="110"/>
      <c r="AG11" s="106"/>
      <c r="AH11" s="110"/>
      <c r="AI11" s="110"/>
      <c r="AJ11" s="110"/>
      <c r="AK11" s="110"/>
      <c r="AL11" s="110"/>
      <c r="AM11" s="110"/>
      <c r="AN11" s="110"/>
      <c r="AO11" s="106" t="s">
        <v>542</v>
      </c>
      <c r="AP11" s="106"/>
      <c r="AQ11" s="106" t="s">
        <v>547</v>
      </c>
      <c r="AR11" s="106"/>
      <c r="AS11" s="106"/>
      <c r="AT11" s="106"/>
    </row>
    <row r="12" spans="1:46" ht="14.25">
      <c r="A12" s="102" t="s">
        <v>529</v>
      </c>
      <c r="B12" s="106" t="s">
        <v>429</v>
      </c>
      <c r="C12" s="106" t="s">
        <v>556</v>
      </c>
      <c r="D12" s="106" t="s">
        <v>531</v>
      </c>
      <c r="E12" s="107" t="s">
        <v>557</v>
      </c>
      <c r="F12" s="116" t="s">
        <v>546</v>
      </c>
      <c r="G12" s="116"/>
      <c r="H12" s="106" t="s">
        <v>534</v>
      </c>
      <c r="I12" s="106" t="s">
        <v>430</v>
      </c>
      <c r="J12" s="106" t="s">
        <v>558</v>
      </c>
      <c r="K12" s="108">
        <v>20</v>
      </c>
      <c r="L12" s="109">
        <v>16550</v>
      </c>
      <c r="M12" s="109">
        <v>16550</v>
      </c>
      <c r="N12" s="109">
        <v>17720</v>
      </c>
      <c r="O12" s="109">
        <v>17720</v>
      </c>
      <c r="P12" s="109">
        <v>17720</v>
      </c>
      <c r="Q12" s="109">
        <v>470.58823529411768</v>
      </c>
      <c r="R12" s="106"/>
      <c r="S12" s="110">
        <v>0.67308496185599331</v>
      </c>
      <c r="T12" s="110">
        <v>0.67308496185599331</v>
      </c>
      <c r="U12" s="110">
        <v>0.67308496185599331</v>
      </c>
      <c r="V12" s="110">
        <v>0.67308496185599331</v>
      </c>
      <c r="W12" s="110">
        <v>0.67308496185599331</v>
      </c>
      <c r="X12" s="106"/>
      <c r="Y12" s="110"/>
      <c r="Z12" s="110"/>
      <c r="AA12" s="110"/>
      <c r="AB12" s="110"/>
      <c r="AC12" s="110"/>
      <c r="AD12" s="108"/>
      <c r="AE12" s="117">
        <v>1</v>
      </c>
      <c r="AF12" s="110">
        <v>1</v>
      </c>
      <c r="AG12" s="106"/>
      <c r="AH12" s="106"/>
      <c r="AI12" s="106"/>
      <c r="AJ12" s="106"/>
      <c r="AK12" s="106"/>
      <c r="AL12" s="106"/>
      <c r="AM12" s="106"/>
      <c r="AN12" s="106"/>
      <c r="AO12" s="106" t="s">
        <v>542</v>
      </c>
      <c r="AP12" s="106"/>
      <c r="AQ12" s="106" t="s">
        <v>547</v>
      </c>
      <c r="AR12" s="106"/>
      <c r="AS12" s="106"/>
      <c r="AT12" s="106"/>
    </row>
    <row r="13" spans="1:46" s="125" customFormat="1" ht="14.25">
      <c r="A13" s="118" t="s">
        <v>529</v>
      </c>
      <c r="B13" s="118" t="s">
        <v>431</v>
      </c>
      <c r="C13" s="118" t="s">
        <v>559</v>
      </c>
      <c r="D13" s="118" t="s">
        <v>531</v>
      </c>
      <c r="E13" s="119" t="s">
        <v>560</v>
      </c>
      <c r="F13" s="118" t="s">
        <v>425</v>
      </c>
      <c r="G13" s="118"/>
      <c r="H13" s="118" t="s">
        <v>534</v>
      </c>
      <c r="I13" s="118" t="s">
        <v>431</v>
      </c>
      <c r="J13" s="118" t="s">
        <v>561</v>
      </c>
      <c r="K13" s="120">
        <v>15</v>
      </c>
      <c r="L13" s="121">
        <v>4000</v>
      </c>
      <c r="M13" s="121">
        <v>4000</v>
      </c>
      <c r="N13" s="121">
        <v>4000</v>
      </c>
      <c r="O13" s="121">
        <v>4000</v>
      </c>
      <c r="P13" s="121">
        <v>4000</v>
      </c>
      <c r="Q13" s="121">
        <v>10</v>
      </c>
      <c r="R13" s="118"/>
      <c r="S13" s="122">
        <v>1</v>
      </c>
      <c r="T13" s="118"/>
      <c r="U13" s="118"/>
      <c r="V13" s="118"/>
      <c r="W13" s="118"/>
      <c r="X13" s="118"/>
      <c r="Y13" s="122"/>
      <c r="Z13" s="122"/>
      <c r="AA13" s="122"/>
      <c r="AB13" s="122"/>
      <c r="AC13" s="122"/>
      <c r="AD13" s="120"/>
      <c r="AE13" s="123">
        <v>1</v>
      </c>
      <c r="AF13" s="122">
        <v>1</v>
      </c>
      <c r="AG13" s="123"/>
      <c r="AH13" s="124"/>
      <c r="AI13" s="124"/>
      <c r="AJ13" s="124"/>
      <c r="AK13" s="124"/>
      <c r="AL13" s="124"/>
      <c r="AM13" s="124"/>
      <c r="AN13" s="124"/>
      <c r="AO13" s="118"/>
      <c r="AP13" s="118"/>
      <c r="AQ13" s="118" t="s">
        <v>562</v>
      </c>
      <c r="AR13" s="118"/>
      <c r="AS13" s="118"/>
      <c r="AT13" s="118"/>
    </row>
    <row r="14" spans="1:46" ht="14.25">
      <c r="A14" s="102" t="s">
        <v>563</v>
      </c>
      <c r="B14" s="106" t="s">
        <v>432</v>
      </c>
      <c r="C14" s="106" t="s">
        <v>564</v>
      </c>
      <c r="D14" s="106" t="s">
        <v>531</v>
      </c>
      <c r="E14" s="107" t="s">
        <v>565</v>
      </c>
      <c r="F14" s="106" t="s">
        <v>425</v>
      </c>
      <c r="G14" s="106" t="s">
        <v>566</v>
      </c>
      <c r="H14" s="106" t="s">
        <v>567</v>
      </c>
      <c r="I14" s="106" t="s">
        <v>432</v>
      </c>
      <c r="J14" s="106" t="s">
        <v>568</v>
      </c>
      <c r="K14" s="108">
        <v>20</v>
      </c>
      <c r="L14" s="126">
        <v>15389</v>
      </c>
      <c r="M14" s="126">
        <v>14619.55</v>
      </c>
      <c r="N14" s="126">
        <v>13234.54</v>
      </c>
      <c r="O14" s="126">
        <v>12618.98</v>
      </c>
      <c r="P14" s="126">
        <v>12618.98</v>
      </c>
      <c r="Q14" s="126">
        <v>300</v>
      </c>
      <c r="R14" s="106"/>
      <c r="S14" s="127">
        <v>3</v>
      </c>
      <c r="T14" s="127">
        <v>3.20</v>
      </c>
      <c r="U14" s="127">
        <v>3.70</v>
      </c>
      <c r="V14" s="127">
        <v>4</v>
      </c>
      <c r="W14" s="127">
        <v>4</v>
      </c>
      <c r="X14" s="106"/>
      <c r="Y14" s="127"/>
      <c r="Z14" s="127"/>
      <c r="AA14" s="127"/>
      <c r="AB14" s="127"/>
      <c r="AC14" s="127"/>
      <c r="AD14" s="108"/>
      <c r="AE14" s="111">
        <v>0.70</v>
      </c>
      <c r="AF14" s="106"/>
      <c r="AG14" s="106"/>
      <c r="AH14" s="110"/>
      <c r="AI14" s="110"/>
      <c r="AJ14" s="110"/>
      <c r="AK14" s="110"/>
      <c r="AL14" s="110"/>
      <c r="AM14" s="110"/>
      <c r="AN14" s="110"/>
      <c r="AO14" s="106" t="s">
        <v>542</v>
      </c>
      <c r="AP14" s="106"/>
      <c r="AQ14" s="106" t="s">
        <v>569</v>
      </c>
      <c r="AR14" s="128"/>
      <c r="AS14" s="106"/>
      <c r="AT14" s="106"/>
    </row>
    <row r="15" spans="1:46" ht="14.25">
      <c r="A15" s="114" t="s">
        <v>538</v>
      </c>
      <c r="B15" s="106" t="str">
        <f>B14&amp;"-"&amp;RIGHT(F15,3)&amp;"spl"</f>
        <v>R_ES-SH-DH_ELC02-ELCspl</v>
      </c>
      <c r="C15" s="106" t="s">
        <v>570</v>
      </c>
      <c r="D15" s="106" t="s">
        <v>531</v>
      </c>
      <c r="E15" s="107" t="s">
        <v>560</v>
      </c>
      <c r="F15" s="106" t="s">
        <v>425</v>
      </c>
      <c r="G15" s="106"/>
      <c r="H15" s="106" t="s">
        <v>534</v>
      </c>
      <c r="I15" s="106"/>
      <c r="J15" s="106"/>
      <c r="K15" s="129">
        <v>15</v>
      </c>
      <c r="L15" s="109">
        <v>3039.5388059701486</v>
      </c>
      <c r="M15" s="109">
        <v>3039.5388059701486</v>
      </c>
      <c r="N15" s="109">
        <v>3039.5388059701486</v>
      </c>
      <c r="O15" s="109">
        <v>3039.5388059701486</v>
      </c>
      <c r="P15" s="109">
        <v>3039.5388059701486</v>
      </c>
      <c r="Q15" s="109">
        <v>55</v>
      </c>
      <c r="R15" s="106"/>
      <c r="S15" s="110">
        <v>1</v>
      </c>
      <c r="T15" s="110">
        <v>1</v>
      </c>
      <c r="U15" s="110">
        <v>1</v>
      </c>
      <c r="V15" s="110">
        <v>1</v>
      </c>
      <c r="W15" s="110">
        <v>1</v>
      </c>
      <c r="X15" s="127"/>
      <c r="Y15" s="127"/>
      <c r="Z15" s="127"/>
      <c r="AA15" s="127"/>
      <c r="AB15" s="127"/>
      <c r="AC15" s="127"/>
      <c r="AD15" s="129"/>
      <c r="AE15" s="111">
        <v>0.30</v>
      </c>
      <c r="AF15" s="110">
        <v>1</v>
      </c>
      <c r="AG15" s="106"/>
      <c r="AH15" s="110"/>
      <c r="AI15" s="110"/>
      <c r="AJ15" s="110"/>
      <c r="AK15" s="110"/>
      <c r="AL15" s="110"/>
      <c r="AM15" s="110"/>
      <c r="AN15" s="110"/>
      <c r="AO15" s="106"/>
      <c r="AP15" s="106"/>
      <c r="AQ15" s="106" t="s">
        <v>571</v>
      </c>
      <c r="AR15" s="128"/>
      <c r="AS15" s="106"/>
      <c r="AT15" s="106"/>
    </row>
    <row r="16" spans="1:46" ht="14.25">
      <c r="A16" s="114" t="s">
        <v>538</v>
      </c>
      <c r="B16" s="106" t="str">
        <f>B14&amp;"-"&amp;RIGHT(F16,3)&amp;"spl"</f>
        <v>R_ES-SH-DH_ELC02-GASspl</v>
      </c>
      <c r="C16" s="106" t="s">
        <v>572</v>
      </c>
      <c r="D16" s="106" t="s">
        <v>531</v>
      </c>
      <c r="E16" s="107" t="s">
        <v>549</v>
      </c>
      <c r="F16" s="106" t="s">
        <v>573</v>
      </c>
      <c r="G16" s="106"/>
      <c r="H16" s="106" t="s">
        <v>534</v>
      </c>
      <c r="I16" s="106"/>
      <c r="J16" s="106"/>
      <c r="K16" s="108">
        <f>K8</f>
        <v>22</v>
      </c>
      <c r="L16" s="109">
        <v>5348.0999999999985</v>
      </c>
      <c r="M16" s="109">
        <f>$L$16*(M8/$L$8)</f>
        <v>5348.0999999999985</v>
      </c>
      <c r="N16" s="109">
        <f>$L$16*(N8/$L$8)</f>
        <v>5348.0999999999985</v>
      </c>
      <c r="O16" s="109">
        <f>$L$16*(O8/$L$8)</f>
        <v>5348.0999999999985</v>
      </c>
      <c r="P16" s="109">
        <f>$L$16*(P8/$L$8)</f>
        <v>5348.0999999999985</v>
      </c>
      <c r="Q16" s="109">
        <v>113</v>
      </c>
      <c r="R16" s="106"/>
      <c r="S16" s="110">
        <v>0.84679858006836706</v>
      </c>
      <c r="T16" s="110">
        <v>0.84679858006836706</v>
      </c>
      <c r="U16" s="110">
        <v>0.84679858006836706</v>
      </c>
      <c r="V16" s="110">
        <v>0.84679858006836706</v>
      </c>
      <c r="W16" s="110">
        <v>0.84679858006836706</v>
      </c>
      <c r="X16" s="127"/>
      <c r="Y16" s="127"/>
      <c r="Z16" s="127"/>
      <c r="AA16" s="127"/>
      <c r="AB16" s="127"/>
      <c r="AC16" s="127"/>
      <c r="AD16" s="108"/>
      <c r="AE16" s="111">
        <v>0.30</v>
      </c>
      <c r="AF16" s="110">
        <v>1</v>
      </c>
      <c r="AG16" s="106"/>
      <c r="AH16" s="110"/>
      <c r="AI16" s="110"/>
      <c r="AJ16" s="110"/>
      <c r="AK16" s="110"/>
      <c r="AL16" s="110"/>
      <c r="AM16" s="110"/>
      <c r="AN16" s="110"/>
      <c r="AO16" s="106" t="s">
        <v>542</v>
      </c>
      <c r="AP16" s="106"/>
      <c r="AQ16" s="106" t="s">
        <v>571</v>
      </c>
      <c r="AR16" s="128"/>
      <c r="AS16" s="106"/>
      <c r="AT16" s="106"/>
    </row>
    <row r="17" spans="1:46" ht="14.25">
      <c r="A17" s="114" t="s">
        <v>538</v>
      </c>
      <c r="B17" s="106" t="str">
        <f>B14&amp;"-"&amp;RIGHT(F17,3)&amp;"spl"</f>
        <v>R_ES-SH-DH_ELC02-BIOspl</v>
      </c>
      <c r="C17" s="106" t="s">
        <v>574</v>
      </c>
      <c r="D17" s="106" t="s">
        <v>531</v>
      </c>
      <c r="E17" s="107" t="s">
        <v>557</v>
      </c>
      <c r="F17" s="106" t="s">
        <v>546</v>
      </c>
      <c r="G17" s="106"/>
      <c r="H17" s="106" t="s">
        <v>534</v>
      </c>
      <c r="I17" s="106"/>
      <c r="J17" s="106"/>
      <c r="K17" s="108">
        <f>K12</f>
        <v>20</v>
      </c>
      <c r="L17" s="109">
        <v>10328.099999999999</v>
      </c>
      <c r="M17" s="109">
        <v>10328.099999999999</v>
      </c>
      <c r="N17" s="109">
        <v>11257.629000000001</v>
      </c>
      <c r="O17" s="109">
        <v>11257.629000000001</v>
      </c>
      <c r="P17" s="109">
        <v>11257.629000000001</v>
      </c>
      <c r="Q17" s="109">
        <v>136.14999999999998</v>
      </c>
      <c r="R17" s="106"/>
      <c r="S17" s="110">
        <v>0.67308496185599331</v>
      </c>
      <c r="T17" s="110">
        <v>0.67308496185599331</v>
      </c>
      <c r="U17" s="110">
        <v>0.67308496185599331</v>
      </c>
      <c r="V17" s="110">
        <v>0.67308496185599331</v>
      </c>
      <c r="W17" s="110">
        <v>0.67308496185599331</v>
      </c>
      <c r="X17" s="127"/>
      <c r="Y17" s="127"/>
      <c r="Z17" s="127"/>
      <c r="AA17" s="127"/>
      <c r="AB17" s="127"/>
      <c r="AC17" s="127"/>
      <c r="AD17" s="108"/>
      <c r="AE17" s="111">
        <v>0.30</v>
      </c>
      <c r="AF17" s="110">
        <v>1</v>
      </c>
      <c r="AG17" s="106"/>
      <c r="AH17" s="110"/>
      <c r="AI17" s="110"/>
      <c r="AJ17" s="110"/>
      <c r="AK17" s="110"/>
      <c r="AL17" s="110"/>
      <c r="AM17" s="110"/>
      <c r="AN17" s="110"/>
      <c r="AO17" s="106" t="s">
        <v>542</v>
      </c>
      <c r="AP17" s="106"/>
      <c r="AQ17" s="106" t="s">
        <v>571</v>
      </c>
      <c r="AR17" s="128"/>
      <c r="AS17" s="106"/>
      <c r="AT17" s="106"/>
    </row>
    <row r="18" spans="1:46" ht="14.25">
      <c r="A18" s="114" t="s">
        <v>538</v>
      </c>
      <c r="B18" s="106" t="str">
        <f>B14&amp;"-"&amp;RIGHT(F18,3)&amp;"spl"</f>
        <v>R_ES-SH-DH_ELC02-SOLspl</v>
      </c>
      <c r="C18" s="106" t="s">
        <v>575</v>
      </c>
      <c r="D18" s="106" t="s">
        <v>531</v>
      </c>
      <c r="E18" s="107" t="s">
        <v>540</v>
      </c>
      <c r="F18" s="106" t="s">
        <v>541</v>
      </c>
      <c r="G18" s="106"/>
      <c r="H18" s="106" t="s">
        <v>534</v>
      </c>
      <c r="I18" s="106"/>
      <c r="J18" s="106"/>
      <c r="K18" s="129">
        <v>20</v>
      </c>
      <c r="L18" s="109">
        <v>4396.5999999999985</v>
      </c>
      <c r="M18" s="109">
        <v>5027.2139999999981</v>
      </c>
      <c r="N18" s="109">
        <v>4759.8089999999984</v>
      </c>
      <c r="O18" s="109">
        <v>3583.2269999999985</v>
      </c>
      <c r="P18" s="109">
        <v>3583.2269999999985</v>
      </c>
      <c r="Q18" s="109">
        <v>61</v>
      </c>
      <c r="R18" s="106"/>
      <c r="S18" s="110">
        <v>1</v>
      </c>
      <c r="T18" s="110">
        <v>1</v>
      </c>
      <c r="U18" s="110">
        <v>1</v>
      </c>
      <c r="V18" s="110">
        <v>1</v>
      </c>
      <c r="W18" s="110">
        <v>1</v>
      </c>
      <c r="X18" s="127"/>
      <c r="Y18" s="127"/>
      <c r="Z18" s="127"/>
      <c r="AA18" s="127"/>
      <c r="AB18" s="127"/>
      <c r="AC18" s="127"/>
      <c r="AD18" s="129"/>
      <c r="AE18" s="111">
        <v>0.30</v>
      </c>
      <c r="AF18" s="110">
        <v>1</v>
      </c>
      <c r="AG18" s="106"/>
      <c r="AH18" s="110"/>
      <c r="AI18" s="110"/>
      <c r="AJ18" s="110"/>
      <c r="AK18" s="110"/>
      <c r="AL18" s="110"/>
      <c r="AM18" s="110"/>
      <c r="AN18" s="110"/>
      <c r="AO18" s="106"/>
      <c r="AP18" s="106"/>
      <c r="AQ18" s="106" t="s">
        <v>571</v>
      </c>
      <c r="AR18" s="128"/>
      <c r="AS18" s="106"/>
      <c r="AT18" s="106"/>
    </row>
    <row r="19" spans="1:46" ht="14.25">
      <c r="A19" s="106" t="s">
        <v>563</v>
      </c>
      <c r="B19" s="106" t="s">
        <v>576</v>
      </c>
      <c r="C19" s="106" t="s">
        <v>577</v>
      </c>
      <c r="D19" s="106" t="s">
        <v>531</v>
      </c>
      <c r="E19" s="107" t="s">
        <v>578</v>
      </c>
      <c r="F19" s="106" t="s">
        <v>425</v>
      </c>
      <c r="G19" s="106" t="s">
        <v>566</v>
      </c>
      <c r="H19" s="106" t="s">
        <v>534</v>
      </c>
      <c r="I19" s="106"/>
      <c r="J19" s="106"/>
      <c r="K19" s="108">
        <v>20</v>
      </c>
      <c r="L19" s="109">
        <v>15389</v>
      </c>
      <c r="M19" s="109">
        <v>14003.99</v>
      </c>
      <c r="N19" s="109">
        <v>14003.99</v>
      </c>
      <c r="O19" s="109">
        <v>12618.98</v>
      </c>
      <c r="P19" s="109">
        <v>12618.98</v>
      </c>
      <c r="Q19" s="109">
        <v>246</v>
      </c>
      <c r="R19" s="106"/>
      <c r="S19" s="130">
        <v>3.10</v>
      </c>
      <c r="T19" s="130">
        <v>3.30</v>
      </c>
      <c r="U19" s="130">
        <v>3.70</v>
      </c>
      <c r="V19" s="130">
        <v>4</v>
      </c>
      <c r="W19" s="130">
        <v>4</v>
      </c>
      <c r="X19" s="106"/>
      <c r="Y19" s="130"/>
      <c r="Z19" s="130"/>
      <c r="AA19" s="130"/>
      <c r="AB19" s="130"/>
      <c r="AC19" s="130"/>
      <c r="AD19" s="108"/>
      <c r="AE19" s="111">
        <v>1</v>
      </c>
      <c r="AF19" s="111">
        <v>1</v>
      </c>
      <c r="AG19" s="111"/>
      <c r="AH19" s="115"/>
      <c r="AI19" s="115"/>
      <c r="AJ19" s="115"/>
      <c r="AK19" s="115"/>
      <c r="AL19" s="115"/>
      <c r="AM19" s="115"/>
      <c r="AN19" s="115"/>
      <c r="AO19" s="106"/>
      <c r="AP19" s="106"/>
      <c r="AQ19" s="106"/>
      <c r="AR19" s="106"/>
      <c r="AS19" s="106"/>
      <c r="AT19" s="106"/>
    </row>
    <row r="20" spans="1:46" ht="14.25">
      <c r="A20" s="106" t="s">
        <v>563</v>
      </c>
      <c r="B20" s="106" t="s">
        <v>579</v>
      </c>
      <c r="C20" s="106" t="s">
        <v>580</v>
      </c>
      <c r="D20" s="106" t="s">
        <v>531</v>
      </c>
      <c r="E20" s="107" t="str">
        <f>E19&amp;" + add costs"</f>
        <v>HP-e-air-to-water + add costs</v>
      </c>
      <c r="F20" s="106" t="s">
        <v>425</v>
      </c>
      <c r="G20" s="106" t="s">
        <v>566</v>
      </c>
      <c r="H20" s="106" t="s">
        <v>581</v>
      </c>
      <c r="I20" s="106"/>
      <c r="J20" s="106"/>
      <c r="K20" s="108">
        <f>K19</f>
        <v>20</v>
      </c>
      <c r="L20" s="109">
        <f t="shared" si="2" ref="L20:Q20">L19*$AN20</f>
        <v>16927.900000000001</v>
      </c>
      <c r="M20" s="109">
        <f t="shared" si="2"/>
        <v>15404.389000000001</v>
      </c>
      <c r="N20" s="109">
        <f t="shared" si="2"/>
        <v>15404.389000000001</v>
      </c>
      <c r="O20" s="109">
        <f t="shared" si="2"/>
        <v>13880.878000000001</v>
      </c>
      <c r="P20" s="109">
        <f t="shared" si="2"/>
        <v>13880.878000000001</v>
      </c>
      <c r="Q20" s="109">
        <f t="shared" si="2"/>
        <v>270.60000000000002</v>
      </c>
      <c r="R20" s="106"/>
      <c r="S20" s="127">
        <f>S19</f>
        <v>3.1000000000000001</v>
      </c>
      <c r="T20" s="127">
        <f>T19</f>
        <v>3.2999999999999998</v>
      </c>
      <c r="U20" s="127">
        <f>U19</f>
        <v>3.7000000000000002</v>
      </c>
      <c r="V20" s="127">
        <f>V19</f>
        <v>4</v>
      </c>
      <c r="W20" s="127">
        <f>W19</f>
        <v>4</v>
      </c>
      <c r="X20" s="106"/>
      <c r="Y20" s="106"/>
      <c r="Z20" s="106"/>
      <c r="AA20" s="106"/>
      <c r="AB20" s="106"/>
      <c r="AC20" s="106"/>
      <c r="AD20" s="108"/>
      <c r="AE20" s="111">
        <f>AE19</f>
        <v>1</v>
      </c>
      <c r="AF20" s="111">
        <f>AF19</f>
        <v>1</v>
      </c>
      <c r="AG20" s="111">
        <v>1</v>
      </c>
      <c r="AH20" s="131"/>
      <c r="AI20" s="131"/>
      <c r="AJ20" s="131"/>
      <c r="AK20" s="131"/>
      <c r="AL20" s="131"/>
      <c r="AM20" s="131"/>
      <c r="AN20" s="131">
        <v>1.1000000000000001</v>
      </c>
      <c r="AO20" s="106"/>
      <c r="AP20" s="106"/>
      <c r="AQ20" s="106"/>
      <c r="AR20" s="106"/>
      <c r="AS20" s="106"/>
      <c r="AT20" s="106"/>
    </row>
    <row r="21" spans="1:46" ht="14.25">
      <c r="A21" s="106" t="s">
        <v>563</v>
      </c>
      <c r="B21" s="106" t="s">
        <v>582</v>
      </c>
      <c r="C21" s="106" t="s">
        <v>583</v>
      </c>
      <c r="D21" s="106" t="s">
        <v>531</v>
      </c>
      <c r="E21" s="107" t="s">
        <v>584</v>
      </c>
      <c r="F21" s="106" t="s">
        <v>425</v>
      </c>
      <c r="G21" s="106" t="s">
        <v>585</v>
      </c>
      <c r="H21" s="106" t="s">
        <v>534</v>
      </c>
      <c r="I21" s="106"/>
      <c r="J21" s="106"/>
      <c r="K21" s="108">
        <v>20</v>
      </c>
      <c r="L21" s="109">
        <v>16350</v>
      </c>
      <c r="M21" s="109">
        <v>15205.50</v>
      </c>
      <c r="N21" s="109">
        <v>14061</v>
      </c>
      <c r="O21" s="109">
        <v>12916.50</v>
      </c>
      <c r="P21" s="109">
        <v>12916.50</v>
      </c>
      <c r="Q21" s="109">
        <v>300</v>
      </c>
      <c r="R21" s="106"/>
      <c r="S21" s="130">
        <v>3.60</v>
      </c>
      <c r="T21" s="130">
        <v>3.70</v>
      </c>
      <c r="U21" s="130">
        <v>4</v>
      </c>
      <c r="V21" s="130">
        <v>4.50</v>
      </c>
      <c r="W21" s="130">
        <v>4.50</v>
      </c>
      <c r="X21" s="106"/>
      <c r="Y21" s="130"/>
      <c r="Z21" s="130"/>
      <c r="AA21" s="130"/>
      <c r="AB21" s="130"/>
      <c r="AC21" s="130"/>
      <c r="AD21" s="108"/>
      <c r="AE21" s="111">
        <v>1</v>
      </c>
      <c r="AF21" s="111">
        <v>1</v>
      </c>
      <c r="AG21" s="111"/>
      <c r="AH21" s="115"/>
      <c r="AI21" s="115"/>
      <c r="AJ21" s="115"/>
      <c r="AK21" s="115"/>
      <c r="AL21" s="115"/>
      <c r="AM21" s="115"/>
      <c r="AN21" s="115"/>
      <c r="AO21" s="106"/>
      <c r="AP21" s="106"/>
      <c r="AQ21" s="106"/>
      <c r="AR21" s="106"/>
      <c r="AS21" s="106"/>
      <c r="AT21" s="106"/>
    </row>
    <row r="22" spans="1:46" ht="14.25">
      <c r="A22" s="106" t="s">
        <v>563</v>
      </c>
      <c r="B22" s="106" t="s">
        <v>586</v>
      </c>
      <c r="C22" s="106" t="s">
        <v>587</v>
      </c>
      <c r="D22" s="106" t="s">
        <v>531</v>
      </c>
      <c r="E22" s="107" t="str">
        <f>E21&amp;" + add costs"</f>
        <v>Heat pump, ground source + add costs</v>
      </c>
      <c r="F22" s="106" t="s">
        <v>425</v>
      </c>
      <c r="G22" s="106" t="s">
        <v>585</v>
      </c>
      <c r="H22" s="106" t="s">
        <v>581</v>
      </c>
      <c r="I22" s="106" t="s">
        <v>579</v>
      </c>
      <c r="J22" s="106" t="s">
        <v>588</v>
      </c>
      <c r="K22" s="108">
        <f>K21</f>
        <v>20</v>
      </c>
      <c r="L22" s="109">
        <f t="shared" si="3" ref="L22:Q22">L21*$AN22</f>
        <v>17985</v>
      </c>
      <c r="M22" s="109">
        <f t="shared" si="3"/>
        <v>16726.050000000003</v>
      </c>
      <c r="N22" s="109">
        <f t="shared" si="3"/>
        <v>15467.1</v>
      </c>
      <c r="O22" s="109">
        <f t="shared" si="3"/>
        <v>14208.150000000001</v>
      </c>
      <c r="P22" s="109">
        <f t="shared" si="3"/>
        <v>14208.150000000001</v>
      </c>
      <c r="Q22" s="109">
        <f t="shared" si="3"/>
        <v>330</v>
      </c>
      <c r="R22" s="106"/>
      <c r="S22" s="127">
        <f>S21</f>
        <v>3.6000000000000001</v>
      </c>
      <c r="T22" s="127">
        <f>T21</f>
        <v>3.7000000000000002</v>
      </c>
      <c r="U22" s="127">
        <f>U21</f>
        <v>4</v>
      </c>
      <c r="V22" s="127">
        <f>V21</f>
        <v>4.5</v>
      </c>
      <c r="W22" s="127">
        <f>W21</f>
        <v>4.5</v>
      </c>
      <c r="X22" s="106"/>
      <c r="Y22" s="106"/>
      <c r="Z22" s="106"/>
      <c r="AA22" s="106"/>
      <c r="AB22" s="106"/>
      <c r="AC22" s="106"/>
      <c r="AD22" s="108"/>
      <c r="AE22" s="111">
        <f>AE21</f>
        <v>1</v>
      </c>
      <c r="AF22" s="111">
        <f>AF21</f>
        <v>1</v>
      </c>
      <c r="AG22" s="111">
        <v>1</v>
      </c>
      <c r="AH22" s="132"/>
      <c r="AI22" s="132"/>
      <c r="AJ22" s="132"/>
      <c r="AK22" s="132"/>
      <c r="AL22" s="132"/>
      <c r="AM22" s="132"/>
      <c r="AN22" s="132">
        <v>1.1000000000000001</v>
      </c>
      <c r="AO22" s="106"/>
      <c r="AP22" s="106"/>
      <c r="AQ22" s="106"/>
      <c r="AR22" s="106"/>
      <c r="AS22" s="106"/>
      <c r="AT22" s="106"/>
    </row>
    <row r="23" spans="1:46" ht="14.25">
      <c r="A23" s="106" t="s">
        <v>563</v>
      </c>
      <c r="B23" s="106" t="s">
        <v>433</v>
      </c>
      <c r="C23" s="106" t="s">
        <v>589</v>
      </c>
      <c r="D23" s="106" t="s">
        <v>531</v>
      </c>
      <c r="E23" s="107" t="str">
        <f>E21</f>
        <v>Heat pump, ground source</v>
      </c>
      <c r="F23" s="106" t="s">
        <v>425</v>
      </c>
      <c r="G23" s="106" t="s">
        <v>585</v>
      </c>
      <c r="H23" s="106" t="s">
        <v>534</v>
      </c>
      <c r="I23" s="106"/>
      <c r="J23" s="106"/>
      <c r="K23" s="108">
        <v>20</v>
      </c>
      <c r="L23" s="109">
        <v>25800</v>
      </c>
      <c r="M23" s="109">
        <v>24655.50</v>
      </c>
      <c r="N23" s="109">
        <v>23511</v>
      </c>
      <c r="O23" s="109">
        <v>22366.50</v>
      </c>
      <c r="P23" s="109">
        <v>22366.50</v>
      </c>
      <c r="Q23" s="109">
        <v>300</v>
      </c>
      <c r="R23" s="106"/>
      <c r="S23" s="130">
        <v>3.60</v>
      </c>
      <c r="T23" s="130">
        <v>3.70</v>
      </c>
      <c r="U23" s="130">
        <v>4</v>
      </c>
      <c r="V23" s="130">
        <v>4.50</v>
      </c>
      <c r="W23" s="130">
        <v>4.50</v>
      </c>
      <c r="X23" s="106"/>
      <c r="Y23" s="130"/>
      <c r="Z23" s="130"/>
      <c r="AA23" s="130"/>
      <c r="AB23" s="130"/>
      <c r="AC23" s="130"/>
      <c r="AD23" s="108"/>
      <c r="AE23" s="111">
        <v>1</v>
      </c>
      <c r="AF23" s="111">
        <v>1</v>
      </c>
      <c r="AG23" s="111"/>
      <c r="AH23" s="115"/>
      <c r="AI23" s="115"/>
      <c r="AJ23" s="115"/>
      <c r="AK23" s="115"/>
      <c r="AL23" s="115"/>
      <c r="AM23" s="115"/>
      <c r="AN23" s="115"/>
      <c r="AO23" s="106" t="s">
        <v>542</v>
      </c>
      <c r="AP23" s="106"/>
      <c r="AQ23" s="106" t="s">
        <v>590</v>
      </c>
      <c r="AR23" s="106"/>
      <c r="AS23" s="106"/>
      <c r="AT23" s="106"/>
    </row>
    <row r="24" spans="1:46" ht="14.25">
      <c r="A24" s="106" t="s">
        <v>563</v>
      </c>
      <c r="B24" s="106" t="s">
        <v>591</v>
      </c>
      <c r="C24" s="106" t="s">
        <v>592</v>
      </c>
      <c r="D24" s="106" t="s">
        <v>531</v>
      </c>
      <c r="E24" s="107" t="str">
        <f>E23&amp;" + add costs"</f>
        <v>Heat pump, ground source + add costs</v>
      </c>
      <c r="F24" s="106" t="s">
        <v>425</v>
      </c>
      <c r="G24" s="106" t="s">
        <v>585</v>
      </c>
      <c r="H24" s="106" t="s">
        <v>581</v>
      </c>
      <c r="I24" s="106" t="s">
        <v>582</v>
      </c>
      <c r="J24" s="106" t="s">
        <v>593</v>
      </c>
      <c r="K24" s="108">
        <f>K23</f>
        <v>20</v>
      </c>
      <c r="L24" s="109">
        <f t="shared" si="4" ref="L24:Q24">L23*$AN24</f>
        <v>28380.000000000004</v>
      </c>
      <c r="M24" s="109">
        <f t="shared" si="4"/>
        <v>27121.050000000003</v>
      </c>
      <c r="N24" s="109">
        <f t="shared" si="4"/>
        <v>25862.100000000002</v>
      </c>
      <c r="O24" s="109">
        <f t="shared" si="4"/>
        <v>24603.150000000001</v>
      </c>
      <c r="P24" s="109">
        <f t="shared" si="4"/>
        <v>24603.150000000001</v>
      </c>
      <c r="Q24" s="109">
        <f t="shared" si="4"/>
        <v>330</v>
      </c>
      <c r="R24" s="106"/>
      <c r="S24" s="127">
        <f>S23</f>
        <v>3.6000000000000001</v>
      </c>
      <c r="T24" s="127">
        <f>T23</f>
        <v>3.7000000000000002</v>
      </c>
      <c r="U24" s="127">
        <f>U23</f>
        <v>4</v>
      </c>
      <c r="V24" s="127">
        <f>V23</f>
        <v>4.5</v>
      </c>
      <c r="W24" s="127">
        <f>W23</f>
        <v>4.5</v>
      </c>
      <c r="X24" s="106"/>
      <c r="Y24" s="106"/>
      <c r="Z24" s="106"/>
      <c r="AA24" s="106"/>
      <c r="AB24" s="106"/>
      <c r="AC24" s="106"/>
      <c r="AD24" s="108"/>
      <c r="AE24" s="111">
        <f>AE23</f>
        <v>1</v>
      </c>
      <c r="AF24" s="111">
        <f>AF23</f>
        <v>1</v>
      </c>
      <c r="AG24" s="111">
        <v>1</v>
      </c>
      <c r="AH24" s="131"/>
      <c r="AI24" s="131"/>
      <c r="AJ24" s="131"/>
      <c r="AK24" s="131"/>
      <c r="AL24" s="131"/>
      <c r="AM24" s="131"/>
      <c r="AN24" s="131">
        <v>1.1000000000000001</v>
      </c>
      <c r="AO24" s="106" t="s">
        <v>542</v>
      </c>
      <c r="AP24" s="106"/>
      <c r="AQ24" s="106"/>
      <c r="AR24" s="106"/>
      <c r="AS24" s="106"/>
      <c r="AT24" s="106"/>
    </row>
    <row r="25" spans="1:46" ht="14.25">
      <c r="A25" s="106" t="s">
        <v>563</v>
      </c>
      <c r="B25" s="106" t="s">
        <v>594</v>
      </c>
      <c r="C25" s="106" t="s">
        <v>595</v>
      </c>
      <c r="D25" s="106" t="s">
        <v>531</v>
      </c>
      <c r="E25" s="107" t="s">
        <v>596</v>
      </c>
      <c r="F25" s="106" t="s">
        <v>425</v>
      </c>
      <c r="G25" s="106" t="s">
        <v>585</v>
      </c>
      <c r="H25" s="106" t="s">
        <v>534</v>
      </c>
      <c r="I25" s="106"/>
      <c r="J25" s="106"/>
      <c r="K25" s="108">
        <v>25</v>
      </c>
      <c r="L25" s="109">
        <v>25735</v>
      </c>
      <c r="M25" s="109">
        <v>25735</v>
      </c>
      <c r="N25" s="109">
        <v>21647.50</v>
      </c>
      <c r="O25" s="109">
        <v>21647.50</v>
      </c>
      <c r="P25" s="109">
        <v>20012.50</v>
      </c>
      <c r="Q25" s="109">
        <v>300</v>
      </c>
      <c r="R25" s="106"/>
      <c r="S25" s="130">
        <v>3.52</v>
      </c>
      <c r="T25" s="130">
        <v>3.52</v>
      </c>
      <c r="U25" s="130">
        <v>4.9279999999999999</v>
      </c>
      <c r="V25" s="130">
        <v>4.9279999999999999</v>
      </c>
      <c r="W25" s="130">
        <v>5.28</v>
      </c>
      <c r="X25" s="106"/>
      <c r="Y25" s="110"/>
      <c r="Z25" s="110"/>
      <c r="AA25" s="110"/>
      <c r="AB25" s="110"/>
      <c r="AC25" s="110"/>
      <c r="AD25" s="108"/>
      <c r="AE25" s="111">
        <v>1</v>
      </c>
      <c r="AF25" s="111">
        <v>1</v>
      </c>
      <c r="AG25" s="111"/>
      <c r="AH25" s="106"/>
      <c r="AI25" s="106"/>
      <c r="AJ25" s="106"/>
      <c r="AK25" s="106"/>
      <c r="AL25" s="106"/>
      <c r="AM25" s="106"/>
      <c r="AN25" s="106"/>
      <c r="AO25" s="106" t="s">
        <v>542</v>
      </c>
      <c r="AP25" s="106"/>
      <c r="AQ25" s="106" t="s">
        <v>597</v>
      </c>
      <c r="AR25" s="106"/>
      <c r="AS25" s="106"/>
      <c r="AT25" s="106"/>
    </row>
    <row r="26" spans="1:46" s="125" customFormat="1" ht="14.25">
      <c r="A26" s="118" t="s">
        <v>563</v>
      </c>
      <c r="B26" s="118" t="s">
        <v>598</v>
      </c>
      <c r="C26" s="118" t="s">
        <v>599</v>
      </c>
      <c r="D26" s="118" t="s">
        <v>531</v>
      </c>
      <c r="E26" s="119" t="str">
        <f>E25&amp;" + add costs"</f>
        <v>HP-e-groundwater + add costs</v>
      </c>
      <c r="F26" s="118" t="s">
        <v>425</v>
      </c>
      <c r="G26" s="118" t="s">
        <v>585</v>
      </c>
      <c r="H26" s="118" t="s">
        <v>581</v>
      </c>
      <c r="I26" s="118" t="s">
        <v>586</v>
      </c>
      <c r="J26" s="118" t="s">
        <v>600</v>
      </c>
      <c r="K26" s="133">
        <f>K25</f>
        <v>25</v>
      </c>
      <c r="L26" s="134">
        <f t="shared" si="5" ref="L26:Q26">L25*$AN26</f>
        <v>28308.500000000004</v>
      </c>
      <c r="M26" s="134">
        <f t="shared" si="5"/>
        <v>28308.500000000004</v>
      </c>
      <c r="N26" s="134">
        <f t="shared" si="5"/>
        <v>23812.250000000004</v>
      </c>
      <c r="O26" s="134">
        <f t="shared" si="5"/>
        <v>23812.250000000004</v>
      </c>
      <c r="P26" s="134">
        <f t="shared" si="5"/>
        <v>22013.75</v>
      </c>
      <c r="Q26" s="134">
        <f t="shared" si="5"/>
        <v>330</v>
      </c>
      <c r="R26" s="118"/>
      <c r="S26" s="135">
        <f>S25</f>
        <v>3.52</v>
      </c>
      <c r="T26" s="135">
        <f>T25</f>
        <v>3.52</v>
      </c>
      <c r="U26" s="135">
        <f>U25</f>
        <v>4.9279999999999999</v>
      </c>
      <c r="V26" s="135">
        <f>V25</f>
        <v>4.9279999999999999</v>
      </c>
      <c r="W26" s="135">
        <f>W25</f>
        <v>5.2800000000000002</v>
      </c>
      <c r="X26" s="118"/>
      <c r="Y26" s="118"/>
      <c r="Z26" s="118"/>
      <c r="AA26" s="118"/>
      <c r="AB26" s="118"/>
      <c r="AC26" s="118"/>
      <c r="AD26" s="133"/>
      <c r="AE26" s="123">
        <f>AE25</f>
        <v>1</v>
      </c>
      <c r="AF26" s="123">
        <f>AF25</f>
        <v>1</v>
      </c>
      <c r="AG26" s="123">
        <v>1</v>
      </c>
      <c r="AH26" s="136"/>
      <c r="AI26" s="136"/>
      <c r="AJ26" s="136"/>
      <c r="AK26" s="136"/>
      <c r="AL26" s="136"/>
      <c r="AM26" s="136"/>
      <c r="AN26" s="136">
        <v>1.1000000000000001</v>
      </c>
      <c r="AO26" s="118" t="s">
        <v>542</v>
      </c>
      <c r="AP26" s="118"/>
      <c r="AQ26" s="118" t="s">
        <v>597</v>
      </c>
      <c r="AR26" s="118"/>
      <c r="AS26" s="118"/>
      <c r="AT26" s="118"/>
    </row>
    <row r="27" spans="1:46" ht="14.25">
      <c r="A27" s="106" t="s">
        <v>601</v>
      </c>
      <c r="B27" s="106" t="s">
        <v>436</v>
      </c>
      <c r="C27" s="106" t="s">
        <v>602</v>
      </c>
      <c r="D27" s="106" t="s">
        <v>531</v>
      </c>
      <c r="E27" s="107" t="s">
        <v>603</v>
      </c>
      <c r="F27" s="106" t="s">
        <v>550</v>
      </c>
      <c r="G27" s="106" t="s">
        <v>566</v>
      </c>
      <c r="H27" s="106" t="s">
        <v>534</v>
      </c>
      <c r="I27" s="106" t="s">
        <v>604</v>
      </c>
      <c r="J27" s="106" t="s">
        <v>605</v>
      </c>
      <c r="K27" s="137">
        <v>22</v>
      </c>
      <c r="L27" s="109">
        <v>28900</v>
      </c>
      <c r="M27" s="109">
        <v>28900</v>
      </c>
      <c r="N27" s="109">
        <v>27166</v>
      </c>
      <c r="O27" s="109">
        <v>27166</v>
      </c>
      <c r="P27" s="109">
        <v>27166</v>
      </c>
      <c r="Q27" s="109">
        <v>155</v>
      </c>
      <c r="R27" s="106"/>
      <c r="S27" s="138">
        <v>1.35</v>
      </c>
      <c r="T27" s="138">
        <v>1.45</v>
      </c>
      <c r="U27" s="138">
        <v>1.70</v>
      </c>
      <c r="V27" s="138">
        <v>1.70</v>
      </c>
      <c r="W27" s="138">
        <v>1.70</v>
      </c>
      <c r="X27" s="106"/>
      <c r="Y27" s="110"/>
      <c r="Z27" s="110"/>
      <c r="AA27" s="110"/>
      <c r="AB27" s="110"/>
      <c r="AC27" s="110"/>
      <c r="AD27" s="129"/>
      <c r="AE27" s="111">
        <v>1</v>
      </c>
      <c r="AF27" s="110">
        <v>1</v>
      </c>
      <c r="AG27" s="111"/>
      <c r="AH27" s="115"/>
      <c r="AI27" s="115"/>
      <c r="AJ27" s="115"/>
      <c r="AK27" s="115"/>
      <c r="AL27" s="115"/>
      <c r="AM27" s="115"/>
      <c r="AN27" s="115"/>
      <c r="AO27" s="106"/>
      <c r="AP27" s="106"/>
      <c r="AQ27" s="106"/>
      <c r="AR27" s="106"/>
      <c r="AS27" s="106"/>
      <c r="AT27" s="106"/>
    </row>
    <row r="28" spans="1:46" ht="14.25">
      <c r="A28" s="106" t="s">
        <v>601</v>
      </c>
      <c r="B28" s="106" t="s">
        <v>437</v>
      </c>
      <c r="C28" s="106" t="s">
        <v>606</v>
      </c>
      <c r="D28" s="106" t="s">
        <v>531</v>
      </c>
      <c r="E28" s="107" t="str">
        <f>E27&amp;" + add costs"</f>
        <v>GHP – direct-fired absorption heat pump air/brine to water + add costs</v>
      </c>
      <c r="F28" s="106" t="s">
        <v>550</v>
      </c>
      <c r="G28" s="106" t="s">
        <v>566</v>
      </c>
      <c r="H28" s="106" t="s">
        <v>581</v>
      </c>
      <c r="I28" s="106" t="s">
        <v>604</v>
      </c>
      <c r="J28" s="106" t="s">
        <v>605</v>
      </c>
      <c r="K28" s="108">
        <f>K27</f>
        <v>22</v>
      </c>
      <c r="L28" s="109">
        <f t="shared" si="6" ref="L28:Q28">L27*$AN28</f>
        <v>31790.000000000004</v>
      </c>
      <c r="M28" s="109">
        <f t="shared" si="6"/>
        <v>31790.000000000004</v>
      </c>
      <c r="N28" s="109">
        <f t="shared" si="6"/>
        <v>29882.600000000002</v>
      </c>
      <c r="O28" s="109">
        <f t="shared" si="6"/>
        <v>29882.600000000002</v>
      </c>
      <c r="P28" s="109">
        <f t="shared" si="6"/>
        <v>29882.600000000002</v>
      </c>
      <c r="Q28" s="109">
        <f t="shared" si="6"/>
        <v>170.5</v>
      </c>
      <c r="R28" s="106"/>
      <c r="S28" s="127">
        <f>S27</f>
        <v>1.3500000000000001</v>
      </c>
      <c r="T28" s="127">
        <f>T27</f>
        <v>1.45</v>
      </c>
      <c r="U28" s="127">
        <f>U27</f>
        <v>1.7</v>
      </c>
      <c r="V28" s="127">
        <f>V27</f>
        <v>1.7</v>
      </c>
      <c r="W28" s="127">
        <f>W27</f>
        <v>1.7</v>
      </c>
      <c r="X28" s="106"/>
      <c r="Y28" s="106"/>
      <c r="Z28" s="106"/>
      <c r="AA28" s="106"/>
      <c r="AB28" s="106"/>
      <c r="AC28" s="106"/>
      <c r="AD28" s="108"/>
      <c r="AE28" s="139">
        <f>AE27</f>
        <v>1</v>
      </c>
      <c r="AF28" s="140">
        <f>AF27</f>
        <v>1</v>
      </c>
      <c r="AG28" s="111">
        <v>1</v>
      </c>
      <c r="AH28" s="131"/>
      <c r="AI28" s="131"/>
      <c r="AJ28" s="131"/>
      <c r="AK28" s="131"/>
      <c r="AL28" s="131"/>
      <c r="AM28" s="131"/>
      <c r="AN28" s="131">
        <v>1.1000000000000001</v>
      </c>
      <c r="AO28" s="106"/>
      <c r="AP28" s="106"/>
      <c r="AQ28" s="106"/>
      <c r="AR28" s="106"/>
      <c r="AS28" s="106"/>
      <c r="AT28" s="106"/>
    </row>
    <row r="29" spans="1:46" ht="14.25">
      <c r="A29" s="106" t="s">
        <v>601</v>
      </c>
      <c r="B29" s="106" t="s">
        <v>438</v>
      </c>
      <c r="C29" s="106" t="s">
        <v>607</v>
      </c>
      <c r="D29" s="106" t="s">
        <v>531</v>
      </c>
      <c r="E29" s="107" t="s">
        <v>608</v>
      </c>
      <c r="F29" s="106" t="s">
        <v>550</v>
      </c>
      <c r="G29" s="106" t="s">
        <v>566</v>
      </c>
      <c r="H29" s="106" t="s">
        <v>534</v>
      </c>
      <c r="I29" s="106"/>
      <c r="J29" s="106"/>
      <c r="K29" s="137">
        <v>20</v>
      </c>
      <c r="L29" s="141">
        <v>19496</v>
      </c>
      <c r="M29" s="141">
        <v>19496</v>
      </c>
      <c r="N29" s="141">
        <v>19496</v>
      </c>
      <c r="O29" s="141">
        <v>19496</v>
      </c>
      <c r="P29" s="141">
        <v>19496</v>
      </c>
      <c r="Q29" s="141">
        <v>272</v>
      </c>
      <c r="R29" s="142"/>
      <c r="S29" s="127">
        <v>1.1200000000000001</v>
      </c>
      <c r="T29" s="106">
        <v>1.1200000000000001</v>
      </c>
      <c r="U29" s="106">
        <v>1.1200000000000001</v>
      </c>
      <c r="V29" s="106">
        <v>1.1200000000000001</v>
      </c>
      <c r="W29" s="106">
        <v>1.1200000000000001</v>
      </c>
      <c r="X29" s="106"/>
      <c r="Y29" s="140"/>
      <c r="Z29" s="140"/>
      <c r="AA29" s="140"/>
      <c r="AB29" s="140"/>
      <c r="AC29" s="140"/>
      <c r="AD29" s="129"/>
      <c r="AE29" s="139">
        <v>1</v>
      </c>
      <c r="AF29" s="140">
        <v>1</v>
      </c>
      <c r="AG29" s="139"/>
      <c r="AH29" s="139"/>
      <c r="AI29" s="139"/>
      <c r="AJ29" s="139"/>
      <c r="AK29" s="139"/>
      <c r="AL29" s="139"/>
      <c r="AM29" s="139"/>
      <c r="AN29" s="139"/>
      <c r="AO29" s="106"/>
      <c r="AP29" s="106"/>
      <c r="AQ29" s="106"/>
      <c r="AR29" s="106"/>
      <c r="AS29" s="106"/>
      <c r="AT29" s="106"/>
    </row>
    <row r="30" spans="1:46" ht="14.25">
      <c r="A30" s="106" t="s">
        <v>601</v>
      </c>
      <c r="B30" s="106" t="s">
        <v>604</v>
      </c>
      <c r="C30" s="106" t="s">
        <v>609</v>
      </c>
      <c r="D30" s="106" t="s">
        <v>531</v>
      </c>
      <c r="E30" s="107" t="str">
        <f>E29&amp;" + add costs"</f>
        <v>GHP – adsorption heat pump brine to water + Solar thermal collectors + add costs</v>
      </c>
      <c r="F30" s="106" t="s">
        <v>550</v>
      </c>
      <c r="G30" s="106" t="s">
        <v>566</v>
      </c>
      <c r="H30" s="106" t="s">
        <v>581</v>
      </c>
      <c r="I30" s="106"/>
      <c r="J30" s="106"/>
      <c r="K30" s="108">
        <f>K29</f>
        <v>20</v>
      </c>
      <c r="L30" s="109">
        <f t="shared" si="7" ref="L30:Q30">L29*$AN30</f>
        <v>21445.600000000002</v>
      </c>
      <c r="M30" s="109">
        <f t="shared" si="7"/>
        <v>21445.600000000002</v>
      </c>
      <c r="N30" s="109">
        <f t="shared" si="7"/>
        <v>21445.600000000002</v>
      </c>
      <c r="O30" s="109">
        <f t="shared" si="7"/>
        <v>21445.600000000002</v>
      </c>
      <c r="P30" s="109">
        <f t="shared" si="7"/>
        <v>21445.600000000002</v>
      </c>
      <c r="Q30" s="109">
        <f t="shared" si="7"/>
        <v>299.20000000000005</v>
      </c>
      <c r="R30" s="106"/>
      <c r="S30" s="127">
        <f>S29</f>
        <v>1.1200000000000001</v>
      </c>
      <c r="T30" s="106">
        <f>T29</f>
        <v>1.1200000000000001</v>
      </c>
      <c r="U30" s="106">
        <f>U29</f>
        <v>1.1200000000000001</v>
      </c>
      <c r="V30" s="106">
        <f>V29</f>
        <v>1.1200000000000001</v>
      </c>
      <c r="W30" s="106">
        <f>W29</f>
        <v>1.1200000000000001</v>
      </c>
      <c r="X30" s="106"/>
      <c r="Y30" s="106"/>
      <c r="Z30" s="106"/>
      <c r="AA30" s="106"/>
      <c r="AB30" s="106"/>
      <c r="AC30" s="106"/>
      <c r="AD30" s="108"/>
      <c r="AE30" s="139">
        <f>AE29</f>
        <v>1</v>
      </c>
      <c r="AF30" s="140">
        <f>AF29</f>
        <v>1</v>
      </c>
      <c r="AG30" s="111">
        <v>1</v>
      </c>
      <c r="AH30" s="131"/>
      <c r="AI30" s="131"/>
      <c r="AJ30" s="131"/>
      <c r="AK30" s="131"/>
      <c r="AL30" s="131"/>
      <c r="AM30" s="131"/>
      <c r="AN30" s="131">
        <v>1.1000000000000001</v>
      </c>
      <c r="AO30" s="106"/>
      <c r="AP30" s="106"/>
      <c r="AQ30" s="106"/>
      <c r="AR30" s="106"/>
      <c r="AS30" s="106"/>
      <c r="AT30" s="106"/>
    </row>
    <row r="31" spans="1:46" ht="14.25">
      <c r="A31" s="106" t="s">
        <v>601</v>
      </c>
      <c r="B31" s="106" t="s">
        <v>610</v>
      </c>
      <c r="C31" s="106" t="s">
        <v>611</v>
      </c>
      <c r="D31" s="106" t="s">
        <v>531</v>
      </c>
      <c r="E31" s="107" t="s">
        <v>612</v>
      </c>
      <c r="F31" s="106" t="s">
        <v>550</v>
      </c>
      <c r="G31" s="106" t="s">
        <v>566</v>
      </c>
      <c r="H31" s="106" t="s">
        <v>534</v>
      </c>
      <c r="I31" s="106"/>
      <c r="J31" s="106"/>
      <c r="K31" s="108">
        <v>20</v>
      </c>
      <c r="L31" s="141">
        <v>47500</v>
      </c>
      <c r="M31" s="141">
        <v>47500</v>
      </c>
      <c r="N31" s="141">
        <v>47500</v>
      </c>
      <c r="O31" s="141">
        <v>47500</v>
      </c>
      <c r="P31" s="141">
        <v>47500</v>
      </c>
      <c r="Q31" s="143">
        <v>135</v>
      </c>
      <c r="R31" s="144"/>
      <c r="S31" s="138">
        <v>1.50</v>
      </c>
      <c r="T31" s="138">
        <v>1.55</v>
      </c>
      <c r="U31" s="138">
        <v>1.55</v>
      </c>
      <c r="V31" s="138">
        <v>1.60</v>
      </c>
      <c r="W31" s="138">
        <v>1.60</v>
      </c>
      <c r="X31" s="106"/>
      <c r="Y31" s="110"/>
      <c r="Z31" s="110"/>
      <c r="AA31" s="110"/>
      <c r="AB31" s="110"/>
      <c r="AC31" s="110"/>
      <c r="AD31" s="108"/>
      <c r="AE31" s="139">
        <v>1</v>
      </c>
      <c r="AF31" s="140">
        <v>1</v>
      </c>
      <c r="AG31" s="139"/>
      <c r="AH31" s="111"/>
      <c r="AI31" s="111"/>
      <c r="AJ31" s="111"/>
      <c r="AK31" s="111"/>
      <c r="AL31" s="111"/>
      <c r="AM31" s="111"/>
      <c r="AN31" s="111"/>
      <c r="AO31" s="106"/>
      <c r="AP31" s="106"/>
      <c r="AQ31" s="106" t="s">
        <v>613</v>
      </c>
      <c r="AR31" s="106"/>
      <c r="AS31" s="106"/>
      <c r="AT31" s="106"/>
    </row>
    <row r="32" spans="1:46" s="125" customFormat="1" ht="14.25">
      <c r="A32" s="118" t="s">
        <v>601</v>
      </c>
      <c r="B32" s="118" t="s">
        <v>439</v>
      </c>
      <c r="C32" s="118" t="s">
        <v>614</v>
      </c>
      <c r="D32" s="118" t="s">
        <v>531</v>
      </c>
      <c r="E32" s="119" t="str">
        <f>E31&amp;" + add costs"</f>
        <v>GHP – gas engine driven heat pump air/brine to water + add costs</v>
      </c>
      <c r="F32" s="118" t="s">
        <v>550</v>
      </c>
      <c r="G32" s="118" t="s">
        <v>566</v>
      </c>
      <c r="H32" s="118" t="s">
        <v>581</v>
      </c>
      <c r="I32" s="118"/>
      <c r="J32" s="118"/>
      <c r="K32" s="133">
        <f>K31</f>
        <v>20</v>
      </c>
      <c r="L32" s="134">
        <f t="shared" si="8" ref="L32:Q32">L31*$AN32</f>
        <v>52250.000000000007</v>
      </c>
      <c r="M32" s="134">
        <f t="shared" si="8"/>
        <v>52250.000000000007</v>
      </c>
      <c r="N32" s="134">
        <f t="shared" si="8"/>
        <v>52250.000000000007</v>
      </c>
      <c r="O32" s="134">
        <f t="shared" si="8"/>
        <v>52250.000000000007</v>
      </c>
      <c r="P32" s="134">
        <f t="shared" si="8"/>
        <v>52250.000000000007</v>
      </c>
      <c r="Q32" s="134">
        <f t="shared" si="8"/>
        <v>148.5</v>
      </c>
      <c r="R32" s="118"/>
      <c r="S32" s="135">
        <f>S31</f>
        <v>1.5</v>
      </c>
      <c r="T32" s="118">
        <f>T31</f>
        <v>1.55</v>
      </c>
      <c r="U32" s="118">
        <f>U31</f>
        <v>1.55</v>
      </c>
      <c r="V32" s="135">
        <f>V31</f>
        <v>1.6000000000000001</v>
      </c>
      <c r="W32" s="135">
        <f>W31</f>
        <v>1.6000000000000001</v>
      </c>
      <c r="X32" s="118"/>
      <c r="Y32" s="118"/>
      <c r="Z32" s="118"/>
      <c r="AA32" s="118"/>
      <c r="AB32" s="118"/>
      <c r="AC32" s="118"/>
      <c r="AD32" s="133"/>
      <c r="AE32" s="145">
        <f>AE31</f>
        <v>1</v>
      </c>
      <c r="AF32" s="146">
        <f>AF31</f>
        <v>1</v>
      </c>
      <c r="AG32" s="123">
        <v>1</v>
      </c>
      <c r="AH32" s="136"/>
      <c r="AI32" s="136"/>
      <c r="AJ32" s="136"/>
      <c r="AK32" s="136"/>
      <c r="AL32" s="136"/>
      <c r="AM32" s="136"/>
      <c r="AN32" s="136">
        <v>1.1000000000000001</v>
      </c>
      <c r="AO32" s="118"/>
      <c r="AP32" s="118"/>
      <c r="AQ32" s="118"/>
      <c r="AR32" s="118"/>
      <c r="AS32" s="118"/>
      <c r="AT32" s="118"/>
    </row>
    <row r="33" spans="1:46" ht="14.25">
      <c r="A33" s="102" t="s">
        <v>615</v>
      </c>
      <c r="B33" s="106" t="s">
        <v>616</v>
      </c>
      <c r="C33" s="106" t="s">
        <v>617</v>
      </c>
      <c r="D33" s="106" t="s">
        <v>531</v>
      </c>
      <c r="E33" s="107" t="s">
        <v>618</v>
      </c>
      <c r="F33" s="106" t="s">
        <v>550</v>
      </c>
      <c r="G33" s="106"/>
      <c r="H33" s="106" t="s">
        <v>619</v>
      </c>
      <c r="I33" s="106"/>
      <c r="J33" s="106"/>
      <c r="K33" s="108">
        <v>10</v>
      </c>
      <c r="L33" s="141">
        <v>103980</v>
      </c>
      <c r="M33" s="141">
        <v>103980</v>
      </c>
      <c r="N33" s="141">
        <v>77985</v>
      </c>
      <c r="O33" s="141">
        <v>77985</v>
      </c>
      <c r="P33" s="141">
        <v>62388</v>
      </c>
      <c r="Q33" s="109"/>
      <c r="R33" s="106"/>
      <c r="S33" s="147">
        <v>0.26</v>
      </c>
      <c r="T33" s="147">
        <v>0.26</v>
      </c>
      <c r="U33" s="147">
        <v>0.26</v>
      </c>
      <c r="V33" s="147">
        <v>0.26</v>
      </c>
      <c r="W33" s="147">
        <v>0.26</v>
      </c>
      <c r="X33" s="106"/>
      <c r="Y33" s="106"/>
      <c r="Z33" s="106"/>
      <c r="AA33" s="106"/>
      <c r="AB33" s="106"/>
      <c r="AC33" s="106"/>
      <c r="AD33" s="108"/>
      <c r="AE33" s="111">
        <v>0.60</v>
      </c>
      <c r="AF33" s="140"/>
      <c r="AG33" s="117"/>
      <c r="AH33" s="148">
        <f t="shared" si="9" ref="AH33:AJ35">(AK33-S33)/S33</f>
        <v>2.4615384615384617</v>
      </c>
      <c r="AI33" s="148">
        <f t="shared" si="9"/>
        <v>2.4615384615384617</v>
      </c>
      <c r="AJ33" s="148">
        <f t="shared" si="9"/>
        <v>2.4615384615384617</v>
      </c>
      <c r="AK33" s="147">
        <v>0.90</v>
      </c>
      <c r="AL33" s="147">
        <v>0.90</v>
      </c>
      <c r="AM33" s="147">
        <v>0.90</v>
      </c>
      <c r="AN33" s="149"/>
      <c r="AO33" s="106" t="s">
        <v>620</v>
      </c>
      <c r="AP33" s="106"/>
      <c r="AQ33" s="106"/>
      <c r="AR33" s="106"/>
      <c r="AS33" s="106"/>
      <c r="AT33" s="106"/>
    </row>
    <row r="34" spans="1:46" ht="14.25">
      <c r="A34" s="102" t="s">
        <v>615</v>
      </c>
      <c r="B34" s="106" t="s">
        <v>621</v>
      </c>
      <c r="C34" s="106" t="s">
        <v>622</v>
      </c>
      <c r="D34" s="106" t="s">
        <v>531</v>
      </c>
      <c r="E34" s="107" t="s">
        <v>618</v>
      </c>
      <c r="F34" s="106" t="s">
        <v>533</v>
      </c>
      <c r="G34" s="106"/>
      <c r="H34" s="106" t="s">
        <v>619</v>
      </c>
      <c r="I34" s="106"/>
      <c r="J34" s="106"/>
      <c r="K34" s="108">
        <v>10</v>
      </c>
      <c r="L34" s="141">
        <v>103980</v>
      </c>
      <c r="M34" s="141">
        <v>103980</v>
      </c>
      <c r="N34" s="141">
        <v>77985</v>
      </c>
      <c r="O34" s="141">
        <v>77985</v>
      </c>
      <c r="P34" s="141">
        <v>62388</v>
      </c>
      <c r="Q34" s="109"/>
      <c r="R34" s="106"/>
      <c r="S34" s="147">
        <v>0.26</v>
      </c>
      <c r="T34" s="147">
        <v>0.26</v>
      </c>
      <c r="U34" s="147">
        <v>0.26</v>
      </c>
      <c r="V34" s="147">
        <v>0.26</v>
      </c>
      <c r="W34" s="147">
        <v>0.26</v>
      </c>
      <c r="X34" s="106"/>
      <c r="Y34" s="106"/>
      <c r="Z34" s="106"/>
      <c r="AA34" s="106"/>
      <c r="AB34" s="106"/>
      <c r="AC34" s="106"/>
      <c r="AD34" s="108"/>
      <c r="AE34" s="111">
        <v>0.60</v>
      </c>
      <c r="AF34" s="140"/>
      <c r="AG34" s="117"/>
      <c r="AH34" s="148">
        <f t="shared" si="9"/>
        <v>2.4615384615384617</v>
      </c>
      <c r="AI34" s="148">
        <f t="shared" si="9"/>
        <v>2.4615384615384617</v>
      </c>
      <c r="AJ34" s="148">
        <f t="shared" si="9"/>
        <v>2.4615384615384617</v>
      </c>
      <c r="AK34" s="147">
        <v>0.90</v>
      </c>
      <c r="AL34" s="147">
        <v>0.90</v>
      </c>
      <c r="AM34" s="147">
        <v>0.90</v>
      </c>
      <c r="AN34" s="149"/>
      <c r="AO34" s="106"/>
      <c r="AP34" s="106"/>
      <c r="AQ34" s="106"/>
      <c r="AR34" s="106"/>
      <c r="AS34" s="106"/>
      <c r="AT34" s="106"/>
    </row>
    <row r="35" spans="1:46" ht="14.25">
      <c r="A35" s="102" t="s">
        <v>615</v>
      </c>
      <c r="B35" s="106" t="s">
        <v>623</v>
      </c>
      <c r="C35" s="106" t="s">
        <v>624</v>
      </c>
      <c r="D35" s="106" t="s">
        <v>531</v>
      </c>
      <c r="E35" s="107" t="s">
        <v>625</v>
      </c>
      <c r="F35" s="106" t="s">
        <v>550</v>
      </c>
      <c r="G35" s="106"/>
      <c r="H35" s="106" t="s">
        <v>619</v>
      </c>
      <c r="I35" s="106"/>
      <c r="J35" s="106"/>
      <c r="K35" s="108">
        <v>10</v>
      </c>
      <c r="L35" s="109">
        <v>23200</v>
      </c>
      <c r="M35" s="109">
        <v>19070</v>
      </c>
      <c r="N35" s="109">
        <v>16385.50</v>
      </c>
      <c r="O35" s="109">
        <v>16385.50</v>
      </c>
      <c r="P35" s="109">
        <v>16385.50</v>
      </c>
      <c r="Q35" s="109">
        <v>310</v>
      </c>
      <c r="R35" s="106"/>
      <c r="S35" s="150">
        <v>0.20</v>
      </c>
      <c r="T35" s="150">
        <v>0.22</v>
      </c>
      <c r="U35" s="150">
        <v>0.25</v>
      </c>
      <c r="V35" s="106"/>
      <c r="W35" s="106"/>
      <c r="X35" s="106"/>
      <c r="Y35" s="106"/>
      <c r="Z35" s="106"/>
      <c r="AA35" s="106"/>
      <c r="AB35" s="106"/>
      <c r="AC35" s="106"/>
      <c r="AD35" s="108"/>
      <c r="AE35" s="111">
        <v>0.60</v>
      </c>
      <c r="AF35" s="110"/>
      <c r="AG35" s="106"/>
      <c r="AH35" s="148">
        <f t="shared" si="9"/>
        <v>2.25</v>
      </c>
      <c r="AI35" s="148">
        <f t="shared" si="9"/>
        <v>2.1818181818181817</v>
      </c>
      <c r="AJ35" s="148">
        <f t="shared" si="9"/>
        <v>1.8999999999999999</v>
      </c>
      <c r="AK35" s="151">
        <v>0.65</v>
      </c>
      <c r="AL35" s="151">
        <v>0.70</v>
      </c>
      <c r="AM35" s="151">
        <v>0.725</v>
      </c>
      <c r="AN35" s="106"/>
      <c r="AO35" s="106" t="s">
        <v>542</v>
      </c>
      <c r="AP35" s="106"/>
      <c r="AQ35" s="106" t="s">
        <v>626</v>
      </c>
      <c r="AR35" s="106"/>
      <c r="AS35" s="106"/>
      <c r="AT35" s="106"/>
    </row>
    <row r="36" spans="1:46" ht="14.25">
      <c r="A36" s="102" t="s">
        <v>615</v>
      </c>
      <c r="B36" s="106" t="s">
        <v>627</v>
      </c>
      <c r="C36" s="106" t="s">
        <v>628</v>
      </c>
      <c r="D36" s="106" t="s">
        <v>531</v>
      </c>
      <c r="E36" s="107" t="s">
        <v>629</v>
      </c>
      <c r="F36" s="106" t="s">
        <v>533</v>
      </c>
      <c r="G36" s="106"/>
      <c r="H36" s="106" t="s">
        <v>619</v>
      </c>
      <c r="I36" s="106"/>
      <c r="J36" s="106"/>
      <c r="K36" s="108">
        <v>10</v>
      </c>
      <c r="L36" s="109">
        <v>24000</v>
      </c>
      <c r="M36" s="109">
        <v>19710</v>
      </c>
      <c r="N36" s="109">
        <v>16921.50</v>
      </c>
      <c r="O36" s="109">
        <v>16921.50</v>
      </c>
      <c r="P36" s="109">
        <v>16921.50</v>
      </c>
      <c r="Q36" s="109">
        <v>310</v>
      </c>
      <c r="R36" s="106"/>
      <c r="S36" s="150">
        <v>0.20</v>
      </c>
      <c r="T36" s="150">
        <v>0.22</v>
      </c>
      <c r="U36" s="150">
        <v>0.25</v>
      </c>
      <c r="V36" s="106"/>
      <c r="W36" s="106"/>
      <c r="X36" s="106"/>
      <c r="Y36" s="106"/>
      <c r="Z36" s="106"/>
      <c r="AA36" s="106"/>
      <c r="AB36" s="106"/>
      <c r="AC36" s="106"/>
      <c r="AD36" s="108"/>
      <c r="AE36" s="111">
        <v>0.60</v>
      </c>
      <c r="AF36" s="110"/>
      <c r="AG36" s="106"/>
      <c r="AH36" s="152">
        <f>AH35</f>
        <v>2.25</v>
      </c>
      <c r="AI36" s="152">
        <f>AI35</f>
        <v>2.1818181818181817</v>
      </c>
      <c r="AJ36" s="152">
        <f>AJ35</f>
        <v>1.8999999999999999</v>
      </c>
      <c r="AK36" s="151">
        <v>0.65</v>
      </c>
      <c r="AL36" s="151">
        <v>0.70</v>
      </c>
      <c r="AM36" s="151">
        <v>0.725</v>
      </c>
      <c r="AN36" s="106"/>
      <c r="AO36" s="106" t="s">
        <v>542</v>
      </c>
      <c r="AP36" s="106"/>
      <c r="AQ36" s="106"/>
      <c r="AR36" s="106"/>
      <c r="AS36" s="106"/>
      <c r="AT36" s="106"/>
    </row>
    <row r="37" spans="1:46" ht="14.25">
      <c r="A37" s="102" t="s">
        <v>615</v>
      </c>
      <c r="B37" s="106" t="s">
        <v>630</v>
      </c>
      <c r="C37" s="106" t="s">
        <v>631</v>
      </c>
      <c r="D37" s="106" t="s">
        <v>531</v>
      </c>
      <c r="E37" s="107" t="s">
        <v>631</v>
      </c>
      <c r="F37" s="106" t="s">
        <v>550</v>
      </c>
      <c r="G37" s="106"/>
      <c r="H37" s="106" t="s">
        <v>619</v>
      </c>
      <c r="I37" s="106"/>
      <c r="J37" s="106"/>
      <c r="K37" s="108">
        <v>10</v>
      </c>
      <c r="L37" s="109">
        <v>18500</v>
      </c>
      <c r="M37" s="109">
        <v>16750</v>
      </c>
      <c r="N37" s="109">
        <v>14125</v>
      </c>
      <c r="O37" s="109">
        <v>14125</v>
      </c>
      <c r="P37" s="109">
        <v>14125</v>
      </c>
      <c r="Q37" s="109">
        <v>250</v>
      </c>
      <c r="R37" s="106"/>
      <c r="S37" s="150">
        <v>0.12</v>
      </c>
      <c r="T37" s="150">
        <v>0.14000000000000001</v>
      </c>
      <c r="U37" s="150">
        <v>0.16</v>
      </c>
      <c r="V37" s="106"/>
      <c r="W37" s="106"/>
      <c r="X37" s="106"/>
      <c r="Y37" s="106"/>
      <c r="Z37" s="106"/>
      <c r="AA37" s="106"/>
      <c r="AB37" s="106"/>
      <c r="AC37" s="106"/>
      <c r="AD37" s="108"/>
      <c r="AE37" s="111">
        <v>0.60</v>
      </c>
      <c r="AF37" s="110"/>
      <c r="AG37" s="106"/>
      <c r="AH37" s="148">
        <f t="shared" si="10" ref="AH37:AJ39">(AK37-S37)/S37</f>
        <v>5.4583333333333339</v>
      </c>
      <c r="AI37" s="148">
        <f t="shared" si="10"/>
        <v>4.7142857142857144</v>
      </c>
      <c r="AJ37" s="148">
        <f t="shared" si="10"/>
        <v>4.1562499999999991</v>
      </c>
      <c r="AK37" s="151">
        <v>0.775</v>
      </c>
      <c r="AL37" s="151">
        <v>0.80</v>
      </c>
      <c r="AM37" s="151">
        <v>0.825</v>
      </c>
      <c r="AN37" s="106"/>
      <c r="AO37" s="106" t="s">
        <v>542</v>
      </c>
      <c r="AP37" s="106"/>
      <c r="AQ37" s="106" t="s">
        <v>632</v>
      </c>
      <c r="AR37" s="106"/>
      <c r="AS37" s="106"/>
      <c r="AT37" s="106"/>
    </row>
    <row r="38" spans="1:46" ht="14.25">
      <c r="A38" s="102" t="s">
        <v>615</v>
      </c>
      <c r="B38" s="106" t="s">
        <v>633</v>
      </c>
      <c r="C38" s="106" t="s">
        <v>634</v>
      </c>
      <c r="D38" s="106" t="s">
        <v>531</v>
      </c>
      <c r="E38" s="107" t="s">
        <v>635</v>
      </c>
      <c r="F38" s="106" t="s">
        <v>636</v>
      </c>
      <c r="G38" s="106"/>
      <c r="H38" s="106" t="s">
        <v>619</v>
      </c>
      <c r="I38" s="106"/>
      <c r="J38" s="106"/>
      <c r="K38" s="108">
        <v>10</v>
      </c>
      <c r="L38" s="109">
        <v>21491</v>
      </c>
      <c r="M38" s="109">
        <v>21491</v>
      </c>
      <c r="N38" s="109">
        <v>9091</v>
      </c>
      <c r="O38" s="109">
        <v>9091</v>
      </c>
      <c r="P38" s="109">
        <v>4131</v>
      </c>
      <c r="Q38" s="109">
        <v>274</v>
      </c>
      <c r="R38" s="106"/>
      <c r="S38" s="150">
        <v>0.375</v>
      </c>
      <c r="T38" s="150">
        <v>0.45</v>
      </c>
      <c r="U38" s="150">
        <v>0.475</v>
      </c>
      <c r="V38" s="106"/>
      <c r="W38" s="106"/>
      <c r="X38" s="106"/>
      <c r="Y38" s="106"/>
      <c r="Z38" s="106"/>
      <c r="AA38" s="106"/>
      <c r="AB38" s="106"/>
      <c r="AC38" s="106"/>
      <c r="AD38" s="108"/>
      <c r="AE38" s="111">
        <v>0.60</v>
      </c>
      <c r="AF38" s="110"/>
      <c r="AG38" s="106"/>
      <c r="AH38" s="148">
        <f t="shared" si="10"/>
        <v>0.46666666666666679</v>
      </c>
      <c r="AI38" s="148">
        <f t="shared" si="10"/>
        <v>0.16666666666666669</v>
      </c>
      <c r="AJ38" s="148">
        <f t="shared" si="10"/>
        <v>0.10526315789473695</v>
      </c>
      <c r="AK38" s="151">
        <v>0.55000000000000004</v>
      </c>
      <c r="AL38" s="151">
        <v>0.525</v>
      </c>
      <c r="AM38" s="151">
        <v>0.525</v>
      </c>
      <c r="AN38" s="106"/>
      <c r="AO38" s="106" t="s">
        <v>542</v>
      </c>
      <c r="AP38" s="106"/>
      <c r="AQ38" s="106" t="s">
        <v>637</v>
      </c>
      <c r="AR38" s="106"/>
      <c r="AS38" s="106"/>
      <c r="AT38" s="106"/>
    </row>
    <row r="39" spans="1:46" ht="14.25">
      <c r="A39" s="102" t="s">
        <v>615</v>
      </c>
      <c r="B39" s="106" t="s">
        <v>638</v>
      </c>
      <c r="C39" s="106" t="s">
        <v>639</v>
      </c>
      <c r="D39" s="106" t="s">
        <v>531</v>
      </c>
      <c r="E39" s="107" t="s">
        <v>640</v>
      </c>
      <c r="F39" s="106" t="s">
        <v>641</v>
      </c>
      <c r="G39" s="106"/>
      <c r="H39" s="106" t="s">
        <v>619</v>
      </c>
      <c r="I39" s="106"/>
      <c r="J39" s="106"/>
      <c r="K39" s="108">
        <v>10</v>
      </c>
      <c r="L39" s="109">
        <v>13000</v>
      </c>
      <c r="M39" s="109">
        <v>6900</v>
      </c>
      <c r="N39" s="109">
        <v>5100</v>
      </c>
      <c r="O39" s="109" t="s">
        <v>872</v>
      </c>
      <c r="P39" s="109" t="s">
        <v>872</v>
      </c>
      <c r="Q39" s="109">
        <v>500</v>
      </c>
      <c r="R39" s="106"/>
      <c r="S39" s="150">
        <v>0.475</v>
      </c>
      <c r="T39" s="150">
        <v>0.505</v>
      </c>
      <c r="U39" s="150">
        <v>0.54500000000000004</v>
      </c>
      <c r="V39" s="106"/>
      <c r="W39" s="106"/>
      <c r="X39" s="106"/>
      <c r="Y39" s="106"/>
      <c r="Z39" s="106"/>
      <c r="AA39" s="106"/>
      <c r="AB39" s="106"/>
      <c r="AC39" s="106"/>
      <c r="AD39" s="108"/>
      <c r="AE39" s="111">
        <v>0.60</v>
      </c>
      <c r="AF39" s="110"/>
      <c r="AG39" s="106"/>
      <c r="AH39" s="148">
        <f t="shared" si="10"/>
        <v>-0.15789473684210517</v>
      </c>
      <c r="AI39" s="148">
        <f t="shared" si="10"/>
        <v>-0.12871287128712872</v>
      </c>
      <c r="AJ39" s="148">
        <f t="shared" si="10"/>
        <v>-0.17431192660550462</v>
      </c>
      <c r="AK39" s="151">
        <v>0.40</v>
      </c>
      <c r="AL39" s="151">
        <v>0.44</v>
      </c>
      <c r="AM39" s="151">
        <v>0.45</v>
      </c>
      <c r="AN39" s="106"/>
      <c r="AO39" s="106" t="s">
        <v>542</v>
      </c>
      <c r="AP39" s="106"/>
      <c r="AQ39" s="106" t="s">
        <v>642</v>
      </c>
      <c r="AR39" s="106"/>
      <c r="AS39" s="106"/>
      <c r="AT39" s="106"/>
    </row>
    <row r="40" spans="1:46" ht="14.25">
      <c r="A40" s="114" t="s">
        <v>538</v>
      </c>
      <c r="B40" s="106" t="s">
        <v>643</v>
      </c>
      <c r="C40" s="106" t="s">
        <v>644</v>
      </c>
      <c r="D40" s="106" t="s">
        <v>531</v>
      </c>
      <c r="E40" s="107" t="s">
        <v>549</v>
      </c>
      <c r="F40" s="106" t="s">
        <v>573</v>
      </c>
      <c r="G40" s="106"/>
      <c r="H40" s="106" t="s">
        <v>534</v>
      </c>
      <c r="I40" s="106"/>
      <c r="J40" s="106"/>
      <c r="K40" s="108">
        <f>K4</f>
        <v>20</v>
      </c>
      <c r="L40" s="109">
        <v>4309</v>
      </c>
      <c r="M40" s="109">
        <v>4309</v>
      </c>
      <c r="N40" s="109">
        <v>4309</v>
      </c>
      <c r="O40" s="109">
        <v>4309</v>
      </c>
      <c r="P40" s="109">
        <v>4309</v>
      </c>
      <c r="Q40" s="109">
        <v>226</v>
      </c>
      <c r="R40" s="106"/>
      <c r="S40" s="110">
        <v>0.84679858006836706</v>
      </c>
      <c r="T40" s="110">
        <v>0.84679858006836706</v>
      </c>
      <c r="U40" s="110">
        <v>0.84679858006836706</v>
      </c>
      <c r="V40" s="110">
        <v>0.84679858006836706</v>
      </c>
      <c r="W40" s="110">
        <v>0.84679858006836706</v>
      </c>
      <c r="X40" s="153"/>
      <c r="Y40" s="106"/>
      <c r="Z40" s="106"/>
      <c r="AA40" s="106"/>
      <c r="AB40" s="106"/>
      <c r="AC40" s="106"/>
      <c r="AD40" s="108"/>
      <c r="AE40" s="110">
        <v>0.40</v>
      </c>
      <c r="AF40" s="110">
        <v>1</v>
      </c>
      <c r="AG40" s="106"/>
      <c r="AH40" s="148"/>
      <c r="AI40" s="148"/>
      <c r="AJ40" s="148"/>
      <c r="AK40" s="154"/>
      <c r="AL40" s="154"/>
      <c r="AM40" s="154"/>
      <c r="AN40" s="106"/>
      <c r="AO40" s="106"/>
      <c r="AP40" s="106"/>
      <c r="AQ40" s="106"/>
      <c r="AR40" s="106"/>
      <c r="AS40" s="106"/>
      <c r="AT40" s="106"/>
    </row>
    <row r="41" spans="1:46" s="125" customFormat="1" ht="14.25">
      <c r="A41" s="155" t="s">
        <v>538</v>
      </c>
      <c r="B41" s="118" t="s">
        <v>645</v>
      </c>
      <c r="C41" s="118" t="s">
        <v>646</v>
      </c>
      <c r="D41" s="118" t="s">
        <v>531</v>
      </c>
      <c r="E41" s="119" t="s">
        <v>532</v>
      </c>
      <c r="F41" s="118" t="s">
        <v>647</v>
      </c>
      <c r="G41" s="118"/>
      <c r="H41" s="118" t="s">
        <v>534</v>
      </c>
      <c r="I41" s="118"/>
      <c r="J41" s="118"/>
      <c r="K41" s="133">
        <f>K8</f>
        <v>22</v>
      </c>
      <c r="L41" s="134">
        <v>5527</v>
      </c>
      <c r="M41" s="134">
        <v>5527</v>
      </c>
      <c r="N41" s="134">
        <v>5527</v>
      </c>
      <c r="O41" s="134">
        <v>5527</v>
      </c>
      <c r="P41" s="134">
        <v>5527</v>
      </c>
      <c r="Q41" s="134">
        <v>185</v>
      </c>
      <c r="R41" s="118"/>
      <c r="S41" s="122">
        <v>0.84595205954248598</v>
      </c>
      <c r="T41" s="122">
        <v>0.84595205954248598</v>
      </c>
      <c r="U41" s="122">
        <v>0.84595205954248598</v>
      </c>
      <c r="V41" s="122">
        <v>0.84595205954248598</v>
      </c>
      <c r="W41" s="122">
        <v>0.84595205954248598</v>
      </c>
      <c r="X41" s="156"/>
      <c r="Y41" s="118"/>
      <c r="Z41" s="118"/>
      <c r="AA41" s="118"/>
      <c r="AB41" s="118"/>
      <c r="AC41" s="118"/>
      <c r="AD41" s="133"/>
      <c r="AE41" s="122">
        <v>0.40</v>
      </c>
      <c r="AF41" s="122">
        <v>1</v>
      </c>
      <c r="AG41" s="118"/>
      <c r="AH41" s="157"/>
      <c r="AI41" s="157"/>
      <c r="AJ41" s="157"/>
      <c r="AK41" s="158"/>
      <c r="AL41" s="158"/>
      <c r="AM41" s="158"/>
      <c r="AN41" s="118"/>
      <c r="AO41" s="118"/>
      <c r="AP41" s="118"/>
      <c r="AQ41" s="118"/>
      <c r="AR41" s="118"/>
      <c r="AS41" s="118"/>
      <c r="AT41" s="118"/>
    </row>
    <row r="42" spans="1:46" ht="14.25">
      <c r="A42" s="114"/>
      <c r="B42" s="106"/>
      <c r="C42" s="106"/>
      <c r="D42" s="106"/>
      <c r="E42" s="107"/>
      <c r="F42" s="106"/>
      <c r="G42" s="106"/>
      <c r="H42" s="106"/>
      <c r="I42" s="106"/>
      <c r="J42" s="106"/>
      <c r="K42" s="108"/>
      <c r="L42" s="109"/>
      <c r="M42" s="109"/>
      <c r="N42" s="109"/>
      <c r="O42" s="109"/>
      <c r="P42" s="109"/>
      <c r="Q42" s="109"/>
      <c r="R42" s="106"/>
      <c r="S42" s="110"/>
      <c r="T42" s="110"/>
      <c r="U42" s="110"/>
      <c r="V42" s="110"/>
      <c r="W42" s="110"/>
      <c r="X42" s="153"/>
      <c r="Y42" s="106"/>
      <c r="Z42" s="106"/>
      <c r="AA42" s="106"/>
      <c r="AB42" s="106"/>
      <c r="AC42" s="106"/>
      <c r="AD42" s="108"/>
      <c r="AE42" s="110"/>
      <c r="AF42" s="110"/>
      <c r="AG42" s="106"/>
      <c r="AH42" s="148"/>
      <c r="AI42" s="148"/>
      <c r="AJ42" s="148"/>
      <c r="AK42" s="154"/>
      <c r="AL42" s="154"/>
      <c r="AM42" s="154"/>
      <c r="AN42" s="106"/>
      <c r="AO42" s="106"/>
      <c r="AP42" s="106"/>
      <c r="AQ42" s="106"/>
      <c r="AR42" s="106"/>
      <c r="AS42" s="106"/>
      <c r="AT42" s="106"/>
    </row>
    <row r="43" spans="1:46" s="103" customFormat="1" ht="28.5" customHeight="1">
      <c r="A43" s="96" t="s">
        <v>484</v>
      </c>
      <c r="B43" s="96" t="s">
        <v>485</v>
      </c>
      <c r="C43" s="96" t="s">
        <v>486</v>
      </c>
      <c r="D43" s="96" t="s">
        <v>487</v>
      </c>
      <c r="E43" s="96" t="s">
        <v>488</v>
      </c>
      <c r="F43" s="97" t="s">
        <v>489</v>
      </c>
      <c r="G43" s="97" t="s">
        <v>490</v>
      </c>
      <c r="H43" s="97" t="s">
        <v>491</v>
      </c>
      <c r="I43" s="97" t="s">
        <v>492</v>
      </c>
      <c r="J43" s="97" t="s">
        <v>493</v>
      </c>
      <c r="K43" s="98" t="s">
        <v>494</v>
      </c>
      <c r="L43" s="99" t="s">
        <v>495</v>
      </c>
      <c r="M43" s="99" t="s">
        <v>496</v>
      </c>
      <c r="N43" s="99" t="s">
        <v>497</v>
      </c>
      <c r="O43" s="99" t="s">
        <v>498</v>
      </c>
      <c r="P43" s="99" t="s">
        <v>499</v>
      </c>
      <c r="Q43" s="99" t="s">
        <v>500</v>
      </c>
      <c r="R43" s="99" t="s">
        <v>501</v>
      </c>
      <c r="S43" s="98" t="s">
        <v>29</v>
      </c>
      <c r="T43" s="98" t="s">
        <v>502</v>
      </c>
      <c r="U43" s="98" t="s">
        <v>503</v>
      </c>
      <c r="V43" s="98" t="s">
        <v>504</v>
      </c>
      <c r="W43" s="98" t="s">
        <v>505</v>
      </c>
      <c r="X43" s="98" t="s">
        <v>506</v>
      </c>
      <c r="Y43" s="98" t="s">
        <v>507</v>
      </c>
      <c r="Z43" s="98" t="s">
        <v>508</v>
      </c>
      <c r="AA43" s="98" t="s">
        <v>509</v>
      </c>
      <c r="AB43" s="98" t="s">
        <v>510</v>
      </c>
      <c r="AC43" s="98" t="s">
        <v>511</v>
      </c>
      <c r="AD43" s="98" t="s">
        <v>512</v>
      </c>
      <c r="AE43" s="98" t="s">
        <v>513</v>
      </c>
      <c r="AF43" s="98" t="s">
        <v>514</v>
      </c>
      <c r="AG43" s="98" t="s">
        <v>515</v>
      </c>
      <c r="AH43" s="98" t="s">
        <v>516</v>
      </c>
      <c r="AI43" s="98" t="s">
        <v>517</v>
      </c>
      <c r="AJ43" s="98" t="s">
        <v>518</v>
      </c>
      <c r="AK43" s="98" t="s">
        <v>519</v>
      </c>
      <c r="AL43" s="98" t="s">
        <v>520</v>
      </c>
      <c r="AM43" s="98" t="s">
        <v>521</v>
      </c>
      <c r="AN43" s="98" t="s">
        <v>522</v>
      </c>
      <c r="AO43" s="100" t="s">
        <v>523</v>
      </c>
      <c r="AP43" s="100" t="s">
        <v>524</v>
      </c>
      <c r="AQ43" s="101" t="s">
        <v>525</v>
      </c>
      <c r="AR43" s="98" t="s">
        <v>526</v>
      </c>
      <c r="AS43" s="98" t="s">
        <v>527</v>
      </c>
      <c r="AT43" s="102"/>
    </row>
    <row r="44" spans="1:46" ht="14.25">
      <c r="A44" s="104" t="s">
        <v>648</v>
      </c>
      <c r="B44" s="104"/>
      <c r="C44" s="104"/>
      <c r="D44" s="104"/>
      <c r="E44" s="105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6"/>
      <c r="AS44" s="106"/>
      <c r="AT44" s="106"/>
    </row>
    <row r="45" spans="1:46" ht="14.25">
      <c r="A45" s="102" t="s">
        <v>529</v>
      </c>
      <c r="B45" s="106" t="s">
        <v>649</v>
      </c>
      <c r="C45" s="102" t="s">
        <v>530</v>
      </c>
      <c r="D45" s="102" t="s">
        <v>650</v>
      </c>
      <c r="E45" s="159" t="str">
        <f t="shared" si="11" ref="E45:G60">IF(E4="","",E4)</f>
        <v>HOB-oil</v>
      </c>
      <c r="F45" s="160" t="str">
        <f t="shared" si="11"/>
        <v>RSDOIL, RSDBDL</v>
      </c>
      <c r="G45" s="160" t="str">
        <f t="shared" si="11"/>
        <v/>
      </c>
      <c r="H45" s="106" t="s">
        <v>651</v>
      </c>
      <c r="I45" s="106"/>
      <c r="J45" s="106"/>
      <c r="K45" s="160">
        <f t="shared" si="12" ref="K45:AQ52">IF(K4="","",K4)</f>
        <v>20</v>
      </c>
      <c r="L45" s="161">
        <f t="shared" si="12"/>
        <v>5527</v>
      </c>
      <c r="M45" s="161">
        <f t="shared" si="12"/>
        <v>5527</v>
      </c>
      <c r="N45" s="161">
        <f t="shared" si="12"/>
        <v>5527</v>
      </c>
      <c r="O45" s="161">
        <f t="shared" si="12"/>
        <v>5527</v>
      </c>
      <c r="P45" s="161">
        <f t="shared" si="12"/>
        <v>5527</v>
      </c>
      <c r="Q45" s="161">
        <f t="shared" si="12"/>
        <v>185</v>
      </c>
      <c r="R45" s="160" t="str">
        <f t="shared" si="12"/>
        <v/>
      </c>
      <c r="S45" s="162">
        <f t="shared" si="12"/>
        <v>0.84595205954248598</v>
      </c>
      <c r="T45" s="162">
        <f t="shared" si="12"/>
        <v>0.84595205954248598</v>
      </c>
      <c r="U45" s="162">
        <f t="shared" si="12"/>
        <v>0.84595205954248598</v>
      </c>
      <c r="V45" s="162">
        <f t="shared" si="12"/>
        <v>0.84595205954248598</v>
      </c>
      <c r="W45" s="162">
        <f t="shared" si="12"/>
        <v>0.84595205954248598</v>
      </c>
      <c r="X45" s="160" t="str">
        <f t="shared" si="12"/>
        <v/>
      </c>
      <c r="Y45" s="160" t="str">
        <f t="shared" si="12"/>
        <v/>
      </c>
      <c r="Z45" s="160" t="str">
        <f t="shared" si="12"/>
        <v/>
      </c>
      <c r="AA45" s="160" t="str">
        <f t="shared" si="12"/>
        <v/>
      </c>
      <c r="AB45" s="160" t="str">
        <f t="shared" si="12"/>
        <v/>
      </c>
      <c r="AC45" s="160" t="str">
        <f t="shared" si="12"/>
        <v/>
      </c>
      <c r="AD45" s="160" t="str">
        <f t="shared" si="12"/>
        <v/>
      </c>
      <c r="AE45" s="163">
        <f t="shared" si="12"/>
        <v>1</v>
      </c>
      <c r="AF45" s="163">
        <f t="shared" si="12"/>
        <v>1</v>
      </c>
      <c r="AG45" s="163" t="str">
        <f t="shared" si="12"/>
        <v/>
      </c>
      <c r="AH45" s="160" t="str">
        <f t="shared" si="12"/>
        <v/>
      </c>
      <c r="AI45" s="160" t="str">
        <f t="shared" si="12"/>
        <v/>
      </c>
      <c r="AJ45" s="160" t="str">
        <f t="shared" si="12"/>
        <v/>
      </c>
      <c r="AK45" s="160" t="str">
        <f t="shared" si="12"/>
        <v/>
      </c>
      <c r="AL45" s="160" t="str">
        <f t="shared" si="12"/>
        <v/>
      </c>
      <c r="AM45" s="160" t="str">
        <f t="shared" si="12"/>
        <v/>
      </c>
      <c r="AN45" s="160" t="str">
        <f t="shared" si="12"/>
        <v/>
      </c>
      <c r="AO45" s="160" t="str">
        <f t="shared" si="12"/>
        <v/>
      </c>
      <c r="AP45" s="160"/>
      <c r="AQ45" s="160" t="str">
        <f t="shared" si="12"/>
        <v/>
      </c>
      <c r="AR45" s="106"/>
      <c r="AS45" s="106"/>
      <c r="AT45" s="106"/>
    </row>
    <row r="46" spans="1:46" ht="14.25">
      <c r="A46" s="106" t="s">
        <v>529</v>
      </c>
      <c r="B46" s="106" t="s">
        <v>652</v>
      </c>
      <c r="C46" s="102" t="s">
        <v>536</v>
      </c>
      <c r="D46" s="102" t="s">
        <v>650</v>
      </c>
      <c r="E46" s="159" t="str">
        <f t="shared" si="11"/>
        <v>HOB-oil</v>
      </c>
      <c r="F46" s="160" t="str">
        <f t="shared" si="11"/>
        <v>RSDOIL, RSDBDL</v>
      </c>
      <c r="G46" s="160" t="str">
        <f t="shared" si="11"/>
        <v/>
      </c>
      <c r="H46" s="106" t="s">
        <v>651</v>
      </c>
      <c r="I46" s="106"/>
      <c r="J46" s="106"/>
      <c r="K46" s="160">
        <f t="shared" si="12"/>
        <v>20</v>
      </c>
      <c r="L46" s="161">
        <f t="shared" si="12"/>
        <v>5527</v>
      </c>
      <c r="M46" s="161">
        <f t="shared" si="12"/>
        <v>5527</v>
      </c>
      <c r="N46" s="161">
        <f t="shared" si="12"/>
        <v>5527</v>
      </c>
      <c r="O46" s="161">
        <f t="shared" si="12"/>
        <v>5527</v>
      </c>
      <c r="P46" s="161">
        <f t="shared" si="12"/>
        <v>5527</v>
      </c>
      <c r="Q46" s="161">
        <f t="shared" si="12"/>
        <v>185</v>
      </c>
      <c r="R46" s="160" t="str">
        <f t="shared" si="12"/>
        <v/>
      </c>
      <c r="S46" s="162">
        <f t="shared" si="12"/>
        <v>0.84595205954248598</v>
      </c>
      <c r="T46" s="162">
        <f t="shared" si="12"/>
        <v>0.84595205954248598</v>
      </c>
      <c r="U46" s="162">
        <f t="shared" si="12"/>
        <v>0.84595205954248598</v>
      </c>
      <c r="V46" s="162">
        <f t="shared" si="12"/>
        <v>0.84595205954248598</v>
      </c>
      <c r="W46" s="162">
        <f t="shared" si="12"/>
        <v>0.84595205954248598</v>
      </c>
      <c r="X46" s="160" t="str">
        <f t="shared" si="12"/>
        <v/>
      </c>
      <c r="Y46" s="160" t="str">
        <f t="shared" si="12"/>
        <v/>
      </c>
      <c r="Z46" s="160" t="str">
        <f t="shared" si="12"/>
        <v/>
      </c>
      <c r="AA46" s="160" t="str">
        <f t="shared" si="12"/>
        <v/>
      </c>
      <c r="AB46" s="160" t="str">
        <f t="shared" si="12"/>
        <v/>
      </c>
      <c r="AC46" s="160" t="str">
        <f t="shared" si="12"/>
        <v/>
      </c>
      <c r="AD46" s="160" t="str">
        <f t="shared" si="12"/>
        <v/>
      </c>
      <c r="AE46" s="163" t="str">
        <f t="shared" si="12"/>
        <v/>
      </c>
      <c r="AF46" s="163" t="str">
        <f t="shared" si="12"/>
        <v/>
      </c>
      <c r="AG46" s="163" t="str">
        <f t="shared" si="12"/>
        <v/>
      </c>
      <c r="AH46" s="160" t="str">
        <f t="shared" si="12"/>
        <v/>
      </c>
      <c r="AI46" s="160" t="str">
        <f t="shared" si="12"/>
        <v/>
      </c>
      <c r="AJ46" s="160" t="str">
        <f t="shared" si="12"/>
        <v/>
      </c>
      <c r="AK46" s="160" t="str">
        <f t="shared" si="12"/>
        <v/>
      </c>
      <c r="AL46" s="160" t="str">
        <f t="shared" si="12"/>
        <v/>
      </c>
      <c r="AM46" s="160" t="str">
        <f t="shared" si="12"/>
        <v/>
      </c>
      <c r="AN46" s="160" t="str">
        <f t="shared" si="12"/>
        <v/>
      </c>
      <c r="AO46" s="160" t="str">
        <f t="shared" si="12"/>
        <v/>
      </c>
      <c r="AP46" s="160"/>
      <c r="AQ46" s="160" t="str">
        <f t="shared" si="12"/>
        <v/>
      </c>
      <c r="AR46" s="106"/>
      <c r="AS46" s="106"/>
      <c r="AT46" s="106"/>
    </row>
    <row r="47" spans="1:46" ht="14.25">
      <c r="A47" s="114" t="s">
        <v>538</v>
      </c>
      <c r="B47" s="106" t="str">
        <f>B46&amp;"-"&amp;RIGHT(F47,3)&amp;"spl"</f>
        <v>R_ES-SH-DH-70_OIL02-SOLspl</v>
      </c>
      <c r="C47" s="106" t="s">
        <v>539</v>
      </c>
      <c r="D47" s="106" t="s">
        <v>650</v>
      </c>
      <c r="E47" s="159" t="str">
        <f t="shared" si="11"/>
        <v>Solar heating and hot tap water</v>
      </c>
      <c r="F47" s="160" t="str">
        <f t="shared" si="11"/>
        <v>RSDSOL</v>
      </c>
      <c r="G47" s="160" t="str">
        <f t="shared" si="11"/>
        <v/>
      </c>
      <c r="H47" s="106" t="s">
        <v>651</v>
      </c>
      <c r="I47" s="106"/>
      <c r="J47" s="106"/>
      <c r="K47" s="160">
        <f t="shared" si="12"/>
        <v>20</v>
      </c>
      <c r="L47" s="161">
        <f t="shared" si="12"/>
        <v>6294</v>
      </c>
      <c r="M47" s="161">
        <f t="shared" si="12"/>
        <v>6000.3599999999997</v>
      </c>
      <c r="N47" s="161">
        <f t="shared" si="12"/>
        <v>5755.6599999999999</v>
      </c>
      <c r="O47" s="161">
        <f t="shared" si="12"/>
        <v>4678.9799999999996</v>
      </c>
      <c r="P47" s="161">
        <f t="shared" si="12"/>
        <v>4678.9799999999996</v>
      </c>
      <c r="Q47" s="161">
        <f t="shared" si="12"/>
        <v>115</v>
      </c>
      <c r="R47" s="160" t="str">
        <f t="shared" si="12"/>
        <v/>
      </c>
      <c r="S47" s="162">
        <f t="shared" si="12"/>
        <v>1</v>
      </c>
      <c r="T47" s="162" t="str">
        <f t="shared" si="12"/>
        <v/>
      </c>
      <c r="U47" s="162" t="str">
        <f t="shared" si="12"/>
        <v/>
      </c>
      <c r="V47" s="162" t="str">
        <f t="shared" si="12"/>
        <v/>
      </c>
      <c r="W47" s="162" t="str">
        <f t="shared" si="12"/>
        <v/>
      </c>
      <c r="X47" s="160" t="str">
        <f t="shared" si="12"/>
        <v/>
      </c>
      <c r="Y47" s="160" t="str">
        <f t="shared" si="12"/>
        <v/>
      </c>
      <c r="Z47" s="160" t="str">
        <f t="shared" si="12"/>
        <v/>
      </c>
      <c r="AA47" s="160" t="str">
        <f t="shared" si="12"/>
        <v/>
      </c>
      <c r="AB47" s="160" t="str">
        <f t="shared" si="12"/>
        <v/>
      </c>
      <c r="AC47" s="160" t="str">
        <f t="shared" si="12"/>
        <v/>
      </c>
      <c r="AD47" s="160" t="str">
        <f t="shared" si="12"/>
        <v/>
      </c>
      <c r="AE47" s="163">
        <f t="shared" si="12"/>
        <v>0.14999999999999999</v>
      </c>
      <c r="AF47" s="163">
        <f t="shared" si="12"/>
        <v>0.14999999999999999</v>
      </c>
      <c r="AG47" s="163" t="str">
        <f t="shared" si="12"/>
        <v/>
      </c>
      <c r="AH47" s="160" t="str">
        <f t="shared" si="12"/>
        <v/>
      </c>
      <c r="AI47" s="160" t="str">
        <f t="shared" si="12"/>
        <v/>
      </c>
      <c r="AJ47" s="160" t="str">
        <f t="shared" si="12"/>
        <v/>
      </c>
      <c r="AK47" s="160" t="str">
        <f t="shared" si="12"/>
        <v/>
      </c>
      <c r="AL47" s="160" t="str">
        <f t="shared" si="12"/>
        <v/>
      </c>
      <c r="AM47" s="160" t="str">
        <f t="shared" si="12"/>
        <v/>
      </c>
      <c r="AN47" s="160" t="str">
        <f t="shared" si="12"/>
        <v/>
      </c>
      <c r="AO47" s="160" t="str">
        <f t="shared" si="12"/>
        <v>Y</v>
      </c>
      <c r="AP47" s="160"/>
      <c r="AQ47" s="160" t="str">
        <f t="shared" si="12"/>
        <v>Solar share 10-20 % (used 15%) as Gas+Solar</v>
      </c>
      <c r="AR47" s="106"/>
      <c r="AS47" s="106"/>
      <c r="AT47" s="106"/>
    </row>
    <row r="48" spans="1:46" ht="14.25">
      <c r="A48" s="114" t="s">
        <v>538</v>
      </c>
      <c r="B48" s="106" t="str">
        <f>B46&amp;"-"&amp;RIGHT(F48,3)&amp;"spl"</f>
        <v>R_ES-SH-DH-70_OIL02-BIOspl</v>
      </c>
      <c r="C48" s="106" t="s">
        <v>544</v>
      </c>
      <c r="D48" s="106" t="s">
        <v>650</v>
      </c>
      <c r="E48" s="159" t="str">
        <f t="shared" si="11"/>
        <v>HOB-wood</v>
      </c>
      <c r="F48" s="160" t="str">
        <f t="shared" si="11"/>
        <v>RSDBIO</v>
      </c>
      <c r="G48" s="160" t="str">
        <f t="shared" si="11"/>
        <v/>
      </c>
      <c r="H48" s="106" t="s">
        <v>468</v>
      </c>
      <c r="I48" s="106"/>
      <c r="J48" s="106"/>
      <c r="K48" s="160">
        <f t="shared" si="12"/>
        <v>20</v>
      </c>
      <c r="L48" s="161">
        <f t="shared" si="12"/>
        <v>4200</v>
      </c>
      <c r="M48" s="161">
        <f t="shared" si="12"/>
        <v>4200</v>
      </c>
      <c r="N48" s="161">
        <f t="shared" si="12"/>
        <v>5100</v>
      </c>
      <c r="O48" s="161">
        <f t="shared" si="12"/>
        <v>5100</v>
      </c>
      <c r="P48" s="161">
        <f t="shared" si="12"/>
        <v>5100</v>
      </c>
      <c r="Q48" s="161">
        <f t="shared" si="12"/>
        <v>1</v>
      </c>
      <c r="R48" s="160" t="str">
        <f t="shared" si="12"/>
        <v/>
      </c>
      <c r="S48" s="162">
        <f t="shared" si="12"/>
        <v>0.65000000000000002</v>
      </c>
      <c r="T48" s="162">
        <f t="shared" si="12"/>
        <v>0.69999999999999996</v>
      </c>
      <c r="U48" s="162">
        <f t="shared" si="12"/>
        <v>0.75</v>
      </c>
      <c r="V48" s="162">
        <f t="shared" si="12"/>
        <v>0.75</v>
      </c>
      <c r="W48" s="162">
        <f t="shared" si="12"/>
        <v>0.75</v>
      </c>
      <c r="X48" s="160" t="str">
        <f t="shared" si="12"/>
        <v/>
      </c>
      <c r="Y48" s="160" t="str">
        <f t="shared" si="12"/>
        <v/>
      </c>
      <c r="Z48" s="160" t="str">
        <f t="shared" si="12"/>
        <v/>
      </c>
      <c r="AA48" s="160" t="str">
        <f t="shared" si="12"/>
        <v/>
      </c>
      <c r="AB48" s="160" t="str">
        <f t="shared" si="12"/>
        <v/>
      </c>
      <c r="AC48" s="160" t="str">
        <f t="shared" si="12"/>
        <v/>
      </c>
      <c r="AD48" s="160" t="str">
        <f t="shared" si="12"/>
        <v/>
      </c>
      <c r="AE48" s="163">
        <f t="shared" si="12"/>
        <v>0.40000000000000002</v>
      </c>
      <c r="AF48" s="163" t="str">
        <f t="shared" si="12"/>
        <v/>
      </c>
      <c r="AG48" s="163" t="str">
        <f t="shared" si="12"/>
        <v/>
      </c>
      <c r="AH48" s="160" t="str">
        <f t="shared" si="12"/>
        <v/>
      </c>
      <c r="AI48" s="160" t="str">
        <f t="shared" si="12"/>
        <v/>
      </c>
      <c r="AJ48" s="160" t="str">
        <f t="shared" si="12"/>
        <v/>
      </c>
      <c r="AK48" s="160" t="str">
        <f t="shared" si="12"/>
        <v/>
      </c>
      <c r="AL48" s="160" t="str">
        <f t="shared" si="12"/>
        <v/>
      </c>
      <c r="AM48" s="160" t="str">
        <f t="shared" si="12"/>
        <v/>
      </c>
      <c r="AN48" s="160" t="str">
        <f t="shared" si="12"/>
        <v/>
      </c>
      <c r="AO48" s="160" t="str">
        <f t="shared" si="12"/>
        <v>Y</v>
      </c>
      <c r="AP48" s="160"/>
      <c r="AQ48" s="160" t="str">
        <f t="shared" si="12"/>
        <v>Added Storage costs (add. inv.)</v>
      </c>
      <c r="AR48" s="106"/>
      <c r="AS48" s="106"/>
      <c r="AT48" s="106"/>
    </row>
    <row r="49" spans="1:46" ht="14.25">
      <c r="A49" s="102" t="s">
        <v>529</v>
      </c>
      <c r="B49" s="106" t="s">
        <v>653</v>
      </c>
      <c r="C49" s="106" t="s">
        <v>548</v>
      </c>
      <c r="D49" s="106" t="s">
        <v>650</v>
      </c>
      <c r="E49" s="159" t="str">
        <f t="shared" si="11"/>
        <v>HOB-gas</v>
      </c>
      <c r="F49" s="160" t="str">
        <f t="shared" si="11"/>
        <v>RSDGAS, RSDLPG, RSDBGS</v>
      </c>
      <c r="G49" s="160" t="str">
        <f t="shared" si="11"/>
        <v/>
      </c>
      <c r="H49" s="106" t="s">
        <v>651</v>
      </c>
      <c r="I49" s="106"/>
      <c r="J49" s="106"/>
      <c r="K49" s="160">
        <f t="shared" si="12"/>
        <v>22</v>
      </c>
      <c r="L49" s="161">
        <f t="shared" si="12"/>
        <v>4309</v>
      </c>
      <c r="M49" s="161">
        <f t="shared" si="12"/>
        <v>4309</v>
      </c>
      <c r="N49" s="161">
        <f t="shared" si="12"/>
        <v>4309</v>
      </c>
      <c r="O49" s="161">
        <f t="shared" si="12"/>
        <v>4309</v>
      </c>
      <c r="P49" s="161">
        <f t="shared" si="12"/>
        <v>4309</v>
      </c>
      <c r="Q49" s="161">
        <f t="shared" si="12"/>
        <v>226</v>
      </c>
      <c r="R49" s="160" t="str">
        <f t="shared" si="12"/>
        <v/>
      </c>
      <c r="S49" s="162">
        <f t="shared" si="12"/>
        <v>0.84679858006836706</v>
      </c>
      <c r="T49" s="162">
        <f t="shared" si="12"/>
        <v>0.84679858006836706</v>
      </c>
      <c r="U49" s="162">
        <f t="shared" si="12"/>
        <v>0.84679858006836706</v>
      </c>
      <c r="V49" s="162">
        <f t="shared" si="12"/>
        <v>0.84679858006836706</v>
      </c>
      <c r="W49" s="162">
        <f t="shared" si="12"/>
        <v>0.84679858006836706</v>
      </c>
      <c r="X49" s="160" t="str">
        <f t="shared" si="12"/>
        <v/>
      </c>
      <c r="Y49" s="160" t="str">
        <f t="shared" si="12"/>
        <v/>
      </c>
      <c r="Z49" s="160" t="str">
        <f t="shared" si="12"/>
        <v/>
      </c>
      <c r="AA49" s="160" t="str">
        <f t="shared" si="12"/>
        <v/>
      </c>
      <c r="AB49" s="160" t="str">
        <f t="shared" si="12"/>
        <v/>
      </c>
      <c r="AC49" s="160" t="str">
        <f t="shared" si="12"/>
        <v/>
      </c>
      <c r="AD49" s="160" t="str">
        <f t="shared" si="12"/>
        <v/>
      </c>
      <c r="AE49" s="163">
        <f t="shared" si="12"/>
        <v>1</v>
      </c>
      <c r="AF49" s="163">
        <f t="shared" si="12"/>
        <v>1</v>
      </c>
      <c r="AG49" s="163" t="str">
        <f t="shared" si="12"/>
        <v/>
      </c>
      <c r="AH49" s="160" t="str">
        <f t="shared" si="12"/>
        <v/>
      </c>
      <c r="AI49" s="160" t="str">
        <f t="shared" si="12"/>
        <v/>
      </c>
      <c r="AJ49" s="160" t="str">
        <f t="shared" si="12"/>
        <v/>
      </c>
      <c r="AK49" s="160" t="str">
        <f t="shared" si="12"/>
        <v/>
      </c>
      <c r="AL49" s="160" t="str">
        <f t="shared" si="12"/>
        <v/>
      </c>
      <c r="AM49" s="160" t="str">
        <f t="shared" si="12"/>
        <v/>
      </c>
      <c r="AN49" s="160" t="str">
        <f t="shared" si="12"/>
        <v/>
      </c>
      <c r="AO49" s="160" t="str">
        <f t="shared" si="12"/>
        <v/>
      </c>
      <c r="AP49" s="160"/>
      <c r="AQ49" s="160" t="str">
        <f t="shared" si="12"/>
        <v/>
      </c>
      <c r="AR49" s="106"/>
      <c r="AS49" s="106"/>
      <c r="AT49" s="106"/>
    </row>
    <row r="50" spans="1:46" ht="14.25">
      <c r="A50" s="102" t="s">
        <v>529</v>
      </c>
      <c r="B50" s="106" t="s">
        <v>654</v>
      </c>
      <c r="C50" s="106" t="s">
        <v>552</v>
      </c>
      <c r="D50" s="106" t="s">
        <v>650</v>
      </c>
      <c r="E50" s="159" t="str">
        <f t="shared" si="11"/>
        <v>HOB-gas</v>
      </c>
      <c r="F50" s="160" t="str">
        <f t="shared" si="11"/>
        <v>RSDGAS, RSDLPG, RSDBGS</v>
      </c>
      <c r="G50" s="160" t="str">
        <f t="shared" si="11"/>
        <v/>
      </c>
      <c r="H50" s="106" t="s">
        <v>651</v>
      </c>
      <c r="I50" s="106"/>
      <c r="J50" s="106"/>
      <c r="K50" s="160">
        <f t="shared" si="12"/>
        <v>22</v>
      </c>
      <c r="L50" s="161">
        <f t="shared" si="12"/>
        <v>4309</v>
      </c>
      <c r="M50" s="161">
        <f t="shared" si="12"/>
        <v>4309</v>
      </c>
      <c r="N50" s="161">
        <f t="shared" si="12"/>
        <v>4309</v>
      </c>
      <c r="O50" s="161">
        <f t="shared" si="12"/>
        <v>4309</v>
      </c>
      <c r="P50" s="161">
        <f t="shared" si="12"/>
        <v>4309</v>
      </c>
      <c r="Q50" s="161">
        <f t="shared" si="12"/>
        <v>226</v>
      </c>
      <c r="R50" s="160" t="str">
        <f t="shared" si="12"/>
        <v/>
      </c>
      <c r="S50" s="162">
        <f t="shared" si="12"/>
        <v>0.84679858006836706</v>
      </c>
      <c r="T50" s="162">
        <f t="shared" si="12"/>
        <v>0.84679858006836706</v>
      </c>
      <c r="U50" s="162">
        <f t="shared" si="12"/>
        <v>0.84679858006836706</v>
      </c>
      <c r="V50" s="162">
        <f t="shared" si="12"/>
        <v>0.84679858006836706</v>
      </c>
      <c r="W50" s="162">
        <f t="shared" si="12"/>
        <v>0.84679858006836706</v>
      </c>
      <c r="X50" s="160" t="str">
        <f t="shared" si="12"/>
        <v/>
      </c>
      <c r="Y50" s="160" t="str">
        <f t="shared" si="12"/>
        <v/>
      </c>
      <c r="Z50" s="160" t="str">
        <f t="shared" si="12"/>
        <v/>
      </c>
      <c r="AA50" s="160" t="str">
        <f t="shared" si="12"/>
        <v/>
      </c>
      <c r="AB50" s="160" t="str">
        <f t="shared" si="12"/>
        <v/>
      </c>
      <c r="AC50" s="160" t="str">
        <f t="shared" si="12"/>
        <v/>
      </c>
      <c r="AD50" s="160" t="str">
        <f t="shared" si="12"/>
        <v/>
      </c>
      <c r="AE50" s="163">
        <f t="shared" si="12"/>
        <v>1</v>
      </c>
      <c r="AF50" s="163">
        <f t="shared" si="12"/>
        <v>1</v>
      </c>
      <c r="AG50" s="163" t="str">
        <f t="shared" si="12"/>
        <v/>
      </c>
      <c r="AH50" s="160" t="str">
        <f t="shared" si="12"/>
        <v/>
      </c>
      <c r="AI50" s="160" t="str">
        <f t="shared" si="12"/>
        <v/>
      </c>
      <c r="AJ50" s="160" t="str">
        <f t="shared" si="12"/>
        <v/>
      </c>
      <c r="AK50" s="160" t="str">
        <f t="shared" si="12"/>
        <v/>
      </c>
      <c r="AL50" s="160" t="str">
        <f t="shared" si="12"/>
        <v/>
      </c>
      <c r="AM50" s="160" t="str">
        <f t="shared" si="12"/>
        <v/>
      </c>
      <c r="AN50" s="160" t="str">
        <f t="shared" si="12"/>
        <v/>
      </c>
      <c r="AO50" s="160" t="str">
        <f t="shared" si="12"/>
        <v/>
      </c>
      <c r="AP50" s="160"/>
      <c r="AQ50" s="160" t="str">
        <f t="shared" si="12"/>
        <v/>
      </c>
      <c r="AR50" s="106"/>
      <c r="AS50" s="106"/>
      <c r="AT50" s="106"/>
    </row>
    <row r="51" spans="1:46" ht="14.25">
      <c r="A51" s="114" t="s">
        <v>538</v>
      </c>
      <c r="B51" s="106" t="str">
        <f>B50&amp;"-"&amp;RIGHT(F51,3)&amp;"spl"</f>
        <v>R_ES-SH-DH-70_GAS02-SOLspl</v>
      </c>
      <c r="C51" s="106" t="s">
        <v>553</v>
      </c>
      <c r="D51" s="106" t="s">
        <v>650</v>
      </c>
      <c r="E51" s="159" t="str">
        <f t="shared" si="11"/>
        <v>Solar heating and hot tap water</v>
      </c>
      <c r="F51" s="160" t="str">
        <f t="shared" si="11"/>
        <v>RSDSOL</v>
      </c>
      <c r="G51" s="160" t="str">
        <f t="shared" si="11"/>
        <v/>
      </c>
      <c r="H51" s="106" t="s">
        <v>651</v>
      </c>
      <c r="I51" s="106"/>
      <c r="J51" s="106"/>
      <c r="K51" s="160">
        <f t="shared" si="12"/>
        <v>20</v>
      </c>
      <c r="L51" s="161">
        <f t="shared" si="12"/>
        <v>6294</v>
      </c>
      <c r="M51" s="161">
        <f t="shared" si="12"/>
        <v>6000.3599999999997</v>
      </c>
      <c r="N51" s="161">
        <f t="shared" si="12"/>
        <v>5755.6599999999999</v>
      </c>
      <c r="O51" s="161">
        <f t="shared" si="12"/>
        <v>4678.9799999999996</v>
      </c>
      <c r="P51" s="161">
        <f t="shared" si="12"/>
        <v>4678.9799999999996</v>
      </c>
      <c r="Q51" s="161">
        <f t="shared" si="12"/>
        <v>115</v>
      </c>
      <c r="R51" s="160" t="str">
        <f t="shared" si="12"/>
        <v/>
      </c>
      <c r="S51" s="162">
        <f t="shared" si="12"/>
        <v>1</v>
      </c>
      <c r="T51" s="162" t="str">
        <f t="shared" si="12"/>
        <v/>
      </c>
      <c r="U51" s="162" t="str">
        <f t="shared" si="12"/>
        <v/>
      </c>
      <c r="V51" s="162" t="str">
        <f t="shared" si="12"/>
        <v/>
      </c>
      <c r="W51" s="162" t="str">
        <f t="shared" si="12"/>
        <v/>
      </c>
      <c r="X51" s="160" t="str">
        <f t="shared" si="12"/>
        <v/>
      </c>
      <c r="Y51" s="160" t="str">
        <f t="shared" si="12"/>
        <v/>
      </c>
      <c r="Z51" s="160" t="str">
        <f t="shared" si="12"/>
        <v/>
      </c>
      <c r="AA51" s="160" t="str">
        <f t="shared" si="12"/>
        <v/>
      </c>
      <c r="AB51" s="160" t="str">
        <f t="shared" si="12"/>
        <v/>
      </c>
      <c r="AC51" s="160" t="str">
        <f t="shared" si="12"/>
        <v/>
      </c>
      <c r="AD51" s="160" t="str">
        <f t="shared" si="12"/>
        <v/>
      </c>
      <c r="AE51" s="163">
        <f t="shared" si="12"/>
        <v>0.14999999999999999</v>
      </c>
      <c r="AF51" s="163">
        <f t="shared" si="12"/>
        <v>0.14999999999999999</v>
      </c>
      <c r="AG51" s="163" t="str">
        <f t="shared" si="12"/>
        <v/>
      </c>
      <c r="AH51" s="160" t="str">
        <f t="shared" si="12"/>
        <v/>
      </c>
      <c r="AI51" s="160" t="str">
        <f t="shared" si="12"/>
        <v/>
      </c>
      <c r="AJ51" s="160" t="str">
        <f t="shared" si="12"/>
        <v/>
      </c>
      <c r="AK51" s="160" t="str">
        <f t="shared" si="12"/>
        <v/>
      </c>
      <c r="AL51" s="160" t="str">
        <f t="shared" si="12"/>
        <v/>
      </c>
      <c r="AM51" s="160" t="str">
        <f t="shared" si="12"/>
        <v/>
      </c>
      <c r="AN51" s="160" t="str">
        <f t="shared" si="12"/>
        <v/>
      </c>
      <c r="AO51" s="160" t="str">
        <f t="shared" si="12"/>
        <v>Y</v>
      </c>
      <c r="AP51" s="160"/>
      <c r="AQ51" s="160" t="str">
        <f t="shared" si="12"/>
        <v xml:space="preserve">Solar share 10-20 % (used 15%). AddInv: Control unit that facilitates the operation </v>
      </c>
      <c r="AR51" s="106"/>
      <c r="AS51" s="106"/>
      <c r="AT51" s="106"/>
    </row>
    <row r="52" spans="1:46" ht="14.25">
      <c r="A52" s="114" t="s">
        <v>538</v>
      </c>
      <c r="B52" s="106" t="str">
        <f>B50&amp;"-"&amp;RIGHT(F52,3)&amp;"spl"</f>
        <v>R_ES-SH-DH-70_GAS02-BIOspl</v>
      </c>
      <c r="C52" s="106" t="s">
        <v>555</v>
      </c>
      <c r="D52" s="106" t="s">
        <v>650</v>
      </c>
      <c r="E52" s="159" t="str">
        <f t="shared" si="11"/>
        <v>HOB-wood</v>
      </c>
      <c r="F52" s="160" t="str">
        <f t="shared" si="11"/>
        <v>RSDBIO</v>
      </c>
      <c r="G52" s="160" t="str">
        <f t="shared" si="11"/>
        <v/>
      </c>
      <c r="H52" s="106" t="s">
        <v>468</v>
      </c>
      <c r="I52" s="106"/>
      <c r="J52" s="106"/>
      <c r="K52" s="160">
        <f t="shared" si="12"/>
        <v>20</v>
      </c>
      <c r="L52" s="161">
        <f t="shared" si="12"/>
        <v>4200</v>
      </c>
      <c r="M52" s="161">
        <f t="shared" si="12"/>
        <v>4200</v>
      </c>
      <c r="N52" s="161">
        <f t="shared" si="12"/>
        <v>5100</v>
      </c>
      <c r="O52" s="161">
        <f t="shared" si="12"/>
        <v>5100</v>
      </c>
      <c r="P52" s="161">
        <f t="shared" si="12"/>
        <v>5100</v>
      </c>
      <c r="Q52" s="161">
        <f t="shared" si="12"/>
        <v>1</v>
      </c>
      <c r="R52" s="160" t="str">
        <f t="shared" si="12"/>
        <v/>
      </c>
      <c r="S52" s="162">
        <f t="shared" si="12"/>
        <v>0.65000000000000002</v>
      </c>
      <c r="T52" s="162">
        <f t="shared" si="12"/>
        <v>0.69999999999999996</v>
      </c>
      <c r="U52" s="162">
        <f t="shared" si="12"/>
        <v>0.75</v>
      </c>
      <c r="V52" s="162">
        <f t="shared" si="12"/>
        <v>0.75</v>
      </c>
      <c r="W52" s="162">
        <f t="shared" si="12"/>
        <v>0.75</v>
      </c>
      <c r="X52" s="160" t="str">
        <f t="shared" si="12"/>
        <v/>
      </c>
      <c r="Y52" s="160" t="str">
        <f t="shared" si="12"/>
        <v/>
      </c>
      <c r="Z52" s="160" t="str">
        <f t="shared" si="12"/>
        <v/>
      </c>
      <c r="AA52" s="160" t="str">
        <f t="shared" si="12"/>
        <v/>
      </c>
      <c r="AB52" s="160" t="str">
        <f t="shared" si="12"/>
        <v/>
      </c>
      <c r="AC52" s="160" t="str">
        <f t="shared" si="12"/>
        <v/>
      </c>
      <c r="AD52" s="160" t="str">
        <f t="shared" si="12"/>
        <v/>
      </c>
      <c r="AE52" s="163">
        <f t="shared" si="12"/>
        <v>0.40000000000000002</v>
      </c>
      <c r="AF52" s="163" t="str">
        <f t="shared" si="12"/>
        <v/>
      </c>
      <c r="AG52" s="163" t="str">
        <f t="shared" si="12"/>
        <v/>
      </c>
      <c r="AH52" s="160" t="str">
        <f t="shared" si="12"/>
        <v/>
      </c>
      <c r="AI52" s="160" t="str">
        <f t="shared" si="12"/>
        <v/>
      </c>
      <c r="AJ52" s="160" t="str">
        <f t="shared" si="12"/>
        <v/>
      </c>
      <c r="AK52" s="160" t="str">
        <f t="shared" si="12"/>
        <v/>
      </c>
      <c r="AL52" s="160" t="str">
        <f t="shared" si="12"/>
        <v/>
      </c>
      <c r="AM52" s="160" t="str">
        <f t="shared" si="12"/>
        <v/>
      </c>
      <c r="AN52" s="160" t="str">
        <f t="shared" si="12"/>
        <v/>
      </c>
      <c r="AO52" s="160" t="str">
        <f t="shared" si="12"/>
        <v>Y</v>
      </c>
      <c r="AP52" s="160"/>
      <c r="AQ52" s="160" t="str">
        <f t="shared" si="13" ref="AQ52">IF(AQ11="","",AQ11)</f>
        <v>Added Storage costs (add. inv.)</v>
      </c>
      <c r="AR52" s="106"/>
      <c r="AS52" s="106"/>
      <c r="AT52" s="106"/>
    </row>
    <row r="53" spans="1:46" ht="14.25">
      <c r="A53" s="102" t="s">
        <v>529</v>
      </c>
      <c r="B53" s="106" t="s">
        <v>655</v>
      </c>
      <c r="C53" s="106" t="s">
        <v>556</v>
      </c>
      <c r="D53" s="106" t="s">
        <v>650</v>
      </c>
      <c r="E53" s="159" t="str">
        <f t="shared" si="11"/>
        <v>HOB-biomass</v>
      </c>
      <c r="F53" s="160" t="str">
        <f t="shared" si="11"/>
        <v>RSDBIO</v>
      </c>
      <c r="G53" s="160" t="str">
        <f t="shared" si="11"/>
        <v/>
      </c>
      <c r="H53" s="106" t="s">
        <v>651</v>
      </c>
      <c r="I53" s="106"/>
      <c r="J53" s="106"/>
      <c r="K53" s="160">
        <f t="shared" si="14" ref="K53:AQ60">IF(K12="","",K12)</f>
        <v>20</v>
      </c>
      <c r="L53" s="161">
        <f t="shared" si="14"/>
        <v>16550</v>
      </c>
      <c r="M53" s="161">
        <f t="shared" si="14"/>
        <v>16550</v>
      </c>
      <c r="N53" s="161">
        <f t="shared" si="14"/>
        <v>17720</v>
      </c>
      <c r="O53" s="161">
        <f t="shared" si="14"/>
        <v>17720</v>
      </c>
      <c r="P53" s="161">
        <f t="shared" si="14"/>
        <v>17720</v>
      </c>
      <c r="Q53" s="161">
        <f t="shared" si="14"/>
        <v>470.58823529411768</v>
      </c>
      <c r="R53" s="160" t="str">
        <f t="shared" si="14"/>
        <v/>
      </c>
      <c r="S53" s="162">
        <f t="shared" si="14"/>
        <v>0.67308496185599331</v>
      </c>
      <c r="T53" s="162">
        <f t="shared" si="14"/>
        <v>0.67308496185599331</v>
      </c>
      <c r="U53" s="162">
        <f t="shared" si="14"/>
        <v>0.67308496185599331</v>
      </c>
      <c r="V53" s="162">
        <f t="shared" si="14"/>
        <v>0.67308496185599331</v>
      </c>
      <c r="W53" s="162">
        <f t="shared" si="14"/>
        <v>0.67308496185599331</v>
      </c>
      <c r="X53" s="160" t="str">
        <f t="shared" si="14"/>
        <v/>
      </c>
      <c r="Y53" s="160" t="str">
        <f t="shared" si="14"/>
        <v/>
      </c>
      <c r="Z53" s="160" t="str">
        <f t="shared" si="14"/>
        <v/>
      </c>
      <c r="AA53" s="160" t="str">
        <f t="shared" si="14"/>
        <v/>
      </c>
      <c r="AB53" s="160" t="str">
        <f t="shared" si="14"/>
        <v/>
      </c>
      <c r="AC53" s="160" t="str">
        <f t="shared" si="14"/>
        <v/>
      </c>
      <c r="AD53" s="160" t="str">
        <f t="shared" si="14"/>
        <v/>
      </c>
      <c r="AE53" s="163">
        <f t="shared" si="14"/>
        <v>1</v>
      </c>
      <c r="AF53" s="163">
        <f t="shared" si="14"/>
        <v>1</v>
      </c>
      <c r="AG53" s="163" t="str">
        <f t="shared" si="14"/>
        <v/>
      </c>
      <c r="AH53" s="160" t="str">
        <f t="shared" si="14"/>
        <v/>
      </c>
      <c r="AI53" s="160" t="str">
        <f t="shared" si="14"/>
        <v/>
      </c>
      <c r="AJ53" s="160" t="str">
        <f t="shared" si="14"/>
        <v/>
      </c>
      <c r="AK53" s="160" t="str">
        <f t="shared" si="14"/>
        <v/>
      </c>
      <c r="AL53" s="160" t="str">
        <f t="shared" si="14"/>
        <v/>
      </c>
      <c r="AM53" s="160" t="str">
        <f t="shared" si="14"/>
        <v/>
      </c>
      <c r="AN53" s="160" t="str">
        <f t="shared" si="14"/>
        <v/>
      </c>
      <c r="AO53" s="160" t="str">
        <f t="shared" si="14"/>
        <v>Y</v>
      </c>
      <c r="AP53" s="160"/>
      <c r="AQ53" s="160" t="str">
        <f t="shared" si="14"/>
        <v>Added Storage costs (add. inv.)</v>
      </c>
      <c r="AR53" s="106"/>
      <c r="AS53" s="106"/>
      <c r="AT53" s="106"/>
    </row>
    <row r="54" spans="1:46" s="125" customFormat="1" ht="14.25">
      <c r="A54" s="118" t="s">
        <v>529</v>
      </c>
      <c r="B54" s="118" t="s">
        <v>656</v>
      </c>
      <c r="C54" s="118" t="s">
        <v>559</v>
      </c>
      <c r="D54" s="118" t="s">
        <v>650</v>
      </c>
      <c r="E54" s="164" t="str">
        <f t="shared" si="11"/>
        <v>Electric_electric boiler</v>
      </c>
      <c r="F54" s="165" t="str">
        <f t="shared" si="11"/>
        <v>RSDELC</v>
      </c>
      <c r="G54" s="165" t="str">
        <f t="shared" si="11"/>
        <v/>
      </c>
      <c r="H54" s="118" t="s">
        <v>651</v>
      </c>
      <c r="I54" s="118"/>
      <c r="J54" s="118"/>
      <c r="K54" s="165">
        <f t="shared" si="14"/>
        <v>15</v>
      </c>
      <c r="L54" s="166">
        <f t="shared" si="14"/>
        <v>4000</v>
      </c>
      <c r="M54" s="166">
        <f t="shared" si="14"/>
        <v>4000</v>
      </c>
      <c r="N54" s="166">
        <f t="shared" si="14"/>
        <v>4000</v>
      </c>
      <c r="O54" s="166">
        <f t="shared" si="14"/>
        <v>4000</v>
      </c>
      <c r="P54" s="166">
        <f t="shared" si="14"/>
        <v>4000</v>
      </c>
      <c r="Q54" s="166">
        <f t="shared" si="14"/>
        <v>10</v>
      </c>
      <c r="R54" s="165" t="str">
        <f t="shared" si="14"/>
        <v/>
      </c>
      <c r="S54" s="167">
        <f t="shared" si="14"/>
        <v>1</v>
      </c>
      <c r="T54" s="167" t="str">
        <f t="shared" si="14"/>
        <v/>
      </c>
      <c r="U54" s="167" t="str">
        <f t="shared" si="14"/>
        <v/>
      </c>
      <c r="V54" s="167" t="str">
        <f t="shared" si="14"/>
        <v/>
      </c>
      <c r="W54" s="167" t="str">
        <f t="shared" si="14"/>
        <v/>
      </c>
      <c r="X54" s="165" t="str">
        <f t="shared" si="14"/>
        <v/>
      </c>
      <c r="Y54" s="165" t="str">
        <f t="shared" si="14"/>
        <v/>
      </c>
      <c r="Z54" s="165" t="str">
        <f t="shared" si="14"/>
        <v/>
      </c>
      <c r="AA54" s="165" t="str">
        <f t="shared" si="14"/>
        <v/>
      </c>
      <c r="AB54" s="165" t="str">
        <f t="shared" si="14"/>
        <v/>
      </c>
      <c r="AC54" s="165" t="str">
        <f t="shared" si="14"/>
        <v/>
      </c>
      <c r="AD54" s="165" t="str">
        <f t="shared" si="14"/>
        <v/>
      </c>
      <c r="AE54" s="168">
        <f t="shared" si="14"/>
        <v>1</v>
      </c>
      <c r="AF54" s="168">
        <f t="shared" si="14"/>
        <v>1</v>
      </c>
      <c r="AG54" s="168" t="str">
        <f t="shared" si="14"/>
        <v/>
      </c>
      <c r="AH54" s="165" t="str">
        <f t="shared" si="14"/>
        <v/>
      </c>
      <c r="AI54" s="165" t="str">
        <f t="shared" si="14"/>
        <v/>
      </c>
      <c r="AJ54" s="165" t="str">
        <f t="shared" si="14"/>
        <v/>
      </c>
      <c r="AK54" s="165" t="str">
        <f t="shared" si="14"/>
        <v/>
      </c>
      <c r="AL54" s="165" t="str">
        <f t="shared" si="14"/>
        <v/>
      </c>
      <c r="AM54" s="165" t="str">
        <f t="shared" si="14"/>
        <v/>
      </c>
      <c r="AN54" s="165" t="str">
        <f t="shared" si="14"/>
        <v/>
      </c>
      <c r="AO54" s="165" t="str">
        <f t="shared" si="14"/>
        <v/>
      </c>
      <c r="AP54" s="165"/>
      <c r="AQ54" s="165" t="str">
        <f t="shared" si="14"/>
        <v>Include both room heaters and hot tap water preparation</v>
      </c>
      <c r="AR54" s="118"/>
      <c r="AS54" s="118"/>
      <c r="AT54" s="118"/>
    </row>
    <row r="55" spans="1:46" ht="14.25">
      <c r="A55" s="102" t="s">
        <v>563</v>
      </c>
      <c r="B55" s="106" t="s">
        <v>657</v>
      </c>
      <c r="C55" s="106" t="s">
        <v>564</v>
      </c>
      <c r="D55" s="106" t="s">
        <v>650</v>
      </c>
      <c r="E55" s="159" t="str">
        <f t="shared" si="11"/>
        <v>HP-e-air-to-air</v>
      </c>
      <c r="F55" s="160" t="str">
        <f t="shared" si="11"/>
        <v>RSDELC</v>
      </c>
      <c r="G55" s="160" t="str">
        <f t="shared" si="11"/>
        <v>AHET</v>
      </c>
      <c r="H55" s="106" t="s">
        <v>658</v>
      </c>
      <c r="I55" s="106"/>
      <c r="J55" s="106"/>
      <c r="K55" s="160">
        <f t="shared" si="14"/>
        <v>20</v>
      </c>
      <c r="L55" s="161">
        <f t="shared" si="14"/>
        <v>15389</v>
      </c>
      <c r="M55" s="161">
        <f t="shared" si="14"/>
        <v>14619.549999999999</v>
      </c>
      <c r="N55" s="161">
        <f t="shared" si="14"/>
        <v>13234.540000000001</v>
      </c>
      <c r="O55" s="161">
        <f t="shared" si="14"/>
        <v>12618.98</v>
      </c>
      <c r="P55" s="161">
        <f t="shared" si="14"/>
        <v>12618.98</v>
      </c>
      <c r="Q55" s="161">
        <f t="shared" si="14"/>
        <v>300</v>
      </c>
      <c r="R55" s="160" t="str">
        <f t="shared" si="14"/>
        <v/>
      </c>
      <c r="S55" s="169">
        <f t="shared" si="14"/>
        <v>3</v>
      </c>
      <c r="T55" s="169">
        <f t="shared" si="14"/>
        <v>3.2000000000000002</v>
      </c>
      <c r="U55" s="169">
        <f t="shared" si="14"/>
        <v>3.7000000000000002</v>
      </c>
      <c r="V55" s="169">
        <f t="shared" si="14"/>
        <v>4</v>
      </c>
      <c r="W55" s="169">
        <f t="shared" si="14"/>
        <v>4</v>
      </c>
      <c r="X55" s="160" t="str">
        <f t="shared" si="14"/>
        <v/>
      </c>
      <c r="Y55" s="160" t="str">
        <f t="shared" si="14"/>
        <v/>
      </c>
      <c r="Z55" s="160" t="str">
        <f t="shared" si="14"/>
        <v/>
      </c>
      <c r="AA55" s="160" t="str">
        <f t="shared" si="14"/>
        <v/>
      </c>
      <c r="AB55" s="160" t="str">
        <f t="shared" si="14"/>
        <v/>
      </c>
      <c r="AC55" s="160" t="str">
        <f t="shared" si="14"/>
        <v/>
      </c>
      <c r="AD55" s="160" t="str">
        <f t="shared" si="14"/>
        <v/>
      </c>
      <c r="AE55" s="163">
        <f t="shared" si="14"/>
        <v>0.69999999999999996</v>
      </c>
      <c r="AF55" s="163" t="str">
        <f t="shared" si="14"/>
        <v/>
      </c>
      <c r="AG55" s="163" t="str">
        <f t="shared" si="14"/>
        <v/>
      </c>
      <c r="AH55" s="160" t="str">
        <f t="shared" si="14"/>
        <v/>
      </c>
      <c r="AI55" s="160" t="str">
        <f t="shared" si="14"/>
        <v/>
      </c>
      <c r="AJ55" s="160" t="str">
        <f t="shared" si="14"/>
        <v/>
      </c>
      <c r="AK55" s="160" t="str">
        <f t="shared" si="14"/>
        <v/>
      </c>
      <c r="AL55" s="160" t="str">
        <f t="shared" si="14"/>
        <v/>
      </c>
      <c r="AM55" s="160" t="str">
        <f t="shared" si="14"/>
        <v/>
      </c>
      <c r="AN55" s="160" t="str">
        <f t="shared" si="14"/>
        <v/>
      </c>
      <c r="AO55" s="160" t="str">
        <f t="shared" si="14"/>
        <v>Y</v>
      </c>
      <c r="AP55" s="160"/>
      <c r="AQ55" s="160" t="str">
        <f t="shared" si="14"/>
        <v>HP covers between 60 % and 80 % of the total space heating demand of a building</v>
      </c>
      <c r="AR55" s="106"/>
      <c r="AS55" s="106"/>
      <c r="AT55" s="106"/>
    </row>
    <row r="56" spans="1:46" ht="14.25">
      <c r="A56" s="114" t="s">
        <v>538</v>
      </c>
      <c r="B56" s="106" t="str">
        <f>B55&amp;"-"&amp;RIGHT(F56,3)&amp;"spl"</f>
        <v>R_ES-SH-DH-70_ELC02-ELCspl</v>
      </c>
      <c r="C56" s="106" t="s">
        <v>570</v>
      </c>
      <c r="D56" s="106" t="s">
        <v>650</v>
      </c>
      <c r="E56" s="159" t="str">
        <f t="shared" si="11"/>
        <v>Electric_electric boiler</v>
      </c>
      <c r="F56" s="160" t="str">
        <f t="shared" si="11"/>
        <v>RSDELC</v>
      </c>
      <c r="G56" s="160" t="str">
        <f t="shared" si="11"/>
        <v/>
      </c>
      <c r="H56" s="106" t="s">
        <v>651</v>
      </c>
      <c r="I56" s="106"/>
      <c r="J56" s="106"/>
      <c r="K56" s="160">
        <f t="shared" si="14"/>
        <v>15</v>
      </c>
      <c r="L56" s="161">
        <f t="shared" si="14"/>
        <v>3039.5388059701486</v>
      </c>
      <c r="M56" s="161">
        <f t="shared" si="14"/>
        <v>3039.5388059701486</v>
      </c>
      <c r="N56" s="161">
        <f t="shared" si="14"/>
        <v>3039.5388059701486</v>
      </c>
      <c r="O56" s="161">
        <f t="shared" si="14"/>
        <v>3039.5388059701486</v>
      </c>
      <c r="P56" s="161">
        <f t="shared" si="14"/>
        <v>3039.5388059701486</v>
      </c>
      <c r="Q56" s="161">
        <f t="shared" si="14"/>
        <v>55</v>
      </c>
      <c r="R56" s="160" t="str">
        <f t="shared" si="14"/>
        <v/>
      </c>
      <c r="S56" s="169">
        <f t="shared" si="14"/>
        <v>1</v>
      </c>
      <c r="T56" s="169">
        <f t="shared" si="14"/>
        <v>1</v>
      </c>
      <c r="U56" s="169">
        <f t="shared" si="14"/>
        <v>1</v>
      </c>
      <c r="V56" s="169">
        <f t="shared" si="14"/>
        <v>1</v>
      </c>
      <c r="W56" s="169">
        <f t="shared" si="14"/>
        <v>1</v>
      </c>
      <c r="X56" s="160" t="str">
        <f t="shared" si="14"/>
        <v/>
      </c>
      <c r="Y56" s="160" t="str">
        <f t="shared" si="14"/>
        <v/>
      </c>
      <c r="Z56" s="160" t="str">
        <f t="shared" si="14"/>
        <v/>
      </c>
      <c r="AA56" s="160" t="str">
        <f t="shared" si="14"/>
        <v/>
      </c>
      <c r="AB56" s="160" t="str">
        <f t="shared" si="14"/>
        <v/>
      </c>
      <c r="AC56" s="160" t="str">
        <f t="shared" si="14"/>
        <v/>
      </c>
      <c r="AD56" s="160" t="str">
        <f t="shared" si="14"/>
        <v/>
      </c>
      <c r="AE56" s="163">
        <f t="shared" si="14"/>
        <v>0.29999999999999999</v>
      </c>
      <c r="AF56" s="163">
        <f t="shared" si="14"/>
        <v>1</v>
      </c>
      <c r="AG56" s="163" t="str">
        <f t="shared" si="14"/>
        <v/>
      </c>
      <c r="AH56" s="160" t="str">
        <f t="shared" si="14"/>
        <v/>
      </c>
      <c r="AI56" s="160" t="str">
        <f t="shared" si="14"/>
        <v/>
      </c>
      <c r="AJ56" s="160" t="str">
        <f t="shared" si="14"/>
        <v/>
      </c>
      <c r="AK56" s="160" t="str">
        <f t="shared" si="14"/>
        <v/>
      </c>
      <c r="AL56" s="160" t="str">
        <f t="shared" si="14"/>
        <v/>
      </c>
      <c r="AM56" s="160" t="str">
        <f t="shared" si="14"/>
        <v/>
      </c>
      <c r="AN56" s="160" t="str">
        <f t="shared" si="14"/>
        <v/>
      </c>
      <c r="AO56" s="160" t="str">
        <f t="shared" si="14"/>
        <v/>
      </c>
      <c r="AP56" s="160"/>
      <c r="AQ56" s="160" t="str">
        <f t="shared" si="14"/>
        <v xml:space="preserve">AddInv: shunt-valve. </v>
      </c>
      <c r="AR56" s="106"/>
      <c r="AS56" s="106"/>
      <c r="AT56" s="106"/>
    </row>
    <row r="57" spans="1:46" ht="14.25">
      <c r="A57" s="114" t="s">
        <v>538</v>
      </c>
      <c r="B57" s="106" t="str">
        <f>B55&amp;"-"&amp;RIGHT(F57,3)&amp;"spl"</f>
        <v>R_ES-SH-DH-70_ELC02-GASspl</v>
      </c>
      <c r="C57" s="106" t="s">
        <v>572</v>
      </c>
      <c r="D57" s="106" t="s">
        <v>650</v>
      </c>
      <c r="E57" s="159" t="str">
        <f t="shared" si="11"/>
        <v>HOB-gas</v>
      </c>
      <c r="F57" s="160" t="str">
        <f t="shared" si="11"/>
        <v>RSDLPG, RSDBGS, RSDGAS</v>
      </c>
      <c r="G57" s="160" t="str">
        <f t="shared" si="11"/>
        <v/>
      </c>
      <c r="H57" s="106" t="s">
        <v>651</v>
      </c>
      <c r="I57" s="106"/>
      <c r="J57" s="106"/>
      <c r="K57" s="160">
        <f t="shared" si="14"/>
        <v>22</v>
      </c>
      <c r="L57" s="161">
        <f t="shared" si="14"/>
        <v>5348.0999999999985</v>
      </c>
      <c r="M57" s="161">
        <f t="shared" si="14"/>
        <v>5348.0999999999985</v>
      </c>
      <c r="N57" s="161">
        <f t="shared" si="14"/>
        <v>5348.0999999999985</v>
      </c>
      <c r="O57" s="161">
        <f t="shared" si="14"/>
        <v>5348.0999999999985</v>
      </c>
      <c r="P57" s="161">
        <f t="shared" si="14"/>
        <v>5348.0999999999985</v>
      </c>
      <c r="Q57" s="161">
        <f t="shared" si="14"/>
        <v>113</v>
      </c>
      <c r="R57" s="160" t="str">
        <f t="shared" si="14"/>
        <v/>
      </c>
      <c r="S57" s="169">
        <f t="shared" si="14"/>
        <v>0.84679858006836706</v>
      </c>
      <c r="T57" s="169">
        <f t="shared" si="14"/>
        <v>0.84679858006836706</v>
      </c>
      <c r="U57" s="169">
        <f t="shared" si="14"/>
        <v>0.84679858006836706</v>
      </c>
      <c r="V57" s="169">
        <f t="shared" si="14"/>
        <v>0.84679858006836706</v>
      </c>
      <c r="W57" s="169">
        <f t="shared" si="14"/>
        <v>0.84679858006836706</v>
      </c>
      <c r="X57" s="160" t="str">
        <f t="shared" si="14"/>
        <v/>
      </c>
      <c r="Y57" s="160" t="str">
        <f t="shared" si="14"/>
        <v/>
      </c>
      <c r="Z57" s="160" t="str">
        <f t="shared" si="14"/>
        <v/>
      </c>
      <c r="AA57" s="160" t="str">
        <f t="shared" si="14"/>
        <v/>
      </c>
      <c r="AB57" s="160" t="str">
        <f t="shared" si="14"/>
        <v/>
      </c>
      <c r="AC57" s="160" t="str">
        <f t="shared" si="14"/>
        <v/>
      </c>
      <c r="AD57" s="160" t="str">
        <f t="shared" si="14"/>
        <v/>
      </c>
      <c r="AE57" s="163">
        <f t="shared" si="14"/>
        <v>0.29999999999999999</v>
      </c>
      <c r="AF57" s="163">
        <f t="shared" si="14"/>
        <v>1</v>
      </c>
      <c r="AG57" s="163" t="str">
        <f t="shared" si="14"/>
        <v/>
      </c>
      <c r="AH57" s="160" t="str">
        <f t="shared" si="14"/>
        <v/>
      </c>
      <c r="AI57" s="160" t="str">
        <f t="shared" si="14"/>
        <v/>
      </c>
      <c r="AJ57" s="160" t="str">
        <f t="shared" si="14"/>
        <v/>
      </c>
      <c r="AK57" s="160" t="str">
        <f t="shared" si="14"/>
        <v/>
      </c>
      <c r="AL57" s="160" t="str">
        <f t="shared" si="14"/>
        <v/>
      </c>
      <c r="AM57" s="160" t="str">
        <f t="shared" si="14"/>
        <v/>
      </c>
      <c r="AN57" s="160" t="str">
        <f t="shared" si="14"/>
        <v/>
      </c>
      <c r="AO57" s="160" t="str">
        <f t="shared" si="14"/>
        <v>Y</v>
      </c>
      <c r="AP57" s="160"/>
      <c r="AQ57" s="160" t="str">
        <f t="shared" si="14"/>
        <v xml:space="preserve">AddInv: shunt-valve. </v>
      </c>
      <c r="AR57" s="106"/>
      <c r="AS57" s="106"/>
      <c r="AT57" s="106"/>
    </row>
    <row r="58" spans="1:46" ht="14.25">
      <c r="A58" s="114" t="s">
        <v>538</v>
      </c>
      <c r="B58" s="106" t="str">
        <f>B55&amp;"-"&amp;RIGHT(F58,3)&amp;"spl"</f>
        <v>R_ES-SH-DH-70_ELC02-BIOspl</v>
      </c>
      <c r="C58" s="106" t="s">
        <v>574</v>
      </c>
      <c r="D58" s="106" t="s">
        <v>650</v>
      </c>
      <c r="E58" s="159" t="str">
        <f t="shared" si="11"/>
        <v>HOB-biomass</v>
      </c>
      <c r="F58" s="160" t="str">
        <f t="shared" si="11"/>
        <v>RSDBIO</v>
      </c>
      <c r="G58" s="160" t="str">
        <f t="shared" si="11"/>
        <v/>
      </c>
      <c r="H58" s="106" t="s">
        <v>651</v>
      </c>
      <c r="I58" s="106"/>
      <c r="J58" s="106"/>
      <c r="K58" s="160">
        <f t="shared" si="14"/>
        <v>20</v>
      </c>
      <c r="L58" s="161">
        <f t="shared" si="14"/>
        <v>10328.099999999999</v>
      </c>
      <c r="M58" s="161">
        <f t="shared" si="14"/>
        <v>10328.099999999999</v>
      </c>
      <c r="N58" s="161">
        <f t="shared" si="14"/>
        <v>11257.629000000001</v>
      </c>
      <c r="O58" s="161">
        <f t="shared" si="14"/>
        <v>11257.629000000001</v>
      </c>
      <c r="P58" s="161">
        <f t="shared" si="14"/>
        <v>11257.629000000001</v>
      </c>
      <c r="Q58" s="161">
        <f t="shared" si="14"/>
        <v>136.14999999999998</v>
      </c>
      <c r="R58" s="160" t="str">
        <f t="shared" si="14"/>
        <v/>
      </c>
      <c r="S58" s="169">
        <f t="shared" si="14"/>
        <v>0.67308496185599331</v>
      </c>
      <c r="T58" s="169">
        <f t="shared" si="14"/>
        <v>0.67308496185599331</v>
      </c>
      <c r="U58" s="169">
        <f t="shared" si="14"/>
        <v>0.67308496185599331</v>
      </c>
      <c r="V58" s="169">
        <f t="shared" si="14"/>
        <v>0.67308496185599331</v>
      </c>
      <c r="W58" s="169">
        <f t="shared" si="14"/>
        <v>0.67308496185599331</v>
      </c>
      <c r="X58" s="160" t="str">
        <f t="shared" si="14"/>
        <v/>
      </c>
      <c r="Y58" s="160" t="str">
        <f t="shared" si="14"/>
        <v/>
      </c>
      <c r="Z58" s="160" t="str">
        <f t="shared" si="14"/>
        <v/>
      </c>
      <c r="AA58" s="160" t="str">
        <f t="shared" si="14"/>
        <v/>
      </c>
      <c r="AB58" s="160" t="str">
        <f t="shared" si="14"/>
        <v/>
      </c>
      <c r="AC58" s="160" t="str">
        <f t="shared" si="14"/>
        <v/>
      </c>
      <c r="AD58" s="160" t="str">
        <f t="shared" si="14"/>
        <v/>
      </c>
      <c r="AE58" s="163">
        <f t="shared" si="14"/>
        <v>0.29999999999999999</v>
      </c>
      <c r="AF58" s="163">
        <f t="shared" si="14"/>
        <v>1</v>
      </c>
      <c r="AG58" s="163" t="str">
        <f t="shared" si="14"/>
        <v/>
      </c>
      <c r="AH58" s="160" t="str">
        <f t="shared" si="14"/>
        <v/>
      </c>
      <c r="AI58" s="160" t="str">
        <f t="shared" si="14"/>
        <v/>
      </c>
      <c r="AJ58" s="160" t="str">
        <f t="shared" si="14"/>
        <v/>
      </c>
      <c r="AK58" s="160" t="str">
        <f t="shared" si="14"/>
        <v/>
      </c>
      <c r="AL58" s="160" t="str">
        <f t="shared" si="14"/>
        <v/>
      </c>
      <c r="AM58" s="160" t="str">
        <f t="shared" si="14"/>
        <v/>
      </c>
      <c r="AN58" s="160" t="str">
        <f t="shared" si="14"/>
        <v/>
      </c>
      <c r="AO58" s="160" t="str">
        <f t="shared" si="14"/>
        <v>Y</v>
      </c>
      <c r="AP58" s="160"/>
      <c r="AQ58" s="160" t="str">
        <f t="shared" si="14"/>
        <v xml:space="preserve">AddInv: shunt-valve. </v>
      </c>
      <c r="AR58" s="106"/>
      <c r="AS58" s="106"/>
      <c r="AT58" s="106"/>
    </row>
    <row r="59" spans="1:46" ht="14.25">
      <c r="A59" s="114" t="s">
        <v>538</v>
      </c>
      <c r="B59" s="106" t="str">
        <f>B55&amp;"-"&amp;RIGHT(F59,3)&amp;"spl"</f>
        <v>R_ES-SH-DH-70_ELC02-SOLspl</v>
      </c>
      <c r="C59" s="106" t="s">
        <v>575</v>
      </c>
      <c r="D59" s="106" t="s">
        <v>650</v>
      </c>
      <c r="E59" s="159" t="str">
        <f t="shared" si="11"/>
        <v>Solar heating and hot tap water</v>
      </c>
      <c r="F59" s="160" t="str">
        <f t="shared" si="11"/>
        <v>RSDSOL</v>
      </c>
      <c r="G59" s="160" t="str">
        <f t="shared" si="11"/>
        <v/>
      </c>
      <c r="H59" s="106" t="s">
        <v>651</v>
      </c>
      <c r="I59" s="106"/>
      <c r="J59" s="106"/>
      <c r="K59" s="160">
        <f t="shared" si="14"/>
        <v>20</v>
      </c>
      <c r="L59" s="161">
        <f t="shared" si="14"/>
        <v>4396.5999999999985</v>
      </c>
      <c r="M59" s="161">
        <f t="shared" si="14"/>
        <v>5027.2139999999981</v>
      </c>
      <c r="N59" s="161">
        <f t="shared" si="14"/>
        <v>4759.8089999999984</v>
      </c>
      <c r="O59" s="161">
        <f t="shared" si="14"/>
        <v>3583.2269999999985</v>
      </c>
      <c r="P59" s="161">
        <f t="shared" si="14"/>
        <v>3583.2269999999985</v>
      </c>
      <c r="Q59" s="161">
        <f t="shared" si="14"/>
        <v>61</v>
      </c>
      <c r="R59" s="160" t="str">
        <f t="shared" si="14"/>
        <v/>
      </c>
      <c r="S59" s="169">
        <f t="shared" si="14"/>
        <v>1</v>
      </c>
      <c r="T59" s="169">
        <f t="shared" si="14"/>
        <v>1</v>
      </c>
      <c r="U59" s="169">
        <f t="shared" si="14"/>
        <v>1</v>
      </c>
      <c r="V59" s="169">
        <f t="shared" si="14"/>
        <v>1</v>
      </c>
      <c r="W59" s="169">
        <f t="shared" si="14"/>
        <v>1</v>
      </c>
      <c r="X59" s="160" t="str">
        <f t="shared" si="14"/>
        <v/>
      </c>
      <c r="Y59" s="160" t="str">
        <f t="shared" si="14"/>
        <v/>
      </c>
      <c r="Z59" s="160" t="str">
        <f t="shared" si="14"/>
        <v/>
      </c>
      <c r="AA59" s="160" t="str">
        <f t="shared" si="14"/>
        <v/>
      </c>
      <c r="AB59" s="160" t="str">
        <f t="shared" si="14"/>
        <v/>
      </c>
      <c r="AC59" s="160" t="str">
        <f t="shared" si="14"/>
        <v/>
      </c>
      <c r="AD59" s="160" t="str">
        <f t="shared" si="14"/>
        <v/>
      </c>
      <c r="AE59" s="163">
        <f t="shared" si="14"/>
        <v>0.29999999999999999</v>
      </c>
      <c r="AF59" s="163">
        <f t="shared" si="14"/>
        <v>1</v>
      </c>
      <c r="AG59" s="163" t="str">
        <f t="shared" si="14"/>
        <v/>
      </c>
      <c r="AH59" s="160" t="str">
        <f t="shared" si="14"/>
        <v/>
      </c>
      <c r="AI59" s="160" t="str">
        <f t="shared" si="14"/>
        <v/>
      </c>
      <c r="AJ59" s="160" t="str">
        <f t="shared" si="14"/>
        <v/>
      </c>
      <c r="AK59" s="160" t="str">
        <f t="shared" si="14"/>
        <v/>
      </c>
      <c r="AL59" s="160" t="str">
        <f t="shared" si="14"/>
        <v/>
      </c>
      <c r="AM59" s="160" t="str">
        <f t="shared" si="14"/>
        <v/>
      </c>
      <c r="AN59" s="160" t="str">
        <f t="shared" si="14"/>
        <v/>
      </c>
      <c r="AO59" s="160" t="str">
        <f t="shared" si="14"/>
        <v/>
      </c>
      <c r="AP59" s="160"/>
      <c r="AQ59" s="160" t="str">
        <f t="shared" si="14"/>
        <v xml:space="preserve">AddInv: shunt-valve. </v>
      </c>
      <c r="AR59" s="106"/>
      <c r="AS59" s="106"/>
      <c r="AT59" s="106"/>
    </row>
    <row r="60" spans="1:46" ht="14.25">
      <c r="A60" s="106" t="s">
        <v>563</v>
      </c>
      <c r="B60" s="106" t="s">
        <v>659</v>
      </c>
      <c r="C60" s="106" t="s">
        <v>577</v>
      </c>
      <c r="D60" s="106" t="s">
        <v>650</v>
      </c>
      <c r="E60" s="159" t="str">
        <f t="shared" si="11"/>
        <v>HP-e-air-to-water</v>
      </c>
      <c r="F60" s="160" t="str">
        <f t="shared" si="11"/>
        <v>RSDELC</v>
      </c>
      <c r="G60" s="160" t="str">
        <f t="shared" si="11"/>
        <v>AHET</v>
      </c>
      <c r="H60" s="106" t="s">
        <v>651</v>
      </c>
      <c r="I60" s="106"/>
      <c r="J60" s="106"/>
      <c r="K60" s="160">
        <f t="shared" si="14"/>
        <v>20</v>
      </c>
      <c r="L60" s="161">
        <f t="shared" si="14"/>
        <v>15389</v>
      </c>
      <c r="M60" s="161">
        <f t="shared" si="14"/>
        <v>14003.99</v>
      </c>
      <c r="N60" s="161">
        <f t="shared" si="14"/>
        <v>14003.99</v>
      </c>
      <c r="O60" s="161">
        <f t="shared" si="14"/>
        <v>12618.98</v>
      </c>
      <c r="P60" s="161">
        <f t="shared" si="14"/>
        <v>12618.98</v>
      </c>
      <c r="Q60" s="161">
        <f t="shared" si="14"/>
        <v>246</v>
      </c>
      <c r="R60" s="160" t="str">
        <f t="shared" si="14"/>
        <v/>
      </c>
      <c r="S60" s="169">
        <f t="shared" si="14"/>
        <v>3.1000000000000001</v>
      </c>
      <c r="T60" s="169">
        <f t="shared" si="14"/>
        <v>3.2999999999999998</v>
      </c>
      <c r="U60" s="169">
        <f t="shared" si="14"/>
        <v>3.7000000000000002</v>
      </c>
      <c r="V60" s="169">
        <f t="shared" si="14"/>
        <v>4</v>
      </c>
      <c r="W60" s="169">
        <f t="shared" si="14"/>
        <v>4</v>
      </c>
      <c r="X60" s="160" t="str">
        <f t="shared" si="14"/>
        <v/>
      </c>
      <c r="Y60" s="160" t="str">
        <f t="shared" si="14"/>
        <v/>
      </c>
      <c r="Z60" s="160" t="str">
        <f t="shared" si="14"/>
        <v/>
      </c>
      <c r="AA60" s="160" t="str">
        <f t="shared" si="14"/>
        <v/>
      </c>
      <c r="AB60" s="160" t="str">
        <f t="shared" si="14"/>
        <v/>
      </c>
      <c r="AC60" s="160" t="str">
        <f t="shared" si="14"/>
        <v/>
      </c>
      <c r="AD60" s="160" t="str">
        <f t="shared" si="14"/>
        <v/>
      </c>
      <c r="AE60" s="163">
        <f t="shared" si="14"/>
        <v>1</v>
      </c>
      <c r="AF60" s="163">
        <f t="shared" si="14"/>
        <v>1</v>
      </c>
      <c r="AG60" s="163" t="str">
        <f t="shared" si="14"/>
        <v/>
      </c>
      <c r="AH60" s="160" t="str">
        <f t="shared" si="14"/>
        <v/>
      </c>
      <c r="AI60" s="160" t="str">
        <f t="shared" si="14"/>
        <v/>
      </c>
      <c r="AJ60" s="160" t="str">
        <f t="shared" si="14"/>
        <v/>
      </c>
      <c r="AK60" s="160" t="str">
        <f t="shared" si="14"/>
        <v/>
      </c>
      <c r="AL60" s="160" t="str">
        <f t="shared" si="14"/>
        <v/>
      </c>
      <c r="AM60" s="160" t="str">
        <f t="shared" si="14"/>
        <v/>
      </c>
      <c r="AN60" s="160" t="str">
        <f t="shared" si="14"/>
        <v/>
      </c>
      <c r="AO60" s="160" t="str">
        <f t="shared" si="14"/>
        <v/>
      </c>
      <c r="AP60" s="160"/>
      <c r="AQ60" s="160" t="str">
        <f t="shared" si="15" ref="AQ60">IF(AQ19="","",AQ19)</f>
        <v/>
      </c>
      <c r="AR60" s="106"/>
      <c r="AS60" s="106"/>
      <c r="AT60" s="106"/>
    </row>
    <row r="61" spans="1:46" ht="14.25">
      <c r="A61" s="106" t="s">
        <v>563</v>
      </c>
      <c r="B61" s="106" t="s">
        <v>660</v>
      </c>
      <c r="C61" s="106" t="s">
        <v>580</v>
      </c>
      <c r="D61" s="106" t="s">
        <v>650</v>
      </c>
      <c r="E61" s="159" t="str">
        <f t="shared" si="16" ref="E61:G76">IF(E20="","",E20)</f>
        <v>HP-e-air-to-water + add costs</v>
      </c>
      <c r="F61" s="160" t="str">
        <f t="shared" si="16"/>
        <v>RSDELC</v>
      </c>
      <c r="G61" s="160" t="str">
        <f t="shared" si="16"/>
        <v>AHET</v>
      </c>
      <c r="H61" s="106" t="s">
        <v>661</v>
      </c>
      <c r="I61" s="106"/>
      <c r="J61" s="106"/>
      <c r="K61" s="160">
        <f t="shared" si="17" ref="K61:AQ68">IF(K20="","",K20)</f>
        <v>20</v>
      </c>
      <c r="L61" s="161">
        <f t="shared" si="17"/>
        <v>16927.900000000001</v>
      </c>
      <c r="M61" s="161">
        <f t="shared" si="17"/>
        <v>15404.389000000001</v>
      </c>
      <c r="N61" s="161">
        <f t="shared" si="17"/>
        <v>15404.389000000001</v>
      </c>
      <c r="O61" s="161">
        <f t="shared" si="17"/>
        <v>13880.878000000001</v>
      </c>
      <c r="P61" s="161">
        <f t="shared" si="17"/>
        <v>13880.878000000001</v>
      </c>
      <c r="Q61" s="161">
        <f t="shared" si="17"/>
        <v>270.60000000000002</v>
      </c>
      <c r="R61" s="160" t="str">
        <f t="shared" si="17"/>
        <v/>
      </c>
      <c r="S61" s="169">
        <f t="shared" si="17"/>
        <v>3.1000000000000001</v>
      </c>
      <c r="T61" s="169">
        <f t="shared" si="17"/>
        <v>3.2999999999999998</v>
      </c>
      <c r="U61" s="169">
        <f t="shared" si="17"/>
        <v>3.7000000000000002</v>
      </c>
      <c r="V61" s="169">
        <f t="shared" si="17"/>
        <v>4</v>
      </c>
      <c r="W61" s="169">
        <f t="shared" si="17"/>
        <v>4</v>
      </c>
      <c r="X61" s="160" t="str">
        <f t="shared" si="17"/>
        <v/>
      </c>
      <c r="Y61" s="160" t="str">
        <f t="shared" si="17"/>
        <v/>
      </c>
      <c r="Z61" s="160" t="str">
        <f t="shared" si="17"/>
        <v/>
      </c>
      <c r="AA61" s="160" t="str">
        <f t="shared" si="17"/>
        <v/>
      </c>
      <c r="AB61" s="160" t="str">
        <f t="shared" si="17"/>
        <v/>
      </c>
      <c r="AC61" s="160" t="str">
        <f t="shared" si="17"/>
        <v/>
      </c>
      <c r="AD61" s="160" t="str">
        <f t="shared" si="17"/>
        <v/>
      </c>
      <c r="AE61" s="163">
        <f t="shared" si="17"/>
        <v>1</v>
      </c>
      <c r="AF61" s="163">
        <f t="shared" si="17"/>
        <v>1</v>
      </c>
      <c r="AG61" s="163">
        <f t="shared" si="17"/>
        <v>1</v>
      </c>
      <c r="AH61" s="160" t="str">
        <f t="shared" si="17"/>
        <v/>
      </c>
      <c r="AI61" s="160" t="str">
        <f t="shared" si="17"/>
        <v/>
      </c>
      <c r="AJ61" s="160" t="str">
        <f t="shared" si="17"/>
        <v/>
      </c>
      <c r="AK61" s="160" t="str">
        <f t="shared" si="17"/>
        <v/>
      </c>
      <c r="AL61" s="160" t="str">
        <f t="shared" si="17"/>
        <v/>
      </c>
      <c r="AM61" s="160" t="str">
        <f t="shared" si="17"/>
        <v/>
      </c>
      <c r="AN61" s="160">
        <f t="shared" si="17"/>
        <v>1.1000000000000001</v>
      </c>
      <c r="AO61" s="160" t="str">
        <f t="shared" si="17"/>
        <v/>
      </c>
      <c r="AP61" s="160"/>
      <c r="AQ61" s="160" t="str">
        <f t="shared" si="17"/>
        <v/>
      </c>
      <c r="AR61" s="106"/>
      <c r="AS61" s="106"/>
      <c r="AT61" s="106"/>
    </row>
    <row r="62" spans="1:46" ht="14.25">
      <c r="A62" s="106" t="s">
        <v>563</v>
      </c>
      <c r="B62" s="106" t="s">
        <v>662</v>
      </c>
      <c r="C62" s="106" t="s">
        <v>583</v>
      </c>
      <c r="D62" s="106" t="s">
        <v>650</v>
      </c>
      <c r="E62" s="159" t="str">
        <f t="shared" si="16"/>
        <v>Heat pump, ground source</v>
      </c>
      <c r="F62" s="160" t="str">
        <f t="shared" si="16"/>
        <v>RSDELC</v>
      </c>
      <c r="G62" s="160" t="str">
        <f t="shared" si="16"/>
        <v>GHET</v>
      </c>
      <c r="H62" s="106" t="s">
        <v>651</v>
      </c>
      <c r="I62" s="106"/>
      <c r="J62" s="106"/>
      <c r="K62" s="160">
        <f t="shared" si="17"/>
        <v>20</v>
      </c>
      <c r="L62" s="161">
        <f t="shared" si="17"/>
        <v>16350</v>
      </c>
      <c r="M62" s="161">
        <f t="shared" si="17"/>
        <v>15205.5</v>
      </c>
      <c r="N62" s="161">
        <f t="shared" si="17"/>
        <v>14061</v>
      </c>
      <c r="O62" s="161">
        <f t="shared" si="17"/>
        <v>12916.5</v>
      </c>
      <c r="P62" s="161">
        <f t="shared" si="17"/>
        <v>12916.5</v>
      </c>
      <c r="Q62" s="161">
        <f t="shared" si="17"/>
        <v>300</v>
      </c>
      <c r="R62" s="160" t="str">
        <f t="shared" si="17"/>
        <v/>
      </c>
      <c r="S62" s="169">
        <f t="shared" si="17"/>
        <v>3.6000000000000001</v>
      </c>
      <c r="T62" s="169">
        <f t="shared" si="17"/>
        <v>3.7000000000000002</v>
      </c>
      <c r="U62" s="169">
        <f t="shared" si="17"/>
        <v>4</v>
      </c>
      <c r="V62" s="169">
        <f t="shared" si="17"/>
        <v>4.5</v>
      </c>
      <c r="W62" s="169">
        <f t="shared" si="17"/>
        <v>4.5</v>
      </c>
      <c r="X62" s="160" t="str">
        <f t="shared" si="17"/>
        <v/>
      </c>
      <c r="Y62" s="160" t="str">
        <f t="shared" si="17"/>
        <v/>
      </c>
      <c r="Z62" s="160" t="str">
        <f t="shared" si="17"/>
        <v/>
      </c>
      <c r="AA62" s="160" t="str">
        <f t="shared" si="17"/>
        <v/>
      </c>
      <c r="AB62" s="160" t="str">
        <f t="shared" si="17"/>
        <v/>
      </c>
      <c r="AC62" s="160" t="str">
        <f t="shared" si="17"/>
        <v/>
      </c>
      <c r="AD62" s="160" t="str">
        <f t="shared" si="17"/>
        <v/>
      </c>
      <c r="AE62" s="163">
        <f t="shared" si="17"/>
        <v>1</v>
      </c>
      <c r="AF62" s="163">
        <f t="shared" si="17"/>
        <v>1</v>
      </c>
      <c r="AG62" s="163" t="str">
        <f t="shared" si="17"/>
        <v/>
      </c>
      <c r="AH62" s="160" t="str">
        <f t="shared" si="17"/>
        <v/>
      </c>
      <c r="AI62" s="160" t="str">
        <f t="shared" si="17"/>
        <v/>
      </c>
      <c r="AJ62" s="160" t="str">
        <f t="shared" si="17"/>
        <v/>
      </c>
      <c r="AK62" s="160" t="str">
        <f t="shared" si="17"/>
        <v/>
      </c>
      <c r="AL62" s="160" t="str">
        <f t="shared" si="17"/>
        <v/>
      </c>
      <c r="AM62" s="160" t="str">
        <f t="shared" si="17"/>
        <v/>
      </c>
      <c r="AN62" s="160" t="str">
        <f t="shared" si="17"/>
        <v/>
      </c>
      <c r="AO62" s="160" t="str">
        <f t="shared" si="17"/>
        <v/>
      </c>
      <c r="AP62" s="160"/>
      <c r="AQ62" s="160" t="str">
        <f t="shared" si="17"/>
        <v/>
      </c>
      <c r="AR62" s="106"/>
      <c r="AS62" s="106"/>
      <c r="AT62" s="106"/>
    </row>
    <row r="63" spans="1:46" ht="14.25">
      <c r="A63" s="106" t="s">
        <v>563</v>
      </c>
      <c r="B63" s="106" t="s">
        <v>663</v>
      </c>
      <c r="C63" s="106" t="s">
        <v>587</v>
      </c>
      <c r="D63" s="106" t="s">
        <v>650</v>
      </c>
      <c r="E63" s="159" t="str">
        <f t="shared" si="16"/>
        <v>Heat pump, ground source + add costs</v>
      </c>
      <c r="F63" s="160" t="str">
        <f t="shared" si="16"/>
        <v>RSDELC</v>
      </c>
      <c r="G63" s="160" t="str">
        <f t="shared" si="16"/>
        <v>GHET</v>
      </c>
      <c r="H63" s="106" t="s">
        <v>661</v>
      </c>
      <c r="I63" s="106"/>
      <c r="J63" s="106"/>
      <c r="K63" s="160">
        <f t="shared" si="17"/>
        <v>20</v>
      </c>
      <c r="L63" s="161">
        <f t="shared" si="17"/>
        <v>17985</v>
      </c>
      <c r="M63" s="161">
        <f t="shared" si="17"/>
        <v>16726.050000000003</v>
      </c>
      <c r="N63" s="161">
        <f t="shared" si="17"/>
        <v>15467.1</v>
      </c>
      <c r="O63" s="161">
        <f t="shared" si="17"/>
        <v>14208.150000000001</v>
      </c>
      <c r="P63" s="161">
        <f t="shared" si="17"/>
        <v>14208.150000000001</v>
      </c>
      <c r="Q63" s="161">
        <f t="shared" si="17"/>
        <v>330</v>
      </c>
      <c r="R63" s="160" t="str">
        <f t="shared" si="17"/>
        <v/>
      </c>
      <c r="S63" s="169">
        <f t="shared" si="17"/>
        <v>3.6000000000000001</v>
      </c>
      <c r="T63" s="169">
        <f t="shared" si="17"/>
        <v>3.7000000000000002</v>
      </c>
      <c r="U63" s="169">
        <f t="shared" si="17"/>
        <v>4</v>
      </c>
      <c r="V63" s="169">
        <f t="shared" si="17"/>
        <v>4.5</v>
      </c>
      <c r="W63" s="169">
        <f t="shared" si="17"/>
        <v>4.5</v>
      </c>
      <c r="X63" s="160" t="str">
        <f t="shared" si="17"/>
        <v/>
      </c>
      <c r="Y63" s="160" t="str">
        <f t="shared" si="17"/>
        <v/>
      </c>
      <c r="Z63" s="160" t="str">
        <f t="shared" si="17"/>
        <v/>
      </c>
      <c r="AA63" s="160" t="str">
        <f t="shared" si="17"/>
        <v/>
      </c>
      <c r="AB63" s="160" t="str">
        <f t="shared" si="17"/>
        <v/>
      </c>
      <c r="AC63" s="160" t="str">
        <f t="shared" si="17"/>
        <v/>
      </c>
      <c r="AD63" s="160" t="str">
        <f t="shared" si="17"/>
        <v/>
      </c>
      <c r="AE63" s="163">
        <f t="shared" si="17"/>
        <v>1</v>
      </c>
      <c r="AF63" s="163">
        <f t="shared" si="17"/>
        <v>1</v>
      </c>
      <c r="AG63" s="163">
        <f t="shared" si="17"/>
        <v>1</v>
      </c>
      <c r="AH63" s="160" t="str">
        <f t="shared" si="17"/>
        <v/>
      </c>
      <c r="AI63" s="160" t="str">
        <f t="shared" si="17"/>
        <v/>
      </c>
      <c r="AJ63" s="160" t="str">
        <f t="shared" si="17"/>
        <v/>
      </c>
      <c r="AK63" s="160" t="str">
        <f t="shared" si="17"/>
        <v/>
      </c>
      <c r="AL63" s="160" t="str">
        <f t="shared" si="17"/>
        <v/>
      </c>
      <c r="AM63" s="160" t="str">
        <f t="shared" si="17"/>
        <v/>
      </c>
      <c r="AN63" s="160">
        <f t="shared" si="17"/>
        <v>1.1000000000000001</v>
      </c>
      <c r="AO63" s="160" t="str">
        <f t="shared" si="17"/>
        <v/>
      </c>
      <c r="AP63" s="160"/>
      <c r="AQ63" s="160" t="str">
        <f t="shared" si="17"/>
        <v/>
      </c>
      <c r="AR63" s="106"/>
      <c r="AS63" s="106"/>
      <c r="AT63" s="106"/>
    </row>
    <row r="64" spans="1:46" ht="14.25">
      <c r="A64" s="106" t="s">
        <v>563</v>
      </c>
      <c r="B64" s="106" t="s">
        <v>664</v>
      </c>
      <c r="C64" s="106" t="s">
        <v>589</v>
      </c>
      <c r="D64" s="106" t="s">
        <v>650</v>
      </c>
      <c r="E64" s="159" t="str">
        <f t="shared" si="16"/>
        <v>Heat pump, ground source</v>
      </c>
      <c r="F64" s="160" t="str">
        <f t="shared" si="16"/>
        <v>RSDELC</v>
      </c>
      <c r="G64" s="160" t="str">
        <f t="shared" si="16"/>
        <v>GHET</v>
      </c>
      <c r="H64" s="106" t="s">
        <v>651</v>
      </c>
      <c r="I64" s="106"/>
      <c r="J64" s="106"/>
      <c r="K64" s="160">
        <f t="shared" si="17"/>
        <v>20</v>
      </c>
      <c r="L64" s="161">
        <f t="shared" si="17"/>
        <v>25800</v>
      </c>
      <c r="M64" s="161">
        <f t="shared" si="17"/>
        <v>24655.5</v>
      </c>
      <c r="N64" s="161">
        <f t="shared" si="17"/>
        <v>23511</v>
      </c>
      <c r="O64" s="161">
        <f t="shared" si="17"/>
        <v>22366.5</v>
      </c>
      <c r="P64" s="161">
        <f t="shared" si="17"/>
        <v>22366.5</v>
      </c>
      <c r="Q64" s="161">
        <f t="shared" si="17"/>
        <v>300</v>
      </c>
      <c r="R64" s="160" t="str">
        <f t="shared" si="17"/>
        <v/>
      </c>
      <c r="S64" s="169">
        <f t="shared" si="17"/>
        <v>3.6000000000000001</v>
      </c>
      <c r="T64" s="169">
        <f t="shared" si="17"/>
        <v>3.7000000000000002</v>
      </c>
      <c r="U64" s="169">
        <f t="shared" si="17"/>
        <v>4</v>
      </c>
      <c r="V64" s="169">
        <f t="shared" si="17"/>
        <v>4.5</v>
      </c>
      <c r="W64" s="169">
        <f t="shared" si="17"/>
        <v>4.5</v>
      </c>
      <c r="X64" s="160" t="str">
        <f t="shared" si="17"/>
        <v/>
      </c>
      <c r="Y64" s="160" t="str">
        <f t="shared" si="17"/>
        <v/>
      </c>
      <c r="Z64" s="160" t="str">
        <f t="shared" si="17"/>
        <v/>
      </c>
      <c r="AA64" s="160" t="str">
        <f t="shared" si="17"/>
        <v/>
      </c>
      <c r="AB64" s="160" t="str">
        <f t="shared" si="17"/>
        <v/>
      </c>
      <c r="AC64" s="160" t="str">
        <f t="shared" si="17"/>
        <v/>
      </c>
      <c r="AD64" s="160" t="str">
        <f t="shared" si="17"/>
        <v/>
      </c>
      <c r="AE64" s="163">
        <f t="shared" si="17"/>
        <v>1</v>
      </c>
      <c r="AF64" s="163">
        <f t="shared" si="17"/>
        <v>1</v>
      </c>
      <c r="AG64" s="163" t="str">
        <f t="shared" si="17"/>
        <v/>
      </c>
      <c r="AH64" s="160" t="str">
        <f t="shared" si="17"/>
        <v/>
      </c>
      <c r="AI64" s="160" t="str">
        <f t="shared" si="17"/>
        <v/>
      </c>
      <c r="AJ64" s="160" t="str">
        <f t="shared" si="17"/>
        <v/>
      </c>
      <c r="AK64" s="160" t="str">
        <f t="shared" si="17"/>
        <v/>
      </c>
      <c r="AL64" s="160" t="str">
        <f t="shared" si="17"/>
        <v/>
      </c>
      <c r="AM64" s="160" t="str">
        <f t="shared" si="17"/>
        <v/>
      </c>
      <c r="AN64" s="160" t="str">
        <f t="shared" si="17"/>
        <v/>
      </c>
      <c r="AO64" s="160" t="str">
        <f t="shared" si="17"/>
        <v>Y</v>
      </c>
      <c r="AP64" s="160"/>
      <c r="AQ64" s="160" t="str">
        <f t="shared" si="17"/>
        <v>Dominated tech by horizontal tech</v>
      </c>
      <c r="AR64" s="106"/>
      <c r="AS64" s="106"/>
      <c r="AT64" s="106"/>
    </row>
    <row r="65" spans="1:46" ht="14.25">
      <c r="A65" s="106" t="s">
        <v>563</v>
      </c>
      <c r="B65" s="106" t="s">
        <v>665</v>
      </c>
      <c r="C65" s="106" t="s">
        <v>592</v>
      </c>
      <c r="D65" s="106" t="s">
        <v>650</v>
      </c>
      <c r="E65" s="159" t="str">
        <f t="shared" si="16"/>
        <v>Heat pump, ground source + add costs</v>
      </c>
      <c r="F65" s="160" t="str">
        <f t="shared" si="16"/>
        <v>RSDELC</v>
      </c>
      <c r="G65" s="160" t="str">
        <f t="shared" si="16"/>
        <v>GHET</v>
      </c>
      <c r="H65" s="106" t="s">
        <v>661</v>
      </c>
      <c r="I65" s="106"/>
      <c r="J65" s="106"/>
      <c r="K65" s="160">
        <f t="shared" si="17"/>
        <v>20</v>
      </c>
      <c r="L65" s="161">
        <f t="shared" si="17"/>
        <v>28380.000000000004</v>
      </c>
      <c r="M65" s="161">
        <f t="shared" si="17"/>
        <v>27121.050000000003</v>
      </c>
      <c r="N65" s="161">
        <f t="shared" si="17"/>
        <v>25862.100000000002</v>
      </c>
      <c r="O65" s="161">
        <f t="shared" si="17"/>
        <v>24603.150000000001</v>
      </c>
      <c r="P65" s="161">
        <f t="shared" si="17"/>
        <v>24603.150000000001</v>
      </c>
      <c r="Q65" s="161">
        <f t="shared" si="17"/>
        <v>330</v>
      </c>
      <c r="R65" s="160" t="str">
        <f t="shared" si="17"/>
        <v/>
      </c>
      <c r="S65" s="169">
        <f t="shared" si="17"/>
        <v>3.6000000000000001</v>
      </c>
      <c r="T65" s="169">
        <f t="shared" si="17"/>
        <v>3.7000000000000002</v>
      </c>
      <c r="U65" s="169">
        <f t="shared" si="17"/>
        <v>4</v>
      </c>
      <c r="V65" s="169">
        <f t="shared" si="17"/>
        <v>4.5</v>
      </c>
      <c r="W65" s="169">
        <f t="shared" si="17"/>
        <v>4.5</v>
      </c>
      <c r="X65" s="160" t="str">
        <f t="shared" si="17"/>
        <v/>
      </c>
      <c r="Y65" s="160" t="str">
        <f t="shared" si="17"/>
        <v/>
      </c>
      <c r="Z65" s="160" t="str">
        <f t="shared" si="17"/>
        <v/>
      </c>
      <c r="AA65" s="160" t="str">
        <f t="shared" si="17"/>
        <v/>
      </c>
      <c r="AB65" s="160" t="str">
        <f t="shared" si="17"/>
        <v/>
      </c>
      <c r="AC65" s="160" t="str">
        <f t="shared" si="17"/>
        <v/>
      </c>
      <c r="AD65" s="160" t="str">
        <f t="shared" si="17"/>
        <v/>
      </c>
      <c r="AE65" s="163">
        <f t="shared" si="17"/>
        <v>1</v>
      </c>
      <c r="AF65" s="163">
        <f t="shared" si="17"/>
        <v>1</v>
      </c>
      <c r="AG65" s="163">
        <f t="shared" si="17"/>
        <v>1</v>
      </c>
      <c r="AH65" s="160" t="str">
        <f t="shared" si="17"/>
        <v/>
      </c>
      <c r="AI65" s="160" t="str">
        <f t="shared" si="17"/>
        <v/>
      </c>
      <c r="AJ65" s="160" t="str">
        <f t="shared" si="17"/>
        <v/>
      </c>
      <c r="AK65" s="160" t="str">
        <f t="shared" si="17"/>
        <v/>
      </c>
      <c r="AL65" s="160" t="str">
        <f t="shared" si="17"/>
        <v/>
      </c>
      <c r="AM65" s="160" t="str">
        <f t="shared" si="17"/>
        <v/>
      </c>
      <c r="AN65" s="160">
        <f t="shared" si="17"/>
        <v>1.1000000000000001</v>
      </c>
      <c r="AO65" s="160" t="str">
        <f t="shared" si="17"/>
        <v>Y</v>
      </c>
      <c r="AP65" s="160"/>
      <c r="AQ65" s="160" t="str">
        <f t="shared" si="17"/>
        <v/>
      </c>
      <c r="AR65" s="106"/>
      <c r="AS65" s="106"/>
      <c r="AT65" s="106"/>
    </row>
    <row r="66" spans="1:46" ht="14.25">
      <c r="A66" s="106" t="s">
        <v>563</v>
      </c>
      <c r="B66" s="106" t="s">
        <v>666</v>
      </c>
      <c r="C66" s="106" t="s">
        <v>595</v>
      </c>
      <c r="D66" s="106" t="s">
        <v>650</v>
      </c>
      <c r="E66" s="159" t="str">
        <f t="shared" si="16"/>
        <v>HP-e-groundwater</v>
      </c>
      <c r="F66" s="160" t="str">
        <f t="shared" si="16"/>
        <v>RSDELC</v>
      </c>
      <c r="G66" s="160" t="str">
        <f t="shared" si="16"/>
        <v>GHET</v>
      </c>
      <c r="H66" s="106" t="s">
        <v>651</v>
      </c>
      <c r="I66" s="106"/>
      <c r="J66" s="106"/>
      <c r="K66" s="160">
        <f t="shared" si="17"/>
        <v>25</v>
      </c>
      <c r="L66" s="161">
        <f t="shared" si="17"/>
        <v>25735</v>
      </c>
      <c r="M66" s="161">
        <f t="shared" si="17"/>
        <v>25735</v>
      </c>
      <c r="N66" s="161">
        <f t="shared" si="17"/>
        <v>21647.5</v>
      </c>
      <c r="O66" s="161">
        <f t="shared" si="17"/>
        <v>21647.5</v>
      </c>
      <c r="P66" s="161">
        <f t="shared" si="17"/>
        <v>20012.5</v>
      </c>
      <c r="Q66" s="161">
        <f t="shared" si="17"/>
        <v>300</v>
      </c>
      <c r="R66" s="160" t="str">
        <f t="shared" si="17"/>
        <v/>
      </c>
      <c r="S66" s="169">
        <f t="shared" si="17"/>
        <v>3.52</v>
      </c>
      <c r="T66" s="169">
        <f t="shared" si="17"/>
        <v>3.52</v>
      </c>
      <c r="U66" s="169">
        <f t="shared" si="17"/>
        <v>4.9279999999999999</v>
      </c>
      <c r="V66" s="169">
        <f t="shared" si="17"/>
        <v>4.9279999999999999</v>
      </c>
      <c r="W66" s="169">
        <f t="shared" si="17"/>
        <v>5.2800000000000002</v>
      </c>
      <c r="X66" s="160" t="str">
        <f t="shared" si="17"/>
        <v/>
      </c>
      <c r="Y66" s="160" t="str">
        <f t="shared" si="17"/>
        <v/>
      </c>
      <c r="Z66" s="160" t="str">
        <f t="shared" si="17"/>
        <v/>
      </c>
      <c r="AA66" s="160" t="str">
        <f t="shared" si="17"/>
        <v/>
      </c>
      <c r="AB66" s="160" t="str">
        <f t="shared" si="17"/>
        <v/>
      </c>
      <c r="AC66" s="160" t="str">
        <f t="shared" si="17"/>
        <v/>
      </c>
      <c r="AD66" s="160" t="str">
        <f t="shared" si="17"/>
        <v/>
      </c>
      <c r="AE66" s="163">
        <f t="shared" si="17"/>
        <v>1</v>
      </c>
      <c r="AF66" s="163">
        <f t="shared" si="17"/>
        <v>1</v>
      </c>
      <c r="AG66" s="163" t="str">
        <f t="shared" si="17"/>
        <v/>
      </c>
      <c r="AH66" s="160" t="str">
        <f t="shared" si="17"/>
        <v/>
      </c>
      <c r="AI66" s="160" t="str">
        <f t="shared" si="17"/>
        <v/>
      </c>
      <c r="AJ66" s="160" t="str">
        <f t="shared" si="17"/>
        <v/>
      </c>
      <c r="AK66" s="160" t="str">
        <f t="shared" si="17"/>
        <v/>
      </c>
      <c r="AL66" s="160" t="str">
        <f t="shared" si="17"/>
        <v/>
      </c>
      <c r="AM66" s="160" t="str">
        <f t="shared" si="17"/>
        <v/>
      </c>
      <c r="AN66" s="160" t="str">
        <f t="shared" si="17"/>
        <v/>
      </c>
      <c r="AO66" s="160" t="str">
        <f t="shared" si="17"/>
        <v>Y</v>
      </c>
      <c r="AP66" s="160"/>
      <c r="AQ66" s="160" t="str">
        <f t="shared" si="17"/>
        <v>Drilling costs &amp; heat exchanger</v>
      </c>
      <c r="AR66" s="106"/>
      <c r="AS66" s="106"/>
      <c r="AT66" s="106"/>
    </row>
    <row r="67" spans="1:46" s="125" customFormat="1" ht="14.25">
      <c r="A67" s="118" t="s">
        <v>563</v>
      </c>
      <c r="B67" s="118" t="s">
        <v>667</v>
      </c>
      <c r="C67" s="118" t="s">
        <v>599</v>
      </c>
      <c r="D67" s="118" t="s">
        <v>650</v>
      </c>
      <c r="E67" s="164" t="str">
        <f t="shared" si="16"/>
        <v>HP-e-groundwater + add costs</v>
      </c>
      <c r="F67" s="165" t="str">
        <f t="shared" si="16"/>
        <v>RSDELC</v>
      </c>
      <c r="G67" s="165" t="str">
        <f t="shared" si="16"/>
        <v>GHET</v>
      </c>
      <c r="H67" s="118" t="s">
        <v>661</v>
      </c>
      <c r="I67" s="118"/>
      <c r="J67" s="118"/>
      <c r="K67" s="165">
        <f t="shared" si="17"/>
        <v>25</v>
      </c>
      <c r="L67" s="166">
        <f t="shared" si="17"/>
        <v>28308.500000000004</v>
      </c>
      <c r="M67" s="166">
        <f t="shared" si="17"/>
        <v>28308.500000000004</v>
      </c>
      <c r="N67" s="166">
        <f t="shared" si="17"/>
        <v>23812.250000000004</v>
      </c>
      <c r="O67" s="166">
        <f t="shared" si="17"/>
        <v>23812.250000000004</v>
      </c>
      <c r="P67" s="166">
        <f t="shared" si="17"/>
        <v>22013.75</v>
      </c>
      <c r="Q67" s="166">
        <f t="shared" si="17"/>
        <v>330</v>
      </c>
      <c r="R67" s="165" t="str">
        <f t="shared" si="17"/>
        <v/>
      </c>
      <c r="S67" s="170">
        <f t="shared" si="17"/>
        <v>3.52</v>
      </c>
      <c r="T67" s="170">
        <f t="shared" si="17"/>
        <v>3.52</v>
      </c>
      <c r="U67" s="170">
        <f t="shared" si="17"/>
        <v>4.9279999999999999</v>
      </c>
      <c r="V67" s="170">
        <f t="shared" si="17"/>
        <v>4.9279999999999999</v>
      </c>
      <c r="W67" s="170">
        <f t="shared" si="17"/>
        <v>5.2800000000000002</v>
      </c>
      <c r="X67" s="165" t="str">
        <f t="shared" si="17"/>
        <v/>
      </c>
      <c r="Y67" s="165" t="str">
        <f t="shared" si="17"/>
        <v/>
      </c>
      <c r="Z67" s="165" t="str">
        <f t="shared" si="17"/>
        <v/>
      </c>
      <c r="AA67" s="165" t="str">
        <f t="shared" si="17"/>
        <v/>
      </c>
      <c r="AB67" s="165" t="str">
        <f t="shared" si="17"/>
        <v/>
      </c>
      <c r="AC67" s="165" t="str">
        <f t="shared" si="17"/>
        <v/>
      </c>
      <c r="AD67" s="165" t="str">
        <f t="shared" si="17"/>
        <v/>
      </c>
      <c r="AE67" s="168">
        <f t="shared" si="17"/>
        <v>1</v>
      </c>
      <c r="AF67" s="168">
        <f t="shared" si="17"/>
        <v>1</v>
      </c>
      <c r="AG67" s="168">
        <f t="shared" si="17"/>
        <v>1</v>
      </c>
      <c r="AH67" s="165" t="str">
        <f t="shared" si="17"/>
        <v/>
      </c>
      <c r="AI67" s="165" t="str">
        <f t="shared" si="17"/>
        <v/>
      </c>
      <c r="AJ67" s="165" t="str">
        <f t="shared" si="17"/>
        <v/>
      </c>
      <c r="AK67" s="165" t="str">
        <f t="shared" si="17"/>
        <v/>
      </c>
      <c r="AL67" s="165" t="str">
        <f t="shared" si="17"/>
        <v/>
      </c>
      <c r="AM67" s="165" t="str">
        <f t="shared" si="17"/>
        <v/>
      </c>
      <c r="AN67" s="165">
        <f t="shared" si="17"/>
        <v>1.1000000000000001</v>
      </c>
      <c r="AO67" s="165" t="str">
        <f t="shared" si="17"/>
        <v>Y</v>
      </c>
      <c r="AP67" s="165"/>
      <c r="AQ67" s="165" t="str">
        <f t="shared" si="17"/>
        <v>Drilling costs &amp; heat exchanger</v>
      </c>
      <c r="AR67" s="118"/>
      <c r="AS67" s="118"/>
      <c r="AT67" s="118"/>
    </row>
    <row r="68" spans="1:46" ht="14.25">
      <c r="A68" s="106" t="s">
        <v>601</v>
      </c>
      <c r="B68" s="106" t="s">
        <v>668</v>
      </c>
      <c r="C68" s="106" t="s">
        <v>602</v>
      </c>
      <c r="D68" s="106" t="s">
        <v>650</v>
      </c>
      <c r="E68" s="159" t="str">
        <f t="shared" si="16"/>
        <v>GHP – direct-fired absorption heat pump air/brine to water</v>
      </c>
      <c r="F68" s="160" t="str">
        <f t="shared" si="16"/>
        <v>RSDGAS, RSDLPG, RSDBGS</v>
      </c>
      <c r="G68" s="160" t="str">
        <f t="shared" si="16"/>
        <v>AHET</v>
      </c>
      <c r="H68" s="106" t="s">
        <v>651</v>
      </c>
      <c r="I68" s="106"/>
      <c r="J68" s="106"/>
      <c r="K68" s="160">
        <f t="shared" si="17"/>
        <v>22</v>
      </c>
      <c r="L68" s="161">
        <f t="shared" si="17"/>
        <v>28900</v>
      </c>
      <c r="M68" s="161">
        <f t="shared" si="17"/>
        <v>28900</v>
      </c>
      <c r="N68" s="161">
        <f t="shared" si="17"/>
        <v>27166</v>
      </c>
      <c r="O68" s="161">
        <f t="shared" si="17"/>
        <v>27166</v>
      </c>
      <c r="P68" s="161">
        <f t="shared" si="17"/>
        <v>27166</v>
      </c>
      <c r="Q68" s="161">
        <f t="shared" si="17"/>
        <v>155</v>
      </c>
      <c r="R68" s="160" t="str">
        <f t="shared" si="17"/>
        <v/>
      </c>
      <c r="S68" s="169">
        <f t="shared" si="17"/>
        <v>1.3500000000000001</v>
      </c>
      <c r="T68" s="169">
        <f t="shared" si="17"/>
        <v>1.45</v>
      </c>
      <c r="U68" s="169">
        <f t="shared" si="17"/>
        <v>1.7</v>
      </c>
      <c r="V68" s="169">
        <f t="shared" si="17"/>
        <v>1.7</v>
      </c>
      <c r="W68" s="169">
        <f t="shared" si="17"/>
        <v>1.7</v>
      </c>
      <c r="X68" s="160" t="str">
        <f t="shared" si="17"/>
        <v/>
      </c>
      <c r="Y68" s="160" t="str">
        <f t="shared" si="17"/>
        <v/>
      </c>
      <c r="Z68" s="160" t="str">
        <f t="shared" si="17"/>
        <v/>
      </c>
      <c r="AA68" s="160" t="str">
        <f t="shared" si="17"/>
        <v/>
      </c>
      <c r="AB68" s="160" t="str">
        <f t="shared" si="17"/>
        <v/>
      </c>
      <c r="AC68" s="160" t="str">
        <f t="shared" si="17"/>
        <v/>
      </c>
      <c r="AD68" s="160" t="str">
        <f t="shared" si="17"/>
        <v/>
      </c>
      <c r="AE68" s="163">
        <f t="shared" si="17"/>
        <v>1</v>
      </c>
      <c r="AF68" s="163">
        <f t="shared" si="17"/>
        <v>1</v>
      </c>
      <c r="AG68" s="163" t="str">
        <f t="shared" si="17"/>
        <v/>
      </c>
      <c r="AH68" s="160" t="str">
        <f t="shared" si="17"/>
        <v/>
      </c>
      <c r="AI68" s="160" t="str">
        <f t="shared" si="17"/>
        <v/>
      </c>
      <c r="AJ68" s="160" t="str">
        <f t="shared" si="17"/>
        <v/>
      </c>
      <c r="AK68" s="160" t="str">
        <f t="shared" si="17"/>
        <v/>
      </c>
      <c r="AL68" s="160" t="str">
        <f t="shared" si="17"/>
        <v/>
      </c>
      <c r="AM68" s="160" t="str">
        <f t="shared" si="17"/>
        <v/>
      </c>
      <c r="AN68" s="160" t="str">
        <f t="shared" si="17"/>
        <v/>
      </c>
      <c r="AO68" s="160" t="str">
        <f t="shared" si="17"/>
        <v/>
      </c>
      <c r="AP68" s="160"/>
      <c r="AQ68" s="160" t="str">
        <f t="shared" si="18" ref="AQ68">IF(AQ27="","",AQ27)</f>
        <v/>
      </c>
      <c r="AR68" s="106"/>
      <c r="AS68" s="106"/>
      <c r="AT68" s="106"/>
    </row>
    <row r="69" spans="1:46" ht="14.25">
      <c r="A69" s="106" t="s">
        <v>601</v>
      </c>
      <c r="B69" s="106" t="s">
        <v>669</v>
      </c>
      <c r="C69" s="106" t="s">
        <v>606</v>
      </c>
      <c r="D69" s="106" t="s">
        <v>650</v>
      </c>
      <c r="E69" s="159" t="str">
        <f t="shared" si="16"/>
        <v>GHP – direct-fired absorption heat pump air/brine to water + add costs</v>
      </c>
      <c r="F69" s="160" t="str">
        <f t="shared" si="16"/>
        <v>RSDGAS, RSDLPG, RSDBGS</v>
      </c>
      <c r="G69" s="160" t="str">
        <f t="shared" si="16"/>
        <v>AHET</v>
      </c>
      <c r="H69" s="106" t="s">
        <v>661</v>
      </c>
      <c r="I69" s="106"/>
      <c r="J69" s="106"/>
      <c r="K69" s="160">
        <f t="shared" si="19" ref="K69:AQ76">IF(K28="","",K28)</f>
        <v>22</v>
      </c>
      <c r="L69" s="161">
        <f t="shared" si="19"/>
        <v>31790.000000000004</v>
      </c>
      <c r="M69" s="161">
        <f t="shared" si="19"/>
        <v>31790.000000000004</v>
      </c>
      <c r="N69" s="161">
        <f t="shared" si="19"/>
        <v>29882.600000000002</v>
      </c>
      <c r="O69" s="161">
        <f t="shared" si="19"/>
        <v>29882.600000000002</v>
      </c>
      <c r="P69" s="161">
        <f t="shared" si="19"/>
        <v>29882.600000000002</v>
      </c>
      <c r="Q69" s="161">
        <f t="shared" si="19"/>
        <v>170.5</v>
      </c>
      <c r="R69" s="160" t="str">
        <f t="shared" si="19"/>
        <v/>
      </c>
      <c r="S69" s="169">
        <f t="shared" si="19"/>
        <v>1.3500000000000001</v>
      </c>
      <c r="T69" s="169">
        <f t="shared" si="19"/>
        <v>1.45</v>
      </c>
      <c r="U69" s="169">
        <f t="shared" si="19"/>
        <v>1.7</v>
      </c>
      <c r="V69" s="169">
        <f t="shared" si="19"/>
        <v>1.7</v>
      </c>
      <c r="W69" s="169">
        <f t="shared" si="19"/>
        <v>1.7</v>
      </c>
      <c r="X69" s="160" t="str">
        <f t="shared" si="19"/>
        <v/>
      </c>
      <c r="Y69" s="160" t="str">
        <f t="shared" si="19"/>
        <v/>
      </c>
      <c r="Z69" s="160" t="str">
        <f t="shared" si="19"/>
        <v/>
      </c>
      <c r="AA69" s="160" t="str">
        <f t="shared" si="19"/>
        <v/>
      </c>
      <c r="AB69" s="160" t="str">
        <f t="shared" si="19"/>
        <v/>
      </c>
      <c r="AC69" s="160" t="str">
        <f t="shared" si="19"/>
        <v/>
      </c>
      <c r="AD69" s="160" t="str">
        <f t="shared" si="19"/>
        <v/>
      </c>
      <c r="AE69" s="163">
        <f t="shared" si="19"/>
        <v>1</v>
      </c>
      <c r="AF69" s="163">
        <f t="shared" si="19"/>
        <v>1</v>
      </c>
      <c r="AG69" s="163">
        <f t="shared" si="19"/>
        <v>1</v>
      </c>
      <c r="AH69" s="160" t="str">
        <f t="shared" si="19"/>
        <v/>
      </c>
      <c r="AI69" s="160" t="str">
        <f t="shared" si="19"/>
        <v/>
      </c>
      <c r="AJ69" s="160" t="str">
        <f t="shared" si="19"/>
        <v/>
      </c>
      <c r="AK69" s="160" t="str">
        <f t="shared" si="19"/>
        <v/>
      </c>
      <c r="AL69" s="160" t="str">
        <f t="shared" si="19"/>
        <v/>
      </c>
      <c r="AM69" s="160" t="str">
        <f t="shared" si="19"/>
        <v/>
      </c>
      <c r="AN69" s="160">
        <f t="shared" si="19"/>
        <v>1.1000000000000001</v>
      </c>
      <c r="AO69" s="160" t="str">
        <f t="shared" si="19"/>
        <v/>
      </c>
      <c r="AP69" s="160"/>
      <c r="AQ69" s="160" t="str">
        <f t="shared" si="19"/>
        <v/>
      </c>
      <c r="AR69" s="106"/>
      <c r="AS69" s="106"/>
      <c r="AT69" s="106"/>
    </row>
    <row r="70" spans="1:46" ht="14.25">
      <c r="A70" s="106" t="s">
        <v>601</v>
      </c>
      <c r="B70" s="106" t="s">
        <v>670</v>
      </c>
      <c r="C70" s="106" t="s">
        <v>607</v>
      </c>
      <c r="D70" s="106" t="s">
        <v>650</v>
      </c>
      <c r="E70" s="159" t="str">
        <f t="shared" si="16"/>
        <v>GHP – adsorption heat pump brine to water + Solar thermal collectors</v>
      </c>
      <c r="F70" s="160" t="str">
        <f t="shared" si="16"/>
        <v>RSDGAS, RSDLPG, RSDBGS</v>
      </c>
      <c r="G70" s="160" t="str">
        <f t="shared" si="16"/>
        <v>AHET</v>
      </c>
      <c r="H70" s="106" t="s">
        <v>651</v>
      </c>
      <c r="I70" s="106"/>
      <c r="J70" s="106"/>
      <c r="K70" s="160">
        <f t="shared" si="19"/>
        <v>20</v>
      </c>
      <c r="L70" s="161">
        <f t="shared" si="19"/>
        <v>19496</v>
      </c>
      <c r="M70" s="161">
        <f t="shared" si="19"/>
        <v>19496</v>
      </c>
      <c r="N70" s="161">
        <f t="shared" si="19"/>
        <v>19496</v>
      </c>
      <c r="O70" s="161">
        <f t="shared" si="19"/>
        <v>19496</v>
      </c>
      <c r="P70" s="161">
        <f t="shared" si="19"/>
        <v>19496</v>
      </c>
      <c r="Q70" s="161">
        <f t="shared" si="19"/>
        <v>272</v>
      </c>
      <c r="R70" s="160" t="str">
        <f t="shared" si="19"/>
        <v/>
      </c>
      <c r="S70" s="169">
        <f t="shared" si="19"/>
        <v>1.1200000000000001</v>
      </c>
      <c r="T70" s="169">
        <f t="shared" si="19"/>
        <v>1.1200000000000001</v>
      </c>
      <c r="U70" s="169">
        <f t="shared" si="19"/>
        <v>1.1200000000000001</v>
      </c>
      <c r="V70" s="169">
        <f t="shared" si="19"/>
        <v>1.1200000000000001</v>
      </c>
      <c r="W70" s="169">
        <f t="shared" si="19"/>
        <v>1.1200000000000001</v>
      </c>
      <c r="X70" s="160" t="str">
        <f t="shared" si="19"/>
        <v/>
      </c>
      <c r="Y70" s="160" t="str">
        <f t="shared" si="19"/>
        <v/>
      </c>
      <c r="Z70" s="160" t="str">
        <f t="shared" si="19"/>
        <v/>
      </c>
      <c r="AA70" s="160" t="str">
        <f t="shared" si="19"/>
        <v/>
      </c>
      <c r="AB70" s="160" t="str">
        <f t="shared" si="19"/>
        <v/>
      </c>
      <c r="AC70" s="160" t="str">
        <f t="shared" si="19"/>
        <v/>
      </c>
      <c r="AD70" s="160" t="str">
        <f t="shared" si="19"/>
        <v/>
      </c>
      <c r="AE70" s="163">
        <f t="shared" si="19"/>
        <v>1</v>
      </c>
      <c r="AF70" s="163">
        <f t="shared" si="19"/>
        <v>1</v>
      </c>
      <c r="AG70" s="163" t="str">
        <f t="shared" si="19"/>
        <v/>
      </c>
      <c r="AH70" s="160" t="str">
        <f t="shared" si="19"/>
        <v/>
      </c>
      <c r="AI70" s="160" t="str">
        <f t="shared" si="19"/>
        <v/>
      </c>
      <c r="AJ70" s="160" t="str">
        <f t="shared" si="19"/>
        <v/>
      </c>
      <c r="AK70" s="160" t="str">
        <f t="shared" si="19"/>
        <v/>
      </c>
      <c r="AL70" s="160" t="str">
        <f t="shared" si="19"/>
        <v/>
      </c>
      <c r="AM70" s="160" t="str">
        <f t="shared" si="19"/>
        <v/>
      </c>
      <c r="AN70" s="160" t="str">
        <f t="shared" si="19"/>
        <v/>
      </c>
      <c r="AO70" s="160" t="str">
        <f t="shared" si="19"/>
        <v/>
      </c>
      <c r="AP70" s="160"/>
      <c r="AQ70" s="160" t="str">
        <f t="shared" si="19"/>
        <v/>
      </c>
      <c r="AR70" s="106"/>
      <c r="AS70" s="106"/>
      <c r="AT70" s="106"/>
    </row>
    <row r="71" spans="1:46" ht="14.25">
      <c r="A71" s="106" t="s">
        <v>601</v>
      </c>
      <c r="B71" s="106" t="s">
        <v>671</v>
      </c>
      <c r="C71" s="106" t="s">
        <v>609</v>
      </c>
      <c r="D71" s="106" t="s">
        <v>650</v>
      </c>
      <c r="E71" s="159" t="str">
        <f t="shared" si="16"/>
        <v>GHP – adsorption heat pump brine to water + Solar thermal collectors + add costs</v>
      </c>
      <c r="F71" s="160" t="str">
        <f t="shared" si="16"/>
        <v>RSDGAS, RSDLPG, RSDBGS</v>
      </c>
      <c r="G71" s="160" t="str">
        <f t="shared" si="16"/>
        <v>AHET</v>
      </c>
      <c r="H71" s="106" t="s">
        <v>661</v>
      </c>
      <c r="I71" s="106"/>
      <c r="J71" s="106"/>
      <c r="K71" s="160">
        <f t="shared" si="19"/>
        <v>20</v>
      </c>
      <c r="L71" s="161">
        <f t="shared" si="19"/>
        <v>21445.600000000002</v>
      </c>
      <c r="M71" s="161">
        <f t="shared" si="19"/>
        <v>21445.600000000002</v>
      </c>
      <c r="N71" s="161">
        <f t="shared" si="19"/>
        <v>21445.600000000002</v>
      </c>
      <c r="O71" s="161">
        <f t="shared" si="19"/>
        <v>21445.600000000002</v>
      </c>
      <c r="P71" s="161">
        <f t="shared" si="19"/>
        <v>21445.600000000002</v>
      </c>
      <c r="Q71" s="161">
        <f t="shared" si="19"/>
        <v>299.20000000000005</v>
      </c>
      <c r="R71" s="160" t="str">
        <f t="shared" si="19"/>
        <v/>
      </c>
      <c r="S71" s="169">
        <f t="shared" si="19"/>
        <v>1.1200000000000001</v>
      </c>
      <c r="T71" s="169">
        <f t="shared" si="19"/>
        <v>1.1200000000000001</v>
      </c>
      <c r="U71" s="169">
        <f t="shared" si="19"/>
        <v>1.1200000000000001</v>
      </c>
      <c r="V71" s="169">
        <f t="shared" si="19"/>
        <v>1.1200000000000001</v>
      </c>
      <c r="W71" s="169">
        <f t="shared" si="19"/>
        <v>1.1200000000000001</v>
      </c>
      <c r="X71" s="160" t="str">
        <f t="shared" si="19"/>
        <v/>
      </c>
      <c r="Y71" s="160" t="str">
        <f t="shared" si="19"/>
        <v/>
      </c>
      <c r="Z71" s="160" t="str">
        <f t="shared" si="19"/>
        <v/>
      </c>
      <c r="AA71" s="160" t="str">
        <f t="shared" si="19"/>
        <v/>
      </c>
      <c r="AB71" s="160" t="str">
        <f t="shared" si="19"/>
        <v/>
      </c>
      <c r="AC71" s="160" t="str">
        <f t="shared" si="19"/>
        <v/>
      </c>
      <c r="AD71" s="160" t="str">
        <f t="shared" si="19"/>
        <v/>
      </c>
      <c r="AE71" s="163">
        <f t="shared" si="19"/>
        <v>1</v>
      </c>
      <c r="AF71" s="163">
        <f t="shared" si="19"/>
        <v>1</v>
      </c>
      <c r="AG71" s="163">
        <f t="shared" si="19"/>
        <v>1</v>
      </c>
      <c r="AH71" s="160" t="str">
        <f t="shared" si="19"/>
        <v/>
      </c>
      <c r="AI71" s="160" t="str">
        <f t="shared" si="19"/>
        <v/>
      </c>
      <c r="AJ71" s="160" t="str">
        <f t="shared" si="19"/>
        <v/>
      </c>
      <c r="AK71" s="160" t="str">
        <f t="shared" si="19"/>
        <v/>
      </c>
      <c r="AL71" s="160" t="str">
        <f t="shared" si="19"/>
        <v/>
      </c>
      <c r="AM71" s="160" t="str">
        <f t="shared" si="19"/>
        <v/>
      </c>
      <c r="AN71" s="160">
        <f t="shared" si="19"/>
        <v>1.1000000000000001</v>
      </c>
      <c r="AO71" s="160" t="str">
        <f t="shared" si="19"/>
        <v/>
      </c>
      <c r="AP71" s="160"/>
      <c r="AQ71" s="160" t="str">
        <f t="shared" si="19"/>
        <v/>
      </c>
      <c r="AR71" s="106"/>
      <c r="AS71" s="106"/>
      <c r="AT71" s="106"/>
    </row>
    <row r="72" spans="1:46" ht="14.25">
      <c r="A72" s="106" t="s">
        <v>601</v>
      </c>
      <c r="B72" s="106" t="s">
        <v>672</v>
      </c>
      <c r="C72" s="106" t="s">
        <v>611</v>
      </c>
      <c r="D72" s="106" t="s">
        <v>650</v>
      </c>
      <c r="E72" s="159" t="str">
        <f t="shared" si="16"/>
        <v>GHP – gas engine driven heat pump air/brine to water</v>
      </c>
      <c r="F72" s="160" t="str">
        <f t="shared" si="16"/>
        <v>RSDGAS, RSDLPG, RSDBGS</v>
      </c>
      <c r="G72" s="160" t="str">
        <f t="shared" si="16"/>
        <v>AHET</v>
      </c>
      <c r="H72" s="106" t="s">
        <v>651</v>
      </c>
      <c r="I72" s="106"/>
      <c r="J72" s="106"/>
      <c r="K72" s="160">
        <f t="shared" si="19"/>
        <v>20</v>
      </c>
      <c r="L72" s="161">
        <f t="shared" si="19"/>
        <v>47500</v>
      </c>
      <c r="M72" s="161">
        <f t="shared" si="19"/>
        <v>47500</v>
      </c>
      <c r="N72" s="161">
        <f t="shared" si="19"/>
        <v>47500</v>
      </c>
      <c r="O72" s="161">
        <f t="shared" si="19"/>
        <v>47500</v>
      </c>
      <c r="P72" s="161">
        <f t="shared" si="19"/>
        <v>47500</v>
      </c>
      <c r="Q72" s="161">
        <f t="shared" si="19"/>
        <v>135</v>
      </c>
      <c r="R72" s="160" t="str">
        <f t="shared" si="19"/>
        <v/>
      </c>
      <c r="S72" s="169">
        <f t="shared" si="19"/>
        <v>1.5</v>
      </c>
      <c r="T72" s="169">
        <f t="shared" si="19"/>
        <v>1.55</v>
      </c>
      <c r="U72" s="169">
        <f t="shared" si="19"/>
        <v>1.55</v>
      </c>
      <c r="V72" s="169">
        <f t="shared" si="19"/>
        <v>1.6000000000000001</v>
      </c>
      <c r="W72" s="169">
        <f t="shared" si="19"/>
        <v>1.6000000000000001</v>
      </c>
      <c r="X72" s="160" t="str">
        <f t="shared" si="19"/>
        <v/>
      </c>
      <c r="Y72" s="160" t="str">
        <f t="shared" si="19"/>
        <v/>
      </c>
      <c r="Z72" s="160" t="str">
        <f t="shared" si="19"/>
        <v/>
      </c>
      <c r="AA72" s="160" t="str">
        <f t="shared" si="19"/>
        <v/>
      </c>
      <c r="AB72" s="160" t="str">
        <f t="shared" si="19"/>
        <v/>
      </c>
      <c r="AC72" s="160" t="str">
        <f t="shared" si="19"/>
        <v/>
      </c>
      <c r="AD72" s="160" t="str">
        <f t="shared" si="19"/>
        <v/>
      </c>
      <c r="AE72" s="163">
        <f t="shared" si="19"/>
        <v>1</v>
      </c>
      <c r="AF72" s="163">
        <f t="shared" si="19"/>
        <v>1</v>
      </c>
      <c r="AG72" s="163" t="str">
        <f t="shared" si="19"/>
        <v/>
      </c>
      <c r="AH72" s="160" t="str">
        <f t="shared" si="19"/>
        <v/>
      </c>
      <c r="AI72" s="160" t="str">
        <f t="shared" si="19"/>
        <v/>
      </c>
      <c r="AJ72" s="160" t="str">
        <f t="shared" si="19"/>
        <v/>
      </c>
      <c r="AK72" s="160" t="str">
        <f t="shared" si="19"/>
        <v/>
      </c>
      <c r="AL72" s="160" t="str">
        <f t="shared" si="19"/>
        <v/>
      </c>
      <c r="AM72" s="160" t="str">
        <f t="shared" si="19"/>
        <v/>
      </c>
      <c r="AN72" s="160" t="str">
        <f t="shared" si="19"/>
        <v/>
      </c>
      <c r="AO72" s="160" t="str">
        <f t="shared" si="19"/>
        <v/>
      </c>
      <c r="AP72" s="160"/>
      <c r="AQ72" s="160" t="str">
        <f t="shared" si="19"/>
        <v>Data missing. NE data used</v>
      </c>
      <c r="AR72" s="106"/>
      <c r="AS72" s="106"/>
      <c r="AT72" s="106"/>
    </row>
    <row r="73" spans="1:46" s="125" customFormat="1" ht="14.25">
      <c r="A73" s="118" t="s">
        <v>601</v>
      </c>
      <c r="B73" s="118" t="s">
        <v>673</v>
      </c>
      <c r="C73" s="118" t="s">
        <v>614</v>
      </c>
      <c r="D73" s="118" t="s">
        <v>650</v>
      </c>
      <c r="E73" s="164" t="str">
        <f t="shared" si="16"/>
        <v>GHP – gas engine driven heat pump air/brine to water + add costs</v>
      </c>
      <c r="F73" s="165" t="str">
        <f t="shared" si="16"/>
        <v>RSDGAS, RSDLPG, RSDBGS</v>
      </c>
      <c r="G73" s="165" t="str">
        <f t="shared" si="16"/>
        <v>AHET</v>
      </c>
      <c r="H73" s="118" t="s">
        <v>661</v>
      </c>
      <c r="I73" s="118"/>
      <c r="J73" s="118"/>
      <c r="K73" s="165">
        <f t="shared" si="19"/>
        <v>20</v>
      </c>
      <c r="L73" s="166">
        <f t="shared" si="19"/>
        <v>52250.000000000007</v>
      </c>
      <c r="M73" s="166">
        <f t="shared" si="19"/>
        <v>52250.000000000007</v>
      </c>
      <c r="N73" s="166">
        <f t="shared" si="19"/>
        <v>52250.000000000007</v>
      </c>
      <c r="O73" s="166">
        <f t="shared" si="19"/>
        <v>52250.000000000007</v>
      </c>
      <c r="P73" s="166">
        <f t="shared" si="19"/>
        <v>52250.000000000007</v>
      </c>
      <c r="Q73" s="166">
        <f t="shared" si="19"/>
        <v>148.5</v>
      </c>
      <c r="R73" s="165" t="str">
        <f t="shared" si="19"/>
        <v/>
      </c>
      <c r="S73" s="170">
        <f t="shared" si="19"/>
        <v>1.5</v>
      </c>
      <c r="T73" s="170">
        <f t="shared" si="19"/>
        <v>1.55</v>
      </c>
      <c r="U73" s="170">
        <f t="shared" si="19"/>
        <v>1.55</v>
      </c>
      <c r="V73" s="170">
        <f t="shared" si="19"/>
        <v>1.6000000000000001</v>
      </c>
      <c r="W73" s="170">
        <f t="shared" si="19"/>
        <v>1.6000000000000001</v>
      </c>
      <c r="X73" s="165" t="str">
        <f t="shared" si="19"/>
        <v/>
      </c>
      <c r="Y73" s="165" t="str">
        <f t="shared" si="19"/>
        <v/>
      </c>
      <c r="Z73" s="165" t="str">
        <f t="shared" si="19"/>
        <v/>
      </c>
      <c r="AA73" s="165" t="str">
        <f t="shared" si="19"/>
        <v/>
      </c>
      <c r="AB73" s="165" t="str">
        <f t="shared" si="19"/>
        <v/>
      </c>
      <c r="AC73" s="165" t="str">
        <f t="shared" si="19"/>
        <v/>
      </c>
      <c r="AD73" s="165" t="str">
        <f t="shared" si="19"/>
        <v/>
      </c>
      <c r="AE73" s="168">
        <f t="shared" si="19"/>
        <v>1</v>
      </c>
      <c r="AF73" s="168">
        <f t="shared" si="19"/>
        <v>1</v>
      </c>
      <c r="AG73" s="168">
        <f t="shared" si="19"/>
        <v>1</v>
      </c>
      <c r="AH73" s="165" t="str">
        <f t="shared" si="19"/>
        <v/>
      </c>
      <c r="AI73" s="165" t="str">
        <f t="shared" si="19"/>
        <v/>
      </c>
      <c r="AJ73" s="165" t="str">
        <f t="shared" si="19"/>
        <v/>
      </c>
      <c r="AK73" s="165" t="str">
        <f t="shared" si="19"/>
        <v/>
      </c>
      <c r="AL73" s="165" t="str">
        <f t="shared" si="19"/>
        <v/>
      </c>
      <c r="AM73" s="165" t="str">
        <f t="shared" si="19"/>
        <v/>
      </c>
      <c r="AN73" s="165">
        <f t="shared" si="19"/>
        <v>1.1000000000000001</v>
      </c>
      <c r="AO73" s="165" t="str">
        <f t="shared" si="19"/>
        <v/>
      </c>
      <c r="AP73" s="165"/>
      <c r="AQ73" s="165" t="str">
        <f t="shared" si="19"/>
        <v/>
      </c>
      <c r="AR73" s="118"/>
      <c r="AS73" s="118"/>
      <c r="AT73" s="118"/>
    </row>
    <row r="74" spans="1:46" ht="14.25">
      <c r="A74" s="102" t="s">
        <v>615</v>
      </c>
      <c r="B74" s="106" t="s">
        <v>674</v>
      </c>
      <c r="C74" s="106" t="s">
        <v>617</v>
      </c>
      <c r="D74" s="106" t="s">
        <v>650</v>
      </c>
      <c r="E74" s="159" t="str">
        <f t="shared" si="16"/>
        <v>CHP engines – micro turbine</v>
      </c>
      <c r="F74" s="160" t="str">
        <f t="shared" si="16"/>
        <v>RSDGAS, RSDLPG, RSDBGS</v>
      </c>
      <c r="G74" s="160" t="str">
        <f t="shared" si="16"/>
        <v/>
      </c>
      <c r="H74" s="106" t="s">
        <v>675</v>
      </c>
      <c r="I74" s="106"/>
      <c r="J74" s="106"/>
      <c r="K74" s="160">
        <f t="shared" si="19"/>
        <v>10</v>
      </c>
      <c r="L74" s="161">
        <f t="shared" si="19"/>
        <v>103980</v>
      </c>
      <c r="M74" s="161">
        <f t="shared" si="19"/>
        <v>103980</v>
      </c>
      <c r="N74" s="161">
        <f t="shared" si="19"/>
        <v>77985</v>
      </c>
      <c r="O74" s="161">
        <f t="shared" si="19"/>
        <v>77985</v>
      </c>
      <c r="P74" s="161">
        <f t="shared" si="19"/>
        <v>62388</v>
      </c>
      <c r="Q74" s="161" t="str">
        <f t="shared" si="19"/>
        <v/>
      </c>
      <c r="R74" s="160" t="str">
        <f t="shared" si="19"/>
        <v/>
      </c>
      <c r="S74" s="162">
        <f t="shared" si="19"/>
        <v>0.26000000000000001</v>
      </c>
      <c r="T74" s="162">
        <f t="shared" si="19"/>
        <v>0.26000000000000001</v>
      </c>
      <c r="U74" s="162">
        <f t="shared" si="19"/>
        <v>0.26000000000000001</v>
      </c>
      <c r="V74" s="162">
        <f t="shared" si="19"/>
        <v>0.26000000000000001</v>
      </c>
      <c r="W74" s="162">
        <f t="shared" si="19"/>
        <v>0.26000000000000001</v>
      </c>
      <c r="X74" s="160" t="str">
        <f t="shared" si="19"/>
        <v/>
      </c>
      <c r="Y74" s="160" t="str">
        <f t="shared" si="19"/>
        <v/>
      </c>
      <c r="Z74" s="160" t="str">
        <f t="shared" si="19"/>
        <v/>
      </c>
      <c r="AA74" s="160" t="str">
        <f t="shared" si="19"/>
        <v/>
      </c>
      <c r="AB74" s="160" t="str">
        <f t="shared" si="19"/>
        <v/>
      </c>
      <c r="AC74" s="160" t="str">
        <f t="shared" si="19"/>
        <v/>
      </c>
      <c r="AD74" s="160" t="str">
        <f t="shared" si="19"/>
        <v/>
      </c>
      <c r="AE74" s="163">
        <f t="shared" si="19"/>
        <v>0.59999999999999998</v>
      </c>
      <c r="AF74" s="163" t="str">
        <f t="shared" si="19"/>
        <v/>
      </c>
      <c r="AG74" s="163" t="str">
        <f t="shared" si="19"/>
        <v/>
      </c>
      <c r="AH74" s="160">
        <f t="shared" si="19"/>
        <v>2.4615384615384617</v>
      </c>
      <c r="AI74" s="160">
        <f t="shared" si="19"/>
        <v>2.4615384615384617</v>
      </c>
      <c r="AJ74" s="160">
        <f t="shared" si="19"/>
        <v>2.4615384615384617</v>
      </c>
      <c r="AK74" s="160">
        <f t="shared" si="19"/>
        <v>0.90000000000000002</v>
      </c>
      <c r="AL74" s="160">
        <f t="shared" si="19"/>
        <v>0.90000000000000002</v>
      </c>
      <c r="AM74" s="160">
        <f t="shared" si="19"/>
        <v>0.90000000000000002</v>
      </c>
      <c r="AN74" s="160" t="str">
        <f t="shared" si="19"/>
        <v/>
      </c>
      <c r="AO74" s="160" t="str">
        <f t="shared" si="19"/>
        <v>n/a</v>
      </c>
      <c r="AP74" s="160"/>
      <c r="AQ74" s="160" t="str">
        <f t="shared" si="19"/>
        <v/>
      </c>
      <c r="AR74" s="106"/>
      <c r="AS74" s="106"/>
      <c r="AT74" s="106"/>
    </row>
    <row r="75" spans="1:46" ht="14.25">
      <c r="A75" s="102" t="s">
        <v>615</v>
      </c>
      <c r="B75" s="106" t="s">
        <v>676</v>
      </c>
      <c r="C75" s="106" t="s">
        <v>677</v>
      </c>
      <c r="D75" s="106" t="s">
        <v>650</v>
      </c>
      <c r="E75" s="159" t="str">
        <f t="shared" si="16"/>
        <v>CHP engines – micro turbine</v>
      </c>
      <c r="F75" s="160" t="str">
        <f t="shared" si="16"/>
        <v>RSDOIL, RSDBDL</v>
      </c>
      <c r="G75" s="160" t="str">
        <f t="shared" si="16"/>
        <v/>
      </c>
      <c r="H75" s="106" t="s">
        <v>675</v>
      </c>
      <c r="I75" s="106"/>
      <c r="J75" s="106"/>
      <c r="K75" s="160">
        <f t="shared" si="19"/>
        <v>10</v>
      </c>
      <c r="L75" s="161">
        <f t="shared" si="19"/>
        <v>103980</v>
      </c>
      <c r="M75" s="161">
        <f t="shared" si="19"/>
        <v>103980</v>
      </c>
      <c r="N75" s="161">
        <f t="shared" si="19"/>
        <v>77985</v>
      </c>
      <c r="O75" s="161">
        <f t="shared" si="19"/>
        <v>77985</v>
      </c>
      <c r="P75" s="161">
        <f t="shared" si="19"/>
        <v>62388</v>
      </c>
      <c r="Q75" s="161" t="str">
        <f t="shared" si="19"/>
        <v/>
      </c>
      <c r="R75" s="160" t="str">
        <f t="shared" si="19"/>
        <v/>
      </c>
      <c r="S75" s="162">
        <f t="shared" si="19"/>
        <v>0.26000000000000001</v>
      </c>
      <c r="T75" s="162">
        <f t="shared" si="19"/>
        <v>0.26000000000000001</v>
      </c>
      <c r="U75" s="162">
        <f t="shared" si="19"/>
        <v>0.26000000000000001</v>
      </c>
      <c r="V75" s="162">
        <f t="shared" si="19"/>
        <v>0.26000000000000001</v>
      </c>
      <c r="W75" s="162">
        <f t="shared" si="19"/>
        <v>0.26000000000000001</v>
      </c>
      <c r="X75" s="160" t="str">
        <f t="shared" si="19"/>
        <v/>
      </c>
      <c r="Y75" s="160" t="str">
        <f t="shared" si="19"/>
        <v/>
      </c>
      <c r="Z75" s="160" t="str">
        <f t="shared" si="19"/>
        <v/>
      </c>
      <c r="AA75" s="160" t="str">
        <f t="shared" si="19"/>
        <v/>
      </c>
      <c r="AB75" s="160" t="str">
        <f t="shared" si="19"/>
        <v/>
      </c>
      <c r="AC75" s="160" t="str">
        <f t="shared" si="19"/>
        <v/>
      </c>
      <c r="AD75" s="160" t="str">
        <f t="shared" si="19"/>
        <v/>
      </c>
      <c r="AE75" s="163">
        <f t="shared" si="19"/>
        <v>0.59999999999999998</v>
      </c>
      <c r="AF75" s="163" t="str">
        <f t="shared" si="19"/>
        <v/>
      </c>
      <c r="AG75" s="163" t="str">
        <f t="shared" si="19"/>
        <v/>
      </c>
      <c r="AH75" s="160">
        <f t="shared" si="19"/>
        <v>2.4615384615384617</v>
      </c>
      <c r="AI75" s="160">
        <f t="shared" si="19"/>
        <v>2.4615384615384617</v>
      </c>
      <c r="AJ75" s="160">
        <f t="shared" si="19"/>
        <v>2.4615384615384617</v>
      </c>
      <c r="AK75" s="160">
        <f t="shared" si="19"/>
        <v>0.90000000000000002</v>
      </c>
      <c r="AL75" s="160">
        <f t="shared" si="19"/>
        <v>0.90000000000000002</v>
      </c>
      <c r="AM75" s="160">
        <f t="shared" si="19"/>
        <v>0.90000000000000002</v>
      </c>
      <c r="AN75" s="160" t="str">
        <f t="shared" si="19"/>
        <v/>
      </c>
      <c r="AO75" s="160" t="str">
        <f t="shared" si="19"/>
        <v/>
      </c>
      <c r="AP75" s="160"/>
      <c r="AQ75" s="160" t="str">
        <f t="shared" si="19"/>
        <v/>
      </c>
      <c r="AR75" s="106"/>
      <c r="AS75" s="106"/>
      <c r="AT75" s="106"/>
    </row>
    <row r="76" spans="1:46" ht="14.25">
      <c r="A76" s="102" t="s">
        <v>615</v>
      </c>
      <c r="B76" s="106" t="s">
        <v>678</v>
      </c>
      <c r="C76" s="106" t="s">
        <v>624</v>
      </c>
      <c r="D76" s="106" t="s">
        <v>650</v>
      </c>
      <c r="E76" s="159" t="str">
        <f t="shared" si="16"/>
        <v>CHP engines – internal combustion engine, natural gas</v>
      </c>
      <c r="F76" s="160" t="str">
        <f t="shared" si="16"/>
        <v>RSDGAS, RSDLPG, RSDBGS</v>
      </c>
      <c r="G76" s="160" t="str">
        <f t="shared" si="16"/>
        <v/>
      </c>
      <c r="H76" s="106" t="s">
        <v>675</v>
      </c>
      <c r="I76" s="106"/>
      <c r="J76" s="106"/>
      <c r="K76" s="160">
        <f t="shared" si="19"/>
        <v>10</v>
      </c>
      <c r="L76" s="161">
        <f t="shared" si="19"/>
        <v>23200</v>
      </c>
      <c r="M76" s="161">
        <f t="shared" si="19"/>
        <v>19070</v>
      </c>
      <c r="N76" s="161">
        <f t="shared" si="19"/>
        <v>16385.5</v>
      </c>
      <c r="O76" s="161">
        <f t="shared" si="19"/>
        <v>16385.5</v>
      </c>
      <c r="P76" s="161">
        <f t="shared" si="19"/>
        <v>16385.5</v>
      </c>
      <c r="Q76" s="161">
        <f t="shared" si="19"/>
        <v>310</v>
      </c>
      <c r="R76" s="160" t="str">
        <f t="shared" si="19"/>
        <v/>
      </c>
      <c r="S76" s="162">
        <f t="shared" si="19"/>
        <v>0.20000000000000001</v>
      </c>
      <c r="T76" s="162">
        <f t="shared" si="19"/>
        <v>0.22</v>
      </c>
      <c r="U76" s="162">
        <f t="shared" si="19"/>
        <v>0.25</v>
      </c>
      <c r="V76" s="162" t="str">
        <f t="shared" si="19"/>
        <v/>
      </c>
      <c r="W76" s="162" t="str">
        <f t="shared" si="19"/>
        <v/>
      </c>
      <c r="X76" s="160" t="str">
        <f t="shared" si="19"/>
        <v/>
      </c>
      <c r="Y76" s="160" t="str">
        <f t="shared" si="19"/>
        <v/>
      </c>
      <c r="Z76" s="160" t="str">
        <f t="shared" si="19"/>
        <v/>
      </c>
      <c r="AA76" s="160" t="str">
        <f t="shared" si="19"/>
        <v/>
      </c>
      <c r="AB76" s="160" t="str">
        <f t="shared" si="19"/>
        <v/>
      </c>
      <c r="AC76" s="160" t="str">
        <f t="shared" si="19"/>
        <v/>
      </c>
      <c r="AD76" s="160" t="str">
        <f t="shared" si="19"/>
        <v/>
      </c>
      <c r="AE76" s="163">
        <f t="shared" si="19"/>
        <v>0.59999999999999998</v>
      </c>
      <c r="AF76" s="163" t="str">
        <f t="shared" si="19"/>
        <v/>
      </c>
      <c r="AG76" s="163" t="str">
        <f t="shared" si="19"/>
        <v/>
      </c>
      <c r="AH76" s="160">
        <f t="shared" si="19"/>
        <v>2.25</v>
      </c>
      <c r="AI76" s="160">
        <f t="shared" si="19"/>
        <v>2.1818181818181817</v>
      </c>
      <c r="AJ76" s="160">
        <f t="shared" si="19"/>
        <v>1.8999999999999999</v>
      </c>
      <c r="AK76" s="160">
        <f t="shared" si="19"/>
        <v>0.65000000000000002</v>
      </c>
      <c r="AL76" s="160">
        <f t="shared" si="19"/>
        <v>0.69999999999999996</v>
      </c>
      <c r="AM76" s="160">
        <f t="shared" si="19"/>
        <v>0.72499999999999998</v>
      </c>
      <c r="AN76" s="160" t="str">
        <f t="shared" si="19"/>
        <v/>
      </c>
      <c r="AO76" s="160" t="str">
        <f t="shared" si="19"/>
        <v>Y</v>
      </c>
      <c r="AP76" s="160"/>
      <c r="AQ76" s="160" t="str">
        <f t="shared" si="20" ref="AQ76">IF(AQ35="","",AQ35)</f>
        <v>The mechanical (or electrical) efficiency of a gas engine is around 20 % as annual average for micro-CHP units and 28-36 % for mini CHP units. The combined efficiency (electricity and heat) is on the level of 80-90 %.</v>
      </c>
      <c r="AR76" s="106"/>
      <c r="AS76" s="106"/>
      <c r="AT76" s="106"/>
    </row>
    <row r="77" spans="1:46" ht="14.25">
      <c r="A77" s="102" t="s">
        <v>615</v>
      </c>
      <c r="B77" s="106" t="s">
        <v>679</v>
      </c>
      <c r="C77" s="106" t="s">
        <v>628</v>
      </c>
      <c r="D77" s="106" t="s">
        <v>650</v>
      </c>
      <c r="E77" s="159" t="str">
        <f t="shared" si="21" ref="E77:G82">IF(E36="","",E36)</f>
        <v>CHP engines – internal combustion engine, diesel</v>
      </c>
      <c r="F77" s="160" t="str">
        <f t="shared" si="21"/>
        <v>RSDOIL, RSDBDL</v>
      </c>
      <c r="G77" s="160" t="str">
        <f t="shared" si="21"/>
        <v/>
      </c>
      <c r="H77" s="106" t="s">
        <v>675</v>
      </c>
      <c r="I77" s="106"/>
      <c r="J77" s="106"/>
      <c r="K77" s="160">
        <f t="shared" si="22" ref="K77:AQ82">IF(K36="","",K36)</f>
        <v>10</v>
      </c>
      <c r="L77" s="161">
        <f t="shared" si="22"/>
        <v>24000</v>
      </c>
      <c r="M77" s="161">
        <f t="shared" si="22"/>
        <v>19710</v>
      </c>
      <c r="N77" s="161">
        <f t="shared" si="22"/>
        <v>16921.5</v>
      </c>
      <c r="O77" s="161">
        <f t="shared" si="22"/>
        <v>16921.5</v>
      </c>
      <c r="P77" s="161">
        <f t="shared" si="22"/>
        <v>16921.5</v>
      </c>
      <c r="Q77" s="161">
        <f t="shared" si="22"/>
        <v>310</v>
      </c>
      <c r="R77" s="160" t="str">
        <f t="shared" si="22"/>
        <v/>
      </c>
      <c r="S77" s="162">
        <f t="shared" si="22"/>
        <v>0.20000000000000001</v>
      </c>
      <c r="T77" s="162">
        <f t="shared" si="22"/>
        <v>0.22</v>
      </c>
      <c r="U77" s="162">
        <f t="shared" si="22"/>
        <v>0.25</v>
      </c>
      <c r="V77" s="162" t="str">
        <f t="shared" si="22"/>
        <v/>
      </c>
      <c r="W77" s="162" t="str">
        <f t="shared" si="22"/>
        <v/>
      </c>
      <c r="X77" s="160" t="str">
        <f t="shared" si="22"/>
        <v/>
      </c>
      <c r="Y77" s="160" t="str">
        <f t="shared" si="22"/>
        <v/>
      </c>
      <c r="Z77" s="160" t="str">
        <f t="shared" si="22"/>
        <v/>
      </c>
      <c r="AA77" s="160" t="str">
        <f t="shared" si="22"/>
        <v/>
      </c>
      <c r="AB77" s="160" t="str">
        <f t="shared" si="22"/>
        <v/>
      </c>
      <c r="AC77" s="160" t="str">
        <f t="shared" si="22"/>
        <v/>
      </c>
      <c r="AD77" s="160" t="str">
        <f t="shared" si="22"/>
        <v/>
      </c>
      <c r="AE77" s="163">
        <f t="shared" si="22"/>
        <v>0.59999999999999998</v>
      </c>
      <c r="AF77" s="163" t="str">
        <f t="shared" si="22"/>
        <v/>
      </c>
      <c r="AG77" s="163" t="str">
        <f t="shared" si="22"/>
        <v/>
      </c>
      <c r="AH77" s="160">
        <f t="shared" si="22"/>
        <v>2.25</v>
      </c>
      <c r="AI77" s="160">
        <f t="shared" si="22"/>
        <v>2.1818181818181817</v>
      </c>
      <c r="AJ77" s="160">
        <f t="shared" si="22"/>
        <v>1.8999999999999999</v>
      </c>
      <c r="AK77" s="160">
        <f t="shared" si="22"/>
        <v>0.65000000000000002</v>
      </c>
      <c r="AL77" s="160">
        <f t="shared" si="22"/>
        <v>0.69999999999999996</v>
      </c>
      <c r="AM77" s="160">
        <f t="shared" si="22"/>
        <v>0.72499999999999998</v>
      </c>
      <c r="AN77" s="160" t="str">
        <f t="shared" si="22"/>
        <v/>
      </c>
      <c r="AO77" s="160" t="str">
        <f t="shared" si="22"/>
        <v>Y</v>
      </c>
      <c r="AP77" s="160"/>
      <c r="AQ77" s="160" t="str">
        <f t="shared" si="22"/>
        <v/>
      </c>
      <c r="AR77" s="106"/>
      <c r="AS77" s="106"/>
      <c r="AT77" s="106"/>
    </row>
    <row r="78" spans="1:46" ht="14.25">
      <c r="A78" s="102" t="s">
        <v>615</v>
      </c>
      <c r="B78" s="106" t="s">
        <v>680</v>
      </c>
      <c r="C78" s="106" t="s">
        <v>631</v>
      </c>
      <c r="D78" s="106" t="s">
        <v>650</v>
      </c>
      <c r="E78" s="159" t="str">
        <f t="shared" si="21"/>
        <v>CHP engines – Stirling engine</v>
      </c>
      <c r="F78" s="160" t="str">
        <f t="shared" si="21"/>
        <v>RSDGAS, RSDLPG, RSDBGS</v>
      </c>
      <c r="G78" s="160" t="str">
        <f t="shared" si="21"/>
        <v/>
      </c>
      <c r="H78" s="106" t="s">
        <v>675</v>
      </c>
      <c r="I78" s="106"/>
      <c r="J78" s="106"/>
      <c r="K78" s="160">
        <f t="shared" si="22"/>
        <v>10</v>
      </c>
      <c r="L78" s="161">
        <f t="shared" si="22"/>
        <v>18500</v>
      </c>
      <c r="M78" s="161">
        <f t="shared" si="22"/>
        <v>16750</v>
      </c>
      <c r="N78" s="161">
        <f t="shared" si="22"/>
        <v>14125</v>
      </c>
      <c r="O78" s="161">
        <f t="shared" si="22"/>
        <v>14125</v>
      </c>
      <c r="P78" s="161">
        <f t="shared" si="22"/>
        <v>14125</v>
      </c>
      <c r="Q78" s="161">
        <f t="shared" si="22"/>
        <v>250</v>
      </c>
      <c r="R78" s="160" t="str">
        <f t="shared" si="22"/>
        <v/>
      </c>
      <c r="S78" s="162">
        <f t="shared" si="22"/>
        <v>0.12</v>
      </c>
      <c r="T78" s="162">
        <f t="shared" si="22"/>
        <v>0.14000000000000001</v>
      </c>
      <c r="U78" s="162">
        <f t="shared" si="22"/>
        <v>0.16</v>
      </c>
      <c r="V78" s="162" t="str">
        <f t="shared" si="22"/>
        <v/>
      </c>
      <c r="W78" s="162" t="str">
        <f t="shared" si="22"/>
        <v/>
      </c>
      <c r="X78" s="160" t="str">
        <f t="shared" si="22"/>
        <v/>
      </c>
      <c r="Y78" s="160" t="str">
        <f t="shared" si="22"/>
        <v/>
      </c>
      <c r="Z78" s="160" t="str">
        <f t="shared" si="22"/>
        <v/>
      </c>
      <c r="AA78" s="160" t="str">
        <f t="shared" si="22"/>
        <v/>
      </c>
      <c r="AB78" s="160" t="str">
        <f t="shared" si="22"/>
        <v/>
      </c>
      <c r="AC78" s="160" t="str">
        <f t="shared" si="22"/>
        <v/>
      </c>
      <c r="AD78" s="160" t="str">
        <f t="shared" si="22"/>
        <v/>
      </c>
      <c r="AE78" s="163">
        <f t="shared" si="22"/>
        <v>0.59999999999999998</v>
      </c>
      <c r="AF78" s="163" t="str">
        <f t="shared" si="22"/>
        <v/>
      </c>
      <c r="AG78" s="163" t="str">
        <f t="shared" si="22"/>
        <v/>
      </c>
      <c r="AH78" s="160">
        <f t="shared" si="22"/>
        <v>5.4583333333333339</v>
      </c>
      <c r="AI78" s="160">
        <f t="shared" si="22"/>
        <v>4.7142857142857144</v>
      </c>
      <c r="AJ78" s="160">
        <f t="shared" si="22"/>
        <v>4.1562499999999991</v>
      </c>
      <c r="AK78" s="160">
        <f t="shared" si="22"/>
        <v>0.77500000000000002</v>
      </c>
      <c r="AL78" s="160">
        <f t="shared" si="22"/>
        <v>0.80000000000000004</v>
      </c>
      <c r="AM78" s="160">
        <f t="shared" si="22"/>
        <v>0.82499999999999996</v>
      </c>
      <c r="AN78" s="160" t="str">
        <f t="shared" si="22"/>
        <v/>
      </c>
      <c r="AO78" s="160" t="str">
        <f t="shared" si="22"/>
        <v>Y</v>
      </c>
      <c r="AP78" s="160"/>
      <c r="AQ78" s="160" t="str">
        <f t="shared" si="22"/>
        <v>typically combined with a condensing natural gas boiler for peak loads</v>
      </c>
      <c r="AR78" s="106"/>
      <c r="AS78" s="106"/>
      <c r="AT78" s="106"/>
    </row>
    <row r="79" spans="1:46" ht="14.25">
      <c r="A79" s="102" t="s">
        <v>615</v>
      </c>
      <c r="B79" s="106" t="s">
        <v>681</v>
      </c>
      <c r="C79" s="106" t="s">
        <v>634</v>
      </c>
      <c r="D79" s="106" t="s">
        <v>650</v>
      </c>
      <c r="E79" s="159" t="str">
        <f t="shared" si="21"/>
        <v>CHP fuel cells – natural gas fuel cell</v>
      </c>
      <c r="F79" s="160" t="str">
        <f t="shared" si="21"/>
        <v>RSDGAS</v>
      </c>
      <c r="G79" s="160" t="str">
        <f t="shared" si="21"/>
        <v/>
      </c>
      <c r="H79" s="106" t="s">
        <v>675</v>
      </c>
      <c r="I79" s="106"/>
      <c r="J79" s="106"/>
      <c r="K79" s="160">
        <f t="shared" si="22"/>
        <v>10</v>
      </c>
      <c r="L79" s="161">
        <f t="shared" si="22"/>
        <v>21491</v>
      </c>
      <c r="M79" s="161">
        <f t="shared" si="22"/>
        <v>21491</v>
      </c>
      <c r="N79" s="161">
        <f t="shared" si="22"/>
        <v>9091</v>
      </c>
      <c r="O79" s="161">
        <f t="shared" si="22"/>
        <v>9091</v>
      </c>
      <c r="P79" s="161">
        <f t="shared" si="22"/>
        <v>4131</v>
      </c>
      <c r="Q79" s="161">
        <f t="shared" si="22"/>
        <v>274</v>
      </c>
      <c r="R79" s="160" t="str">
        <f t="shared" si="22"/>
        <v/>
      </c>
      <c r="S79" s="162">
        <f t="shared" si="22"/>
        <v>0.375</v>
      </c>
      <c r="T79" s="162">
        <f t="shared" si="22"/>
        <v>0.45000000000000001</v>
      </c>
      <c r="U79" s="162">
        <f t="shared" si="22"/>
        <v>0.47499999999999998</v>
      </c>
      <c r="V79" s="162" t="str">
        <f t="shared" si="22"/>
        <v/>
      </c>
      <c r="W79" s="162" t="str">
        <f t="shared" si="22"/>
        <v/>
      </c>
      <c r="X79" s="160" t="str">
        <f t="shared" si="22"/>
        <v/>
      </c>
      <c r="Y79" s="160" t="str">
        <f t="shared" si="22"/>
        <v/>
      </c>
      <c r="Z79" s="160" t="str">
        <f t="shared" si="22"/>
        <v/>
      </c>
      <c r="AA79" s="160" t="str">
        <f t="shared" si="22"/>
        <v/>
      </c>
      <c r="AB79" s="160" t="str">
        <f t="shared" si="22"/>
        <v/>
      </c>
      <c r="AC79" s="160" t="str">
        <f t="shared" si="22"/>
        <v/>
      </c>
      <c r="AD79" s="160" t="str">
        <f t="shared" si="22"/>
        <v/>
      </c>
      <c r="AE79" s="163">
        <f t="shared" si="22"/>
        <v>0.59999999999999998</v>
      </c>
      <c r="AF79" s="163" t="str">
        <f t="shared" si="22"/>
        <v/>
      </c>
      <c r="AG79" s="163" t="str">
        <f t="shared" si="22"/>
        <v/>
      </c>
      <c r="AH79" s="160">
        <f t="shared" si="22"/>
        <v>0.46666666666666679</v>
      </c>
      <c r="AI79" s="160">
        <f t="shared" si="22"/>
        <v>0.16666666666666669</v>
      </c>
      <c r="AJ79" s="160">
        <f t="shared" si="22"/>
        <v>0.10526315789473695</v>
      </c>
      <c r="AK79" s="160">
        <f t="shared" si="22"/>
        <v>0.55000000000000004</v>
      </c>
      <c r="AL79" s="160">
        <f t="shared" si="22"/>
        <v>0.52500000000000002</v>
      </c>
      <c r="AM79" s="160">
        <f t="shared" si="22"/>
        <v>0.52500000000000002</v>
      </c>
      <c r="AN79" s="160" t="str">
        <f t="shared" si="22"/>
        <v/>
      </c>
      <c r="AO79" s="160" t="str">
        <f t="shared" si="22"/>
        <v>Y</v>
      </c>
      <c r="AP79" s="160"/>
      <c r="AQ79" s="160" t="str">
        <f t="shared" si="22"/>
        <v>Includes auxiliary boiler and storage (also for tap water). The micro CHP unit will cover approx. 50-70 % of the total heat demand (from NE)</v>
      </c>
      <c r="AR79" s="106"/>
      <c r="AS79" s="106"/>
      <c r="AT79" s="106"/>
    </row>
    <row r="80" spans="1:46" ht="14.25">
      <c r="A80" s="102" t="s">
        <v>615</v>
      </c>
      <c r="B80" s="106" t="s">
        <v>682</v>
      </c>
      <c r="C80" s="106" t="s">
        <v>639</v>
      </c>
      <c r="D80" s="106" t="s">
        <v>650</v>
      </c>
      <c r="E80" s="159" t="str">
        <f t="shared" si="21"/>
        <v>CHP fuel cells – hydrogen fuel cell</v>
      </c>
      <c r="F80" s="160" t="str">
        <f t="shared" si="21"/>
        <v>RSDHH2</v>
      </c>
      <c r="G80" s="160" t="str">
        <f t="shared" si="21"/>
        <v/>
      </c>
      <c r="H80" s="106" t="s">
        <v>675</v>
      </c>
      <c r="I80" s="106"/>
      <c r="J80" s="106"/>
      <c r="K80" s="160">
        <f t="shared" si="22"/>
        <v>10</v>
      </c>
      <c r="L80" s="161">
        <f t="shared" si="22"/>
        <v>13000</v>
      </c>
      <c r="M80" s="161">
        <f t="shared" si="22"/>
        <v>6900</v>
      </c>
      <c r="N80" s="161">
        <f t="shared" si="22"/>
        <v>5100</v>
      </c>
      <c r="O80" s="161" t="str">
        <f t="shared" si="22"/>
        <v>No</v>
      </c>
      <c r="P80" s="161" t="str">
        <f t="shared" si="22"/>
        <v>No</v>
      </c>
      <c r="Q80" s="161">
        <f t="shared" si="22"/>
        <v>500</v>
      </c>
      <c r="R80" s="160" t="str">
        <f t="shared" si="22"/>
        <v/>
      </c>
      <c r="S80" s="162">
        <f t="shared" si="22"/>
        <v>0.47499999999999998</v>
      </c>
      <c r="T80" s="162">
        <f t="shared" si="22"/>
        <v>0.505</v>
      </c>
      <c r="U80" s="162">
        <f t="shared" si="22"/>
        <v>0.54500000000000004</v>
      </c>
      <c r="V80" s="162" t="str">
        <f t="shared" si="22"/>
        <v/>
      </c>
      <c r="W80" s="162" t="str">
        <f t="shared" si="22"/>
        <v/>
      </c>
      <c r="X80" s="160" t="str">
        <f t="shared" si="22"/>
        <v/>
      </c>
      <c r="Y80" s="160" t="str">
        <f t="shared" si="22"/>
        <v/>
      </c>
      <c r="Z80" s="160" t="str">
        <f t="shared" si="22"/>
        <v/>
      </c>
      <c r="AA80" s="160" t="str">
        <f t="shared" si="22"/>
        <v/>
      </c>
      <c r="AB80" s="160" t="str">
        <f t="shared" si="22"/>
        <v/>
      </c>
      <c r="AC80" s="160" t="str">
        <f t="shared" si="22"/>
        <v/>
      </c>
      <c r="AD80" s="160" t="str">
        <f t="shared" si="22"/>
        <v/>
      </c>
      <c r="AE80" s="163">
        <f t="shared" si="22"/>
        <v>0.59999999999999998</v>
      </c>
      <c r="AF80" s="163" t="str">
        <f t="shared" si="22"/>
        <v/>
      </c>
      <c r="AG80" s="163" t="str">
        <f t="shared" si="22"/>
        <v/>
      </c>
      <c r="AH80" s="160">
        <f t="shared" si="22"/>
        <v>-0.15789473684210517</v>
      </c>
      <c r="AI80" s="160">
        <f t="shared" si="22"/>
        <v>-0.12871287128712872</v>
      </c>
      <c r="AJ80" s="160">
        <f t="shared" si="22"/>
        <v>-0.17431192660550462</v>
      </c>
      <c r="AK80" s="160">
        <f t="shared" si="22"/>
        <v>0.40000000000000002</v>
      </c>
      <c r="AL80" s="160">
        <f t="shared" si="22"/>
        <v>0.44</v>
      </c>
      <c r="AM80" s="160">
        <f t="shared" si="22"/>
        <v>0.45000000000000001</v>
      </c>
      <c r="AN80" s="160" t="str">
        <f t="shared" si="22"/>
        <v/>
      </c>
      <c r="AO80" s="160" t="str">
        <f t="shared" si="22"/>
        <v>Y</v>
      </c>
      <c r="AP80" s="160"/>
      <c r="AQ80" s="160" t="str">
        <f t="shared" si="22"/>
        <v>The micro CHP unit will cover approx. 50-70 % of the total heat demand. The remaining part should be supplied from a supplementary heater/burner. Electroliser EFF not included (from NE)</v>
      </c>
      <c r="AR80" s="106"/>
      <c r="AS80" s="106"/>
      <c r="AT80" s="106"/>
    </row>
    <row r="81" spans="1:46" ht="14.25">
      <c r="A81" s="114" t="s">
        <v>538</v>
      </c>
      <c r="B81" s="106" t="s">
        <v>683</v>
      </c>
      <c r="C81" s="106" t="s">
        <v>644</v>
      </c>
      <c r="D81" s="106" t="s">
        <v>650</v>
      </c>
      <c r="E81" s="159" t="str">
        <f t="shared" si="21"/>
        <v>HOB-gas</v>
      </c>
      <c r="F81" s="160" t="str">
        <f t="shared" si="21"/>
        <v>RSDLPG, RSDBGS, RSDGAS</v>
      </c>
      <c r="G81" s="160" t="str">
        <f t="shared" si="21"/>
        <v/>
      </c>
      <c r="H81" s="106" t="s">
        <v>651</v>
      </c>
      <c r="I81" s="106"/>
      <c r="J81" s="106"/>
      <c r="K81" s="160">
        <f t="shared" si="22"/>
        <v>20</v>
      </c>
      <c r="L81" s="161">
        <f t="shared" si="22"/>
        <v>4309</v>
      </c>
      <c r="M81" s="161">
        <f t="shared" si="22"/>
        <v>4309</v>
      </c>
      <c r="N81" s="161">
        <f t="shared" si="22"/>
        <v>4309</v>
      </c>
      <c r="O81" s="161">
        <f t="shared" si="22"/>
        <v>4309</v>
      </c>
      <c r="P81" s="161">
        <f t="shared" si="22"/>
        <v>4309</v>
      </c>
      <c r="Q81" s="161">
        <f t="shared" si="22"/>
        <v>226</v>
      </c>
      <c r="R81" s="160" t="str">
        <f t="shared" si="22"/>
        <v/>
      </c>
      <c r="S81" s="162">
        <f t="shared" si="22"/>
        <v>0.84679858006836706</v>
      </c>
      <c r="T81" s="162">
        <f t="shared" si="22"/>
        <v>0.84679858006836706</v>
      </c>
      <c r="U81" s="162">
        <f t="shared" si="22"/>
        <v>0.84679858006836706</v>
      </c>
      <c r="V81" s="162">
        <f t="shared" si="22"/>
        <v>0.84679858006836706</v>
      </c>
      <c r="W81" s="162">
        <f t="shared" si="22"/>
        <v>0.84679858006836706</v>
      </c>
      <c r="X81" s="160" t="str">
        <f t="shared" si="22"/>
        <v/>
      </c>
      <c r="Y81" s="160" t="str">
        <f t="shared" si="22"/>
        <v/>
      </c>
      <c r="Z81" s="160" t="str">
        <f t="shared" si="22"/>
        <v/>
      </c>
      <c r="AA81" s="160" t="str">
        <f t="shared" si="22"/>
        <v/>
      </c>
      <c r="AB81" s="160" t="str">
        <f t="shared" si="22"/>
        <v/>
      </c>
      <c r="AC81" s="160" t="str">
        <f t="shared" si="22"/>
        <v/>
      </c>
      <c r="AD81" s="160" t="str">
        <f t="shared" si="22"/>
        <v/>
      </c>
      <c r="AE81" s="163">
        <f t="shared" si="22"/>
        <v>0.40000000000000002</v>
      </c>
      <c r="AF81" s="163">
        <f t="shared" si="22"/>
        <v>1</v>
      </c>
      <c r="AG81" s="163" t="str">
        <f t="shared" si="22"/>
        <v/>
      </c>
      <c r="AH81" s="160" t="str">
        <f t="shared" si="22"/>
        <v/>
      </c>
      <c r="AI81" s="160" t="str">
        <f t="shared" si="22"/>
        <v/>
      </c>
      <c r="AJ81" s="160" t="str">
        <f t="shared" si="22"/>
        <v/>
      </c>
      <c r="AK81" s="160" t="str">
        <f t="shared" si="22"/>
        <v/>
      </c>
      <c r="AL81" s="160" t="str">
        <f t="shared" si="22"/>
        <v/>
      </c>
      <c r="AM81" s="160" t="str">
        <f t="shared" si="22"/>
        <v/>
      </c>
      <c r="AN81" s="160" t="str">
        <f t="shared" si="22"/>
        <v/>
      </c>
      <c r="AO81" s="160" t="str">
        <f t="shared" si="22"/>
        <v/>
      </c>
      <c r="AP81" s="160"/>
      <c r="AQ81" s="160" t="str">
        <f t="shared" si="22"/>
        <v/>
      </c>
      <c r="AR81" s="106"/>
      <c r="AS81" s="106"/>
      <c r="AT81" s="106"/>
    </row>
    <row r="82" spans="1:46" s="125" customFormat="1" ht="14.25">
      <c r="A82" s="155" t="s">
        <v>538</v>
      </c>
      <c r="B82" s="118" t="s">
        <v>684</v>
      </c>
      <c r="C82" s="118" t="s">
        <v>646</v>
      </c>
      <c r="D82" s="118" t="s">
        <v>650</v>
      </c>
      <c r="E82" s="164" t="str">
        <f t="shared" si="21"/>
        <v>HOB-oil</v>
      </c>
      <c r="F82" s="165" t="str">
        <f t="shared" si="21"/>
        <v>RSDBDL, RSDOIL</v>
      </c>
      <c r="G82" s="165" t="str">
        <f t="shared" si="21"/>
        <v/>
      </c>
      <c r="H82" s="118" t="s">
        <v>651</v>
      </c>
      <c r="I82" s="118"/>
      <c r="J82" s="118"/>
      <c r="K82" s="165">
        <f t="shared" si="22"/>
        <v>22</v>
      </c>
      <c r="L82" s="166">
        <f t="shared" si="22"/>
        <v>5527</v>
      </c>
      <c r="M82" s="166">
        <f t="shared" si="22"/>
        <v>5527</v>
      </c>
      <c r="N82" s="166">
        <f t="shared" si="22"/>
        <v>5527</v>
      </c>
      <c r="O82" s="166">
        <f t="shared" si="22"/>
        <v>5527</v>
      </c>
      <c r="P82" s="166">
        <f t="shared" si="22"/>
        <v>5527</v>
      </c>
      <c r="Q82" s="166">
        <f t="shared" si="22"/>
        <v>185</v>
      </c>
      <c r="R82" s="165" t="str">
        <f t="shared" si="22"/>
        <v/>
      </c>
      <c r="S82" s="167">
        <f t="shared" si="22"/>
        <v>0.84595205954248598</v>
      </c>
      <c r="T82" s="167">
        <f t="shared" si="22"/>
        <v>0.84595205954248598</v>
      </c>
      <c r="U82" s="167">
        <f t="shared" si="22"/>
        <v>0.84595205954248598</v>
      </c>
      <c r="V82" s="167">
        <f t="shared" si="22"/>
        <v>0.84595205954248598</v>
      </c>
      <c r="W82" s="167">
        <f t="shared" si="22"/>
        <v>0.84595205954248598</v>
      </c>
      <c r="X82" s="165" t="str">
        <f t="shared" si="22"/>
        <v/>
      </c>
      <c r="Y82" s="165" t="str">
        <f t="shared" si="22"/>
        <v/>
      </c>
      <c r="Z82" s="165" t="str">
        <f t="shared" si="22"/>
        <v/>
      </c>
      <c r="AA82" s="165" t="str">
        <f t="shared" si="22"/>
        <v/>
      </c>
      <c r="AB82" s="165" t="str">
        <f t="shared" si="22"/>
        <v/>
      </c>
      <c r="AC82" s="165" t="str">
        <f t="shared" si="22"/>
        <v/>
      </c>
      <c r="AD82" s="165" t="str">
        <f t="shared" si="22"/>
        <v/>
      </c>
      <c r="AE82" s="168">
        <f t="shared" si="22"/>
        <v>0.40000000000000002</v>
      </c>
      <c r="AF82" s="168">
        <f t="shared" si="22"/>
        <v>1</v>
      </c>
      <c r="AG82" s="168" t="str">
        <f t="shared" si="22"/>
        <v/>
      </c>
      <c r="AH82" s="165" t="str">
        <f t="shared" si="22"/>
        <v/>
      </c>
      <c r="AI82" s="165" t="str">
        <f t="shared" si="22"/>
        <v/>
      </c>
      <c r="AJ82" s="165" t="str">
        <f t="shared" si="22"/>
        <v/>
      </c>
      <c r="AK82" s="165" t="str">
        <f t="shared" si="22"/>
        <v/>
      </c>
      <c r="AL82" s="165" t="str">
        <f t="shared" si="22"/>
        <v/>
      </c>
      <c r="AM82" s="165" t="str">
        <f t="shared" si="22"/>
        <v/>
      </c>
      <c r="AN82" s="165" t="str">
        <f t="shared" si="22"/>
        <v/>
      </c>
      <c r="AO82" s="165" t="str">
        <f t="shared" si="22"/>
        <v/>
      </c>
      <c r="AP82" s="165"/>
      <c r="AQ82" s="165" t="str">
        <f t="shared" si="22"/>
        <v/>
      </c>
      <c r="AR82" s="118"/>
      <c r="AS82" s="118"/>
      <c r="AT82" s="118"/>
    </row>
    <row r="83" spans="1:46" s="172" customFormat="1" ht="14.25">
      <c r="A83" s="114"/>
      <c r="B83" s="106"/>
      <c r="C83" s="106"/>
      <c r="D83" s="106"/>
      <c r="E83" s="171"/>
      <c r="F83" s="106"/>
      <c r="G83" s="106"/>
      <c r="H83" s="106"/>
      <c r="I83" s="106"/>
      <c r="J83" s="106"/>
      <c r="K83" s="108"/>
      <c r="L83" s="109"/>
      <c r="M83" s="109"/>
      <c r="N83" s="109"/>
      <c r="O83" s="109"/>
      <c r="P83" s="109"/>
      <c r="Q83" s="109"/>
      <c r="R83" s="106"/>
      <c r="S83" s="110"/>
      <c r="T83" s="110"/>
      <c r="U83" s="110"/>
      <c r="V83" s="110"/>
      <c r="W83" s="110"/>
      <c r="X83" s="153"/>
      <c r="Y83" s="106"/>
      <c r="Z83" s="106"/>
      <c r="AA83" s="106"/>
      <c r="AB83" s="106"/>
      <c r="AC83" s="106"/>
      <c r="AD83" s="106"/>
      <c r="AE83" s="106"/>
      <c r="AF83" s="106"/>
      <c r="AG83" s="106"/>
      <c r="AH83" s="148"/>
      <c r="AI83" s="148"/>
      <c r="AJ83" s="148"/>
      <c r="AK83" s="154"/>
      <c r="AL83" s="154"/>
      <c r="AM83" s="154"/>
      <c r="AN83" s="106"/>
      <c r="AO83" s="106"/>
      <c r="AP83" s="106"/>
      <c r="AQ83" s="106"/>
      <c r="AR83" s="106"/>
      <c r="AS83" s="106"/>
      <c r="AT83" s="106"/>
    </row>
    <row r="84" spans="1:46" s="103" customFormat="1" ht="28.5" customHeight="1">
      <c r="A84" s="96" t="s">
        <v>484</v>
      </c>
      <c r="B84" s="96" t="s">
        <v>485</v>
      </c>
      <c r="C84" s="96" t="s">
        <v>486</v>
      </c>
      <c r="D84" s="96" t="s">
        <v>487</v>
      </c>
      <c r="E84" s="96" t="s">
        <v>488</v>
      </c>
      <c r="F84" s="97" t="s">
        <v>489</v>
      </c>
      <c r="G84" s="97" t="s">
        <v>490</v>
      </c>
      <c r="H84" s="97" t="s">
        <v>491</v>
      </c>
      <c r="I84" s="97" t="s">
        <v>492</v>
      </c>
      <c r="J84" s="97" t="s">
        <v>493</v>
      </c>
      <c r="K84" s="98" t="s">
        <v>494</v>
      </c>
      <c r="L84" s="99" t="s">
        <v>495</v>
      </c>
      <c r="M84" s="99" t="s">
        <v>496</v>
      </c>
      <c r="N84" s="99" t="s">
        <v>497</v>
      </c>
      <c r="O84" s="99" t="s">
        <v>498</v>
      </c>
      <c r="P84" s="99" t="s">
        <v>499</v>
      </c>
      <c r="Q84" s="99" t="s">
        <v>500</v>
      </c>
      <c r="R84" s="99" t="s">
        <v>501</v>
      </c>
      <c r="S84" s="98" t="s">
        <v>29</v>
      </c>
      <c r="T84" s="98" t="s">
        <v>502</v>
      </c>
      <c r="U84" s="98" t="s">
        <v>503</v>
      </c>
      <c r="V84" s="98" t="s">
        <v>504</v>
      </c>
      <c r="W84" s="98" t="s">
        <v>505</v>
      </c>
      <c r="X84" s="98" t="s">
        <v>506</v>
      </c>
      <c r="Y84" s="98" t="s">
        <v>507</v>
      </c>
      <c r="Z84" s="98" t="s">
        <v>508</v>
      </c>
      <c r="AA84" s="98" t="s">
        <v>509</v>
      </c>
      <c r="AB84" s="98" t="s">
        <v>510</v>
      </c>
      <c r="AC84" s="98" t="s">
        <v>511</v>
      </c>
      <c r="AD84" s="98" t="s">
        <v>512</v>
      </c>
      <c r="AE84" s="98" t="s">
        <v>513</v>
      </c>
      <c r="AF84" s="98" t="s">
        <v>514</v>
      </c>
      <c r="AG84" s="98" t="s">
        <v>515</v>
      </c>
      <c r="AH84" s="98" t="s">
        <v>516</v>
      </c>
      <c r="AI84" s="98" t="s">
        <v>517</v>
      </c>
      <c r="AJ84" s="98" t="s">
        <v>518</v>
      </c>
      <c r="AK84" s="98" t="s">
        <v>519</v>
      </c>
      <c r="AL84" s="98" t="s">
        <v>520</v>
      </c>
      <c r="AM84" s="98" t="s">
        <v>521</v>
      </c>
      <c r="AN84" s="98" t="s">
        <v>522</v>
      </c>
      <c r="AO84" s="100" t="s">
        <v>523</v>
      </c>
      <c r="AP84" s="100" t="s">
        <v>524</v>
      </c>
      <c r="AQ84" s="101" t="s">
        <v>525</v>
      </c>
      <c r="AR84" s="98" t="s">
        <v>526</v>
      </c>
      <c r="AS84" s="98" t="s">
        <v>527</v>
      </c>
      <c r="AT84" s="102"/>
    </row>
    <row r="85" spans="1:46" ht="14.25">
      <c r="A85" s="104" t="s">
        <v>685</v>
      </c>
      <c r="B85" s="104"/>
      <c r="C85" s="104"/>
      <c r="D85" s="104"/>
      <c r="E85" s="105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6"/>
      <c r="AS85" s="106"/>
      <c r="AT85" s="106"/>
    </row>
    <row r="86" spans="1:46" ht="14.25">
      <c r="A86" s="102" t="s">
        <v>529</v>
      </c>
      <c r="B86" s="106" t="s">
        <v>466</v>
      </c>
      <c r="C86" s="102" t="s">
        <v>530</v>
      </c>
      <c r="D86" s="102" t="s">
        <v>471</v>
      </c>
      <c r="E86" s="159" t="str">
        <f t="shared" si="23" ref="E86:G101">IF(E4="","",E4)</f>
        <v>HOB-oil</v>
      </c>
      <c r="F86" s="160" t="str">
        <f t="shared" si="23"/>
        <v>RSDOIL, RSDBDL</v>
      </c>
      <c r="G86" s="160" t="str">
        <f t="shared" si="23"/>
        <v/>
      </c>
      <c r="H86" s="106" t="s">
        <v>686</v>
      </c>
      <c r="I86" s="106"/>
      <c r="J86" s="106"/>
      <c r="K86" s="160">
        <f t="shared" si="24" ref="K86:AQ93">IF(K4="","",K4)</f>
        <v>20</v>
      </c>
      <c r="L86" s="161">
        <f t="shared" si="24"/>
        <v>5527</v>
      </c>
      <c r="M86" s="161">
        <f t="shared" si="24"/>
        <v>5527</v>
      </c>
      <c r="N86" s="161">
        <f t="shared" si="24"/>
        <v>5527</v>
      </c>
      <c r="O86" s="161">
        <f t="shared" si="24"/>
        <v>5527</v>
      </c>
      <c r="P86" s="161">
        <f t="shared" si="24"/>
        <v>5527</v>
      </c>
      <c r="Q86" s="161">
        <f t="shared" si="24"/>
        <v>185</v>
      </c>
      <c r="R86" s="160" t="str">
        <f t="shared" si="24"/>
        <v/>
      </c>
      <c r="S86" s="162">
        <f t="shared" si="24"/>
        <v>0.84595205954248598</v>
      </c>
      <c r="T86" s="162">
        <f t="shared" si="24"/>
        <v>0.84595205954248598</v>
      </c>
      <c r="U86" s="162">
        <f t="shared" si="24"/>
        <v>0.84595205954248598</v>
      </c>
      <c r="V86" s="162">
        <f t="shared" si="24"/>
        <v>0.84595205954248598</v>
      </c>
      <c r="W86" s="162">
        <f t="shared" si="24"/>
        <v>0.84595205954248598</v>
      </c>
      <c r="X86" s="160" t="str">
        <f t="shared" si="24"/>
        <v/>
      </c>
      <c r="Y86" s="160" t="str">
        <f t="shared" si="24"/>
        <v/>
      </c>
      <c r="Z86" s="160" t="str">
        <f t="shared" si="24"/>
        <v/>
      </c>
      <c r="AA86" s="160" t="str">
        <f t="shared" si="24"/>
        <v/>
      </c>
      <c r="AB86" s="160" t="str">
        <f t="shared" si="24"/>
        <v/>
      </c>
      <c r="AC86" s="160" t="str">
        <f t="shared" si="24"/>
        <v/>
      </c>
      <c r="AD86" s="160" t="str">
        <f t="shared" si="24"/>
        <v/>
      </c>
      <c r="AE86" s="163">
        <f t="shared" si="24"/>
        <v>1</v>
      </c>
      <c r="AF86" s="163">
        <f t="shared" si="24"/>
        <v>1</v>
      </c>
      <c r="AG86" s="163" t="str">
        <f t="shared" si="24"/>
        <v/>
      </c>
      <c r="AH86" s="160" t="str">
        <f t="shared" si="24"/>
        <v/>
      </c>
      <c r="AI86" s="160" t="str">
        <f t="shared" si="24"/>
        <v/>
      </c>
      <c r="AJ86" s="160" t="str">
        <f t="shared" si="24"/>
        <v/>
      </c>
      <c r="AK86" s="160" t="str">
        <f t="shared" si="24"/>
        <v/>
      </c>
      <c r="AL86" s="160" t="str">
        <f t="shared" si="24"/>
        <v/>
      </c>
      <c r="AM86" s="160" t="str">
        <f t="shared" si="24"/>
        <v/>
      </c>
      <c r="AN86" s="160" t="str">
        <f t="shared" si="24"/>
        <v/>
      </c>
      <c r="AO86" s="160" t="str">
        <f t="shared" si="24"/>
        <v/>
      </c>
      <c r="AP86" s="160"/>
      <c r="AQ86" s="160" t="str">
        <f t="shared" si="24"/>
        <v/>
      </c>
      <c r="AR86" s="106"/>
      <c r="AS86" s="106"/>
      <c r="AT86" s="106"/>
    </row>
    <row r="87" spans="1:46" ht="14.25">
      <c r="A87" s="106" t="s">
        <v>529</v>
      </c>
      <c r="B87" s="106" t="s">
        <v>467</v>
      </c>
      <c r="C87" s="102" t="s">
        <v>536</v>
      </c>
      <c r="D87" s="102" t="s">
        <v>471</v>
      </c>
      <c r="E87" s="159" t="str">
        <f t="shared" si="23"/>
        <v>HOB-oil</v>
      </c>
      <c r="F87" s="160" t="str">
        <f t="shared" si="23"/>
        <v>RSDOIL, RSDBDL</v>
      </c>
      <c r="G87" s="160" t="str">
        <f t="shared" si="23"/>
        <v/>
      </c>
      <c r="H87" s="106" t="s">
        <v>686</v>
      </c>
      <c r="I87" s="106"/>
      <c r="J87" s="106"/>
      <c r="K87" s="160">
        <f t="shared" si="24"/>
        <v>20</v>
      </c>
      <c r="L87" s="161">
        <f t="shared" si="24"/>
        <v>5527</v>
      </c>
      <c r="M87" s="161">
        <f t="shared" si="24"/>
        <v>5527</v>
      </c>
      <c r="N87" s="161">
        <f t="shared" si="24"/>
        <v>5527</v>
      </c>
      <c r="O87" s="161">
        <f t="shared" si="24"/>
        <v>5527</v>
      </c>
      <c r="P87" s="161">
        <f t="shared" si="24"/>
        <v>5527</v>
      </c>
      <c r="Q87" s="161">
        <f t="shared" si="24"/>
        <v>185</v>
      </c>
      <c r="R87" s="160" t="str">
        <f t="shared" si="24"/>
        <v/>
      </c>
      <c r="S87" s="162">
        <f t="shared" si="24"/>
        <v>0.84595205954248598</v>
      </c>
      <c r="T87" s="162">
        <f t="shared" si="24"/>
        <v>0.84595205954248598</v>
      </c>
      <c r="U87" s="162">
        <f t="shared" si="24"/>
        <v>0.84595205954248598</v>
      </c>
      <c r="V87" s="162">
        <f t="shared" si="24"/>
        <v>0.84595205954248598</v>
      </c>
      <c r="W87" s="162">
        <f t="shared" si="24"/>
        <v>0.84595205954248598</v>
      </c>
      <c r="X87" s="160" t="str">
        <f t="shared" si="24"/>
        <v/>
      </c>
      <c r="Y87" s="160" t="str">
        <f t="shared" si="24"/>
        <v/>
      </c>
      <c r="Z87" s="160" t="str">
        <f t="shared" si="24"/>
        <v/>
      </c>
      <c r="AA87" s="160" t="str">
        <f t="shared" si="24"/>
        <v/>
      </c>
      <c r="AB87" s="160" t="str">
        <f t="shared" si="24"/>
        <v/>
      </c>
      <c r="AC87" s="160" t="str">
        <f t="shared" si="24"/>
        <v/>
      </c>
      <c r="AD87" s="160" t="str">
        <f t="shared" si="24"/>
        <v/>
      </c>
      <c r="AE87" s="163" t="str">
        <f t="shared" si="24"/>
        <v/>
      </c>
      <c r="AF87" s="163" t="str">
        <f t="shared" si="24"/>
        <v/>
      </c>
      <c r="AG87" s="163" t="str">
        <f t="shared" si="24"/>
        <v/>
      </c>
      <c r="AH87" s="160" t="str">
        <f t="shared" si="24"/>
        <v/>
      </c>
      <c r="AI87" s="160" t="str">
        <f t="shared" si="24"/>
        <v/>
      </c>
      <c r="AJ87" s="160" t="str">
        <f t="shared" si="24"/>
        <v/>
      </c>
      <c r="AK87" s="160" t="str">
        <f t="shared" si="24"/>
        <v/>
      </c>
      <c r="AL87" s="160" t="str">
        <f t="shared" si="24"/>
        <v/>
      </c>
      <c r="AM87" s="160" t="str">
        <f t="shared" si="24"/>
        <v/>
      </c>
      <c r="AN87" s="160" t="str">
        <f t="shared" si="24"/>
        <v/>
      </c>
      <c r="AO87" s="160" t="str">
        <f t="shared" si="24"/>
        <v/>
      </c>
      <c r="AP87" s="160"/>
      <c r="AQ87" s="160" t="str">
        <f t="shared" si="24"/>
        <v/>
      </c>
      <c r="AR87" s="106"/>
      <c r="AS87" s="106"/>
      <c r="AT87" s="106"/>
    </row>
    <row r="88" spans="1:46" ht="14.25">
      <c r="A88" s="114" t="s">
        <v>538</v>
      </c>
      <c r="B88" s="106" t="str">
        <f>B87&amp;"-"&amp;RIGHT(F88,3)&amp;"spl"</f>
        <v>R_ES-SH-SD_OIL02-SOLspl</v>
      </c>
      <c r="C88" s="106" t="s">
        <v>539</v>
      </c>
      <c r="D88" s="106" t="s">
        <v>471</v>
      </c>
      <c r="E88" s="159" t="str">
        <f t="shared" si="23"/>
        <v>Solar heating and hot tap water</v>
      </c>
      <c r="F88" s="160" t="str">
        <f t="shared" si="23"/>
        <v>RSDSOL</v>
      </c>
      <c r="G88" s="160" t="str">
        <f t="shared" si="23"/>
        <v/>
      </c>
      <c r="H88" s="106" t="s">
        <v>686</v>
      </c>
      <c r="I88" s="106"/>
      <c r="J88" s="106"/>
      <c r="K88" s="160">
        <f t="shared" si="24"/>
        <v>20</v>
      </c>
      <c r="L88" s="161">
        <f t="shared" si="24"/>
        <v>6294</v>
      </c>
      <c r="M88" s="161">
        <f t="shared" si="24"/>
        <v>6000.3599999999997</v>
      </c>
      <c r="N88" s="161">
        <f t="shared" si="24"/>
        <v>5755.6599999999999</v>
      </c>
      <c r="O88" s="161">
        <f t="shared" si="24"/>
        <v>4678.9799999999996</v>
      </c>
      <c r="P88" s="161">
        <f t="shared" si="24"/>
        <v>4678.9799999999996</v>
      </c>
      <c r="Q88" s="161">
        <f t="shared" si="24"/>
        <v>115</v>
      </c>
      <c r="R88" s="160" t="str">
        <f t="shared" si="24"/>
        <v/>
      </c>
      <c r="S88" s="162">
        <f t="shared" si="24"/>
        <v>1</v>
      </c>
      <c r="T88" s="162" t="str">
        <f t="shared" si="24"/>
        <v/>
      </c>
      <c r="U88" s="162" t="str">
        <f t="shared" si="24"/>
        <v/>
      </c>
      <c r="V88" s="162" t="str">
        <f t="shared" si="24"/>
        <v/>
      </c>
      <c r="W88" s="162" t="str">
        <f t="shared" si="24"/>
        <v/>
      </c>
      <c r="X88" s="160" t="str">
        <f t="shared" si="24"/>
        <v/>
      </c>
      <c r="Y88" s="160" t="str">
        <f t="shared" si="24"/>
        <v/>
      </c>
      <c r="Z88" s="160" t="str">
        <f t="shared" si="24"/>
        <v/>
      </c>
      <c r="AA88" s="160" t="str">
        <f t="shared" si="24"/>
        <v/>
      </c>
      <c r="AB88" s="160" t="str">
        <f t="shared" si="24"/>
        <v/>
      </c>
      <c r="AC88" s="160" t="str">
        <f t="shared" si="24"/>
        <v/>
      </c>
      <c r="AD88" s="160" t="str">
        <f t="shared" si="24"/>
        <v/>
      </c>
      <c r="AE88" s="163">
        <f t="shared" si="24"/>
        <v>0.14999999999999999</v>
      </c>
      <c r="AF88" s="163">
        <f t="shared" si="24"/>
        <v>0.14999999999999999</v>
      </c>
      <c r="AG88" s="163" t="str">
        <f t="shared" si="24"/>
        <v/>
      </c>
      <c r="AH88" s="160" t="str">
        <f t="shared" si="24"/>
        <v/>
      </c>
      <c r="AI88" s="160" t="str">
        <f t="shared" si="24"/>
        <v/>
      </c>
      <c r="AJ88" s="160" t="str">
        <f t="shared" si="24"/>
        <v/>
      </c>
      <c r="AK88" s="160" t="str">
        <f t="shared" si="24"/>
        <v/>
      </c>
      <c r="AL88" s="160" t="str">
        <f t="shared" si="24"/>
        <v/>
      </c>
      <c r="AM88" s="160" t="str">
        <f t="shared" si="24"/>
        <v/>
      </c>
      <c r="AN88" s="160" t="str">
        <f t="shared" si="24"/>
        <v/>
      </c>
      <c r="AO88" s="160" t="str">
        <f t="shared" si="24"/>
        <v>Y</v>
      </c>
      <c r="AP88" s="160"/>
      <c r="AQ88" s="160" t="str">
        <f t="shared" si="24"/>
        <v>Solar share 10-20 % (used 15%) as Gas+Solar</v>
      </c>
      <c r="AR88" s="106"/>
      <c r="AS88" s="106"/>
      <c r="AT88" s="106"/>
    </row>
    <row r="89" spans="1:46" ht="14.25">
      <c r="A89" s="114" t="s">
        <v>538</v>
      </c>
      <c r="B89" s="106" t="str">
        <f>B87&amp;"-"&amp;RIGHT(F89,3)&amp;"spl"</f>
        <v>R_ES-SH-SD_OIL02-BIOspl</v>
      </c>
      <c r="C89" s="106" t="s">
        <v>544</v>
      </c>
      <c r="D89" s="106" t="s">
        <v>471</v>
      </c>
      <c r="E89" s="159" t="str">
        <f t="shared" si="23"/>
        <v>HOB-wood</v>
      </c>
      <c r="F89" s="160" t="str">
        <f t="shared" si="23"/>
        <v>RSDBIO</v>
      </c>
      <c r="G89" s="160" t="str">
        <f t="shared" si="23"/>
        <v/>
      </c>
      <c r="H89" s="106" t="s">
        <v>59</v>
      </c>
      <c r="I89" s="106"/>
      <c r="J89" s="106"/>
      <c r="K89" s="160">
        <f t="shared" si="24"/>
        <v>20</v>
      </c>
      <c r="L89" s="161">
        <f t="shared" si="24"/>
        <v>4200</v>
      </c>
      <c r="M89" s="161">
        <f t="shared" si="24"/>
        <v>4200</v>
      </c>
      <c r="N89" s="161">
        <f t="shared" si="24"/>
        <v>5100</v>
      </c>
      <c r="O89" s="161">
        <f t="shared" si="24"/>
        <v>5100</v>
      </c>
      <c r="P89" s="161">
        <f t="shared" si="24"/>
        <v>5100</v>
      </c>
      <c r="Q89" s="161">
        <f t="shared" si="24"/>
        <v>1</v>
      </c>
      <c r="R89" s="160" t="str">
        <f t="shared" si="24"/>
        <v/>
      </c>
      <c r="S89" s="162">
        <f t="shared" si="24"/>
        <v>0.65000000000000002</v>
      </c>
      <c r="T89" s="162">
        <f t="shared" si="24"/>
        <v>0.69999999999999996</v>
      </c>
      <c r="U89" s="162">
        <f t="shared" si="24"/>
        <v>0.75</v>
      </c>
      <c r="V89" s="162">
        <f t="shared" si="24"/>
        <v>0.75</v>
      </c>
      <c r="W89" s="162">
        <f t="shared" si="24"/>
        <v>0.75</v>
      </c>
      <c r="X89" s="160" t="str">
        <f t="shared" si="24"/>
        <v/>
      </c>
      <c r="Y89" s="160" t="str">
        <f t="shared" si="24"/>
        <v/>
      </c>
      <c r="Z89" s="160" t="str">
        <f t="shared" si="24"/>
        <v/>
      </c>
      <c r="AA89" s="160" t="str">
        <f t="shared" si="24"/>
        <v/>
      </c>
      <c r="AB89" s="160" t="str">
        <f t="shared" si="24"/>
        <v/>
      </c>
      <c r="AC89" s="160" t="str">
        <f t="shared" si="24"/>
        <v/>
      </c>
      <c r="AD89" s="160" t="str">
        <f t="shared" si="24"/>
        <v/>
      </c>
      <c r="AE89" s="163">
        <f t="shared" si="24"/>
        <v>0.40000000000000002</v>
      </c>
      <c r="AF89" s="163" t="str">
        <f t="shared" si="24"/>
        <v/>
      </c>
      <c r="AG89" s="163" t="str">
        <f t="shared" si="24"/>
        <v/>
      </c>
      <c r="AH89" s="160" t="str">
        <f t="shared" si="24"/>
        <v/>
      </c>
      <c r="AI89" s="160" t="str">
        <f t="shared" si="24"/>
        <v/>
      </c>
      <c r="AJ89" s="160" t="str">
        <f t="shared" si="24"/>
        <v/>
      </c>
      <c r="AK89" s="160" t="str">
        <f t="shared" si="24"/>
        <v/>
      </c>
      <c r="AL89" s="160" t="str">
        <f t="shared" si="24"/>
        <v/>
      </c>
      <c r="AM89" s="160" t="str">
        <f t="shared" si="24"/>
        <v/>
      </c>
      <c r="AN89" s="160" t="str">
        <f t="shared" si="24"/>
        <v/>
      </c>
      <c r="AO89" s="160" t="str">
        <f t="shared" si="24"/>
        <v>Y</v>
      </c>
      <c r="AP89" s="160"/>
      <c r="AQ89" s="160" t="str">
        <f t="shared" si="24"/>
        <v>Added Storage costs (add. inv.)</v>
      </c>
      <c r="AR89" s="106"/>
      <c r="AS89" s="106"/>
      <c r="AT89" s="106"/>
    </row>
    <row r="90" spans="1:46" ht="14.25">
      <c r="A90" s="102" t="s">
        <v>529</v>
      </c>
      <c r="B90" s="106" t="s">
        <v>460</v>
      </c>
      <c r="C90" s="106" t="s">
        <v>548</v>
      </c>
      <c r="D90" s="106" t="s">
        <v>471</v>
      </c>
      <c r="E90" s="159" t="str">
        <f t="shared" si="23"/>
        <v>HOB-gas</v>
      </c>
      <c r="F90" s="160" t="str">
        <f t="shared" si="23"/>
        <v>RSDGAS, RSDLPG, RSDBGS</v>
      </c>
      <c r="G90" s="160" t="str">
        <f t="shared" si="23"/>
        <v/>
      </c>
      <c r="H90" s="106" t="s">
        <v>686</v>
      </c>
      <c r="I90" s="106"/>
      <c r="J90" s="106"/>
      <c r="K90" s="160">
        <f t="shared" si="24"/>
        <v>22</v>
      </c>
      <c r="L90" s="161">
        <f t="shared" si="24"/>
        <v>4309</v>
      </c>
      <c r="M90" s="161">
        <f t="shared" si="24"/>
        <v>4309</v>
      </c>
      <c r="N90" s="161">
        <f t="shared" si="24"/>
        <v>4309</v>
      </c>
      <c r="O90" s="161">
        <f t="shared" si="24"/>
        <v>4309</v>
      </c>
      <c r="P90" s="161">
        <f t="shared" si="24"/>
        <v>4309</v>
      </c>
      <c r="Q90" s="161">
        <f t="shared" si="24"/>
        <v>226</v>
      </c>
      <c r="R90" s="160" t="str">
        <f t="shared" si="24"/>
        <v/>
      </c>
      <c r="S90" s="162">
        <f t="shared" si="24"/>
        <v>0.84679858006836706</v>
      </c>
      <c r="T90" s="162">
        <f t="shared" si="24"/>
        <v>0.84679858006836706</v>
      </c>
      <c r="U90" s="162">
        <f t="shared" si="24"/>
        <v>0.84679858006836706</v>
      </c>
      <c r="V90" s="162">
        <f t="shared" si="24"/>
        <v>0.84679858006836706</v>
      </c>
      <c r="W90" s="162">
        <f t="shared" si="24"/>
        <v>0.84679858006836706</v>
      </c>
      <c r="X90" s="160" t="str">
        <f t="shared" si="24"/>
        <v/>
      </c>
      <c r="Y90" s="160" t="str">
        <f t="shared" si="24"/>
        <v/>
      </c>
      <c r="Z90" s="160" t="str">
        <f t="shared" si="24"/>
        <v/>
      </c>
      <c r="AA90" s="160" t="str">
        <f t="shared" si="24"/>
        <v/>
      </c>
      <c r="AB90" s="160" t="str">
        <f t="shared" si="24"/>
        <v/>
      </c>
      <c r="AC90" s="160" t="str">
        <f t="shared" si="24"/>
        <v/>
      </c>
      <c r="AD90" s="160" t="str">
        <f t="shared" si="24"/>
        <v/>
      </c>
      <c r="AE90" s="163">
        <f t="shared" si="24"/>
        <v>1</v>
      </c>
      <c r="AF90" s="163">
        <f t="shared" si="24"/>
        <v>1</v>
      </c>
      <c r="AG90" s="163" t="str">
        <f t="shared" si="24"/>
        <v/>
      </c>
      <c r="AH90" s="160" t="str">
        <f t="shared" si="24"/>
        <v/>
      </c>
      <c r="AI90" s="160" t="str">
        <f t="shared" si="24"/>
        <v/>
      </c>
      <c r="AJ90" s="160" t="str">
        <f t="shared" si="24"/>
        <v/>
      </c>
      <c r="AK90" s="160" t="str">
        <f t="shared" si="24"/>
        <v/>
      </c>
      <c r="AL90" s="160" t="str">
        <f t="shared" si="24"/>
        <v/>
      </c>
      <c r="AM90" s="160" t="str">
        <f t="shared" si="24"/>
        <v/>
      </c>
      <c r="AN90" s="160" t="str">
        <f t="shared" si="24"/>
        <v/>
      </c>
      <c r="AO90" s="160" t="str">
        <f t="shared" si="24"/>
        <v/>
      </c>
      <c r="AP90" s="160"/>
      <c r="AQ90" s="160" t="str">
        <f t="shared" si="24"/>
        <v/>
      </c>
      <c r="AR90" s="106"/>
      <c r="AS90" s="106"/>
      <c r="AT90" s="106"/>
    </row>
    <row r="91" spans="1:46" ht="14.25">
      <c r="A91" s="102" t="s">
        <v>529</v>
      </c>
      <c r="B91" s="106" t="s">
        <v>461</v>
      </c>
      <c r="C91" s="106" t="s">
        <v>552</v>
      </c>
      <c r="D91" s="106" t="s">
        <v>471</v>
      </c>
      <c r="E91" s="159" t="str">
        <f t="shared" si="23"/>
        <v>HOB-gas</v>
      </c>
      <c r="F91" s="160" t="str">
        <f t="shared" si="23"/>
        <v>RSDGAS, RSDLPG, RSDBGS</v>
      </c>
      <c r="G91" s="160" t="str">
        <f t="shared" si="23"/>
        <v/>
      </c>
      <c r="H91" s="106" t="s">
        <v>686</v>
      </c>
      <c r="I91" s="106"/>
      <c r="J91" s="106"/>
      <c r="K91" s="160">
        <f t="shared" si="24"/>
        <v>22</v>
      </c>
      <c r="L91" s="161">
        <f t="shared" si="24"/>
        <v>4309</v>
      </c>
      <c r="M91" s="161">
        <f t="shared" si="24"/>
        <v>4309</v>
      </c>
      <c r="N91" s="161">
        <f t="shared" si="24"/>
        <v>4309</v>
      </c>
      <c r="O91" s="161">
        <f t="shared" si="24"/>
        <v>4309</v>
      </c>
      <c r="P91" s="161">
        <f t="shared" si="24"/>
        <v>4309</v>
      </c>
      <c r="Q91" s="161">
        <f t="shared" si="24"/>
        <v>226</v>
      </c>
      <c r="R91" s="160" t="str">
        <f t="shared" si="24"/>
        <v/>
      </c>
      <c r="S91" s="162">
        <f t="shared" si="24"/>
        <v>0.84679858006836706</v>
      </c>
      <c r="T91" s="162">
        <f t="shared" si="24"/>
        <v>0.84679858006836706</v>
      </c>
      <c r="U91" s="162">
        <f t="shared" si="24"/>
        <v>0.84679858006836706</v>
      </c>
      <c r="V91" s="162">
        <f t="shared" si="24"/>
        <v>0.84679858006836706</v>
      </c>
      <c r="W91" s="162">
        <f t="shared" si="24"/>
        <v>0.84679858006836706</v>
      </c>
      <c r="X91" s="160" t="str">
        <f t="shared" si="24"/>
        <v/>
      </c>
      <c r="Y91" s="160" t="str">
        <f t="shared" si="24"/>
        <v/>
      </c>
      <c r="Z91" s="160" t="str">
        <f t="shared" si="24"/>
        <v/>
      </c>
      <c r="AA91" s="160" t="str">
        <f t="shared" si="24"/>
        <v/>
      </c>
      <c r="AB91" s="160" t="str">
        <f t="shared" si="24"/>
        <v/>
      </c>
      <c r="AC91" s="160" t="str">
        <f t="shared" si="24"/>
        <v/>
      </c>
      <c r="AD91" s="160" t="str">
        <f t="shared" si="24"/>
        <v/>
      </c>
      <c r="AE91" s="163">
        <f t="shared" si="24"/>
        <v>1</v>
      </c>
      <c r="AF91" s="163">
        <f t="shared" si="24"/>
        <v>1</v>
      </c>
      <c r="AG91" s="163" t="str">
        <f t="shared" si="24"/>
        <v/>
      </c>
      <c r="AH91" s="160" t="str">
        <f t="shared" si="24"/>
        <v/>
      </c>
      <c r="AI91" s="160" t="str">
        <f t="shared" si="24"/>
        <v/>
      </c>
      <c r="AJ91" s="160" t="str">
        <f t="shared" si="24"/>
        <v/>
      </c>
      <c r="AK91" s="160" t="str">
        <f t="shared" si="24"/>
        <v/>
      </c>
      <c r="AL91" s="160" t="str">
        <f t="shared" si="24"/>
        <v/>
      </c>
      <c r="AM91" s="160" t="str">
        <f t="shared" si="24"/>
        <v/>
      </c>
      <c r="AN91" s="160" t="str">
        <f t="shared" si="24"/>
        <v/>
      </c>
      <c r="AO91" s="160" t="str">
        <f t="shared" si="24"/>
        <v/>
      </c>
      <c r="AP91" s="160"/>
      <c r="AQ91" s="160" t="str">
        <f t="shared" si="24"/>
        <v/>
      </c>
      <c r="AR91" s="106"/>
      <c r="AS91" s="106"/>
      <c r="AT91" s="106"/>
    </row>
    <row r="92" spans="1:46" ht="14.25">
      <c r="A92" s="114" t="s">
        <v>538</v>
      </c>
      <c r="B92" s="106" t="str">
        <f>B91&amp;"-"&amp;RIGHT(F92,3)&amp;"spl"</f>
        <v>R_ES-SH-SD_GAS02-SOLspl</v>
      </c>
      <c r="C92" s="106" t="s">
        <v>553</v>
      </c>
      <c r="D92" s="106" t="s">
        <v>471</v>
      </c>
      <c r="E92" s="159" t="str">
        <f t="shared" si="23"/>
        <v>Solar heating and hot tap water</v>
      </c>
      <c r="F92" s="160" t="str">
        <f t="shared" si="23"/>
        <v>RSDSOL</v>
      </c>
      <c r="G92" s="160" t="str">
        <f t="shared" si="23"/>
        <v/>
      </c>
      <c r="H92" s="106" t="s">
        <v>686</v>
      </c>
      <c r="I92" s="106"/>
      <c r="J92" s="106"/>
      <c r="K92" s="160">
        <f t="shared" si="24"/>
        <v>20</v>
      </c>
      <c r="L92" s="161">
        <f t="shared" si="24"/>
        <v>6294</v>
      </c>
      <c r="M92" s="161">
        <f t="shared" si="24"/>
        <v>6000.3599999999997</v>
      </c>
      <c r="N92" s="161">
        <f t="shared" si="24"/>
        <v>5755.6599999999999</v>
      </c>
      <c r="O92" s="161">
        <f t="shared" si="24"/>
        <v>4678.9799999999996</v>
      </c>
      <c r="P92" s="161">
        <f t="shared" si="24"/>
        <v>4678.9799999999996</v>
      </c>
      <c r="Q92" s="161">
        <f t="shared" si="24"/>
        <v>115</v>
      </c>
      <c r="R92" s="160" t="str">
        <f t="shared" si="24"/>
        <v/>
      </c>
      <c r="S92" s="162">
        <f t="shared" si="24"/>
        <v>1</v>
      </c>
      <c r="T92" s="162" t="str">
        <f t="shared" si="24"/>
        <v/>
      </c>
      <c r="U92" s="162" t="str">
        <f t="shared" si="24"/>
        <v/>
      </c>
      <c r="V92" s="162" t="str">
        <f t="shared" si="24"/>
        <v/>
      </c>
      <c r="W92" s="162" t="str">
        <f t="shared" si="24"/>
        <v/>
      </c>
      <c r="X92" s="160" t="str">
        <f t="shared" si="24"/>
        <v/>
      </c>
      <c r="Y92" s="160" t="str">
        <f t="shared" si="24"/>
        <v/>
      </c>
      <c r="Z92" s="160" t="str">
        <f t="shared" si="24"/>
        <v/>
      </c>
      <c r="AA92" s="160" t="str">
        <f t="shared" si="24"/>
        <v/>
      </c>
      <c r="AB92" s="160" t="str">
        <f t="shared" si="24"/>
        <v/>
      </c>
      <c r="AC92" s="160" t="str">
        <f t="shared" si="24"/>
        <v/>
      </c>
      <c r="AD92" s="160" t="str">
        <f t="shared" si="24"/>
        <v/>
      </c>
      <c r="AE92" s="163">
        <f t="shared" si="24"/>
        <v>0.14999999999999999</v>
      </c>
      <c r="AF92" s="163">
        <f t="shared" si="24"/>
        <v>0.14999999999999999</v>
      </c>
      <c r="AG92" s="163" t="str">
        <f t="shared" si="24"/>
        <v/>
      </c>
      <c r="AH92" s="160" t="str">
        <f t="shared" si="24"/>
        <v/>
      </c>
      <c r="AI92" s="160" t="str">
        <f t="shared" si="24"/>
        <v/>
      </c>
      <c r="AJ92" s="160" t="str">
        <f t="shared" si="24"/>
        <v/>
      </c>
      <c r="AK92" s="160" t="str">
        <f t="shared" si="24"/>
        <v/>
      </c>
      <c r="AL92" s="160" t="str">
        <f t="shared" si="24"/>
        <v/>
      </c>
      <c r="AM92" s="160" t="str">
        <f t="shared" si="24"/>
        <v/>
      </c>
      <c r="AN92" s="160" t="str">
        <f t="shared" si="24"/>
        <v/>
      </c>
      <c r="AO92" s="160" t="str">
        <f t="shared" si="24"/>
        <v>Y</v>
      </c>
      <c r="AP92" s="160"/>
      <c r="AQ92" s="160" t="str">
        <f t="shared" si="24"/>
        <v xml:space="preserve">Solar share 10-20 % (used 15%). AddInv: Control unit that facilitates the operation </v>
      </c>
      <c r="AR92" s="106"/>
      <c r="AS92" s="106"/>
      <c r="AT92" s="106"/>
    </row>
    <row r="93" spans="1:46" ht="14.25">
      <c r="A93" s="114" t="s">
        <v>538</v>
      </c>
      <c r="B93" s="106" t="str">
        <f>B91&amp;"-"&amp;RIGHT(F93,3)&amp;"spl"</f>
        <v>R_ES-SH-SD_GAS02-BIOspl</v>
      </c>
      <c r="C93" s="106" t="s">
        <v>555</v>
      </c>
      <c r="D93" s="106" t="s">
        <v>471</v>
      </c>
      <c r="E93" s="159" t="str">
        <f t="shared" si="23"/>
        <v>HOB-wood</v>
      </c>
      <c r="F93" s="160" t="str">
        <f t="shared" si="23"/>
        <v>RSDBIO</v>
      </c>
      <c r="G93" s="160" t="str">
        <f t="shared" si="23"/>
        <v/>
      </c>
      <c r="H93" s="106" t="s">
        <v>59</v>
      </c>
      <c r="I93" s="106"/>
      <c r="J93" s="106"/>
      <c r="K93" s="160">
        <f t="shared" si="24"/>
        <v>20</v>
      </c>
      <c r="L93" s="161">
        <f t="shared" si="24"/>
        <v>4200</v>
      </c>
      <c r="M93" s="161">
        <f t="shared" si="24"/>
        <v>4200</v>
      </c>
      <c r="N93" s="161">
        <f t="shared" si="24"/>
        <v>5100</v>
      </c>
      <c r="O93" s="161">
        <f t="shared" si="24"/>
        <v>5100</v>
      </c>
      <c r="P93" s="161">
        <f t="shared" si="24"/>
        <v>5100</v>
      </c>
      <c r="Q93" s="161">
        <f t="shared" si="24"/>
        <v>1</v>
      </c>
      <c r="R93" s="160" t="str">
        <f t="shared" si="24"/>
        <v/>
      </c>
      <c r="S93" s="162">
        <f t="shared" si="24"/>
        <v>0.65000000000000002</v>
      </c>
      <c r="T93" s="162">
        <f t="shared" si="24"/>
        <v>0.69999999999999996</v>
      </c>
      <c r="U93" s="162">
        <f t="shared" si="24"/>
        <v>0.75</v>
      </c>
      <c r="V93" s="162">
        <f t="shared" si="24"/>
        <v>0.75</v>
      </c>
      <c r="W93" s="162">
        <f t="shared" si="24"/>
        <v>0.75</v>
      </c>
      <c r="X93" s="160" t="str">
        <f t="shared" si="24"/>
        <v/>
      </c>
      <c r="Y93" s="160" t="str">
        <f t="shared" si="24"/>
        <v/>
      </c>
      <c r="Z93" s="160" t="str">
        <f t="shared" si="24"/>
        <v/>
      </c>
      <c r="AA93" s="160" t="str">
        <f t="shared" si="24"/>
        <v/>
      </c>
      <c r="AB93" s="160" t="str">
        <f t="shared" si="24"/>
        <v/>
      </c>
      <c r="AC93" s="160" t="str">
        <f t="shared" si="24"/>
        <v/>
      </c>
      <c r="AD93" s="160" t="str">
        <f t="shared" si="24"/>
        <v/>
      </c>
      <c r="AE93" s="163">
        <f t="shared" si="24"/>
        <v>0.40000000000000002</v>
      </c>
      <c r="AF93" s="163" t="str">
        <f t="shared" si="24"/>
        <v/>
      </c>
      <c r="AG93" s="163" t="str">
        <f t="shared" si="24"/>
        <v/>
      </c>
      <c r="AH93" s="160" t="str">
        <f t="shared" si="24"/>
        <v/>
      </c>
      <c r="AI93" s="160" t="str">
        <f t="shared" si="24"/>
        <v/>
      </c>
      <c r="AJ93" s="160" t="str">
        <f t="shared" si="24"/>
        <v/>
      </c>
      <c r="AK93" s="160" t="str">
        <f t="shared" si="24"/>
        <v/>
      </c>
      <c r="AL93" s="160" t="str">
        <f t="shared" si="24"/>
        <v/>
      </c>
      <c r="AM93" s="160" t="str">
        <f t="shared" si="24"/>
        <v/>
      </c>
      <c r="AN93" s="160" t="str">
        <f t="shared" si="24"/>
        <v/>
      </c>
      <c r="AO93" s="160" t="str">
        <f t="shared" si="24"/>
        <v>Y</v>
      </c>
      <c r="AP93" s="160"/>
      <c r="AQ93" s="160" t="str">
        <f t="shared" si="25" ref="AQ93">IF(AQ11="","",AQ11)</f>
        <v>Added Storage costs (add. inv.)</v>
      </c>
      <c r="AR93" s="106"/>
      <c r="AS93" s="106"/>
      <c r="AT93" s="106"/>
    </row>
    <row r="94" spans="1:46" ht="14.25">
      <c r="A94" s="102" t="s">
        <v>529</v>
      </c>
      <c r="B94" s="106" t="s">
        <v>456</v>
      </c>
      <c r="C94" s="106" t="s">
        <v>556</v>
      </c>
      <c r="D94" s="106" t="s">
        <v>471</v>
      </c>
      <c r="E94" s="159" t="str">
        <f t="shared" si="23"/>
        <v>HOB-biomass</v>
      </c>
      <c r="F94" s="160" t="str">
        <f t="shared" si="23"/>
        <v>RSDBIO</v>
      </c>
      <c r="G94" s="160" t="str">
        <f t="shared" si="23"/>
        <v/>
      </c>
      <c r="H94" s="106" t="s">
        <v>686</v>
      </c>
      <c r="I94" s="106"/>
      <c r="J94" s="106"/>
      <c r="K94" s="160">
        <f t="shared" si="26" ref="K94:AQ101">IF(K12="","",K12)</f>
        <v>20</v>
      </c>
      <c r="L94" s="161">
        <f t="shared" si="26"/>
        <v>16550</v>
      </c>
      <c r="M94" s="161">
        <f t="shared" si="26"/>
        <v>16550</v>
      </c>
      <c r="N94" s="161">
        <f t="shared" si="26"/>
        <v>17720</v>
      </c>
      <c r="O94" s="161">
        <f t="shared" si="26"/>
        <v>17720</v>
      </c>
      <c r="P94" s="161">
        <f t="shared" si="26"/>
        <v>17720</v>
      </c>
      <c r="Q94" s="161">
        <f t="shared" si="26"/>
        <v>470.58823529411768</v>
      </c>
      <c r="R94" s="160" t="str">
        <f t="shared" si="26"/>
        <v/>
      </c>
      <c r="S94" s="162">
        <f t="shared" si="26"/>
        <v>0.67308496185599331</v>
      </c>
      <c r="T94" s="162">
        <f t="shared" si="26"/>
        <v>0.67308496185599331</v>
      </c>
      <c r="U94" s="162">
        <f t="shared" si="26"/>
        <v>0.67308496185599331</v>
      </c>
      <c r="V94" s="162">
        <f t="shared" si="26"/>
        <v>0.67308496185599331</v>
      </c>
      <c r="W94" s="162">
        <f t="shared" si="26"/>
        <v>0.67308496185599331</v>
      </c>
      <c r="X94" s="160" t="str">
        <f t="shared" si="26"/>
        <v/>
      </c>
      <c r="Y94" s="160" t="str">
        <f t="shared" si="26"/>
        <v/>
      </c>
      <c r="Z94" s="160" t="str">
        <f t="shared" si="26"/>
        <v/>
      </c>
      <c r="AA94" s="160" t="str">
        <f t="shared" si="26"/>
        <v/>
      </c>
      <c r="AB94" s="160" t="str">
        <f t="shared" si="26"/>
        <v/>
      </c>
      <c r="AC94" s="160" t="str">
        <f t="shared" si="26"/>
        <v/>
      </c>
      <c r="AD94" s="160" t="str">
        <f t="shared" si="26"/>
        <v/>
      </c>
      <c r="AE94" s="163">
        <f t="shared" si="26"/>
        <v>1</v>
      </c>
      <c r="AF94" s="163">
        <f t="shared" si="26"/>
        <v>1</v>
      </c>
      <c r="AG94" s="163" t="str">
        <f t="shared" si="26"/>
        <v/>
      </c>
      <c r="AH94" s="160" t="str">
        <f t="shared" si="26"/>
        <v/>
      </c>
      <c r="AI94" s="160" t="str">
        <f t="shared" si="26"/>
        <v/>
      </c>
      <c r="AJ94" s="160" t="str">
        <f t="shared" si="26"/>
        <v/>
      </c>
      <c r="AK94" s="160" t="str">
        <f t="shared" si="26"/>
        <v/>
      </c>
      <c r="AL94" s="160" t="str">
        <f t="shared" si="26"/>
        <v/>
      </c>
      <c r="AM94" s="160" t="str">
        <f t="shared" si="26"/>
        <v/>
      </c>
      <c r="AN94" s="160" t="str">
        <f t="shared" si="26"/>
        <v/>
      </c>
      <c r="AO94" s="160" t="str">
        <f t="shared" si="26"/>
        <v>Y</v>
      </c>
      <c r="AP94" s="160"/>
      <c r="AQ94" s="160" t="str">
        <f t="shared" si="26"/>
        <v>Added Storage costs (add. inv.)</v>
      </c>
      <c r="AR94" s="106"/>
      <c r="AS94" s="106"/>
      <c r="AT94" s="106"/>
    </row>
    <row r="95" spans="1:46" s="125" customFormat="1" ht="14.25">
      <c r="A95" s="118" t="s">
        <v>529</v>
      </c>
      <c r="B95" s="118" t="s">
        <v>457</v>
      </c>
      <c r="C95" s="118" t="s">
        <v>559</v>
      </c>
      <c r="D95" s="118" t="s">
        <v>471</v>
      </c>
      <c r="E95" s="164" t="str">
        <f t="shared" si="23"/>
        <v>Electric_electric boiler</v>
      </c>
      <c r="F95" s="165" t="str">
        <f t="shared" si="23"/>
        <v>RSDELC</v>
      </c>
      <c r="G95" s="165" t="str">
        <f t="shared" si="23"/>
        <v/>
      </c>
      <c r="H95" s="118" t="s">
        <v>686</v>
      </c>
      <c r="I95" s="118"/>
      <c r="J95" s="118"/>
      <c r="K95" s="165">
        <f t="shared" si="26"/>
        <v>15</v>
      </c>
      <c r="L95" s="166">
        <f t="shared" si="26"/>
        <v>4000</v>
      </c>
      <c r="M95" s="166">
        <f t="shared" si="26"/>
        <v>4000</v>
      </c>
      <c r="N95" s="166">
        <f t="shared" si="26"/>
        <v>4000</v>
      </c>
      <c r="O95" s="166">
        <f t="shared" si="26"/>
        <v>4000</v>
      </c>
      <c r="P95" s="166">
        <f t="shared" si="26"/>
        <v>4000</v>
      </c>
      <c r="Q95" s="166">
        <f t="shared" si="26"/>
        <v>10</v>
      </c>
      <c r="R95" s="165" t="str">
        <f t="shared" si="26"/>
        <v/>
      </c>
      <c r="S95" s="167">
        <f t="shared" si="26"/>
        <v>1</v>
      </c>
      <c r="T95" s="167" t="str">
        <f t="shared" si="26"/>
        <v/>
      </c>
      <c r="U95" s="167" t="str">
        <f t="shared" si="26"/>
        <v/>
      </c>
      <c r="V95" s="167" t="str">
        <f t="shared" si="26"/>
        <v/>
      </c>
      <c r="W95" s="167" t="str">
        <f t="shared" si="26"/>
        <v/>
      </c>
      <c r="X95" s="165" t="str">
        <f t="shared" si="26"/>
        <v/>
      </c>
      <c r="Y95" s="165" t="str">
        <f t="shared" si="26"/>
        <v/>
      </c>
      <c r="Z95" s="165" t="str">
        <f t="shared" si="26"/>
        <v/>
      </c>
      <c r="AA95" s="165" t="str">
        <f t="shared" si="26"/>
        <v/>
      </c>
      <c r="AB95" s="165" t="str">
        <f t="shared" si="26"/>
        <v/>
      </c>
      <c r="AC95" s="165" t="str">
        <f t="shared" si="26"/>
        <v/>
      </c>
      <c r="AD95" s="165" t="str">
        <f t="shared" si="26"/>
        <v/>
      </c>
      <c r="AE95" s="168">
        <f t="shared" si="26"/>
        <v>1</v>
      </c>
      <c r="AF95" s="168">
        <f t="shared" si="26"/>
        <v>1</v>
      </c>
      <c r="AG95" s="168" t="str">
        <f t="shared" si="26"/>
        <v/>
      </c>
      <c r="AH95" s="165" t="str">
        <f t="shared" si="26"/>
        <v/>
      </c>
      <c r="AI95" s="165" t="str">
        <f t="shared" si="26"/>
        <v/>
      </c>
      <c r="AJ95" s="165" t="str">
        <f t="shared" si="26"/>
        <v/>
      </c>
      <c r="AK95" s="165" t="str">
        <f t="shared" si="26"/>
        <v/>
      </c>
      <c r="AL95" s="165" t="str">
        <f t="shared" si="26"/>
        <v/>
      </c>
      <c r="AM95" s="165" t="str">
        <f t="shared" si="26"/>
        <v/>
      </c>
      <c r="AN95" s="165" t="str">
        <f t="shared" si="26"/>
        <v/>
      </c>
      <c r="AO95" s="165" t="str">
        <f t="shared" si="26"/>
        <v/>
      </c>
      <c r="AP95" s="165"/>
      <c r="AQ95" s="165" t="str">
        <f t="shared" si="26"/>
        <v>Include both room heaters and hot tap water preparation</v>
      </c>
      <c r="AR95" s="118"/>
      <c r="AS95" s="118"/>
      <c r="AT95" s="118"/>
    </row>
    <row r="96" spans="1:46" ht="14.25">
      <c r="A96" s="102" t="s">
        <v>563</v>
      </c>
      <c r="B96" s="106" t="s">
        <v>458</v>
      </c>
      <c r="C96" s="106" t="s">
        <v>564</v>
      </c>
      <c r="D96" s="106" t="s">
        <v>471</v>
      </c>
      <c r="E96" s="159" t="str">
        <f t="shared" si="23"/>
        <v>HP-e-air-to-air</v>
      </c>
      <c r="F96" s="160" t="str">
        <f t="shared" si="23"/>
        <v>RSDELC</v>
      </c>
      <c r="G96" s="160" t="str">
        <f t="shared" si="23"/>
        <v>AHET</v>
      </c>
      <c r="H96" s="106" t="s">
        <v>687</v>
      </c>
      <c r="I96" s="106"/>
      <c r="J96" s="106"/>
      <c r="K96" s="160">
        <f t="shared" si="26"/>
        <v>20</v>
      </c>
      <c r="L96" s="161">
        <f t="shared" si="26"/>
        <v>15389</v>
      </c>
      <c r="M96" s="161">
        <f t="shared" si="26"/>
        <v>14619.549999999999</v>
      </c>
      <c r="N96" s="161">
        <f t="shared" si="26"/>
        <v>13234.540000000001</v>
      </c>
      <c r="O96" s="161">
        <f t="shared" si="26"/>
        <v>12618.98</v>
      </c>
      <c r="P96" s="161">
        <f t="shared" si="26"/>
        <v>12618.98</v>
      </c>
      <c r="Q96" s="161">
        <f t="shared" si="26"/>
        <v>300</v>
      </c>
      <c r="R96" s="160" t="str">
        <f t="shared" si="26"/>
        <v/>
      </c>
      <c r="S96" s="169">
        <f t="shared" si="26"/>
        <v>3</v>
      </c>
      <c r="T96" s="169">
        <f t="shared" si="26"/>
        <v>3.2000000000000002</v>
      </c>
      <c r="U96" s="169">
        <f t="shared" si="26"/>
        <v>3.7000000000000002</v>
      </c>
      <c r="V96" s="169">
        <f t="shared" si="26"/>
        <v>4</v>
      </c>
      <c r="W96" s="169">
        <f t="shared" si="26"/>
        <v>4</v>
      </c>
      <c r="X96" s="160" t="str">
        <f t="shared" si="26"/>
        <v/>
      </c>
      <c r="Y96" s="160" t="str">
        <f t="shared" si="26"/>
        <v/>
      </c>
      <c r="Z96" s="160" t="str">
        <f t="shared" si="26"/>
        <v/>
      </c>
      <c r="AA96" s="160" t="str">
        <f t="shared" si="26"/>
        <v/>
      </c>
      <c r="AB96" s="160" t="str">
        <f t="shared" si="26"/>
        <v/>
      </c>
      <c r="AC96" s="160" t="str">
        <f t="shared" si="26"/>
        <v/>
      </c>
      <c r="AD96" s="160" t="str">
        <f t="shared" si="26"/>
        <v/>
      </c>
      <c r="AE96" s="163">
        <f t="shared" si="26"/>
        <v>0.69999999999999996</v>
      </c>
      <c r="AF96" s="163" t="str">
        <f t="shared" si="26"/>
        <v/>
      </c>
      <c r="AG96" s="163" t="str">
        <f t="shared" si="26"/>
        <v/>
      </c>
      <c r="AH96" s="160" t="str">
        <f t="shared" si="26"/>
        <v/>
      </c>
      <c r="AI96" s="160" t="str">
        <f t="shared" si="26"/>
        <v/>
      </c>
      <c r="AJ96" s="160" t="str">
        <f t="shared" si="26"/>
        <v/>
      </c>
      <c r="AK96" s="160" t="str">
        <f t="shared" si="26"/>
        <v/>
      </c>
      <c r="AL96" s="160" t="str">
        <f t="shared" si="26"/>
        <v/>
      </c>
      <c r="AM96" s="160" t="str">
        <f t="shared" si="26"/>
        <v/>
      </c>
      <c r="AN96" s="160" t="str">
        <f t="shared" si="26"/>
        <v/>
      </c>
      <c r="AO96" s="160" t="str">
        <f t="shared" si="26"/>
        <v>Y</v>
      </c>
      <c r="AP96" s="160"/>
      <c r="AQ96" s="160" t="str">
        <f t="shared" si="26"/>
        <v>HP covers between 60 % and 80 % of the total space heating demand of a building</v>
      </c>
      <c r="AR96" s="106"/>
      <c r="AS96" s="106"/>
      <c r="AT96" s="106"/>
    </row>
    <row r="97" spans="1:46" ht="14.25">
      <c r="A97" s="114" t="s">
        <v>538</v>
      </c>
      <c r="B97" s="106" t="str">
        <f>B96&amp;"-"&amp;RIGHT(F97,3)&amp;"spl"</f>
        <v>R_ES-SH-SD_ELC02-ELCspl</v>
      </c>
      <c r="C97" s="106" t="s">
        <v>570</v>
      </c>
      <c r="D97" s="106" t="s">
        <v>471</v>
      </c>
      <c r="E97" s="159" t="str">
        <f t="shared" si="23"/>
        <v>Electric_electric boiler</v>
      </c>
      <c r="F97" s="160" t="str">
        <f t="shared" si="23"/>
        <v>RSDELC</v>
      </c>
      <c r="G97" s="160" t="str">
        <f t="shared" si="23"/>
        <v/>
      </c>
      <c r="H97" s="106" t="s">
        <v>686</v>
      </c>
      <c r="I97" s="106"/>
      <c r="J97" s="106"/>
      <c r="K97" s="160">
        <f t="shared" si="26"/>
        <v>15</v>
      </c>
      <c r="L97" s="161">
        <f t="shared" si="26"/>
        <v>3039.5388059701486</v>
      </c>
      <c r="M97" s="161">
        <f t="shared" si="26"/>
        <v>3039.5388059701486</v>
      </c>
      <c r="N97" s="161">
        <f t="shared" si="26"/>
        <v>3039.5388059701486</v>
      </c>
      <c r="O97" s="161">
        <f t="shared" si="26"/>
        <v>3039.5388059701486</v>
      </c>
      <c r="P97" s="161">
        <f t="shared" si="26"/>
        <v>3039.5388059701486</v>
      </c>
      <c r="Q97" s="161">
        <f t="shared" si="26"/>
        <v>55</v>
      </c>
      <c r="R97" s="160" t="str">
        <f t="shared" si="26"/>
        <v/>
      </c>
      <c r="S97" s="169">
        <f t="shared" si="26"/>
        <v>1</v>
      </c>
      <c r="T97" s="169">
        <f t="shared" si="26"/>
        <v>1</v>
      </c>
      <c r="U97" s="169">
        <f t="shared" si="26"/>
        <v>1</v>
      </c>
      <c r="V97" s="169">
        <f t="shared" si="26"/>
        <v>1</v>
      </c>
      <c r="W97" s="169">
        <f t="shared" si="26"/>
        <v>1</v>
      </c>
      <c r="X97" s="160" t="str">
        <f t="shared" si="26"/>
        <v/>
      </c>
      <c r="Y97" s="160" t="str">
        <f t="shared" si="26"/>
        <v/>
      </c>
      <c r="Z97" s="160" t="str">
        <f t="shared" si="26"/>
        <v/>
      </c>
      <c r="AA97" s="160" t="str">
        <f t="shared" si="26"/>
        <v/>
      </c>
      <c r="AB97" s="160" t="str">
        <f t="shared" si="26"/>
        <v/>
      </c>
      <c r="AC97" s="160" t="str">
        <f t="shared" si="26"/>
        <v/>
      </c>
      <c r="AD97" s="160" t="str">
        <f t="shared" si="26"/>
        <v/>
      </c>
      <c r="AE97" s="163">
        <f t="shared" si="26"/>
        <v>0.29999999999999999</v>
      </c>
      <c r="AF97" s="163">
        <f t="shared" si="26"/>
        <v>1</v>
      </c>
      <c r="AG97" s="163" t="str">
        <f t="shared" si="26"/>
        <v/>
      </c>
      <c r="AH97" s="160" t="str">
        <f t="shared" si="26"/>
        <v/>
      </c>
      <c r="AI97" s="160" t="str">
        <f t="shared" si="26"/>
        <v/>
      </c>
      <c r="AJ97" s="160" t="str">
        <f t="shared" si="26"/>
        <v/>
      </c>
      <c r="AK97" s="160" t="str">
        <f t="shared" si="26"/>
        <v/>
      </c>
      <c r="AL97" s="160" t="str">
        <f t="shared" si="26"/>
        <v/>
      </c>
      <c r="AM97" s="160" t="str">
        <f t="shared" si="26"/>
        <v/>
      </c>
      <c r="AN97" s="160" t="str">
        <f t="shared" si="26"/>
        <v/>
      </c>
      <c r="AO97" s="160" t="str">
        <f t="shared" si="26"/>
        <v/>
      </c>
      <c r="AP97" s="160"/>
      <c r="AQ97" s="160" t="str">
        <f t="shared" si="26"/>
        <v xml:space="preserve">AddInv: shunt-valve. </v>
      </c>
      <c r="AR97" s="106"/>
      <c r="AS97" s="106"/>
      <c r="AT97" s="106"/>
    </row>
    <row r="98" spans="1:46" ht="14.25">
      <c r="A98" s="114" t="s">
        <v>538</v>
      </c>
      <c r="B98" s="106" t="str">
        <f>B96&amp;"-"&amp;RIGHT(F98,3)&amp;"spl"</f>
        <v>R_ES-SH-SD_ELC02-GASspl</v>
      </c>
      <c r="C98" s="106" t="s">
        <v>572</v>
      </c>
      <c r="D98" s="106" t="s">
        <v>471</v>
      </c>
      <c r="E98" s="159" t="str">
        <f t="shared" si="23"/>
        <v>HOB-gas</v>
      </c>
      <c r="F98" s="160" t="str">
        <f t="shared" si="23"/>
        <v>RSDLPG, RSDBGS, RSDGAS</v>
      </c>
      <c r="G98" s="160" t="str">
        <f t="shared" si="23"/>
        <v/>
      </c>
      <c r="H98" s="106" t="s">
        <v>686</v>
      </c>
      <c r="I98" s="106"/>
      <c r="J98" s="106"/>
      <c r="K98" s="160">
        <f t="shared" si="26"/>
        <v>22</v>
      </c>
      <c r="L98" s="161">
        <f t="shared" si="26"/>
        <v>5348.0999999999985</v>
      </c>
      <c r="M98" s="161">
        <f t="shared" si="26"/>
        <v>5348.0999999999985</v>
      </c>
      <c r="N98" s="161">
        <f t="shared" si="26"/>
        <v>5348.0999999999985</v>
      </c>
      <c r="O98" s="161">
        <f t="shared" si="26"/>
        <v>5348.0999999999985</v>
      </c>
      <c r="P98" s="161">
        <f t="shared" si="26"/>
        <v>5348.0999999999985</v>
      </c>
      <c r="Q98" s="161">
        <f t="shared" si="26"/>
        <v>113</v>
      </c>
      <c r="R98" s="160" t="str">
        <f t="shared" si="26"/>
        <v/>
      </c>
      <c r="S98" s="169">
        <f t="shared" si="26"/>
        <v>0.84679858006836706</v>
      </c>
      <c r="T98" s="169">
        <f t="shared" si="26"/>
        <v>0.84679858006836706</v>
      </c>
      <c r="U98" s="169">
        <f t="shared" si="26"/>
        <v>0.84679858006836706</v>
      </c>
      <c r="V98" s="169">
        <f t="shared" si="26"/>
        <v>0.84679858006836706</v>
      </c>
      <c r="W98" s="169">
        <f t="shared" si="26"/>
        <v>0.84679858006836706</v>
      </c>
      <c r="X98" s="160" t="str">
        <f t="shared" si="26"/>
        <v/>
      </c>
      <c r="Y98" s="160" t="str">
        <f t="shared" si="26"/>
        <v/>
      </c>
      <c r="Z98" s="160" t="str">
        <f t="shared" si="26"/>
        <v/>
      </c>
      <c r="AA98" s="160" t="str">
        <f t="shared" si="26"/>
        <v/>
      </c>
      <c r="AB98" s="160" t="str">
        <f t="shared" si="26"/>
        <v/>
      </c>
      <c r="AC98" s="160" t="str">
        <f t="shared" si="26"/>
        <v/>
      </c>
      <c r="AD98" s="160" t="str">
        <f t="shared" si="26"/>
        <v/>
      </c>
      <c r="AE98" s="163">
        <f t="shared" si="26"/>
        <v>0.29999999999999999</v>
      </c>
      <c r="AF98" s="163">
        <f t="shared" si="26"/>
        <v>1</v>
      </c>
      <c r="AG98" s="163" t="str">
        <f t="shared" si="26"/>
        <v/>
      </c>
      <c r="AH98" s="160" t="str">
        <f t="shared" si="26"/>
        <v/>
      </c>
      <c r="AI98" s="160" t="str">
        <f t="shared" si="26"/>
        <v/>
      </c>
      <c r="AJ98" s="160" t="str">
        <f t="shared" si="26"/>
        <v/>
      </c>
      <c r="AK98" s="160" t="str">
        <f t="shared" si="26"/>
        <v/>
      </c>
      <c r="AL98" s="160" t="str">
        <f t="shared" si="26"/>
        <v/>
      </c>
      <c r="AM98" s="160" t="str">
        <f t="shared" si="26"/>
        <v/>
      </c>
      <c r="AN98" s="160" t="str">
        <f t="shared" si="26"/>
        <v/>
      </c>
      <c r="AO98" s="160" t="str">
        <f t="shared" si="26"/>
        <v>Y</v>
      </c>
      <c r="AP98" s="160"/>
      <c r="AQ98" s="160" t="str">
        <f t="shared" si="26"/>
        <v xml:space="preserve">AddInv: shunt-valve. </v>
      </c>
      <c r="AR98" s="106"/>
      <c r="AS98" s="106"/>
      <c r="AT98" s="106"/>
    </row>
    <row r="99" spans="1:46" ht="14.25">
      <c r="A99" s="114" t="s">
        <v>538</v>
      </c>
      <c r="B99" s="106" t="str">
        <f>B96&amp;"-"&amp;RIGHT(F99,3)&amp;"spl"</f>
        <v>R_ES-SH-SD_ELC02-BIOspl</v>
      </c>
      <c r="C99" s="106" t="s">
        <v>574</v>
      </c>
      <c r="D99" s="106" t="s">
        <v>471</v>
      </c>
      <c r="E99" s="159" t="str">
        <f t="shared" si="23"/>
        <v>HOB-biomass</v>
      </c>
      <c r="F99" s="160" t="str">
        <f t="shared" si="23"/>
        <v>RSDBIO</v>
      </c>
      <c r="G99" s="160" t="str">
        <f t="shared" si="23"/>
        <v/>
      </c>
      <c r="H99" s="106" t="s">
        <v>686</v>
      </c>
      <c r="I99" s="106"/>
      <c r="J99" s="106"/>
      <c r="K99" s="160">
        <f t="shared" si="26"/>
        <v>20</v>
      </c>
      <c r="L99" s="161">
        <f t="shared" si="26"/>
        <v>10328.099999999999</v>
      </c>
      <c r="M99" s="161">
        <f t="shared" si="26"/>
        <v>10328.099999999999</v>
      </c>
      <c r="N99" s="161">
        <f t="shared" si="26"/>
        <v>11257.629000000001</v>
      </c>
      <c r="O99" s="161">
        <f t="shared" si="26"/>
        <v>11257.629000000001</v>
      </c>
      <c r="P99" s="161">
        <f t="shared" si="26"/>
        <v>11257.629000000001</v>
      </c>
      <c r="Q99" s="161">
        <f t="shared" si="26"/>
        <v>136.14999999999998</v>
      </c>
      <c r="R99" s="160" t="str">
        <f t="shared" si="26"/>
        <v/>
      </c>
      <c r="S99" s="169">
        <f t="shared" si="26"/>
        <v>0.67308496185599331</v>
      </c>
      <c r="T99" s="169">
        <f t="shared" si="26"/>
        <v>0.67308496185599331</v>
      </c>
      <c r="U99" s="169">
        <f t="shared" si="26"/>
        <v>0.67308496185599331</v>
      </c>
      <c r="V99" s="169">
        <f t="shared" si="26"/>
        <v>0.67308496185599331</v>
      </c>
      <c r="W99" s="169">
        <f t="shared" si="26"/>
        <v>0.67308496185599331</v>
      </c>
      <c r="X99" s="160" t="str">
        <f t="shared" si="26"/>
        <v/>
      </c>
      <c r="Y99" s="160" t="str">
        <f t="shared" si="26"/>
        <v/>
      </c>
      <c r="Z99" s="160" t="str">
        <f t="shared" si="26"/>
        <v/>
      </c>
      <c r="AA99" s="160" t="str">
        <f t="shared" si="26"/>
        <v/>
      </c>
      <c r="AB99" s="160" t="str">
        <f t="shared" si="26"/>
        <v/>
      </c>
      <c r="AC99" s="160" t="str">
        <f t="shared" si="26"/>
        <v/>
      </c>
      <c r="AD99" s="160" t="str">
        <f t="shared" si="26"/>
        <v/>
      </c>
      <c r="AE99" s="163">
        <f t="shared" si="26"/>
        <v>0.29999999999999999</v>
      </c>
      <c r="AF99" s="163">
        <f t="shared" si="26"/>
        <v>1</v>
      </c>
      <c r="AG99" s="163" t="str">
        <f t="shared" si="26"/>
        <v/>
      </c>
      <c r="AH99" s="160" t="str">
        <f t="shared" si="26"/>
        <v/>
      </c>
      <c r="AI99" s="160" t="str">
        <f t="shared" si="26"/>
        <v/>
      </c>
      <c r="AJ99" s="160" t="str">
        <f t="shared" si="26"/>
        <v/>
      </c>
      <c r="AK99" s="160" t="str">
        <f t="shared" si="26"/>
        <v/>
      </c>
      <c r="AL99" s="160" t="str">
        <f t="shared" si="26"/>
        <v/>
      </c>
      <c r="AM99" s="160" t="str">
        <f t="shared" si="26"/>
        <v/>
      </c>
      <c r="AN99" s="160" t="str">
        <f t="shared" si="26"/>
        <v/>
      </c>
      <c r="AO99" s="160" t="str">
        <f t="shared" si="26"/>
        <v>Y</v>
      </c>
      <c r="AP99" s="160"/>
      <c r="AQ99" s="160" t="str">
        <f t="shared" si="26"/>
        <v xml:space="preserve">AddInv: shunt-valve. </v>
      </c>
      <c r="AR99" s="106"/>
      <c r="AS99" s="106"/>
      <c r="AT99" s="106"/>
    </row>
    <row r="100" spans="1:46" ht="14.25">
      <c r="A100" s="114" t="s">
        <v>538</v>
      </c>
      <c r="B100" s="106" t="str">
        <f>B96&amp;"-"&amp;RIGHT(F100,3)&amp;"spl"</f>
        <v>R_ES-SH-SD_ELC02-SOLspl</v>
      </c>
      <c r="C100" s="106" t="s">
        <v>575</v>
      </c>
      <c r="D100" s="106" t="s">
        <v>471</v>
      </c>
      <c r="E100" s="159" t="str">
        <f t="shared" si="23"/>
        <v>Solar heating and hot tap water</v>
      </c>
      <c r="F100" s="160" t="str">
        <f t="shared" si="23"/>
        <v>RSDSOL</v>
      </c>
      <c r="G100" s="160" t="str">
        <f t="shared" si="23"/>
        <v/>
      </c>
      <c r="H100" s="106" t="s">
        <v>686</v>
      </c>
      <c r="I100" s="106"/>
      <c r="J100" s="106"/>
      <c r="K100" s="160">
        <f t="shared" si="26"/>
        <v>20</v>
      </c>
      <c r="L100" s="161">
        <f t="shared" si="26"/>
        <v>4396.5999999999985</v>
      </c>
      <c r="M100" s="161">
        <f t="shared" si="26"/>
        <v>5027.2139999999981</v>
      </c>
      <c r="N100" s="161">
        <f t="shared" si="26"/>
        <v>4759.8089999999984</v>
      </c>
      <c r="O100" s="161">
        <f t="shared" si="26"/>
        <v>3583.2269999999985</v>
      </c>
      <c r="P100" s="161">
        <f t="shared" si="26"/>
        <v>3583.2269999999985</v>
      </c>
      <c r="Q100" s="161">
        <f t="shared" si="26"/>
        <v>61</v>
      </c>
      <c r="R100" s="160" t="str">
        <f t="shared" si="26"/>
        <v/>
      </c>
      <c r="S100" s="169">
        <f t="shared" si="26"/>
        <v>1</v>
      </c>
      <c r="T100" s="169">
        <f t="shared" si="26"/>
        <v>1</v>
      </c>
      <c r="U100" s="169">
        <f t="shared" si="26"/>
        <v>1</v>
      </c>
      <c r="V100" s="169">
        <f t="shared" si="26"/>
        <v>1</v>
      </c>
      <c r="W100" s="169">
        <f t="shared" si="26"/>
        <v>1</v>
      </c>
      <c r="X100" s="160" t="str">
        <f t="shared" si="26"/>
        <v/>
      </c>
      <c r="Y100" s="160" t="str">
        <f t="shared" si="26"/>
        <v/>
      </c>
      <c r="Z100" s="160" t="str">
        <f t="shared" si="26"/>
        <v/>
      </c>
      <c r="AA100" s="160" t="str">
        <f t="shared" si="26"/>
        <v/>
      </c>
      <c r="AB100" s="160" t="str">
        <f t="shared" si="26"/>
        <v/>
      </c>
      <c r="AC100" s="160" t="str">
        <f t="shared" si="26"/>
        <v/>
      </c>
      <c r="AD100" s="160" t="str">
        <f t="shared" si="26"/>
        <v/>
      </c>
      <c r="AE100" s="163">
        <f t="shared" si="26"/>
        <v>0.29999999999999999</v>
      </c>
      <c r="AF100" s="163">
        <f t="shared" si="26"/>
        <v>1</v>
      </c>
      <c r="AG100" s="163" t="str">
        <f t="shared" si="26"/>
        <v/>
      </c>
      <c r="AH100" s="160" t="str">
        <f t="shared" si="26"/>
        <v/>
      </c>
      <c r="AI100" s="160" t="str">
        <f t="shared" si="26"/>
        <v/>
      </c>
      <c r="AJ100" s="160" t="str">
        <f t="shared" si="26"/>
        <v/>
      </c>
      <c r="AK100" s="160" t="str">
        <f t="shared" si="26"/>
        <v/>
      </c>
      <c r="AL100" s="160" t="str">
        <f t="shared" si="26"/>
        <v/>
      </c>
      <c r="AM100" s="160" t="str">
        <f t="shared" si="26"/>
        <v/>
      </c>
      <c r="AN100" s="160" t="str">
        <f t="shared" si="26"/>
        <v/>
      </c>
      <c r="AO100" s="160" t="str">
        <f t="shared" si="26"/>
        <v/>
      </c>
      <c r="AP100" s="160"/>
      <c r="AQ100" s="160" t="str">
        <f t="shared" si="26"/>
        <v xml:space="preserve">AddInv: shunt-valve. </v>
      </c>
      <c r="AR100" s="106"/>
      <c r="AS100" s="106"/>
      <c r="AT100" s="106"/>
    </row>
    <row r="101" spans="1:46" ht="14.25">
      <c r="A101" s="106" t="s">
        <v>563</v>
      </c>
      <c r="B101" s="106" t="s">
        <v>688</v>
      </c>
      <c r="C101" s="106" t="s">
        <v>577</v>
      </c>
      <c r="D101" s="106" t="s">
        <v>471</v>
      </c>
      <c r="E101" s="159" t="str">
        <f t="shared" si="23"/>
        <v>HP-e-air-to-water</v>
      </c>
      <c r="F101" s="160" t="str">
        <f t="shared" si="23"/>
        <v>RSDELC</v>
      </c>
      <c r="G101" s="160" t="str">
        <f t="shared" si="23"/>
        <v>AHET</v>
      </c>
      <c r="H101" s="106" t="s">
        <v>686</v>
      </c>
      <c r="I101" s="106"/>
      <c r="J101" s="106"/>
      <c r="K101" s="160">
        <f t="shared" si="26"/>
        <v>20</v>
      </c>
      <c r="L101" s="161">
        <f t="shared" si="26"/>
        <v>15389</v>
      </c>
      <c r="M101" s="161">
        <f t="shared" si="26"/>
        <v>14003.99</v>
      </c>
      <c r="N101" s="161">
        <f t="shared" si="26"/>
        <v>14003.99</v>
      </c>
      <c r="O101" s="161">
        <f t="shared" si="26"/>
        <v>12618.98</v>
      </c>
      <c r="P101" s="161">
        <f t="shared" si="26"/>
        <v>12618.98</v>
      </c>
      <c r="Q101" s="161">
        <f t="shared" si="26"/>
        <v>246</v>
      </c>
      <c r="R101" s="160" t="str">
        <f t="shared" si="26"/>
        <v/>
      </c>
      <c r="S101" s="169">
        <f t="shared" si="26"/>
        <v>3.1000000000000001</v>
      </c>
      <c r="T101" s="169">
        <f t="shared" si="26"/>
        <v>3.2999999999999998</v>
      </c>
      <c r="U101" s="169">
        <f t="shared" si="26"/>
        <v>3.7000000000000002</v>
      </c>
      <c r="V101" s="169">
        <f t="shared" si="26"/>
        <v>4</v>
      </c>
      <c r="W101" s="169">
        <f t="shared" si="26"/>
        <v>4</v>
      </c>
      <c r="X101" s="160" t="str">
        <f t="shared" si="26"/>
        <v/>
      </c>
      <c r="Y101" s="160" t="str">
        <f t="shared" si="26"/>
        <v/>
      </c>
      <c r="Z101" s="160" t="str">
        <f t="shared" si="26"/>
        <v/>
      </c>
      <c r="AA101" s="160" t="str">
        <f t="shared" si="26"/>
        <v/>
      </c>
      <c r="AB101" s="160" t="str">
        <f t="shared" si="26"/>
        <v/>
      </c>
      <c r="AC101" s="160" t="str">
        <f t="shared" si="26"/>
        <v/>
      </c>
      <c r="AD101" s="160" t="str">
        <f t="shared" si="26"/>
        <v/>
      </c>
      <c r="AE101" s="163">
        <f t="shared" si="26"/>
        <v>1</v>
      </c>
      <c r="AF101" s="163">
        <f t="shared" si="26"/>
        <v>1</v>
      </c>
      <c r="AG101" s="163" t="str">
        <f t="shared" si="26"/>
        <v/>
      </c>
      <c r="AH101" s="160" t="str">
        <f t="shared" si="26"/>
        <v/>
      </c>
      <c r="AI101" s="160" t="str">
        <f t="shared" si="26"/>
        <v/>
      </c>
      <c r="AJ101" s="160" t="str">
        <f t="shared" si="26"/>
        <v/>
      </c>
      <c r="AK101" s="160" t="str">
        <f t="shared" si="26"/>
        <v/>
      </c>
      <c r="AL101" s="160" t="str">
        <f t="shared" si="26"/>
        <v/>
      </c>
      <c r="AM101" s="160" t="str">
        <f t="shared" si="26"/>
        <v/>
      </c>
      <c r="AN101" s="160" t="str">
        <f t="shared" si="26"/>
        <v/>
      </c>
      <c r="AO101" s="160" t="str">
        <f t="shared" si="26"/>
        <v/>
      </c>
      <c r="AP101" s="160"/>
      <c r="AQ101" s="160" t="str">
        <f t="shared" si="27" ref="AQ101">IF(AQ19="","",AQ19)</f>
        <v/>
      </c>
      <c r="AR101" s="106"/>
      <c r="AS101" s="106"/>
      <c r="AT101" s="106"/>
    </row>
    <row r="102" spans="1:46" ht="14.25">
      <c r="A102" s="106" t="s">
        <v>563</v>
      </c>
      <c r="B102" s="106" t="s">
        <v>689</v>
      </c>
      <c r="C102" s="106" t="s">
        <v>580</v>
      </c>
      <c r="D102" s="106" t="s">
        <v>471</v>
      </c>
      <c r="E102" s="159" t="str">
        <f t="shared" si="28" ref="E102:G117">IF(E20="","",E20)</f>
        <v>HP-e-air-to-water + add costs</v>
      </c>
      <c r="F102" s="160" t="str">
        <f t="shared" si="28"/>
        <v>RSDELC</v>
      </c>
      <c r="G102" s="160" t="str">
        <f t="shared" si="28"/>
        <v>AHET</v>
      </c>
      <c r="H102" s="106" t="s">
        <v>690</v>
      </c>
      <c r="I102" s="106"/>
      <c r="J102" s="106"/>
      <c r="K102" s="160">
        <f t="shared" si="29" ref="K102:AQ109">IF(K20="","",K20)</f>
        <v>20</v>
      </c>
      <c r="L102" s="161">
        <f t="shared" si="29"/>
        <v>16927.900000000001</v>
      </c>
      <c r="M102" s="161">
        <f t="shared" si="29"/>
        <v>15404.389000000001</v>
      </c>
      <c r="N102" s="161">
        <f t="shared" si="29"/>
        <v>15404.389000000001</v>
      </c>
      <c r="O102" s="161">
        <f t="shared" si="29"/>
        <v>13880.878000000001</v>
      </c>
      <c r="P102" s="161">
        <f t="shared" si="29"/>
        <v>13880.878000000001</v>
      </c>
      <c r="Q102" s="161">
        <f t="shared" si="29"/>
        <v>270.60000000000002</v>
      </c>
      <c r="R102" s="160" t="str">
        <f t="shared" si="29"/>
        <v/>
      </c>
      <c r="S102" s="169">
        <f t="shared" si="29"/>
        <v>3.1000000000000001</v>
      </c>
      <c r="T102" s="169">
        <f t="shared" si="29"/>
        <v>3.2999999999999998</v>
      </c>
      <c r="U102" s="169">
        <f t="shared" si="29"/>
        <v>3.7000000000000002</v>
      </c>
      <c r="V102" s="169">
        <f t="shared" si="29"/>
        <v>4</v>
      </c>
      <c r="W102" s="169">
        <f t="shared" si="29"/>
        <v>4</v>
      </c>
      <c r="X102" s="160" t="str">
        <f t="shared" si="29"/>
        <v/>
      </c>
      <c r="Y102" s="160" t="str">
        <f t="shared" si="29"/>
        <v/>
      </c>
      <c r="Z102" s="160" t="str">
        <f t="shared" si="29"/>
        <v/>
      </c>
      <c r="AA102" s="160" t="str">
        <f t="shared" si="29"/>
        <v/>
      </c>
      <c r="AB102" s="160" t="str">
        <f t="shared" si="29"/>
        <v/>
      </c>
      <c r="AC102" s="160" t="str">
        <f t="shared" si="29"/>
        <v/>
      </c>
      <c r="AD102" s="160" t="str">
        <f t="shared" si="29"/>
        <v/>
      </c>
      <c r="AE102" s="163">
        <f t="shared" si="29"/>
        <v>1</v>
      </c>
      <c r="AF102" s="163">
        <f t="shared" si="29"/>
        <v>1</v>
      </c>
      <c r="AG102" s="163">
        <f t="shared" si="29"/>
        <v>1</v>
      </c>
      <c r="AH102" s="160" t="str">
        <f t="shared" si="29"/>
        <v/>
      </c>
      <c r="AI102" s="160" t="str">
        <f t="shared" si="29"/>
        <v/>
      </c>
      <c r="AJ102" s="160" t="str">
        <f t="shared" si="29"/>
        <v/>
      </c>
      <c r="AK102" s="160" t="str">
        <f t="shared" si="29"/>
        <v/>
      </c>
      <c r="AL102" s="160" t="str">
        <f t="shared" si="29"/>
        <v/>
      </c>
      <c r="AM102" s="160" t="str">
        <f t="shared" si="29"/>
        <v/>
      </c>
      <c r="AN102" s="160">
        <f t="shared" si="29"/>
        <v>1.1000000000000001</v>
      </c>
      <c r="AO102" s="160" t="str">
        <f t="shared" si="29"/>
        <v/>
      </c>
      <c r="AP102" s="160"/>
      <c r="AQ102" s="160" t="str">
        <f t="shared" si="29"/>
        <v/>
      </c>
      <c r="AR102" s="106"/>
      <c r="AS102" s="106"/>
      <c r="AT102" s="106"/>
    </row>
    <row r="103" spans="1:46" ht="14.25">
      <c r="A103" s="106" t="s">
        <v>563</v>
      </c>
      <c r="B103" s="106" t="s">
        <v>691</v>
      </c>
      <c r="C103" s="106" t="s">
        <v>583</v>
      </c>
      <c r="D103" s="106" t="s">
        <v>471</v>
      </c>
      <c r="E103" s="159" t="str">
        <f t="shared" si="28"/>
        <v>Heat pump, ground source</v>
      </c>
      <c r="F103" s="160" t="str">
        <f t="shared" si="28"/>
        <v>RSDELC</v>
      </c>
      <c r="G103" s="160" t="str">
        <f t="shared" si="28"/>
        <v>GHET</v>
      </c>
      <c r="H103" s="106" t="s">
        <v>686</v>
      </c>
      <c r="I103" s="106"/>
      <c r="J103" s="106"/>
      <c r="K103" s="160">
        <f t="shared" si="29"/>
        <v>20</v>
      </c>
      <c r="L103" s="161">
        <f t="shared" si="29"/>
        <v>16350</v>
      </c>
      <c r="M103" s="161">
        <f t="shared" si="29"/>
        <v>15205.5</v>
      </c>
      <c r="N103" s="161">
        <f t="shared" si="29"/>
        <v>14061</v>
      </c>
      <c r="O103" s="161">
        <f t="shared" si="29"/>
        <v>12916.5</v>
      </c>
      <c r="P103" s="161">
        <f t="shared" si="29"/>
        <v>12916.5</v>
      </c>
      <c r="Q103" s="161">
        <f t="shared" si="29"/>
        <v>300</v>
      </c>
      <c r="R103" s="160" t="str">
        <f t="shared" si="29"/>
        <v/>
      </c>
      <c r="S103" s="169">
        <f t="shared" si="29"/>
        <v>3.6000000000000001</v>
      </c>
      <c r="T103" s="169">
        <f t="shared" si="29"/>
        <v>3.7000000000000002</v>
      </c>
      <c r="U103" s="169">
        <f t="shared" si="29"/>
        <v>4</v>
      </c>
      <c r="V103" s="169">
        <f t="shared" si="29"/>
        <v>4.5</v>
      </c>
      <c r="W103" s="169">
        <f t="shared" si="29"/>
        <v>4.5</v>
      </c>
      <c r="X103" s="160" t="str">
        <f t="shared" si="29"/>
        <v/>
      </c>
      <c r="Y103" s="160" t="str">
        <f t="shared" si="29"/>
        <v/>
      </c>
      <c r="Z103" s="160" t="str">
        <f t="shared" si="29"/>
        <v/>
      </c>
      <c r="AA103" s="160" t="str">
        <f t="shared" si="29"/>
        <v/>
      </c>
      <c r="AB103" s="160" t="str">
        <f t="shared" si="29"/>
        <v/>
      </c>
      <c r="AC103" s="160" t="str">
        <f t="shared" si="29"/>
        <v/>
      </c>
      <c r="AD103" s="160" t="str">
        <f t="shared" si="29"/>
        <v/>
      </c>
      <c r="AE103" s="163">
        <f t="shared" si="29"/>
        <v>1</v>
      </c>
      <c r="AF103" s="163">
        <f t="shared" si="29"/>
        <v>1</v>
      </c>
      <c r="AG103" s="163" t="str">
        <f t="shared" si="29"/>
        <v/>
      </c>
      <c r="AH103" s="160" t="str">
        <f t="shared" si="29"/>
        <v/>
      </c>
      <c r="AI103" s="160" t="str">
        <f t="shared" si="29"/>
        <v/>
      </c>
      <c r="AJ103" s="160" t="str">
        <f t="shared" si="29"/>
        <v/>
      </c>
      <c r="AK103" s="160" t="str">
        <f t="shared" si="29"/>
        <v/>
      </c>
      <c r="AL103" s="160" t="str">
        <f t="shared" si="29"/>
        <v/>
      </c>
      <c r="AM103" s="160" t="str">
        <f t="shared" si="29"/>
        <v/>
      </c>
      <c r="AN103" s="160" t="str">
        <f t="shared" si="29"/>
        <v/>
      </c>
      <c r="AO103" s="160" t="str">
        <f t="shared" si="29"/>
        <v/>
      </c>
      <c r="AP103" s="160"/>
      <c r="AQ103" s="160" t="str">
        <f t="shared" si="29"/>
        <v/>
      </c>
      <c r="AR103" s="106"/>
      <c r="AS103" s="106"/>
      <c r="AT103" s="106"/>
    </row>
    <row r="104" spans="1:46" ht="14.25">
      <c r="A104" s="106" t="s">
        <v>563</v>
      </c>
      <c r="B104" s="106" t="s">
        <v>692</v>
      </c>
      <c r="C104" s="106" t="s">
        <v>587</v>
      </c>
      <c r="D104" s="106" t="s">
        <v>471</v>
      </c>
      <c r="E104" s="159" t="str">
        <f t="shared" si="28"/>
        <v>Heat pump, ground source + add costs</v>
      </c>
      <c r="F104" s="160" t="str">
        <f t="shared" si="28"/>
        <v>RSDELC</v>
      </c>
      <c r="G104" s="160" t="str">
        <f t="shared" si="28"/>
        <v>GHET</v>
      </c>
      <c r="H104" s="106" t="s">
        <v>690</v>
      </c>
      <c r="I104" s="106"/>
      <c r="J104" s="106"/>
      <c r="K104" s="160">
        <f t="shared" si="29"/>
        <v>20</v>
      </c>
      <c r="L104" s="161">
        <f t="shared" si="29"/>
        <v>17985</v>
      </c>
      <c r="M104" s="161">
        <f t="shared" si="29"/>
        <v>16726.050000000003</v>
      </c>
      <c r="N104" s="161">
        <f t="shared" si="29"/>
        <v>15467.1</v>
      </c>
      <c r="O104" s="161">
        <f t="shared" si="29"/>
        <v>14208.150000000001</v>
      </c>
      <c r="P104" s="161">
        <f t="shared" si="29"/>
        <v>14208.150000000001</v>
      </c>
      <c r="Q104" s="161">
        <f t="shared" si="29"/>
        <v>330</v>
      </c>
      <c r="R104" s="160" t="str">
        <f t="shared" si="29"/>
        <v/>
      </c>
      <c r="S104" s="169">
        <f t="shared" si="29"/>
        <v>3.6000000000000001</v>
      </c>
      <c r="T104" s="169">
        <f t="shared" si="29"/>
        <v>3.7000000000000002</v>
      </c>
      <c r="U104" s="169">
        <f t="shared" si="29"/>
        <v>4</v>
      </c>
      <c r="V104" s="169">
        <f t="shared" si="29"/>
        <v>4.5</v>
      </c>
      <c r="W104" s="169">
        <f t="shared" si="29"/>
        <v>4.5</v>
      </c>
      <c r="X104" s="160" t="str">
        <f t="shared" si="29"/>
        <v/>
      </c>
      <c r="Y104" s="160" t="str">
        <f t="shared" si="29"/>
        <v/>
      </c>
      <c r="Z104" s="160" t="str">
        <f t="shared" si="29"/>
        <v/>
      </c>
      <c r="AA104" s="160" t="str">
        <f t="shared" si="29"/>
        <v/>
      </c>
      <c r="AB104" s="160" t="str">
        <f t="shared" si="29"/>
        <v/>
      </c>
      <c r="AC104" s="160" t="str">
        <f t="shared" si="29"/>
        <v/>
      </c>
      <c r="AD104" s="160" t="str">
        <f t="shared" si="29"/>
        <v/>
      </c>
      <c r="AE104" s="163">
        <f t="shared" si="29"/>
        <v>1</v>
      </c>
      <c r="AF104" s="163">
        <f t="shared" si="29"/>
        <v>1</v>
      </c>
      <c r="AG104" s="163">
        <f t="shared" si="29"/>
        <v>1</v>
      </c>
      <c r="AH104" s="160" t="str">
        <f t="shared" si="29"/>
        <v/>
      </c>
      <c r="AI104" s="160" t="str">
        <f t="shared" si="29"/>
        <v/>
      </c>
      <c r="AJ104" s="160" t="str">
        <f t="shared" si="29"/>
        <v/>
      </c>
      <c r="AK104" s="160" t="str">
        <f t="shared" si="29"/>
        <v/>
      </c>
      <c r="AL104" s="160" t="str">
        <f t="shared" si="29"/>
        <v/>
      </c>
      <c r="AM104" s="160" t="str">
        <f t="shared" si="29"/>
        <v/>
      </c>
      <c r="AN104" s="160">
        <f t="shared" si="29"/>
        <v>1.1000000000000001</v>
      </c>
      <c r="AO104" s="160" t="str">
        <f t="shared" si="29"/>
        <v/>
      </c>
      <c r="AP104" s="160"/>
      <c r="AQ104" s="160" t="str">
        <f t="shared" si="29"/>
        <v/>
      </c>
      <c r="AR104" s="106"/>
      <c r="AS104" s="106"/>
      <c r="AT104" s="106"/>
    </row>
    <row r="105" spans="1:46" ht="14.25">
      <c r="A105" s="106" t="s">
        <v>563</v>
      </c>
      <c r="B105" s="106" t="s">
        <v>459</v>
      </c>
      <c r="C105" s="106" t="s">
        <v>589</v>
      </c>
      <c r="D105" s="106" t="s">
        <v>471</v>
      </c>
      <c r="E105" s="159" t="str">
        <f t="shared" si="28"/>
        <v>Heat pump, ground source</v>
      </c>
      <c r="F105" s="160" t="str">
        <f t="shared" si="28"/>
        <v>RSDELC</v>
      </c>
      <c r="G105" s="160" t="str">
        <f t="shared" si="28"/>
        <v>GHET</v>
      </c>
      <c r="H105" s="106" t="s">
        <v>686</v>
      </c>
      <c r="I105" s="106"/>
      <c r="J105" s="106"/>
      <c r="K105" s="160">
        <f t="shared" si="29"/>
        <v>20</v>
      </c>
      <c r="L105" s="161">
        <f t="shared" si="29"/>
        <v>25800</v>
      </c>
      <c r="M105" s="161">
        <f t="shared" si="29"/>
        <v>24655.5</v>
      </c>
      <c r="N105" s="161">
        <f t="shared" si="29"/>
        <v>23511</v>
      </c>
      <c r="O105" s="161">
        <f t="shared" si="29"/>
        <v>22366.5</v>
      </c>
      <c r="P105" s="161">
        <f t="shared" si="29"/>
        <v>22366.5</v>
      </c>
      <c r="Q105" s="161">
        <f t="shared" si="29"/>
        <v>300</v>
      </c>
      <c r="R105" s="160" t="str">
        <f t="shared" si="29"/>
        <v/>
      </c>
      <c r="S105" s="169">
        <f t="shared" si="29"/>
        <v>3.6000000000000001</v>
      </c>
      <c r="T105" s="169">
        <f t="shared" si="29"/>
        <v>3.7000000000000002</v>
      </c>
      <c r="U105" s="169">
        <f t="shared" si="29"/>
        <v>4</v>
      </c>
      <c r="V105" s="169">
        <f t="shared" si="29"/>
        <v>4.5</v>
      </c>
      <c r="W105" s="169">
        <f t="shared" si="29"/>
        <v>4.5</v>
      </c>
      <c r="X105" s="160" t="str">
        <f t="shared" si="29"/>
        <v/>
      </c>
      <c r="Y105" s="160" t="str">
        <f t="shared" si="29"/>
        <v/>
      </c>
      <c r="Z105" s="160" t="str">
        <f t="shared" si="29"/>
        <v/>
      </c>
      <c r="AA105" s="160" t="str">
        <f t="shared" si="29"/>
        <v/>
      </c>
      <c r="AB105" s="160" t="str">
        <f t="shared" si="29"/>
        <v/>
      </c>
      <c r="AC105" s="160" t="str">
        <f t="shared" si="29"/>
        <v/>
      </c>
      <c r="AD105" s="160" t="str">
        <f t="shared" si="29"/>
        <v/>
      </c>
      <c r="AE105" s="163">
        <f t="shared" si="29"/>
        <v>1</v>
      </c>
      <c r="AF105" s="163">
        <f t="shared" si="29"/>
        <v>1</v>
      </c>
      <c r="AG105" s="163" t="str">
        <f t="shared" si="29"/>
        <v/>
      </c>
      <c r="AH105" s="160" t="str">
        <f t="shared" si="29"/>
        <v/>
      </c>
      <c r="AI105" s="160" t="str">
        <f t="shared" si="29"/>
        <v/>
      </c>
      <c r="AJ105" s="160" t="str">
        <f t="shared" si="29"/>
        <v/>
      </c>
      <c r="AK105" s="160" t="str">
        <f t="shared" si="29"/>
        <v/>
      </c>
      <c r="AL105" s="160" t="str">
        <f t="shared" si="29"/>
        <v/>
      </c>
      <c r="AM105" s="160" t="str">
        <f t="shared" si="29"/>
        <v/>
      </c>
      <c r="AN105" s="160" t="str">
        <f t="shared" si="29"/>
        <v/>
      </c>
      <c r="AO105" s="160" t="str">
        <f t="shared" si="29"/>
        <v>Y</v>
      </c>
      <c r="AP105" s="160"/>
      <c r="AQ105" s="160" t="str">
        <f t="shared" si="29"/>
        <v>Dominated tech by horizontal tech</v>
      </c>
      <c r="AR105" s="106"/>
      <c r="AS105" s="106"/>
      <c r="AT105" s="106"/>
    </row>
    <row r="106" spans="1:46" ht="14.25">
      <c r="A106" s="106" t="s">
        <v>563</v>
      </c>
      <c r="B106" s="106" t="s">
        <v>693</v>
      </c>
      <c r="C106" s="106" t="s">
        <v>592</v>
      </c>
      <c r="D106" s="106" t="s">
        <v>471</v>
      </c>
      <c r="E106" s="159" t="str">
        <f t="shared" si="28"/>
        <v>Heat pump, ground source + add costs</v>
      </c>
      <c r="F106" s="160" t="str">
        <f t="shared" si="28"/>
        <v>RSDELC</v>
      </c>
      <c r="G106" s="160" t="str">
        <f t="shared" si="28"/>
        <v>GHET</v>
      </c>
      <c r="H106" s="106" t="s">
        <v>690</v>
      </c>
      <c r="I106" s="106"/>
      <c r="J106" s="106"/>
      <c r="K106" s="160">
        <f t="shared" si="29"/>
        <v>20</v>
      </c>
      <c r="L106" s="161">
        <f t="shared" si="29"/>
        <v>28380.000000000004</v>
      </c>
      <c r="M106" s="161">
        <f t="shared" si="29"/>
        <v>27121.050000000003</v>
      </c>
      <c r="N106" s="161">
        <f t="shared" si="29"/>
        <v>25862.100000000002</v>
      </c>
      <c r="O106" s="161">
        <f t="shared" si="29"/>
        <v>24603.150000000001</v>
      </c>
      <c r="P106" s="161">
        <f t="shared" si="29"/>
        <v>24603.150000000001</v>
      </c>
      <c r="Q106" s="161">
        <f t="shared" si="29"/>
        <v>330</v>
      </c>
      <c r="R106" s="160" t="str">
        <f t="shared" si="29"/>
        <v/>
      </c>
      <c r="S106" s="169">
        <f t="shared" si="29"/>
        <v>3.6000000000000001</v>
      </c>
      <c r="T106" s="169">
        <f t="shared" si="29"/>
        <v>3.7000000000000002</v>
      </c>
      <c r="U106" s="169">
        <f t="shared" si="29"/>
        <v>4</v>
      </c>
      <c r="V106" s="169">
        <f t="shared" si="29"/>
        <v>4.5</v>
      </c>
      <c r="W106" s="169">
        <f t="shared" si="29"/>
        <v>4.5</v>
      </c>
      <c r="X106" s="160" t="str">
        <f t="shared" si="29"/>
        <v/>
      </c>
      <c r="Y106" s="160" t="str">
        <f t="shared" si="29"/>
        <v/>
      </c>
      <c r="Z106" s="160" t="str">
        <f t="shared" si="29"/>
        <v/>
      </c>
      <c r="AA106" s="160" t="str">
        <f t="shared" si="29"/>
        <v/>
      </c>
      <c r="AB106" s="160" t="str">
        <f t="shared" si="29"/>
        <v/>
      </c>
      <c r="AC106" s="160" t="str">
        <f t="shared" si="29"/>
        <v/>
      </c>
      <c r="AD106" s="160" t="str">
        <f t="shared" si="29"/>
        <v/>
      </c>
      <c r="AE106" s="163">
        <f t="shared" si="29"/>
        <v>1</v>
      </c>
      <c r="AF106" s="163">
        <f t="shared" si="29"/>
        <v>1</v>
      </c>
      <c r="AG106" s="163">
        <f t="shared" si="29"/>
        <v>1</v>
      </c>
      <c r="AH106" s="160" t="str">
        <f t="shared" si="29"/>
        <v/>
      </c>
      <c r="AI106" s="160" t="str">
        <f t="shared" si="29"/>
        <v/>
      </c>
      <c r="AJ106" s="160" t="str">
        <f t="shared" si="29"/>
        <v/>
      </c>
      <c r="AK106" s="160" t="str">
        <f t="shared" si="29"/>
        <v/>
      </c>
      <c r="AL106" s="160" t="str">
        <f t="shared" si="29"/>
        <v/>
      </c>
      <c r="AM106" s="160" t="str">
        <f t="shared" si="29"/>
        <v/>
      </c>
      <c r="AN106" s="160">
        <f t="shared" si="29"/>
        <v>1.1000000000000001</v>
      </c>
      <c r="AO106" s="160" t="str">
        <f t="shared" si="29"/>
        <v>Y</v>
      </c>
      <c r="AP106" s="160"/>
      <c r="AQ106" s="160" t="str">
        <f t="shared" si="29"/>
        <v/>
      </c>
      <c r="AR106" s="106"/>
      <c r="AS106" s="106"/>
      <c r="AT106" s="106"/>
    </row>
    <row r="107" spans="1:46" ht="14.25">
      <c r="A107" s="106" t="s">
        <v>563</v>
      </c>
      <c r="B107" s="106" t="s">
        <v>694</v>
      </c>
      <c r="C107" s="106" t="s">
        <v>595</v>
      </c>
      <c r="D107" s="106" t="s">
        <v>471</v>
      </c>
      <c r="E107" s="159" t="str">
        <f t="shared" si="28"/>
        <v>HP-e-groundwater</v>
      </c>
      <c r="F107" s="160" t="str">
        <f t="shared" si="28"/>
        <v>RSDELC</v>
      </c>
      <c r="G107" s="160" t="str">
        <f t="shared" si="28"/>
        <v>GHET</v>
      </c>
      <c r="H107" s="106" t="s">
        <v>686</v>
      </c>
      <c r="I107" s="106"/>
      <c r="J107" s="106"/>
      <c r="K107" s="160">
        <f t="shared" si="29"/>
        <v>25</v>
      </c>
      <c r="L107" s="161">
        <f t="shared" si="29"/>
        <v>25735</v>
      </c>
      <c r="M107" s="161">
        <f t="shared" si="29"/>
        <v>25735</v>
      </c>
      <c r="N107" s="161">
        <f t="shared" si="29"/>
        <v>21647.5</v>
      </c>
      <c r="O107" s="161">
        <f t="shared" si="29"/>
        <v>21647.5</v>
      </c>
      <c r="P107" s="161">
        <f t="shared" si="29"/>
        <v>20012.5</v>
      </c>
      <c r="Q107" s="161">
        <f t="shared" si="29"/>
        <v>300</v>
      </c>
      <c r="R107" s="160" t="str">
        <f t="shared" si="29"/>
        <v/>
      </c>
      <c r="S107" s="169">
        <f t="shared" si="29"/>
        <v>3.52</v>
      </c>
      <c r="T107" s="169">
        <f t="shared" si="29"/>
        <v>3.52</v>
      </c>
      <c r="U107" s="169">
        <f t="shared" si="29"/>
        <v>4.9279999999999999</v>
      </c>
      <c r="V107" s="169">
        <f t="shared" si="29"/>
        <v>4.9279999999999999</v>
      </c>
      <c r="W107" s="169">
        <f t="shared" si="29"/>
        <v>5.2800000000000002</v>
      </c>
      <c r="X107" s="160" t="str">
        <f t="shared" si="29"/>
        <v/>
      </c>
      <c r="Y107" s="160" t="str">
        <f t="shared" si="29"/>
        <v/>
      </c>
      <c r="Z107" s="160" t="str">
        <f t="shared" si="29"/>
        <v/>
      </c>
      <c r="AA107" s="160" t="str">
        <f t="shared" si="29"/>
        <v/>
      </c>
      <c r="AB107" s="160" t="str">
        <f t="shared" si="29"/>
        <v/>
      </c>
      <c r="AC107" s="160" t="str">
        <f t="shared" si="29"/>
        <v/>
      </c>
      <c r="AD107" s="160" t="str">
        <f t="shared" si="29"/>
        <v/>
      </c>
      <c r="AE107" s="163">
        <f t="shared" si="29"/>
        <v>1</v>
      </c>
      <c r="AF107" s="163">
        <f t="shared" si="29"/>
        <v>1</v>
      </c>
      <c r="AG107" s="163" t="str">
        <f t="shared" si="29"/>
        <v/>
      </c>
      <c r="AH107" s="160" t="str">
        <f t="shared" si="29"/>
        <v/>
      </c>
      <c r="AI107" s="160" t="str">
        <f t="shared" si="29"/>
        <v/>
      </c>
      <c r="AJ107" s="160" t="str">
        <f t="shared" si="29"/>
        <v/>
      </c>
      <c r="AK107" s="160" t="str">
        <f t="shared" si="29"/>
        <v/>
      </c>
      <c r="AL107" s="160" t="str">
        <f t="shared" si="29"/>
        <v/>
      </c>
      <c r="AM107" s="160" t="str">
        <f t="shared" si="29"/>
        <v/>
      </c>
      <c r="AN107" s="160" t="str">
        <f t="shared" si="29"/>
        <v/>
      </c>
      <c r="AO107" s="160" t="str">
        <f t="shared" si="29"/>
        <v>Y</v>
      </c>
      <c r="AP107" s="160"/>
      <c r="AQ107" s="160" t="str">
        <f t="shared" si="29"/>
        <v>Drilling costs &amp; heat exchanger</v>
      </c>
      <c r="AR107" s="106"/>
      <c r="AS107" s="106"/>
      <c r="AT107" s="106"/>
    </row>
    <row r="108" spans="1:46" s="125" customFormat="1" ht="14.25">
      <c r="A108" s="118" t="s">
        <v>563</v>
      </c>
      <c r="B108" s="118" t="s">
        <v>695</v>
      </c>
      <c r="C108" s="118" t="s">
        <v>599</v>
      </c>
      <c r="D108" s="118" t="s">
        <v>471</v>
      </c>
      <c r="E108" s="164" t="str">
        <f t="shared" si="28"/>
        <v>HP-e-groundwater + add costs</v>
      </c>
      <c r="F108" s="165" t="str">
        <f t="shared" si="28"/>
        <v>RSDELC</v>
      </c>
      <c r="G108" s="165" t="str">
        <f t="shared" si="28"/>
        <v>GHET</v>
      </c>
      <c r="H108" s="118" t="s">
        <v>690</v>
      </c>
      <c r="I108" s="118"/>
      <c r="J108" s="118"/>
      <c r="K108" s="165">
        <f t="shared" si="29"/>
        <v>25</v>
      </c>
      <c r="L108" s="166">
        <f t="shared" si="29"/>
        <v>28308.500000000004</v>
      </c>
      <c r="M108" s="166">
        <f t="shared" si="29"/>
        <v>28308.500000000004</v>
      </c>
      <c r="N108" s="166">
        <f t="shared" si="29"/>
        <v>23812.250000000004</v>
      </c>
      <c r="O108" s="166">
        <f t="shared" si="29"/>
        <v>23812.250000000004</v>
      </c>
      <c r="P108" s="166">
        <f t="shared" si="29"/>
        <v>22013.75</v>
      </c>
      <c r="Q108" s="166">
        <f t="shared" si="29"/>
        <v>330</v>
      </c>
      <c r="R108" s="165" t="str">
        <f t="shared" si="29"/>
        <v/>
      </c>
      <c r="S108" s="170">
        <f t="shared" si="29"/>
        <v>3.52</v>
      </c>
      <c r="T108" s="170">
        <f t="shared" si="29"/>
        <v>3.52</v>
      </c>
      <c r="U108" s="170">
        <f t="shared" si="29"/>
        <v>4.9279999999999999</v>
      </c>
      <c r="V108" s="170">
        <f t="shared" si="29"/>
        <v>4.9279999999999999</v>
      </c>
      <c r="W108" s="170">
        <f t="shared" si="29"/>
        <v>5.2800000000000002</v>
      </c>
      <c r="X108" s="165" t="str">
        <f t="shared" si="29"/>
        <v/>
      </c>
      <c r="Y108" s="165" t="str">
        <f t="shared" si="29"/>
        <v/>
      </c>
      <c r="Z108" s="165" t="str">
        <f t="shared" si="29"/>
        <v/>
      </c>
      <c r="AA108" s="165" t="str">
        <f t="shared" si="29"/>
        <v/>
      </c>
      <c r="AB108" s="165" t="str">
        <f t="shared" si="29"/>
        <v/>
      </c>
      <c r="AC108" s="165" t="str">
        <f t="shared" si="29"/>
        <v/>
      </c>
      <c r="AD108" s="165" t="str">
        <f t="shared" si="29"/>
        <v/>
      </c>
      <c r="AE108" s="168">
        <f t="shared" si="29"/>
        <v>1</v>
      </c>
      <c r="AF108" s="168">
        <f t="shared" si="29"/>
        <v>1</v>
      </c>
      <c r="AG108" s="168">
        <f t="shared" si="29"/>
        <v>1</v>
      </c>
      <c r="AH108" s="165" t="str">
        <f t="shared" si="29"/>
        <v/>
      </c>
      <c r="AI108" s="165" t="str">
        <f t="shared" si="29"/>
        <v/>
      </c>
      <c r="AJ108" s="165" t="str">
        <f t="shared" si="29"/>
        <v/>
      </c>
      <c r="AK108" s="165" t="str">
        <f t="shared" si="29"/>
        <v/>
      </c>
      <c r="AL108" s="165" t="str">
        <f t="shared" si="29"/>
        <v/>
      </c>
      <c r="AM108" s="165" t="str">
        <f t="shared" si="29"/>
        <v/>
      </c>
      <c r="AN108" s="165">
        <f t="shared" si="29"/>
        <v>1.1000000000000001</v>
      </c>
      <c r="AO108" s="165" t="str">
        <f t="shared" si="29"/>
        <v>Y</v>
      </c>
      <c r="AP108" s="165"/>
      <c r="AQ108" s="165" t="str">
        <f t="shared" si="29"/>
        <v>Drilling costs &amp; heat exchanger</v>
      </c>
      <c r="AR108" s="118"/>
      <c r="AS108" s="118"/>
      <c r="AT108" s="118"/>
    </row>
    <row r="109" spans="1:46" ht="14.25">
      <c r="A109" s="106" t="s">
        <v>601</v>
      </c>
      <c r="B109" s="106" t="s">
        <v>462</v>
      </c>
      <c r="C109" s="106" t="s">
        <v>602</v>
      </c>
      <c r="D109" s="106" t="s">
        <v>471</v>
      </c>
      <c r="E109" s="159" t="str">
        <f t="shared" si="28"/>
        <v>GHP – direct-fired absorption heat pump air/brine to water</v>
      </c>
      <c r="F109" s="160" t="str">
        <f t="shared" si="28"/>
        <v>RSDGAS, RSDLPG, RSDBGS</v>
      </c>
      <c r="G109" s="160" t="str">
        <f t="shared" si="28"/>
        <v>AHET</v>
      </c>
      <c r="H109" s="106" t="s">
        <v>686</v>
      </c>
      <c r="I109" s="106"/>
      <c r="J109" s="106"/>
      <c r="K109" s="160">
        <f t="shared" si="29"/>
        <v>22</v>
      </c>
      <c r="L109" s="161">
        <f t="shared" si="29"/>
        <v>28900</v>
      </c>
      <c r="M109" s="161">
        <f t="shared" si="29"/>
        <v>28900</v>
      </c>
      <c r="N109" s="161">
        <f t="shared" si="29"/>
        <v>27166</v>
      </c>
      <c r="O109" s="161">
        <f t="shared" si="29"/>
        <v>27166</v>
      </c>
      <c r="P109" s="161">
        <f t="shared" si="29"/>
        <v>27166</v>
      </c>
      <c r="Q109" s="161">
        <f t="shared" si="29"/>
        <v>155</v>
      </c>
      <c r="R109" s="160" t="str">
        <f t="shared" si="29"/>
        <v/>
      </c>
      <c r="S109" s="169">
        <f t="shared" si="29"/>
        <v>1.3500000000000001</v>
      </c>
      <c r="T109" s="169">
        <f t="shared" si="29"/>
        <v>1.45</v>
      </c>
      <c r="U109" s="169">
        <f t="shared" si="29"/>
        <v>1.7</v>
      </c>
      <c r="V109" s="169">
        <f t="shared" si="29"/>
        <v>1.7</v>
      </c>
      <c r="W109" s="169">
        <f t="shared" si="29"/>
        <v>1.7</v>
      </c>
      <c r="X109" s="160" t="str">
        <f t="shared" si="29"/>
        <v/>
      </c>
      <c r="Y109" s="160" t="str">
        <f t="shared" si="29"/>
        <v/>
      </c>
      <c r="Z109" s="160" t="str">
        <f t="shared" si="29"/>
        <v/>
      </c>
      <c r="AA109" s="160" t="str">
        <f t="shared" si="29"/>
        <v/>
      </c>
      <c r="AB109" s="160" t="str">
        <f t="shared" si="29"/>
        <v/>
      </c>
      <c r="AC109" s="160" t="str">
        <f t="shared" si="29"/>
        <v/>
      </c>
      <c r="AD109" s="160" t="str">
        <f t="shared" si="29"/>
        <v/>
      </c>
      <c r="AE109" s="163">
        <f t="shared" si="29"/>
        <v>1</v>
      </c>
      <c r="AF109" s="163">
        <f t="shared" si="29"/>
        <v>1</v>
      </c>
      <c r="AG109" s="163" t="str">
        <f t="shared" si="29"/>
        <v/>
      </c>
      <c r="AH109" s="160" t="str">
        <f t="shared" si="29"/>
        <v/>
      </c>
      <c r="AI109" s="160" t="str">
        <f t="shared" si="29"/>
        <v/>
      </c>
      <c r="AJ109" s="160" t="str">
        <f t="shared" si="29"/>
        <v/>
      </c>
      <c r="AK109" s="160" t="str">
        <f t="shared" si="29"/>
        <v/>
      </c>
      <c r="AL109" s="160" t="str">
        <f t="shared" si="29"/>
        <v/>
      </c>
      <c r="AM109" s="160" t="str">
        <f t="shared" si="29"/>
        <v/>
      </c>
      <c r="AN109" s="160" t="str">
        <f t="shared" si="29"/>
        <v/>
      </c>
      <c r="AO109" s="160" t="str">
        <f t="shared" si="29"/>
        <v/>
      </c>
      <c r="AP109" s="160"/>
      <c r="AQ109" s="160" t="str">
        <f t="shared" si="30" ref="AQ109">IF(AQ27="","",AQ27)</f>
        <v/>
      </c>
      <c r="AR109" s="106"/>
      <c r="AS109" s="106"/>
      <c r="AT109" s="106"/>
    </row>
    <row r="110" spans="1:46" ht="14.25">
      <c r="A110" s="106" t="s">
        <v>601</v>
      </c>
      <c r="B110" s="106" t="s">
        <v>463</v>
      </c>
      <c r="C110" s="106" t="s">
        <v>606</v>
      </c>
      <c r="D110" s="106" t="s">
        <v>471</v>
      </c>
      <c r="E110" s="159" t="str">
        <f t="shared" si="28"/>
        <v>GHP – direct-fired absorption heat pump air/brine to water + add costs</v>
      </c>
      <c r="F110" s="160" t="str">
        <f t="shared" si="28"/>
        <v>RSDGAS, RSDLPG, RSDBGS</v>
      </c>
      <c r="G110" s="160" t="str">
        <f t="shared" si="28"/>
        <v>AHET</v>
      </c>
      <c r="H110" s="106" t="s">
        <v>690</v>
      </c>
      <c r="I110" s="106"/>
      <c r="J110" s="106"/>
      <c r="K110" s="160">
        <f t="shared" si="31" ref="K110:AQ117">IF(K28="","",K28)</f>
        <v>22</v>
      </c>
      <c r="L110" s="161">
        <f t="shared" si="31"/>
        <v>31790.000000000004</v>
      </c>
      <c r="M110" s="161">
        <f t="shared" si="31"/>
        <v>31790.000000000004</v>
      </c>
      <c r="N110" s="161">
        <f t="shared" si="31"/>
        <v>29882.600000000002</v>
      </c>
      <c r="O110" s="161">
        <f t="shared" si="31"/>
        <v>29882.600000000002</v>
      </c>
      <c r="P110" s="161">
        <f t="shared" si="31"/>
        <v>29882.600000000002</v>
      </c>
      <c r="Q110" s="161">
        <f t="shared" si="31"/>
        <v>170.5</v>
      </c>
      <c r="R110" s="160" t="str">
        <f t="shared" si="31"/>
        <v/>
      </c>
      <c r="S110" s="169">
        <f t="shared" si="31"/>
        <v>1.3500000000000001</v>
      </c>
      <c r="T110" s="169">
        <f t="shared" si="31"/>
        <v>1.45</v>
      </c>
      <c r="U110" s="169">
        <f t="shared" si="31"/>
        <v>1.7</v>
      </c>
      <c r="V110" s="169">
        <f t="shared" si="31"/>
        <v>1.7</v>
      </c>
      <c r="W110" s="169">
        <f t="shared" si="31"/>
        <v>1.7</v>
      </c>
      <c r="X110" s="160" t="str">
        <f t="shared" si="31"/>
        <v/>
      </c>
      <c r="Y110" s="160" t="str">
        <f t="shared" si="31"/>
        <v/>
      </c>
      <c r="Z110" s="160" t="str">
        <f t="shared" si="31"/>
        <v/>
      </c>
      <c r="AA110" s="160" t="str">
        <f t="shared" si="31"/>
        <v/>
      </c>
      <c r="AB110" s="160" t="str">
        <f t="shared" si="31"/>
        <v/>
      </c>
      <c r="AC110" s="160" t="str">
        <f t="shared" si="31"/>
        <v/>
      </c>
      <c r="AD110" s="160" t="str">
        <f t="shared" si="31"/>
        <v/>
      </c>
      <c r="AE110" s="163">
        <f t="shared" si="31"/>
        <v>1</v>
      </c>
      <c r="AF110" s="163">
        <f t="shared" si="31"/>
        <v>1</v>
      </c>
      <c r="AG110" s="163">
        <f t="shared" si="31"/>
        <v>1</v>
      </c>
      <c r="AH110" s="160" t="str">
        <f t="shared" si="31"/>
        <v/>
      </c>
      <c r="AI110" s="160" t="str">
        <f t="shared" si="31"/>
        <v/>
      </c>
      <c r="AJ110" s="160" t="str">
        <f t="shared" si="31"/>
        <v/>
      </c>
      <c r="AK110" s="160" t="str">
        <f t="shared" si="31"/>
        <v/>
      </c>
      <c r="AL110" s="160" t="str">
        <f t="shared" si="31"/>
        <v/>
      </c>
      <c r="AM110" s="160" t="str">
        <f t="shared" si="31"/>
        <v/>
      </c>
      <c r="AN110" s="160">
        <f t="shared" si="31"/>
        <v>1.1000000000000001</v>
      </c>
      <c r="AO110" s="160" t="str">
        <f t="shared" si="31"/>
        <v/>
      </c>
      <c r="AP110" s="160"/>
      <c r="AQ110" s="160" t="str">
        <f t="shared" si="31"/>
        <v/>
      </c>
      <c r="AR110" s="106"/>
      <c r="AS110" s="106"/>
      <c r="AT110" s="106"/>
    </row>
    <row r="111" spans="1:46" ht="14.25">
      <c r="A111" s="106" t="s">
        <v>601</v>
      </c>
      <c r="B111" s="106" t="s">
        <v>464</v>
      </c>
      <c r="C111" s="106" t="s">
        <v>607</v>
      </c>
      <c r="D111" s="106" t="s">
        <v>471</v>
      </c>
      <c r="E111" s="159" t="str">
        <f t="shared" si="28"/>
        <v>GHP – adsorption heat pump brine to water + Solar thermal collectors</v>
      </c>
      <c r="F111" s="160" t="str">
        <f t="shared" si="28"/>
        <v>RSDGAS, RSDLPG, RSDBGS</v>
      </c>
      <c r="G111" s="160" t="str">
        <f t="shared" si="28"/>
        <v>AHET</v>
      </c>
      <c r="H111" s="106" t="s">
        <v>686</v>
      </c>
      <c r="I111" s="106"/>
      <c r="J111" s="106"/>
      <c r="K111" s="160">
        <f t="shared" si="31"/>
        <v>20</v>
      </c>
      <c r="L111" s="161">
        <f t="shared" si="31"/>
        <v>19496</v>
      </c>
      <c r="M111" s="161">
        <f t="shared" si="31"/>
        <v>19496</v>
      </c>
      <c r="N111" s="161">
        <f t="shared" si="31"/>
        <v>19496</v>
      </c>
      <c r="O111" s="161">
        <f t="shared" si="31"/>
        <v>19496</v>
      </c>
      <c r="P111" s="161">
        <f t="shared" si="31"/>
        <v>19496</v>
      </c>
      <c r="Q111" s="161">
        <f t="shared" si="31"/>
        <v>272</v>
      </c>
      <c r="R111" s="160" t="str">
        <f t="shared" si="31"/>
        <v/>
      </c>
      <c r="S111" s="169">
        <f t="shared" si="31"/>
        <v>1.1200000000000001</v>
      </c>
      <c r="T111" s="169">
        <f t="shared" si="31"/>
        <v>1.1200000000000001</v>
      </c>
      <c r="U111" s="169">
        <f t="shared" si="31"/>
        <v>1.1200000000000001</v>
      </c>
      <c r="V111" s="169">
        <f t="shared" si="31"/>
        <v>1.1200000000000001</v>
      </c>
      <c r="W111" s="169">
        <f t="shared" si="31"/>
        <v>1.1200000000000001</v>
      </c>
      <c r="X111" s="160" t="str">
        <f t="shared" si="31"/>
        <v/>
      </c>
      <c r="Y111" s="160" t="str">
        <f t="shared" si="31"/>
        <v/>
      </c>
      <c r="Z111" s="160" t="str">
        <f t="shared" si="31"/>
        <v/>
      </c>
      <c r="AA111" s="160" t="str">
        <f t="shared" si="31"/>
        <v/>
      </c>
      <c r="AB111" s="160" t="str">
        <f t="shared" si="31"/>
        <v/>
      </c>
      <c r="AC111" s="160" t="str">
        <f t="shared" si="31"/>
        <v/>
      </c>
      <c r="AD111" s="160" t="str">
        <f t="shared" si="31"/>
        <v/>
      </c>
      <c r="AE111" s="163">
        <f t="shared" si="31"/>
        <v>1</v>
      </c>
      <c r="AF111" s="163">
        <f t="shared" si="31"/>
        <v>1</v>
      </c>
      <c r="AG111" s="163" t="str">
        <f t="shared" si="31"/>
        <v/>
      </c>
      <c r="AH111" s="160" t="str">
        <f t="shared" si="31"/>
        <v/>
      </c>
      <c r="AI111" s="160" t="str">
        <f t="shared" si="31"/>
        <v/>
      </c>
      <c r="AJ111" s="160" t="str">
        <f t="shared" si="31"/>
        <v/>
      </c>
      <c r="AK111" s="160" t="str">
        <f t="shared" si="31"/>
        <v/>
      </c>
      <c r="AL111" s="160" t="str">
        <f t="shared" si="31"/>
        <v/>
      </c>
      <c r="AM111" s="160" t="str">
        <f t="shared" si="31"/>
        <v/>
      </c>
      <c r="AN111" s="160" t="str">
        <f t="shared" si="31"/>
        <v/>
      </c>
      <c r="AO111" s="160" t="str">
        <f t="shared" si="31"/>
        <v/>
      </c>
      <c r="AP111" s="160"/>
      <c r="AQ111" s="160" t="str">
        <f t="shared" si="31"/>
        <v/>
      </c>
      <c r="AR111" s="106"/>
      <c r="AS111" s="106"/>
      <c r="AT111" s="106"/>
    </row>
    <row r="112" spans="1:46" ht="14.25">
      <c r="A112" s="106" t="s">
        <v>601</v>
      </c>
      <c r="B112" s="106" t="s">
        <v>696</v>
      </c>
      <c r="C112" s="106" t="s">
        <v>609</v>
      </c>
      <c r="D112" s="106" t="s">
        <v>471</v>
      </c>
      <c r="E112" s="159" t="str">
        <f t="shared" si="28"/>
        <v>GHP – adsorption heat pump brine to water + Solar thermal collectors + add costs</v>
      </c>
      <c r="F112" s="160" t="str">
        <f t="shared" si="28"/>
        <v>RSDGAS, RSDLPG, RSDBGS</v>
      </c>
      <c r="G112" s="160" t="str">
        <f t="shared" si="28"/>
        <v>AHET</v>
      </c>
      <c r="H112" s="106" t="s">
        <v>690</v>
      </c>
      <c r="I112" s="106"/>
      <c r="J112" s="106"/>
      <c r="K112" s="160">
        <f t="shared" si="31"/>
        <v>20</v>
      </c>
      <c r="L112" s="161">
        <f t="shared" si="31"/>
        <v>21445.600000000002</v>
      </c>
      <c r="M112" s="161">
        <f t="shared" si="31"/>
        <v>21445.600000000002</v>
      </c>
      <c r="N112" s="161">
        <f t="shared" si="31"/>
        <v>21445.600000000002</v>
      </c>
      <c r="O112" s="161">
        <f t="shared" si="31"/>
        <v>21445.600000000002</v>
      </c>
      <c r="P112" s="161">
        <f t="shared" si="31"/>
        <v>21445.600000000002</v>
      </c>
      <c r="Q112" s="161">
        <f t="shared" si="31"/>
        <v>299.20000000000005</v>
      </c>
      <c r="R112" s="160" t="str">
        <f t="shared" si="31"/>
        <v/>
      </c>
      <c r="S112" s="169">
        <f t="shared" si="31"/>
        <v>1.1200000000000001</v>
      </c>
      <c r="T112" s="169">
        <f t="shared" si="31"/>
        <v>1.1200000000000001</v>
      </c>
      <c r="U112" s="169">
        <f t="shared" si="31"/>
        <v>1.1200000000000001</v>
      </c>
      <c r="V112" s="169">
        <f t="shared" si="31"/>
        <v>1.1200000000000001</v>
      </c>
      <c r="W112" s="169">
        <f t="shared" si="31"/>
        <v>1.1200000000000001</v>
      </c>
      <c r="X112" s="160" t="str">
        <f t="shared" si="31"/>
        <v/>
      </c>
      <c r="Y112" s="160" t="str">
        <f t="shared" si="31"/>
        <v/>
      </c>
      <c r="Z112" s="160" t="str">
        <f t="shared" si="31"/>
        <v/>
      </c>
      <c r="AA112" s="160" t="str">
        <f t="shared" si="31"/>
        <v/>
      </c>
      <c r="AB112" s="160" t="str">
        <f t="shared" si="31"/>
        <v/>
      </c>
      <c r="AC112" s="160" t="str">
        <f t="shared" si="31"/>
        <v/>
      </c>
      <c r="AD112" s="160" t="str">
        <f t="shared" si="31"/>
        <v/>
      </c>
      <c r="AE112" s="163">
        <f t="shared" si="31"/>
        <v>1</v>
      </c>
      <c r="AF112" s="163">
        <f t="shared" si="31"/>
        <v>1</v>
      </c>
      <c r="AG112" s="163">
        <f t="shared" si="31"/>
        <v>1</v>
      </c>
      <c r="AH112" s="160" t="str">
        <f t="shared" si="31"/>
        <v/>
      </c>
      <c r="AI112" s="160" t="str">
        <f t="shared" si="31"/>
        <v/>
      </c>
      <c r="AJ112" s="160" t="str">
        <f t="shared" si="31"/>
        <v/>
      </c>
      <c r="AK112" s="160" t="str">
        <f t="shared" si="31"/>
        <v/>
      </c>
      <c r="AL112" s="160" t="str">
        <f t="shared" si="31"/>
        <v/>
      </c>
      <c r="AM112" s="160" t="str">
        <f t="shared" si="31"/>
        <v/>
      </c>
      <c r="AN112" s="160">
        <f t="shared" si="31"/>
        <v>1.1000000000000001</v>
      </c>
      <c r="AO112" s="160" t="str">
        <f t="shared" si="31"/>
        <v/>
      </c>
      <c r="AP112" s="160"/>
      <c r="AQ112" s="160" t="str">
        <f t="shared" si="31"/>
        <v/>
      </c>
      <c r="AR112" s="106"/>
      <c r="AS112" s="106"/>
      <c r="AT112" s="106"/>
    </row>
    <row r="113" spans="1:46" ht="14.25">
      <c r="A113" s="106" t="s">
        <v>601</v>
      </c>
      <c r="B113" s="106" t="s">
        <v>697</v>
      </c>
      <c r="C113" s="106" t="s">
        <v>611</v>
      </c>
      <c r="D113" s="106" t="s">
        <v>471</v>
      </c>
      <c r="E113" s="159" t="str">
        <f t="shared" si="28"/>
        <v>GHP – gas engine driven heat pump air/brine to water</v>
      </c>
      <c r="F113" s="160" t="str">
        <f t="shared" si="28"/>
        <v>RSDGAS, RSDLPG, RSDBGS</v>
      </c>
      <c r="G113" s="160" t="str">
        <f t="shared" si="28"/>
        <v>AHET</v>
      </c>
      <c r="H113" s="106" t="s">
        <v>686</v>
      </c>
      <c r="I113" s="106"/>
      <c r="J113" s="106"/>
      <c r="K113" s="160">
        <f t="shared" si="31"/>
        <v>20</v>
      </c>
      <c r="L113" s="161">
        <f t="shared" si="31"/>
        <v>47500</v>
      </c>
      <c r="M113" s="161">
        <f t="shared" si="31"/>
        <v>47500</v>
      </c>
      <c r="N113" s="161">
        <f t="shared" si="31"/>
        <v>47500</v>
      </c>
      <c r="O113" s="161">
        <f t="shared" si="31"/>
        <v>47500</v>
      </c>
      <c r="P113" s="161">
        <f t="shared" si="31"/>
        <v>47500</v>
      </c>
      <c r="Q113" s="161">
        <f t="shared" si="31"/>
        <v>135</v>
      </c>
      <c r="R113" s="160" t="str">
        <f t="shared" si="31"/>
        <v/>
      </c>
      <c r="S113" s="169">
        <f t="shared" si="31"/>
        <v>1.5</v>
      </c>
      <c r="T113" s="169">
        <f t="shared" si="31"/>
        <v>1.55</v>
      </c>
      <c r="U113" s="169">
        <f t="shared" si="31"/>
        <v>1.55</v>
      </c>
      <c r="V113" s="169">
        <f t="shared" si="31"/>
        <v>1.6000000000000001</v>
      </c>
      <c r="W113" s="169">
        <f t="shared" si="31"/>
        <v>1.6000000000000001</v>
      </c>
      <c r="X113" s="160" t="str">
        <f t="shared" si="31"/>
        <v/>
      </c>
      <c r="Y113" s="160" t="str">
        <f t="shared" si="31"/>
        <v/>
      </c>
      <c r="Z113" s="160" t="str">
        <f t="shared" si="31"/>
        <v/>
      </c>
      <c r="AA113" s="160" t="str">
        <f t="shared" si="31"/>
        <v/>
      </c>
      <c r="AB113" s="160" t="str">
        <f t="shared" si="31"/>
        <v/>
      </c>
      <c r="AC113" s="160" t="str">
        <f t="shared" si="31"/>
        <v/>
      </c>
      <c r="AD113" s="160" t="str">
        <f t="shared" si="31"/>
        <v/>
      </c>
      <c r="AE113" s="163">
        <f t="shared" si="31"/>
        <v>1</v>
      </c>
      <c r="AF113" s="163">
        <f t="shared" si="31"/>
        <v>1</v>
      </c>
      <c r="AG113" s="163" t="str">
        <f t="shared" si="31"/>
        <v/>
      </c>
      <c r="AH113" s="160" t="str">
        <f t="shared" si="31"/>
        <v/>
      </c>
      <c r="AI113" s="160" t="str">
        <f t="shared" si="31"/>
        <v/>
      </c>
      <c r="AJ113" s="160" t="str">
        <f t="shared" si="31"/>
        <v/>
      </c>
      <c r="AK113" s="160" t="str">
        <f t="shared" si="31"/>
        <v/>
      </c>
      <c r="AL113" s="160" t="str">
        <f t="shared" si="31"/>
        <v/>
      </c>
      <c r="AM113" s="160" t="str">
        <f t="shared" si="31"/>
        <v/>
      </c>
      <c r="AN113" s="160" t="str">
        <f t="shared" si="31"/>
        <v/>
      </c>
      <c r="AO113" s="160" t="str">
        <f t="shared" si="31"/>
        <v/>
      </c>
      <c r="AP113" s="160"/>
      <c r="AQ113" s="160" t="str">
        <f t="shared" si="31"/>
        <v>Data missing. NE data used</v>
      </c>
      <c r="AR113" s="106"/>
      <c r="AS113" s="106"/>
      <c r="AT113" s="106"/>
    </row>
    <row r="114" spans="1:46" s="125" customFormat="1" ht="14.25">
      <c r="A114" s="118" t="s">
        <v>601</v>
      </c>
      <c r="B114" s="118" t="s">
        <v>465</v>
      </c>
      <c r="C114" s="118" t="s">
        <v>614</v>
      </c>
      <c r="D114" s="118" t="s">
        <v>471</v>
      </c>
      <c r="E114" s="164" t="str">
        <f t="shared" si="28"/>
        <v>GHP – gas engine driven heat pump air/brine to water + add costs</v>
      </c>
      <c r="F114" s="165" t="str">
        <f t="shared" si="28"/>
        <v>RSDGAS, RSDLPG, RSDBGS</v>
      </c>
      <c r="G114" s="165" t="str">
        <f t="shared" si="28"/>
        <v>AHET</v>
      </c>
      <c r="H114" s="118" t="s">
        <v>690</v>
      </c>
      <c r="I114" s="118"/>
      <c r="J114" s="118"/>
      <c r="K114" s="165">
        <f t="shared" si="31"/>
        <v>20</v>
      </c>
      <c r="L114" s="166">
        <f t="shared" si="31"/>
        <v>52250.000000000007</v>
      </c>
      <c r="M114" s="166">
        <f t="shared" si="31"/>
        <v>52250.000000000007</v>
      </c>
      <c r="N114" s="166">
        <f t="shared" si="31"/>
        <v>52250.000000000007</v>
      </c>
      <c r="O114" s="166">
        <f t="shared" si="31"/>
        <v>52250.000000000007</v>
      </c>
      <c r="P114" s="166">
        <f t="shared" si="31"/>
        <v>52250.000000000007</v>
      </c>
      <c r="Q114" s="166">
        <f t="shared" si="31"/>
        <v>148.5</v>
      </c>
      <c r="R114" s="165" t="str">
        <f t="shared" si="31"/>
        <v/>
      </c>
      <c r="S114" s="170">
        <f t="shared" si="31"/>
        <v>1.5</v>
      </c>
      <c r="T114" s="170">
        <f t="shared" si="31"/>
        <v>1.55</v>
      </c>
      <c r="U114" s="170">
        <f t="shared" si="31"/>
        <v>1.55</v>
      </c>
      <c r="V114" s="170">
        <f t="shared" si="31"/>
        <v>1.6000000000000001</v>
      </c>
      <c r="W114" s="170">
        <f t="shared" si="31"/>
        <v>1.6000000000000001</v>
      </c>
      <c r="X114" s="165" t="str">
        <f t="shared" si="31"/>
        <v/>
      </c>
      <c r="Y114" s="165" t="str">
        <f t="shared" si="31"/>
        <v/>
      </c>
      <c r="Z114" s="165" t="str">
        <f t="shared" si="31"/>
        <v/>
      </c>
      <c r="AA114" s="165" t="str">
        <f t="shared" si="31"/>
        <v/>
      </c>
      <c r="AB114" s="165" t="str">
        <f t="shared" si="31"/>
        <v/>
      </c>
      <c r="AC114" s="165" t="str">
        <f t="shared" si="31"/>
        <v/>
      </c>
      <c r="AD114" s="165" t="str">
        <f t="shared" si="31"/>
        <v/>
      </c>
      <c r="AE114" s="168">
        <f t="shared" si="31"/>
        <v>1</v>
      </c>
      <c r="AF114" s="168">
        <f t="shared" si="31"/>
        <v>1</v>
      </c>
      <c r="AG114" s="168">
        <f t="shared" si="31"/>
        <v>1</v>
      </c>
      <c r="AH114" s="165" t="str">
        <f t="shared" si="31"/>
        <v/>
      </c>
      <c r="AI114" s="165" t="str">
        <f t="shared" si="31"/>
        <v/>
      </c>
      <c r="AJ114" s="165" t="str">
        <f t="shared" si="31"/>
        <v/>
      </c>
      <c r="AK114" s="165" t="str">
        <f t="shared" si="31"/>
        <v/>
      </c>
      <c r="AL114" s="165" t="str">
        <f t="shared" si="31"/>
        <v/>
      </c>
      <c r="AM114" s="165" t="str">
        <f t="shared" si="31"/>
        <v/>
      </c>
      <c r="AN114" s="165">
        <f t="shared" si="31"/>
        <v>1.1000000000000001</v>
      </c>
      <c r="AO114" s="165" t="str">
        <f t="shared" si="31"/>
        <v/>
      </c>
      <c r="AP114" s="165"/>
      <c r="AQ114" s="165" t="str">
        <f t="shared" si="31"/>
        <v/>
      </c>
      <c r="AR114" s="118"/>
      <c r="AS114" s="118"/>
      <c r="AT114" s="118"/>
    </row>
    <row r="115" spans="1:46" ht="14.25">
      <c r="A115" s="102" t="s">
        <v>615</v>
      </c>
      <c r="B115" s="106" t="s">
        <v>698</v>
      </c>
      <c r="C115" s="106" t="s">
        <v>617</v>
      </c>
      <c r="D115" s="106" t="s">
        <v>471</v>
      </c>
      <c r="E115" s="159" t="str">
        <f t="shared" si="28"/>
        <v>CHP engines – micro turbine</v>
      </c>
      <c r="F115" s="160" t="str">
        <f t="shared" si="28"/>
        <v>RSDGAS, RSDLPG, RSDBGS</v>
      </c>
      <c r="G115" s="160" t="str">
        <f t="shared" si="28"/>
        <v/>
      </c>
      <c r="H115" s="106" t="s">
        <v>699</v>
      </c>
      <c r="I115" s="106"/>
      <c r="J115" s="106"/>
      <c r="K115" s="160">
        <f t="shared" si="31"/>
        <v>10</v>
      </c>
      <c r="L115" s="161">
        <f t="shared" si="31"/>
        <v>103980</v>
      </c>
      <c r="M115" s="161">
        <f t="shared" si="31"/>
        <v>103980</v>
      </c>
      <c r="N115" s="161">
        <f t="shared" si="31"/>
        <v>77985</v>
      </c>
      <c r="O115" s="161">
        <f t="shared" si="31"/>
        <v>77985</v>
      </c>
      <c r="P115" s="161">
        <f t="shared" si="31"/>
        <v>62388</v>
      </c>
      <c r="Q115" s="161" t="str">
        <f t="shared" si="31"/>
        <v/>
      </c>
      <c r="R115" s="160" t="str">
        <f t="shared" si="31"/>
        <v/>
      </c>
      <c r="S115" s="162">
        <f t="shared" si="31"/>
        <v>0.26000000000000001</v>
      </c>
      <c r="T115" s="162">
        <f t="shared" si="31"/>
        <v>0.26000000000000001</v>
      </c>
      <c r="U115" s="162">
        <f t="shared" si="31"/>
        <v>0.26000000000000001</v>
      </c>
      <c r="V115" s="162">
        <f t="shared" si="31"/>
        <v>0.26000000000000001</v>
      </c>
      <c r="W115" s="162">
        <f t="shared" si="31"/>
        <v>0.26000000000000001</v>
      </c>
      <c r="X115" s="160" t="str">
        <f t="shared" si="31"/>
        <v/>
      </c>
      <c r="Y115" s="160" t="str">
        <f t="shared" si="31"/>
        <v/>
      </c>
      <c r="Z115" s="160" t="str">
        <f t="shared" si="31"/>
        <v/>
      </c>
      <c r="AA115" s="160" t="str">
        <f t="shared" si="31"/>
        <v/>
      </c>
      <c r="AB115" s="160" t="str">
        <f t="shared" si="31"/>
        <v/>
      </c>
      <c r="AC115" s="160" t="str">
        <f t="shared" si="31"/>
        <v/>
      </c>
      <c r="AD115" s="160" t="str">
        <f t="shared" si="31"/>
        <v/>
      </c>
      <c r="AE115" s="163">
        <f t="shared" si="31"/>
        <v>0.59999999999999998</v>
      </c>
      <c r="AF115" s="163" t="str">
        <f t="shared" si="31"/>
        <v/>
      </c>
      <c r="AG115" s="163" t="str">
        <f t="shared" si="31"/>
        <v/>
      </c>
      <c r="AH115" s="160">
        <f t="shared" si="31"/>
        <v>2.4615384615384617</v>
      </c>
      <c r="AI115" s="160">
        <f t="shared" si="31"/>
        <v>2.4615384615384617</v>
      </c>
      <c r="AJ115" s="160">
        <f t="shared" si="31"/>
        <v>2.4615384615384617</v>
      </c>
      <c r="AK115" s="160">
        <f t="shared" si="31"/>
        <v>0.90000000000000002</v>
      </c>
      <c r="AL115" s="160">
        <f t="shared" si="31"/>
        <v>0.90000000000000002</v>
      </c>
      <c r="AM115" s="160">
        <f t="shared" si="31"/>
        <v>0.90000000000000002</v>
      </c>
      <c r="AN115" s="160" t="str">
        <f t="shared" si="31"/>
        <v/>
      </c>
      <c r="AO115" s="160" t="str">
        <f t="shared" si="31"/>
        <v>n/a</v>
      </c>
      <c r="AP115" s="160"/>
      <c r="AQ115" s="160" t="str">
        <f t="shared" si="31"/>
        <v/>
      </c>
      <c r="AR115" s="106"/>
      <c r="AS115" s="106"/>
      <c r="AT115" s="106"/>
    </row>
    <row r="116" spans="1:46" ht="14.25">
      <c r="A116" s="102" t="s">
        <v>615</v>
      </c>
      <c r="B116" s="106" t="s">
        <v>700</v>
      </c>
      <c r="C116" s="106" t="s">
        <v>677</v>
      </c>
      <c r="D116" s="106" t="s">
        <v>471</v>
      </c>
      <c r="E116" s="159" t="str">
        <f t="shared" si="28"/>
        <v>CHP engines – micro turbine</v>
      </c>
      <c r="F116" s="160" t="str">
        <f t="shared" si="28"/>
        <v>RSDOIL, RSDBDL</v>
      </c>
      <c r="G116" s="160" t="str">
        <f t="shared" si="28"/>
        <v/>
      </c>
      <c r="H116" s="106" t="s">
        <v>699</v>
      </c>
      <c r="I116" s="106"/>
      <c r="J116" s="106"/>
      <c r="K116" s="160">
        <f t="shared" si="31"/>
        <v>10</v>
      </c>
      <c r="L116" s="161">
        <f t="shared" si="31"/>
        <v>103980</v>
      </c>
      <c r="M116" s="161">
        <f t="shared" si="31"/>
        <v>103980</v>
      </c>
      <c r="N116" s="161">
        <f t="shared" si="31"/>
        <v>77985</v>
      </c>
      <c r="O116" s="161">
        <f t="shared" si="31"/>
        <v>77985</v>
      </c>
      <c r="P116" s="161">
        <f t="shared" si="31"/>
        <v>62388</v>
      </c>
      <c r="Q116" s="161" t="str">
        <f t="shared" si="31"/>
        <v/>
      </c>
      <c r="R116" s="160" t="str">
        <f t="shared" si="31"/>
        <v/>
      </c>
      <c r="S116" s="162">
        <f t="shared" si="31"/>
        <v>0.26000000000000001</v>
      </c>
      <c r="T116" s="162">
        <f t="shared" si="31"/>
        <v>0.26000000000000001</v>
      </c>
      <c r="U116" s="162">
        <f t="shared" si="31"/>
        <v>0.26000000000000001</v>
      </c>
      <c r="V116" s="162">
        <f t="shared" si="31"/>
        <v>0.26000000000000001</v>
      </c>
      <c r="W116" s="162">
        <f t="shared" si="31"/>
        <v>0.26000000000000001</v>
      </c>
      <c r="X116" s="160" t="str">
        <f t="shared" si="31"/>
        <v/>
      </c>
      <c r="Y116" s="160" t="str">
        <f t="shared" si="31"/>
        <v/>
      </c>
      <c r="Z116" s="160" t="str">
        <f t="shared" si="31"/>
        <v/>
      </c>
      <c r="AA116" s="160" t="str">
        <f t="shared" si="31"/>
        <v/>
      </c>
      <c r="AB116" s="160" t="str">
        <f t="shared" si="31"/>
        <v/>
      </c>
      <c r="AC116" s="160" t="str">
        <f t="shared" si="31"/>
        <v/>
      </c>
      <c r="AD116" s="160" t="str">
        <f t="shared" si="31"/>
        <v/>
      </c>
      <c r="AE116" s="163">
        <f t="shared" si="31"/>
        <v>0.59999999999999998</v>
      </c>
      <c r="AF116" s="163" t="str">
        <f t="shared" si="31"/>
        <v/>
      </c>
      <c r="AG116" s="163" t="str">
        <f t="shared" si="31"/>
        <v/>
      </c>
      <c r="AH116" s="160">
        <f t="shared" si="31"/>
        <v>2.4615384615384617</v>
      </c>
      <c r="AI116" s="160">
        <f t="shared" si="31"/>
        <v>2.4615384615384617</v>
      </c>
      <c r="AJ116" s="160">
        <f t="shared" si="31"/>
        <v>2.4615384615384617</v>
      </c>
      <c r="AK116" s="160">
        <f t="shared" si="31"/>
        <v>0.90000000000000002</v>
      </c>
      <c r="AL116" s="160">
        <f t="shared" si="31"/>
        <v>0.90000000000000002</v>
      </c>
      <c r="AM116" s="160">
        <f t="shared" si="31"/>
        <v>0.90000000000000002</v>
      </c>
      <c r="AN116" s="160" t="str">
        <f t="shared" si="31"/>
        <v/>
      </c>
      <c r="AO116" s="160" t="str">
        <f t="shared" si="31"/>
        <v/>
      </c>
      <c r="AP116" s="160"/>
      <c r="AQ116" s="160" t="str">
        <f t="shared" si="31"/>
        <v/>
      </c>
      <c r="AR116" s="106"/>
      <c r="AS116" s="106"/>
      <c r="AT116" s="106"/>
    </row>
    <row r="117" spans="1:46" ht="14.25">
      <c r="A117" s="102" t="s">
        <v>615</v>
      </c>
      <c r="B117" s="106" t="s">
        <v>701</v>
      </c>
      <c r="C117" s="106" t="s">
        <v>624</v>
      </c>
      <c r="D117" s="106" t="s">
        <v>471</v>
      </c>
      <c r="E117" s="159" t="str">
        <f t="shared" si="28"/>
        <v>CHP engines – internal combustion engine, natural gas</v>
      </c>
      <c r="F117" s="160" t="str">
        <f t="shared" si="28"/>
        <v>RSDGAS, RSDLPG, RSDBGS</v>
      </c>
      <c r="G117" s="160" t="str">
        <f t="shared" si="28"/>
        <v/>
      </c>
      <c r="H117" s="106" t="s">
        <v>699</v>
      </c>
      <c r="I117" s="106"/>
      <c r="J117" s="106"/>
      <c r="K117" s="160">
        <f t="shared" si="31"/>
        <v>10</v>
      </c>
      <c r="L117" s="161">
        <f t="shared" si="31"/>
        <v>23200</v>
      </c>
      <c r="M117" s="161">
        <f t="shared" si="31"/>
        <v>19070</v>
      </c>
      <c r="N117" s="161">
        <f t="shared" si="31"/>
        <v>16385.5</v>
      </c>
      <c r="O117" s="161">
        <f t="shared" si="31"/>
        <v>16385.5</v>
      </c>
      <c r="P117" s="161">
        <f t="shared" si="31"/>
        <v>16385.5</v>
      </c>
      <c r="Q117" s="161">
        <f t="shared" si="31"/>
        <v>310</v>
      </c>
      <c r="R117" s="160" t="str">
        <f t="shared" si="31"/>
        <v/>
      </c>
      <c r="S117" s="162">
        <f t="shared" si="31"/>
        <v>0.20000000000000001</v>
      </c>
      <c r="T117" s="162">
        <f t="shared" si="31"/>
        <v>0.22</v>
      </c>
      <c r="U117" s="162">
        <f t="shared" si="31"/>
        <v>0.25</v>
      </c>
      <c r="V117" s="162" t="str">
        <f t="shared" si="31"/>
        <v/>
      </c>
      <c r="W117" s="162" t="str">
        <f t="shared" si="31"/>
        <v/>
      </c>
      <c r="X117" s="160" t="str">
        <f t="shared" si="31"/>
        <v/>
      </c>
      <c r="Y117" s="160" t="str">
        <f t="shared" si="31"/>
        <v/>
      </c>
      <c r="Z117" s="160" t="str">
        <f t="shared" si="31"/>
        <v/>
      </c>
      <c r="AA117" s="160" t="str">
        <f t="shared" si="31"/>
        <v/>
      </c>
      <c r="AB117" s="160" t="str">
        <f t="shared" si="31"/>
        <v/>
      </c>
      <c r="AC117" s="160" t="str">
        <f t="shared" si="31"/>
        <v/>
      </c>
      <c r="AD117" s="160" t="str">
        <f t="shared" si="31"/>
        <v/>
      </c>
      <c r="AE117" s="163">
        <f t="shared" si="31"/>
        <v>0.59999999999999998</v>
      </c>
      <c r="AF117" s="163" t="str">
        <f t="shared" si="31"/>
        <v/>
      </c>
      <c r="AG117" s="163" t="str">
        <f t="shared" si="31"/>
        <v/>
      </c>
      <c r="AH117" s="160">
        <f t="shared" si="31"/>
        <v>2.25</v>
      </c>
      <c r="AI117" s="160">
        <f t="shared" si="31"/>
        <v>2.1818181818181817</v>
      </c>
      <c r="AJ117" s="160">
        <f t="shared" si="31"/>
        <v>1.8999999999999999</v>
      </c>
      <c r="AK117" s="160">
        <f t="shared" si="31"/>
        <v>0.65000000000000002</v>
      </c>
      <c r="AL117" s="160">
        <f t="shared" si="31"/>
        <v>0.69999999999999996</v>
      </c>
      <c r="AM117" s="160">
        <f t="shared" si="31"/>
        <v>0.72499999999999998</v>
      </c>
      <c r="AN117" s="160" t="str">
        <f t="shared" si="31"/>
        <v/>
      </c>
      <c r="AO117" s="160" t="str">
        <f t="shared" si="31"/>
        <v>Y</v>
      </c>
      <c r="AP117" s="160"/>
      <c r="AQ117" s="160" t="str">
        <f t="shared" si="32" ref="AQ117">IF(AQ35="","",AQ35)</f>
        <v>The mechanical (or electrical) efficiency of a gas engine is around 20 % as annual average for micro-CHP units and 28-36 % for mini CHP units. The combined efficiency (electricity and heat) is on the level of 80-90 %.</v>
      </c>
      <c r="AR117" s="106"/>
      <c r="AS117" s="106"/>
      <c r="AT117" s="106"/>
    </row>
    <row r="118" spans="1:46" ht="14.25">
      <c r="A118" s="102" t="s">
        <v>615</v>
      </c>
      <c r="B118" s="106" t="s">
        <v>702</v>
      </c>
      <c r="C118" s="106" t="s">
        <v>628</v>
      </c>
      <c r="D118" s="106" t="s">
        <v>471</v>
      </c>
      <c r="E118" s="159" t="str">
        <f t="shared" si="33" ref="E118:G123">IF(E36="","",E36)</f>
        <v>CHP engines – internal combustion engine, diesel</v>
      </c>
      <c r="F118" s="160" t="str">
        <f t="shared" si="33"/>
        <v>RSDOIL, RSDBDL</v>
      </c>
      <c r="G118" s="160" t="str">
        <f t="shared" si="33"/>
        <v/>
      </c>
      <c r="H118" s="106" t="s">
        <v>699</v>
      </c>
      <c r="I118" s="106"/>
      <c r="J118" s="106"/>
      <c r="K118" s="160">
        <f t="shared" si="34" ref="K118:AQ123">IF(K36="","",K36)</f>
        <v>10</v>
      </c>
      <c r="L118" s="161">
        <f t="shared" si="34"/>
        <v>24000</v>
      </c>
      <c r="M118" s="161">
        <f t="shared" si="34"/>
        <v>19710</v>
      </c>
      <c r="N118" s="161">
        <f t="shared" si="34"/>
        <v>16921.5</v>
      </c>
      <c r="O118" s="161">
        <f t="shared" si="34"/>
        <v>16921.5</v>
      </c>
      <c r="P118" s="161">
        <f t="shared" si="34"/>
        <v>16921.5</v>
      </c>
      <c r="Q118" s="161">
        <f t="shared" si="34"/>
        <v>310</v>
      </c>
      <c r="R118" s="160" t="str">
        <f t="shared" si="34"/>
        <v/>
      </c>
      <c r="S118" s="162">
        <f t="shared" si="34"/>
        <v>0.20000000000000001</v>
      </c>
      <c r="T118" s="162">
        <f t="shared" si="34"/>
        <v>0.22</v>
      </c>
      <c r="U118" s="162">
        <f t="shared" si="34"/>
        <v>0.25</v>
      </c>
      <c r="V118" s="162" t="str">
        <f t="shared" si="34"/>
        <v/>
      </c>
      <c r="W118" s="162" t="str">
        <f t="shared" si="34"/>
        <v/>
      </c>
      <c r="X118" s="160" t="str">
        <f t="shared" si="34"/>
        <v/>
      </c>
      <c r="Y118" s="160" t="str">
        <f t="shared" si="34"/>
        <v/>
      </c>
      <c r="Z118" s="160" t="str">
        <f t="shared" si="34"/>
        <v/>
      </c>
      <c r="AA118" s="160" t="str">
        <f t="shared" si="34"/>
        <v/>
      </c>
      <c r="AB118" s="160" t="str">
        <f t="shared" si="34"/>
        <v/>
      </c>
      <c r="AC118" s="160" t="str">
        <f t="shared" si="34"/>
        <v/>
      </c>
      <c r="AD118" s="160" t="str">
        <f t="shared" si="34"/>
        <v/>
      </c>
      <c r="AE118" s="163">
        <f t="shared" si="34"/>
        <v>0.59999999999999998</v>
      </c>
      <c r="AF118" s="163" t="str">
        <f t="shared" si="34"/>
        <v/>
      </c>
      <c r="AG118" s="163" t="str">
        <f t="shared" si="34"/>
        <v/>
      </c>
      <c r="AH118" s="160">
        <f t="shared" si="34"/>
        <v>2.25</v>
      </c>
      <c r="AI118" s="160">
        <f t="shared" si="34"/>
        <v>2.1818181818181817</v>
      </c>
      <c r="AJ118" s="160">
        <f t="shared" si="34"/>
        <v>1.8999999999999999</v>
      </c>
      <c r="AK118" s="160">
        <f t="shared" si="34"/>
        <v>0.65000000000000002</v>
      </c>
      <c r="AL118" s="160">
        <f t="shared" si="34"/>
        <v>0.69999999999999996</v>
      </c>
      <c r="AM118" s="160">
        <f t="shared" si="34"/>
        <v>0.72499999999999998</v>
      </c>
      <c r="AN118" s="160" t="str">
        <f t="shared" si="34"/>
        <v/>
      </c>
      <c r="AO118" s="160" t="str">
        <f t="shared" si="34"/>
        <v>Y</v>
      </c>
      <c r="AP118" s="160"/>
      <c r="AQ118" s="160" t="str">
        <f t="shared" si="34"/>
        <v/>
      </c>
      <c r="AR118" s="106"/>
      <c r="AS118" s="106"/>
      <c r="AT118" s="106"/>
    </row>
    <row r="119" spans="1:46" ht="14.25">
      <c r="A119" s="102" t="s">
        <v>615</v>
      </c>
      <c r="B119" s="106" t="s">
        <v>703</v>
      </c>
      <c r="C119" s="106" t="s">
        <v>631</v>
      </c>
      <c r="D119" s="106" t="s">
        <v>471</v>
      </c>
      <c r="E119" s="159" t="str">
        <f t="shared" si="33"/>
        <v>CHP engines – Stirling engine</v>
      </c>
      <c r="F119" s="160" t="str">
        <f t="shared" si="33"/>
        <v>RSDGAS, RSDLPG, RSDBGS</v>
      </c>
      <c r="G119" s="160" t="str">
        <f t="shared" si="33"/>
        <v/>
      </c>
      <c r="H119" s="106" t="s">
        <v>699</v>
      </c>
      <c r="I119" s="106"/>
      <c r="J119" s="106"/>
      <c r="K119" s="160">
        <f t="shared" si="34"/>
        <v>10</v>
      </c>
      <c r="L119" s="161">
        <f t="shared" si="34"/>
        <v>18500</v>
      </c>
      <c r="M119" s="161">
        <f t="shared" si="34"/>
        <v>16750</v>
      </c>
      <c r="N119" s="161">
        <f t="shared" si="34"/>
        <v>14125</v>
      </c>
      <c r="O119" s="161">
        <f t="shared" si="34"/>
        <v>14125</v>
      </c>
      <c r="P119" s="161">
        <f t="shared" si="34"/>
        <v>14125</v>
      </c>
      <c r="Q119" s="161">
        <f t="shared" si="34"/>
        <v>250</v>
      </c>
      <c r="R119" s="160" t="str">
        <f t="shared" si="34"/>
        <v/>
      </c>
      <c r="S119" s="162">
        <f t="shared" si="34"/>
        <v>0.12</v>
      </c>
      <c r="T119" s="162">
        <f t="shared" si="34"/>
        <v>0.14000000000000001</v>
      </c>
      <c r="U119" s="162">
        <f t="shared" si="34"/>
        <v>0.16</v>
      </c>
      <c r="V119" s="162" t="str">
        <f t="shared" si="34"/>
        <v/>
      </c>
      <c r="W119" s="162" t="str">
        <f t="shared" si="34"/>
        <v/>
      </c>
      <c r="X119" s="160" t="str">
        <f t="shared" si="34"/>
        <v/>
      </c>
      <c r="Y119" s="160" t="str">
        <f t="shared" si="34"/>
        <v/>
      </c>
      <c r="Z119" s="160" t="str">
        <f t="shared" si="34"/>
        <v/>
      </c>
      <c r="AA119" s="160" t="str">
        <f t="shared" si="34"/>
        <v/>
      </c>
      <c r="AB119" s="160" t="str">
        <f t="shared" si="34"/>
        <v/>
      </c>
      <c r="AC119" s="160" t="str">
        <f t="shared" si="34"/>
        <v/>
      </c>
      <c r="AD119" s="160" t="str">
        <f t="shared" si="34"/>
        <v/>
      </c>
      <c r="AE119" s="163">
        <f t="shared" si="34"/>
        <v>0.59999999999999998</v>
      </c>
      <c r="AF119" s="163" t="str">
        <f t="shared" si="34"/>
        <v/>
      </c>
      <c r="AG119" s="163" t="str">
        <f t="shared" si="34"/>
        <v/>
      </c>
      <c r="AH119" s="160">
        <f t="shared" si="34"/>
        <v>5.4583333333333339</v>
      </c>
      <c r="AI119" s="160">
        <f t="shared" si="34"/>
        <v>4.7142857142857144</v>
      </c>
      <c r="AJ119" s="160">
        <f t="shared" si="34"/>
        <v>4.1562499999999991</v>
      </c>
      <c r="AK119" s="160">
        <f t="shared" si="34"/>
        <v>0.77500000000000002</v>
      </c>
      <c r="AL119" s="160">
        <f t="shared" si="34"/>
        <v>0.80000000000000004</v>
      </c>
      <c r="AM119" s="160">
        <f t="shared" si="34"/>
        <v>0.82499999999999996</v>
      </c>
      <c r="AN119" s="160" t="str">
        <f t="shared" si="34"/>
        <v/>
      </c>
      <c r="AO119" s="160" t="str">
        <f t="shared" si="34"/>
        <v>Y</v>
      </c>
      <c r="AP119" s="160"/>
      <c r="AQ119" s="160" t="str">
        <f t="shared" si="34"/>
        <v>typically combined with a condensing natural gas boiler for peak loads</v>
      </c>
      <c r="AR119" s="106"/>
      <c r="AS119" s="106"/>
      <c r="AT119" s="106"/>
    </row>
    <row r="120" spans="1:46" ht="14.25">
      <c r="A120" s="102" t="s">
        <v>615</v>
      </c>
      <c r="B120" s="106" t="s">
        <v>704</v>
      </c>
      <c r="C120" s="106" t="s">
        <v>634</v>
      </c>
      <c r="D120" s="106" t="s">
        <v>471</v>
      </c>
      <c r="E120" s="159" t="str">
        <f t="shared" si="33"/>
        <v>CHP fuel cells – natural gas fuel cell</v>
      </c>
      <c r="F120" s="160" t="str">
        <f t="shared" si="33"/>
        <v>RSDGAS</v>
      </c>
      <c r="G120" s="160" t="str">
        <f t="shared" si="33"/>
        <v/>
      </c>
      <c r="H120" s="106" t="s">
        <v>699</v>
      </c>
      <c r="I120" s="106"/>
      <c r="J120" s="106"/>
      <c r="K120" s="160">
        <f t="shared" si="34"/>
        <v>10</v>
      </c>
      <c r="L120" s="161">
        <f t="shared" si="34"/>
        <v>21491</v>
      </c>
      <c r="M120" s="161">
        <f t="shared" si="34"/>
        <v>21491</v>
      </c>
      <c r="N120" s="161">
        <f t="shared" si="34"/>
        <v>9091</v>
      </c>
      <c r="O120" s="161">
        <f t="shared" si="34"/>
        <v>9091</v>
      </c>
      <c r="P120" s="161">
        <f t="shared" si="34"/>
        <v>4131</v>
      </c>
      <c r="Q120" s="161">
        <f t="shared" si="34"/>
        <v>274</v>
      </c>
      <c r="R120" s="160" t="str">
        <f t="shared" si="34"/>
        <v/>
      </c>
      <c r="S120" s="162">
        <f t="shared" si="34"/>
        <v>0.375</v>
      </c>
      <c r="T120" s="162">
        <f t="shared" si="34"/>
        <v>0.45000000000000001</v>
      </c>
      <c r="U120" s="162">
        <f t="shared" si="34"/>
        <v>0.47499999999999998</v>
      </c>
      <c r="V120" s="162" t="str">
        <f t="shared" si="34"/>
        <v/>
      </c>
      <c r="W120" s="162" t="str">
        <f t="shared" si="34"/>
        <v/>
      </c>
      <c r="X120" s="160" t="str">
        <f t="shared" si="34"/>
        <v/>
      </c>
      <c r="Y120" s="160" t="str">
        <f t="shared" si="34"/>
        <v/>
      </c>
      <c r="Z120" s="160" t="str">
        <f t="shared" si="34"/>
        <v/>
      </c>
      <c r="AA120" s="160" t="str">
        <f t="shared" si="34"/>
        <v/>
      </c>
      <c r="AB120" s="160" t="str">
        <f t="shared" si="34"/>
        <v/>
      </c>
      <c r="AC120" s="160" t="str">
        <f t="shared" si="34"/>
        <v/>
      </c>
      <c r="AD120" s="160" t="str">
        <f t="shared" si="34"/>
        <v/>
      </c>
      <c r="AE120" s="163">
        <f t="shared" si="34"/>
        <v>0.59999999999999998</v>
      </c>
      <c r="AF120" s="163" t="str">
        <f t="shared" si="34"/>
        <v/>
      </c>
      <c r="AG120" s="163" t="str">
        <f t="shared" si="34"/>
        <v/>
      </c>
      <c r="AH120" s="160">
        <f t="shared" si="34"/>
        <v>0.46666666666666679</v>
      </c>
      <c r="AI120" s="160">
        <f t="shared" si="34"/>
        <v>0.16666666666666669</v>
      </c>
      <c r="AJ120" s="160">
        <f t="shared" si="34"/>
        <v>0.10526315789473695</v>
      </c>
      <c r="AK120" s="160">
        <f t="shared" si="34"/>
        <v>0.55000000000000004</v>
      </c>
      <c r="AL120" s="160">
        <f t="shared" si="34"/>
        <v>0.52500000000000002</v>
      </c>
      <c r="AM120" s="160">
        <f t="shared" si="34"/>
        <v>0.52500000000000002</v>
      </c>
      <c r="AN120" s="160" t="str">
        <f t="shared" si="34"/>
        <v/>
      </c>
      <c r="AO120" s="160" t="str">
        <f t="shared" si="34"/>
        <v>Y</v>
      </c>
      <c r="AP120" s="160"/>
      <c r="AQ120" s="160" t="str">
        <f t="shared" si="34"/>
        <v>Includes auxiliary boiler and storage (also for tap water). The micro CHP unit will cover approx. 50-70 % of the total heat demand (from NE)</v>
      </c>
      <c r="AR120" s="106"/>
      <c r="AS120" s="106"/>
      <c r="AT120" s="106"/>
    </row>
    <row r="121" spans="1:46" ht="14.25">
      <c r="A121" s="102" t="s">
        <v>615</v>
      </c>
      <c r="B121" s="106" t="s">
        <v>705</v>
      </c>
      <c r="C121" s="106" t="s">
        <v>639</v>
      </c>
      <c r="D121" s="106" t="s">
        <v>471</v>
      </c>
      <c r="E121" s="159" t="str">
        <f t="shared" si="33"/>
        <v>CHP fuel cells – hydrogen fuel cell</v>
      </c>
      <c r="F121" s="160" t="str">
        <f t="shared" si="33"/>
        <v>RSDHH2</v>
      </c>
      <c r="G121" s="160" t="str">
        <f t="shared" si="33"/>
        <v/>
      </c>
      <c r="H121" s="106" t="s">
        <v>699</v>
      </c>
      <c r="I121" s="106"/>
      <c r="J121" s="106"/>
      <c r="K121" s="160">
        <f t="shared" si="34"/>
        <v>10</v>
      </c>
      <c r="L121" s="161">
        <f t="shared" si="34"/>
        <v>13000</v>
      </c>
      <c r="M121" s="161">
        <f t="shared" si="34"/>
        <v>6900</v>
      </c>
      <c r="N121" s="161">
        <f t="shared" si="34"/>
        <v>5100</v>
      </c>
      <c r="O121" s="161" t="str">
        <f t="shared" si="34"/>
        <v>No</v>
      </c>
      <c r="P121" s="161" t="str">
        <f t="shared" si="34"/>
        <v>No</v>
      </c>
      <c r="Q121" s="161">
        <f t="shared" si="34"/>
        <v>500</v>
      </c>
      <c r="R121" s="160" t="str">
        <f t="shared" si="34"/>
        <v/>
      </c>
      <c r="S121" s="162">
        <f t="shared" si="34"/>
        <v>0.47499999999999998</v>
      </c>
      <c r="T121" s="162">
        <f t="shared" si="34"/>
        <v>0.505</v>
      </c>
      <c r="U121" s="162">
        <f t="shared" si="34"/>
        <v>0.54500000000000004</v>
      </c>
      <c r="V121" s="162" t="str">
        <f t="shared" si="34"/>
        <v/>
      </c>
      <c r="W121" s="162" t="str">
        <f t="shared" si="34"/>
        <v/>
      </c>
      <c r="X121" s="160" t="str">
        <f t="shared" si="34"/>
        <v/>
      </c>
      <c r="Y121" s="160" t="str">
        <f t="shared" si="34"/>
        <v/>
      </c>
      <c r="Z121" s="160" t="str">
        <f t="shared" si="34"/>
        <v/>
      </c>
      <c r="AA121" s="160" t="str">
        <f t="shared" si="34"/>
        <v/>
      </c>
      <c r="AB121" s="160" t="str">
        <f t="shared" si="34"/>
        <v/>
      </c>
      <c r="AC121" s="160" t="str">
        <f t="shared" si="34"/>
        <v/>
      </c>
      <c r="AD121" s="160" t="str">
        <f t="shared" si="34"/>
        <v/>
      </c>
      <c r="AE121" s="163">
        <f t="shared" si="34"/>
        <v>0.59999999999999998</v>
      </c>
      <c r="AF121" s="163" t="str">
        <f t="shared" si="34"/>
        <v/>
      </c>
      <c r="AG121" s="163" t="str">
        <f t="shared" si="34"/>
        <v/>
      </c>
      <c r="AH121" s="160">
        <f t="shared" si="34"/>
        <v>-0.15789473684210517</v>
      </c>
      <c r="AI121" s="160">
        <f t="shared" si="34"/>
        <v>-0.12871287128712872</v>
      </c>
      <c r="AJ121" s="160">
        <f t="shared" si="34"/>
        <v>-0.17431192660550462</v>
      </c>
      <c r="AK121" s="160">
        <f t="shared" si="34"/>
        <v>0.40000000000000002</v>
      </c>
      <c r="AL121" s="160">
        <f t="shared" si="34"/>
        <v>0.44</v>
      </c>
      <c r="AM121" s="160">
        <f t="shared" si="34"/>
        <v>0.45000000000000001</v>
      </c>
      <c r="AN121" s="160" t="str">
        <f t="shared" si="34"/>
        <v/>
      </c>
      <c r="AO121" s="160" t="str">
        <f t="shared" si="34"/>
        <v>Y</v>
      </c>
      <c r="AP121" s="160"/>
      <c r="AQ121" s="160" t="str">
        <f t="shared" si="34"/>
        <v>The micro CHP unit will cover approx. 50-70 % of the total heat demand. The remaining part should be supplied from a supplementary heater/burner. Electroliser EFF not included (from NE)</v>
      </c>
      <c r="AR121" s="106"/>
      <c r="AS121" s="106"/>
      <c r="AT121" s="106"/>
    </row>
    <row r="122" spans="1:46" ht="14.25">
      <c r="A122" s="114" t="s">
        <v>538</v>
      </c>
      <c r="B122" s="106" t="str">
        <f>LEFT(B115,11)&amp;"-"&amp;RIGHT(F122,3)&amp;"spl"</f>
        <v>R_ES-CHP-SD-GASspl</v>
      </c>
      <c r="C122" s="106" t="s">
        <v>644</v>
      </c>
      <c r="D122" s="106" t="s">
        <v>471</v>
      </c>
      <c r="E122" s="159" t="str">
        <f t="shared" si="33"/>
        <v>HOB-gas</v>
      </c>
      <c r="F122" s="160" t="str">
        <f t="shared" si="33"/>
        <v>RSDLPG, RSDBGS, RSDGAS</v>
      </c>
      <c r="G122" s="160" t="str">
        <f t="shared" si="33"/>
        <v/>
      </c>
      <c r="H122" s="106" t="s">
        <v>686</v>
      </c>
      <c r="I122" s="106"/>
      <c r="J122" s="106"/>
      <c r="K122" s="160">
        <f t="shared" si="34"/>
        <v>20</v>
      </c>
      <c r="L122" s="161">
        <f t="shared" si="34"/>
        <v>4309</v>
      </c>
      <c r="M122" s="161">
        <f t="shared" si="34"/>
        <v>4309</v>
      </c>
      <c r="N122" s="161">
        <f t="shared" si="34"/>
        <v>4309</v>
      </c>
      <c r="O122" s="161">
        <f t="shared" si="34"/>
        <v>4309</v>
      </c>
      <c r="P122" s="161">
        <f t="shared" si="34"/>
        <v>4309</v>
      </c>
      <c r="Q122" s="161">
        <f t="shared" si="34"/>
        <v>226</v>
      </c>
      <c r="R122" s="160" t="str">
        <f t="shared" si="34"/>
        <v/>
      </c>
      <c r="S122" s="162">
        <f t="shared" si="34"/>
        <v>0.84679858006836706</v>
      </c>
      <c r="T122" s="162">
        <f t="shared" si="34"/>
        <v>0.84679858006836706</v>
      </c>
      <c r="U122" s="162">
        <f t="shared" si="34"/>
        <v>0.84679858006836706</v>
      </c>
      <c r="V122" s="162">
        <f t="shared" si="34"/>
        <v>0.84679858006836706</v>
      </c>
      <c r="W122" s="162">
        <f t="shared" si="34"/>
        <v>0.84679858006836706</v>
      </c>
      <c r="X122" s="160" t="str">
        <f t="shared" si="34"/>
        <v/>
      </c>
      <c r="Y122" s="160" t="str">
        <f t="shared" si="34"/>
        <v/>
      </c>
      <c r="Z122" s="160" t="str">
        <f t="shared" si="34"/>
        <v/>
      </c>
      <c r="AA122" s="160" t="str">
        <f t="shared" si="34"/>
        <v/>
      </c>
      <c r="AB122" s="160" t="str">
        <f t="shared" si="34"/>
        <v/>
      </c>
      <c r="AC122" s="160" t="str">
        <f t="shared" si="34"/>
        <v/>
      </c>
      <c r="AD122" s="160" t="str">
        <f t="shared" si="34"/>
        <v/>
      </c>
      <c r="AE122" s="163">
        <f t="shared" si="34"/>
        <v>0.40000000000000002</v>
      </c>
      <c r="AF122" s="163">
        <f t="shared" si="34"/>
        <v>1</v>
      </c>
      <c r="AG122" s="163" t="str">
        <f t="shared" si="34"/>
        <v/>
      </c>
      <c r="AH122" s="160" t="str">
        <f t="shared" si="34"/>
        <v/>
      </c>
      <c r="AI122" s="160" t="str">
        <f t="shared" si="34"/>
        <v/>
      </c>
      <c r="AJ122" s="160" t="str">
        <f t="shared" si="34"/>
        <v/>
      </c>
      <c r="AK122" s="160" t="str">
        <f t="shared" si="34"/>
        <v/>
      </c>
      <c r="AL122" s="160" t="str">
        <f t="shared" si="34"/>
        <v/>
      </c>
      <c r="AM122" s="160" t="str">
        <f t="shared" si="34"/>
        <v/>
      </c>
      <c r="AN122" s="160" t="str">
        <f t="shared" si="34"/>
        <v/>
      </c>
      <c r="AO122" s="160" t="str">
        <f t="shared" si="34"/>
        <v/>
      </c>
      <c r="AP122" s="160"/>
      <c r="AQ122" s="160" t="str">
        <f t="shared" si="34"/>
        <v/>
      </c>
      <c r="AR122" s="106"/>
      <c r="AS122" s="106"/>
      <c r="AT122" s="106"/>
    </row>
    <row r="123" spans="1:46" s="125" customFormat="1" ht="14.25">
      <c r="A123" s="155" t="s">
        <v>538</v>
      </c>
      <c r="B123" s="118" t="str">
        <f>LEFT(B116,11)&amp;"-"&amp;RIGHT(F123,3)&amp;"spl"</f>
        <v>R_ES-CHP-SD-OILspl</v>
      </c>
      <c r="C123" s="118" t="s">
        <v>646</v>
      </c>
      <c r="D123" s="118" t="s">
        <v>471</v>
      </c>
      <c r="E123" s="164" t="str">
        <f t="shared" si="33"/>
        <v>HOB-oil</v>
      </c>
      <c r="F123" s="165" t="str">
        <f t="shared" si="33"/>
        <v>RSDBDL, RSDOIL</v>
      </c>
      <c r="G123" s="165" t="str">
        <f t="shared" si="33"/>
        <v/>
      </c>
      <c r="H123" s="118" t="s">
        <v>686</v>
      </c>
      <c r="I123" s="118"/>
      <c r="J123" s="118"/>
      <c r="K123" s="165">
        <f t="shared" si="34"/>
        <v>22</v>
      </c>
      <c r="L123" s="166">
        <f t="shared" si="34"/>
        <v>5527</v>
      </c>
      <c r="M123" s="166">
        <f t="shared" si="34"/>
        <v>5527</v>
      </c>
      <c r="N123" s="166">
        <f t="shared" si="34"/>
        <v>5527</v>
      </c>
      <c r="O123" s="166">
        <f t="shared" si="34"/>
        <v>5527</v>
      </c>
      <c r="P123" s="166">
        <f t="shared" si="34"/>
        <v>5527</v>
      </c>
      <c r="Q123" s="166">
        <f t="shared" si="34"/>
        <v>185</v>
      </c>
      <c r="R123" s="165" t="str">
        <f t="shared" si="34"/>
        <v/>
      </c>
      <c r="S123" s="167">
        <f t="shared" si="34"/>
        <v>0.84595205954248598</v>
      </c>
      <c r="T123" s="167">
        <f t="shared" si="34"/>
        <v>0.84595205954248598</v>
      </c>
      <c r="U123" s="167">
        <f t="shared" si="34"/>
        <v>0.84595205954248598</v>
      </c>
      <c r="V123" s="167">
        <f t="shared" si="34"/>
        <v>0.84595205954248598</v>
      </c>
      <c r="W123" s="167">
        <f t="shared" si="34"/>
        <v>0.84595205954248598</v>
      </c>
      <c r="X123" s="165" t="str">
        <f t="shared" si="34"/>
        <v/>
      </c>
      <c r="Y123" s="165" t="str">
        <f t="shared" si="34"/>
        <v/>
      </c>
      <c r="Z123" s="165" t="str">
        <f t="shared" si="34"/>
        <v/>
      </c>
      <c r="AA123" s="165" t="str">
        <f t="shared" si="34"/>
        <v/>
      </c>
      <c r="AB123" s="165" t="str">
        <f t="shared" si="34"/>
        <v/>
      </c>
      <c r="AC123" s="165" t="str">
        <f t="shared" si="34"/>
        <v/>
      </c>
      <c r="AD123" s="165" t="str">
        <f t="shared" si="34"/>
        <v/>
      </c>
      <c r="AE123" s="168">
        <f t="shared" si="34"/>
        <v>0.40000000000000002</v>
      </c>
      <c r="AF123" s="168">
        <f t="shared" si="34"/>
        <v>1</v>
      </c>
      <c r="AG123" s="168" t="str">
        <f t="shared" si="34"/>
        <v/>
      </c>
      <c r="AH123" s="165" t="str">
        <f t="shared" si="34"/>
        <v/>
      </c>
      <c r="AI123" s="165" t="str">
        <f t="shared" si="34"/>
        <v/>
      </c>
      <c r="AJ123" s="165" t="str">
        <f t="shared" si="34"/>
        <v/>
      </c>
      <c r="AK123" s="165" t="str">
        <f t="shared" si="34"/>
        <v/>
      </c>
      <c r="AL123" s="165" t="str">
        <f t="shared" si="34"/>
        <v/>
      </c>
      <c r="AM123" s="165" t="str">
        <f t="shared" si="34"/>
        <v/>
      </c>
      <c r="AN123" s="165" t="str">
        <f t="shared" si="34"/>
        <v/>
      </c>
      <c r="AO123" s="165" t="str">
        <f t="shared" si="34"/>
        <v/>
      </c>
      <c r="AP123" s="165"/>
      <c r="AQ123" s="165" t="str">
        <f t="shared" si="34"/>
        <v/>
      </c>
      <c r="AR123" s="118"/>
      <c r="AS123" s="118"/>
      <c r="AT123" s="118"/>
    </row>
    <row r="124" spans="1:46" s="172" customFormat="1" ht="14.25">
      <c r="A124" s="114"/>
      <c r="B124" s="106"/>
      <c r="C124" s="106"/>
      <c r="D124" s="106"/>
      <c r="E124" s="171"/>
      <c r="F124" s="106"/>
      <c r="G124" s="106"/>
      <c r="H124" s="106"/>
      <c r="I124" s="106"/>
      <c r="J124" s="106"/>
      <c r="K124" s="108"/>
      <c r="L124" s="109"/>
      <c r="M124" s="109"/>
      <c r="N124" s="109"/>
      <c r="O124" s="109"/>
      <c r="P124" s="109"/>
      <c r="Q124" s="109"/>
      <c r="R124" s="106"/>
      <c r="S124" s="110"/>
      <c r="T124" s="110"/>
      <c r="U124" s="110"/>
      <c r="V124" s="110"/>
      <c r="W124" s="110"/>
      <c r="X124" s="153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48"/>
      <c r="AI124" s="148"/>
      <c r="AJ124" s="148"/>
      <c r="AK124" s="154"/>
      <c r="AL124" s="154"/>
      <c r="AM124" s="154"/>
      <c r="AN124" s="106"/>
      <c r="AO124" s="106"/>
      <c r="AP124" s="106"/>
      <c r="AQ124" s="106"/>
      <c r="AR124" s="106"/>
      <c r="AS124" s="106"/>
      <c r="AT124" s="106"/>
    </row>
    <row r="125" spans="1:46" s="103" customFormat="1" ht="28.5" customHeight="1">
      <c r="A125" s="96" t="s">
        <v>484</v>
      </c>
      <c r="B125" s="96" t="s">
        <v>485</v>
      </c>
      <c r="C125" s="96" t="s">
        <v>486</v>
      </c>
      <c r="D125" s="96" t="s">
        <v>487</v>
      </c>
      <c r="E125" s="96" t="s">
        <v>488</v>
      </c>
      <c r="F125" s="97" t="s">
        <v>489</v>
      </c>
      <c r="G125" s="97" t="s">
        <v>490</v>
      </c>
      <c r="H125" s="97" t="s">
        <v>491</v>
      </c>
      <c r="I125" s="97" t="s">
        <v>492</v>
      </c>
      <c r="J125" s="97" t="s">
        <v>493</v>
      </c>
      <c r="K125" s="98" t="s">
        <v>494</v>
      </c>
      <c r="L125" s="99" t="s">
        <v>495</v>
      </c>
      <c r="M125" s="99" t="s">
        <v>496</v>
      </c>
      <c r="N125" s="99" t="s">
        <v>497</v>
      </c>
      <c r="O125" s="99" t="s">
        <v>498</v>
      </c>
      <c r="P125" s="99" t="s">
        <v>499</v>
      </c>
      <c r="Q125" s="99" t="s">
        <v>500</v>
      </c>
      <c r="R125" s="99" t="s">
        <v>501</v>
      </c>
      <c r="S125" s="98" t="s">
        <v>29</v>
      </c>
      <c r="T125" s="98" t="s">
        <v>502</v>
      </c>
      <c r="U125" s="98" t="s">
        <v>503</v>
      </c>
      <c r="V125" s="98" t="s">
        <v>504</v>
      </c>
      <c r="W125" s="98" t="s">
        <v>505</v>
      </c>
      <c r="X125" s="98" t="s">
        <v>506</v>
      </c>
      <c r="Y125" s="98" t="s">
        <v>507</v>
      </c>
      <c r="Z125" s="98" t="s">
        <v>508</v>
      </c>
      <c r="AA125" s="98" t="s">
        <v>509</v>
      </c>
      <c r="AB125" s="98" t="s">
        <v>510</v>
      </c>
      <c r="AC125" s="98" t="s">
        <v>511</v>
      </c>
      <c r="AD125" s="98" t="s">
        <v>512</v>
      </c>
      <c r="AE125" s="98" t="s">
        <v>513</v>
      </c>
      <c r="AF125" s="98" t="s">
        <v>514</v>
      </c>
      <c r="AG125" s="98" t="s">
        <v>515</v>
      </c>
      <c r="AH125" s="98" t="s">
        <v>516</v>
      </c>
      <c r="AI125" s="98" t="s">
        <v>517</v>
      </c>
      <c r="AJ125" s="98" t="s">
        <v>518</v>
      </c>
      <c r="AK125" s="98" t="s">
        <v>519</v>
      </c>
      <c r="AL125" s="98" t="s">
        <v>520</v>
      </c>
      <c r="AM125" s="98" t="s">
        <v>521</v>
      </c>
      <c r="AN125" s="98" t="s">
        <v>522</v>
      </c>
      <c r="AO125" s="100" t="s">
        <v>523</v>
      </c>
      <c r="AP125" s="100" t="s">
        <v>524</v>
      </c>
      <c r="AQ125" s="101" t="s">
        <v>525</v>
      </c>
      <c r="AR125" s="98" t="s">
        <v>526</v>
      </c>
      <c r="AS125" s="98" t="s">
        <v>527</v>
      </c>
      <c r="AT125" s="102"/>
    </row>
    <row r="126" spans="1:46" ht="14.25">
      <c r="A126" s="104" t="s">
        <v>706</v>
      </c>
      <c r="B126" s="104"/>
      <c r="C126" s="104"/>
      <c r="D126" s="104"/>
      <c r="E126" s="105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6"/>
    </row>
    <row r="127" spans="1:46" ht="14.25">
      <c r="A127" s="102" t="s">
        <v>529</v>
      </c>
      <c r="B127" s="106" t="s">
        <v>454</v>
      </c>
      <c r="C127" s="102" t="s">
        <v>530</v>
      </c>
      <c r="D127" s="102" t="s">
        <v>707</v>
      </c>
      <c r="E127" s="107" t="s">
        <v>708</v>
      </c>
      <c r="F127" s="106" t="s">
        <v>533</v>
      </c>
      <c r="G127" s="106"/>
      <c r="H127" s="106" t="s">
        <v>709</v>
      </c>
      <c r="I127" s="106"/>
      <c r="J127" s="106"/>
      <c r="K127" s="108">
        <v>0</v>
      </c>
      <c r="L127" s="109">
        <v>3375</v>
      </c>
      <c r="M127" s="109">
        <v>3375</v>
      </c>
      <c r="N127" s="109">
        <v>3375</v>
      </c>
      <c r="O127" s="109">
        <v>3375</v>
      </c>
      <c r="P127" s="109">
        <v>3375</v>
      </c>
      <c r="Q127" s="109">
        <v>75</v>
      </c>
      <c r="R127" s="109"/>
      <c r="S127" s="110">
        <v>0.85988749459108615</v>
      </c>
      <c r="T127" s="110">
        <v>0.85988749459108615</v>
      </c>
      <c r="U127" s="110">
        <v>0.85988749459108615</v>
      </c>
      <c r="V127" s="110">
        <v>0.85988749459108615</v>
      </c>
      <c r="W127" s="110">
        <v>0.85988749459108615</v>
      </c>
      <c r="X127" s="106"/>
      <c r="Y127" s="110"/>
      <c r="Z127" s="110"/>
      <c r="AA127" s="110"/>
      <c r="AB127" s="110"/>
      <c r="AC127" s="110"/>
      <c r="AD127" s="110"/>
      <c r="AE127" s="173">
        <v>1</v>
      </c>
      <c r="AF127" s="173">
        <v>1</v>
      </c>
      <c r="AG127" s="173"/>
      <c r="AH127" s="106"/>
      <c r="AI127" s="106"/>
      <c r="AJ127" s="106"/>
      <c r="AK127" s="106"/>
      <c r="AL127" s="106"/>
      <c r="AM127" s="106"/>
      <c r="AN127" s="106"/>
      <c r="AO127" s="106"/>
      <c r="AP127" s="174"/>
      <c r="AQ127" s="106"/>
      <c r="AR127" s="109"/>
      <c r="AS127" s="109"/>
      <c r="AT127" s="106"/>
    </row>
    <row r="128" spans="1:46" ht="14.25">
      <c r="A128" s="106" t="s">
        <v>529</v>
      </c>
      <c r="B128" s="106" t="s">
        <v>455</v>
      </c>
      <c r="C128" s="102" t="s">
        <v>536</v>
      </c>
      <c r="D128" s="102" t="s">
        <v>707</v>
      </c>
      <c r="E128" s="107" t="str">
        <f>E127</f>
        <v>HOB oil_large</v>
      </c>
      <c r="F128" s="106" t="s">
        <v>533</v>
      </c>
      <c r="G128" s="106"/>
      <c r="H128" s="106" t="s">
        <v>709</v>
      </c>
      <c r="I128" s="106"/>
      <c r="J128" s="106"/>
      <c r="K128" s="175">
        <f>K127</f>
        <v>0</v>
      </c>
      <c r="L128" s="113">
        <v>3375</v>
      </c>
      <c r="M128" s="113">
        <v>3375</v>
      </c>
      <c r="N128" s="113">
        <v>3375</v>
      </c>
      <c r="O128" s="113">
        <v>3375</v>
      </c>
      <c r="P128" s="113">
        <v>3375</v>
      </c>
      <c r="Q128" s="113">
        <v>75</v>
      </c>
      <c r="R128" s="113"/>
      <c r="S128" s="110">
        <f t="shared" si="35" ref="S128:AC128">S127</f>
        <v>0.85988749459108615</v>
      </c>
      <c r="T128" s="110">
        <f t="shared" si="35"/>
        <v>0.85988749459108615</v>
      </c>
      <c r="U128" s="110">
        <f t="shared" si="35"/>
        <v>0.85988749459108615</v>
      </c>
      <c r="V128" s="110">
        <f t="shared" si="35"/>
        <v>0.85988749459108615</v>
      </c>
      <c r="W128" s="110">
        <f t="shared" si="35"/>
        <v>0.85988749459108615</v>
      </c>
      <c r="X128" s="106">
        <f t="shared" si="35"/>
        <v>0</v>
      </c>
      <c r="Y128" s="102">
        <f t="shared" si="35"/>
        <v>0</v>
      </c>
      <c r="Z128" s="102">
        <f t="shared" si="35"/>
        <v>0</v>
      </c>
      <c r="AA128" s="102">
        <f t="shared" si="35"/>
        <v>0</v>
      </c>
      <c r="AB128" s="102">
        <f t="shared" si="35"/>
        <v>0</v>
      </c>
      <c r="AC128" s="102">
        <f t="shared" si="35"/>
        <v>0</v>
      </c>
      <c r="AD128" s="102"/>
      <c r="AE128" s="176"/>
      <c r="AF128" s="176"/>
      <c r="AG128" s="176"/>
      <c r="AH128" s="102"/>
      <c r="AI128" s="102"/>
      <c r="AJ128" s="102"/>
      <c r="AK128" s="102"/>
      <c r="AL128" s="102"/>
      <c r="AM128" s="102"/>
      <c r="AN128" s="102"/>
      <c r="AO128" s="106"/>
      <c r="AP128" s="174"/>
      <c r="AQ128" s="106"/>
      <c r="AR128" s="113"/>
      <c r="AS128" s="113"/>
      <c r="AT128" s="106"/>
    </row>
    <row r="129" spans="1:46" ht="14.25">
      <c r="A129" s="114" t="s">
        <v>538</v>
      </c>
      <c r="B129" s="106" t="str">
        <f>B128&amp;"-"&amp;RIGHT(F129,3)&amp;"spl"</f>
        <v>R_ES-SH-FL_OIL02-SOLspl</v>
      </c>
      <c r="C129" s="106" t="s">
        <v>539</v>
      </c>
      <c r="D129" s="106" t="s">
        <v>707</v>
      </c>
      <c r="E129" s="107" t="s">
        <v>710</v>
      </c>
      <c r="F129" s="106" t="s">
        <v>541</v>
      </c>
      <c r="G129" s="106"/>
      <c r="H129" s="106" t="s">
        <v>709</v>
      </c>
      <c r="I129" s="106"/>
      <c r="J129" s="106"/>
      <c r="K129" s="112">
        <v>20</v>
      </c>
      <c r="L129" s="113">
        <v>4966.666666666667</v>
      </c>
      <c r="M129" s="113">
        <v>4558.666666666667</v>
      </c>
      <c r="N129" s="113">
        <v>4218.666666666667</v>
      </c>
      <c r="O129" s="113">
        <v>2722.6666666666665</v>
      </c>
      <c r="P129" s="113">
        <v>2722.6666666666665</v>
      </c>
      <c r="Q129" s="113">
        <v>38.333333333333336</v>
      </c>
      <c r="R129" s="102"/>
      <c r="S129" s="115">
        <v>1</v>
      </c>
      <c r="T129" s="115"/>
      <c r="U129" s="115"/>
      <c r="V129" s="115"/>
      <c r="W129" s="115"/>
      <c r="X129" s="106"/>
      <c r="Y129" s="102"/>
      <c r="Z129" s="102"/>
      <c r="AA129" s="102"/>
      <c r="AB129" s="102"/>
      <c r="AC129" s="102"/>
      <c r="AD129" s="102"/>
      <c r="AE129" s="176">
        <v>0.15</v>
      </c>
      <c r="AF129" s="176">
        <v>0.15</v>
      </c>
      <c r="AG129" s="176"/>
      <c r="AH129" s="102"/>
      <c r="AI129" s="102"/>
      <c r="AJ129" s="102"/>
      <c r="AK129" s="102"/>
      <c r="AL129" s="102"/>
      <c r="AM129" s="102"/>
      <c r="AN129" s="102"/>
      <c r="AO129" s="106" t="s">
        <v>542</v>
      </c>
      <c r="AP129" s="174"/>
      <c r="AQ129" s="106" t="s">
        <v>543</v>
      </c>
      <c r="AR129" s="113"/>
      <c r="AS129" s="113"/>
      <c r="AT129" s="106"/>
    </row>
    <row r="130" spans="1:46" ht="14.25">
      <c r="A130" s="114" t="s">
        <v>711</v>
      </c>
      <c r="B130" s="106" t="str">
        <f>B128&amp;"-"&amp;RIGHT(F130,3)&amp;"spl"</f>
        <v>R_ES-SH-FL_OIL02-BIOspl</v>
      </c>
      <c r="C130" s="106" t="s">
        <v>544</v>
      </c>
      <c r="D130" s="106" t="s">
        <v>707</v>
      </c>
      <c r="E130" s="177" t="s">
        <v>545</v>
      </c>
      <c r="F130" s="106" t="s">
        <v>546</v>
      </c>
      <c r="G130" s="106"/>
      <c r="H130" s="106" t="s">
        <v>54</v>
      </c>
      <c r="I130" s="106"/>
      <c r="J130" s="106"/>
      <c r="K130" s="112">
        <v>20</v>
      </c>
      <c r="L130" s="109">
        <v>4200</v>
      </c>
      <c r="M130" s="109">
        <v>4200</v>
      </c>
      <c r="N130" s="109">
        <v>5100</v>
      </c>
      <c r="O130" s="109">
        <v>5100</v>
      </c>
      <c r="P130" s="109">
        <v>5100</v>
      </c>
      <c r="Q130" s="109">
        <v>1</v>
      </c>
      <c r="R130" s="106"/>
      <c r="S130" s="111">
        <v>0.65</v>
      </c>
      <c r="T130" s="111">
        <v>0.70</v>
      </c>
      <c r="U130" s="111">
        <v>0.75</v>
      </c>
      <c r="V130" s="111">
        <v>0.75</v>
      </c>
      <c r="W130" s="111">
        <v>0.75</v>
      </c>
      <c r="X130" s="106"/>
      <c r="Y130" s="102"/>
      <c r="Z130" s="102"/>
      <c r="AA130" s="102"/>
      <c r="AB130" s="102"/>
      <c r="AC130" s="102"/>
      <c r="AD130" s="102"/>
      <c r="AE130" s="178">
        <v>0.40</v>
      </c>
      <c r="AF130" s="178"/>
      <c r="AG130" s="178"/>
      <c r="AH130" s="102"/>
      <c r="AI130" s="102"/>
      <c r="AJ130" s="102"/>
      <c r="AK130" s="102"/>
      <c r="AL130" s="102"/>
      <c r="AM130" s="102"/>
      <c r="AN130" s="102"/>
      <c r="AO130" s="106" t="s">
        <v>542</v>
      </c>
      <c r="AP130" s="174"/>
      <c r="AQ130" s="106" t="s">
        <v>547</v>
      </c>
      <c r="AR130" s="109"/>
      <c r="AS130" s="109"/>
      <c r="AT130" s="106"/>
    </row>
    <row r="131" spans="1:46" ht="14.25">
      <c r="A131" s="102" t="s">
        <v>529</v>
      </c>
      <c r="B131" s="106" t="s">
        <v>448</v>
      </c>
      <c r="C131" s="106" t="s">
        <v>548</v>
      </c>
      <c r="D131" s="106" t="s">
        <v>707</v>
      </c>
      <c r="E131" s="107" t="s">
        <v>712</v>
      </c>
      <c r="F131" s="106" t="s">
        <v>550</v>
      </c>
      <c r="G131" s="106"/>
      <c r="H131" s="106" t="s">
        <v>709</v>
      </c>
      <c r="I131" s="106"/>
      <c r="J131" s="106"/>
      <c r="K131" s="108">
        <v>22</v>
      </c>
      <c r="L131" s="109">
        <v>2742</v>
      </c>
      <c r="M131" s="109">
        <v>2399.25</v>
      </c>
      <c r="N131" s="109">
        <v>2056.50</v>
      </c>
      <c r="O131" s="109">
        <v>2056.50</v>
      </c>
      <c r="P131" s="109">
        <v>2056.50</v>
      </c>
      <c r="Q131" s="109">
        <v>220</v>
      </c>
      <c r="R131" s="106"/>
      <c r="S131" s="110">
        <v>0.86075417947372368</v>
      </c>
      <c r="T131" s="110">
        <v>0.86075417947372368</v>
      </c>
      <c r="U131" s="110">
        <v>0.86075417947372368</v>
      </c>
      <c r="V131" s="110">
        <v>0.86075417947372368</v>
      </c>
      <c r="W131" s="110">
        <v>0.86075417947372368</v>
      </c>
      <c r="X131" s="106"/>
      <c r="Y131" s="110"/>
      <c r="Z131" s="110"/>
      <c r="AA131" s="110"/>
      <c r="AB131" s="110"/>
      <c r="AC131" s="110"/>
      <c r="AD131" s="110"/>
      <c r="AE131" s="179">
        <v>1</v>
      </c>
      <c r="AF131" s="179">
        <v>1</v>
      </c>
      <c r="AG131" s="179"/>
      <c r="AH131" s="106"/>
      <c r="AI131" s="106"/>
      <c r="AJ131" s="106"/>
      <c r="AK131" s="106"/>
      <c r="AL131" s="106"/>
      <c r="AM131" s="106"/>
      <c r="AN131" s="106"/>
      <c r="AO131" s="106"/>
      <c r="AP131" s="174"/>
      <c r="AQ131" s="106"/>
      <c r="AR131" s="109"/>
      <c r="AS131" s="109"/>
      <c r="AT131" s="106"/>
    </row>
    <row r="132" spans="1:46" ht="14.25">
      <c r="A132" s="102" t="s">
        <v>529</v>
      </c>
      <c r="B132" s="106" t="s">
        <v>449</v>
      </c>
      <c r="C132" s="106" t="s">
        <v>552</v>
      </c>
      <c r="D132" s="106" t="s">
        <v>707</v>
      </c>
      <c r="E132" s="107" t="s">
        <v>712</v>
      </c>
      <c r="F132" s="106" t="s">
        <v>550</v>
      </c>
      <c r="G132" s="106"/>
      <c r="H132" s="106" t="s">
        <v>709</v>
      </c>
      <c r="I132" s="106"/>
      <c r="J132" s="106"/>
      <c r="K132" s="108">
        <f>K131</f>
        <v>22</v>
      </c>
      <c r="L132" s="109">
        <v>2742</v>
      </c>
      <c r="M132" s="109">
        <v>2399.25</v>
      </c>
      <c r="N132" s="109">
        <v>2056.50</v>
      </c>
      <c r="O132" s="109">
        <v>2056.50</v>
      </c>
      <c r="P132" s="109">
        <v>2056.50</v>
      </c>
      <c r="Q132" s="109">
        <v>220</v>
      </c>
      <c r="R132" s="106"/>
      <c r="S132" s="111">
        <f t="shared" si="36" ref="S132:AC132">S131</f>
        <v>0.86075417947372368</v>
      </c>
      <c r="T132" s="111">
        <f t="shared" si="36"/>
        <v>0.86075417947372368</v>
      </c>
      <c r="U132" s="111">
        <f t="shared" si="36"/>
        <v>0.86075417947372368</v>
      </c>
      <c r="V132" s="111">
        <f t="shared" si="36"/>
        <v>0.86075417947372368</v>
      </c>
      <c r="W132" s="111">
        <f t="shared" si="36"/>
        <v>0.86075417947372368</v>
      </c>
      <c r="X132" s="106">
        <f t="shared" si="36"/>
        <v>0</v>
      </c>
      <c r="Y132" s="111">
        <f t="shared" si="36"/>
        <v>0</v>
      </c>
      <c r="Z132" s="111">
        <f t="shared" si="36"/>
        <v>0</v>
      </c>
      <c r="AA132" s="111">
        <f t="shared" si="36"/>
        <v>0</v>
      </c>
      <c r="AB132" s="111">
        <f t="shared" si="36"/>
        <v>0</v>
      </c>
      <c r="AC132" s="111">
        <f t="shared" si="36"/>
        <v>0</v>
      </c>
      <c r="AD132" s="111"/>
      <c r="AE132" s="179">
        <v>1</v>
      </c>
      <c r="AF132" s="179">
        <v>1</v>
      </c>
      <c r="AG132" s="179"/>
      <c r="AH132" s="110"/>
      <c r="AI132" s="110"/>
      <c r="AJ132" s="110"/>
      <c r="AK132" s="110"/>
      <c r="AL132" s="110"/>
      <c r="AM132" s="110"/>
      <c r="AN132" s="110"/>
      <c r="AO132" s="106"/>
      <c r="AP132" s="174"/>
      <c r="AQ132" s="106"/>
      <c r="AR132" s="109"/>
      <c r="AS132" s="109"/>
      <c r="AT132" s="106"/>
    </row>
    <row r="133" spans="1:46" ht="14.25">
      <c r="A133" s="114" t="s">
        <v>538</v>
      </c>
      <c r="B133" s="106" t="str">
        <f>B131&amp;"-"&amp;RIGHT(F133,3)&amp;"spl"</f>
        <v>R_ES-SH-FL_GAS01-SOLspl</v>
      </c>
      <c r="C133" s="106" t="s">
        <v>553</v>
      </c>
      <c r="D133" s="106" t="s">
        <v>707</v>
      </c>
      <c r="E133" s="107" t="s">
        <v>710</v>
      </c>
      <c r="F133" s="106" t="s">
        <v>541</v>
      </c>
      <c r="G133" s="106"/>
      <c r="H133" s="106" t="s">
        <v>709</v>
      </c>
      <c r="I133" s="106"/>
      <c r="J133" s="106"/>
      <c r="K133" s="112">
        <v>20</v>
      </c>
      <c r="L133" s="109">
        <v>4966.666666666667</v>
      </c>
      <c r="M133" s="109">
        <v>4558.666666666667</v>
      </c>
      <c r="N133" s="109">
        <v>4218.666666666667</v>
      </c>
      <c r="O133" s="109">
        <v>2722.6666666666665</v>
      </c>
      <c r="P133" s="109">
        <v>2722.6666666666665</v>
      </c>
      <c r="Q133" s="109">
        <v>38.333333333333336</v>
      </c>
      <c r="R133" s="106"/>
      <c r="S133" s="111">
        <v>1</v>
      </c>
      <c r="T133" s="111"/>
      <c r="U133" s="111"/>
      <c r="V133" s="111"/>
      <c r="W133" s="111"/>
      <c r="X133" s="106"/>
      <c r="Y133" s="111"/>
      <c r="Z133" s="111"/>
      <c r="AA133" s="111"/>
      <c r="AB133" s="111"/>
      <c r="AC133" s="111"/>
      <c r="AD133" s="111"/>
      <c r="AE133" s="179">
        <v>0.15</v>
      </c>
      <c r="AF133" s="179">
        <v>0.15</v>
      </c>
      <c r="AG133" s="179"/>
      <c r="AH133" s="110"/>
      <c r="AI133" s="110"/>
      <c r="AJ133" s="110"/>
      <c r="AK133" s="110"/>
      <c r="AL133" s="110"/>
      <c r="AM133" s="110"/>
      <c r="AN133" s="110"/>
      <c r="AO133" s="106" t="s">
        <v>542</v>
      </c>
      <c r="AP133" s="174"/>
      <c r="AQ133" s="106" t="s">
        <v>554</v>
      </c>
      <c r="AR133" s="109"/>
      <c r="AS133" s="109"/>
      <c r="AT133" s="106"/>
    </row>
    <row r="134" spans="1:46" ht="14.25">
      <c r="A134" s="114" t="s">
        <v>711</v>
      </c>
      <c r="B134" s="106" t="str">
        <f>B131&amp;"-"&amp;RIGHT(F134,3)&amp;"spl"</f>
        <v>R_ES-SH-FL_GAS01-BIOspl</v>
      </c>
      <c r="C134" s="106" t="s">
        <v>555</v>
      </c>
      <c r="D134" s="106" t="s">
        <v>707</v>
      </c>
      <c r="E134" s="177" t="s">
        <v>545</v>
      </c>
      <c r="F134" s="106" t="s">
        <v>546</v>
      </c>
      <c r="G134" s="106"/>
      <c r="H134" s="106" t="s">
        <v>54</v>
      </c>
      <c r="I134" s="106"/>
      <c r="J134" s="106"/>
      <c r="K134" s="112">
        <v>20</v>
      </c>
      <c r="L134" s="109">
        <v>4200</v>
      </c>
      <c r="M134" s="109">
        <v>4200</v>
      </c>
      <c r="N134" s="109">
        <v>5100</v>
      </c>
      <c r="O134" s="109">
        <v>5100</v>
      </c>
      <c r="P134" s="109">
        <v>5100</v>
      </c>
      <c r="Q134" s="109">
        <v>1</v>
      </c>
      <c r="R134" s="106"/>
      <c r="S134" s="111">
        <v>0.65</v>
      </c>
      <c r="T134" s="111">
        <v>0.70</v>
      </c>
      <c r="U134" s="111">
        <v>0.75</v>
      </c>
      <c r="V134" s="111">
        <v>0.75</v>
      </c>
      <c r="W134" s="111">
        <v>0.75</v>
      </c>
      <c r="X134" s="106"/>
      <c r="Y134" s="111"/>
      <c r="Z134" s="111"/>
      <c r="AA134" s="111"/>
      <c r="AB134" s="111"/>
      <c r="AC134" s="111"/>
      <c r="AD134" s="111"/>
      <c r="AE134" s="179">
        <v>0.40</v>
      </c>
      <c r="AF134" s="179"/>
      <c r="AG134" s="179"/>
      <c r="AH134" s="110"/>
      <c r="AI134" s="110"/>
      <c r="AJ134" s="110"/>
      <c r="AK134" s="110"/>
      <c r="AL134" s="110"/>
      <c r="AM134" s="110"/>
      <c r="AN134" s="110"/>
      <c r="AO134" s="106" t="s">
        <v>542</v>
      </c>
      <c r="AP134" s="174"/>
      <c r="AQ134" s="106" t="s">
        <v>547</v>
      </c>
      <c r="AR134" s="109"/>
      <c r="AS134" s="109"/>
      <c r="AT134" s="106"/>
    </row>
    <row r="135" spans="1:46" ht="14.25">
      <c r="A135" s="102" t="s">
        <v>529</v>
      </c>
      <c r="B135" s="106" t="s">
        <v>444</v>
      </c>
      <c r="C135" s="106" t="s">
        <v>556</v>
      </c>
      <c r="D135" s="106" t="s">
        <v>707</v>
      </c>
      <c r="E135" s="107" t="s">
        <v>713</v>
      </c>
      <c r="F135" s="116" t="s">
        <v>546</v>
      </c>
      <c r="G135" s="116"/>
      <c r="H135" s="106" t="s">
        <v>709</v>
      </c>
      <c r="I135" s="106"/>
      <c r="J135" s="106"/>
      <c r="K135" s="112">
        <v>20</v>
      </c>
      <c r="L135" s="109">
        <v>10462.50</v>
      </c>
      <c r="M135" s="109">
        <v>10462.50</v>
      </c>
      <c r="N135" s="109">
        <v>10462.50</v>
      </c>
      <c r="O135" s="109">
        <v>10462.50</v>
      </c>
      <c r="P135" s="109">
        <v>10462.50</v>
      </c>
      <c r="Q135" s="109">
        <v>125</v>
      </c>
      <c r="R135" s="106"/>
      <c r="S135" s="110">
        <v>0.85</v>
      </c>
      <c r="T135" s="110">
        <v>0.87</v>
      </c>
      <c r="U135" s="110">
        <v>0.91</v>
      </c>
      <c r="V135" s="110">
        <v>0.95</v>
      </c>
      <c r="W135" s="110">
        <v>0.95</v>
      </c>
      <c r="X135" s="106"/>
      <c r="Y135" s="110"/>
      <c r="Z135" s="110"/>
      <c r="AA135" s="110"/>
      <c r="AB135" s="110"/>
      <c r="AC135" s="110"/>
      <c r="AD135" s="110"/>
      <c r="AE135" s="180">
        <v>1</v>
      </c>
      <c r="AF135" s="180">
        <v>1</v>
      </c>
      <c r="AG135" s="180"/>
      <c r="AH135" s="106"/>
      <c r="AI135" s="106"/>
      <c r="AJ135" s="106"/>
      <c r="AK135" s="106"/>
      <c r="AL135" s="106"/>
      <c r="AM135" s="106"/>
      <c r="AN135" s="106"/>
      <c r="AO135" s="106" t="s">
        <v>542</v>
      </c>
      <c r="AP135" s="174"/>
      <c r="AQ135" s="106" t="s">
        <v>547</v>
      </c>
      <c r="AR135" s="109"/>
      <c r="AS135" s="109"/>
      <c r="AT135" s="106"/>
    </row>
    <row r="136" spans="1:46" ht="14.25">
      <c r="A136" s="118" t="s">
        <v>529</v>
      </c>
      <c r="B136" s="118" t="s">
        <v>445</v>
      </c>
      <c r="C136" s="118" t="s">
        <v>559</v>
      </c>
      <c r="D136" s="118" t="s">
        <v>707</v>
      </c>
      <c r="E136" s="119" t="s">
        <v>714</v>
      </c>
      <c r="F136" s="118" t="s">
        <v>425</v>
      </c>
      <c r="G136" s="118"/>
      <c r="H136" s="118" t="s">
        <v>709</v>
      </c>
      <c r="I136" s="106"/>
      <c r="J136" s="106"/>
      <c r="K136" s="120">
        <v>30</v>
      </c>
      <c r="L136" s="181">
        <v>2660</v>
      </c>
      <c r="M136" s="181">
        <v>2660</v>
      </c>
      <c r="N136" s="181">
        <v>2660</v>
      </c>
      <c r="O136" s="181">
        <v>2660</v>
      </c>
      <c r="P136" s="181">
        <v>2660</v>
      </c>
      <c r="Q136" s="181">
        <v>0.10</v>
      </c>
      <c r="R136" s="118"/>
      <c r="S136" s="122">
        <v>1</v>
      </c>
      <c r="T136" s="118"/>
      <c r="U136" s="118"/>
      <c r="V136" s="118"/>
      <c r="W136" s="118"/>
      <c r="X136" s="118"/>
      <c r="Y136" s="122"/>
      <c r="Z136" s="122"/>
      <c r="AA136" s="122"/>
      <c r="AB136" s="122"/>
      <c r="AC136" s="122"/>
      <c r="AD136" s="122"/>
      <c r="AE136" s="182">
        <v>1</v>
      </c>
      <c r="AF136" s="182">
        <v>1</v>
      </c>
      <c r="AG136" s="182"/>
      <c r="AH136" s="124"/>
      <c r="AI136" s="124"/>
      <c r="AJ136" s="124"/>
      <c r="AK136" s="124"/>
      <c r="AL136" s="124"/>
      <c r="AM136" s="124"/>
      <c r="AN136" s="124"/>
      <c r="AO136" s="118"/>
      <c r="AP136" s="183"/>
      <c r="AQ136" s="118" t="s">
        <v>562</v>
      </c>
      <c r="AR136" s="181"/>
      <c r="AS136" s="181"/>
      <c r="AT136" s="106"/>
    </row>
    <row r="137" spans="1:46" ht="14.25">
      <c r="A137" s="102" t="s">
        <v>563</v>
      </c>
      <c r="B137" s="106" t="s">
        <v>446</v>
      </c>
      <c r="C137" s="106" t="s">
        <v>564</v>
      </c>
      <c r="D137" s="106" t="s">
        <v>707</v>
      </c>
      <c r="E137" s="107" t="s">
        <v>715</v>
      </c>
      <c r="F137" s="106" t="s">
        <v>425</v>
      </c>
      <c r="G137" s="106" t="s">
        <v>566</v>
      </c>
      <c r="H137" s="106" t="s">
        <v>716</v>
      </c>
      <c r="I137" s="106"/>
      <c r="J137" s="106"/>
      <c r="K137" s="108">
        <v>20</v>
      </c>
      <c r="L137" s="141">
        <v>13570.10</v>
      </c>
      <c r="M137" s="141">
        <v>12891.594999999999</v>
      </c>
      <c r="N137" s="141">
        <v>11670.285999999998</v>
      </c>
      <c r="O137" s="141">
        <v>11127.481999999998</v>
      </c>
      <c r="P137" s="141">
        <v>11127.481999999998</v>
      </c>
      <c r="Q137" s="141">
        <v>325</v>
      </c>
      <c r="R137" s="106"/>
      <c r="S137" s="127"/>
      <c r="T137" s="127"/>
      <c r="U137" s="127"/>
      <c r="V137" s="127"/>
      <c r="W137" s="127"/>
      <c r="X137" s="184">
        <v>3</v>
      </c>
      <c r="Y137" s="184">
        <v>3.70</v>
      </c>
      <c r="Z137" s="184">
        <v>3.70</v>
      </c>
      <c r="AA137" s="184">
        <v>3.70</v>
      </c>
      <c r="AB137" s="184">
        <v>3.70</v>
      </c>
      <c r="AC137" s="184">
        <v>3.70</v>
      </c>
      <c r="AD137" s="184"/>
      <c r="AE137" s="185">
        <v>0.70</v>
      </c>
      <c r="AF137" s="185"/>
      <c r="AG137" s="185"/>
      <c r="AH137" s="110"/>
      <c r="AI137" s="110"/>
      <c r="AJ137" s="110"/>
      <c r="AK137" s="110"/>
      <c r="AL137" s="110"/>
      <c r="AM137" s="110"/>
      <c r="AN137" s="110"/>
      <c r="AO137" s="106" t="s">
        <v>542</v>
      </c>
      <c r="AP137" s="174"/>
      <c r="AQ137" s="106" t="s">
        <v>569</v>
      </c>
      <c r="AR137" s="141"/>
      <c r="AS137" s="141"/>
      <c r="AT137" s="106"/>
    </row>
    <row r="138" spans="1:46" ht="14.25">
      <c r="A138" s="114" t="s">
        <v>538</v>
      </c>
      <c r="B138" s="106" t="str">
        <f>B137&amp;"-"&amp;RIGHT(F138,3)&amp;"spl"</f>
        <v>R_ES-SH-FL_ELC02-ELCspl</v>
      </c>
      <c r="C138" s="106" t="s">
        <v>570</v>
      </c>
      <c r="D138" s="106" t="s">
        <v>707</v>
      </c>
      <c r="E138" s="107" t="s">
        <v>714</v>
      </c>
      <c r="F138" s="106" t="s">
        <v>425</v>
      </c>
      <c r="G138" s="106"/>
      <c r="H138" s="106" t="s">
        <v>709</v>
      </c>
      <c r="I138" s="106"/>
      <c r="J138" s="106"/>
      <c r="K138" s="129">
        <v>15</v>
      </c>
      <c r="L138" s="109">
        <v>2702.2521044776117</v>
      </c>
      <c r="M138" s="109">
        <v>2702.2521044776117</v>
      </c>
      <c r="N138" s="109">
        <v>2702.2521044776117</v>
      </c>
      <c r="O138" s="109">
        <v>2702.2521044776117</v>
      </c>
      <c r="P138" s="109">
        <v>2702.2521044776117</v>
      </c>
      <c r="Q138" s="109">
        <v>0.10</v>
      </c>
      <c r="R138" s="106"/>
      <c r="S138" s="110">
        <v>1</v>
      </c>
      <c r="T138" s="110">
        <v>1</v>
      </c>
      <c r="U138" s="110">
        <v>1</v>
      </c>
      <c r="V138" s="110">
        <v>1</v>
      </c>
      <c r="W138" s="110">
        <v>1</v>
      </c>
      <c r="X138" s="127"/>
      <c r="Y138" s="127"/>
      <c r="Z138" s="127"/>
      <c r="AA138" s="127"/>
      <c r="AB138" s="127"/>
      <c r="AC138" s="127"/>
      <c r="AD138" s="127"/>
      <c r="AE138" s="179">
        <v>0.30</v>
      </c>
      <c r="AF138" s="179">
        <v>1</v>
      </c>
      <c r="AG138" s="179"/>
      <c r="AH138" s="110"/>
      <c r="AI138" s="110"/>
      <c r="AJ138" s="110"/>
      <c r="AK138" s="110"/>
      <c r="AL138" s="110"/>
      <c r="AM138" s="110"/>
      <c r="AN138" s="110"/>
      <c r="AO138" s="106"/>
      <c r="AP138" s="174"/>
      <c r="AQ138" s="106" t="s">
        <v>571</v>
      </c>
      <c r="AR138" s="109"/>
      <c r="AS138" s="109"/>
      <c r="AT138" s="106"/>
    </row>
    <row r="139" spans="1:46" ht="14.25">
      <c r="A139" s="114" t="s">
        <v>538</v>
      </c>
      <c r="B139" s="106" t="str">
        <f>B137&amp;"-"&amp;RIGHT(F139,3)&amp;"spl"</f>
        <v>R_ES-SH-FL_ELC02-GASspl</v>
      </c>
      <c r="C139" s="106" t="s">
        <v>572</v>
      </c>
      <c r="D139" s="106" t="s">
        <v>707</v>
      </c>
      <c r="E139" s="107" t="s">
        <v>712</v>
      </c>
      <c r="F139" s="106" t="s">
        <v>573</v>
      </c>
      <c r="G139" s="106"/>
      <c r="H139" s="106" t="s">
        <v>709</v>
      </c>
      <c r="I139" s="106"/>
      <c r="J139" s="106"/>
      <c r="K139" s="108">
        <f>K131</f>
        <v>22</v>
      </c>
      <c r="L139" s="109">
        <v>2144.15</v>
      </c>
      <c r="M139" s="109">
        <v>1801.40</v>
      </c>
      <c r="N139" s="109">
        <v>1458.65</v>
      </c>
      <c r="O139" s="109">
        <v>1458.65</v>
      </c>
      <c r="P139" s="109">
        <v>1458.65</v>
      </c>
      <c r="Q139" s="109">
        <v>190</v>
      </c>
      <c r="R139" s="106"/>
      <c r="S139" s="110">
        <v>0.86075417947372368</v>
      </c>
      <c r="T139" s="110">
        <v>0.86075417947372368</v>
      </c>
      <c r="U139" s="110">
        <v>0.86075417947372368</v>
      </c>
      <c r="V139" s="110">
        <v>0.86075417947372368</v>
      </c>
      <c r="W139" s="110">
        <v>0.86075417947372368</v>
      </c>
      <c r="X139" s="127"/>
      <c r="Y139" s="127"/>
      <c r="Z139" s="127"/>
      <c r="AA139" s="127"/>
      <c r="AB139" s="127"/>
      <c r="AC139" s="127"/>
      <c r="AD139" s="127"/>
      <c r="AE139" s="179">
        <v>0.30</v>
      </c>
      <c r="AF139" s="179">
        <v>1</v>
      </c>
      <c r="AG139" s="179"/>
      <c r="AH139" s="110"/>
      <c r="AI139" s="110"/>
      <c r="AJ139" s="110"/>
      <c r="AK139" s="110"/>
      <c r="AL139" s="110"/>
      <c r="AM139" s="110"/>
      <c r="AN139" s="110"/>
      <c r="AO139" s="106" t="s">
        <v>542</v>
      </c>
      <c r="AP139" s="174"/>
      <c r="AQ139" s="106" t="s">
        <v>571</v>
      </c>
      <c r="AR139" s="109"/>
      <c r="AS139" s="109"/>
      <c r="AT139" s="106"/>
    </row>
    <row r="140" spans="1:46" ht="14.25">
      <c r="A140" s="114" t="s">
        <v>538</v>
      </c>
      <c r="B140" s="106" t="str">
        <f>B137&amp;"-"&amp;RIGHT(F140,3)&amp;"spl"</f>
        <v>R_ES-SH-FL_ELC02-BIOspl</v>
      </c>
      <c r="C140" s="106" t="s">
        <v>574</v>
      </c>
      <c r="D140" s="106" t="s">
        <v>707</v>
      </c>
      <c r="E140" s="107" t="s">
        <v>713</v>
      </c>
      <c r="F140" s="106" t="s">
        <v>546</v>
      </c>
      <c r="G140" s="106"/>
      <c r="H140" s="106" t="s">
        <v>709</v>
      </c>
      <c r="I140" s="106"/>
      <c r="J140" s="106"/>
      <c r="K140" s="108">
        <f>K135</f>
        <v>20</v>
      </c>
      <c r="L140" s="109">
        <v>10462.50</v>
      </c>
      <c r="M140" s="109">
        <v>10462.50</v>
      </c>
      <c r="N140" s="109">
        <v>10462.50</v>
      </c>
      <c r="O140" s="109">
        <v>10462.50</v>
      </c>
      <c r="P140" s="109">
        <v>10462.50</v>
      </c>
      <c r="Q140" s="109">
        <v>200</v>
      </c>
      <c r="R140" s="106"/>
      <c r="S140" s="110">
        <v>0.85</v>
      </c>
      <c r="T140" s="110">
        <v>0.87</v>
      </c>
      <c r="U140" s="110">
        <v>0.91</v>
      </c>
      <c r="V140" s="110">
        <v>0.95</v>
      </c>
      <c r="W140" s="110">
        <v>0.95</v>
      </c>
      <c r="X140" s="127"/>
      <c r="Y140" s="127"/>
      <c r="Z140" s="127"/>
      <c r="AA140" s="127"/>
      <c r="AB140" s="127"/>
      <c r="AC140" s="127"/>
      <c r="AD140" s="127"/>
      <c r="AE140" s="179">
        <v>0.30</v>
      </c>
      <c r="AF140" s="179">
        <v>1</v>
      </c>
      <c r="AG140" s="179"/>
      <c r="AH140" s="110"/>
      <c r="AI140" s="110"/>
      <c r="AJ140" s="110"/>
      <c r="AK140" s="110"/>
      <c r="AL140" s="110"/>
      <c r="AM140" s="110"/>
      <c r="AN140" s="110"/>
      <c r="AO140" s="106" t="s">
        <v>542</v>
      </c>
      <c r="AP140" s="174"/>
      <c r="AQ140" s="106" t="s">
        <v>571</v>
      </c>
      <c r="AR140" s="109"/>
      <c r="AS140" s="109"/>
      <c r="AT140" s="106"/>
    </row>
    <row r="141" spans="1:46" ht="14.25">
      <c r="A141" s="114" t="s">
        <v>538</v>
      </c>
      <c r="B141" s="106" t="str">
        <f>B137&amp;"-"&amp;RIGHT(F141,3)&amp;"spl"</f>
        <v>R_ES-SH-FL_ELC02-SOLspl</v>
      </c>
      <c r="C141" s="106" t="s">
        <v>575</v>
      </c>
      <c r="D141" s="106" t="s">
        <v>707</v>
      </c>
      <c r="E141" s="107" t="s">
        <v>710</v>
      </c>
      <c r="F141" s="106" t="s">
        <v>541</v>
      </c>
      <c r="G141" s="106"/>
      <c r="H141" s="106" t="s">
        <v>709</v>
      </c>
      <c r="I141" s="106"/>
      <c r="J141" s="106"/>
      <c r="K141" s="129">
        <v>20</v>
      </c>
      <c r="L141" s="109">
        <v>6800</v>
      </c>
      <c r="M141" s="109">
        <v>6800</v>
      </c>
      <c r="N141" s="109">
        <v>6800</v>
      </c>
      <c r="O141" s="109">
        <v>6800</v>
      </c>
      <c r="P141" s="109">
        <v>6800</v>
      </c>
      <c r="Q141" s="109">
        <v>38.333333333333336</v>
      </c>
      <c r="R141" s="106"/>
      <c r="S141" s="110">
        <v>1</v>
      </c>
      <c r="T141" s="110">
        <v>1</v>
      </c>
      <c r="U141" s="110">
        <v>1</v>
      </c>
      <c r="V141" s="110">
        <v>1</v>
      </c>
      <c r="W141" s="110">
        <v>1</v>
      </c>
      <c r="X141" s="127"/>
      <c r="Y141" s="127"/>
      <c r="Z141" s="127"/>
      <c r="AA141" s="127"/>
      <c r="AB141" s="127"/>
      <c r="AC141" s="127"/>
      <c r="AD141" s="127"/>
      <c r="AE141" s="179">
        <v>0.30</v>
      </c>
      <c r="AF141" s="179">
        <v>1</v>
      </c>
      <c r="AG141" s="179"/>
      <c r="AH141" s="110"/>
      <c r="AI141" s="110"/>
      <c r="AJ141" s="110"/>
      <c r="AK141" s="110"/>
      <c r="AL141" s="110"/>
      <c r="AM141" s="110"/>
      <c r="AN141" s="110"/>
      <c r="AO141" s="106"/>
      <c r="AP141" s="174"/>
      <c r="AQ141" s="106" t="s">
        <v>571</v>
      </c>
      <c r="AR141" s="109"/>
      <c r="AS141" s="109"/>
      <c r="AT141" s="106"/>
    </row>
    <row r="142" spans="1:46" ht="14.25">
      <c r="A142" s="106" t="s">
        <v>563</v>
      </c>
      <c r="B142" s="106" t="s">
        <v>717</v>
      </c>
      <c r="C142" s="106" t="s">
        <v>577</v>
      </c>
      <c r="D142" s="106" t="s">
        <v>707</v>
      </c>
      <c r="E142" s="107" t="s">
        <v>718</v>
      </c>
      <c r="F142" s="106" t="s">
        <v>425</v>
      </c>
      <c r="G142" s="106" t="s">
        <v>566</v>
      </c>
      <c r="H142" s="106" t="s">
        <v>709</v>
      </c>
      <c r="I142" s="106"/>
      <c r="J142" s="106"/>
      <c r="K142" s="129">
        <v>20</v>
      </c>
      <c r="L142" s="141">
        <v>12000</v>
      </c>
      <c r="M142" s="141">
        <v>12000</v>
      </c>
      <c r="N142" s="141">
        <v>10666.666666666666</v>
      </c>
      <c r="O142" s="141">
        <v>9333.3333333333339</v>
      </c>
      <c r="P142" s="141">
        <v>9333.3333333333339</v>
      </c>
      <c r="Q142" s="141">
        <v>15</v>
      </c>
      <c r="R142" s="142"/>
      <c r="S142" s="148">
        <v>3.10</v>
      </c>
      <c r="T142" s="148">
        <v>3.30</v>
      </c>
      <c r="U142" s="148">
        <v>3.70</v>
      </c>
      <c r="V142" s="148">
        <v>4</v>
      </c>
      <c r="W142" s="148">
        <v>4</v>
      </c>
      <c r="X142" s="106"/>
      <c r="Y142" s="130"/>
      <c r="Z142" s="130"/>
      <c r="AA142" s="130"/>
      <c r="AB142" s="130"/>
      <c r="AC142" s="130"/>
      <c r="AD142" s="130"/>
      <c r="AE142" s="178">
        <v>1</v>
      </c>
      <c r="AF142" s="178">
        <v>1</v>
      </c>
      <c r="AG142" s="178"/>
      <c r="AH142" s="111"/>
      <c r="AI142" s="111"/>
      <c r="AJ142" s="111"/>
      <c r="AK142" s="111"/>
      <c r="AL142" s="111"/>
      <c r="AM142" s="111"/>
      <c r="AN142" s="111"/>
      <c r="AO142" s="106"/>
      <c r="AP142" s="174"/>
      <c r="AQ142" s="106"/>
      <c r="AR142" s="141"/>
      <c r="AS142" s="141"/>
      <c r="AT142" s="106"/>
    </row>
    <row r="143" spans="1:46" ht="14.25">
      <c r="A143" s="106" t="s">
        <v>563</v>
      </c>
      <c r="B143" s="106" t="s">
        <v>719</v>
      </c>
      <c r="C143" s="106" t="s">
        <v>580</v>
      </c>
      <c r="D143" s="106" t="s">
        <v>707</v>
      </c>
      <c r="E143" s="107" t="str">
        <f>E142&amp;" + add costs"</f>
        <v>HP-e-air-to-water_large + add costs</v>
      </c>
      <c r="F143" s="106" t="s">
        <v>425</v>
      </c>
      <c r="G143" s="106" t="s">
        <v>566</v>
      </c>
      <c r="H143" s="106" t="s">
        <v>720</v>
      </c>
      <c r="I143" s="106"/>
      <c r="J143" s="106"/>
      <c r="K143" s="108">
        <f>K19</f>
        <v>20</v>
      </c>
      <c r="L143" s="109">
        <v>13200.000000000002</v>
      </c>
      <c r="M143" s="109">
        <v>13200.000000000002</v>
      </c>
      <c r="N143" s="109">
        <v>11733.333333333334</v>
      </c>
      <c r="O143" s="109">
        <v>10266.666666666668</v>
      </c>
      <c r="P143" s="109">
        <v>10266.666666666668</v>
      </c>
      <c r="Q143" s="109">
        <v>16.50</v>
      </c>
      <c r="R143" s="106"/>
      <c r="S143" s="127">
        <f>S19</f>
        <v>3.1000000000000001</v>
      </c>
      <c r="T143" s="127">
        <f>T19</f>
        <v>3.2999999999999998</v>
      </c>
      <c r="U143" s="127">
        <f>U19</f>
        <v>3.7000000000000002</v>
      </c>
      <c r="V143" s="127">
        <f>V19</f>
        <v>4</v>
      </c>
      <c r="W143" s="127">
        <f>W19</f>
        <v>4</v>
      </c>
      <c r="X143" s="106"/>
      <c r="Y143" s="106"/>
      <c r="Z143" s="106"/>
      <c r="AA143" s="106"/>
      <c r="AB143" s="106"/>
      <c r="AC143" s="106"/>
      <c r="AD143" s="106"/>
      <c r="AE143" s="179">
        <f>AE19</f>
        <v>1</v>
      </c>
      <c r="AF143" s="179">
        <f>AF19</f>
        <v>1</v>
      </c>
      <c r="AG143" s="179">
        <v>1</v>
      </c>
      <c r="AH143" s="132"/>
      <c r="AI143" s="132"/>
      <c r="AJ143" s="132"/>
      <c r="AK143" s="132"/>
      <c r="AL143" s="132"/>
      <c r="AM143" s="132"/>
      <c r="AN143" s="132">
        <v>1.1000000000000001</v>
      </c>
      <c r="AO143" s="106"/>
      <c r="AP143" s="174"/>
      <c r="AQ143" s="106"/>
      <c r="AR143" s="109"/>
      <c r="AS143" s="109"/>
      <c r="AT143" s="106"/>
    </row>
    <row r="144" spans="1:46" ht="14.25">
      <c r="A144" s="106" t="s">
        <v>563</v>
      </c>
      <c r="B144" s="106" t="s">
        <v>721</v>
      </c>
      <c r="C144" s="106" t="s">
        <v>583</v>
      </c>
      <c r="D144" s="106" t="s">
        <v>707</v>
      </c>
      <c r="E144" s="107" t="s">
        <v>722</v>
      </c>
      <c r="F144" s="106" t="s">
        <v>425</v>
      </c>
      <c r="G144" s="106" t="s">
        <v>585</v>
      </c>
      <c r="H144" s="106" t="s">
        <v>709</v>
      </c>
      <c r="I144" s="106"/>
      <c r="J144" s="106"/>
      <c r="K144" s="108">
        <v>20</v>
      </c>
      <c r="L144" s="109">
        <v>10950</v>
      </c>
      <c r="M144" s="109">
        <v>10950</v>
      </c>
      <c r="N144" s="109">
        <v>9745.50</v>
      </c>
      <c r="O144" s="109">
        <v>8541</v>
      </c>
      <c r="P144" s="109">
        <v>8541</v>
      </c>
      <c r="Q144" s="109">
        <v>50</v>
      </c>
      <c r="R144" s="106"/>
      <c r="S144" s="130">
        <v>3.60</v>
      </c>
      <c r="T144" s="130">
        <v>3.70</v>
      </c>
      <c r="U144" s="130">
        <v>4</v>
      </c>
      <c r="V144" s="130">
        <v>4.50</v>
      </c>
      <c r="W144" s="130">
        <v>4.50</v>
      </c>
      <c r="X144" s="106"/>
      <c r="Y144" s="130"/>
      <c r="Z144" s="130"/>
      <c r="AA144" s="130"/>
      <c r="AB144" s="130"/>
      <c r="AC144" s="130"/>
      <c r="AD144" s="130"/>
      <c r="AE144" s="176">
        <v>1</v>
      </c>
      <c r="AF144" s="176">
        <v>1</v>
      </c>
      <c r="AG144" s="176"/>
      <c r="AH144" s="115"/>
      <c r="AI144" s="115"/>
      <c r="AJ144" s="115"/>
      <c r="AK144" s="115"/>
      <c r="AL144" s="115"/>
      <c r="AM144" s="115"/>
      <c r="AN144" s="115"/>
      <c r="AO144" s="106"/>
      <c r="AP144" s="174"/>
      <c r="AQ144" s="106"/>
      <c r="AR144" s="109"/>
      <c r="AS144" s="109"/>
      <c r="AT144" s="106"/>
    </row>
    <row r="145" spans="1:46" ht="14.25">
      <c r="A145" s="106" t="s">
        <v>563</v>
      </c>
      <c r="B145" s="106" t="s">
        <v>723</v>
      </c>
      <c r="C145" s="106" t="s">
        <v>587</v>
      </c>
      <c r="D145" s="106" t="s">
        <v>707</v>
      </c>
      <c r="E145" s="107" t="str">
        <f>E144&amp;" + add costs"</f>
        <v>Heat pump, ground source_large + add costs</v>
      </c>
      <c r="F145" s="106" t="s">
        <v>425</v>
      </c>
      <c r="G145" s="106" t="s">
        <v>585</v>
      </c>
      <c r="H145" s="106" t="s">
        <v>720</v>
      </c>
      <c r="I145" s="106"/>
      <c r="J145" s="106"/>
      <c r="K145" s="108">
        <f>K21</f>
        <v>20</v>
      </c>
      <c r="L145" s="109">
        <v>12045.000000000002</v>
      </c>
      <c r="M145" s="109">
        <v>12045.000000000002</v>
      </c>
      <c r="N145" s="109">
        <v>10720.050000000001</v>
      </c>
      <c r="O145" s="109">
        <v>9395.10</v>
      </c>
      <c r="P145" s="109">
        <v>9395.10</v>
      </c>
      <c r="Q145" s="109">
        <v>55.000000000000007</v>
      </c>
      <c r="R145" s="106"/>
      <c r="S145" s="127">
        <f>S21</f>
        <v>3.6000000000000001</v>
      </c>
      <c r="T145" s="127">
        <f>T21</f>
        <v>3.7000000000000002</v>
      </c>
      <c r="U145" s="127">
        <f>U21</f>
        <v>4</v>
      </c>
      <c r="V145" s="127">
        <f>V21</f>
        <v>4.5</v>
      </c>
      <c r="W145" s="127">
        <f>W21</f>
        <v>4.5</v>
      </c>
      <c r="X145" s="106"/>
      <c r="Y145" s="106"/>
      <c r="Z145" s="106"/>
      <c r="AA145" s="106"/>
      <c r="AB145" s="106"/>
      <c r="AC145" s="106"/>
      <c r="AD145" s="106"/>
      <c r="AE145" s="173">
        <f>AE21</f>
        <v>1</v>
      </c>
      <c r="AF145" s="173">
        <f>AF21</f>
        <v>1</v>
      </c>
      <c r="AG145" s="173">
        <v>1</v>
      </c>
      <c r="AH145" s="131"/>
      <c r="AI145" s="131"/>
      <c r="AJ145" s="131"/>
      <c r="AK145" s="131"/>
      <c r="AL145" s="131"/>
      <c r="AM145" s="131"/>
      <c r="AN145" s="131">
        <v>1.1000000000000001</v>
      </c>
      <c r="AO145" s="106"/>
      <c r="AP145" s="174"/>
      <c r="AQ145" s="106"/>
      <c r="AR145" s="109"/>
      <c r="AS145" s="109"/>
      <c r="AT145" s="106"/>
    </row>
    <row r="146" spans="1:46" ht="14.25">
      <c r="A146" s="106" t="s">
        <v>563</v>
      </c>
      <c r="B146" s="106" t="s">
        <v>447</v>
      </c>
      <c r="C146" s="106" t="s">
        <v>589</v>
      </c>
      <c r="D146" s="106" t="s">
        <v>707</v>
      </c>
      <c r="E146" s="107" t="str">
        <f>E144</f>
        <v>Heat pump, ground source_large</v>
      </c>
      <c r="F146" s="106" t="s">
        <v>425</v>
      </c>
      <c r="G146" s="106" t="s">
        <v>585</v>
      </c>
      <c r="H146" s="106" t="s">
        <v>709</v>
      </c>
      <c r="I146" s="106"/>
      <c r="J146" s="106"/>
      <c r="K146" s="108">
        <v>20</v>
      </c>
      <c r="L146" s="109">
        <v>17925</v>
      </c>
      <c r="M146" s="109">
        <v>17925</v>
      </c>
      <c r="N146" s="109">
        <v>17408.785714285714</v>
      </c>
      <c r="O146" s="109">
        <v>16892.571428571428</v>
      </c>
      <c r="P146" s="109">
        <v>16892.571428571428</v>
      </c>
      <c r="Q146" s="109">
        <v>3.5714285714285716</v>
      </c>
      <c r="R146" s="106"/>
      <c r="S146" s="130">
        <v>3.60</v>
      </c>
      <c r="T146" s="130">
        <v>3.70</v>
      </c>
      <c r="U146" s="130">
        <v>4</v>
      </c>
      <c r="V146" s="130">
        <v>4.50</v>
      </c>
      <c r="W146" s="130">
        <v>4.50</v>
      </c>
      <c r="X146" s="106"/>
      <c r="Y146" s="130"/>
      <c r="Z146" s="130"/>
      <c r="AA146" s="130"/>
      <c r="AB146" s="130"/>
      <c r="AC146" s="130"/>
      <c r="AD146" s="130"/>
      <c r="AE146" s="176">
        <v>1</v>
      </c>
      <c r="AF146" s="176">
        <v>1</v>
      </c>
      <c r="AG146" s="176"/>
      <c r="AH146" s="115"/>
      <c r="AI146" s="115"/>
      <c r="AJ146" s="115"/>
      <c r="AK146" s="115"/>
      <c r="AL146" s="115"/>
      <c r="AM146" s="115"/>
      <c r="AN146" s="115"/>
      <c r="AO146" s="106" t="s">
        <v>542</v>
      </c>
      <c r="AP146" s="174"/>
      <c r="AQ146" s="106" t="s">
        <v>590</v>
      </c>
      <c r="AR146" s="109"/>
      <c r="AS146" s="109"/>
      <c r="AT146" s="106"/>
    </row>
    <row r="147" spans="1:46" ht="14.25">
      <c r="A147" s="106" t="s">
        <v>563</v>
      </c>
      <c r="B147" s="106" t="s">
        <v>724</v>
      </c>
      <c r="C147" s="106" t="s">
        <v>592</v>
      </c>
      <c r="D147" s="106" t="s">
        <v>707</v>
      </c>
      <c r="E147" s="107" t="str">
        <f>E146&amp;" + add costs"</f>
        <v>Heat pump, ground source_large + add costs</v>
      </c>
      <c r="F147" s="106" t="s">
        <v>425</v>
      </c>
      <c r="G147" s="106" t="s">
        <v>585</v>
      </c>
      <c r="H147" s="106" t="s">
        <v>720</v>
      </c>
      <c r="I147" s="106"/>
      <c r="J147" s="106"/>
      <c r="K147" s="108">
        <f>K23</f>
        <v>20</v>
      </c>
      <c r="L147" s="109">
        <v>19717.50</v>
      </c>
      <c r="M147" s="109">
        <v>19717.50</v>
      </c>
      <c r="N147" s="109">
        <v>19149.664285714287</v>
      </c>
      <c r="O147" s="109">
        <v>18581.82857142857</v>
      </c>
      <c r="P147" s="109">
        <v>18581.82857142857</v>
      </c>
      <c r="Q147" s="109">
        <v>3.9285714285714293</v>
      </c>
      <c r="R147" s="106"/>
      <c r="S147" s="127">
        <f>S23</f>
        <v>3.6000000000000001</v>
      </c>
      <c r="T147" s="127">
        <f>T23</f>
        <v>3.7000000000000002</v>
      </c>
      <c r="U147" s="127">
        <f>U23</f>
        <v>4</v>
      </c>
      <c r="V147" s="127">
        <f>V23</f>
        <v>4.5</v>
      </c>
      <c r="W147" s="127">
        <f>W23</f>
        <v>4.5</v>
      </c>
      <c r="X147" s="106"/>
      <c r="Y147" s="106"/>
      <c r="Z147" s="106"/>
      <c r="AA147" s="106"/>
      <c r="AB147" s="106"/>
      <c r="AC147" s="106"/>
      <c r="AD147" s="106"/>
      <c r="AE147" s="173">
        <f>AE23</f>
        <v>1</v>
      </c>
      <c r="AF147" s="173">
        <f>AF23</f>
        <v>1</v>
      </c>
      <c r="AG147" s="173">
        <v>1</v>
      </c>
      <c r="AH147" s="131"/>
      <c r="AI147" s="131"/>
      <c r="AJ147" s="131"/>
      <c r="AK147" s="131"/>
      <c r="AL147" s="131"/>
      <c r="AM147" s="131"/>
      <c r="AN147" s="131">
        <v>1.1000000000000001</v>
      </c>
      <c r="AO147" s="106" t="s">
        <v>542</v>
      </c>
      <c r="AP147" s="174"/>
      <c r="AQ147" s="106"/>
      <c r="AR147" s="109"/>
      <c r="AS147" s="109"/>
      <c r="AT147" s="106"/>
    </row>
    <row r="148" spans="1:46" ht="14.25">
      <c r="A148" s="106" t="s">
        <v>563</v>
      </c>
      <c r="B148" s="106" t="s">
        <v>725</v>
      </c>
      <c r="C148" s="106" t="s">
        <v>595</v>
      </c>
      <c r="D148" s="106" t="s">
        <v>707</v>
      </c>
      <c r="E148" s="107" t="s">
        <v>726</v>
      </c>
      <c r="F148" s="106" t="s">
        <v>425</v>
      </c>
      <c r="G148" s="106" t="s">
        <v>585</v>
      </c>
      <c r="H148" s="106" t="s">
        <v>709</v>
      </c>
      <c r="I148" s="106"/>
      <c r="J148" s="106"/>
      <c r="K148" s="108">
        <v>25</v>
      </c>
      <c r="L148" s="109">
        <v>17628.333333333332</v>
      </c>
      <c r="M148" s="109">
        <v>17628.333333333332</v>
      </c>
      <c r="N148" s="109">
        <v>14003.333333333334</v>
      </c>
      <c r="O148" s="109">
        <v>14003.333333333334</v>
      </c>
      <c r="P148" s="109">
        <v>12553.333333333334</v>
      </c>
      <c r="Q148" s="109">
        <v>50</v>
      </c>
      <c r="R148" s="106"/>
      <c r="S148" s="130">
        <v>3.52</v>
      </c>
      <c r="T148" s="130">
        <v>3.52</v>
      </c>
      <c r="U148" s="130">
        <v>4.9279999999999999</v>
      </c>
      <c r="V148" s="130">
        <v>4.9279999999999999</v>
      </c>
      <c r="W148" s="130">
        <v>5.28</v>
      </c>
      <c r="X148" s="106"/>
      <c r="Y148" s="110"/>
      <c r="Z148" s="110"/>
      <c r="AA148" s="110"/>
      <c r="AB148" s="110"/>
      <c r="AC148" s="110"/>
      <c r="AD148" s="110"/>
      <c r="AE148" s="179">
        <v>1</v>
      </c>
      <c r="AF148" s="179">
        <v>1</v>
      </c>
      <c r="AG148" s="179"/>
      <c r="AH148" s="106"/>
      <c r="AI148" s="106"/>
      <c r="AJ148" s="106"/>
      <c r="AK148" s="106"/>
      <c r="AL148" s="106"/>
      <c r="AM148" s="106"/>
      <c r="AN148" s="106"/>
      <c r="AO148" s="106" t="s">
        <v>542</v>
      </c>
      <c r="AP148" s="174"/>
      <c r="AQ148" s="106" t="s">
        <v>597</v>
      </c>
      <c r="AR148" s="109"/>
      <c r="AS148" s="109"/>
      <c r="AT148" s="106"/>
    </row>
    <row r="149" spans="1:46" ht="14.25">
      <c r="A149" s="118" t="s">
        <v>563</v>
      </c>
      <c r="B149" s="118" t="s">
        <v>727</v>
      </c>
      <c r="C149" s="118" t="s">
        <v>599</v>
      </c>
      <c r="D149" s="118" t="s">
        <v>707</v>
      </c>
      <c r="E149" s="119" t="str">
        <f>E148&amp;" + add costs"</f>
        <v>HP-e-groundwater_large + add costs</v>
      </c>
      <c r="F149" s="118" t="s">
        <v>425</v>
      </c>
      <c r="G149" s="118" t="s">
        <v>585</v>
      </c>
      <c r="H149" s="118" t="s">
        <v>720</v>
      </c>
      <c r="I149" s="106"/>
      <c r="J149" s="106"/>
      <c r="K149" s="133">
        <f>K25</f>
        <v>25</v>
      </c>
      <c r="L149" s="134">
        <v>19391.166666666668</v>
      </c>
      <c r="M149" s="134">
        <v>19391.166666666668</v>
      </c>
      <c r="N149" s="134">
        <v>15403.666666666668</v>
      </c>
      <c r="O149" s="134">
        <v>15403.666666666668</v>
      </c>
      <c r="P149" s="134">
        <v>13808.666666666668</v>
      </c>
      <c r="Q149" s="134">
        <v>55.000000000000007</v>
      </c>
      <c r="R149" s="118"/>
      <c r="S149" s="135">
        <f>S25</f>
        <v>3.52</v>
      </c>
      <c r="T149" s="135">
        <f>T25</f>
        <v>3.52</v>
      </c>
      <c r="U149" s="135">
        <f>U25</f>
        <v>4.9279999999999999</v>
      </c>
      <c r="V149" s="135">
        <f>V25</f>
        <v>4.9279999999999999</v>
      </c>
      <c r="W149" s="135">
        <f>W25</f>
        <v>5.2800000000000002</v>
      </c>
      <c r="X149" s="118"/>
      <c r="Y149" s="118"/>
      <c r="Z149" s="118"/>
      <c r="AA149" s="118"/>
      <c r="AB149" s="118"/>
      <c r="AC149" s="118"/>
      <c r="AD149" s="118"/>
      <c r="AE149" s="186">
        <f>AE25</f>
        <v>1</v>
      </c>
      <c r="AF149" s="186">
        <f>AF25</f>
        <v>1</v>
      </c>
      <c r="AG149" s="186">
        <v>1</v>
      </c>
      <c r="AH149" s="136"/>
      <c r="AI149" s="136"/>
      <c r="AJ149" s="136"/>
      <c r="AK149" s="136"/>
      <c r="AL149" s="136"/>
      <c r="AM149" s="136"/>
      <c r="AN149" s="136">
        <v>1.1000000000000001</v>
      </c>
      <c r="AO149" s="118" t="s">
        <v>542</v>
      </c>
      <c r="AP149" s="183"/>
      <c r="AQ149" s="118" t="s">
        <v>597</v>
      </c>
      <c r="AR149" s="134"/>
      <c r="AS149" s="134"/>
      <c r="AT149" s="106"/>
    </row>
    <row r="150" spans="1:46" ht="14.25">
      <c r="A150" s="106" t="s">
        <v>601</v>
      </c>
      <c r="B150" s="106" t="s">
        <v>450</v>
      </c>
      <c r="C150" s="106" t="s">
        <v>602</v>
      </c>
      <c r="D150" s="106" t="s">
        <v>707</v>
      </c>
      <c r="E150" s="107" t="s">
        <v>728</v>
      </c>
      <c r="F150" s="106" t="s">
        <v>550</v>
      </c>
      <c r="G150" s="106" t="s">
        <v>566</v>
      </c>
      <c r="H150" s="106" t="s">
        <v>709</v>
      </c>
      <c r="I150" s="106"/>
      <c r="J150" s="106"/>
      <c r="K150" s="129">
        <v>22</v>
      </c>
      <c r="L150" s="141">
        <v>23120</v>
      </c>
      <c r="M150" s="141">
        <v>23120</v>
      </c>
      <c r="N150" s="141">
        <v>21732.800000000003</v>
      </c>
      <c r="O150" s="141">
        <v>21732.800000000003</v>
      </c>
      <c r="P150" s="141">
        <v>21732.800000000003</v>
      </c>
      <c r="Q150" s="141">
        <v>24</v>
      </c>
      <c r="R150" s="142"/>
      <c r="S150" s="138">
        <v>1.35</v>
      </c>
      <c r="T150" s="138">
        <v>1.45</v>
      </c>
      <c r="U150" s="138">
        <v>1.70</v>
      </c>
      <c r="V150" s="138">
        <v>1.70</v>
      </c>
      <c r="W150" s="138">
        <v>1.70</v>
      </c>
      <c r="X150" s="106"/>
      <c r="Y150" s="110"/>
      <c r="Z150" s="110"/>
      <c r="AA150" s="110"/>
      <c r="AB150" s="110"/>
      <c r="AC150" s="110"/>
      <c r="AD150" s="110"/>
      <c r="AE150" s="179">
        <v>1</v>
      </c>
      <c r="AF150" s="179">
        <v>1</v>
      </c>
      <c r="AG150" s="179"/>
      <c r="AH150" s="111"/>
      <c r="AI150" s="111"/>
      <c r="AJ150" s="111"/>
      <c r="AK150" s="111"/>
      <c r="AL150" s="111"/>
      <c r="AM150" s="111"/>
      <c r="AN150" s="111"/>
      <c r="AO150" s="106"/>
      <c r="AP150" s="174"/>
      <c r="AQ150" s="106"/>
      <c r="AR150" s="141"/>
      <c r="AS150" s="141"/>
      <c r="AT150" s="106"/>
    </row>
    <row r="151" spans="1:46" ht="14.25">
      <c r="A151" s="106" t="s">
        <v>601</v>
      </c>
      <c r="B151" s="106" t="s">
        <v>451</v>
      </c>
      <c r="C151" s="106" t="s">
        <v>606</v>
      </c>
      <c r="D151" s="106" t="s">
        <v>707</v>
      </c>
      <c r="E151" s="107" t="str">
        <f>E150&amp;" + add costs"</f>
        <v>GHP – absorption heat pump air/brine to water_large + add costs</v>
      </c>
      <c r="F151" s="106" t="s">
        <v>550</v>
      </c>
      <c r="G151" s="106" t="s">
        <v>566</v>
      </c>
      <c r="H151" s="106" t="s">
        <v>720</v>
      </c>
      <c r="I151" s="106"/>
      <c r="J151" s="106"/>
      <c r="K151" s="108">
        <f>K27</f>
        <v>22</v>
      </c>
      <c r="L151" s="109">
        <v>25432.000000000004</v>
      </c>
      <c r="M151" s="109">
        <v>25432.000000000004</v>
      </c>
      <c r="N151" s="109">
        <v>23906.080000000005</v>
      </c>
      <c r="O151" s="109">
        <v>23906.080000000005</v>
      </c>
      <c r="P151" s="109">
        <v>23906.080000000005</v>
      </c>
      <c r="Q151" s="109">
        <v>26.40</v>
      </c>
      <c r="R151" s="106"/>
      <c r="S151" s="127">
        <f>S27</f>
        <v>1.3500000000000001</v>
      </c>
      <c r="T151" s="127">
        <f>T27</f>
        <v>1.45</v>
      </c>
      <c r="U151" s="127">
        <f>U27</f>
        <v>1.7</v>
      </c>
      <c r="V151" s="127">
        <f>V27</f>
        <v>1.7</v>
      </c>
      <c r="W151" s="127">
        <f>W27</f>
        <v>1.7</v>
      </c>
      <c r="X151" s="106"/>
      <c r="Y151" s="106"/>
      <c r="Z151" s="106"/>
      <c r="AA151" s="106"/>
      <c r="AB151" s="106"/>
      <c r="AC151" s="106"/>
      <c r="AD151" s="106"/>
      <c r="AE151" s="173">
        <f>AE27</f>
        <v>1</v>
      </c>
      <c r="AF151" s="173">
        <f>AF27</f>
        <v>1</v>
      </c>
      <c r="AG151" s="173">
        <v>1</v>
      </c>
      <c r="AH151" s="131"/>
      <c r="AI151" s="131"/>
      <c r="AJ151" s="131"/>
      <c r="AK151" s="131"/>
      <c r="AL151" s="131"/>
      <c r="AM151" s="131"/>
      <c r="AN151" s="131">
        <v>1.1000000000000001</v>
      </c>
      <c r="AO151" s="106"/>
      <c r="AP151" s="174"/>
      <c r="AQ151" s="106"/>
      <c r="AR151" s="109"/>
      <c r="AS151" s="109"/>
      <c r="AT151" s="106"/>
    </row>
    <row r="152" spans="1:46" ht="14.25">
      <c r="A152" s="106" t="s">
        <v>601</v>
      </c>
      <c r="B152" s="106" t="s">
        <v>452</v>
      </c>
      <c r="C152" s="106" t="s">
        <v>607</v>
      </c>
      <c r="D152" s="106" t="s">
        <v>707</v>
      </c>
      <c r="E152" s="177" t="s">
        <v>608</v>
      </c>
      <c r="F152" s="106" t="s">
        <v>550</v>
      </c>
      <c r="G152" s="106" t="s">
        <v>566</v>
      </c>
      <c r="H152" s="106" t="s">
        <v>709</v>
      </c>
      <c r="I152" s="106"/>
      <c r="J152" s="106"/>
      <c r="K152" s="129">
        <v>20</v>
      </c>
      <c r="L152" s="141">
        <v>12997.333333333334</v>
      </c>
      <c r="M152" s="141">
        <v>12997.333333333334</v>
      </c>
      <c r="N152" s="141">
        <v>12997.333333333334</v>
      </c>
      <c r="O152" s="141">
        <v>12997.333333333334</v>
      </c>
      <c r="P152" s="141">
        <v>12997.333333333334</v>
      </c>
      <c r="Q152" s="141">
        <v>181.33333333333334</v>
      </c>
      <c r="R152" s="142"/>
      <c r="S152" s="127">
        <v>1.1200000000000001</v>
      </c>
      <c r="T152" s="106">
        <v>1.1200000000000001</v>
      </c>
      <c r="U152" s="106">
        <v>1.1200000000000001</v>
      </c>
      <c r="V152" s="106">
        <v>1.1200000000000001</v>
      </c>
      <c r="W152" s="106">
        <v>1.1200000000000001</v>
      </c>
      <c r="X152" s="106"/>
      <c r="Y152" s="140"/>
      <c r="Z152" s="140"/>
      <c r="AA152" s="140"/>
      <c r="AB152" s="140"/>
      <c r="AC152" s="140"/>
      <c r="AD152" s="140"/>
      <c r="AE152" s="185">
        <v>1</v>
      </c>
      <c r="AF152" s="185">
        <v>1</v>
      </c>
      <c r="AG152" s="185"/>
      <c r="AH152" s="139"/>
      <c r="AI152" s="139"/>
      <c r="AJ152" s="139"/>
      <c r="AK152" s="139"/>
      <c r="AL152" s="139"/>
      <c r="AM152" s="139"/>
      <c r="AN152" s="139"/>
      <c r="AO152" s="106"/>
      <c r="AP152" s="174"/>
      <c r="AQ152" s="106"/>
      <c r="AR152" s="141"/>
      <c r="AS152" s="141"/>
      <c r="AT152" s="106"/>
    </row>
    <row r="153" spans="1:46" ht="14.25">
      <c r="A153" s="106" t="s">
        <v>601</v>
      </c>
      <c r="B153" s="106" t="s">
        <v>729</v>
      </c>
      <c r="C153" s="106" t="s">
        <v>609</v>
      </c>
      <c r="D153" s="106" t="s">
        <v>707</v>
      </c>
      <c r="E153" s="177" t="str">
        <f>E152&amp;" + add costs"</f>
        <v>GHP – adsorption heat pump brine to water + Solar thermal collectors + add costs</v>
      </c>
      <c r="F153" s="106" t="s">
        <v>550</v>
      </c>
      <c r="G153" s="106" t="s">
        <v>566</v>
      </c>
      <c r="H153" s="106" t="s">
        <v>720</v>
      </c>
      <c r="I153" s="106"/>
      <c r="J153" s="106"/>
      <c r="K153" s="108">
        <f>K29</f>
        <v>20</v>
      </c>
      <c r="L153" s="109">
        <v>14297.066666666669</v>
      </c>
      <c r="M153" s="109">
        <v>14297.066666666669</v>
      </c>
      <c r="N153" s="109">
        <v>14297.066666666669</v>
      </c>
      <c r="O153" s="109">
        <v>14297.066666666669</v>
      </c>
      <c r="P153" s="109">
        <v>14297.066666666669</v>
      </c>
      <c r="Q153" s="109">
        <v>199.4666666666667</v>
      </c>
      <c r="R153" s="106"/>
      <c r="S153" s="127">
        <f>S29</f>
        <v>1.1200000000000001</v>
      </c>
      <c r="T153" s="106">
        <f>T29</f>
        <v>1.1200000000000001</v>
      </c>
      <c r="U153" s="106">
        <f>U29</f>
        <v>1.1200000000000001</v>
      </c>
      <c r="V153" s="106">
        <f>V29</f>
        <v>1.1200000000000001</v>
      </c>
      <c r="W153" s="106">
        <f>W29</f>
        <v>1.1200000000000001</v>
      </c>
      <c r="X153" s="106"/>
      <c r="Y153" s="106"/>
      <c r="Z153" s="106"/>
      <c r="AA153" s="106"/>
      <c r="AB153" s="106"/>
      <c r="AC153" s="106"/>
      <c r="AD153" s="106"/>
      <c r="AE153" s="173">
        <f>AE29</f>
        <v>1</v>
      </c>
      <c r="AF153" s="173">
        <f>AF29</f>
        <v>1</v>
      </c>
      <c r="AG153" s="173">
        <v>1</v>
      </c>
      <c r="AH153" s="131"/>
      <c r="AI153" s="131"/>
      <c r="AJ153" s="131"/>
      <c r="AK153" s="131"/>
      <c r="AL153" s="131"/>
      <c r="AM153" s="131"/>
      <c r="AN153" s="131">
        <v>1.1000000000000001</v>
      </c>
      <c r="AO153" s="106"/>
      <c r="AP153" s="174"/>
      <c r="AQ153" s="106"/>
      <c r="AR153" s="109"/>
      <c r="AS153" s="109"/>
      <c r="AT153" s="106"/>
    </row>
    <row r="154" spans="1:46" ht="14.25">
      <c r="A154" s="106" t="s">
        <v>601</v>
      </c>
      <c r="B154" s="106" t="s">
        <v>730</v>
      </c>
      <c r="C154" s="106" t="s">
        <v>611</v>
      </c>
      <c r="D154" s="106" t="s">
        <v>707</v>
      </c>
      <c r="E154" s="177" t="s">
        <v>612</v>
      </c>
      <c r="F154" s="106" t="s">
        <v>550</v>
      </c>
      <c r="G154" s="106" t="s">
        <v>566</v>
      </c>
      <c r="H154" s="106" t="s">
        <v>709</v>
      </c>
      <c r="I154" s="106"/>
      <c r="J154" s="106"/>
      <c r="K154" s="108">
        <v>20</v>
      </c>
      <c r="L154" s="141">
        <v>31666.666666666668</v>
      </c>
      <c r="M154" s="141">
        <v>31666.666666666668</v>
      </c>
      <c r="N154" s="141">
        <v>31666.666666666668</v>
      </c>
      <c r="O154" s="141">
        <v>31666.666666666668</v>
      </c>
      <c r="P154" s="141">
        <v>31666.666666666668</v>
      </c>
      <c r="Q154" s="175">
        <v>90</v>
      </c>
      <c r="R154" s="142"/>
      <c r="S154" s="138">
        <v>1.50</v>
      </c>
      <c r="T154" s="138">
        <v>1.55</v>
      </c>
      <c r="U154" s="138">
        <v>1.55</v>
      </c>
      <c r="V154" s="138">
        <v>1.60</v>
      </c>
      <c r="W154" s="138">
        <v>1.60</v>
      </c>
      <c r="X154" s="106"/>
      <c r="Y154" s="110"/>
      <c r="Z154" s="110"/>
      <c r="AA154" s="110"/>
      <c r="AB154" s="110"/>
      <c r="AC154" s="110"/>
      <c r="AD154" s="110"/>
      <c r="AE154" s="179">
        <v>1</v>
      </c>
      <c r="AF154" s="179">
        <v>1</v>
      </c>
      <c r="AG154" s="179"/>
      <c r="AH154" s="111"/>
      <c r="AI154" s="111"/>
      <c r="AJ154" s="111"/>
      <c r="AK154" s="111"/>
      <c r="AL154" s="111"/>
      <c r="AM154" s="111"/>
      <c r="AN154" s="111"/>
      <c r="AO154" s="106"/>
      <c r="AP154" s="174"/>
      <c r="AQ154" s="106" t="s">
        <v>613</v>
      </c>
      <c r="AR154" s="141"/>
      <c r="AS154" s="141"/>
      <c r="AT154" s="106"/>
    </row>
    <row r="155" spans="1:46" ht="14.25">
      <c r="A155" s="118" t="s">
        <v>601</v>
      </c>
      <c r="B155" s="118" t="s">
        <v>453</v>
      </c>
      <c r="C155" s="118" t="s">
        <v>614</v>
      </c>
      <c r="D155" s="118" t="s">
        <v>707</v>
      </c>
      <c r="E155" s="187" t="str">
        <f>E154&amp;" + add costs"</f>
        <v>GHP – gas engine driven heat pump air/brine to water + add costs</v>
      </c>
      <c r="F155" s="118" t="s">
        <v>550</v>
      </c>
      <c r="G155" s="118" t="s">
        <v>566</v>
      </c>
      <c r="H155" s="118" t="s">
        <v>720</v>
      </c>
      <c r="I155" s="106"/>
      <c r="J155" s="106"/>
      <c r="K155" s="133">
        <f>K31</f>
        <v>20</v>
      </c>
      <c r="L155" s="134">
        <v>34833.333333333336</v>
      </c>
      <c r="M155" s="134">
        <v>34833.333333333336</v>
      </c>
      <c r="N155" s="134">
        <v>34833.333333333336</v>
      </c>
      <c r="O155" s="134">
        <v>34833.333333333336</v>
      </c>
      <c r="P155" s="134">
        <v>34833.333333333336</v>
      </c>
      <c r="Q155" s="134">
        <v>99.000000000000014</v>
      </c>
      <c r="R155" s="118"/>
      <c r="S155" s="135">
        <f>S31</f>
        <v>1.5</v>
      </c>
      <c r="T155" s="135">
        <f>T31</f>
        <v>1.55</v>
      </c>
      <c r="U155" s="135">
        <f>U31</f>
        <v>1.55</v>
      </c>
      <c r="V155" s="135">
        <f>V31</f>
        <v>1.6000000000000001</v>
      </c>
      <c r="W155" s="135">
        <f>W31</f>
        <v>1.6000000000000001</v>
      </c>
      <c r="X155" s="118"/>
      <c r="Y155" s="118"/>
      <c r="Z155" s="118"/>
      <c r="AA155" s="118"/>
      <c r="AB155" s="118"/>
      <c r="AC155" s="118"/>
      <c r="AD155" s="118"/>
      <c r="AE155" s="186">
        <f>AE31</f>
        <v>1</v>
      </c>
      <c r="AF155" s="186">
        <f>AF31</f>
        <v>1</v>
      </c>
      <c r="AG155" s="186">
        <v>1</v>
      </c>
      <c r="AH155" s="136"/>
      <c r="AI155" s="136"/>
      <c r="AJ155" s="136"/>
      <c r="AK155" s="136"/>
      <c r="AL155" s="136"/>
      <c r="AM155" s="136"/>
      <c r="AN155" s="136">
        <v>1.1000000000000001</v>
      </c>
      <c r="AO155" s="118"/>
      <c r="AP155" s="183"/>
      <c r="AQ155" s="118"/>
      <c r="AR155" s="134"/>
      <c r="AS155" s="134"/>
      <c r="AT155" s="106"/>
    </row>
    <row r="156" spans="1:46" ht="14.25">
      <c r="A156" s="102" t="s">
        <v>615</v>
      </c>
      <c r="B156" s="106" t="s">
        <v>731</v>
      </c>
      <c r="C156" s="106" t="s">
        <v>617</v>
      </c>
      <c r="D156" s="106" t="s">
        <v>707</v>
      </c>
      <c r="E156" s="107" t="s">
        <v>732</v>
      </c>
      <c r="F156" s="106" t="s">
        <v>550</v>
      </c>
      <c r="G156" s="106"/>
      <c r="H156" s="106" t="s">
        <v>733</v>
      </c>
      <c r="I156" s="106"/>
      <c r="J156" s="106"/>
      <c r="K156" s="108">
        <v>10</v>
      </c>
      <c r="L156" s="141">
        <v>68750</v>
      </c>
      <c r="M156" s="141">
        <v>68750</v>
      </c>
      <c r="N156" s="141">
        <v>51562.50</v>
      </c>
      <c r="O156" s="141">
        <v>51562.50</v>
      </c>
      <c r="P156" s="141">
        <v>41250</v>
      </c>
      <c r="Q156" s="141">
        <v>0</v>
      </c>
      <c r="R156" s="142"/>
      <c r="S156" s="147">
        <v>0.26</v>
      </c>
      <c r="T156" s="147">
        <v>0.26</v>
      </c>
      <c r="U156" s="147">
        <v>0.26</v>
      </c>
      <c r="V156" s="147">
        <v>0.26</v>
      </c>
      <c r="W156" s="147">
        <v>0.26</v>
      </c>
      <c r="X156" s="106"/>
      <c r="Y156" s="106"/>
      <c r="Z156" s="106"/>
      <c r="AA156" s="106"/>
      <c r="AB156" s="106"/>
      <c r="AC156" s="106"/>
      <c r="AD156" s="106"/>
      <c r="AE156" s="180">
        <v>0.60</v>
      </c>
      <c r="AF156" s="180"/>
      <c r="AG156" s="180"/>
      <c r="AH156" s="148">
        <f t="shared" si="37" ref="AH156:AJ158">(AK33-S33)/S33</f>
        <v>2.4615384615384617</v>
      </c>
      <c r="AI156" s="148">
        <f t="shared" si="37"/>
        <v>2.4615384615384617</v>
      </c>
      <c r="AJ156" s="148">
        <f t="shared" si="37"/>
        <v>2.4615384615384617</v>
      </c>
      <c r="AK156" s="147">
        <v>0.90</v>
      </c>
      <c r="AL156" s="147">
        <v>0.90</v>
      </c>
      <c r="AM156" s="147">
        <v>0.90</v>
      </c>
      <c r="AN156" s="149"/>
      <c r="AO156" s="106" t="s">
        <v>620</v>
      </c>
      <c r="AP156" s="174"/>
      <c r="AQ156" s="106"/>
      <c r="AR156" s="141"/>
      <c r="AS156" s="141"/>
      <c r="AT156" s="106"/>
    </row>
    <row r="157" spans="1:46" ht="14.25">
      <c r="A157" s="102" t="s">
        <v>615</v>
      </c>
      <c r="B157" s="106" t="s">
        <v>734</v>
      </c>
      <c r="C157" s="106" t="s">
        <v>677</v>
      </c>
      <c r="D157" s="106" t="s">
        <v>707</v>
      </c>
      <c r="E157" s="107" t="s">
        <v>732</v>
      </c>
      <c r="F157" s="106" t="s">
        <v>533</v>
      </c>
      <c r="G157" s="106"/>
      <c r="H157" s="106" t="s">
        <v>733</v>
      </c>
      <c r="I157" s="106"/>
      <c r="J157" s="106"/>
      <c r="K157" s="108">
        <v>10</v>
      </c>
      <c r="L157" s="141">
        <v>68750</v>
      </c>
      <c r="M157" s="141">
        <v>68750</v>
      </c>
      <c r="N157" s="141">
        <v>51562.50</v>
      </c>
      <c r="O157" s="141">
        <v>51562.50</v>
      </c>
      <c r="P157" s="141">
        <v>41250</v>
      </c>
      <c r="Q157" s="109">
        <v>0</v>
      </c>
      <c r="R157" s="106"/>
      <c r="S157" s="147">
        <v>0.26</v>
      </c>
      <c r="T157" s="147">
        <v>0.26</v>
      </c>
      <c r="U157" s="147">
        <v>0.26</v>
      </c>
      <c r="V157" s="147">
        <v>0.26</v>
      </c>
      <c r="W157" s="147">
        <v>0.26</v>
      </c>
      <c r="X157" s="106"/>
      <c r="Y157" s="106"/>
      <c r="Z157" s="106"/>
      <c r="AA157" s="106"/>
      <c r="AB157" s="106"/>
      <c r="AC157" s="106"/>
      <c r="AD157" s="106"/>
      <c r="AE157" s="180">
        <v>0.60</v>
      </c>
      <c r="AF157" s="180"/>
      <c r="AG157" s="180"/>
      <c r="AH157" s="148">
        <f t="shared" si="37"/>
        <v>2.4615384615384617</v>
      </c>
      <c r="AI157" s="148">
        <f t="shared" si="37"/>
        <v>2.4615384615384617</v>
      </c>
      <c r="AJ157" s="148">
        <f t="shared" si="37"/>
        <v>2.4615384615384617</v>
      </c>
      <c r="AK157" s="147">
        <v>0.90</v>
      </c>
      <c r="AL157" s="147">
        <v>0.90</v>
      </c>
      <c r="AM157" s="147">
        <v>0.90</v>
      </c>
      <c r="AN157" s="149"/>
      <c r="AO157" s="106"/>
      <c r="AP157" s="174"/>
      <c r="AQ157" s="106"/>
      <c r="AR157" s="141"/>
      <c r="AS157" s="141"/>
      <c r="AT157" s="106"/>
    </row>
    <row r="158" spans="1:46" ht="14.25">
      <c r="A158" s="102" t="s">
        <v>615</v>
      </c>
      <c r="B158" s="106" t="s">
        <v>735</v>
      </c>
      <c r="C158" s="106" t="s">
        <v>624</v>
      </c>
      <c r="D158" s="106" t="s">
        <v>707</v>
      </c>
      <c r="E158" s="107" t="s">
        <v>736</v>
      </c>
      <c r="F158" s="106" t="s">
        <v>550</v>
      </c>
      <c r="G158" s="106"/>
      <c r="H158" s="106" t="s">
        <v>733</v>
      </c>
      <c r="I158" s="106"/>
      <c r="J158" s="106"/>
      <c r="K158" s="108">
        <v>10</v>
      </c>
      <c r="L158" s="141">
        <v>17550</v>
      </c>
      <c r="M158" s="109">
        <v>17550</v>
      </c>
      <c r="N158" s="109">
        <v>17550</v>
      </c>
      <c r="O158" s="109" t="s">
        <v>872</v>
      </c>
      <c r="P158" s="109" t="s">
        <v>872</v>
      </c>
      <c r="Q158" s="109"/>
      <c r="R158" s="109"/>
      <c r="S158" s="150">
        <v>0.20</v>
      </c>
      <c r="T158" s="150">
        <v>0.22</v>
      </c>
      <c r="U158" s="150">
        <v>0.25</v>
      </c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73">
        <v>0.60</v>
      </c>
      <c r="AF158" s="173"/>
      <c r="AG158" s="173"/>
      <c r="AH158" s="148">
        <f t="shared" si="37"/>
        <v>2.25</v>
      </c>
      <c r="AI158" s="148">
        <f t="shared" si="37"/>
        <v>2.1818181818181817</v>
      </c>
      <c r="AJ158" s="148">
        <f t="shared" si="37"/>
        <v>1.8999999999999999</v>
      </c>
      <c r="AK158" s="151">
        <v>0.65</v>
      </c>
      <c r="AL158" s="151">
        <v>0.70</v>
      </c>
      <c r="AM158" s="151">
        <v>0.725</v>
      </c>
      <c r="AN158" s="106"/>
      <c r="AO158" s="106" t="s">
        <v>542</v>
      </c>
      <c r="AP158" s="174"/>
      <c r="AQ158" s="106" t="s">
        <v>626</v>
      </c>
      <c r="AR158" s="109"/>
      <c r="AS158" s="109"/>
      <c r="AT158" s="106"/>
    </row>
    <row r="159" spans="1:46" ht="14.25">
      <c r="A159" s="102" t="s">
        <v>615</v>
      </c>
      <c r="B159" s="106" t="s">
        <v>737</v>
      </c>
      <c r="C159" s="106" t="s">
        <v>628</v>
      </c>
      <c r="D159" s="106" t="s">
        <v>707</v>
      </c>
      <c r="E159" s="177" t="s">
        <v>629</v>
      </c>
      <c r="F159" s="106" t="s">
        <v>533</v>
      </c>
      <c r="G159" s="106"/>
      <c r="H159" s="106" t="s">
        <v>733</v>
      </c>
      <c r="I159" s="106"/>
      <c r="J159" s="106"/>
      <c r="K159" s="108">
        <v>10</v>
      </c>
      <c r="L159" s="109">
        <v>16000</v>
      </c>
      <c r="M159" s="109">
        <v>13140</v>
      </c>
      <c r="N159" s="109">
        <v>11281</v>
      </c>
      <c r="O159" s="109">
        <v>11281</v>
      </c>
      <c r="P159" s="109">
        <v>11281</v>
      </c>
      <c r="Q159" s="109">
        <v>206.66666666666666</v>
      </c>
      <c r="R159" s="106"/>
      <c r="S159" s="150">
        <v>0.20</v>
      </c>
      <c r="T159" s="150">
        <v>0.22</v>
      </c>
      <c r="U159" s="150">
        <v>0.25</v>
      </c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73">
        <v>0.60</v>
      </c>
      <c r="AF159" s="173"/>
      <c r="AG159" s="173"/>
      <c r="AH159" s="152">
        <f>AH35</f>
        <v>2.25</v>
      </c>
      <c r="AI159" s="152">
        <f>AI35</f>
        <v>2.1818181818181817</v>
      </c>
      <c r="AJ159" s="152">
        <f>AJ35</f>
        <v>1.8999999999999999</v>
      </c>
      <c r="AK159" s="151">
        <v>0.65</v>
      </c>
      <c r="AL159" s="151">
        <v>0.70</v>
      </c>
      <c r="AM159" s="151">
        <v>0.725</v>
      </c>
      <c r="AN159" s="106"/>
      <c r="AO159" s="106" t="s">
        <v>542</v>
      </c>
      <c r="AP159" s="174"/>
      <c r="AQ159" s="106"/>
      <c r="AR159" s="109"/>
      <c r="AS159" s="109"/>
      <c r="AT159" s="106"/>
    </row>
    <row r="160" spans="1:46" ht="14.25">
      <c r="A160" s="102" t="s">
        <v>615</v>
      </c>
      <c r="B160" s="106" t="s">
        <v>738</v>
      </c>
      <c r="C160" s="106" t="s">
        <v>631</v>
      </c>
      <c r="D160" s="106" t="s">
        <v>707</v>
      </c>
      <c r="E160" s="107" t="s">
        <v>739</v>
      </c>
      <c r="F160" s="106" t="s">
        <v>550</v>
      </c>
      <c r="G160" s="106"/>
      <c r="H160" s="106" t="s">
        <v>733</v>
      </c>
      <c r="I160" s="106"/>
      <c r="J160" s="106"/>
      <c r="K160" s="108">
        <v>10</v>
      </c>
      <c r="L160" s="109">
        <v>13333.333333333334</v>
      </c>
      <c r="M160" s="109">
        <v>12000</v>
      </c>
      <c r="N160" s="109">
        <v>10000</v>
      </c>
      <c r="O160" s="109" t="s">
        <v>872</v>
      </c>
      <c r="P160" s="109" t="s">
        <v>872</v>
      </c>
      <c r="Q160" s="109"/>
      <c r="R160" s="108"/>
      <c r="S160" s="150">
        <v>0.12</v>
      </c>
      <c r="T160" s="150">
        <v>0.14000000000000001</v>
      </c>
      <c r="U160" s="150">
        <v>0.16</v>
      </c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73">
        <v>0.60</v>
      </c>
      <c r="AF160" s="173"/>
      <c r="AG160" s="173"/>
      <c r="AH160" s="148">
        <f t="shared" si="38" ref="AH160:AJ162">(AK37-S37)/S37</f>
        <v>5.4583333333333339</v>
      </c>
      <c r="AI160" s="148">
        <f t="shared" si="38"/>
        <v>4.7142857142857144</v>
      </c>
      <c r="AJ160" s="148">
        <f t="shared" si="38"/>
        <v>4.1562499999999991</v>
      </c>
      <c r="AK160" s="151">
        <v>0.775</v>
      </c>
      <c r="AL160" s="151">
        <v>0.80</v>
      </c>
      <c r="AM160" s="151">
        <v>0.825</v>
      </c>
      <c r="AN160" s="106"/>
      <c r="AO160" s="106" t="s">
        <v>542</v>
      </c>
      <c r="AP160" s="174"/>
      <c r="AQ160" s="106" t="s">
        <v>632</v>
      </c>
      <c r="AR160" s="109"/>
      <c r="AS160" s="109"/>
      <c r="AT160" s="106"/>
    </row>
    <row r="161" spans="1:46" ht="14.25">
      <c r="A161" s="102" t="s">
        <v>615</v>
      </c>
      <c r="B161" s="106" t="s">
        <v>740</v>
      </c>
      <c r="C161" s="106" t="s">
        <v>634</v>
      </c>
      <c r="D161" s="106" t="s">
        <v>707</v>
      </c>
      <c r="E161" s="107" t="s">
        <v>635</v>
      </c>
      <c r="F161" s="106" t="s">
        <v>636</v>
      </c>
      <c r="G161" s="106"/>
      <c r="H161" s="106" t="s">
        <v>733</v>
      </c>
      <c r="I161" s="106"/>
      <c r="J161" s="106"/>
      <c r="K161" s="108">
        <v>10</v>
      </c>
      <c r="L161" s="109">
        <v>15372</v>
      </c>
      <c r="M161" s="109">
        <v>15600.50</v>
      </c>
      <c r="N161" s="109">
        <v>7562.333333333333</v>
      </c>
      <c r="O161" s="109">
        <v>7562.333333333333</v>
      </c>
      <c r="P161" s="109">
        <v>4255.666666666667</v>
      </c>
      <c r="Q161" s="109">
        <v>182.66666666666666</v>
      </c>
      <c r="R161" s="106"/>
      <c r="S161" s="150">
        <v>0.375</v>
      </c>
      <c r="T161" s="150">
        <v>0.45</v>
      </c>
      <c r="U161" s="150">
        <v>0.475</v>
      </c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73">
        <v>0.60</v>
      </c>
      <c r="AF161" s="173"/>
      <c r="AG161" s="173"/>
      <c r="AH161" s="148">
        <f t="shared" si="38"/>
        <v>0.46666666666666679</v>
      </c>
      <c r="AI161" s="148">
        <f t="shared" si="38"/>
        <v>0.16666666666666669</v>
      </c>
      <c r="AJ161" s="148">
        <f t="shared" si="38"/>
        <v>0.10526315789473695</v>
      </c>
      <c r="AK161" s="151">
        <v>0.55000000000000004</v>
      </c>
      <c r="AL161" s="151">
        <v>0.525</v>
      </c>
      <c r="AM161" s="151">
        <v>0.525</v>
      </c>
      <c r="AN161" s="106"/>
      <c r="AO161" s="106" t="s">
        <v>542</v>
      </c>
      <c r="AP161" s="174"/>
      <c r="AQ161" s="106" t="s">
        <v>637</v>
      </c>
      <c r="AR161" s="109"/>
      <c r="AS161" s="109"/>
      <c r="AT161" s="106"/>
    </row>
    <row r="162" spans="1:46" ht="14.25">
      <c r="A162" s="102" t="s">
        <v>615</v>
      </c>
      <c r="B162" s="106" t="s">
        <v>741</v>
      </c>
      <c r="C162" s="106" t="s">
        <v>639</v>
      </c>
      <c r="D162" s="106" t="s">
        <v>707</v>
      </c>
      <c r="E162" s="107" t="s">
        <v>640</v>
      </c>
      <c r="F162" s="106" t="s">
        <v>641</v>
      </c>
      <c r="G162" s="106"/>
      <c r="H162" s="106" t="s">
        <v>733</v>
      </c>
      <c r="I162" s="106"/>
      <c r="J162" s="106"/>
      <c r="K162" s="108">
        <v>10</v>
      </c>
      <c r="L162" s="109">
        <v>8666.6666666666661</v>
      </c>
      <c r="M162" s="109">
        <v>4600</v>
      </c>
      <c r="N162" s="109">
        <v>3400</v>
      </c>
      <c r="O162" s="109" t="s">
        <v>872</v>
      </c>
      <c r="P162" s="109" t="s">
        <v>872</v>
      </c>
      <c r="Q162" s="109">
        <v>500</v>
      </c>
      <c r="R162" s="106"/>
      <c r="S162" s="150">
        <v>0.475</v>
      </c>
      <c r="T162" s="150">
        <v>0.505</v>
      </c>
      <c r="U162" s="150">
        <v>0.54500000000000004</v>
      </c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80">
        <v>0.60</v>
      </c>
      <c r="AF162" s="180"/>
      <c r="AG162" s="180"/>
      <c r="AH162" s="148">
        <f t="shared" si="38"/>
        <v>-0.15789473684210517</v>
      </c>
      <c r="AI162" s="148">
        <f t="shared" si="38"/>
        <v>-0.12871287128712872</v>
      </c>
      <c r="AJ162" s="148">
        <f t="shared" si="38"/>
        <v>-0.17431192660550462</v>
      </c>
      <c r="AK162" s="151">
        <v>0.40</v>
      </c>
      <c r="AL162" s="151">
        <v>0.44</v>
      </c>
      <c r="AM162" s="151">
        <v>0.45</v>
      </c>
      <c r="AN162" s="106"/>
      <c r="AO162" s="106" t="s">
        <v>542</v>
      </c>
      <c r="AP162" s="174"/>
      <c r="AQ162" s="106" t="s">
        <v>642</v>
      </c>
      <c r="AR162" s="109"/>
      <c r="AS162" s="109"/>
      <c r="AT162" s="106"/>
    </row>
    <row r="163" spans="1:46" ht="14.25">
      <c r="A163" s="114" t="s">
        <v>538</v>
      </c>
      <c r="B163" s="106" t="s">
        <v>742</v>
      </c>
      <c r="C163" s="106" t="s">
        <v>644</v>
      </c>
      <c r="D163" s="106" t="s">
        <v>707</v>
      </c>
      <c r="E163" s="107" t="s">
        <v>712</v>
      </c>
      <c r="F163" s="106" t="s">
        <v>573</v>
      </c>
      <c r="G163" s="106"/>
      <c r="H163" s="106" t="s">
        <v>709</v>
      </c>
      <c r="I163" s="106"/>
      <c r="J163" s="106"/>
      <c r="K163" s="108">
        <f>K4</f>
        <v>20</v>
      </c>
      <c r="L163" s="109">
        <v>2742</v>
      </c>
      <c r="M163" s="109">
        <v>2399.25</v>
      </c>
      <c r="N163" s="109">
        <v>2056.50</v>
      </c>
      <c r="O163" s="109">
        <v>2056.50</v>
      </c>
      <c r="P163" s="109">
        <v>2056.50</v>
      </c>
      <c r="Q163" s="109">
        <v>220</v>
      </c>
      <c r="R163" s="106"/>
      <c r="S163" s="110">
        <v>0.84679858006836706</v>
      </c>
      <c r="T163" s="110">
        <v>0.84679858006836706</v>
      </c>
      <c r="U163" s="110">
        <v>0.84679858006836706</v>
      </c>
      <c r="V163" s="110">
        <v>0.84679858006836706</v>
      </c>
      <c r="W163" s="110">
        <v>0.84679858006836706</v>
      </c>
      <c r="X163" s="153"/>
      <c r="Y163" s="106"/>
      <c r="Z163" s="106"/>
      <c r="AA163" s="106"/>
      <c r="AB163" s="106"/>
      <c r="AC163" s="106"/>
      <c r="AD163" s="106"/>
      <c r="AE163" s="180">
        <v>0.40</v>
      </c>
      <c r="AF163" s="180">
        <v>1</v>
      </c>
      <c r="AG163" s="180"/>
      <c r="AH163" s="148"/>
      <c r="AI163" s="148"/>
      <c r="AJ163" s="148"/>
      <c r="AK163" s="154"/>
      <c r="AL163" s="154"/>
      <c r="AM163" s="154"/>
      <c r="AN163" s="106"/>
      <c r="AO163" s="106"/>
      <c r="AP163" s="174"/>
      <c r="AQ163" s="106"/>
      <c r="AR163" s="109"/>
      <c r="AS163" s="109"/>
      <c r="AT163" s="106"/>
    </row>
    <row r="164" spans="1:46" ht="14.25">
      <c r="A164" s="155" t="s">
        <v>538</v>
      </c>
      <c r="B164" s="118" t="s">
        <v>743</v>
      </c>
      <c r="C164" s="118" t="s">
        <v>646</v>
      </c>
      <c r="D164" s="118" t="s">
        <v>707</v>
      </c>
      <c r="E164" s="119" t="s">
        <v>708</v>
      </c>
      <c r="F164" s="118" t="s">
        <v>647</v>
      </c>
      <c r="G164" s="118"/>
      <c r="H164" s="118" t="s">
        <v>709</v>
      </c>
      <c r="I164" s="106"/>
      <c r="J164" s="106"/>
      <c r="K164" s="133">
        <f>K8</f>
        <v>22</v>
      </c>
      <c r="L164" s="134">
        <v>3375</v>
      </c>
      <c r="M164" s="134">
        <v>3375</v>
      </c>
      <c r="N164" s="134">
        <v>3375</v>
      </c>
      <c r="O164" s="134">
        <v>3375</v>
      </c>
      <c r="P164" s="134">
        <v>3375</v>
      </c>
      <c r="Q164" s="134">
        <v>23.125</v>
      </c>
      <c r="R164" s="118"/>
      <c r="S164" s="122">
        <v>0.84595205954248598</v>
      </c>
      <c r="T164" s="122">
        <v>0.84595205954248598</v>
      </c>
      <c r="U164" s="122">
        <v>0.84595205954248598</v>
      </c>
      <c r="V164" s="122">
        <v>0.84595205954248598</v>
      </c>
      <c r="W164" s="122">
        <v>0.84595205954248598</v>
      </c>
      <c r="X164" s="156"/>
      <c r="Y164" s="118"/>
      <c r="Z164" s="118"/>
      <c r="AA164" s="118"/>
      <c r="AB164" s="118"/>
      <c r="AC164" s="118"/>
      <c r="AD164" s="118"/>
      <c r="AE164" s="186">
        <v>0.40</v>
      </c>
      <c r="AF164" s="186">
        <v>1</v>
      </c>
      <c r="AG164" s="186"/>
      <c r="AH164" s="157"/>
      <c r="AI164" s="157"/>
      <c r="AJ164" s="157"/>
      <c r="AK164" s="158"/>
      <c r="AL164" s="158"/>
      <c r="AM164" s="158"/>
      <c r="AN164" s="118"/>
      <c r="AO164" s="118"/>
      <c r="AP164" s="183"/>
      <c r="AQ164" s="118"/>
      <c r="AR164" s="134"/>
      <c r="AS164" s="134"/>
      <c r="AT164" s="106"/>
    </row>
  </sheetData>
  <pageMargins left="0.7" right="0.7" top="0.75" bottom="0.75" header="0.3" footer="0.3"/>
  <pageSetup orientation="portrait" paperSize="9" r:id="rId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899998307228"/>
  </sheetPr>
  <dimension ref="A2:O44"/>
  <sheetViews>
    <sheetView tabSelected="1" workbookViewId="0" topLeftCell="C7">
      <selection pane="topLeft" activeCell="F27" sqref="F27"/>
    </sheetView>
  </sheetViews>
  <sheetFormatPr defaultRowHeight="12.75"/>
  <cols>
    <col min="1" max="1" width="77.7142857142857" bestFit="1" customWidth="1"/>
    <col min="3" max="3" width="21.8571428571429" customWidth="1"/>
    <col min="4" max="4" width="14.1428571428571" customWidth="1"/>
    <col min="6" max="6" width="17.4285714285714" customWidth="1"/>
    <col min="8" max="8" width="14.2857142857143" bestFit="1" customWidth="1"/>
  </cols>
  <sheetData>
    <row r="2" spans="1:1" ht="15">
      <c r="A2" s="199" t="s">
        <v>801</v>
      </c>
    </row>
    <row r="5" spans="3:3" ht="15">
      <c r="C5" s="86" t="s">
        <v>802</v>
      </c>
    </row>
    <row r="6" spans="3:13" ht="15.75" thickBot="1">
      <c r="C6" s="88" t="s">
        <v>48</v>
      </c>
      <c r="D6" s="88" t="s">
        <v>35</v>
      </c>
      <c r="E6" s="88" t="s">
        <v>803</v>
      </c>
      <c r="F6" s="88" t="s">
        <v>39</v>
      </c>
      <c r="G6" s="88" t="s">
        <v>422</v>
      </c>
      <c r="H6" s="88" t="s">
        <v>49</v>
      </c>
      <c r="I6" s="89">
        <v>2011</v>
      </c>
      <c r="J6" s="89">
        <v>2020</v>
      </c>
      <c r="K6" s="89">
        <v>2030</v>
      </c>
      <c r="L6" s="89">
        <v>2040</v>
      </c>
      <c r="M6" s="89">
        <v>2050</v>
      </c>
    </row>
    <row r="7" spans="1:13" ht="15">
      <c r="A7" s="199" t="s">
        <v>564</v>
      </c>
      <c r="C7" s="199" t="s">
        <v>804</v>
      </c>
      <c r="D7" s="199" t="s">
        <v>60</v>
      </c>
      <c r="E7" s="199" t="s">
        <v>805</v>
      </c>
      <c r="F7" s="199" t="s">
        <v>806</v>
      </c>
      <c r="G7" s="199" t="s">
        <v>423</v>
      </c>
      <c r="H7" s="199"/>
      <c r="I7" s="199">
        <v>3</v>
      </c>
      <c r="J7" s="199">
        <v>3.20</v>
      </c>
      <c r="K7" s="199">
        <v>3.70</v>
      </c>
      <c r="L7" s="199">
        <v>4</v>
      </c>
      <c r="M7" s="199"/>
    </row>
    <row r="8" spans="1:9" ht="15">
      <c r="A8" s="199" t="s">
        <v>577</v>
      </c>
      <c r="C8" s="199" t="s">
        <v>807</v>
      </c>
      <c r="D8" s="199" t="s">
        <v>60</v>
      </c>
      <c r="E8" s="199" t="s">
        <v>805</v>
      </c>
      <c r="F8" s="199" t="s">
        <v>806</v>
      </c>
      <c r="G8" s="199" t="s">
        <v>423</v>
      </c>
      <c r="H8" s="199"/>
      <c r="I8" s="199">
        <v>3.10</v>
      </c>
    </row>
    <row r="9" spans="1:9" ht="15">
      <c r="A9" s="199" t="s">
        <v>580</v>
      </c>
      <c r="C9" s="199" t="s">
        <v>424</v>
      </c>
      <c r="D9" s="199" t="s">
        <v>60</v>
      </c>
      <c r="E9" s="199" t="s">
        <v>805</v>
      </c>
      <c r="F9" s="199" t="s">
        <v>806</v>
      </c>
      <c r="G9" s="199" t="s">
        <v>423</v>
      </c>
      <c r="H9" s="199"/>
      <c r="I9" s="199">
        <v>3.10</v>
      </c>
    </row>
    <row r="10" spans="1:15" ht="15">
      <c r="A10" s="199" t="s">
        <v>583</v>
      </c>
      <c r="C10" s="199" t="s">
        <v>403</v>
      </c>
      <c r="D10" s="199" t="s">
        <v>60</v>
      </c>
      <c r="E10" s="199" t="s">
        <v>808</v>
      </c>
      <c r="F10" s="199" t="s">
        <v>806</v>
      </c>
      <c r="G10" s="199" t="s">
        <v>423</v>
      </c>
      <c r="H10" s="199"/>
      <c r="I10" s="199">
        <v>3.60</v>
      </c>
      <c r="J10" s="199">
        <v>3.70</v>
      </c>
      <c r="K10" s="199">
        <v>4</v>
      </c>
      <c r="L10" s="199">
        <v>4.50</v>
      </c>
      <c r="M10" s="199"/>
      <c r="O10" s="199" t="s">
        <v>809</v>
      </c>
    </row>
    <row r="11" spans="1:13" ht="15">
      <c r="A11" s="199" t="s">
        <v>583</v>
      </c>
      <c r="C11" s="199" t="s">
        <v>403</v>
      </c>
      <c r="D11" s="199" t="s">
        <v>60</v>
      </c>
      <c r="E11" s="199" t="s">
        <v>396</v>
      </c>
      <c r="F11" s="199" t="s">
        <v>806</v>
      </c>
      <c r="G11" s="199" t="s">
        <v>423</v>
      </c>
      <c r="H11" s="199"/>
      <c r="I11" s="199">
        <v>4.0999999999999996</v>
      </c>
      <c r="J11" s="199">
        <v>4.20</v>
      </c>
      <c r="K11" s="199">
        <v>4.50</v>
      </c>
      <c r="L11" s="199">
        <v>5</v>
      </c>
      <c r="M11" s="199"/>
    </row>
    <row r="12" spans="1:13" ht="15">
      <c r="A12" s="199" t="s">
        <v>583</v>
      </c>
      <c r="C12" s="199" t="s">
        <v>403</v>
      </c>
      <c r="D12" s="199" t="s">
        <v>60</v>
      </c>
      <c r="E12" s="199" t="s">
        <v>395</v>
      </c>
      <c r="F12" s="199" t="s">
        <v>806</v>
      </c>
      <c r="G12" s="199" t="s">
        <v>423</v>
      </c>
      <c r="H12" s="199"/>
      <c r="I12" s="199">
        <v>3.10</v>
      </c>
      <c r="J12" s="199">
        <v>3.20</v>
      </c>
      <c r="K12" s="199">
        <v>3.50</v>
      </c>
      <c r="L12" s="199">
        <v>4</v>
      </c>
      <c r="M12" s="199"/>
    </row>
    <row r="13" spans="1:13" ht="15">
      <c r="A13" s="199" t="s">
        <v>587</v>
      </c>
      <c r="C13" s="199" t="s">
        <v>404</v>
      </c>
      <c r="D13" s="199" t="s">
        <v>60</v>
      </c>
      <c r="E13" s="199" t="s">
        <v>808</v>
      </c>
      <c r="F13" s="199" t="s">
        <v>806</v>
      </c>
      <c r="G13" s="199" t="s">
        <v>423</v>
      </c>
      <c r="H13" s="199"/>
      <c r="I13" s="199">
        <v>3.60</v>
      </c>
      <c r="J13" s="199">
        <v>3.70</v>
      </c>
      <c r="K13" s="199">
        <v>4</v>
      </c>
      <c r="L13" s="199">
        <v>4.50</v>
      </c>
      <c r="M13" s="199"/>
    </row>
    <row r="14" spans="1:13" ht="15">
      <c r="A14" s="199" t="s">
        <v>587</v>
      </c>
      <c r="C14" s="199" t="s">
        <v>404</v>
      </c>
      <c r="D14" s="199" t="s">
        <v>60</v>
      </c>
      <c r="E14" s="199" t="s">
        <v>396</v>
      </c>
      <c r="F14" s="199" t="s">
        <v>806</v>
      </c>
      <c r="G14" s="199" t="s">
        <v>423</v>
      </c>
      <c r="H14" s="199"/>
      <c r="I14" s="199">
        <v>4.0999999999999996</v>
      </c>
      <c r="J14" s="199">
        <v>4.20</v>
      </c>
      <c r="K14" s="199">
        <v>4.50</v>
      </c>
      <c r="L14" s="199">
        <v>5</v>
      </c>
      <c r="M14" s="199"/>
    </row>
    <row r="15" spans="1:13" ht="15">
      <c r="A15" s="199" t="s">
        <v>587</v>
      </c>
      <c r="C15" s="199" t="s">
        <v>404</v>
      </c>
      <c r="D15" s="199" t="s">
        <v>60</v>
      </c>
      <c r="E15" s="199" t="s">
        <v>395</v>
      </c>
      <c r="F15" s="199" t="s">
        <v>806</v>
      </c>
      <c r="G15" s="199" t="s">
        <v>423</v>
      </c>
      <c r="H15" s="199"/>
      <c r="I15" s="199">
        <v>3.10</v>
      </c>
      <c r="J15" s="199">
        <v>3.20</v>
      </c>
      <c r="K15" s="199">
        <v>3.50</v>
      </c>
      <c r="L15" s="199">
        <v>4</v>
      </c>
      <c r="M15" s="199"/>
    </row>
    <row r="16" spans="1:15" ht="15">
      <c r="A16" s="199" t="s">
        <v>589</v>
      </c>
      <c r="C16" s="199" t="s">
        <v>810</v>
      </c>
      <c r="D16" s="199" t="s">
        <v>60</v>
      </c>
      <c r="F16" s="199" t="s">
        <v>806</v>
      </c>
      <c r="G16" s="199" t="s">
        <v>423</v>
      </c>
      <c r="H16" s="199"/>
      <c r="I16" s="200">
        <v>3.60</v>
      </c>
      <c r="J16" s="200">
        <v>3.70</v>
      </c>
      <c r="K16" s="200">
        <v>4</v>
      </c>
      <c r="L16" s="200">
        <v>4.50</v>
      </c>
      <c r="M16" s="200"/>
      <c r="O16" s="199" t="s">
        <v>809</v>
      </c>
    </row>
    <row r="17" spans="1:13" ht="15">
      <c r="A17" s="199" t="s">
        <v>592</v>
      </c>
      <c r="C17" s="199" t="s">
        <v>811</v>
      </c>
      <c r="D17" s="199" t="s">
        <v>60</v>
      </c>
      <c r="F17" s="199" t="s">
        <v>806</v>
      </c>
      <c r="G17" s="199" t="s">
        <v>423</v>
      </c>
      <c r="H17" s="199"/>
      <c r="I17" s="200">
        <v>3.60</v>
      </c>
      <c r="J17" s="200">
        <v>3.70</v>
      </c>
      <c r="K17" s="200">
        <v>4</v>
      </c>
      <c r="L17" s="200">
        <v>4.50</v>
      </c>
      <c r="M17" s="200"/>
    </row>
    <row r="18" spans="1:13" ht="15">
      <c r="A18" s="199" t="s">
        <v>595</v>
      </c>
      <c r="C18" s="199" t="s">
        <v>812</v>
      </c>
      <c r="D18" s="199" t="s">
        <v>60</v>
      </c>
      <c r="F18" s="199" t="s">
        <v>806</v>
      </c>
      <c r="G18" s="199" t="s">
        <v>423</v>
      </c>
      <c r="H18" s="199"/>
      <c r="I18" s="200">
        <v>3.52</v>
      </c>
      <c r="J18" s="200"/>
      <c r="K18" s="200">
        <v>4.9279999999999999</v>
      </c>
      <c r="L18" s="200"/>
      <c r="M18" s="200">
        <v>5.28</v>
      </c>
    </row>
    <row r="19" spans="1:13" ht="15">
      <c r="A19" s="199" t="s">
        <v>599</v>
      </c>
      <c r="C19" s="199" t="s">
        <v>813</v>
      </c>
      <c r="D19" s="199" t="s">
        <v>60</v>
      </c>
      <c r="F19" s="199" t="s">
        <v>806</v>
      </c>
      <c r="G19" s="199" t="s">
        <v>423</v>
      </c>
      <c r="H19" s="199"/>
      <c r="I19" s="200">
        <v>3.52</v>
      </c>
      <c r="J19" s="200"/>
      <c r="K19" s="200">
        <v>4.9279999999999999</v>
      </c>
      <c r="L19" s="200"/>
      <c r="M19" s="200">
        <v>5.28</v>
      </c>
    </row>
    <row r="20" spans="1:13" ht="15">
      <c r="A20" s="199" t="s">
        <v>602</v>
      </c>
      <c r="C20" s="199" t="s">
        <v>814</v>
      </c>
      <c r="D20" s="199" t="s">
        <v>60</v>
      </c>
      <c r="E20" s="199" t="s">
        <v>805</v>
      </c>
      <c r="F20" s="199" t="s">
        <v>806</v>
      </c>
      <c r="G20" s="199" t="s">
        <v>423</v>
      </c>
      <c r="H20" s="199"/>
      <c r="I20" s="199">
        <v>1.35</v>
      </c>
      <c r="J20" s="199">
        <v>1.45</v>
      </c>
      <c r="K20" s="199">
        <v>1.70</v>
      </c>
      <c r="L20" s="199"/>
      <c r="M20" s="199"/>
    </row>
    <row r="21" spans="1:13" ht="15">
      <c r="A21" s="199" t="s">
        <v>606</v>
      </c>
      <c r="C21" s="199" t="s">
        <v>815</v>
      </c>
      <c r="D21" s="199" t="s">
        <v>60</v>
      </c>
      <c r="E21" s="199" t="s">
        <v>805</v>
      </c>
      <c r="F21" s="199" t="s">
        <v>806</v>
      </c>
      <c r="G21" s="199" t="s">
        <v>423</v>
      </c>
      <c r="H21" s="199"/>
      <c r="I21" s="199">
        <v>1.35</v>
      </c>
      <c r="J21" s="199">
        <v>1.45</v>
      </c>
      <c r="K21" s="199">
        <v>1.70</v>
      </c>
      <c r="L21" s="199"/>
      <c r="M21" s="199"/>
    </row>
    <row r="22" spans="1:13" ht="15">
      <c r="A22" s="199" t="s">
        <v>607</v>
      </c>
      <c r="C22" s="199" t="s">
        <v>816</v>
      </c>
      <c r="D22" s="199" t="s">
        <v>60</v>
      </c>
      <c r="E22" s="199" t="s">
        <v>805</v>
      </c>
      <c r="F22" s="199" t="s">
        <v>806</v>
      </c>
      <c r="G22" s="199" t="s">
        <v>423</v>
      </c>
      <c r="H22" s="199"/>
      <c r="I22" s="199">
        <v>1.1200000000000001</v>
      </c>
      <c r="J22" s="199"/>
      <c r="K22" s="199"/>
      <c r="L22" s="199"/>
      <c r="M22" s="199"/>
    </row>
    <row r="23" spans="1:13" ht="15">
      <c r="A23" s="199" t="s">
        <v>609</v>
      </c>
      <c r="C23" s="199" t="s">
        <v>817</v>
      </c>
      <c r="D23" s="199" t="s">
        <v>60</v>
      </c>
      <c r="E23" s="199" t="s">
        <v>805</v>
      </c>
      <c r="F23" s="199" t="s">
        <v>806</v>
      </c>
      <c r="G23" s="199" t="s">
        <v>423</v>
      </c>
      <c r="H23" s="199"/>
      <c r="I23" s="199">
        <v>1.1200000000000001</v>
      </c>
      <c r="J23" s="199"/>
      <c r="K23" s="199"/>
      <c r="L23" s="199"/>
      <c r="M23" s="199"/>
    </row>
    <row r="24" spans="1:13" ht="15">
      <c r="A24" s="199" t="s">
        <v>611</v>
      </c>
      <c r="C24" s="199" t="s">
        <v>818</v>
      </c>
      <c r="D24" s="199" t="s">
        <v>60</v>
      </c>
      <c r="E24" s="199" t="s">
        <v>805</v>
      </c>
      <c r="F24" s="199" t="s">
        <v>806</v>
      </c>
      <c r="G24" s="199" t="s">
        <v>423</v>
      </c>
      <c r="H24" s="199"/>
      <c r="I24" s="199">
        <v>1.50</v>
      </c>
      <c r="J24" s="199">
        <v>1.55</v>
      </c>
      <c r="K24" s="199"/>
      <c r="L24" s="199">
        <v>1.60</v>
      </c>
      <c r="M24" s="199"/>
    </row>
    <row r="25" spans="1:13" ht="15">
      <c r="A25" s="199" t="s">
        <v>614</v>
      </c>
      <c r="C25" s="199" t="s">
        <v>819</v>
      </c>
      <c r="D25" s="199" t="s">
        <v>60</v>
      </c>
      <c r="E25" s="199" t="s">
        <v>805</v>
      </c>
      <c r="F25" s="199" t="s">
        <v>806</v>
      </c>
      <c r="G25" s="199" t="s">
        <v>423</v>
      </c>
      <c r="H25" s="199"/>
      <c r="I25" s="199">
        <v>1.50</v>
      </c>
      <c r="J25" s="199">
        <v>1.55</v>
      </c>
      <c r="K25" s="199"/>
      <c r="L25" s="199">
        <v>1.60</v>
      </c>
      <c r="M25" s="199"/>
    </row>
    <row r="26" spans="3:15" ht="15">
      <c r="C26" s="199" t="s">
        <v>804</v>
      </c>
      <c r="D26" s="199" t="s">
        <v>859</v>
      </c>
      <c r="E26" s="199" t="s">
        <v>805</v>
      </c>
      <c r="F26" s="199" t="s">
        <v>909</v>
      </c>
      <c r="G26" s="199"/>
      <c r="H26" s="211" t="s">
        <v>896</v>
      </c>
      <c r="I26" s="212">
        <f>1/I7</f>
        <v>0.33333333333333331</v>
      </c>
      <c r="J26" s="212">
        <f t="shared" si="0" ref="J26:L26">1/J7</f>
        <v>0.3125</v>
      </c>
      <c r="K26" s="212">
        <f t="shared" si="0"/>
        <v>0.27027027027027023</v>
      </c>
      <c r="L26" s="212">
        <f t="shared" si="0"/>
        <v>0.25</v>
      </c>
      <c r="M26" s="212"/>
      <c r="O26" t="s">
        <v>398</v>
      </c>
    </row>
    <row r="27" spans="3:15" ht="15">
      <c r="C27" s="199" t="s">
        <v>807</v>
      </c>
      <c r="D27" s="199" t="s">
        <v>859</v>
      </c>
      <c r="E27" s="199" t="s">
        <v>805</v>
      </c>
      <c r="F27" s="199" t="s">
        <v>909</v>
      </c>
      <c r="G27" s="199"/>
      <c r="H27" s="211" t="s">
        <v>896</v>
      </c>
      <c r="I27" s="212">
        <f t="shared" si="1" ref="I27:I38">1/I8</f>
        <v>0.32258064516129031</v>
      </c>
      <c r="J27" s="212"/>
      <c r="K27" s="212"/>
      <c r="L27" s="212"/>
      <c r="M27" s="212"/>
      <c r="O27" t="s">
        <v>398</v>
      </c>
    </row>
    <row r="28" spans="3:15" ht="15">
      <c r="C28" s="199" t="s">
        <v>424</v>
      </c>
      <c r="D28" s="199" t="s">
        <v>859</v>
      </c>
      <c r="E28" s="199" t="s">
        <v>805</v>
      </c>
      <c r="F28" s="199" t="s">
        <v>909</v>
      </c>
      <c r="G28" s="199"/>
      <c r="H28" s="211" t="s">
        <v>896</v>
      </c>
      <c r="I28" s="212">
        <f t="shared" si="1"/>
        <v>0.32258064516129031</v>
      </c>
      <c r="J28" s="212"/>
      <c r="K28" s="212"/>
      <c r="L28" s="212"/>
      <c r="M28" s="212"/>
      <c r="O28" t="s">
        <v>398</v>
      </c>
    </row>
    <row r="29" spans="3:15" ht="15">
      <c r="C29" s="199" t="s">
        <v>403</v>
      </c>
      <c r="D29" s="199" t="s">
        <v>859</v>
      </c>
      <c r="E29" s="199" t="s">
        <v>808</v>
      </c>
      <c r="F29" s="199" t="s">
        <v>909</v>
      </c>
      <c r="G29" s="199"/>
      <c r="H29" s="211" t="s">
        <v>896</v>
      </c>
      <c r="I29" s="212">
        <f t="shared" si="2" ref="I29:I36">1/I10</f>
        <v>0.27777777777777779</v>
      </c>
      <c r="J29" s="212">
        <f t="shared" si="3" ref="J29:M38">1/J10</f>
        <v>0.27027027027027023</v>
      </c>
      <c r="K29" s="212">
        <f t="shared" si="3"/>
        <v>0.25</v>
      </c>
      <c r="L29" s="212">
        <f t="shared" si="3"/>
        <v>0.22222222222222221</v>
      </c>
      <c r="M29" s="212"/>
      <c r="O29" t="s">
        <v>399</v>
      </c>
    </row>
    <row r="30" spans="3:15" ht="15">
      <c r="C30" s="199" t="s">
        <v>403</v>
      </c>
      <c r="D30" s="199" t="s">
        <v>859</v>
      </c>
      <c r="E30" s="199" t="s">
        <v>396</v>
      </c>
      <c r="F30" s="199" t="s">
        <v>909</v>
      </c>
      <c r="G30" s="199"/>
      <c r="H30" s="211" t="s">
        <v>896</v>
      </c>
      <c r="I30" s="212">
        <f t="shared" si="2"/>
        <v>0.24390243902439027</v>
      </c>
      <c r="J30" s="212">
        <f t="shared" si="3"/>
        <v>0.23809523809523808</v>
      </c>
      <c r="K30" s="212">
        <f t="shared" si="3"/>
        <v>0.22222222222222221</v>
      </c>
      <c r="L30" s="212">
        <f t="shared" si="3"/>
        <v>0.20000000000000001</v>
      </c>
      <c r="M30" s="212"/>
      <c r="O30" t="s">
        <v>399</v>
      </c>
    </row>
    <row r="31" spans="3:15" ht="15">
      <c r="C31" s="199" t="s">
        <v>403</v>
      </c>
      <c r="D31" s="199" t="s">
        <v>859</v>
      </c>
      <c r="E31" s="199" t="s">
        <v>395</v>
      </c>
      <c r="F31" s="199" t="s">
        <v>909</v>
      </c>
      <c r="G31" s="199"/>
      <c r="H31" s="211" t="s">
        <v>896</v>
      </c>
      <c r="I31" s="212">
        <f t="shared" si="2"/>
        <v>0.32258064516129031</v>
      </c>
      <c r="J31" s="212">
        <f t="shared" si="3"/>
        <v>0.3125</v>
      </c>
      <c r="K31" s="212">
        <f t="shared" si="3"/>
        <v>0.2857142857142857</v>
      </c>
      <c r="L31" s="212">
        <f t="shared" si="3"/>
        <v>0.25</v>
      </c>
      <c r="M31" s="212"/>
      <c r="O31" t="s">
        <v>399</v>
      </c>
    </row>
    <row r="32" spans="3:15" ht="15">
      <c r="C32" s="199" t="s">
        <v>404</v>
      </c>
      <c r="D32" s="199" t="s">
        <v>859</v>
      </c>
      <c r="E32" s="199" t="s">
        <v>808</v>
      </c>
      <c r="F32" s="199" t="s">
        <v>909</v>
      </c>
      <c r="G32" s="199"/>
      <c r="H32" s="211" t="s">
        <v>896</v>
      </c>
      <c r="I32" s="212">
        <f t="shared" si="2"/>
        <v>0.27777777777777779</v>
      </c>
      <c r="J32" s="212">
        <f t="shared" si="3"/>
        <v>0.27027027027027023</v>
      </c>
      <c r="K32" s="212">
        <f t="shared" si="3"/>
        <v>0.25</v>
      </c>
      <c r="L32" s="212">
        <f t="shared" si="3"/>
        <v>0.22222222222222221</v>
      </c>
      <c r="M32" s="212"/>
      <c r="O32" t="s">
        <v>399</v>
      </c>
    </row>
    <row r="33" spans="3:15" ht="15">
      <c r="C33" s="199" t="s">
        <v>404</v>
      </c>
      <c r="D33" s="199" t="s">
        <v>859</v>
      </c>
      <c r="E33" s="199" t="s">
        <v>396</v>
      </c>
      <c r="F33" s="199" t="s">
        <v>909</v>
      </c>
      <c r="G33" s="199"/>
      <c r="H33" s="211" t="s">
        <v>896</v>
      </c>
      <c r="I33" s="212">
        <f t="shared" si="2"/>
        <v>0.24390243902439027</v>
      </c>
      <c r="J33" s="212">
        <f t="shared" si="3"/>
        <v>0.23809523809523808</v>
      </c>
      <c r="K33" s="212">
        <f t="shared" si="3"/>
        <v>0.22222222222222221</v>
      </c>
      <c r="L33" s="212">
        <f t="shared" si="3"/>
        <v>0.20000000000000001</v>
      </c>
      <c r="M33" s="212"/>
      <c r="O33" t="s">
        <v>399</v>
      </c>
    </row>
    <row r="34" spans="3:15" ht="15">
      <c r="C34" s="199" t="s">
        <v>404</v>
      </c>
      <c r="D34" s="199" t="s">
        <v>859</v>
      </c>
      <c r="E34" s="199" t="s">
        <v>395</v>
      </c>
      <c r="F34" s="199" t="s">
        <v>909</v>
      </c>
      <c r="G34" s="199"/>
      <c r="H34" s="211" t="s">
        <v>896</v>
      </c>
      <c r="I34" s="212">
        <f t="shared" si="2"/>
        <v>0.32258064516129031</v>
      </c>
      <c r="J34" s="212">
        <f t="shared" si="3"/>
        <v>0.3125</v>
      </c>
      <c r="K34" s="212">
        <f t="shared" si="3"/>
        <v>0.2857142857142857</v>
      </c>
      <c r="L34" s="212">
        <f t="shared" si="3"/>
        <v>0.25</v>
      </c>
      <c r="M34" s="212"/>
      <c r="O34" t="s">
        <v>399</v>
      </c>
    </row>
    <row r="35" spans="3:15" ht="15">
      <c r="C35" s="199" t="s">
        <v>810</v>
      </c>
      <c r="D35" s="199" t="s">
        <v>859</v>
      </c>
      <c r="E35" s="199"/>
      <c r="F35" s="199" t="s">
        <v>909</v>
      </c>
      <c r="G35" s="199"/>
      <c r="H35" s="211" t="s">
        <v>896</v>
      </c>
      <c r="I35" s="212">
        <f t="shared" si="2"/>
        <v>0.27777777777777779</v>
      </c>
      <c r="J35" s="212">
        <f t="shared" si="3"/>
        <v>0.27027027027027023</v>
      </c>
      <c r="K35" s="212">
        <f t="shared" si="3"/>
        <v>0.25</v>
      </c>
      <c r="L35" s="212">
        <f t="shared" si="3"/>
        <v>0.22222222222222221</v>
      </c>
      <c r="M35" s="212"/>
      <c r="O35" t="s">
        <v>399</v>
      </c>
    </row>
    <row r="36" spans="3:15" ht="15">
      <c r="C36" s="199" t="s">
        <v>811</v>
      </c>
      <c r="D36" s="199" t="s">
        <v>859</v>
      </c>
      <c r="E36" s="199"/>
      <c r="F36" s="199" t="s">
        <v>909</v>
      </c>
      <c r="G36" s="199"/>
      <c r="H36" s="211" t="s">
        <v>896</v>
      </c>
      <c r="I36" s="212">
        <f t="shared" si="2"/>
        <v>0.27777777777777779</v>
      </c>
      <c r="J36" s="212">
        <f t="shared" si="3"/>
        <v>0.27027027027027023</v>
      </c>
      <c r="K36" s="212">
        <f t="shared" si="3"/>
        <v>0.25</v>
      </c>
      <c r="L36" s="212">
        <f t="shared" si="3"/>
        <v>0.22222222222222221</v>
      </c>
      <c r="M36" s="212"/>
      <c r="O36" t="s">
        <v>399</v>
      </c>
    </row>
    <row r="37" spans="3:15" ht="15">
      <c r="C37" s="199" t="s">
        <v>812</v>
      </c>
      <c r="D37" s="199" t="s">
        <v>859</v>
      </c>
      <c r="E37" s="199"/>
      <c r="F37" s="199" t="s">
        <v>909</v>
      </c>
      <c r="G37" s="199"/>
      <c r="H37" s="211" t="s">
        <v>896</v>
      </c>
      <c r="I37" s="212">
        <f t="shared" si="1"/>
        <v>0.28409090909090912</v>
      </c>
      <c r="J37" s="212"/>
      <c r="K37" s="212">
        <f t="shared" si="4" ref="K37">1/K18</f>
        <v>0.20292207792207792</v>
      </c>
      <c r="L37" s="212"/>
      <c r="M37" s="212">
        <f t="shared" si="3"/>
        <v>0.18939393939393939</v>
      </c>
      <c r="O37" t="s">
        <v>399</v>
      </c>
    </row>
    <row r="38" spans="3:15" ht="15">
      <c r="C38" s="199" t="s">
        <v>813</v>
      </c>
      <c r="D38" s="199" t="s">
        <v>859</v>
      </c>
      <c r="E38" s="199"/>
      <c r="F38" s="199" t="s">
        <v>909</v>
      </c>
      <c r="G38" s="199"/>
      <c r="H38" s="211" t="s">
        <v>896</v>
      </c>
      <c r="I38" s="212">
        <f t="shared" si="1"/>
        <v>0.28409090909090912</v>
      </c>
      <c r="J38" s="212"/>
      <c r="K38" s="212">
        <f t="shared" si="5" ref="K38">1/K19</f>
        <v>0.20292207792207792</v>
      </c>
      <c r="L38" s="212"/>
      <c r="M38" s="212">
        <f t="shared" si="3"/>
        <v>0.18939393939393939</v>
      </c>
      <c r="O38" t="s">
        <v>399</v>
      </c>
    </row>
    <row r="39" spans="3:13" ht="15">
      <c r="C39" s="199" t="s">
        <v>814</v>
      </c>
      <c r="D39" s="199" t="s">
        <v>859</v>
      </c>
      <c r="E39" s="199"/>
      <c r="F39" s="199" t="s">
        <v>398</v>
      </c>
      <c r="G39" s="199"/>
      <c r="H39" s="210" t="s">
        <v>896</v>
      </c>
      <c r="I39" s="209">
        <f t="shared" si="6" ref="I39:I44">(I20-1)/I20</f>
        <v>0.2592592592592593</v>
      </c>
      <c r="J39" s="209">
        <f>(J20-1)/J20</f>
        <v>0.31034482758620685</v>
      </c>
      <c r="K39" s="209">
        <f>(K20-1)/K20</f>
        <v>0.41176470588235292</v>
      </c>
      <c r="L39" s="209"/>
      <c r="M39" s="209"/>
    </row>
    <row r="40" spans="3:13" ht="15">
      <c r="C40" s="199" t="s">
        <v>815</v>
      </c>
      <c r="D40" s="199" t="s">
        <v>859</v>
      </c>
      <c r="E40" s="199"/>
      <c r="F40" s="199" t="s">
        <v>398</v>
      </c>
      <c r="G40" s="199"/>
      <c r="H40" s="210" t="s">
        <v>896</v>
      </c>
      <c r="I40" s="209">
        <f t="shared" si="6"/>
        <v>0.2592592592592593</v>
      </c>
      <c r="J40" s="209">
        <f>(J21-1)/J21</f>
        <v>0.31034482758620685</v>
      </c>
      <c r="K40" s="209">
        <f>(K21-1)/K21</f>
        <v>0.41176470588235292</v>
      </c>
      <c r="L40" s="209"/>
      <c r="M40" s="209"/>
    </row>
    <row r="41" spans="3:13" ht="15">
      <c r="C41" s="199" t="s">
        <v>816</v>
      </c>
      <c r="D41" s="199" t="s">
        <v>859</v>
      </c>
      <c r="E41" s="199"/>
      <c r="F41" s="199" t="s">
        <v>398</v>
      </c>
      <c r="G41" s="199"/>
      <c r="H41" s="210" t="s">
        <v>896</v>
      </c>
      <c r="I41" s="209">
        <f t="shared" si="6"/>
        <v>0.10714285714285723</v>
      </c>
      <c r="J41" s="209"/>
      <c r="K41" s="209"/>
      <c r="L41" s="209"/>
      <c r="M41" s="209"/>
    </row>
    <row r="42" spans="3:13" ht="15">
      <c r="C42" s="199" t="s">
        <v>817</v>
      </c>
      <c r="D42" s="199" t="s">
        <v>859</v>
      </c>
      <c r="E42" s="199"/>
      <c r="F42" s="199" t="s">
        <v>398</v>
      </c>
      <c r="G42" s="199"/>
      <c r="H42" s="210" t="s">
        <v>896</v>
      </c>
      <c r="I42" s="209">
        <f t="shared" si="6"/>
        <v>0.10714285714285723</v>
      </c>
      <c r="J42" s="209"/>
      <c r="K42" s="209"/>
      <c r="L42" s="209"/>
      <c r="M42" s="209"/>
    </row>
    <row r="43" spans="3:13" ht="15">
      <c r="C43" s="199" t="s">
        <v>818</v>
      </c>
      <c r="D43" s="199" t="s">
        <v>859</v>
      </c>
      <c r="E43" s="199"/>
      <c r="F43" s="199" t="s">
        <v>398</v>
      </c>
      <c r="G43" s="199"/>
      <c r="H43" s="210" t="s">
        <v>896</v>
      </c>
      <c r="I43" s="209">
        <f t="shared" si="6"/>
        <v>0.33333333333333331</v>
      </c>
      <c r="J43" s="209">
        <f>(J24-1)/J24</f>
        <v>0.35483870967741937</v>
      </c>
      <c r="K43" s="209"/>
      <c r="L43" s="209">
        <f>(L24-1)/L24</f>
        <v>0.37500000000000006</v>
      </c>
      <c r="M43" s="209"/>
    </row>
    <row r="44" spans="3:13" ht="15">
      <c r="C44" s="199" t="s">
        <v>819</v>
      </c>
      <c r="D44" s="199" t="s">
        <v>859</v>
      </c>
      <c r="E44" s="199"/>
      <c r="F44" s="199" t="s">
        <v>398</v>
      </c>
      <c r="G44" s="199"/>
      <c r="H44" s="210" t="s">
        <v>896</v>
      </c>
      <c r="I44" s="209">
        <f t="shared" si="6"/>
        <v>0.33333333333333331</v>
      </c>
      <c r="J44" s="209">
        <f>(J25-1)/J25</f>
        <v>0.35483870967741937</v>
      </c>
      <c r="K44" s="209"/>
      <c r="L44" s="209">
        <f>(L25-1)/L25</f>
        <v>0.37500000000000006</v>
      </c>
      <c r="M44" s="20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899998307228"/>
  </sheetPr>
  <dimension ref="A2:AU54"/>
  <sheetViews>
    <sheetView zoomScale="85" zoomScaleNormal="85" workbookViewId="0" topLeftCell="A10">
      <selection pane="topLeft" activeCell="C22" sqref="C22"/>
    </sheetView>
  </sheetViews>
  <sheetFormatPr defaultColWidth="9.14428571428571" defaultRowHeight="12.75"/>
  <cols>
    <col min="3" max="3" width="29" bestFit="1" customWidth="1"/>
    <col min="4" max="4" width="26.4285714285714" bestFit="1" customWidth="1"/>
    <col min="5" max="5" width="24.7142857142857" customWidth="1"/>
    <col min="6" max="6" width="15.4285714285714" customWidth="1"/>
    <col min="7" max="7" width="23.8571428571429" customWidth="1"/>
    <col min="8" max="8" width="16.4285714285714" customWidth="1"/>
  </cols>
  <sheetData>
    <row r="2" spans="3:3" ht="15">
      <c r="C2" s="86" t="s">
        <v>50</v>
      </c>
    </row>
    <row r="3" spans="3:9" ht="15.75" thickBot="1">
      <c r="C3" s="88" t="s">
        <v>48</v>
      </c>
      <c r="D3" s="88" t="s">
        <v>43</v>
      </c>
      <c r="E3" s="88" t="s">
        <v>35</v>
      </c>
      <c r="F3" s="88" t="s">
        <v>34</v>
      </c>
      <c r="G3" s="88" t="s">
        <v>49</v>
      </c>
      <c r="H3" s="88" t="s">
        <v>36</v>
      </c>
      <c r="I3" s="89" t="s">
        <v>790</v>
      </c>
    </row>
    <row r="4" spans="3:9" ht="15">
      <c r="C4" s="199" t="s">
        <v>864</v>
      </c>
      <c r="D4" s="199" t="s">
        <v>789</v>
      </c>
      <c r="E4" s="199" t="s">
        <v>470</v>
      </c>
      <c r="F4" s="199"/>
      <c r="G4" s="199" t="s">
        <v>800</v>
      </c>
      <c r="H4" s="199">
        <v>0</v>
      </c>
      <c r="I4" s="199">
        <v>-1</v>
      </c>
    </row>
    <row r="5" spans="7:8" ht="15">
      <c r="G5" s="199"/>
      <c r="H5" s="199"/>
    </row>
    <row r="7" spans="8:8" ht="12.75">
      <c r="H7" t="s">
        <v>823</v>
      </c>
    </row>
    <row r="8" spans="8:44" ht="12.75">
      <c r="H8">
        <v>0.50</v>
      </c>
      <c r="I8">
        <v>0.50</v>
      </c>
      <c r="J8">
        <v>0.50</v>
      </c>
      <c r="K8">
        <v>0.50</v>
      </c>
      <c r="L8">
        <v>0.50</v>
      </c>
      <c r="M8">
        <v>0.50</v>
      </c>
      <c r="N8">
        <v>0.50</v>
      </c>
      <c r="O8">
        <v>0.50</v>
      </c>
      <c r="P8">
        <v>0.50</v>
      </c>
      <c r="Q8">
        <v>0.50</v>
      </c>
      <c r="R8">
        <v>0.50</v>
      </c>
      <c r="S8">
        <v>0.50</v>
      </c>
      <c r="T8">
        <v>0.50</v>
      </c>
      <c r="U8">
        <v>0.50</v>
      </c>
      <c r="V8">
        <v>0.50</v>
      </c>
      <c r="W8">
        <v>0.50</v>
      </c>
      <c r="X8">
        <v>0.50</v>
      </c>
      <c r="Y8">
        <v>0.50</v>
      </c>
      <c r="Z8">
        <v>0.50</v>
      </c>
      <c r="AA8">
        <v>0.50</v>
      </c>
      <c r="AB8">
        <v>0.50</v>
      </c>
      <c r="AC8">
        <v>0.50</v>
      </c>
      <c r="AD8">
        <v>0.50</v>
      </c>
      <c r="AE8">
        <v>0.50</v>
      </c>
      <c r="AF8">
        <v>0.50</v>
      </c>
      <c r="AG8">
        <v>0.50</v>
      </c>
      <c r="AH8">
        <v>0.50</v>
      </c>
      <c r="AI8">
        <v>0.50</v>
      </c>
      <c r="AJ8">
        <v>0.50</v>
      </c>
      <c r="AK8">
        <v>0.50</v>
      </c>
      <c r="AL8">
        <v>0.50</v>
      </c>
      <c r="AM8">
        <v>0.50</v>
      </c>
      <c r="AN8">
        <v>0.50</v>
      </c>
      <c r="AO8">
        <v>0.50</v>
      </c>
      <c r="AP8">
        <v>0.50</v>
      </c>
      <c r="AQ8">
        <v>0.50</v>
      </c>
      <c r="AR8">
        <v>0.50</v>
      </c>
    </row>
    <row r="9" spans="6:44" ht="15">
      <c r="F9" s="214" t="s">
        <v>904</v>
      </c>
      <c r="G9" s="201" t="s">
        <v>54</v>
      </c>
      <c r="H9" s="204">
        <v>0.018475322333133235</v>
      </c>
      <c r="I9" s="204">
        <v>0.019172891089031752</v>
      </c>
      <c r="J9" s="204">
        <v>0.0075769864511415564</v>
      </c>
      <c r="K9" s="204">
        <v>0.018939405160459725</v>
      </c>
      <c r="L9" s="204">
        <v>0.0075775083996018119</v>
      </c>
      <c r="M9" s="204">
        <v>0.015597268503817364</v>
      </c>
      <c r="N9" s="204">
        <v>0.016857316069180946</v>
      </c>
      <c r="O9" s="204">
        <v>0.013505210937539836</v>
      </c>
      <c r="P9" s="204">
        <v>0.016391248067929944</v>
      </c>
      <c r="Q9" s="204">
        <v>0.014821368221859031</v>
      </c>
      <c r="R9" s="204">
        <v>0.019437825415960473</v>
      </c>
      <c r="S9" s="204">
        <v>0.015409061183784042</v>
      </c>
      <c r="T9" s="204">
        <v>0.018211781582920028</v>
      </c>
      <c r="U9" s="204">
        <v>0.012711787434776734</v>
      </c>
      <c r="V9" s="204">
        <v>0.011747267353790242</v>
      </c>
      <c r="W9" s="204">
        <v>0.0098954034089556824</v>
      </c>
      <c r="X9" s="204">
        <v>0.036762426034043061</v>
      </c>
      <c r="Y9" s="204">
        <v>0.017738242163665291</v>
      </c>
      <c r="Z9" s="204">
        <v>0.011862837127229926</v>
      </c>
      <c r="AA9" s="204">
        <v>0.02742935551622545</v>
      </c>
      <c r="AB9" s="204">
        <v>0.015544494980844975</v>
      </c>
      <c r="AC9" s="204">
        <v>0.0042891196985277782</v>
      </c>
      <c r="AD9" s="204">
        <v>0.016999598469954424</v>
      </c>
      <c r="AE9" s="204">
        <v>0.01882454735922191</v>
      </c>
      <c r="AF9" s="204">
        <v>0.013279232951583231</v>
      </c>
      <c r="AG9" s="204">
        <v>0.0049545766329691602</v>
      </c>
      <c r="AH9" s="204">
        <v>0.0082087060266235086</v>
      </c>
      <c r="AI9" s="204">
        <v>0.01862913478204635</v>
      </c>
      <c r="AJ9" s="204">
        <v>0.014812555646625947</v>
      </c>
      <c r="AK9" s="204">
        <v>0.015120643099557726</v>
      </c>
      <c r="AL9" s="204">
        <v>0.011404270250586405</v>
      </c>
      <c r="AM9" s="204">
        <v>0.0064774360085489606</v>
      </c>
      <c r="AN9" s="204">
        <v>0.0094542066649688575</v>
      </c>
      <c r="AO9" s="204">
        <v>0.015390958710163079</v>
      </c>
      <c r="AP9" s="204">
        <v>0.0095639330152156223</v>
      </c>
      <c r="AQ9" s="204">
        <v>0.013073232977662235</v>
      </c>
      <c r="AR9" s="204">
        <v>0.0088410701514096812</v>
      </c>
    </row>
    <row r="10" spans="6:44" ht="15">
      <c r="F10" s="214"/>
      <c r="G10" s="201" t="s">
        <v>468</v>
      </c>
      <c r="H10" s="204">
        <v>0.057406520391721373</v>
      </c>
      <c r="I10" s="204">
        <v>0.071015980373638668</v>
      </c>
      <c r="J10" s="204">
        <v>0.024880925637705369</v>
      </c>
      <c r="K10" s="204">
        <v>0.05884851852360716</v>
      </c>
      <c r="L10" s="204">
        <v>0.029317036709731605</v>
      </c>
      <c r="M10" s="204">
        <v>0.059137047111067556</v>
      </c>
      <c r="N10" s="204">
        <v>0.047236468946435316</v>
      </c>
      <c r="O10" s="204">
        <v>0.047246765543196054</v>
      </c>
      <c r="P10" s="204">
        <v>0.059868594486932124</v>
      </c>
      <c r="Q10" s="204">
        <v>0.038032012218871494</v>
      </c>
      <c r="R10" s="204">
        <v>0.09257278417626541</v>
      </c>
      <c r="S10" s="204">
        <v>0.039055202941385321</v>
      </c>
      <c r="T10" s="204">
        <v>0.053027877614760299</v>
      </c>
      <c r="U10" s="204">
        <v>0.036297217158742394</v>
      </c>
      <c r="V10" s="204">
        <v>0.044641831874245988</v>
      </c>
      <c r="W10" s="204">
        <v>0.048898526633286518</v>
      </c>
      <c r="X10" s="204">
        <v>0.13635011451835252</v>
      </c>
      <c r="Y10" s="204">
        <v>0.057602200349705798</v>
      </c>
      <c r="Z10" s="204">
        <v>0.041692510544449113</v>
      </c>
      <c r="AA10" s="204">
        <v>0.055540634299028772</v>
      </c>
      <c r="AB10" s="204">
        <v>0.058381162320364971</v>
      </c>
      <c r="AC10" s="204">
        <v>0.013681541119277493</v>
      </c>
      <c r="AD10" s="204">
        <v>0.054771614453416932</v>
      </c>
      <c r="AE10" s="204">
        <v>0.070597974580495521</v>
      </c>
      <c r="AF10" s="204">
        <v>0.052803384072698342</v>
      </c>
      <c r="AG10" s="204">
        <v>0.018189142351438852</v>
      </c>
      <c r="AH10" s="204">
        <v>0.046423188566561538</v>
      </c>
      <c r="AI10" s="204">
        <v>0.066771236209029972</v>
      </c>
      <c r="AJ10" s="204">
        <v>0.052739287060215856</v>
      </c>
      <c r="AK10" s="204">
        <v>0.055353238874682763</v>
      </c>
      <c r="AL10" s="204">
        <v>0.045787223951076497</v>
      </c>
      <c r="AM10" s="204">
        <v>0.023644827100638349</v>
      </c>
      <c r="AN10" s="204">
        <v>0.028773773297451042</v>
      </c>
      <c r="AO10" s="204">
        <v>0.051902374179213312</v>
      </c>
      <c r="AP10" s="204">
        <v>0.026405178542977199</v>
      </c>
      <c r="AQ10" s="204">
        <v>0.03978823980629085</v>
      </c>
      <c r="AR10" s="204">
        <v>0.026907699107756013</v>
      </c>
    </row>
    <row r="11" spans="6:44" ht="15">
      <c r="F11" s="214"/>
      <c r="G11" s="201" t="s">
        <v>59</v>
      </c>
      <c r="H11" s="204">
        <v>0.042158597502022228</v>
      </c>
      <c r="I11" s="204">
        <v>0.043552852362416822</v>
      </c>
      <c r="J11" s="204">
        <v>0.014781948822744124</v>
      </c>
      <c r="K11" s="204">
        <v>0.044673345668643512</v>
      </c>
      <c r="L11" s="204">
        <v>0.017407339871617043</v>
      </c>
      <c r="M11" s="204">
        <v>0.035648151135586843</v>
      </c>
      <c r="N11" s="204">
        <v>0.041163196591527888</v>
      </c>
      <c r="O11" s="204">
        <v>0.033520975913529288</v>
      </c>
      <c r="P11" s="204">
        <v>0.036194646304072396</v>
      </c>
      <c r="Q11" s="204">
        <v>0.024614394817779613</v>
      </c>
      <c r="R11" s="204">
        <v>0.053941416487837707</v>
      </c>
      <c r="S11" s="204">
        <v>0.036273481151149249</v>
      </c>
      <c r="T11" s="204">
        <v>0.032011554060675421</v>
      </c>
      <c r="U11" s="204">
        <v>0.020794700237303197</v>
      </c>
      <c r="V11" s="204">
        <v>0.028064636721802302</v>
      </c>
      <c r="W11" s="204">
        <v>0.033756807028501742</v>
      </c>
      <c r="X11" s="204">
        <v>0.080040229606360216</v>
      </c>
      <c r="Y11" s="204">
        <v>0.037051716200946778</v>
      </c>
      <c r="Z11" s="204">
        <v>0.028661472432858992</v>
      </c>
      <c r="AA11" s="204">
        <v>0.049996711985156789</v>
      </c>
      <c r="AB11" s="204">
        <v>0.037338476120657813</v>
      </c>
      <c r="AC11" s="204">
        <v>0.008932414845091231</v>
      </c>
      <c r="AD11" s="204">
        <v>0.040452076657028484</v>
      </c>
      <c r="AE11" s="204">
        <v>0.040646036847860265</v>
      </c>
      <c r="AF11" s="204">
        <v>0.035900149209797096</v>
      </c>
      <c r="AG11" s="204">
        <v>0.010835476747703115</v>
      </c>
      <c r="AH11" s="204">
        <v>0.025944449036952068</v>
      </c>
      <c r="AI11" s="204">
        <v>0.039938602020827219</v>
      </c>
      <c r="AJ11" s="204">
        <v>0.034703360606677974</v>
      </c>
      <c r="AK11" s="204">
        <v>0.034888068335962384</v>
      </c>
      <c r="AL11" s="204">
        <v>0.03959594465772362</v>
      </c>
      <c r="AM11" s="204">
        <v>0.013844717854288854</v>
      </c>
      <c r="AN11" s="204">
        <v>0.015340179478021845</v>
      </c>
      <c r="AO11" s="204">
        <v>0.028372936170236826</v>
      </c>
      <c r="AP11" s="204">
        <v>0.015750505573363171</v>
      </c>
      <c r="AQ11" s="204">
        <v>0.021212328790994679</v>
      </c>
      <c r="AR11" s="204">
        <v>0.014345318196072356</v>
      </c>
    </row>
    <row r="13" spans="3:45" ht="15">
      <c r="C13" s="86" t="s">
        <v>50</v>
      </c>
      <c r="F13" s="201"/>
      <c r="G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</row>
    <row r="14" spans="3:44" ht="15.75" thickBot="1">
      <c r="C14" s="88" t="s">
        <v>48</v>
      </c>
      <c r="D14" s="88" t="s">
        <v>43</v>
      </c>
      <c r="E14" s="88" t="s">
        <v>35</v>
      </c>
      <c r="F14" s="202" t="s">
        <v>34</v>
      </c>
      <c r="G14" s="202" t="s">
        <v>39</v>
      </c>
      <c r="H14" s="203" t="s">
        <v>0</v>
      </c>
      <c r="I14" s="203" t="s">
        <v>1</v>
      </c>
      <c r="J14" s="203" t="s">
        <v>30</v>
      </c>
      <c r="K14" s="203" t="s">
        <v>2</v>
      </c>
      <c r="L14" s="203" t="s">
        <v>3</v>
      </c>
      <c r="M14" s="203" t="s">
        <v>4</v>
      </c>
      <c r="N14" s="203" t="s">
        <v>5</v>
      </c>
      <c r="O14" s="203" t="s">
        <v>6</v>
      </c>
      <c r="P14" s="203" t="s">
        <v>7</v>
      </c>
      <c r="Q14" s="203" t="s">
        <v>8</v>
      </c>
      <c r="R14" s="203" t="s">
        <v>9</v>
      </c>
      <c r="S14" s="203" t="s">
        <v>10</v>
      </c>
      <c r="T14" s="203" t="s">
        <v>47</v>
      </c>
      <c r="U14" s="203" t="s">
        <v>31</v>
      </c>
      <c r="V14" s="203" t="s">
        <v>11</v>
      </c>
      <c r="W14" s="203" t="s">
        <v>12</v>
      </c>
      <c r="X14" s="203" t="s">
        <v>13</v>
      </c>
      <c r="Y14" s="203" t="s">
        <v>27</v>
      </c>
      <c r="Z14" s="203" t="s">
        <v>14</v>
      </c>
      <c r="AA14" s="203" t="s">
        <v>15</v>
      </c>
      <c r="AB14" s="203" t="s">
        <v>16</v>
      </c>
      <c r="AC14" s="203" t="s">
        <v>17</v>
      </c>
      <c r="AD14" s="203" t="s">
        <v>18</v>
      </c>
      <c r="AE14" s="203" t="s">
        <v>19</v>
      </c>
      <c r="AF14" s="203" t="s">
        <v>20</v>
      </c>
      <c r="AG14" s="203" t="s">
        <v>21</v>
      </c>
      <c r="AH14" s="203" t="s">
        <v>22</v>
      </c>
      <c r="AI14" s="203" t="s">
        <v>23</v>
      </c>
      <c r="AJ14" s="203" t="s">
        <v>24</v>
      </c>
      <c r="AK14" s="203" t="s">
        <v>25</v>
      </c>
      <c r="AL14" s="203" t="s">
        <v>26</v>
      </c>
      <c r="AM14" s="203" t="s">
        <v>40</v>
      </c>
      <c r="AN14" s="203" t="s">
        <v>44</v>
      </c>
      <c r="AO14" s="203" t="s">
        <v>41</v>
      </c>
      <c r="AP14" s="203" t="s">
        <v>32</v>
      </c>
      <c r="AQ14" s="203" t="s">
        <v>42</v>
      </c>
      <c r="AR14" s="203" t="s">
        <v>45</v>
      </c>
    </row>
    <row r="15" spans="3:44" ht="15">
      <c r="C15" s="201" t="s">
        <v>861</v>
      </c>
      <c r="D15" s="201"/>
      <c r="E15" s="201" t="s">
        <v>470</v>
      </c>
      <c r="F15" s="201"/>
      <c r="G15" s="215" t="s">
        <v>54</v>
      </c>
      <c r="H15" s="216">
        <f>MAX(H9:H11)</f>
        <v>0.057406520391721373</v>
      </c>
      <c r="I15" s="216">
        <f t="shared" si="0" ref="I15:AR15">MAX(I9:I11)</f>
        <v>0.071015980373638668</v>
      </c>
      <c r="J15" s="216">
        <f t="shared" si="0"/>
        <v>0.024880925637705369</v>
      </c>
      <c r="K15" s="216">
        <f t="shared" si="0"/>
        <v>0.05884851852360716</v>
      </c>
      <c r="L15" s="216">
        <f t="shared" si="0"/>
        <v>0.029317036709731605</v>
      </c>
      <c r="M15" s="216">
        <f t="shared" si="0"/>
        <v>0.059137047111067556</v>
      </c>
      <c r="N15" s="216">
        <f t="shared" si="0"/>
        <v>0.047236468946435316</v>
      </c>
      <c r="O15" s="216">
        <f t="shared" si="0"/>
        <v>0.047246765543196054</v>
      </c>
      <c r="P15" s="216">
        <f t="shared" si="0"/>
        <v>0.059868594486932124</v>
      </c>
      <c r="Q15" s="216">
        <f t="shared" si="0"/>
        <v>0.038032012218871494</v>
      </c>
      <c r="R15" s="216">
        <f t="shared" si="0"/>
        <v>0.09257278417626541</v>
      </c>
      <c r="S15" s="216">
        <f t="shared" si="0"/>
        <v>0.039055202941385321</v>
      </c>
      <c r="T15" s="216">
        <f t="shared" si="0"/>
        <v>0.053027877614760299</v>
      </c>
      <c r="U15" s="216">
        <f t="shared" si="0"/>
        <v>0.036297217158742394</v>
      </c>
      <c r="V15" s="216">
        <f t="shared" si="0"/>
        <v>0.044641831874245988</v>
      </c>
      <c r="W15" s="216">
        <f t="shared" si="0"/>
        <v>0.048898526633286518</v>
      </c>
      <c r="X15" s="216">
        <f t="shared" si="0"/>
        <v>0.13635011451835252</v>
      </c>
      <c r="Y15" s="216">
        <f t="shared" si="0"/>
        <v>0.057602200349705798</v>
      </c>
      <c r="Z15" s="216">
        <f t="shared" si="0"/>
        <v>0.041692510544449113</v>
      </c>
      <c r="AA15" s="216">
        <f t="shared" si="0"/>
        <v>0.055540634299028772</v>
      </c>
      <c r="AB15" s="216">
        <f t="shared" si="0"/>
        <v>0.058381162320364971</v>
      </c>
      <c r="AC15" s="216">
        <f t="shared" si="0"/>
        <v>0.013681541119277493</v>
      </c>
      <c r="AD15" s="216">
        <f t="shared" si="0"/>
        <v>0.054771614453416932</v>
      </c>
      <c r="AE15" s="216">
        <f t="shared" si="0"/>
        <v>0.070597974580495521</v>
      </c>
      <c r="AF15" s="216">
        <f t="shared" si="0"/>
        <v>0.052803384072698342</v>
      </c>
      <c r="AG15" s="216">
        <f t="shared" si="0"/>
        <v>0.018189142351438852</v>
      </c>
      <c r="AH15" s="216">
        <f t="shared" si="0"/>
        <v>0.046423188566561538</v>
      </c>
      <c r="AI15" s="216">
        <f t="shared" si="0"/>
        <v>0.066771236209029972</v>
      </c>
      <c r="AJ15" s="216">
        <f t="shared" si="0"/>
        <v>0.052739287060215856</v>
      </c>
      <c r="AK15" s="216">
        <f t="shared" si="0"/>
        <v>0.055353238874682763</v>
      </c>
      <c r="AL15" s="216">
        <f t="shared" si="0"/>
        <v>0.045787223951076497</v>
      </c>
      <c r="AM15" s="216">
        <f t="shared" si="0"/>
        <v>0.023644827100638349</v>
      </c>
      <c r="AN15" s="216">
        <f t="shared" si="0"/>
        <v>0.028773773297451042</v>
      </c>
      <c r="AO15" s="216">
        <f t="shared" si="0"/>
        <v>0.051902374179213312</v>
      </c>
      <c r="AP15" s="216">
        <f t="shared" si="0"/>
        <v>0.026405178542977199</v>
      </c>
      <c r="AQ15" s="216">
        <f t="shared" si="0"/>
        <v>0.03978823980629085</v>
      </c>
      <c r="AR15" s="216">
        <f t="shared" si="0"/>
        <v>0.026907699107756013</v>
      </c>
    </row>
    <row r="16" spans="3:44" ht="15">
      <c r="C16" s="201" t="s">
        <v>862</v>
      </c>
      <c r="D16" s="201"/>
      <c r="E16" s="201" t="s">
        <v>470</v>
      </c>
      <c r="F16" s="201"/>
      <c r="G16" s="201" t="s">
        <v>58</v>
      </c>
      <c r="H16" s="204">
        <v>0.099331520459573081</v>
      </c>
      <c r="I16" s="204">
        <v>0.083833460152159561</v>
      </c>
      <c r="J16" s="204">
        <v>0.033167600466318808</v>
      </c>
      <c r="K16" s="204">
        <v>0.10182663540405482</v>
      </c>
      <c r="L16" s="204">
        <v>0.033476448492515111</v>
      </c>
      <c r="M16" s="204">
        <v>0.074848038350600873</v>
      </c>
      <c r="N16" s="204">
        <v>0.098466428859731697</v>
      </c>
      <c r="O16" s="204">
        <v>0.078803249101360287</v>
      </c>
      <c r="P16" s="204">
        <v>0.086498266722627143</v>
      </c>
      <c r="Q16" s="204">
        <v>0.056191569104279748</v>
      </c>
      <c r="R16" s="204">
        <v>0.13188450467184953</v>
      </c>
      <c r="S16" s="204">
        <v>0.10190597788459434</v>
      </c>
      <c r="T16" s="204">
        <v>0.057337768525222564</v>
      </c>
      <c r="U16" s="204">
        <v>0.048534007860538381</v>
      </c>
      <c r="V16" s="204">
        <v>0.065400863421586783</v>
      </c>
      <c r="W16" s="204">
        <v>0.094051909877361409</v>
      </c>
      <c r="X16" s="204">
        <v>0.19425220355221187</v>
      </c>
      <c r="Y16" s="204">
        <v>0.072611717185369712</v>
      </c>
      <c r="Z16" s="204">
        <v>0.065589115973427412</v>
      </c>
      <c r="AA16" s="204">
        <v>0.12003287753232274</v>
      </c>
      <c r="AB16" s="204">
        <v>0.086994700330800909</v>
      </c>
      <c r="AC16" s="204">
        <v>0.017136259308570066</v>
      </c>
      <c r="AD16" s="204">
        <v>0.087388780591442367</v>
      </c>
      <c r="AE16" s="204">
        <v>0.10416620701472289</v>
      </c>
      <c r="AF16" s="204">
        <v>0.089980777892459562</v>
      </c>
      <c r="AG16" s="204">
        <v>0.021191754938370611</v>
      </c>
      <c r="AH16" s="204">
        <v>0.052913390710737508</v>
      </c>
      <c r="AI16" s="204">
        <v>0.095421968413670691</v>
      </c>
      <c r="AJ16" s="204">
        <v>0.077713627531317525</v>
      </c>
      <c r="AK16" s="204">
        <v>0.074015938042871057</v>
      </c>
      <c r="AL16" s="204">
        <v>0.083575163208959261</v>
      </c>
      <c r="AM16" s="204">
        <v>0.025566582788105797</v>
      </c>
      <c r="AN16" s="204">
        <v>0.0318748063139042</v>
      </c>
      <c r="AO16" s="204">
        <v>0.057795627858160163</v>
      </c>
      <c r="AP16" s="204">
        <v>0.035330389209350666</v>
      </c>
      <c r="AQ16" s="204">
        <v>0.044076333829635141</v>
      </c>
      <c r="AR16" s="204">
        <v>0.029807619895598242</v>
      </c>
    </row>
    <row r="17" spans="3:44" ht="15">
      <c r="C17" s="201" t="s">
        <v>867</v>
      </c>
      <c r="D17" s="201"/>
      <c r="E17" s="201" t="s">
        <v>470</v>
      </c>
      <c r="F17" s="201"/>
      <c r="G17" s="201" t="s">
        <v>468</v>
      </c>
      <c r="H17" s="204">
        <v>0.057406520391721373</v>
      </c>
      <c r="I17" s="204">
        <v>0.071015980373638668</v>
      </c>
      <c r="J17" s="204">
        <v>0.024880925637705369</v>
      </c>
      <c r="K17" s="204">
        <v>0.05884851852360716</v>
      </c>
      <c r="L17" s="204">
        <v>0.029317036709731605</v>
      </c>
      <c r="M17" s="204">
        <v>0.059137047111067556</v>
      </c>
      <c r="N17" s="204">
        <v>0.047236468946435316</v>
      </c>
      <c r="O17" s="204">
        <v>0.047246765543196054</v>
      </c>
      <c r="P17" s="204">
        <v>0.059868594486932124</v>
      </c>
      <c r="Q17" s="204">
        <v>0.038032012218871494</v>
      </c>
      <c r="R17" s="204">
        <v>0.09257278417626541</v>
      </c>
      <c r="S17" s="204">
        <v>0.039055202941385321</v>
      </c>
      <c r="T17" s="204">
        <v>0.053027877614760299</v>
      </c>
      <c r="U17" s="204">
        <v>0.036297217158742394</v>
      </c>
      <c r="V17" s="204">
        <v>0.044641831874245988</v>
      </c>
      <c r="W17" s="204">
        <v>0.048898526633286518</v>
      </c>
      <c r="X17" s="204">
        <v>0.13635011451835252</v>
      </c>
      <c r="Y17" s="204">
        <v>0.057602200349705798</v>
      </c>
      <c r="Z17" s="204">
        <v>0.041692510544449113</v>
      </c>
      <c r="AA17" s="204">
        <v>0.055540634299028772</v>
      </c>
      <c r="AB17" s="204">
        <v>0.058381162320364971</v>
      </c>
      <c r="AC17" s="204">
        <v>0.013681541119277493</v>
      </c>
      <c r="AD17" s="204">
        <v>0.054771614453416932</v>
      </c>
      <c r="AE17" s="204">
        <v>0.070597974580495521</v>
      </c>
      <c r="AF17" s="204">
        <v>0.052803384072698342</v>
      </c>
      <c r="AG17" s="204">
        <v>0.018189142351438852</v>
      </c>
      <c r="AH17" s="204">
        <v>0.046423188566561538</v>
      </c>
      <c r="AI17" s="204">
        <v>0.066771236209029972</v>
      </c>
      <c r="AJ17" s="204">
        <v>0.052739287060215856</v>
      </c>
      <c r="AK17" s="204">
        <v>0.055353238874682763</v>
      </c>
      <c r="AL17" s="204">
        <v>0.045787223951076497</v>
      </c>
      <c r="AM17" s="204">
        <v>0.023644827100638349</v>
      </c>
      <c r="AN17" s="204">
        <v>0.028773773297451042</v>
      </c>
      <c r="AO17" s="204">
        <v>0.051902374179213312</v>
      </c>
      <c r="AP17" s="204">
        <v>0.026405178542977199</v>
      </c>
      <c r="AQ17" s="204">
        <v>0.03978823980629085</v>
      </c>
      <c r="AR17" s="204">
        <v>0.026907699107756013</v>
      </c>
    </row>
    <row r="18" spans="3:44" ht="15">
      <c r="C18" s="201" t="s">
        <v>863</v>
      </c>
      <c r="D18" s="201"/>
      <c r="E18" s="201" t="s">
        <v>470</v>
      </c>
      <c r="F18" s="201"/>
      <c r="G18" s="215" t="s">
        <v>59</v>
      </c>
      <c r="H18" s="216">
        <f>MAX(H10:H11)</f>
        <v>0.057406520391721373</v>
      </c>
      <c r="I18" s="216">
        <f t="shared" si="1" ref="I18:AR18">MAX(I10:I11)</f>
        <v>0.071015980373638668</v>
      </c>
      <c r="J18" s="216">
        <f t="shared" si="1"/>
        <v>0.024880925637705369</v>
      </c>
      <c r="K18" s="216">
        <f t="shared" si="1"/>
        <v>0.05884851852360716</v>
      </c>
      <c r="L18" s="216">
        <f t="shared" si="1"/>
        <v>0.029317036709731605</v>
      </c>
      <c r="M18" s="216">
        <f t="shared" si="1"/>
        <v>0.059137047111067556</v>
      </c>
      <c r="N18" s="216">
        <f t="shared" si="1"/>
        <v>0.047236468946435316</v>
      </c>
      <c r="O18" s="216">
        <f t="shared" si="1"/>
        <v>0.047246765543196054</v>
      </c>
      <c r="P18" s="216">
        <f t="shared" si="1"/>
        <v>0.059868594486932124</v>
      </c>
      <c r="Q18" s="216">
        <f t="shared" si="1"/>
        <v>0.038032012218871494</v>
      </c>
      <c r="R18" s="216">
        <f t="shared" si="1"/>
        <v>0.09257278417626541</v>
      </c>
      <c r="S18" s="216">
        <f t="shared" si="1"/>
        <v>0.039055202941385321</v>
      </c>
      <c r="T18" s="216">
        <f t="shared" si="1"/>
        <v>0.053027877614760299</v>
      </c>
      <c r="U18" s="216">
        <f t="shared" si="1"/>
        <v>0.036297217158742394</v>
      </c>
      <c r="V18" s="216">
        <f t="shared" si="1"/>
        <v>0.044641831874245988</v>
      </c>
      <c r="W18" s="216">
        <f t="shared" si="1"/>
        <v>0.048898526633286518</v>
      </c>
      <c r="X18" s="216">
        <f t="shared" si="1"/>
        <v>0.13635011451835252</v>
      </c>
      <c r="Y18" s="216">
        <f t="shared" si="1"/>
        <v>0.057602200349705798</v>
      </c>
      <c r="Z18" s="216">
        <f t="shared" si="1"/>
        <v>0.041692510544449113</v>
      </c>
      <c r="AA18" s="216">
        <f t="shared" si="1"/>
        <v>0.055540634299028772</v>
      </c>
      <c r="AB18" s="216">
        <f t="shared" si="1"/>
        <v>0.058381162320364971</v>
      </c>
      <c r="AC18" s="216">
        <f t="shared" si="1"/>
        <v>0.013681541119277493</v>
      </c>
      <c r="AD18" s="216">
        <f t="shared" si="1"/>
        <v>0.054771614453416932</v>
      </c>
      <c r="AE18" s="216">
        <f t="shared" si="1"/>
        <v>0.070597974580495521</v>
      </c>
      <c r="AF18" s="216">
        <f t="shared" si="1"/>
        <v>0.052803384072698342</v>
      </c>
      <c r="AG18" s="216">
        <f t="shared" si="1"/>
        <v>0.018189142351438852</v>
      </c>
      <c r="AH18" s="216">
        <f t="shared" si="1"/>
        <v>0.046423188566561538</v>
      </c>
      <c r="AI18" s="216">
        <f t="shared" si="1"/>
        <v>0.066771236209029972</v>
      </c>
      <c r="AJ18" s="216">
        <f t="shared" si="1"/>
        <v>0.052739287060215856</v>
      </c>
      <c r="AK18" s="216">
        <f t="shared" si="1"/>
        <v>0.055353238874682763</v>
      </c>
      <c r="AL18" s="216">
        <f t="shared" si="1"/>
        <v>0.045787223951076497</v>
      </c>
      <c r="AM18" s="216">
        <f t="shared" si="1"/>
        <v>0.023644827100638349</v>
      </c>
      <c r="AN18" s="216">
        <f t="shared" si="1"/>
        <v>0.028773773297451042</v>
      </c>
      <c r="AO18" s="216">
        <f t="shared" si="1"/>
        <v>0.051902374179213312</v>
      </c>
      <c r="AP18" s="216">
        <f t="shared" si="1"/>
        <v>0.026405178542977199</v>
      </c>
      <c r="AQ18" s="216">
        <f t="shared" si="1"/>
        <v>0.03978823980629085</v>
      </c>
      <c r="AR18" s="216">
        <f t="shared" si="1"/>
        <v>0.026907699107756013</v>
      </c>
    </row>
    <row r="19" spans="3:44" ht="15">
      <c r="C19" s="215" t="str">
        <f>C15&amp;",-"&amp;LEFT(C15,5)&amp;"*spl"</f>
        <v>R_ES-SH-FL*,R_ES-CHP-FL*,-R_ES-*spl</v>
      </c>
      <c r="D19" s="201"/>
      <c r="E19" s="201" t="s">
        <v>866</v>
      </c>
      <c r="F19" s="201" t="s">
        <v>427</v>
      </c>
      <c r="G19" s="201"/>
      <c r="H19" s="204">
        <f t="shared" si="2" ref="H19:AR19">H$8*H15</f>
        <v>0.028703260195860687</v>
      </c>
      <c r="I19" s="204">
        <f t="shared" si="2"/>
        <v>0.035507990186819334</v>
      </c>
      <c r="J19" s="204">
        <f t="shared" si="2"/>
        <v>0.012440462818852685</v>
      </c>
      <c r="K19" s="204">
        <f t="shared" si="2"/>
        <v>0.02942425926180358</v>
      </c>
      <c r="L19" s="204">
        <f t="shared" si="2"/>
        <v>0.014658518354865802</v>
      </c>
      <c r="M19" s="204">
        <f t="shared" si="2"/>
        <v>0.029568523555533778</v>
      </c>
      <c r="N19" s="204">
        <f t="shared" si="2"/>
        <v>0.023618234473217658</v>
      </c>
      <c r="O19" s="204">
        <f t="shared" si="2"/>
        <v>0.023623382771598027</v>
      </c>
      <c r="P19" s="204">
        <f t="shared" si="2"/>
        <v>0.029934297243466062</v>
      </c>
      <c r="Q19" s="204">
        <f t="shared" si="2"/>
        <v>0.019016006109435747</v>
      </c>
      <c r="R19" s="204">
        <f t="shared" si="2"/>
        <v>0.046286392088132705</v>
      </c>
      <c r="S19" s="204">
        <f t="shared" si="2"/>
        <v>0.019527601470692661</v>
      </c>
      <c r="T19" s="204">
        <f t="shared" si="2"/>
        <v>0.02651393880738015</v>
      </c>
      <c r="U19" s="204">
        <f t="shared" si="2"/>
        <v>0.018148608579371197</v>
      </c>
      <c r="V19" s="204">
        <f t="shared" si="2"/>
        <v>0.022320915937122994</v>
      </c>
      <c r="W19" s="204">
        <f t="shared" si="2"/>
        <v>0.024449263316643259</v>
      </c>
      <c r="X19" s="204">
        <f t="shared" si="2"/>
        <v>0.068175057259176261</v>
      </c>
      <c r="Y19" s="204">
        <f t="shared" si="2"/>
        <v>0.028801100174852899</v>
      </c>
      <c r="Z19" s="204">
        <f t="shared" si="2"/>
        <v>0.020846255272224556</v>
      </c>
      <c r="AA19" s="204">
        <f t="shared" si="2"/>
        <v>0.027770317149514386</v>
      </c>
      <c r="AB19" s="204">
        <f t="shared" si="2"/>
        <v>0.029190581160182485</v>
      </c>
      <c r="AC19" s="204">
        <f t="shared" si="2"/>
        <v>0.0068407705596387463</v>
      </c>
      <c r="AD19" s="204">
        <f t="shared" si="2"/>
        <v>0.027385807226708466</v>
      </c>
      <c r="AE19" s="204">
        <f t="shared" si="2"/>
        <v>0.03529898729024776</v>
      </c>
      <c r="AF19" s="204">
        <f t="shared" si="2"/>
        <v>0.026401692036349171</v>
      </c>
      <c r="AG19" s="204">
        <f t="shared" si="2"/>
        <v>0.0090945711757194261</v>
      </c>
      <c r="AH19" s="204">
        <f t="shared" si="2"/>
        <v>0.023211594283280769</v>
      </c>
      <c r="AI19" s="204">
        <f t="shared" si="2"/>
        <v>0.033385618104514986</v>
      </c>
      <c r="AJ19" s="204">
        <f t="shared" si="2"/>
        <v>0.026369643530107928</v>
      </c>
      <c r="AK19" s="204">
        <f t="shared" si="2"/>
        <v>0.027676619437341381</v>
      </c>
      <c r="AL19" s="204">
        <f t="shared" si="2"/>
        <v>0.022893611975538249</v>
      </c>
      <c r="AM19" s="204">
        <f t="shared" si="2"/>
        <v>0.011822413550319174</v>
      </c>
      <c r="AN19" s="204">
        <f t="shared" si="2"/>
        <v>0.014386886648725521</v>
      </c>
      <c r="AO19" s="204">
        <f t="shared" si="2"/>
        <v>0.025951187089606656</v>
      </c>
      <c r="AP19" s="204">
        <f t="shared" si="2"/>
        <v>0.0132025892714886</v>
      </c>
      <c r="AQ19" s="204">
        <f t="shared" si="2"/>
        <v>0.019894119903145425</v>
      </c>
      <c r="AR19" s="204">
        <f t="shared" si="2"/>
        <v>0.013453849553878006</v>
      </c>
    </row>
    <row r="20" spans="3:44" ht="15">
      <c r="C20" s="215" t="str">
        <f>C16&amp;",-"&amp;LEFT(C16,5)&amp;"*spl"</f>
        <v>R_ES-SH-DH*,R_ES-CHP-DH*,-R_ES-*spl</v>
      </c>
      <c r="D20" s="201"/>
      <c r="E20" s="201" t="s">
        <v>866</v>
      </c>
      <c r="F20" s="201" t="s">
        <v>427</v>
      </c>
      <c r="G20" s="201"/>
      <c r="H20" s="204">
        <f t="shared" si="3" ref="H20:AR20">H$8*H16</f>
        <v>0.04966576022978654</v>
      </c>
      <c r="I20" s="204">
        <f t="shared" si="3"/>
        <v>0.041916730076079781</v>
      </c>
      <c r="J20" s="204">
        <f t="shared" si="3"/>
        <v>0.016583800233159404</v>
      </c>
      <c r="K20" s="204">
        <f t="shared" si="3"/>
        <v>0.050913317702027408</v>
      </c>
      <c r="L20" s="204">
        <f t="shared" si="3"/>
        <v>0.016738224246257555</v>
      </c>
      <c r="M20" s="204">
        <f t="shared" si="3"/>
        <v>0.037424019175300437</v>
      </c>
      <c r="N20" s="204">
        <f t="shared" si="3"/>
        <v>0.049233214429865849</v>
      </c>
      <c r="O20" s="204">
        <f t="shared" si="3"/>
        <v>0.039401624550680144</v>
      </c>
      <c r="P20" s="204">
        <f t="shared" si="3"/>
        <v>0.043249133361313571</v>
      </c>
      <c r="Q20" s="204">
        <f t="shared" si="3"/>
        <v>0.028095784552139874</v>
      </c>
      <c r="R20" s="204">
        <f t="shared" si="3"/>
        <v>0.065942252335924767</v>
      </c>
      <c r="S20" s="204">
        <f t="shared" si="3"/>
        <v>0.050952988942297169</v>
      </c>
      <c r="T20" s="204">
        <f t="shared" si="3"/>
        <v>0.028668884262611282</v>
      </c>
      <c r="U20" s="204">
        <f t="shared" si="3"/>
        <v>0.02426700393026919</v>
      </c>
      <c r="V20" s="204">
        <f t="shared" si="3"/>
        <v>0.032700431710793391</v>
      </c>
      <c r="W20" s="204">
        <f t="shared" si="3"/>
        <v>0.047025954938680704</v>
      </c>
      <c r="X20" s="204">
        <f t="shared" si="3"/>
        <v>0.097126101776105936</v>
      </c>
      <c r="Y20" s="204">
        <f t="shared" si="3"/>
        <v>0.036305858592684856</v>
      </c>
      <c r="Z20" s="204">
        <f t="shared" si="3"/>
        <v>0.032794557986713706</v>
      </c>
      <c r="AA20" s="204">
        <f t="shared" si="3"/>
        <v>0.060016438766161369</v>
      </c>
      <c r="AB20" s="204">
        <f t="shared" si="3"/>
        <v>0.043497350165400454</v>
      </c>
      <c r="AC20" s="204">
        <f t="shared" si="3"/>
        <v>0.0085681296542850331</v>
      </c>
      <c r="AD20" s="204">
        <f t="shared" si="3"/>
        <v>0.043694390295721183</v>
      </c>
      <c r="AE20" s="204">
        <f t="shared" si="3"/>
        <v>0.052083103507361443</v>
      </c>
      <c r="AF20" s="204">
        <f t="shared" si="3"/>
        <v>0.044990388946229781</v>
      </c>
      <c r="AG20" s="204">
        <f t="shared" si="3"/>
        <v>0.010595877469185305</v>
      </c>
      <c r="AH20" s="204">
        <f t="shared" si="3"/>
        <v>0.026456695355368754</v>
      </c>
      <c r="AI20" s="204">
        <f t="shared" si="3"/>
        <v>0.047710984206835345</v>
      </c>
      <c r="AJ20" s="204">
        <f t="shared" si="3"/>
        <v>0.038856813765658763</v>
      </c>
      <c r="AK20" s="204">
        <f t="shared" si="3"/>
        <v>0.037007969021435529</v>
      </c>
      <c r="AL20" s="204">
        <f t="shared" si="3"/>
        <v>0.04178758160447963</v>
      </c>
      <c r="AM20" s="204">
        <f t="shared" si="3"/>
        <v>0.012783291394052898</v>
      </c>
      <c r="AN20" s="204">
        <f t="shared" si="3"/>
        <v>0.0159374031569521</v>
      </c>
      <c r="AO20" s="204">
        <f t="shared" si="3"/>
        <v>0.028897813929080082</v>
      </c>
      <c r="AP20" s="204">
        <f t="shared" si="3"/>
        <v>0.017665194604675333</v>
      </c>
      <c r="AQ20" s="204">
        <f t="shared" si="3"/>
        <v>0.02203816691481757</v>
      </c>
      <c r="AR20" s="204">
        <f t="shared" si="3"/>
        <v>0.014903809947799121</v>
      </c>
    </row>
    <row r="21" spans="3:44" ht="15">
      <c r="C21" s="215" t="str">
        <f>C17&amp;",-"&amp;LEFT(C17,5)&amp;"*spl"</f>
        <v>R_ES-SH-DH-70*,R_ES-CHP-DH-70*,-R_ES-*spl</v>
      </c>
      <c r="D21" s="201"/>
      <c r="E21" s="201" t="s">
        <v>866</v>
      </c>
      <c r="F21" s="201" t="s">
        <v>427</v>
      </c>
      <c r="G21" s="201"/>
      <c r="H21" s="204">
        <f t="shared" si="4" ref="H21:AR21">H$8*H17</f>
        <v>0.028703260195860687</v>
      </c>
      <c r="I21" s="204">
        <f t="shared" si="4"/>
        <v>0.035507990186819334</v>
      </c>
      <c r="J21" s="204">
        <f t="shared" si="4"/>
        <v>0.012440462818852685</v>
      </c>
      <c r="K21" s="204">
        <f t="shared" si="4"/>
        <v>0.02942425926180358</v>
      </c>
      <c r="L21" s="204">
        <f t="shared" si="4"/>
        <v>0.014658518354865802</v>
      </c>
      <c r="M21" s="204">
        <f t="shared" si="4"/>
        <v>0.029568523555533778</v>
      </c>
      <c r="N21" s="204">
        <f t="shared" si="4"/>
        <v>0.023618234473217658</v>
      </c>
      <c r="O21" s="204">
        <f t="shared" si="4"/>
        <v>0.023623382771598027</v>
      </c>
      <c r="P21" s="204">
        <f t="shared" si="4"/>
        <v>0.029934297243466062</v>
      </c>
      <c r="Q21" s="204">
        <f t="shared" si="4"/>
        <v>0.019016006109435747</v>
      </c>
      <c r="R21" s="204">
        <f t="shared" si="4"/>
        <v>0.046286392088132705</v>
      </c>
      <c r="S21" s="204">
        <f t="shared" si="4"/>
        <v>0.019527601470692661</v>
      </c>
      <c r="T21" s="204">
        <f t="shared" si="4"/>
        <v>0.02651393880738015</v>
      </c>
      <c r="U21" s="204">
        <f t="shared" si="4"/>
        <v>0.018148608579371197</v>
      </c>
      <c r="V21" s="204">
        <f t="shared" si="4"/>
        <v>0.022320915937122994</v>
      </c>
      <c r="W21" s="204">
        <f t="shared" si="4"/>
        <v>0.024449263316643259</v>
      </c>
      <c r="X21" s="204">
        <f t="shared" si="4"/>
        <v>0.068175057259176261</v>
      </c>
      <c r="Y21" s="204">
        <f t="shared" si="4"/>
        <v>0.028801100174852899</v>
      </c>
      <c r="Z21" s="204">
        <f t="shared" si="4"/>
        <v>0.020846255272224556</v>
      </c>
      <c r="AA21" s="204">
        <f t="shared" si="4"/>
        <v>0.027770317149514386</v>
      </c>
      <c r="AB21" s="204">
        <f t="shared" si="4"/>
        <v>0.029190581160182485</v>
      </c>
      <c r="AC21" s="204">
        <f t="shared" si="4"/>
        <v>0.0068407705596387463</v>
      </c>
      <c r="AD21" s="204">
        <f t="shared" si="4"/>
        <v>0.027385807226708466</v>
      </c>
      <c r="AE21" s="204">
        <f t="shared" si="4"/>
        <v>0.03529898729024776</v>
      </c>
      <c r="AF21" s="204">
        <f t="shared" si="4"/>
        <v>0.026401692036349171</v>
      </c>
      <c r="AG21" s="204">
        <f t="shared" si="4"/>
        <v>0.0090945711757194261</v>
      </c>
      <c r="AH21" s="204">
        <f t="shared" si="4"/>
        <v>0.023211594283280769</v>
      </c>
      <c r="AI21" s="204">
        <f t="shared" si="4"/>
        <v>0.033385618104514986</v>
      </c>
      <c r="AJ21" s="204">
        <f t="shared" si="4"/>
        <v>0.026369643530107928</v>
      </c>
      <c r="AK21" s="204">
        <f t="shared" si="4"/>
        <v>0.027676619437341381</v>
      </c>
      <c r="AL21" s="204">
        <f t="shared" si="4"/>
        <v>0.022893611975538249</v>
      </c>
      <c r="AM21" s="204">
        <f t="shared" si="4"/>
        <v>0.011822413550319174</v>
      </c>
      <c r="AN21" s="204">
        <f t="shared" si="4"/>
        <v>0.014386886648725521</v>
      </c>
      <c r="AO21" s="204">
        <f t="shared" si="4"/>
        <v>0.025951187089606656</v>
      </c>
      <c r="AP21" s="204">
        <f t="shared" si="4"/>
        <v>0.0132025892714886</v>
      </c>
      <c r="AQ21" s="204">
        <f t="shared" si="4"/>
        <v>0.019894119903145425</v>
      </c>
      <c r="AR21" s="204">
        <f t="shared" si="4"/>
        <v>0.013453849553878006</v>
      </c>
    </row>
    <row r="22" spans="3:47" ht="15">
      <c r="C22" s="215" t="str">
        <f>C18&amp;",-"&amp;LEFT(C18,5)&amp;"*spl"</f>
        <v>R_ES-SH-SD*,R_ES-CHP-SD*,-R_ES-*spl</v>
      </c>
      <c r="D22" s="201"/>
      <c r="E22" s="201" t="s">
        <v>866</v>
      </c>
      <c r="F22" s="201" t="s">
        <v>427</v>
      </c>
      <c r="G22" s="201"/>
      <c r="H22" s="204">
        <f t="shared" si="5" ref="H22:AR22">H$8*H18</f>
        <v>0.028703260195860687</v>
      </c>
      <c r="I22" s="204">
        <f t="shared" si="5"/>
        <v>0.035507990186819334</v>
      </c>
      <c r="J22" s="204">
        <f t="shared" si="5"/>
        <v>0.012440462818852685</v>
      </c>
      <c r="K22" s="204">
        <f t="shared" si="5"/>
        <v>0.02942425926180358</v>
      </c>
      <c r="L22" s="204">
        <f t="shared" si="5"/>
        <v>0.014658518354865802</v>
      </c>
      <c r="M22" s="204">
        <f t="shared" si="5"/>
        <v>0.029568523555533778</v>
      </c>
      <c r="N22" s="204">
        <f t="shared" si="5"/>
        <v>0.023618234473217658</v>
      </c>
      <c r="O22" s="204">
        <f t="shared" si="5"/>
        <v>0.023623382771598027</v>
      </c>
      <c r="P22" s="204">
        <f t="shared" si="5"/>
        <v>0.029934297243466062</v>
      </c>
      <c r="Q22" s="204">
        <f t="shared" si="5"/>
        <v>0.019016006109435747</v>
      </c>
      <c r="R22" s="204">
        <f t="shared" si="5"/>
        <v>0.046286392088132705</v>
      </c>
      <c r="S22" s="204">
        <f t="shared" si="5"/>
        <v>0.019527601470692661</v>
      </c>
      <c r="T22" s="204">
        <f t="shared" si="5"/>
        <v>0.02651393880738015</v>
      </c>
      <c r="U22" s="204">
        <f t="shared" si="5"/>
        <v>0.018148608579371197</v>
      </c>
      <c r="V22" s="204">
        <f t="shared" si="5"/>
        <v>0.022320915937122994</v>
      </c>
      <c r="W22" s="204">
        <f t="shared" si="5"/>
        <v>0.024449263316643259</v>
      </c>
      <c r="X22" s="204">
        <f t="shared" si="5"/>
        <v>0.068175057259176261</v>
      </c>
      <c r="Y22" s="204">
        <f t="shared" si="5"/>
        <v>0.028801100174852899</v>
      </c>
      <c r="Z22" s="204">
        <f t="shared" si="5"/>
        <v>0.020846255272224556</v>
      </c>
      <c r="AA22" s="204">
        <f t="shared" si="5"/>
        <v>0.027770317149514386</v>
      </c>
      <c r="AB22" s="204">
        <f t="shared" si="5"/>
        <v>0.029190581160182485</v>
      </c>
      <c r="AC22" s="204">
        <f t="shared" si="5"/>
        <v>0.0068407705596387463</v>
      </c>
      <c r="AD22" s="204">
        <f t="shared" si="5"/>
        <v>0.027385807226708466</v>
      </c>
      <c r="AE22" s="204">
        <f t="shared" si="5"/>
        <v>0.03529898729024776</v>
      </c>
      <c r="AF22" s="204">
        <f t="shared" si="5"/>
        <v>0.026401692036349171</v>
      </c>
      <c r="AG22" s="204">
        <f t="shared" si="5"/>
        <v>0.0090945711757194261</v>
      </c>
      <c r="AH22" s="204">
        <f t="shared" si="5"/>
        <v>0.023211594283280769</v>
      </c>
      <c r="AI22" s="204">
        <f t="shared" si="5"/>
        <v>0.033385618104514986</v>
      </c>
      <c r="AJ22" s="204">
        <f t="shared" si="5"/>
        <v>0.026369643530107928</v>
      </c>
      <c r="AK22" s="204">
        <f t="shared" si="5"/>
        <v>0.027676619437341381</v>
      </c>
      <c r="AL22" s="204">
        <f t="shared" si="5"/>
        <v>0.022893611975538249</v>
      </c>
      <c r="AM22" s="204">
        <f t="shared" si="5"/>
        <v>0.011822413550319174</v>
      </c>
      <c r="AN22" s="204">
        <f t="shared" si="5"/>
        <v>0.014386886648725521</v>
      </c>
      <c r="AO22" s="204">
        <f t="shared" si="5"/>
        <v>0.025951187089606656</v>
      </c>
      <c r="AP22" s="204">
        <f t="shared" si="5"/>
        <v>0.0132025892714886</v>
      </c>
      <c r="AQ22" s="204">
        <f t="shared" si="5"/>
        <v>0.019894119903145425</v>
      </c>
      <c r="AR22" s="204">
        <f t="shared" si="5"/>
        <v>0.013453849553878006</v>
      </c>
      <c r="AU22" s="218" t="s">
        <v>903</v>
      </c>
    </row>
    <row r="23" spans="1:47" ht="15">
      <c r="A23" s="2">
        <f>AU23*(0.4/AU23)^0.31</f>
        <v>0.20330196020682348</v>
      </c>
      <c r="C23" t="s">
        <v>832</v>
      </c>
      <c r="E23" s="201" t="s">
        <v>470</v>
      </c>
      <c r="F23" s="201"/>
      <c r="G23" s="201" t="s">
        <v>54</v>
      </c>
      <c r="H23" s="204">
        <f t="shared" si="6" ref="H23:Q30">H$15*$A23</f>
        <v>0.011670858124289939</v>
      </c>
      <c r="I23" s="204">
        <f t="shared" si="6"/>
        <v>0.014437688015970045</v>
      </c>
      <c r="J23" s="204">
        <f t="shared" si="6"/>
        <v>0.0050583409539057111</v>
      </c>
      <c r="K23" s="204">
        <f t="shared" si="6"/>
        <v>0.011964019171116898</v>
      </c>
      <c r="L23" s="204">
        <f t="shared" si="6"/>
        <v>0.0059602110305438374</v>
      </c>
      <c r="M23" s="204">
        <f t="shared" si="6"/>
        <v>0.012022677598523301</v>
      </c>
      <c r="N23" s="204">
        <f t="shared" si="6"/>
        <v>0.0096032667300590454</v>
      </c>
      <c r="O23" s="204">
        <f t="shared" si="6"/>
        <v>0.0096053600483639624</v>
      </c>
      <c r="P23" s="204">
        <f t="shared" si="6"/>
        <v>0.012171402614020726</v>
      </c>
      <c r="Q23" s="204">
        <f t="shared" si="6"/>
        <v>0.0077319826347064368</v>
      </c>
      <c r="R23" s="204">
        <f t="shared" si="7" ref="R23:AA30">R$15*$A23</f>
        <v>0.01882022848483797</v>
      </c>
      <c r="S23" s="204">
        <f t="shared" si="7"/>
        <v>0.0079399993142589345</v>
      </c>
      <c r="T23" s="204">
        <f t="shared" si="7"/>
        <v>0.010780671464688304</v>
      </c>
      <c r="U23" s="204">
        <f t="shared" si="7"/>
        <v>0.0073792953984250769</v>
      </c>
      <c r="V23" s="204">
        <f t="shared" si="7"/>
        <v>0.0090757719272576611</v>
      </c>
      <c r="W23" s="204">
        <f t="shared" si="7"/>
        <v>0.0099411663157727131</v>
      </c>
      <c r="X23" s="204">
        <f t="shared" si="7"/>
        <v>0.02772024555600593</v>
      </c>
      <c r="Y23" s="204">
        <f t="shared" si="7"/>
        <v>0.011710640243321361</v>
      </c>
      <c r="Z23" s="204">
        <f t="shared" si="7"/>
        <v>0.0084761691196301621</v>
      </c>
      <c r="AA23" s="204">
        <f t="shared" si="7"/>
        <v>0.011291519824122883</v>
      </c>
      <c r="AB23" s="204">
        <f t="shared" si="8" ref="AB23:AK30">AB$15*$A23</f>
        <v>0.011869004738882942</v>
      </c>
      <c r="AC23" s="204">
        <f t="shared" si="8"/>
        <v>0.002781484128199372</v>
      </c>
      <c r="AD23" s="204">
        <f t="shared" si="8"/>
        <v>0.011135176582072047</v>
      </c>
      <c r="AE23" s="204">
        <f t="shared" si="8"/>
        <v>0.014352706618846236</v>
      </c>
      <c r="AF23" s="204">
        <f t="shared" si="8"/>
        <v>0.010735031487533336</v>
      </c>
      <c r="AG23" s="204">
        <f t="shared" si="8"/>
        <v>0.0036978882945284692</v>
      </c>
      <c r="AH23" s="204">
        <f t="shared" si="8"/>
        <v>0.0094379252346329569</v>
      </c>
      <c r="AI23" s="204">
        <f t="shared" si="8"/>
        <v>0.013574723206728622</v>
      </c>
      <c r="AJ23" s="204">
        <f t="shared" si="8"/>
        <v>0.010722000439252245</v>
      </c>
      <c r="AK23" s="204">
        <f t="shared" si="8"/>
        <v>0.011253421967019549</v>
      </c>
      <c r="AL23" s="204">
        <f t="shared" si="9" ref="AL23:AR30">AL$15*$A23</f>
        <v>0.0093086323816826688</v>
      </c>
      <c r="AM23" s="204">
        <f t="shared" si="9"/>
        <v>0.0048070396983111987</v>
      </c>
      <c r="AN23" s="204">
        <f t="shared" si="9"/>
        <v>0.0058497645139185513</v>
      </c>
      <c r="AO23" s="204">
        <f t="shared" si="9"/>
        <v>0.010551854410022087</v>
      </c>
      <c r="AP23" s="204">
        <f t="shared" si="9"/>
        <v>0.0053682245573984195</v>
      </c>
      <c r="AQ23" s="204">
        <f t="shared" si="9"/>
        <v>0.0080890271457980927</v>
      </c>
      <c r="AR23" s="204">
        <f t="shared" si="9"/>
        <v>0.0054703879732621924</v>
      </c>
      <c r="AU23" s="217">
        <v>0.15</v>
      </c>
    </row>
    <row r="24" spans="1:47" ht="15">
      <c r="A24" s="2">
        <f t="shared" si="10" ref="A24:A54">AU24*(0.4/AU24)^0.31</f>
        <v>0.40000000000000002</v>
      </c>
      <c r="C24" t="s">
        <v>833</v>
      </c>
      <c r="E24" s="201" t="s">
        <v>470</v>
      </c>
      <c r="F24" s="201"/>
      <c r="G24" s="201" t="s">
        <v>54</v>
      </c>
      <c r="H24" s="204">
        <f t="shared" si="6"/>
        <v>0.02296260815668855</v>
      </c>
      <c r="I24" s="204">
        <f t="shared" si="6"/>
        <v>0.028406392149455468</v>
      </c>
      <c r="J24" s="204">
        <f t="shared" si="6"/>
        <v>0.0099523702550821484</v>
      </c>
      <c r="K24" s="204">
        <f t="shared" si="6"/>
        <v>0.023539407409442867</v>
      </c>
      <c r="L24" s="204">
        <f t="shared" si="6"/>
        <v>0.011726814683892643</v>
      </c>
      <c r="M24" s="204">
        <f t="shared" si="6"/>
        <v>0.023654818844427022</v>
      </c>
      <c r="N24" s="204">
        <f t="shared" si="6"/>
        <v>0.018894587578574127</v>
      </c>
      <c r="O24" s="204">
        <f t="shared" si="6"/>
        <v>0.018898706217278422</v>
      </c>
      <c r="P24" s="204">
        <f t="shared" si="6"/>
        <v>0.02394743779477285</v>
      </c>
      <c r="Q24" s="204">
        <f t="shared" si="6"/>
        <v>0.015212804887548599</v>
      </c>
      <c r="R24" s="204">
        <f t="shared" si="7"/>
        <v>0.037029113670506167</v>
      </c>
      <c r="S24" s="204">
        <f t="shared" si="7"/>
        <v>0.015622081176554128</v>
      </c>
      <c r="T24" s="204">
        <f t="shared" si="7"/>
        <v>0.021211151045904122</v>
      </c>
      <c r="U24" s="204">
        <f t="shared" si="7"/>
        <v>0.014518886863496958</v>
      </c>
      <c r="V24" s="204">
        <f t="shared" si="7"/>
        <v>0.017856732749698397</v>
      </c>
      <c r="W24" s="204">
        <f t="shared" si="7"/>
        <v>0.01955941065331461</v>
      </c>
      <c r="X24" s="204">
        <f t="shared" si="7"/>
        <v>0.054540045807341009</v>
      </c>
      <c r="Y24" s="204">
        <f t="shared" si="7"/>
        <v>0.023040880139882321</v>
      </c>
      <c r="Z24" s="204">
        <f t="shared" si="7"/>
        <v>0.016677004217779647</v>
      </c>
      <c r="AA24" s="204">
        <f t="shared" si="7"/>
        <v>0.022216253719611511</v>
      </c>
      <c r="AB24" s="204">
        <f t="shared" si="8"/>
        <v>0.02335246492814599</v>
      </c>
      <c r="AC24" s="204">
        <f t="shared" si="8"/>
        <v>0.0054726164477109972</v>
      </c>
      <c r="AD24" s="204">
        <f t="shared" si="8"/>
        <v>0.021908645781366774</v>
      </c>
      <c r="AE24" s="204">
        <f t="shared" si="8"/>
        <v>0.028239189832198211</v>
      </c>
      <c r="AF24" s="204">
        <f t="shared" si="8"/>
        <v>0.02112135362907934</v>
      </c>
      <c r="AG24" s="204">
        <f t="shared" si="8"/>
        <v>0.0072756569405755412</v>
      </c>
      <c r="AH24" s="204">
        <f t="shared" si="8"/>
        <v>0.018569275426624617</v>
      </c>
      <c r="AI24" s="204">
        <f t="shared" si="8"/>
        <v>0.02670849448361199</v>
      </c>
      <c r="AJ24" s="204">
        <f t="shared" si="8"/>
        <v>0.021095714824086342</v>
      </c>
      <c r="AK24" s="204">
        <f t="shared" si="8"/>
        <v>0.022141295549873107</v>
      </c>
      <c r="AL24" s="204">
        <f t="shared" si="9"/>
        <v>0.0183148895804306</v>
      </c>
      <c r="AM24" s="204">
        <f t="shared" si="9"/>
        <v>0.0094579308402553408</v>
      </c>
      <c r="AN24" s="204">
        <f t="shared" si="9"/>
        <v>0.011509509318980418</v>
      </c>
      <c r="AO24" s="204">
        <f t="shared" si="9"/>
        <v>0.020760949671685326</v>
      </c>
      <c r="AP24" s="204">
        <f t="shared" si="9"/>
        <v>0.01056207141719088</v>
      </c>
      <c r="AQ24" s="204">
        <f t="shared" si="9"/>
        <v>0.015915295922516341</v>
      </c>
      <c r="AR24" s="204">
        <f t="shared" si="9"/>
        <v>0.010763079643102406</v>
      </c>
      <c r="AU24" s="217">
        <v>0.40</v>
      </c>
    </row>
    <row r="25" spans="1:47" ht="15">
      <c r="A25" s="2">
        <f t="shared" si="10"/>
        <v>0.20330196020682348</v>
      </c>
      <c r="C25" t="s">
        <v>834</v>
      </c>
      <c r="E25" s="201" t="s">
        <v>470</v>
      </c>
      <c r="F25" s="201"/>
      <c r="G25" s="201" t="s">
        <v>54</v>
      </c>
      <c r="H25" s="204">
        <f t="shared" si="6"/>
        <v>0.011670858124289939</v>
      </c>
      <c r="I25" s="204">
        <f t="shared" si="6"/>
        <v>0.014437688015970045</v>
      </c>
      <c r="J25" s="204">
        <f t="shared" si="6"/>
        <v>0.0050583409539057111</v>
      </c>
      <c r="K25" s="204">
        <f t="shared" si="6"/>
        <v>0.011964019171116898</v>
      </c>
      <c r="L25" s="204">
        <f t="shared" si="6"/>
        <v>0.0059602110305438374</v>
      </c>
      <c r="M25" s="204">
        <f t="shared" si="6"/>
        <v>0.012022677598523301</v>
      </c>
      <c r="N25" s="204">
        <f t="shared" si="6"/>
        <v>0.0096032667300590454</v>
      </c>
      <c r="O25" s="204">
        <f t="shared" si="6"/>
        <v>0.0096053600483639624</v>
      </c>
      <c r="P25" s="204">
        <f t="shared" si="6"/>
        <v>0.012171402614020726</v>
      </c>
      <c r="Q25" s="204">
        <f t="shared" si="6"/>
        <v>0.0077319826347064368</v>
      </c>
      <c r="R25" s="204">
        <f t="shared" si="7"/>
        <v>0.01882022848483797</v>
      </c>
      <c r="S25" s="204">
        <f t="shared" si="7"/>
        <v>0.0079399993142589345</v>
      </c>
      <c r="T25" s="204">
        <f t="shared" si="7"/>
        <v>0.010780671464688304</v>
      </c>
      <c r="U25" s="204">
        <f t="shared" si="7"/>
        <v>0.0073792953984250769</v>
      </c>
      <c r="V25" s="204">
        <f t="shared" si="7"/>
        <v>0.0090757719272576611</v>
      </c>
      <c r="W25" s="204">
        <f t="shared" si="7"/>
        <v>0.0099411663157727131</v>
      </c>
      <c r="X25" s="204">
        <f t="shared" si="7"/>
        <v>0.02772024555600593</v>
      </c>
      <c r="Y25" s="204">
        <f t="shared" si="7"/>
        <v>0.011710640243321361</v>
      </c>
      <c r="Z25" s="204">
        <f t="shared" si="7"/>
        <v>0.0084761691196301621</v>
      </c>
      <c r="AA25" s="204">
        <f t="shared" si="7"/>
        <v>0.011291519824122883</v>
      </c>
      <c r="AB25" s="204">
        <f t="shared" si="8"/>
        <v>0.011869004738882942</v>
      </c>
      <c r="AC25" s="204">
        <f t="shared" si="8"/>
        <v>0.002781484128199372</v>
      </c>
      <c r="AD25" s="204">
        <f t="shared" si="8"/>
        <v>0.011135176582072047</v>
      </c>
      <c r="AE25" s="204">
        <f t="shared" si="8"/>
        <v>0.014352706618846236</v>
      </c>
      <c r="AF25" s="204">
        <f t="shared" si="8"/>
        <v>0.010735031487533336</v>
      </c>
      <c r="AG25" s="204">
        <f t="shared" si="8"/>
        <v>0.0036978882945284692</v>
      </c>
      <c r="AH25" s="204">
        <f t="shared" si="8"/>
        <v>0.0094379252346329569</v>
      </c>
      <c r="AI25" s="204">
        <f t="shared" si="8"/>
        <v>0.013574723206728622</v>
      </c>
      <c r="AJ25" s="204">
        <f t="shared" si="8"/>
        <v>0.010722000439252245</v>
      </c>
      <c r="AK25" s="204">
        <f t="shared" si="8"/>
        <v>0.011253421967019549</v>
      </c>
      <c r="AL25" s="204">
        <f t="shared" si="9"/>
        <v>0.0093086323816826688</v>
      </c>
      <c r="AM25" s="204">
        <f t="shared" si="9"/>
        <v>0.0048070396983111987</v>
      </c>
      <c r="AN25" s="204">
        <f t="shared" si="9"/>
        <v>0.0058497645139185513</v>
      </c>
      <c r="AO25" s="204">
        <f t="shared" si="9"/>
        <v>0.010551854410022087</v>
      </c>
      <c r="AP25" s="204">
        <f t="shared" si="9"/>
        <v>0.0053682245573984195</v>
      </c>
      <c r="AQ25" s="204">
        <f t="shared" si="9"/>
        <v>0.0080890271457980927</v>
      </c>
      <c r="AR25" s="204">
        <f t="shared" si="9"/>
        <v>0.0054703879732621924</v>
      </c>
      <c r="AU25" s="217">
        <v>0.15</v>
      </c>
    </row>
    <row r="26" spans="1:47" ht="15">
      <c r="A26" s="2">
        <f t="shared" si="10"/>
        <v>0.40000000000000002</v>
      </c>
      <c r="C26" t="s">
        <v>835</v>
      </c>
      <c r="E26" s="201" t="s">
        <v>470</v>
      </c>
      <c r="F26" s="201"/>
      <c r="G26" s="201" t="s">
        <v>54</v>
      </c>
      <c r="H26" s="204">
        <f t="shared" si="6"/>
        <v>0.02296260815668855</v>
      </c>
      <c r="I26" s="204">
        <f t="shared" si="6"/>
        <v>0.028406392149455468</v>
      </c>
      <c r="J26" s="204">
        <f t="shared" si="6"/>
        <v>0.0099523702550821484</v>
      </c>
      <c r="K26" s="204">
        <f t="shared" si="6"/>
        <v>0.023539407409442867</v>
      </c>
      <c r="L26" s="204">
        <f t="shared" si="6"/>
        <v>0.011726814683892643</v>
      </c>
      <c r="M26" s="204">
        <f t="shared" si="6"/>
        <v>0.023654818844427022</v>
      </c>
      <c r="N26" s="204">
        <f t="shared" si="6"/>
        <v>0.018894587578574127</v>
      </c>
      <c r="O26" s="204">
        <f t="shared" si="6"/>
        <v>0.018898706217278422</v>
      </c>
      <c r="P26" s="204">
        <f t="shared" si="6"/>
        <v>0.02394743779477285</v>
      </c>
      <c r="Q26" s="204">
        <f t="shared" si="6"/>
        <v>0.015212804887548599</v>
      </c>
      <c r="R26" s="204">
        <f t="shared" si="7"/>
        <v>0.037029113670506167</v>
      </c>
      <c r="S26" s="204">
        <f t="shared" si="7"/>
        <v>0.015622081176554128</v>
      </c>
      <c r="T26" s="204">
        <f t="shared" si="7"/>
        <v>0.021211151045904122</v>
      </c>
      <c r="U26" s="204">
        <f t="shared" si="7"/>
        <v>0.014518886863496958</v>
      </c>
      <c r="V26" s="204">
        <f t="shared" si="7"/>
        <v>0.017856732749698397</v>
      </c>
      <c r="W26" s="204">
        <f t="shared" si="7"/>
        <v>0.01955941065331461</v>
      </c>
      <c r="X26" s="204">
        <f t="shared" si="7"/>
        <v>0.054540045807341009</v>
      </c>
      <c r="Y26" s="204">
        <f t="shared" si="7"/>
        <v>0.023040880139882321</v>
      </c>
      <c r="Z26" s="204">
        <f t="shared" si="7"/>
        <v>0.016677004217779647</v>
      </c>
      <c r="AA26" s="204">
        <f t="shared" si="7"/>
        <v>0.022216253719611511</v>
      </c>
      <c r="AB26" s="204">
        <f t="shared" si="8"/>
        <v>0.02335246492814599</v>
      </c>
      <c r="AC26" s="204">
        <f t="shared" si="8"/>
        <v>0.0054726164477109972</v>
      </c>
      <c r="AD26" s="204">
        <f t="shared" si="8"/>
        <v>0.021908645781366774</v>
      </c>
      <c r="AE26" s="204">
        <f t="shared" si="8"/>
        <v>0.028239189832198211</v>
      </c>
      <c r="AF26" s="204">
        <f t="shared" si="8"/>
        <v>0.02112135362907934</v>
      </c>
      <c r="AG26" s="204">
        <f t="shared" si="8"/>
        <v>0.0072756569405755412</v>
      </c>
      <c r="AH26" s="204">
        <f t="shared" si="8"/>
        <v>0.018569275426624617</v>
      </c>
      <c r="AI26" s="204">
        <f t="shared" si="8"/>
        <v>0.02670849448361199</v>
      </c>
      <c r="AJ26" s="204">
        <f t="shared" si="8"/>
        <v>0.021095714824086342</v>
      </c>
      <c r="AK26" s="204">
        <f t="shared" si="8"/>
        <v>0.022141295549873107</v>
      </c>
      <c r="AL26" s="204">
        <f t="shared" si="9"/>
        <v>0.0183148895804306</v>
      </c>
      <c r="AM26" s="204">
        <f t="shared" si="9"/>
        <v>0.0094579308402553408</v>
      </c>
      <c r="AN26" s="204">
        <f t="shared" si="9"/>
        <v>0.011509509318980418</v>
      </c>
      <c r="AO26" s="204">
        <f t="shared" si="9"/>
        <v>0.020760949671685326</v>
      </c>
      <c r="AP26" s="204">
        <f t="shared" si="9"/>
        <v>0.01056207141719088</v>
      </c>
      <c r="AQ26" s="204">
        <f t="shared" si="9"/>
        <v>0.015915295922516341</v>
      </c>
      <c r="AR26" s="204">
        <f t="shared" si="9"/>
        <v>0.010763079643102406</v>
      </c>
      <c r="AU26" s="217">
        <v>0.40</v>
      </c>
    </row>
    <row r="27" spans="1:47" ht="15">
      <c r="A27" s="2">
        <f t="shared" si="10"/>
        <v>0.24794153998779733</v>
      </c>
      <c r="C27" t="s">
        <v>836</v>
      </c>
      <c r="E27" s="201" t="s">
        <v>470</v>
      </c>
      <c r="F27" s="201"/>
      <c r="G27" s="201" t="s">
        <v>54</v>
      </c>
      <c r="H27" s="204">
        <f t="shared" si="6"/>
        <v>0.014233461071264287</v>
      </c>
      <c r="I27" s="204">
        <f t="shared" si="6"/>
        <v>0.017607811537583163</v>
      </c>
      <c r="J27" s="204">
        <f t="shared" si="6"/>
        <v>0.0061690150189345379</v>
      </c>
      <c r="K27" s="204">
        <f t="shared" si="6"/>
        <v>0.014590992308743576</v>
      </c>
      <c r="L27" s="204">
        <f t="shared" si="6"/>
        <v>0.0072689112296896409</v>
      </c>
      <c r="M27" s="204">
        <f t="shared" si="6"/>
        <v>0.01466253053104901</v>
      </c>
      <c r="N27" s="204">
        <f t="shared" si="6"/>
        <v>0.011711882854164938</v>
      </c>
      <c r="O27" s="204">
        <f t="shared" si="6"/>
        <v>0.011714435808222429</v>
      </c>
      <c r="P27" s="204">
        <f t="shared" si="6"/>
        <v>0.014843911513994903</v>
      </c>
      <c r="Q27" s="204">
        <f t="shared" si="6"/>
        <v>0.009429715678381724</v>
      </c>
      <c r="R27" s="204">
        <f t="shared" si="7"/>
        <v>0.022952638669621241</v>
      </c>
      <c r="S27" s="204">
        <f t="shared" si="7"/>
        <v>0.0096834071618230287</v>
      </c>
      <c r="T27" s="204">
        <f t="shared" si="7"/>
        <v>0.013147813638088113</v>
      </c>
      <c r="U27" s="204">
        <f t="shared" si="7"/>
        <v>0.0089995879196100911</v>
      </c>
      <c r="V27" s="204">
        <f t="shared" si="7"/>
        <v>0.011068564542776887</v>
      </c>
      <c r="W27" s="204">
        <f t="shared" si="7"/>
        <v>0.012123975996591383</v>
      </c>
      <c r="X27" s="204">
        <f t="shared" si="7"/>
        <v>0.03380685737119285</v>
      </c>
      <c r="Y27" s="204">
        <f t="shared" si="7"/>
        <v>0.014281978261391694</v>
      </c>
      <c r="Z27" s="204">
        <f t="shared" si="7"/>
        <v>0.010337305270348192</v>
      </c>
      <c r="AA27" s="204">
        <f t="shared" si="7"/>
        <v>0.01377083040000027</v>
      </c>
      <c r="AB27" s="204">
        <f t="shared" si="8"/>
        <v>0.014475115291988859</v>
      </c>
      <c r="AC27" s="204">
        <f t="shared" si="8"/>
        <v>0.0033922223745200338</v>
      </c>
      <c r="AD27" s="204">
        <f t="shared" si="8"/>
        <v>0.013580158435198093</v>
      </c>
      <c r="AE27" s="204">
        <f t="shared" si="8"/>
        <v>0.01750417053750743</v>
      </c>
      <c r="AF27" s="204">
        <f t="shared" si="8"/>
        <v>0.013092152363551957</v>
      </c>
      <c r="AG27" s="204">
        <f t="shared" si="8"/>
        <v>0.0045098439656730141</v>
      </c>
      <c r="AH27" s="204">
        <f t="shared" si="8"/>
        <v>0.011510236864337173</v>
      </c>
      <c r="AI27" s="204">
        <f t="shared" si="8"/>
        <v>0.016555363132555866</v>
      </c>
      <c r="AJ27" s="204">
        <f t="shared" si="8"/>
        <v>0.013076260051568433</v>
      </c>
      <c r="AK27" s="204">
        <f t="shared" si="8"/>
        <v>0.013724367289901254</v>
      </c>
      <c r="AL27" s="204">
        <f t="shared" si="9"/>
        <v>0.011352554818196066</v>
      </c>
      <c r="AM27" s="204">
        <f t="shared" si="9"/>
        <v>0.0058625348440774772</v>
      </c>
      <c r="AN27" s="204">
        <f t="shared" si="9"/>
        <v>0.0071342136626297726</v>
      </c>
      <c r="AO27" s="204">
        <f t="shared" si="9"/>
        <v>0.012868754583017037</v>
      </c>
      <c r="AP27" s="204">
        <f t="shared" si="9"/>
        <v>0.006546940631598509</v>
      </c>
      <c r="AQ27" s="204">
        <f t="shared" si="9"/>
        <v>0.0098651574509755324</v>
      </c>
      <c r="AR27" s="204">
        <f t="shared" si="9"/>
        <v>0.0066715363543053061</v>
      </c>
      <c r="AU27" s="217">
        <v>0.20</v>
      </c>
    </row>
    <row r="28" spans="1:47" ht="15">
      <c r="A28" s="2">
        <f t="shared" si="10"/>
        <v>0.24794153998779733</v>
      </c>
      <c r="C28" t="s">
        <v>837</v>
      </c>
      <c r="E28" s="201" t="s">
        <v>470</v>
      </c>
      <c r="F28" s="201"/>
      <c r="G28" s="201" t="s">
        <v>54</v>
      </c>
      <c r="H28" s="204">
        <f t="shared" si="6"/>
        <v>0.014233461071264287</v>
      </c>
      <c r="I28" s="204">
        <f t="shared" si="6"/>
        <v>0.017607811537583163</v>
      </c>
      <c r="J28" s="204">
        <f t="shared" si="6"/>
        <v>0.0061690150189345379</v>
      </c>
      <c r="K28" s="204">
        <f t="shared" si="6"/>
        <v>0.014590992308743576</v>
      </c>
      <c r="L28" s="204">
        <f t="shared" si="6"/>
        <v>0.0072689112296896409</v>
      </c>
      <c r="M28" s="204">
        <f t="shared" si="6"/>
        <v>0.01466253053104901</v>
      </c>
      <c r="N28" s="204">
        <f t="shared" si="6"/>
        <v>0.011711882854164938</v>
      </c>
      <c r="O28" s="204">
        <f t="shared" si="6"/>
        <v>0.011714435808222429</v>
      </c>
      <c r="P28" s="204">
        <f t="shared" si="6"/>
        <v>0.014843911513994903</v>
      </c>
      <c r="Q28" s="204">
        <f t="shared" si="6"/>
        <v>0.009429715678381724</v>
      </c>
      <c r="R28" s="204">
        <f t="shared" si="7"/>
        <v>0.022952638669621241</v>
      </c>
      <c r="S28" s="204">
        <f t="shared" si="7"/>
        <v>0.0096834071618230287</v>
      </c>
      <c r="T28" s="204">
        <f t="shared" si="7"/>
        <v>0.013147813638088113</v>
      </c>
      <c r="U28" s="204">
        <f t="shared" si="7"/>
        <v>0.0089995879196100911</v>
      </c>
      <c r="V28" s="204">
        <f t="shared" si="7"/>
        <v>0.011068564542776887</v>
      </c>
      <c r="W28" s="204">
        <f t="shared" si="7"/>
        <v>0.012123975996591383</v>
      </c>
      <c r="X28" s="204">
        <f t="shared" si="7"/>
        <v>0.03380685737119285</v>
      </c>
      <c r="Y28" s="204">
        <f t="shared" si="7"/>
        <v>0.014281978261391694</v>
      </c>
      <c r="Z28" s="204">
        <f t="shared" si="7"/>
        <v>0.010337305270348192</v>
      </c>
      <c r="AA28" s="204">
        <f t="shared" si="7"/>
        <v>0.01377083040000027</v>
      </c>
      <c r="AB28" s="204">
        <f t="shared" si="8"/>
        <v>0.014475115291988859</v>
      </c>
      <c r="AC28" s="204">
        <f t="shared" si="8"/>
        <v>0.0033922223745200338</v>
      </c>
      <c r="AD28" s="204">
        <f t="shared" si="8"/>
        <v>0.013580158435198093</v>
      </c>
      <c r="AE28" s="204">
        <f t="shared" si="8"/>
        <v>0.01750417053750743</v>
      </c>
      <c r="AF28" s="204">
        <f t="shared" si="8"/>
        <v>0.013092152363551957</v>
      </c>
      <c r="AG28" s="204">
        <f t="shared" si="8"/>
        <v>0.0045098439656730141</v>
      </c>
      <c r="AH28" s="204">
        <f t="shared" si="8"/>
        <v>0.011510236864337173</v>
      </c>
      <c r="AI28" s="204">
        <f t="shared" si="8"/>
        <v>0.016555363132555866</v>
      </c>
      <c r="AJ28" s="204">
        <f t="shared" si="8"/>
        <v>0.013076260051568433</v>
      </c>
      <c r="AK28" s="204">
        <f t="shared" si="8"/>
        <v>0.013724367289901254</v>
      </c>
      <c r="AL28" s="204">
        <f t="shared" si="9"/>
        <v>0.011352554818196066</v>
      </c>
      <c r="AM28" s="204">
        <f t="shared" si="9"/>
        <v>0.0058625348440774772</v>
      </c>
      <c r="AN28" s="204">
        <f t="shared" si="9"/>
        <v>0.0071342136626297726</v>
      </c>
      <c r="AO28" s="204">
        <f t="shared" si="9"/>
        <v>0.012868754583017037</v>
      </c>
      <c r="AP28" s="204">
        <f t="shared" si="9"/>
        <v>0.006546940631598509</v>
      </c>
      <c r="AQ28" s="204">
        <f t="shared" si="9"/>
        <v>0.0098651574509755324</v>
      </c>
      <c r="AR28" s="204">
        <f t="shared" si="9"/>
        <v>0.0066715363543053061</v>
      </c>
      <c r="AU28" s="217">
        <v>0.20</v>
      </c>
    </row>
    <row r="29" spans="1:47" ht="15">
      <c r="A29" s="2">
        <f t="shared" si="10"/>
        <v>0.24794153998779733</v>
      </c>
      <c r="C29" t="s">
        <v>838</v>
      </c>
      <c r="E29" s="201" t="s">
        <v>470</v>
      </c>
      <c r="F29" s="201"/>
      <c r="G29" s="201" t="s">
        <v>54</v>
      </c>
      <c r="H29" s="204">
        <f t="shared" si="6"/>
        <v>0.014233461071264287</v>
      </c>
      <c r="I29" s="204">
        <f t="shared" si="6"/>
        <v>0.017607811537583163</v>
      </c>
      <c r="J29" s="204">
        <f t="shared" si="6"/>
        <v>0.0061690150189345379</v>
      </c>
      <c r="K29" s="204">
        <f t="shared" si="6"/>
        <v>0.014590992308743576</v>
      </c>
      <c r="L29" s="204">
        <f t="shared" si="6"/>
        <v>0.0072689112296896409</v>
      </c>
      <c r="M29" s="204">
        <f t="shared" si="6"/>
        <v>0.01466253053104901</v>
      </c>
      <c r="N29" s="204">
        <f t="shared" si="6"/>
        <v>0.011711882854164938</v>
      </c>
      <c r="O29" s="204">
        <f t="shared" si="6"/>
        <v>0.011714435808222429</v>
      </c>
      <c r="P29" s="204">
        <f t="shared" si="6"/>
        <v>0.014843911513994903</v>
      </c>
      <c r="Q29" s="204">
        <f t="shared" si="6"/>
        <v>0.009429715678381724</v>
      </c>
      <c r="R29" s="204">
        <f t="shared" si="7"/>
        <v>0.022952638669621241</v>
      </c>
      <c r="S29" s="204">
        <f t="shared" si="7"/>
        <v>0.0096834071618230287</v>
      </c>
      <c r="T29" s="204">
        <f t="shared" si="7"/>
        <v>0.013147813638088113</v>
      </c>
      <c r="U29" s="204">
        <f t="shared" si="7"/>
        <v>0.0089995879196100911</v>
      </c>
      <c r="V29" s="204">
        <f t="shared" si="7"/>
        <v>0.011068564542776887</v>
      </c>
      <c r="W29" s="204">
        <f t="shared" si="7"/>
        <v>0.012123975996591383</v>
      </c>
      <c r="X29" s="204">
        <f t="shared" si="7"/>
        <v>0.03380685737119285</v>
      </c>
      <c r="Y29" s="204">
        <f t="shared" si="7"/>
        <v>0.014281978261391694</v>
      </c>
      <c r="Z29" s="204">
        <f t="shared" si="7"/>
        <v>0.010337305270348192</v>
      </c>
      <c r="AA29" s="204">
        <f t="shared" si="7"/>
        <v>0.01377083040000027</v>
      </c>
      <c r="AB29" s="204">
        <f t="shared" si="8"/>
        <v>0.014475115291988859</v>
      </c>
      <c r="AC29" s="204">
        <f t="shared" si="8"/>
        <v>0.0033922223745200338</v>
      </c>
      <c r="AD29" s="204">
        <f t="shared" si="8"/>
        <v>0.013580158435198093</v>
      </c>
      <c r="AE29" s="204">
        <f t="shared" si="8"/>
        <v>0.01750417053750743</v>
      </c>
      <c r="AF29" s="204">
        <f t="shared" si="8"/>
        <v>0.013092152363551957</v>
      </c>
      <c r="AG29" s="204">
        <f t="shared" si="8"/>
        <v>0.0045098439656730141</v>
      </c>
      <c r="AH29" s="204">
        <f t="shared" si="8"/>
        <v>0.011510236864337173</v>
      </c>
      <c r="AI29" s="204">
        <f t="shared" si="8"/>
        <v>0.016555363132555866</v>
      </c>
      <c r="AJ29" s="204">
        <f t="shared" si="8"/>
        <v>0.013076260051568433</v>
      </c>
      <c r="AK29" s="204">
        <f t="shared" si="8"/>
        <v>0.013724367289901254</v>
      </c>
      <c r="AL29" s="204">
        <f t="shared" si="9"/>
        <v>0.011352554818196066</v>
      </c>
      <c r="AM29" s="204">
        <f t="shared" si="9"/>
        <v>0.0058625348440774772</v>
      </c>
      <c r="AN29" s="204">
        <f t="shared" si="9"/>
        <v>0.0071342136626297726</v>
      </c>
      <c r="AO29" s="204">
        <f t="shared" si="9"/>
        <v>0.012868754583017037</v>
      </c>
      <c r="AP29" s="204">
        <f t="shared" si="9"/>
        <v>0.006546940631598509</v>
      </c>
      <c r="AQ29" s="204">
        <f t="shared" si="9"/>
        <v>0.0098651574509755324</v>
      </c>
      <c r="AR29" s="204">
        <f t="shared" si="9"/>
        <v>0.0066715363543053061</v>
      </c>
      <c r="AU29" s="217">
        <v>0.20</v>
      </c>
    </row>
    <row r="30" spans="1:47" ht="15">
      <c r="A30" s="2">
        <f t="shared" si="10"/>
        <v>0.24794153998779733</v>
      </c>
      <c r="C30" t="s">
        <v>839</v>
      </c>
      <c r="E30" s="201" t="s">
        <v>470</v>
      </c>
      <c r="F30" s="201"/>
      <c r="G30" s="201" t="s">
        <v>54</v>
      </c>
      <c r="H30" s="204">
        <f t="shared" si="6"/>
        <v>0.014233461071264287</v>
      </c>
      <c r="I30" s="204">
        <f t="shared" si="6"/>
        <v>0.017607811537583163</v>
      </c>
      <c r="J30" s="204">
        <f t="shared" si="6"/>
        <v>0.0061690150189345379</v>
      </c>
      <c r="K30" s="204">
        <f t="shared" si="6"/>
        <v>0.014590992308743576</v>
      </c>
      <c r="L30" s="204">
        <f t="shared" si="6"/>
        <v>0.0072689112296896409</v>
      </c>
      <c r="M30" s="204">
        <f t="shared" si="6"/>
        <v>0.01466253053104901</v>
      </c>
      <c r="N30" s="204">
        <f t="shared" si="6"/>
        <v>0.011711882854164938</v>
      </c>
      <c r="O30" s="204">
        <f t="shared" si="6"/>
        <v>0.011714435808222429</v>
      </c>
      <c r="P30" s="204">
        <f t="shared" si="6"/>
        <v>0.014843911513994903</v>
      </c>
      <c r="Q30" s="204">
        <f t="shared" si="6"/>
        <v>0.009429715678381724</v>
      </c>
      <c r="R30" s="204">
        <f t="shared" si="7"/>
        <v>0.022952638669621241</v>
      </c>
      <c r="S30" s="204">
        <f t="shared" si="7"/>
        <v>0.0096834071618230287</v>
      </c>
      <c r="T30" s="204">
        <f t="shared" si="7"/>
        <v>0.013147813638088113</v>
      </c>
      <c r="U30" s="204">
        <f t="shared" si="7"/>
        <v>0.0089995879196100911</v>
      </c>
      <c r="V30" s="204">
        <f t="shared" si="7"/>
        <v>0.011068564542776887</v>
      </c>
      <c r="W30" s="204">
        <f t="shared" si="7"/>
        <v>0.012123975996591383</v>
      </c>
      <c r="X30" s="204">
        <f t="shared" si="7"/>
        <v>0.03380685737119285</v>
      </c>
      <c r="Y30" s="204">
        <f t="shared" si="7"/>
        <v>0.014281978261391694</v>
      </c>
      <c r="Z30" s="204">
        <f t="shared" si="7"/>
        <v>0.010337305270348192</v>
      </c>
      <c r="AA30" s="204">
        <f t="shared" si="7"/>
        <v>0.01377083040000027</v>
      </c>
      <c r="AB30" s="204">
        <f t="shared" si="8"/>
        <v>0.014475115291988859</v>
      </c>
      <c r="AC30" s="204">
        <f t="shared" si="8"/>
        <v>0.0033922223745200338</v>
      </c>
      <c r="AD30" s="204">
        <f t="shared" si="8"/>
        <v>0.013580158435198093</v>
      </c>
      <c r="AE30" s="204">
        <f t="shared" si="8"/>
        <v>0.01750417053750743</v>
      </c>
      <c r="AF30" s="204">
        <f t="shared" si="8"/>
        <v>0.013092152363551957</v>
      </c>
      <c r="AG30" s="204">
        <f t="shared" si="8"/>
        <v>0.0045098439656730141</v>
      </c>
      <c r="AH30" s="204">
        <f t="shared" si="8"/>
        <v>0.011510236864337173</v>
      </c>
      <c r="AI30" s="204">
        <f t="shared" si="8"/>
        <v>0.016555363132555866</v>
      </c>
      <c r="AJ30" s="204">
        <f t="shared" si="8"/>
        <v>0.013076260051568433</v>
      </c>
      <c r="AK30" s="204">
        <f t="shared" si="8"/>
        <v>0.013724367289901254</v>
      </c>
      <c r="AL30" s="204">
        <f t="shared" si="9"/>
        <v>0.011352554818196066</v>
      </c>
      <c r="AM30" s="204">
        <f t="shared" si="9"/>
        <v>0.0058625348440774772</v>
      </c>
      <c r="AN30" s="204">
        <f t="shared" si="9"/>
        <v>0.0071342136626297726</v>
      </c>
      <c r="AO30" s="204">
        <f t="shared" si="9"/>
        <v>0.012868754583017037</v>
      </c>
      <c r="AP30" s="204">
        <f t="shared" si="9"/>
        <v>0.006546940631598509</v>
      </c>
      <c r="AQ30" s="204">
        <f t="shared" si="9"/>
        <v>0.0098651574509755324</v>
      </c>
      <c r="AR30" s="204">
        <f t="shared" si="9"/>
        <v>0.0066715363543053061</v>
      </c>
      <c r="AU30" s="217">
        <v>0.20</v>
      </c>
    </row>
    <row r="31" spans="1:47" ht="15">
      <c r="A31" s="2">
        <f t="shared" si="10"/>
        <v>0.20330196020682348</v>
      </c>
      <c r="C31" t="s">
        <v>824</v>
      </c>
      <c r="E31" s="201" t="s">
        <v>470</v>
      </c>
      <c r="F31" s="201"/>
      <c r="G31" s="201" t="s">
        <v>58</v>
      </c>
      <c r="H31" s="204">
        <f t="shared" si="11" ref="H31:Q38">H$16*$A31</f>
        <v>0.020194292819755398</v>
      </c>
      <c r="I31" s="204">
        <f t="shared" si="11"/>
        <v>0.017043506779854663</v>
      </c>
      <c r="J31" s="204">
        <f t="shared" si="11"/>
        <v>0.0067430381901593664</v>
      </c>
      <c r="K31" s="204">
        <f t="shared" si="11"/>
        <v>0.020701554578909875</v>
      </c>
      <c r="L31" s="204">
        <f t="shared" si="11"/>
        <v>0.0068058275992910833</v>
      </c>
      <c r="M31" s="204">
        <f t="shared" si="11"/>
        <v>0.015216752914312657</v>
      </c>
      <c r="N31" s="204">
        <f t="shared" si="11"/>
        <v>0.020018418001749187</v>
      </c>
      <c r="O31" s="204">
        <f t="shared" si="11"/>
        <v>0.016020855012973147</v>
      </c>
      <c r="P31" s="204">
        <f t="shared" si="11"/>
        <v>0.017585267179202748</v>
      </c>
      <c r="Q31" s="204">
        <f t="shared" si="11"/>
        <v>0.011423856145997254</v>
      </c>
      <c r="R31" s="204">
        <f t="shared" si="12" ref="R31:AA38">R$16*$A31</f>
        <v>0.02681237832069298</v>
      </c>
      <c r="S31" s="204">
        <f t="shared" si="12"/>
        <v>0.020717685060731232</v>
      </c>
      <c r="T31" s="204">
        <f t="shared" si="12"/>
        <v>0.011656880735062854</v>
      </c>
      <c r="U31" s="204">
        <f t="shared" si="12"/>
        <v>0.0098670589347408313</v>
      </c>
      <c r="V31" s="204">
        <f t="shared" si="12"/>
        <v>0.013296123732827334</v>
      </c>
      <c r="W31" s="204">
        <f t="shared" si="12"/>
        <v>0.019120937639263078</v>
      </c>
      <c r="X31" s="204">
        <f t="shared" si="12"/>
        <v>0.039491853756659555</v>
      </c>
      <c r="Y31" s="204">
        <f t="shared" si="12"/>
        <v>0.014762104437769154</v>
      </c>
      <c r="Z31" s="204">
        <f t="shared" si="12"/>
        <v>0.013334395845630469</v>
      </c>
      <c r="AA31" s="204">
        <f t="shared" si="12"/>
        <v>0.024402919291586792</v>
      </c>
      <c r="AB31" s="204">
        <f t="shared" si="13" ref="AB31:AK38">AB$16*$A31</f>
        <v>0.017686193104857018</v>
      </c>
      <c r="AC31" s="204">
        <f t="shared" si="13"/>
        <v>0.0034838351080447201</v>
      </c>
      <c r="AD31" s="204">
        <f t="shared" si="13"/>
        <v>0.017766310394324244</v>
      </c>
      <c r="AE31" s="204">
        <f t="shared" si="13"/>
        <v>0.021177194073402929</v>
      </c>
      <c r="AF31" s="204">
        <f t="shared" si="13"/>
        <v>0.018293268526471836</v>
      </c>
      <c r="AG31" s="204">
        <f t="shared" si="13"/>
        <v>0.0043083253191933766</v>
      </c>
      <c r="AH31" s="204">
        <f t="shared" si="13"/>
        <v>0.01075739605268246</v>
      </c>
      <c r="AI31" s="204">
        <f t="shared" si="13"/>
        <v>0.019399473225292847</v>
      </c>
      <c r="AJ31" s="204">
        <f t="shared" si="13"/>
        <v>0.015799332811899817</v>
      </c>
      <c r="AK31" s="204">
        <f t="shared" si="13"/>
        <v>0.015047585290662484</v>
      </c>
      <c r="AL31" s="204">
        <f t="shared" si="14" ref="AL31:AR38">AL$16*$A31</f>
        <v>0.016990994504986614</v>
      </c>
      <c r="AM31" s="204">
        <f t="shared" si="14"/>
        <v>0.0051977363966119426</v>
      </c>
      <c r="AN31" s="204">
        <f t="shared" si="14"/>
        <v>0.0064802106048295572</v>
      </c>
      <c r="AO31" s="204">
        <f t="shared" si="14"/>
        <v>0.011749964434948057</v>
      </c>
      <c r="AP31" s="204">
        <f t="shared" si="14"/>
        <v>0.0071827373811309946</v>
      </c>
      <c r="AQ31" s="204">
        <f t="shared" si="14"/>
        <v>0.0089608050662951504</v>
      </c>
      <c r="AR31" s="204">
        <f t="shared" si="14"/>
        <v>0.0060599475538750339</v>
      </c>
      <c r="AU31" s="217">
        <v>0.15</v>
      </c>
    </row>
    <row r="32" spans="1:47" ht="15">
      <c r="A32" s="2">
        <f t="shared" si="10"/>
        <v>0.40000000000000002</v>
      </c>
      <c r="C32" t="s">
        <v>825</v>
      </c>
      <c r="E32" s="201" t="s">
        <v>470</v>
      </c>
      <c r="F32" s="201"/>
      <c r="G32" s="201" t="s">
        <v>58</v>
      </c>
      <c r="H32" s="204">
        <f t="shared" si="11"/>
        <v>0.039732608183829232</v>
      </c>
      <c r="I32" s="204">
        <f t="shared" si="11"/>
        <v>0.033533384060863827</v>
      </c>
      <c r="J32" s="204">
        <f t="shared" si="11"/>
        <v>0.013267040186527523</v>
      </c>
      <c r="K32" s="204">
        <f t="shared" si="11"/>
        <v>0.040730654161621929</v>
      </c>
      <c r="L32" s="204">
        <f t="shared" si="11"/>
        <v>0.013390579397006046</v>
      </c>
      <c r="M32" s="204">
        <f t="shared" si="11"/>
        <v>0.029939215340240351</v>
      </c>
      <c r="N32" s="204">
        <f t="shared" si="11"/>
        <v>0.039386571543892683</v>
      </c>
      <c r="O32" s="204">
        <f t="shared" si="11"/>
        <v>0.031521299640544113</v>
      </c>
      <c r="P32" s="204">
        <f t="shared" si="11"/>
        <v>0.034599306689050861</v>
      </c>
      <c r="Q32" s="204">
        <f t="shared" si="11"/>
        <v>0.022476627641711901</v>
      </c>
      <c r="R32" s="204">
        <f t="shared" si="12"/>
        <v>0.052753801868739819</v>
      </c>
      <c r="S32" s="204">
        <f t="shared" si="12"/>
        <v>0.040762391153837736</v>
      </c>
      <c r="T32" s="204">
        <f t="shared" si="12"/>
        <v>0.022935107410089028</v>
      </c>
      <c r="U32" s="204">
        <f t="shared" si="12"/>
        <v>0.019413603144215353</v>
      </c>
      <c r="V32" s="204">
        <f t="shared" si="12"/>
        <v>0.026160345368634715</v>
      </c>
      <c r="W32" s="204">
        <f t="shared" si="12"/>
        <v>0.037620763950944568</v>
      </c>
      <c r="X32" s="204">
        <f t="shared" si="12"/>
        <v>0.077700881420884757</v>
      </c>
      <c r="Y32" s="204">
        <f t="shared" si="12"/>
        <v>0.029044686874147886</v>
      </c>
      <c r="Z32" s="204">
        <f t="shared" si="12"/>
        <v>0.026235646389370967</v>
      </c>
      <c r="AA32" s="204">
        <f t="shared" si="12"/>
        <v>0.048013151012929099</v>
      </c>
      <c r="AB32" s="204">
        <f t="shared" si="13"/>
        <v>0.034797880132320366</v>
      </c>
      <c r="AC32" s="204">
        <f t="shared" si="13"/>
        <v>0.0068545037234280272</v>
      </c>
      <c r="AD32" s="204">
        <f t="shared" si="13"/>
        <v>0.034955512236576947</v>
      </c>
      <c r="AE32" s="204">
        <f t="shared" si="13"/>
        <v>0.041666482805889159</v>
      </c>
      <c r="AF32" s="204">
        <f t="shared" si="13"/>
        <v>0.035992311156983828</v>
      </c>
      <c r="AG32" s="204">
        <f t="shared" si="13"/>
        <v>0.0084767019753482446</v>
      </c>
      <c r="AH32" s="204">
        <f t="shared" si="13"/>
        <v>0.021165356284295004</v>
      </c>
      <c r="AI32" s="204">
        <f t="shared" si="13"/>
        <v>0.038168787365468276</v>
      </c>
      <c r="AJ32" s="204">
        <f t="shared" si="13"/>
        <v>0.031085451012527011</v>
      </c>
      <c r="AK32" s="204">
        <f t="shared" si="13"/>
        <v>0.029606375217148425</v>
      </c>
      <c r="AL32" s="204">
        <f t="shared" si="14"/>
        <v>0.033430065283583707</v>
      </c>
      <c r="AM32" s="204">
        <f t="shared" si="14"/>
        <v>0.01022663311524232</v>
      </c>
      <c r="AN32" s="204">
        <f t="shared" si="14"/>
        <v>0.012749922525561681</v>
      </c>
      <c r="AO32" s="204">
        <f t="shared" si="14"/>
        <v>0.023118251143264067</v>
      </c>
      <c r="AP32" s="204">
        <f t="shared" si="14"/>
        <v>0.014132155683740266</v>
      </c>
      <c r="AQ32" s="204">
        <f t="shared" si="14"/>
        <v>0.017630533531854058</v>
      </c>
      <c r="AR32" s="204">
        <f t="shared" si="14"/>
        <v>0.011923047958239298</v>
      </c>
      <c r="AU32" s="217">
        <v>0.40</v>
      </c>
    </row>
    <row r="33" spans="1:47" ht="15">
      <c r="A33" s="2">
        <f t="shared" si="10"/>
        <v>0.20330196020682348</v>
      </c>
      <c r="C33" t="s">
        <v>826</v>
      </c>
      <c r="E33" s="201" t="s">
        <v>470</v>
      </c>
      <c r="F33" s="201"/>
      <c r="G33" s="201" t="s">
        <v>58</v>
      </c>
      <c r="H33" s="204">
        <f t="shared" si="11"/>
        <v>0.020194292819755398</v>
      </c>
      <c r="I33" s="204">
        <f t="shared" si="11"/>
        <v>0.017043506779854663</v>
      </c>
      <c r="J33" s="204">
        <f t="shared" si="11"/>
        <v>0.0067430381901593664</v>
      </c>
      <c r="K33" s="204">
        <f t="shared" si="11"/>
        <v>0.020701554578909875</v>
      </c>
      <c r="L33" s="204">
        <f t="shared" si="11"/>
        <v>0.0068058275992910833</v>
      </c>
      <c r="M33" s="204">
        <f t="shared" si="11"/>
        <v>0.015216752914312657</v>
      </c>
      <c r="N33" s="204">
        <f t="shared" si="11"/>
        <v>0.020018418001749187</v>
      </c>
      <c r="O33" s="204">
        <f t="shared" si="11"/>
        <v>0.016020855012973147</v>
      </c>
      <c r="P33" s="204">
        <f t="shared" si="11"/>
        <v>0.017585267179202748</v>
      </c>
      <c r="Q33" s="204">
        <f t="shared" si="11"/>
        <v>0.011423856145997254</v>
      </c>
      <c r="R33" s="204">
        <f t="shared" si="12"/>
        <v>0.02681237832069298</v>
      </c>
      <c r="S33" s="204">
        <f t="shared" si="12"/>
        <v>0.020717685060731232</v>
      </c>
      <c r="T33" s="204">
        <f t="shared" si="12"/>
        <v>0.011656880735062854</v>
      </c>
      <c r="U33" s="204">
        <f t="shared" si="12"/>
        <v>0.0098670589347408313</v>
      </c>
      <c r="V33" s="204">
        <f t="shared" si="12"/>
        <v>0.013296123732827334</v>
      </c>
      <c r="W33" s="204">
        <f t="shared" si="12"/>
        <v>0.019120937639263078</v>
      </c>
      <c r="X33" s="204">
        <f t="shared" si="12"/>
        <v>0.039491853756659555</v>
      </c>
      <c r="Y33" s="204">
        <f t="shared" si="12"/>
        <v>0.014762104437769154</v>
      </c>
      <c r="Z33" s="204">
        <f t="shared" si="12"/>
        <v>0.013334395845630469</v>
      </c>
      <c r="AA33" s="204">
        <f t="shared" si="12"/>
        <v>0.024402919291586792</v>
      </c>
      <c r="AB33" s="204">
        <f t="shared" si="13"/>
        <v>0.017686193104857018</v>
      </c>
      <c r="AC33" s="204">
        <f t="shared" si="13"/>
        <v>0.0034838351080447201</v>
      </c>
      <c r="AD33" s="204">
        <f t="shared" si="13"/>
        <v>0.017766310394324244</v>
      </c>
      <c r="AE33" s="204">
        <f t="shared" si="13"/>
        <v>0.021177194073402929</v>
      </c>
      <c r="AF33" s="204">
        <f t="shared" si="13"/>
        <v>0.018293268526471836</v>
      </c>
      <c r="AG33" s="204">
        <f t="shared" si="13"/>
        <v>0.0043083253191933766</v>
      </c>
      <c r="AH33" s="204">
        <f t="shared" si="13"/>
        <v>0.01075739605268246</v>
      </c>
      <c r="AI33" s="204">
        <f t="shared" si="13"/>
        <v>0.019399473225292847</v>
      </c>
      <c r="AJ33" s="204">
        <f t="shared" si="13"/>
        <v>0.015799332811899817</v>
      </c>
      <c r="AK33" s="204">
        <f t="shared" si="13"/>
        <v>0.015047585290662484</v>
      </c>
      <c r="AL33" s="204">
        <f t="shared" si="14"/>
        <v>0.016990994504986614</v>
      </c>
      <c r="AM33" s="204">
        <f t="shared" si="14"/>
        <v>0.0051977363966119426</v>
      </c>
      <c r="AN33" s="204">
        <f t="shared" si="14"/>
        <v>0.0064802106048295572</v>
      </c>
      <c r="AO33" s="204">
        <f t="shared" si="14"/>
        <v>0.011749964434948057</v>
      </c>
      <c r="AP33" s="204">
        <f t="shared" si="14"/>
        <v>0.0071827373811309946</v>
      </c>
      <c r="AQ33" s="204">
        <f t="shared" si="14"/>
        <v>0.0089608050662951504</v>
      </c>
      <c r="AR33" s="204">
        <f t="shared" si="14"/>
        <v>0.0060599475538750339</v>
      </c>
      <c r="AU33" s="217">
        <v>0.15</v>
      </c>
    </row>
    <row r="34" spans="1:47" ht="15">
      <c r="A34" s="2">
        <f t="shared" si="10"/>
        <v>0.40000000000000002</v>
      </c>
      <c r="C34" t="s">
        <v>827</v>
      </c>
      <c r="E34" s="201" t="s">
        <v>470</v>
      </c>
      <c r="F34" s="201"/>
      <c r="G34" s="201" t="s">
        <v>58</v>
      </c>
      <c r="H34" s="204">
        <f t="shared" si="11"/>
        <v>0.039732608183829232</v>
      </c>
      <c r="I34" s="204">
        <f t="shared" si="11"/>
        <v>0.033533384060863827</v>
      </c>
      <c r="J34" s="204">
        <f t="shared" si="11"/>
        <v>0.013267040186527523</v>
      </c>
      <c r="K34" s="204">
        <f t="shared" si="11"/>
        <v>0.040730654161621929</v>
      </c>
      <c r="L34" s="204">
        <f t="shared" si="11"/>
        <v>0.013390579397006046</v>
      </c>
      <c r="M34" s="204">
        <f t="shared" si="11"/>
        <v>0.029939215340240351</v>
      </c>
      <c r="N34" s="204">
        <f t="shared" si="11"/>
        <v>0.039386571543892683</v>
      </c>
      <c r="O34" s="204">
        <f t="shared" si="11"/>
        <v>0.031521299640544113</v>
      </c>
      <c r="P34" s="204">
        <f t="shared" si="11"/>
        <v>0.034599306689050861</v>
      </c>
      <c r="Q34" s="204">
        <f t="shared" si="11"/>
        <v>0.022476627641711901</v>
      </c>
      <c r="R34" s="204">
        <f t="shared" si="12"/>
        <v>0.052753801868739819</v>
      </c>
      <c r="S34" s="204">
        <f t="shared" si="12"/>
        <v>0.040762391153837736</v>
      </c>
      <c r="T34" s="204">
        <f t="shared" si="12"/>
        <v>0.022935107410089028</v>
      </c>
      <c r="U34" s="204">
        <f t="shared" si="12"/>
        <v>0.019413603144215353</v>
      </c>
      <c r="V34" s="204">
        <f t="shared" si="12"/>
        <v>0.026160345368634715</v>
      </c>
      <c r="W34" s="204">
        <f t="shared" si="12"/>
        <v>0.037620763950944568</v>
      </c>
      <c r="X34" s="204">
        <f t="shared" si="12"/>
        <v>0.077700881420884757</v>
      </c>
      <c r="Y34" s="204">
        <f t="shared" si="12"/>
        <v>0.029044686874147886</v>
      </c>
      <c r="Z34" s="204">
        <f t="shared" si="12"/>
        <v>0.026235646389370967</v>
      </c>
      <c r="AA34" s="204">
        <f t="shared" si="12"/>
        <v>0.048013151012929099</v>
      </c>
      <c r="AB34" s="204">
        <f t="shared" si="13"/>
        <v>0.034797880132320366</v>
      </c>
      <c r="AC34" s="204">
        <f t="shared" si="13"/>
        <v>0.0068545037234280272</v>
      </c>
      <c r="AD34" s="204">
        <f t="shared" si="13"/>
        <v>0.034955512236576947</v>
      </c>
      <c r="AE34" s="204">
        <f t="shared" si="13"/>
        <v>0.041666482805889159</v>
      </c>
      <c r="AF34" s="204">
        <f t="shared" si="13"/>
        <v>0.035992311156983828</v>
      </c>
      <c r="AG34" s="204">
        <f t="shared" si="13"/>
        <v>0.0084767019753482446</v>
      </c>
      <c r="AH34" s="204">
        <f t="shared" si="13"/>
        <v>0.021165356284295004</v>
      </c>
      <c r="AI34" s="204">
        <f t="shared" si="13"/>
        <v>0.038168787365468276</v>
      </c>
      <c r="AJ34" s="204">
        <f t="shared" si="13"/>
        <v>0.031085451012527011</v>
      </c>
      <c r="AK34" s="204">
        <f t="shared" si="13"/>
        <v>0.029606375217148425</v>
      </c>
      <c r="AL34" s="204">
        <f t="shared" si="14"/>
        <v>0.033430065283583707</v>
      </c>
      <c r="AM34" s="204">
        <f t="shared" si="14"/>
        <v>0.01022663311524232</v>
      </c>
      <c r="AN34" s="204">
        <f t="shared" si="14"/>
        <v>0.012749922525561681</v>
      </c>
      <c r="AO34" s="204">
        <f t="shared" si="14"/>
        <v>0.023118251143264067</v>
      </c>
      <c r="AP34" s="204">
        <f t="shared" si="14"/>
        <v>0.014132155683740266</v>
      </c>
      <c r="AQ34" s="204">
        <f t="shared" si="14"/>
        <v>0.017630533531854058</v>
      </c>
      <c r="AR34" s="204">
        <f t="shared" si="14"/>
        <v>0.011923047958239298</v>
      </c>
      <c r="AU34" s="217">
        <v>0.40</v>
      </c>
    </row>
    <row r="35" spans="1:47" ht="15">
      <c r="A35" s="2">
        <f t="shared" si="10"/>
        <v>0.24794153998779733</v>
      </c>
      <c r="C35" t="s">
        <v>828</v>
      </c>
      <c r="E35" s="201" t="s">
        <v>470</v>
      </c>
      <c r="F35" s="201"/>
      <c r="G35" s="201" t="s">
        <v>58</v>
      </c>
      <c r="H35" s="204">
        <f t="shared" si="11"/>
        <v>0.024628410152075949</v>
      </c>
      <c r="I35" s="204">
        <f t="shared" si="11"/>
        <v>0.020785797212632084</v>
      </c>
      <c r="J35" s="204">
        <f t="shared" si="11"/>
        <v>0.0082236259373190696</v>
      </c>
      <c r="K35" s="204">
        <f t="shared" si="11"/>
        <v>0.025247052793857316</v>
      </c>
      <c r="L35" s="204">
        <f t="shared" si="11"/>
        <v>0.0083002021925563732</v>
      </c>
      <c r="M35" s="204">
        <f t="shared" si="11"/>
        <v>0.018557937893713693</v>
      </c>
      <c r="N35" s="204">
        <f t="shared" si="11"/>
        <v>0.024413918008580768</v>
      </c>
      <c r="O35" s="204">
        <f t="shared" si="11"/>
        <v>0.019538598938233277</v>
      </c>
      <c r="P35" s="204">
        <f t="shared" si="11"/>
        <v>0.021446513457483416</v>
      </c>
      <c r="Q35" s="204">
        <f t="shared" si="11"/>
        <v>0.013932224178045854</v>
      </c>
      <c r="R35" s="204">
        <f t="shared" si="12"/>
        <v>0.032699647188866227</v>
      </c>
      <c r="S35" s="204">
        <f t="shared" si="12"/>
        <v>0.025266725090668737</v>
      </c>
      <c r="T35" s="204">
        <f t="shared" si="12"/>
        <v>0.014216414627607537</v>
      </c>
      <c r="U35" s="204">
        <f t="shared" si="12"/>
        <v>0.012033596650721746</v>
      </c>
      <c r="V35" s="204">
        <f t="shared" si="12"/>
        <v>0.016215590793279833</v>
      </c>
      <c r="W35" s="204">
        <f t="shared" si="12"/>
        <v>0.023319375373786515</v>
      </c>
      <c r="X35" s="204">
        <f t="shared" si="12"/>
        <v>0.048163190494758486</v>
      </c>
      <c r="Y35" s="204">
        <f t="shared" si="12"/>
        <v>0.018003460980098977</v>
      </c>
      <c r="Z35" s="204">
        <f t="shared" si="12"/>
        <v>0.016262266420889831</v>
      </c>
      <c r="AA35" s="204">
        <f t="shared" si="12"/>
        <v>0.029761136504530779</v>
      </c>
      <c r="AB35" s="204">
        <f t="shared" si="13"/>
        <v>0.02156959997079572</v>
      </c>
      <c r="AC35" s="204">
        <f t="shared" si="13"/>
        <v>0.0042487905225970894</v>
      </c>
      <c r="AD35" s="204">
        <f t="shared" si="13"/>
        <v>0.021667308837497956</v>
      </c>
      <c r="AE35" s="204">
        <f t="shared" si="13"/>
        <v>0.02582712978191809</v>
      </c>
      <c r="AF35" s="204">
        <f t="shared" si="13"/>
        <v>0.022309972639956373</v>
      </c>
      <c r="AG35" s="204">
        <f t="shared" si="13"/>
        <v>0.0052543163544636184</v>
      </c>
      <c r="AH35" s="204">
        <f t="shared" si="13"/>
        <v>0.013119427578796267</v>
      </c>
      <c r="AI35" s="204">
        <f t="shared" si="13"/>
        <v>0.023659069797152467</v>
      </c>
      <c r="AJ35" s="204">
        <f t="shared" si="13"/>
        <v>0.019268436488152952</v>
      </c>
      <c r="AK35" s="204">
        <f t="shared" si="13"/>
        <v>0.018351625661990844</v>
      </c>
      <c r="AL35" s="204">
        <f t="shared" si="14"/>
        <v>0.020721754670760862</v>
      </c>
      <c r="AM35" s="204">
        <f t="shared" si="14"/>
        <v>0.0063390179087084641</v>
      </c>
      <c r="AN35" s="204">
        <f t="shared" si="14"/>
        <v>0.0079030885642821739</v>
      </c>
      <c r="AO35" s="204">
        <f t="shared" si="14"/>
        <v>0.014329936975713872</v>
      </c>
      <c r="AP35" s="204">
        <f t="shared" si="14"/>
        <v>0.0087598711089346606</v>
      </c>
      <c r="AQ35" s="204">
        <f t="shared" si="14"/>
        <v>0.010928354086735986</v>
      </c>
      <c r="AR35" s="204">
        <f t="shared" si="14"/>
        <v>0.0073905471802855347</v>
      </c>
      <c r="AU35" s="217">
        <v>0.20</v>
      </c>
    </row>
    <row r="36" spans="1:47" ht="15">
      <c r="A36" s="2">
        <f t="shared" si="10"/>
        <v>0.24794153998779733</v>
      </c>
      <c r="C36" t="s">
        <v>829</v>
      </c>
      <c r="E36" s="201" t="s">
        <v>470</v>
      </c>
      <c r="F36" s="201"/>
      <c r="G36" s="201" t="s">
        <v>58</v>
      </c>
      <c r="H36" s="204">
        <f t="shared" si="11"/>
        <v>0.024628410152075949</v>
      </c>
      <c r="I36" s="204">
        <f t="shared" si="11"/>
        <v>0.020785797212632084</v>
      </c>
      <c r="J36" s="204">
        <f t="shared" si="11"/>
        <v>0.0082236259373190696</v>
      </c>
      <c r="K36" s="204">
        <f t="shared" si="11"/>
        <v>0.025247052793857316</v>
      </c>
      <c r="L36" s="204">
        <f t="shared" si="11"/>
        <v>0.0083002021925563732</v>
      </c>
      <c r="M36" s="204">
        <f t="shared" si="11"/>
        <v>0.018557937893713693</v>
      </c>
      <c r="N36" s="204">
        <f t="shared" si="11"/>
        <v>0.024413918008580768</v>
      </c>
      <c r="O36" s="204">
        <f t="shared" si="11"/>
        <v>0.019538598938233277</v>
      </c>
      <c r="P36" s="204">
        <f t="shared" si="11"/>
        <v>0.021446513457483416</v>
      </c>
      <c r="Q36" s="204">
        <f t="shared" si="11"/>
        <v>0.013932224178045854</v>
      </c>
      <c r="R36" s="204">
        <f t="shared" si="12"/>
        <v>0.032699647188866227</v>
      </c>
      <c r="S36" s="204">
        <f t="shared" si="12"/>
        <v>0.025266725090668737</v>
      </c>
      <c r="T36" s="204">
        <f t="shared" si="12"/>
        <v>0.014216414627607537</v>
      </c>
      <c r="U36" s="204">
        <f t="shared" si="12"/>
        <v>0.012033596650721746</v>
      </c>
      <c r="V36" s="204">
        <f t="shared" si="12"/>
        <v>0.016215590793279833</v>
      </c>
      <c r="W36" s="204">
        <f t="shared" si="12"/>
        <v>0.023319375373786515</v>
      </c>
      <c r="X36" s="204">
        <f t="shared" si="12"/>
        <v>0.048163190494758486</v>
      </c>
      <c r="Y36" s="204">
        <f t="shared" si="12"/>
        <v>0.018003460980098977</v>
      </c>
      <c r="Z36" s="204">
        <f t="shared" si="12"/>
        <v>0.016262266420889831</v>
      </c>
      <c r="AA36" s="204">
        <f t="shared" si="12"/>
        <v>0.029761136504530779</v>
      </c>
      <c r="AB36" s="204">
        <f t="shared" si="13"/>
        <v>0.02156959997079572</v>
      </c>
      <c r="AC36" s="204">
        <f t="shared" si="13"/>
        <v>0.0042487905225970894</v>
      </c>
      <c r="AD36" s="204">
        <f t="shared" si="13"/>
        <v>0.021667308837497956</v>
      </c>
      <c r="AE36" s="204">
        <f t="shared" si="13"/>
        <v>0.02582712978191809</v>
      </c>
      <c r="AF36" s="204">
        <f t="shared" si="13"/>
        <v>0.022309972639956373</v>
      </c>
      <c r="AG36" s="204">
        <f t="shared" si="13"/>
        <v>0.0052543163544636184</v>
      </c>
      <c r="AH36" s="204">
        <f t="shared" si="13"/>
        <v>0.013119427578796267</v>
      </c>
      <c r="AI36" s="204">
        <f t="shared" si="13"/>
        <v>0.023659069797152467</v>
      </c>
      <c r="AJ36" s="204">
        <f t="shared" si="13"/>
        <v>0.019268436488152952</v>
      </c>
      <c r="AK36" s="204">
        <f t="shared" si="13"/>
        <v>0.018351625661990844</v>
      </c>
      <c r="AL36" s="204">
        <f t="shared" si="14"/>
        <v>0.020721754670760862</v>
      </c>
      <c r="AM36" s="204">
        <f t="shared" si="14"/>
        <v>0.0063390179087084641</v>
      </c>
      <c r="AN36" s="204">
        <f t="shared" si="14"/>
        <v>0.0079030885642821739</v>
      </c>
      <c r="AO36" s="204">
        <f t="shared" si="14"/>
        <v>0.014329936975713872</v>
      </c>
      <c r="AP36" s="204">
        <f t="shared" si="14"/>
        <v>0.0087598711089346606</v>
      </c>
      <c r="AQ36" s="204">
        <f t="shared" si="14"/>
        <v>0.010928354086735986</v>
      </c>
      <c r="AR36" s="204">
        <f t="shared" si="14"/>
        <v>0.0073905471802855347</v>
      </c>
      <c r="AU36" s="217">
        <v>0.20</v>
      </c>
    </row>
    <row r="37" spans="1:47" ht="15">
      <c r="A37" s="2">
        <f t="shared" si="10"/>
        <v>0.24794153998779733</v>
      </c>
      <c r="C37" t="s">
        <v>830</v>
      </c>
      <c r="E37" s="201" t="s">
        <v>470</v>
      </c>
      <c r="F37" s="201"/>
      <c r="G37" s="201" t="s">
        <v>58</v>
      </c>
      <c r="H37" s="204">
        <f t="shared" si="11"/>
        <v>0.024628410152075949</v>
      </c>
      <c r="I37" s="204">
        <f t="shared" si="11"/>
        <v>0.020785797212632084</v>
      </c>
      <c r="J37" s="204">
        <f t="shared" si="11"/>
        <v>0.0082236259373190696</v>
      </c>
      <c r="K37" s="204">
        <f t="shared" si="11"/>
        <v>0.025247052793857316</v>
      </c>
      <c r="L37" s="204">
        <f t="shared" si="11"/>
        <v>0.0083002021925563732</v>
      </c>
      <c r="M37" s="204">
        <f t="shared" si="11"/>
        <v>0.018557937893713693</v>
      </c>
      <c r="N37" s="204">
        <f t="shared" si="11"/>
        <v>0.024413918008580768</v>
      </c>
      <c r="O37" s="204">
        <f t="shared" si="11"/>
        <v>0.019538598938233277</v>
      </c>
      <c r="P37" s="204">
        <f t="shared" si="11"/>
        <v>0.021446513457483416</v>
      </c>
      <c r="Q37" s="204">
        <f t="shared" si="11"/>
        <v>0.013932224178045854</v>
      </c>
      <c r="R37" s="204">
        <f t="shared" si="12"/>
        <v>0.032699647188866227</v>
      </c>
      <c r="S37" s="204">
        <f t="shared" si="12"/>
        <v>0.025266725090668737</v>
      </c>
      <c r="T37" s="204">
        <f t="shared" si="12"/>
        <v>0.014216414627607537</v>
      </c>
      <c r="U37" s="204">
        <f t="shared" si="12"/>
        <v>0.012033596650721746</v>
      </c>
      <c r="V37" s="204">
        <f t="shared" si="12"/>
        <v>0.016215590793279833</v>
      </c>
      <c r="W37" s="204">
        <f t="shared" si="12"/>
        <v>0.023319375373786515</v>
      </c>
      <c r="X37" s="204">
        <f t="shared" si="12"/>
        <v>0.048163190494758486</v>
      </c>
      <c r="Y37" s="204">
        <f t="shared" si="12"/>
        <v>0.018003460980098977</v>
      </c>
      <c r="Z37" s="204">
        <f t="shared" si="12"/>
        <v>0.016262266420889831</v>
      </c>
      <c r="AA37" s="204">
        <f t="shared" si="12"/>
        <v>0.029761136504530779</v>
      </c>
      <c r="AB37" s="204">
        <f t="shared" si="13"/>
        <v>0.02156959997079572</v>
      </c>
      <c r="AC37" s="204">
        <f t="shared" si="13"/>
        <v>0.0042487905225970894</v>
      </c>
      <c r="AD37" s="204">
        <f t="shared" si="13"/>
        <v>0.021667308837497956</v>
      </c>
      <c r="AE37" s="204">
        <f t="shared" si="13"/>
        <v>0.02582712978191809</v>
      </c>
      <c r="AF37" s="204">
        <f t="shared" si="13"/>
        <v>0.022309972639956373</v>
      </c>
      <c r="AG37" s="204">
        <f t="shared" si="13"/>
        <v>0.0052543163544636184</v>
      </c>
      <c r="AH37" s="204">
        <f t="shared" si="13"/>
        <v>0.013119427578796267</v>
      </c>
      <c r="AI37" s="204">
        <f t="shared" si="13"/>
        <v>0.023659069797152467</v>
      </c>
      <c r="AJ37" s="204">
        <f t="shared" si="13"/>
        <v>0.019268436488152952</v>
      </c>
      <c r="AK37" s="204">
        <f t="shared" si="13"/>
        <v>0.018351625661990844</v>
      </c>
      <c r="AL37" s="204">
        <f t="shared" si="14"/>
        <v>0.020721754670760862</v>
      </c>
      <c r="AM37" s="204">
        <f t="shared" si="14"/>
        <v>0.0063390179087084641</v>
      </c>
      <c r="AN37" s="204">
        <f t="shared" si="14"/>
        <v>0.0079030885642821739</v>
      </c>
      <c r="AO37" s="204">
        <f t="shared" si="14"/>
        <v>0.014329936975713872</v>
      </c>
      <c r="AP37" s="204">
        <f t="shared" si="14"/>
        <v>0.0087598711089346606</v>
      </c>
      <c r="AQ37" s="204">
        <f t="shared" si="14"/>
        <v>0.010928354086735986</v>
      </c>
      <c r="AR37" s="204">
        <f t="shared" si="14"/>
        <v>0.0073905471802855347</v>
      </c>
      <c r="AU37" s="217">
        <v>0.20</v>
      </c>
    </row>
    <row r="38" spans="1:47" ht="15">
      <c r="A38" s="2">
        <f t="shared" si="10"/>
        <v>0.24794153998779733</v>
      </c>
      <c r="C38" t="s">
        <v>831</v>
      </c>
      <c r="E38" s="201" t="s">
        <v>470</v>
      </c>
      <c r="F38" s="201"/>
      <c r="G38" s="201" t="s">
        <v>58</v>
      </c>
      <c r="H38" s="204">
        <f t="shared" si="11"/>
        <v>0.024628410152075949</v>
      </c>
      <c r="I38" s="204">
        <f t="shared" si="11"/>
        <v>0.020785797212632084</v>
      </c>
      <c r="J38" s="204">
        <f t="shared" si="11"/>
        <v>0.0082236259373190696</v>
      </c>
      <c r="K38" s="204">
        <f t="shared" si="11"/>
        <v>0.025247052793857316</v>
      </c>
      <c r="L38" s="204">
        <f t="shared" si="11"/>
        <v>0.0083002021925563732</v>
      </c>
      <c r="M38" s="204">
        <f t="shared" si="11"/>
        <v>0.018557937893713693</v>
      </c>
      <c r="N38" s="204">
        <f t="shared" si="11"/>
        <v>0.024413918008580768</v>
      </c>
      <c r="O38" s="204">
        <f t="shared" si="11"/>
        <v>0.019538598938233277</v>
      </c>
      <c r="P38" s="204">
        <f t="shared" si="11"/>
        <v>0.021446513457483416</v>
      </c>
      <c r="Q38" s="204">
        <f t="shared" si="11"/>
        <v>0.013932224178045854</v>
      </c>
      <c r="R38" s="204">
        <f t="shared" si="12"/>
        <v>0.032699647188866227</v>
      </c>
      <c r="S38" s="204">
        <f t="shared" si="12"/>
        <v>0.025266725090668737</v>
      </c>
      <c r="T38" s="204">
        <f t="shared" si="12"/>
        <v>0.014216414627607537</v>
      </c>
      <c r="U38" s="204">
        <f t="shared" si="12"/>
        <v>0.012033596650721746</v>
      </c>
      <c r="V38" s="204">
        <f t="shared" si="12"/>
        <v>0.016215590793279833</v>
      </c>
      <c r="W38" s="204">
        <f t="shared" si="12"/>
        <v>0.023319375373786515</v>
      </c>
      <c r="X38" s="204">
        <f t="shared" si="12"/>
        <v>0.048163190494758486</v>
      </c>
      <c r="Y38" s="204">
        <f t="shared" si="12"/>
        <v>0.018003460980098977</v>
      </c>
      <c r="Z38" s="204">
        <f t="shared" si="12"/>
        <v>0.016262266420889831</v>
      </c>
      <c r="AA38" s="204">
        <f t="shared" si="12"/>
        <v>0.029761136504530779</v>
      </c>
      <c r="AB38" s="204">
        <f t="shared" si="13"/>
        <v>0.02156959997079572</v>
      </c>
      <c r="AC38" s="204">
        <f t="shared" si="13"/>
        <v>0.0042487905225970894</v>
      </c>
      <c r="AD38" s="204">
        <f t="shared" si="13"/>
        <v>0.021667308837497956</v>
      </c>
      <c r="AE38" s="204">
        <f t="shared" si="13"/>
        <v>0.02582712978191809</v>
      </c>
      <c r="AF38" s="204">
        <f t="shared" si="13"/>
        <v>0.022309972639956373</v>
      </c>
      <c r="AG38" s="204">
        <f t="shared" si="13"/>
        <v>0.0052543163544636184</v>
      </c>
      <c r="AH38" s="204">
        <f t="shared" si="13"/>
        <v>0.013119427578796267</v>
      </c>
      <c r="AI38" s="204">
        <f t="shared" si="13"/>
        <v>0.023659069797152467</v>
      </c>
      <c r="AJ38" s="204">
        <f t="shared" si="13"/>
        <v>0.019268436488152952</v>
      </c>
      <c r="AK38" s="204">
        <f t="shared" si="13"/>
        <v>0.018351625661990844</v>
      </c>
      <c r="AL38" s="204">
        <f t="shared" si="14"/>
        <v>0.020721754670760862</v>
      </c>
      <c r="AM38" s="204">
        <f t="shared" si="14"/>
        <v>0.0063390179087084641</v>
      </c>
      <c r="AN38" s="204">
        <f t="shared" si="14"/>
        <v>0.0079030885642821739</v>
      </c>
      <c r="AO38" s="204">
        <f t="shared" si="14"/>
        <v>0.014329936975713872</v>
      </c>
      <c r="AP38" s="204">
        <f t="shared" si="14"/>
        <v>0.0087598711089346606</v>
      </c>
      <c r="AQ38" s="204">
        <f t="shared" si="14"/>
        <v>0.010928354086735986</v>
      </c>
      <c r="AR38" s="204">
        <f t="shared" si="14"/>
        <v>0.0073905471802855347</v>
      </c>
      <c r="AU38" s="217">
        <v>0.20</v>
      </c>
    </row>
    <row r="39" spans="1:47" ht="15">
      <c r="A39" s="2">
        <f t="shared" si="10"/>
        <v>0.20330196020682348</v>
      </c>
      <c r="C39" t="s">
        <v>840</v>
      </c>
      <c r="E39" s="201" t="s">
        <v>470</v>
      </c>
      <c r="F39" s="201"/>
      <c r="G39" s="201" t="s">
        <v>468</v>
      </c>
      <c r="H39" s="204">
        <f t="shared" si="15" ref="H39:Q46">H$17*$A39</f>
        <v>0.011670858124289939</v>
      </c>
      <c r="I39" s="204">
        <f t="shared" si="15"/>
        <v>0.014437688015970045</v>
      </c>
      <c r="J39" s="204">
        <f t="shared" si="15"/>
        <v>0.0050583409539057111</v>
      </c>
      <c r="K39" s="204">
        <f t="shared" si="15"/>
        <v>0.011964019171116898</v>
      </c>
      <c r="L39" s="204">
        <f t="shared" si="15"/>
        <v>0.0059602110305438374</v>
      </c>
      <c r="M39" s="204">
        <f t="shared" si="15"/>
        <v>0.012022677598523301</v>
      </c>
      <c r="N39" s="204">
        <f t="shared" si="15"/>
        <v>0.0096032667300590454</v>
      </c>
      <c r="O39" s="204">
        <f t="shared" si="15"/>
        <v>0.0096053600483639624</v>
      </c>
      <c r="P39" s="204">
        <f t="shared" si="15"/>
        <v>0.012171402614020726</v>
      </c>
      <c r="Q39" s="204">
        <f t="shared" si="15"/>
        <v>0.0077319826347064368</v>
      </c>
      <c r="R39" s="204">
        <f t="shared" si="16" ref="R39:AA46">R$17*$A39</f>
        <v>0.01882022848483797</v>
      </c>
      <c r="S39" s="204">
        <f t="shared" si="16"/>
        <v>0.0079399993142589345</v>
      </c>
      <c r="T39" s="204">
        <f t="shared" si="16"/>
        <v>0.010780671464688304</v>
      </c>
      <c r="U39" s="204">
        <f t="shared" si="16"/>
        <v>0.0073792953984250769</v>
      </c>
      <c r="V39" s="204">
        <f t="shared" si="16"/>
        <v>0.0090757719272576611</v>
      </c>
      <c r="W39" s="204">
        <f t="shared" si="16"/>
        <v>0.0099411663157727131</v>
      </c>
      <c r="X39" s="204">
        <f t="shared" si="16"/>
        <v>0.02772024555600593</v>
      </c>
      <c r="Y39" s="204">
        <f t="shared" si="16"/>
        <v>0.011710640243321361</v>
      </c>
      <c r="Z39" s="204">
        <f t="shared" si="16"/>
        <v>0.0084761691196301621</v>
      </c>
      <c r="AA39" s="204">
        <f t="shared" si="16"/>
        <v>0.011291519824122883</v>
      </c>
      <c r="AB39" s="204">
        <f t="shared" si="17" ref="AB39:AK46">AB$17*$A39</f>
        <v>0.011869004738882942</v>
      </c>
      <c r="AC39" s="204">
        <f t="shared" si="17"/>
        <v>0.002781484128199372</v>
      </c>
      <c r="AD39" s="204">
        <f t="shared" si="17"/>
        <v>0.011135176582072047</v>
      </c>
      <c r="AE39" s="204">
        <f t="shared" si="17"/>
        <v>0.014352706618846236</v>
      </c>
      <c r="AF39" s="204">
        <f t="shared" si="17"/>
        <v>0.010735031487533336</v>
      </c>
      <c r="AG39" s="204">
        <f t="shared" si="17"/>
        <v>0.0036978882945284692</v>
      </c>
      <c r="AH39" s="204">
        <f t="shared" si="17"/>
        <v>0.0094379252346329569</v>
      </c>
      <c r="AI39" s="204">
        <f t="shared" si="17"/>
        <v>0.013574723206728622</v>
      </c>
      <c r="AJ39" s="204">
        <f t="shared" si="17"/>
        <v>0.010722000439252245</v>
      </c>
      <c r="AK39" s="204">
        <f t="shared" si="17"/>
        <v>0.011253421967019549</v>
      </c>
      <c r="AL39" s="204">
        <f t="shared" si="18" ref="AL39:AR46">AL$17*$A39</f>
        <v>0.0093086323816826688</v>
      </c>
      <c r="AM39" s="204">
        <f t="shared" si="18"/>
        <v>0.0048070396983111987</v>
      </c>
      <c r="AN39" s="204">
        <f t="shared" si="18"/>
        <v>0.0058497645139185513</v>
      </c>
      <c r="AO39" s="204">
        <f t="shared" si="18"/>
        <v>0.010551854410022087</v>
      </c>
      <c r="AP39" s="204">
        <f t="shared" si="18"/>
        <v>0.0053682245573984195</v>
      </c>
      <c r="AQ39" s="204">
        <f t="shared" si="18"/>
        <v>0.0080890271457980927</v>
      </c>
      <c r="AR39" s="204">
        <f t="shared" si="18"/>
        <v>0.0054703879732621924</v>
      </c>
      <c r="AU39" s="217">
        <v>0.15</v>
      </c>
    </row>
    <row r="40" spans="1:47" ht="15">
      <c r="A40" s="2">
        <f t="shared" si="10"/>
        <v>0.40000000000000002</v>
      </c>
      <c r="C40" t="s">
        <v>841</v>
      </c>
      <c r="E40" s="201" t="s">
        <v>470</v>
      </c>
      <c r="F40" s="201"/>
      <c r="G40" s="201" t="s">
        <v>468</v>
      </c>
      <c r="H40" s="204">
        <f t="shared" si="15"/>
        <v>0.02296260815668855</v>
      </c>
      <c r="I40" s="204">
        <f t="shared" si="15"/>
        <v>0.028406392149455468</v>
      </c>
      <c r="J40" s="204">
        <f t="shared" si="15"/>
        <v>0.0099523702550821484</v>
      </c>
      <c r="K40" s="204">
        <f t="shared" si="15"/>
        <v>0.023539407409442867</v>
      </c>
      <c r="L40" s="204">
        <f t="shared" si="15"/>
        <v>0.011726814683892643</v>
      </c>
      <c r="M40" s="204">
        <f t="shared" si="15"/>
        <v>0.023654818844427022</v>
      </c>
      <c r="N40" s="204">
        <f t="shared" si="15"/>
        <v>0.018894587578574127</v>
      </c>
      <c r="O40" s="204">
        <f t="shared" si="15"/>
        <v>0.018898706217278422</v>
      </c>
      <c r="P40" s="204">
        <f t="shared" si="15"/>
        <v>0.02394743779477285</v>
      </c>
      <c r="Q40" s="204">
        <f t="shared" si="15"/>
        <v>0.015212804887548599</v>
      </c>
      <c r="R40" s="204">
        <f t="shared" si="16"/>
        <v>0.037029113670506167</v>
      </c>
      <c r="S40" s="204">
        <f t="shared" si="16"/>
        <v>0.015622081176554128</v>
      </c>
      <c r="T40" s="204">
        <f t="shared" si="16"/>
        <v>0.021211151045904122</v>
      </c>
      <c r="U40" s="204">
        <f t="shared" si="16"/>
        <v>0.014518886863496958</v>
      </c>
      <c r="V40" s="204">
        <f t="shared" si="16"/>
        <v>0.017856732749698397</v>
      </c>
      <c r="W40" s="204">
        <f t="shared" si="16"/>
        <v>0.01955941065331461</v>
      </c>
      <c r="X40" s="204">
        <f t="shared" si="16"/>
        <v>0.054540045807341009</v>
      </c>
      <c r="Y40" s="204">
        <f t="shared" si="16"/>
        <v>0.023040880139882321</v>
      </c>
      <c r="Z40" s="204">
        <f t="shared" si="16"/>
        <v>0.016677004217779647</v>
      </c>
      <c r="AA40" s="204">
        <f t="shared" si="16"/>
        <v>0.022216253719611511</v>
      </c>
      <c r="AB40" s="204">
        <f t="shared" si="17"/>
        <v>0.02335246492814599</v>
      </c>
      <c r="AC40" s="204">
        <f t="shared" si="17"/>
        <v>0.0054726164477109972</v>
      </c>
      <c r="AD40" s="204">
        <f t="shared" si="17"/>
        <v>0.021908645781366774</v>
      </c>
      <c r="AE40" s="204">
        <f t="shared" si="17"/>
        <v>0.028239189832198211</v>
      </c>
      <c r="AF40" s="204">
        <f t="shared" si="17"/>
        <v>0.02112135362907934</v>
      </c>
      <c r="AG40" s="204">
        <f t="shared" si="17"/>
        <v>0.0072756569405755412</v>
      </c>
      <c r="AH40" s="204">
        <f t="shared" si="17"/>
        <v>0.018569275426624617</v>
      </c>
      <c r="AI40" s="204">
        <f t="shared" si="17"/>
        <v>0.02670849448361199</v>
      </c>
      <c r="AJ40" s="204">
        <f t="shared" si="17"/>
        <v>0.021095714824086342</v>
      </c>
      <c r="AK40" s="204">
        <f t="shared" si="17"/>
        <v>0.022141295549873107</v>
      </c>
      <c r="AL40" s="204">
        <f t="shared" si="18"/>
        <v>0.0183148895804306</v>
      </c>
      <c r="AM40" s="204">
        <f t="shared" si="18"/>
        <v>0.0094579308402553408</v>
      </c>
      <c r="AN40" s="204">
        <f t="shared" si="18"/>
        <v>0.011509509318980418</v>
      </c>
      <c r="AO40" s="204">
        <f t="shared" si="18"/>
        <v>0.020760949671685326</v>
      </c>
      <c r="AP40" s="204">
        <f t="shared" si="18"/>
        <v>0.01056207141719088</v>
      </c>
      <c r="AQ40" s="204">
        <f t="shared" si="18"/>
        <v>0.015915295922516341</v>
      </c>
      <c r="AR40" s="204">
        <f t="shared" si="18"/>
        <v>0.010763079643102406</v>
      </c>
      <c r="AU40" s="217">
        <v>0.40</v>
      </c>
    </row>
    <row r="41" spans="1:47" ht="15">
      <c r="A41" s="2">
        <f t="shared" si="10"/>
        <v>0.20330196020682348</v>
      </c>
      <c r="C41" t="s">
        <v>842</v>
      </c>
      <c r="E41" s="201" t="s">
        <v>470</v>
      </c>
      <c r="F41" s="201"/>
      <c r="G41" s="201" t="s">
        <v>468</v>
      </c>
      <c r="H41" s="204">
        <f t="shared" si="15"/>
        <v>0.011670858124289939</v>
      </c>
      <c r="I41" s="204">
        <f t="shared" si="15"/>
        <v>0.014437688015970045</v>
      </c>
      <c r="J41" s="204">
        <f t="shared" si="15"/>
        <v>0.0050583409539057111</v>
      </c>
      <c r="K41" s="204">
        <f t="shared" si="15"/>
        <v>0.011964019171116898</v>
      </c>
      <c r="L41" s="204">
        <f t="shared" si="15"/>
        <v>0.0059602110305438374</v>
      </c>
      <c r="M41" s="204">
        <f t="shared" si="15"/>
        <v>0.012022677598523301</v>
      </c>
      <c r="N41" s="204">
        <f t="shared" si="15"/>
        <v>0.0096032667300590454</v>
      </c>
      <c r="O41" s="204">
        <f t="shared" si="15"/>
        <v>0.0096053600483639624</v>
      </c>
      <c r="P41" s="204">
        <f t="shared" si="15"/>
        <v>0.012171402614020726</v>
      </c>
      <c r="Q41" s="204">
        <f t="shared" si="15"/>
        <v>0.0077319826347064368</v>
      </c>
      <c r="R41" s="204">
        <f t="shared" si="16"/>
        <v>0.01882022848483797</v>
      </c>
      <c r="S41" s="204">
        <f t="shared" si="16"/>
        <v>0.0079399993142589345</v>
      </c>
      <c r="T41" s="204">
        <f t="shared" si="16"/>
        <v>0.010780671464688304</v>
      </c>
      <c r="U41" s="204">
        <f t="shared" si="16"/>
        <v>0.0073792953984250769</v>
      </c>
      <c r="V41" s="204">
        <f t="shared" si="16"/>
        <v>0.0090757719272576611</v>
      </c>
      <c r="W41" s="204">
        <f t="shared" si="16"/>
        <v>0.0099411663157727131</v>
      </c>
      <c r="X41" s="204">
        <f t="shared" si="16"/>
        <v>0.02772024555600593</v>
      </c>
      <c r="Y41" s="204">
        <f t="shared" si="16"/>
        <v>0.011710640243321361</v>
      </c>
      <c r="Z41" s="204">
        <f t="shared" si="16"/>
        <v>0.0084761691196301621</v>
      </c>
      <c r="AA41" s="204">
        <f t="shared" si="16"/>
        <v>0.011291519824122883</v>
      </c>
      <c r="AB41" s="204">
        <f t="shared" si="17"/>
        <v>0.011869004738882942</v>
      </c>
      <c r="AC41" s="204">
        <f t="shared" si="17"/>
        <v>0.002781484128199372</v>
      </c>
      <c r="AD41" s="204">
        <f t="shared" si="17"/>
        <v>0.011135176582072047</v>
      </c>
      <c r="AE41" s="204">
        <f t="shared" si="17"/>
        <v>0.014352706618846236</v>
      </c>
      <c r="AF41" s="204">
        <f t="shared" si="17"/>
        <v>0.010735031487533336</v>
      </c>
      <c r="AG41" s="204">
        <f t="shared" si="17"/>
        <v>0.0036978882945284692</v>
      </c>
      <c r="AH41" s="204">
        <f t="shared" si="17"/>
        <v>0.0094379252346329569</v>
      </c>
      <c r="AI41" s="204">
        <f t="shared" si="17"/>
        <v>0.013574723206728622</v>
      </c>
      <c r="AJ41" s="204">
        <f t="shared" si="17"/>
        <v>0.010722000439252245</v>
      </c>
      <c r="AK41" s="204">
        <f t="shared" si="17"/>
        <v>0.011253421967019549</v>
      </c>
      <c r="AL41" s="204">
        <f t="shared" si="18"/>
        <v>0.0093086323816826688</v>
      </c>
      <c r="AM41" s="204">
        <f t="shared" si="18"/>
        <v>0.0048070396983111987</v>
      </c>
      <c r="AN41" s="204">
        <f t="shared" si="18"/>
        <v>0.0058497645139185513</v>
      </c>
      <c r="AO41" s="204">
        <f t="shared" si="18"/>
        <v>0.010551854410022087</v>
      </c>
      <c r="AP41" s="204">
        <f t="shared" si="18"/>
        <v>0.0053682245573984195</v>
      </c>
      <c r="AQ41" s="204">
        <f t="shared" si="18"/>
        <v>0.0080890271457980927</v>
      </c>
      <c r="AR41" s="204">
        <f t="shared" si="18"/>
        <v>0.0054703879732621924</v>
      </c>
      <c r="AU41" s="217">
        <v>0.15</v>
      </c>
    </row>
    <row r="42" spans="1:47" ht="15">
      <c r="A42" s="2">
        <f t="shared" si="10"/>
        <v>0.40000000000000002</v>
      </c>
      <c r="C42" t="s">
        <v>843</v>
      </c>
      <c r="E42" s="201" t="s">
        <v>470</v>
      </c>
      <c r="F42" s="201"/>
      <c r="G42" s="201" t="s">
        <v>468</v>
      </c>
      <c r="H42" s="204">
        <f t="shared" si="15"/>
        <v>0.02296260815668855</v>
      </c>
      <c r="I42" s="204">
        <f t="shared" si="15"/>
        <v>0.028406392149455468</v>
      </c>
      <c r="J42" s="204">
        <f t="shared" si="15"/>
        <v>0.0099523702550821484</v>
      </c>
      <c r="K42" s="204">
        <f t="shared" si="15"/>
        <v>0.023539407409442867</v>
      </c>
      <c r="L42" s="204">
        <f t="shared" si="15"/>
        <v>0.011726814683892643</v>
      </c>
      <c r="M42" s="204">
        <f t="shared" si="15"/>
        <v>0.023654818844427022</v>
      </c>
      <c r="N42" s="204">
        <f t="shared" si="15"/>
        <v>0.018894587578574127</v>
      </c>
      <c r="O42" s="204">
        <f t="shared" si="15"/>
        <v>0.018898706217278422</v>
      </c>
      <c r="P42" s="204">
        <f t="shared" si="15"/>
        <v>0.02394743779477285</v>
      </c>
      <c r="Q42" s="204">
        <f t="shared" si="15"/>
        <v>0.015212804887548599</v>
      </c>
      <c r="R42" s="204">
        <f t="shared" si="16"/>
        <v>0.037029113670506167</v>
      </c>
      <c r="S42" s="204">
        <f t="shared" si="16"/>
        <v>0.015622081176554128</v>
      </c>
      <c r="T42" s="204">
        <f t="shared" si="16"/>
        <v>0.021211151045904122</v>
      </c>
      <c r="U42" s="204">
        <f t="shared" si="16"/>
        <v>0.014518886863496958</v>
      </c>
      <c r="V42" s="204">
        <f t="shared" si="16"/>
        <v>0.017856732749698397</v>
      </c>
      <c r="W42" s="204">
        <f t="shared" si="16"/>
        <v>0.01955941065331461</v>
      </c>
      <c r="X42" s="204">
        <f t="shared" si="16"/>
        <v>0.054540045807341009</v>
      </c>
      <c r="Y42" s="204">
        <f t="shared" si="16"/>
        <v>0.023040880139882321</v>
      </c>
      <c r="Z42" s="204">
        <f t="shared" si="16"/>
        <v>0.016677004217779647</v>
      </c>
      <c r="AA42" s="204">
        <f t="shared" si="16"/>
        <v>0.022216253719611511</v>
      </c>
      <c r="AB42" s="204">
        <f t="shared" si="17"/>
        <v>0.02335246492814599</v>
      </c>
      <c r="AC42" s="204">
        <f t="shared" si="17"/>
        <v>0.0054726164477109972</v>
      </c>
      <c r="AD42" s="204">
        <f t="shared" si="17"/>
        <v>0.021908645781366774</v>
      </c>
      <c r="AE42" s="204">
        <f t="shared" si="17"/>
        <v>0.028239189832198211</v>
      </c>
      <c r="AF42" s="204">
        <f t="shared" si="17"/>
        <v>0.02112135362907934</v>
      </c>
      <c r="AG42" s="204">
        <f t="shared" si="17"/>
        <v>0.0072756569405755412</v>
      </c>
      <c r="AH42" s="204">
        <f t="shared" si="17"/>
        <v>0.018569275426624617</v>
      </c>
      <c r="AI42" s="204">
        <f t="shared" si="17"/>
        <v>0.02670849448361199</v>
      </c>
      <c r="AJ42" s="204">
        <f t="shared" si="17"/>
        <v>0.021095714824086342</v>
      </c>
      <c r="AK42" s="204">
        <f t="shared" si="17"/>
        <v>0.022141295549873107</v>
      </c>
      <c r="AL42" s="204">
        <f t="shared" si="18"/>
        <v>0.0183148895804306</v>
      </c>
      <c r="AM42" s="204">
        <f t="shared" si="18"/>
        <v>0.0094579308402553408</v>
      </c>
      <c r="AN42" s="204">
        <f t="shared" si="18"/>
        <v>0.011509509318980418</v>
      </c>
      <c r="AO42" s="204">
        <f t="shared" si="18"/>
        <v>0.020760949671685326</v>
      </c>
      <c r="AP42" s="204">
        <f t="shared" si="18"/>
        <v>0.01056207141719088</v>
      </c>
      <c r="AQ42" s="204">
        <f t="shared" si="18"/>
        <v>0.015915295922516341</v>
      </c>
      <c r="AR42" s="204">
        <f t="shared" si="18"/>
        <v>0.010763079643102406</v>
      </c>
      <c r="AU42" s="217">
        <v>0.40</v>
      </c>
    </row>
    <row r="43" spans="1:47" ht="15">
      <c r="A43" s="2">
        <f t="shared" si="10"/>
        <v>0.24794153998779733</v>
      </c>
      <c r="C43" t="s">
        <v>844</v>
      </c>
      <c r="E43" s="201" t="s">
        <v>470</v>
      </c>
      <c r="F43" s="201"/>
      <c r="G43" s="201" t="s">
        <v>468</v>
      </c>
      <c r="H43" s="204">
        <f t="shared" si="15"/>
        <v>0.014233461071264287</v>
      </c>
      <c r="I43" s="204">
        <f t="shared" si="15"/>
        <v>0.017607811537583163</v>
      </c>
      <c r="J43" s="204">
        <f t="shared" si="15"/>
        <v>0.0061690150189345379</v>
      </c>
      <c r="K43" s="204">
        <f t="shared" si="15"/>
        <v>0.014590992308743576</v>
      </c>
      <c r="L43" s="204">
        <f t="shared" si="15"/>
        <v>0.0072689112296896409</v>
      </c>
      <c r="M43" s="204">
        <f t="shared" si="15"/>
        <v>0.01466253053104901</v>
      </c>
      <c r="N43" s="204">
        <f t="shared" si="15"/>
        <v>0.011711882854164938</v>
      </c>
      <c r="O43" s="204">
        <f t="shared" si="15"/>
        <v>0.011714435808222429</v>
      </c>
      <c r="P43" s="204">
        <f t="shared" si="15"/>
        <v>0.014843911513994903</v>
      </c>
      <c r="Q43" s="204">
        <f t="shared" si="15"/>
        <v>0.009429715678381724</v>
      </c>
      <c r="R43" s="204">
        <f t="shared" si="16"/>
        <v>0.022952638669621241</v>
      </c>
      <c r="S43" s="204">
        <f t="shared" si="16"/>
        <v>0.0096834071618230287</v>
      </c>
      <c r="T43" s="204">
        <f t="shared" si="16"/>
        <v>0.013147813638088113</v>
      </c>
      <c r="U43" s="204">
        <f t="shared" si="16"/>
        <v>0.0089995879196100911</v>
      </c>
      <c r="V43" s="204">
        <f t="shared" si="16"/>
        <v>0.011068564542776887</v>
      </c>
      <c r="W43" s="204">
        <f t="shared" si="16"/>
        <v>0.012123975996591383</v>
      </c>
      <c r="X43" s="204">
        <f t="shared" si="16"/>
        <v>0.03380685737119285</v>
      </c>
      <c r="Y43" s="204">
        <f t="shared" si="16"/>
        <v>0.014281978261391694</v>
      </c>
      <c r="Z43" s="204">
        <f t="shared" si="16"/>
        <v>0.010337305270348192</v>
      </c>
      <c r="AA43" s="204">
        <f t="shared" si="16"/>
        <v>0.01377083040000027</v>
      </c>
      <c r="AB43" s="204">
        <f t="shared" si="17"/>
        <v>0.014475115291988859</v>
      </c>
      <c r="AC43" s="204">
        <f t="shared" si="17"/>
        <v>0.0033922223745200338</v>
      </c>
      <c r="AD43" s="204">
        <f t="shared" si="17"/>
        <v>0.013580158435198093</v>
      </c>
      <c r="AE43" s="204">
        <f t="shared" si="17"/>
        <v>0.01750417053750743</v>
      </c>
      <c r="AF43" s="204">
        <f t="shared" si="17"/>
        <v>0.013092152363551957</v>
      </c>
      <c r="AG43" s="204">
        <f t="shared" si="17"/>
        <v>0.0045098439656730141</v>
      </c>
      <c r="AH43" s="204">
        <f t="shared" si="17"/>
        <v>0.011510236864337173</v>
      </c>
      <c r="AI43" s="204">
        <f t="shared" si="17"/>
        <v>0.016555363132555866</v>
      </c>
      <c r="AJ43" s="204">
        <f t="shared" si="17"/>
        <v>0.013076260051568433</v>
      </c>
      <c r="AK43" s="204">
        <f t="shared" si="17"/>
        <v>0.013724367289901254</v>
      </c>
      <c r="AL43" s="204">
        <f t="shared" si="18"/>
        <v>0.011352554818196066</v>
      </c>
      <c r="AM43" s="204">
        <f t="shared" si="18"/>
        <v>0.0058625348440774772</v>
      </c>
      <c r="AN43" s="204">
        <f t="shared" si="18"/>
        <v>0.0071342136626297726</v>
      </c>
      <c r="AO43" s="204">
        <f t="shared" si="18"/>
        <v>0.012868754583017037</v>
      </c>
      <c r="AP43" s="204">
        <f t="shared" si="18"/>
        <v>0.006546940631598509</v>
      </c>
      <c r="AQ43" s="204">
        <f t="shared" si="18"/>
        <v>0.0098651574509755324</v>
      </c>
      <c r="AR43" s="204">
        <f t="shared" si="18"/>
        <v>0.0066715363543053061</v>
      </c>
      <c r="AU43" s="217">
        <v>0.20</v>
      </c>
    </row>
    <row r="44" spans="1:47" ht="15">
      <c r="A44" s="2">
        <f t="shared" si="10"/>
        <v>0.24794153998779733</v>
      </c>
      <c r="C44" t="s">
        <v>845</v>
      </c>
      <c r="E44" s="201" t="s">
        <v>470</v>
      </c>
      <c r="F44" s="201"/>
      <c r="G44" s="201" t="s">
        <v>468</v>
      </c>
      <c r="H44" s="204">
        <f t="shared" si="15"/>
        <v>0.014233461071264287</v>
      </c>
      <c r="I44" s="204">
        <f t="shared" si="15"/>
        <v>0.017607811537583163</v>
      </c>
      <c r="J44" s="204">
        <f t="shared" si="15"/>
        <v>0.0061690150189345379</v>
      </c>
      <c r="K44" s="204">
        <f t="shared" si="15"/>
        <v>0.014590992308743576</v>
      </c>
      <c r="L44" s="204">
        <f t="shared" si="15"/>
        <v>0.0072689112296896409</v>
      </c>
      <c r="M44" s="204">
        <f t="shared" si="15"/>
        <v>0.01466253053104901</v>
      </c>
      <c r="N44" s="204">
        <f t="shared" si="15"/>
        <v>0.011711882854164938</v>
      </c>
      <c r="O44" s="204">
        <f t="shared" si="15"/>
        <v>0.011714435808222429</v>
      </c>
      <c r="P44" s="204">
        <f t="shared" si="15"/>
        <v>0.014843911513994903</v>
      </c>
      <c r="Q44" s="204">
        <f t="shared" si="15"/>
        <v>0.009429715678381724</v>
      </c>
      <c r="R44" s="204">
        <f t="shared" si="16"/>
        <v>0.022952638669621241</v>
      </c>
      <c r="S44" s="204">
        <f t="shared" si="16"/>
        <v>0.0096834071618230287</v>
      </c>
      <c r="T44" s="204">
        <f t="shared" si="16"/>
        <v>0.013147813638088113</v>
      </c>
      <c r="U44" s="204">
        <f t="shared" si="16"/>
        <v>0.0089995879196100911</v>
      </c>
      <c r="V44" s="204">
        <f t="shared" si="16"/>
        <v>0.011068564542776887</v>
      </c>
      <c r="W44" s="204">
        <f t="shared" si="16"/>
        <v>0.012123975996591383</v>
      </c>
      <c r="X44" s="204">
        <f t="shared" si="16"/>
        <v>0.03380685737119285</v>
      </c>
      <c r="Y44" s="204">
        <f t="shared" si="16"/>
        <v>0.014281978261391694</v>
      </c>
      <c r="Z44" s="204">
        <f t="shared" si="16"/>
        <v>0.010337305270348192</v>
      </c>
      <c r="AA44" s="204">
        <f t="shared" si="16"/>
        <v>0.01377083040000027</v>
      </c>
      <c r="AB44" s="204">
        <f t="shared" si="17"/>
        <v>0.014475115291988859</v>
      </c>
      <c r="AC44" s="204">
        <f t="shared" si="17"/>
        <v>0.0033922223745200338</v>
      </c>
      <c r="AD44" s="204">
        <f t="shared" si="17"/>
        <v>0.013580158435198093</v>
      </c>
      <c r="AE44" s="204">
        <f t="shared" si="17"/>
        <v>0.01750417053750743</v>
      </c>
      <c r="AF44" s="204">
        <f t="shared" si="17"/>
        <v>0.013092152363551957</v>
      </c>
      <c r="AG44" s="204">
        <f t="shared" si="17"/>
        <v>0.0045098439656730141</v>
      </c>
      <c r="AH44" s="204">
        <f t="shared" si="17"/>
        <v>0.011510236864337173</v>
      </c>
      <c r="AI44" s="204">
        <f t="shared" si="17"/>
        <v>0.016555363132555866</v>
      </c>
      <c r="AJ44" s="204">
        <f t="shared" si="17"/>
        <v>0.013076260051568433</v>
      </c>
      <c r="AK44" s="204">
        <f t="shared" si="17"/>
        <v>0.013724367289901254</v>
      </c>
      <c r="AL44" s="204">
        <f t="shared" si="18"/>
        <v>0.011352554818196066</v>
      </c>
      <c r="AM44" s="204">
        <f t="shared" si="18"/>
        <v>0.0058625348440774772</v>
      </c>
      <c r="AN44" s="204">
        <f t="shared" si="18"/>
        <v>0.0071342136626297726</v>
      </c>
      <c r="AO44" s="204">
        <f t="shared" si="18"/>
        <v>0.012868754583017037</v>
      </c>
      <c r="AP44" s="204">
        <f t="shared" si="18"/>
        <v>0.006546940631598509</v>
      </c>
      <c r="AQ44" s="204">
        <f t="shared" si="18"/>
        <v>0.0098651574509755324</v>
      </c>
      <c r="AR44" s="204">
        <f t="shared" si="18"/>
        <v>0.0066715363543053061</v>
      </c>
      <c r="AU44" s="217">
        <v>0.20</v>
      </c>
    </row>
    <row r="45" spans="1:47" ht="15">
      <c r="A45" s="2">
        <f t="shared" si="10"/>
        <v>0.24794153998779733</v>
      </c>
      <c r="C45" t="s">
        <v>846</v>
      </c>
      <c r="E45" s="201" t="s">
        <v>470</v>
      </c>
      <c r="F45" s="201"/>
      <c r="G45" s="201" t="s">
        <v>468</v>
      </c>
      <c r="H45" s="204">
        <f t="shared" si="15"/>
        <v>0.014233461071264287</v>
      </c>
      <c r="I45" s="204">
        <f t="shared" si="15"/>
        <v>0.017607811537583163</v>
      </c>
      <c r="J45" s="204">
        <f t="shared" si="15"/>
        <v>0.0061690150189345379</v>
      </c>
      <c r="K45" s="204">
        <f t="shared" si="15"/>
        <v>0.014590992308743576</v>
      </c>
      <c r="L45" s="204">
        <f t="shared" si="15"/>
        <v>0.0072689112296896409</v>
      </c>
      <c r="M45" s="204">
        <f t="shared" si="15"/>
        <v>0.01466253053104901</v>
      </c>
      <c r="N45" s="204">
        <f t="shared" si="15"/>
        <v>0.011711882854164938</v>
      </c>
      <c r="O45" s="204">
        <f t="shared" si="15"/>
        <v>0.011714435808222429</v>
      </c>
      <c r="P45" s="204">
        <f t="shared" si="15"/>
        <v>0.014843911513994903</v>
      </c>
      <c r="Q45" s="204">
        <f t="shared" si="15"/>
        <v>0.009429715678381724</v>
      </c>
      <c r="R45" s="204">
        <f t="shared" si="16"/>
        <v>0.022952638669621241</v>
      </c>
      <c r="S45" s="204">
        <f t="shared" si="16"/>
        <v>0.0096834071618230287</v>
      </c>
      <c r="T45" s="204">
        <f t="shared" si="16"/>
        <v>0.013147813638088113</v>
      </c>
      <c r="U45" s="204">
        <f t="shared" si="16"/>
        <v>0.0089995879196100911</v>
      </c>
      <c r="V45" s="204">
        <f t="shared" si="16"/>
        <v>0.011068564542776887</v>
      </c>
      <c r="W45" s="204">
        <f t="shared" si="16"/>
        <v>0.012123975996591383</v>
      </c>
      <c r="X45" s="204">
        <f t="shared" si="16"/>
        <v>0.03380685737119285</v>
      </c>
      <c r="Y45" s="204">
        <f t="shared" si="16"/>
        <v>0.014281978261391694</v>
      </c>
      <c r="Z45" s="204">
        <f t="shared" si="16"/>
        <v>0.010337305270348192</v>
      </c>
      <c r="AA45" s="204">
        <f t="shared" si="16"/>
        <v>0.01377083040000027</v>
      </c>
      <c r="AB45" s="204">
        <f t="shared" si="17"/>
        <v>0.014475115291988859</v>
      </c>
      <c r="AC45" s="204">
        <f t="shared" si="17"/>
        <v>0.0033922223745200338</v>
      </c>
      <c r="AD45" s="204">
        <f t="shared" si="17"/>
        <v>0.013580158435198093</v>
      </c>
      <c r="AE45" s="204">
        <f t="shared" si="17"/>
        <v>0.01750417053750743</v>
      </c>
      <c r="AF45" s="204">
        <f t="shared" si="17"/>
        <v>0.013092152363551957</v>
      </c>
      <c r="AG45" s="204">
        <f t="shared" si="17"/>
        <v>0.0045098439656730141</v>
      </c>
      <c r="AH45" s="204">
        <f t="shared" si="17"/>
        <v>0.011510236864337173</v>
      </c>
      <c r="AI45" s="204">
        <f t="shared" si="17"/>
        <v>0.016555363132555866</v>
      </c>
      <c r="AJ45" s="204">
        <f t="shared" si="17"/>
        <v>0.013076260051568433</v>
      </c>
      <c r="AK45" s="204">
        <f t="shared" si="17"/>
        <v>0.013724367289901254</v>
      </c>
      <c r="AL45" s="204">
        <f t="shared" si="18"/>
        <v>0.011352554818196066</v>
      </c>
      <c r="AM45" s="204">
        <f t="shared" si="18"/>
        <v>0.0058625348440774772</v>
      </c>
      <c r="AN45" s="204">
        <f t="shared" si="18"/>
        <v>0.0071342136626297726</v>
      </c>
      <c r="AO45" s="204">
        <f t="shared" si="18"/>
        <v>0.012868754583017037</v>
      </c>
      <c r="AP45" s="204">
        <f t="shared" si="18"/>
        <v>0.006546940631598509</v>
      </c>
      <c r="AQ45" s="204">
        <f t="shared" si="18"/>
        <v>0.0098651574509755324</v>
      </c>
      <c r="AR45" s="204">
        <f t="shared" si="18"/>
        <v>0.0066715363543053061</v>
      </c>
      <c r="AU45" s="217">
        <v>0.20</v>
      </c>
    </row>
    <row r="46" spans="1:47" ht="15">
      <c r="A46" s="2">
        <f t="shared" si="10"/>
        <v>0.24794153998779733</v>
      </c>
      <c r="C46" t="s">
        <v>847</v>
      </c>
      <c r="E46" s="201" t="s">
        <v>470</v>
      </c>
      <c r="F46" s="201"/>
      <c r="G46" s="201" t="s">
        <v>468</v>
      </c>
      <c r="H46" s="204">
        <f t="shared" si="15"/>
        <v>0.014233461071264287</v>
      </c>
      <c r="I46" s="204">
        <f t="shared" si="15"/>
        <v>0.017607811537583163</v>
      </c>
      <c r="J46" s="204">
        <f t="shared" si="15"/>
        <v>0.0061690150189345379</v>
      </c>
      <c r="K46" s="204">
        <f t="shared" si="15"/>
        <v>0.014590992308743576</v>
      </c>
      <c r="L46" s="204">
        <f t="shared" si="15"/>
        <v>0.0072689112296896409</v>
      </c>
      <c r="M46" s="204">
        <f t="shared" si="15"/>
        <v>0.01466253053104901</v>
      </c>
      <c r="N46" s="204">
        <f t="shared" si="15"/>
        <v>0.011711882854164938</v>
      </c>
      <c r="O46" s="204">
        <f t="shared" si="15"/>
        <v>0.011714435808222429</v>
      </c>
      <c r="P46" s="204">
        <f t="shared" si="15"/>
        <v>0.014843911513994903</v>
      </c>
      <c r="Q46" s="204">
        <f t="shared" si="15"/>
        <v>0.009429715678381724</v>
      </c>
      <c r="R46" s="204">
        <f t="shared" si="16"/>
        <v>0.022952638669621241</v>
      </c>
      <c r="S46" s="204">
        <f t="shared" si="16"/>
        <v>0.0096834071618230287</v>
      </c>
      <c r="T46" s="204">
        <f t="shared" si="16"/>
        <v>0.013147813638088113</v>
      </c>
      <c r="U46" s="204">
        <f t="shared" si="16"/>
        <v>0.0089995879196100911</v>
      </c>
      <c r="V46" s="204">
        <f t="shared" si="16"/>
        <v>0.011068564542776887</v>
      </c>
      <c r="W46" s="204">
        <f t="shared" si="16"/>
        <v>0.012123975996591383</v>
      </c>
      <c r="X46" s="204">
        <f t="shared" si="16"/>
        <v>0.03380685737119285</v>
      </c>
      <c r="Y46" s="204">
        <f t="shared" si="16"/>
        <v>0.014281978261391694</v>
      </c>
      <c r="Z46" s="204">
        <f t="shared" si="16"/>
        <v>0.010337305270348192</v>
      </c>
      <c r="AA46" s="204">
        <f t="shared" si="16"/>
        <v>0.01377083040000027</v>
      </c>
      <c r="AB46" s="204">
        <f t="shared" si="17"/>
        <v>0.014475115291988859</v>
      </c>
      <c r="AC46" s="204">
        <f t="shared" si="17"/>
        <v>0.0033922223745200338</v>
      </c>
      <c r="AD46" s="204">
        <f t="shared" si="17"/>
        <v>0.013580158435198093</v>
      </c>
      <c r="AE46" s="204">
        <f t="shared" si="17"/>
        <v>0.01750417053750743</v>
      </c>
      <c r="AF46" s="204">
        <f t="shared" si="17"/>
        <v>0.013092152363551957</v>
      </c>
      <c r="AG46" s="204">
        <f t="shared" si="17"/>
        <v>0.0045098439656730141</v>
      </c>
      <c r="AH46" s="204">
        <f t="shared" si="17"/>
        <v>0.011510236864337173</v>
      </c>
      <c r="AI46" s="204">
        <f t="shared" si="17"/>
        <v>0.016555363132555866</v>
      </c>
      <c r="AJ46" s="204">
        <f t="shared" si="17"/>
        <v>0.013076260051568433</v>
      </c>
      <c r="AK46" s="204">
        <f t="shared" si="17"/>
        <v>0.013724367289901254</v>
      </c>
      <c r="AL46" s="204">
        <f t="shared" si="18"/>
        <v>0.011352554818196066</v>
      </c>
      <c r="AM46" s="204">
        <f t="shared" si="18"/>
        <v>0.0058625348440774772</v>
      </c>
      <c r="AN46" s="204">
        <f t="shared" si="18"/>
        <v>0.0071342136626297726</v>
      </c>
      <c r="AO46" s="204">
        <f t="shared" si="18"/>
        <v>0.012868754583017037</v>
      </c>
      <c r="AP46" s="204">
        <f t="shared" si="18"/>
        <v>0.006546940631598509</v>
      </c>
      <c r="AQ46" s="204">
        <f t="shared" si="18"/>
        <v>0.0098651574509755324</v>
      </c>
      <c r="AR46" s="204">
        <f t="shared" si="18"/>
        <v>0.0066715363543053061</v>
      </c>
      <c r="AU46" s="217">
        <v>0.20</v>
      </c>
    </row>
    <row r="47" spans="1:47" ht="15">
      <c r="A47" s="2">
        <f t="shared" si="10"/>
        <v>0.20330196020682348</v>
      </c>
      <c r="C47" t="s">
        <v>848</v>
      </c>
      <c r="E47" s="201" t="s">
        <v>470</v>
      </c>
      <c r="F47" s="201"/>
      <c r="G47" s="201" t="s">
        <v>59</v>
      </c>
      <c r="H47" s="204">
        <f t="shared" si="19" ref="H47:Q54">H$18*$A47</f>
        <v>0.011670858124289939</v>
      </c>
      <c r="I47" s="204">
        <f t="shared" si="19"/>
        <v>0.014437688015970045</v>
      </c>
      <c r="J47" s="204">
        <f t="shared" si="19"/>
        <v>0.0050583409539057111</v>
      </c>
      <c r="K47" s="204">
        <f t="shared" si="19"/>
        <v>0.011964019171116898</v>
      </c>
      <c r="L47" s="204">
        <f t="shared" si="19"/>
        <v>0.0059602110305438374</v>
      </c>
      <c r="M47" s="204">
        <f t="shared" si="19"/>
        <v>0.012022677598523301</v>
      </c>
      <c r="N47" s="204">
        <f t="shared" si="19"/>
        <v>0.0096032667300590454</v>
      </c>
      <c r="O47" s="204">
        <f t="shared" si="19"/>
        <v>0.0096053600483639624</v>
      </c>
      <c r="P47" s="204">
        <f t="shared" si="19"/>
        <v>0.012171402614020726</v>
      </c>
      <c r="Q47" s="204">
        <f t="shared" si="19"/>
        <v>0.0077319826347064368</v>
      </c>
      <c r="R47" s="204">
        <f t="shared" si="20" ref="R47:AA54">R$18*$A47</f>
        <v>0.01882022848483797</v>
      </c>
      <c r="S47" s="204">
        <f t="shared" si="20"/>
        <v>0.0079399993142589345</v>
      </c>
      <c r="T47" s="204">
        <f t="shared" si="20"/>
        <v>0.010780671464688304</v>
      </c>
      <c r="U47" s="204">
        <f t="shared" si="20"/>
        <v>0.0073792953984250769</v>
      </c>
      <c r="V47" s="204">
        <f t="shared" si="20"/>
        <v>0.0090757719272576611</v>
      </c>
      <c r="W47" s="204">
        <f t="shared" si="20"/>
        <v>0.0099411663157727131</v>
      </c>
      <c r="X47" s="204">
        <f t="shared" si="20"/>
        <v>0.02772024555600593</v>
      </c>
      <c r="Y47" s="204">
        <f t="shared" si="20"/>
        <v>0.011710640243321361</v>
      </c>
      <c r="Z47" s="204">
        <f t="shared" si="20"/>
        <v>0.0084761691196301621</v>
      </c>
      <c r="AA47" s="204">
        <f t="shared" si="20"/>
        <v>0.011291519824122883</v>
      </c>
      <c r="AB47" s="204">
        <f t="shared" si="21" ref="AB47:AK54">AB$18*$A47</f>
        <v>0.011869004738882942</v>
      </c>
      <c r="AC47" s="204">
        <f t="shared" si="21"/>
        <v>0.002781484128199372</v>
      </c>
      <c r="AD47" s="204">
        <f t="shared" si="21"/>
        <v>0.011135176582072047</v>
      </c>
      <c r="AE47" s="204">
        <f t="shared" si="21"/>
        <v>0.014352706618846236</v>
      </c>
      <c r="AF47" s="204">
        <f t="shared" si="21"/>
        <v>0.010735031487533336</v>
      </c>
      <c r="AG47" s="204">
        <f t="shared" si="21"/>
        <v>0.0036978882945284692</v>
      </c>
      <c r="AH47" s="204">
        <f t="shared" si="21"/>
        <v>0.0094379252346329569</v>
      </c>
      <c r="AI47" s="204">
        <f t="shared" si="21"/>
        <v>0.013574723206728622</v>
      </c>
      <c r="AJ47" s="204">
        <f t="shared" si="21"/>
        <v>0.010722000439252245</v>
      </c>
      <c r="AK47" s="204">
        <f t="shared" si="21"/>
        <v>0.011253421967019549</v>
      </c>
      <c r="AL47" s="204">
        <f t="shared" si="22" ref="AL47:AR54">AL$18*$A47</f>
        <v>0.0093086323816826688</v>
      </c>
      <c r="AM47" s="204">
        <f t="shared" si="22"/>
        <v>0.0048070396983111987</v>
      </c>
      <c r="AN47" s="204">
        <f t="shared" si="22"/>
        <v>0.0058497645139185513</v>
      </c>
      <c r="AO47" s="204">
        <f t="shared" si="22"/>
        <v>0.010551854410022087</v>
      </c>
      <c r="AP47" s="204">
        <f t="shared" si="22"/>
        <v>0.0053682245573984195</v>
      </c>
      <c r="AQ47" s="204">
        <f t="shared" si="22"/>
        <v>0.0080890271457980927</v>
      </c>
      <c r="AR47" s="204">
        <f t="shared" si="22"/>
        <v>0.0054703879732621924</v>
      </c>
      <c r="AU47" s="217">
        <v>0.15</v>
      </c>
    </row>
    <row r="48" spans="1:47" ht="15">
      <c r="A48" s="2">
        <f t="shared" si="10"/>
        <v>0.40000000000000002</v>
      </c>
      <c r="C48" t="s">
        <v>849</v>
      </c>
      <c r="E48" s="201" t="s">
        <v>470</v>
      </c>
      <c r="F48" s="201"/>
      <c r="G48" s="201" t="s">
        <v>59</v>
      </c>
      <c r="H48" s="204">
        <f t="shared" si="19"/>
        <v>0.02296260815668855</v>
      </c>
      <c r="I48" s="204">
        <f t="shared" si="19"/>
        <v>0.028406392149455468</v>
      </c>
      <c r="J48" s="204">
        <f t="shared" si="19"/>
        <v>0.0099523702550821484</v>
      </c>
      <c r="K48" s="204">
        <f t="shared" si="19"/>
        <v>0.023539407409442867</v>
      </c>
      <c r="L48" s="204">
        <f t="shared" si="19"/>
        <v>0.011726814683892643</v>
      </c>
      <c r="M48" s="204">
        <f t="shared" si="19"/>
        <v>0.023654818844427022</v>
      </c>
      <c r="N48" s="204">
        <f t="shared" si="19"/>
        <v>0.018894587578574127</v>
      </c>
      <c r="O48" s="204">
        <f t="shared" si="19"/>
        <v>0.018898706217278422</v>
      </c>
      <c r="P48" s="204">
        <f t="shared" si="19"/>
        <v>0.02394743779477285</v>
      </c>
      <c r="Q48" s="204">
        <f t="shared" si="19"/>
        <v>0.015212804887548599</v>
      </c>
      <c r="R48" s="204">
        <f t="shared" si="20"/>
        <v>0.037029113670506167</v>
      </c>
      <c r="S48" s="204">
        <f t="shared" si="20"/>
        <v>0.015622081176554128</v>
      </c>
      <c r="T48" s="204">
        <f t="shared" si="20"/>
        <v>0.021211151045904122</v>
      </c>
      <c r="U48" s="204">
        <f t="shared" si="20"/>
        <v>0.014518886863496958</v>
      </c>
      <c r="V48" s="204">
        <f t="shared" si="20"/>
        <v>0.017856732749698397</v>
      </c>
      <c r="W48" s="204">
        <f t="shared" si="20"/>
        <v>0.01955941065331461</v>
      </c>
      <c r="X48" s="204">
        <f t="shared" si="20"/>
        <v>0.054540045807341009</v>
      </c>
      <c r="Y48" s="204">
        <f t="shared" si="20"/>
        <v>0.023040880139882321</v>
      </c>
      <c r="Z48" s="204">
        <f t="shared" si="20"/>
        <v>0.016677004217779647</v>
      </c>
      <c r="AA48" s="204">
        <f t="shared" si="20"/>
        <v>0.022216253719611511</v>
      </c>
      <c r="AB48" s="204">
        <f t="shared" si="21"/>
        <v>0.02335246492814599</v>
      </c>
      <c r="AC48" s="204">
        <f t="shared" si="21"/>
        <v>0.0054726164477109972</v>
      </c>
      <c r="AD48" s="204">
        <f t="shared" si="21"/>
        <v>0.021908645781366774</v>
      </c>
      <c r="AE48" s="204">
        <f t="shared" si="21"/>
        <v>0.028239189832198211</v>
      </c>
      <c r="AF48" s="204">
        <f t="shared" si="21"/>
        <v>0.02112135362907934</v>
      </c>
      <c r="AG48" s="204">
        <f t="shared" si="21"/>
        <v>0.0072756569405755412</v>
      </c>
      <c r="AH48" s="204">
        <f t="shared" si="21"/>
        <v>0.018569275426624617</v>
      </c>
      <c r="AI48" s="204">
        <f t="shared" si="21"/>
        <v>0.02670849448361199</v>
      </c>
      <c r="AJ48" s="204">
        <f t="shared" si="21"/>
        <v>0.021095714824086342</v>
      </c>
      <c r="AK48" s="204">
        <f t="shared" si="21"/>
        <v>0.022141295549873107</v>
      </c>
      <c r="AL48" s="204">
        <f t="shared" si="22"/>
        <v>0.0183148895804306</v>
      </c>
      <c r="AM48" s="204">
        <f t="shared" si="22"/>
        <v>0.0094579308402553408</v>
      </c>
      <c r="AN48" s="204">
        <f t="shared" si="22"/>
        <v>0.011509509318980418</v>
      </c>
      <c r="AO48" s="204">
        <f t="shared" si="22"/>
        <v>0.020760949671685326</v>
      </c>
      <c r="AP48" s="204">
        <f t="shared" si="22"/>
        <v>0.01056207141719088</v>
      </c>
      <c r="AQ48" s="204">
        <f t="shared" si="22"/>
        <v>0.015915295922516341</v>
      </c>
      <c r="AR48" s="204">
        <f t="shared" si="22"/>
        <v>0.010763079643102406</v>
      </c>
      <c r="AU48" s="217">
        <v>0.40</v>
      </c>
    </row>
    <row r="49" spans="1:47" ht="15">
      <c r="A49" s="2">
        <f t="shared" si="10"/>
        <v>0.20330196020682348</v>
      </c>
      <c r="C49" t="s">
        <v>850</v>
      </c>
      <c r="E49" s="201" t="s">
        <v>470</v>
      </c>
      <c r="F49" s="201"/>
      <c r="G49" s="201" t="s">
        <v>59</v>
      </c>
      <c r="H49" s="204">
        <f t="shared" si="19"/>
        <v>0.011670858124289939</v>
      </c>
      <c r="I49" s="204">
        <f t="shared" si="19"/>
        <v>0.014437688015970045</v>
      </c>
      <c r="J49" s="204">
        <f t="shared" si="19"/>
        <v>0.0050583409539057111</v>
      </c>
      <c r="K49" s="204">
        <f t="shared" si="19"/>
        <v>0.011964019171116898</v>
      </c>
      <c r="L49" s="204">
        <f t="shared" si="19"/>
        <v>0.0059602110305438374</v>
      </c>
      <c r="M49" s="204">
        <f t="shared" si="19"/>
        <v>0.012022677598523301</v>
      </c>
      <c r="N49" s="204">
        <f t="shared" si="19"/>
        <v>0.0096032667300590454</v>
      </c>
      <c r="O49" s="204">
        <f t="shared" si="19"/>
        <v>0.0096053600483639624</v>
      </c>
      <c r="P49" s="204">
        <f t="shared" si="19"/>
        <v>0.012171402614020726</v>
      </c>
      <c r="Q49" s="204">
        <f t="shared" si="19"/>
        <v>0.0077319826347064368</v>
      </c>
      <c r="R49" s="204">
        <f t="shared" si="20"/>
        <v>0.01882022848483797</v>
      </c>
      <c r="S49" s="204">
        <f t="shared" si="20"/>
        <v>0.0079399993142589345</v>
      </c>
      <c r="T49" s="204">
        <f t="shared" si="20"/>
        <v>0.010780671464688304</v>
      </c>
      <c r="U49" s="204">
        <f t="shared" si="20"/>
        <v>0.0073792953984250769</v>
      </c>
      <c r="V49" s="204">
        <f t="shared" si="20"/>
        <v>0.0090757719272576611</v>
      </c>
      <c r="W49" s="204">
        <f t="shared" si="20"/>
        <v>0.0099411663157727131</v>
      </c>
      <c r="X49" s="204">
        <f t="shared" si="20"/>
        <v>0.02772024555600593</v>
      </c>
      <c r="Y49" s="204">
        <f t="shared" si="20"/>
        <v>0.011710640243321361</v>
      </c>
      <c r="Z49" s="204">
        <f t="shared" si="20"/>
        <v>0.0084761691196301621</v>
      </c>
      <c r="AA49" s="204">
        <f t="shared" si="20"/>
        <v>0.011291519824122883</v>
      </c>
      <c r="AB49" s="204">
        <f t="shared" si="21"/>
        <v>0.011869004738882942</v>
      </c>
      <c r="AC49" s="204">
        <f t="shared" si="21"/>
        <v>0.002781484128199372</v>
      </c>
      <c r="AD49" s="204">
        <f t="shared" si="21"/>
        <v>0.011135176582072047</v>
      </c>
      <c r="AE49" s="204">
        <f t="shared" si="21"/>
        <v>0.014352706618846236</v>
      </c>
      <c r="AF49" s="204">
        <f t="shared" si="21"/>
        <v>0.010735031487533336</v>
      </c>
      <c r="AG49" s="204">
        <f t="shared" si="21"/>
        <v>0.0036978882945284692</v>
      </c>
      <c r="AH49" s="204">
        <f t="shared" si="21"/>
        <v>0.0094379252346329569</v>
      </c>
      <c r="AI49" s="204">
        <f t="shared" si="21"/>
        <v>0.013574723206728622</v>
      </c>
      <c r="AJ49" s="204">
        <f t="shared" si="21"/>
        <v>0.010722000439252245</v>
      </c>
      <c r="AK49" s="204">
        <f t="shared" si="21"/>
        <v>0.011253421967019549</v>
      </c>
      <c r="AL49" s="204">
        <f t="shared" si="22"/>
        <v>0.0093086323816826688</v>
      </c>
      <c r="AM49" s="204">
        <f t="shared" si="22"/>
        <v>0.0048070396983111987</v>
      </c>
      <c r="AN49" s="204">
        <f t="shared" si="22"/>
        <v>0.0058497645139185513</v>
      </c>
      <c r="AO49" s="204">
        <f t="shared" si="22"/>
        <v>0.010551854410022087</v>
      </c>
      <c r="AP49" s="204">
        <f t="shared" si="22"/>
        <v>0.0053682245573984195</v>
      </c>
      <c r="AQ49" s="204">
        <f t="shared" si="22"/>
        <v>0.0080890271457980927</v>
      </c>
      <c r="AR49" s="204">
        <f t="shared" si="22"/>
        <v>0.0054703879732621924</v>
      </c>
      <c r="AU49" s="217">
        <v>0.15</v>
      </c>
    </row>
    <row r="50" spans="1:47" ht="15">
      <c r="A50" s="2">
        <f t="shared" si="10"/>
        <v>0.40000000000000002</v>
      </c>
      <c r="C50" t="s">
        <v>851</v>
      </c>
      <c r="E50" s="201" t="s">
        <v>470</v>
      </c>
      <c r="F50" s="201"/>
      <c r="G50" s="201" t="s">
        <v>59</v>
      </c>
      <c r="H50" s="204">
        <f t="shared" si="19"/>
        <v>0.02296260815668855</v>
      </c>
      <c r="I50" s="204">
        <f t="shared" si="19"/>
        <v>0.028406392149455468</v>
      </c>
      <c r="J50" s="204">
        <f t="shared" si="19"/>
        <v>0.0099523702550821484</v>
      </c>
      <c r="K50" s="204">
        <f t="shared" si="19"/>
        <v>0.023539407409442867</v>
      </c>
      <c r="L50" s="204">
        <f t="shared" si="19"/>
        <v>0.011726814683892643</v>
      </c>
      <c r="M50" s="204">
        <f t="shared" si="19"/>
        <v>0.023654818844427022</v>
      </c>
      <c r="N50" s="204">
        <f t="shared" si="19"/>
        <v>0.018894587578574127</v>
      </c>
      <c r="O50" s="204">
        <f t="shared" si="19"/>
        <v>0.018898706217278422</v>
      </c>
      <c r="P50" s="204">
        <f t="shared" si="19"/>
        <v>0.02394743779477285</v>
      </c>
      <c r="Q50" s="204">
        <f t="shared" si="19"/>
        <v>0.015212804887548599</v>
      </c>
      <c r="R50" s="204">
        <f t="shared" si="20"/>
        <v>0.037029113670506167</v>
      </c>
      <c r="S50" s="204">
        <f t="shared" si="20"/>
        <v>0.015622081176554128</v>
      </c>
      <c r="T50" s="204">
        <f t="shared" si="20"/>
        <v>0.021211151045904122</v>
      </c>
      <c r="U50" s="204">
        <f t="shared" si="20"/>
        <v>0.014518886863496958</v>
      </c>
      <c r="V50" s="204">
        <f t="shared" si="20"/>
        <v>0.017856732749698397</v>
      </c>
      <c r="W50" s="204">
        <f t="shared" si="20"/>
        <v>0.01955941065331461</v>
      </c>
      <c r="X50" s="204">
        <f t="shared" si="20"/>
        <v>0.054540045807341009</v>
      </c>
      <c r="Y50" s="204">
        <f t="shared" si="20"/>
        <v>0.023040880139882321</v>
      </c>
      <c r="Z50" s="204">
        <f t="shared" si="20"/>
        <v>0.016677004217779647</v>
      </c>
      <c r="AA50" s="204">
        <f t="shared" si="20"/>
        <v>0.022216253719611511</v>
      </c>
      <c r="AB50" s="204">
        <f t="shared" si="21"/>
        <v>0.02335246492814599</v>
      </c>
      <c r="AC50" s="204">
        <f t="shared" si="21"/>
        <v>0.0054726164477109972</v>
      </c>
      <c r="AD50" s="204">
        <f t="shared" si="21"/>
        <v>0.021908645781366774</v>
      </c>
      <c r="AE50" s="204">
        <f t="shared" si="21"/>
        <v>0.028239189832198211</v>
      </c>
      <c r="AF50" s="204">
        <f t="shared" si="21"/>
        <v>0.02112135362907934</v>
      </c>
      <c r="AG50" s="204">
        <f t="shared" si="21"/>
        <v>0.0072756569405755412</v>
      </c>
      <c r="AH50" s="204">
        <f t="shared" si="21"/>
        <v>0.018569275426624617</v>
      </c>
      <c r="AI50" s="204">
        <f t="shared" si="21"/>
        <v>0.02670849448361199</v>
      </c>
      <c r="AJ50" s="204">
        <f t="shared" si="21"/>
        <v>0.021095714824086342</v>
      </c>
      <c r="AK50" s="204">
        <f t="shared" si="21"/>
        <v>0.022141295549873107</v>
      </c>
      <c r="AL50" s="204">
        <f t="shared" si="22"/>
        <v>0.0183148895804306</v>
      </c>
      <c r="AM50" s="204">
        <f t="shared" si="22"/>
        <v>0.0094579308402553408</v>
      </c>
      <c r="AN50" s="204">
        <f t="shared" si="22"/>
        <v>0.011509509318980418</v>
      </c>
      <c r="AO50" s="204">
        <f t="shared" si="22"/>
        <v>0.020760949671685326</v>
      </c>
      <c r="AP50" s="204">
        <f t="shared" si="22"/>
        <v>0.01056207141719088</v>
      </c>
      <c r="AQ50" s="204">
        <f t="shared" si="22"/>
        <v>0.015915295922516341</v>
      </c>
      <c r="AR50" s="204">
        <f t="shared" si="22"/>
        <v>0.010763079643102406</v>
      </c>
      <c r="AU50" s="217">
        <v>0.40</v>
      </c>
    </row>
    <row r="51" spans="1:47" ht="15">
      <c r="A51" s="2">
        <f t="shared" si="10"/>
        <v>0.24794153998779733</v>
      </c>
      <c r="C51" t="s">
        <v>852</v>
      </c>
      <c r="E51" s="201" t="s">
        <v>470</v>
      </c>
      <c r="F51" s="201"/>
      <c r="G51" s="201" t="s">
        <v>59</v>
      </c>
      <c r="H51" s="204">
        <f t="shared" si="19"/>
        <v>0.014233461071264287</v>
      </c>
      <c r="I51" s="204">
        <f t="shared" si="19"/>
        <v>0.017607811537583163</v>
      </c>
      <c r="J51" s="204">
        <f t="shared" si="19"/>
        <v>0.0061690150189345379</v>
      </c>
      <c r="K51" s="204">
        <f t="shared" si="19"/>
        <v>0.014590992308743576</v>
      </c>
      <c r="L51" s="204">
        <f t="shared" si="19"/>
        <v>0.0072689112296896409</v>
      </c>
      <c r="M51" s="204">
        <f t="shared" si="19"/>
        <v>0.01466253053104901</v>
      </c>
      <c r="N51" s="204">
        <f t="shared" si="19"/>
        <v>0.011711882854164938</v>
      </c>
      <c r="O51" s="204">
        <f t="shared" si="19"/>
        <v>0.011714435808222429</v>
      </c>
      <c r="P51" s="204">
        <f t="shared" si="19"/>
        <v>0.014843911513994903</v>
      </c>
      <c r="Q51" s="204">
        <f t="shared" si="19"/>
        <v>0.009429715678381724</v>
      </c>
      <c r="R51" s="204">
        <f t="shared" si="20"/>
        <v>0.022952638669621241</v>
      </c>
      <c r="S51" s="204">
        <f t="shared" si="20"/>
        <v>0.0096834071618230287</v>
      </c>
      <c r="T51" s="204">
        <f t="shared" si="20"/>
        <v>0.013147813638088113</v>
      </c>
      <c r="U51" s="204">
        <f t="shared" si="20"/>
        <v>0.0089995879196100911</v>
      </c>
      <c r="V51" s="204">
        <f t="shared" si="20"/>
        <v>0.011068564542776887</v>
      </c>
      <c r="W51" s="204">
        <f t="shared" si="20"/>
        <v>0.012123975996591383</v>
      </c>
      <c r="X51" s="204">
        <f t="shared" si="20"/>
        <v>0.03380685737119285</v>
      </c>
      <c r="Y51" s="204">
        <f t="shared" si="20"/>
        <v>0.014281978261391694</v>
      </c>
      <c r="Z51" s="204">
        <f t="shared" si="20"/>
        <v>0.010337305270348192</v>
      </c>
      <c r="AA51" s="204">
        <f t="shared" si="20"/>
        <v>0.01377083040000027</v>
      </c>
      <c r="AB51" s="204">
        <f t="shared" si="21"/>
        <v>0.014475115291988859</v>
      </c>
      <c r="AC51" s="204">
        <f t="shared" si="21"/>
        <v>0.0033922223745200338</v>
      </c>
      <c r="AD51" s="204">
        <f t="shared" si="21"/>
        <v>0.013580158435198093</v>
      </c>
      <c r="AE51" s="204">
        <f t="shared" si="21"/>
        <v>0.01750417053750743</v>
      </c>
      <c r="AF51" s="204">
        <f t="shared" si="21"/>
        <v>0.013092152363551957</v>
      </c>
      <c r="AG51" s="204">
        <f t="shared" si="21"/>
        <v>0.0045098439656730141</v>
      </c>
      <c r="AH51" s="204">
        <f t="shared" si="21"/>
        <v>0.011510236864337173</v>
      </c>
      <c r="AI51" s="204">
        <f t="shared" si="21"/>
        <v>0.016555363132555866</v>
      </c>
      <c r="AJ51" s="204">
        <f t="shared" si="21"/>
        <v>0.013076260051568433</v>
      </c>
      <c r="AK51" s="204">
        <f t="shared" si="21"/>
        <v>0.013724367289901254</v>
      </c>
      <c r="AL51" s="204">
        <f t="shared" si="22"/>
        <v>0.011352554818196066</v>
      </c>
      <c r="AM51" s="204">
        <f t="shared" si="22"/>
        <v>0.0058625348440774772</v>
      </c>
      <c r="AN51" s="204">
        <f t="shared" si="22"/>
        <v>0.0071342136626297726</v>
      </c>
      <c r="AO51" s="204">
        <f t="shared" si="22"/>
        <v>0.012868754583017037</v>
      </c>
      <c r="AP51" s="204">
        <f t="shared" si="22"/>
        <v>0.006546940631598509</v>
      </c>
      <c r="AQ51" s="204">
        <f t="shared" si="22"/>
        <v>0.0098651574509755324</v>
      </c>
      <c r="AR51" s="204">
        <f t="shared" si="22"/>
        <v>0.0066715363543053061</v>
      </c>
      <c r="AU51" s="217">
        <v>0.20</v>
      </c>
    </row>
    <row r="52" spans="1:47" ht="15">
      <c r="A52" s="2">
        <f t="shared" si="10"/>
        <v>0.24794153998779733</v>
      </c>
      <c r="C52" t="s">
        <v>853</v>
      </c>
      <c r="E52" s="201" t="s">
        <v>470</v>
      </c>
      <c r="F52" s="201"/>
      <c r="G52" s="201" t="s">
        <v>59</v>
      </c>
      <c r="H52" s="204">
        <f t="shared" si="19"/>
        <v>0.014233461071264287</v>
      </c>
      <c r="I52" s="204">
        <f t="shared" si="19"/>
        <v>0.017607811537583163</v>
      </c>
      <c r="J52" s="204">
        <f t="shared" si="19"/>
        <v>0.0061690150189345379</v>
      </c>
      <c r="K52" s="204">
        <f t="shared" si="19"/>
        <v>0.014590992308743576</v>
      </c>
      <c r="L52" s="204">
        <f t="shared" si="19"/>
        <v>0.0072689112296896409</v>
      </c>
      <c r="M52" s="204">
        <f t="shared" si="19"/>
        <v>0.01466253053104901</v>
      </c>
      <c r="N52" s="204">
        <f t="shared" si="19"/>
        <v>0.011711882854164938</v>
      </c>
      <c r="O52" s="204">
        <f t="shared" si="19"/>
        <v>0.011714435808222429</v>
      </c>
      <c r="P52" s="204">
        <f t="shared" si="19"/>
        <v>0.014843911513994903</v>
      </c>
      <c r="Q52" s="204">
        <f t="shared" si="19"/>
        <v>0.009429715678381724</v>
      </c>
      <c r="R52" s="204">
        <f t="shared" si="20"/>
        <v>0.022952638669621241</v>
      </c>
      <c r="S52" s="204">
        <f t="shared" si="20"/>
        <v>0.0096834071618230287</v>
      </c>
      <c r="T52" s="204">
        <f t="shared" si="20"/>
        <v>0.013147813638088113</v>
      </c>
      <c r="U52" s="204">
        <f t="shared" si="20"/>
        <v>0.0089995879196100911</v>
      </c>
      <c r="V52" s="204">
        <f t="shared" si="20"/>
        <v>0.011068564542776887</v>
      </c>
      <c r="W52" s="204">
        <f t="shared" si="20"/>
        <v>0.012123975996591383</v>
      </c>
      <c r="X52" s="204">
        <f t="shared" si="20"/>
        <v>0.03380685737119285</v>
      </c>
      <c r="Y52" s="204">
        <f t="shared" si="20"/>
        <v>0.014281978261391694</v>
      </c>
      <c r="Z52" s="204">
        <f t="shared" si="20"/>
        <v>0.010337305270348192</v>
      </c>
      <c r="AA52" s="204">
        <f t="shared" si="20"/>
        <v>0.01377083040000027</v>
      </c>
      <c r="AB52" s="204">
        <f t="shared" si="21"/>
        <v>0.014475115291988859</v>
      </c>
      <c r="AC52" s="204">
        <f t="shared" si="21"/>
        <v>0.0033922223745200338</v>
      </c>
      <c r="AD52" s="204">
        <f t="shared" si="21"/>
        <v>0.013580158435198093</v>
      </c>
      <c r="AE52" s="204">
        <f t="shared" si="21"/>
        <v>0.01750417053750743</v>
      </c>
      <c r="AF52" s="204">
        <f t="shared" si="21"/>
        <v>0.013092152363551957</v>
      </c>
      <c r="AG52" s="204">
        <f t="shared" si="21"/>
        <v>0.0045098439656730141</v>
      </c>
      <c r="AH52" s="204">
        <f t="shared" si="21"/>
        <v>0.011510236864337173</v>
      </c>
      <c r="AI52" s="204">
        <f t="shared" si="21"/>
        <v>0.016555363132555866</v>
      </c>
      <c r="AJ52" s="204">
        <f t="shared" si="21"/>
        <v>0.013076260051568433</v>
      </c>
      <c r="AK52" s="204">
        <f t="shared" si="21"/>
        <v>0.013724367289901254</v>
      </c>
      <c r="AL52" s="204">
        <f t="shared" si="22"/>
        <v>0.011352554818196066</v>
      </c>
      <c r="AM52" s="204">
        <f t="shared" si="22"/>
        <v>0.0058625348440774772</v>
      </c>
      <c r="AN52" s="204">
        <f t="shared" si="22"/>
        <v>0.0071342136626297726</v>
      </c>
      <c r="AO52" s="204">
        <f t="shared" si="22"/>
        <v>0.012868754583017037</v>
      </c>
      <c r="AP52" s="204">
        <f t="shared" si="22"/>
        <v>0.006546940631598509</v>
      </c>
      <c r="AQ52" s="204">
        <f t="shared" si="22"/>
        <v>0.0098651574509755324</v>
      </c>
      <c r="AR52" s="204">
        <f t="shared" si="22"/>
        <v>0.0066715363543053061</v>
      </c>
      <c r="AU52" s="217">
        <v>0.20</v>
      </c>
    </row>
    <row r="53" spans="1:47" ht="15">
      <c r="A53" s="2">
        <f t="shared" si="10"/>
        <v>0.24794153998779733</v>
      </c>
      <c r="C53" t="s">
        <v>854</v>
      </c>
      <c r="E53" s="201" t="s">
        <v>470</v>
      </c>
      <c r="F53" s="201"/>
      <c r="G53" s="201" t="s">
        <v>59</v>
      </c>
      <c r="H53" s="204">
        <f t="shared" si="19"/>
        <v>0.014233461071264287</v>
      </c>
      <c r="I53" s="204">
        <f t="shared" si="19"/>
        <v>0.017607811537583163</v>
      </c>
      <c r="J53" s="204">
        <f t="shared" si="19"/>
        <v>0.0061690150189345379</v>
      </c>
      <c r="K53" s="204">
        <f t="shared" si="19"/>
        <v>0.014590992308743576</v>
      </c>
      <c r="L53" s="204">
        <f t="shared" si="19"/>
        <v>0.0072689112296896409</v>
      </c>
      <c r="M53" s="204">
        <f t="shared" si="19"/>
        <v>0.01466253053104901</v>
      </c>
      <c r="N53" s="204">
        <f t="shared" si="19"/>
        <v>0.011711882854164938</v>
      </c>
      <c r="O53" s="204">
        <f t="shared" si="19"/>
        <v>0.011714435808222429</v>
      </c>
      <c r="P53" s="204">
        <f t="shared" si="19"/>
        <v>0.014843911513994903</v>
      </c>
      <c r="Q53" s="204">
        <f t="shared" si="19"/>
        <v>0.009429715678381724</v>
      </c>
      <c r="R53" s="204">
        <f t="shared" si="20"/>
        <v>0.022952638669621241</v>
      </c>
      <c r="S53" s="204">
        <f t="shared" si="20"/>
        <v>0.0096834071618230287</v>
      </c>
      <c r="T53" s="204">
        <f t="shared" si="20"/>
        <v>0.013147813638088113</v>
      </c>
      <c r="U53" s="204">
        <f t="shared" si="20"/>
        <v>0.0089995879196100911</v>
      </c>
      <c r="V53" s="204">
        <f t="shared" si="20"/>
        <v>0.011068564542776887</v>
      </c>
      <c r="W53" s="204">
        <f t="shared" si="20"/>
        <v>0.012123975996591383</v>
      </c>
      <c r="X53" s="204">
        <f t="shared" si="20"/>
        <v>0.03380685737119285</v>
      </c>
      <c r="Y53" s="204">
        <f t="shared" si="20"/>
        <v>0.014281978261391694</v>
      </c>
      <c r="Z53" s="204">
        <f t="shared" si="20"/>
        <v>0.010337305270348192</v>
      </c>
      <c r="AA53" s="204">
        <f t="shared" si="20"/>
        <v>0.01377083040000027</v>
      </c>
      <c r="AB53" s="204">
        <f t="shared" si="21"/>
        <v>0.014475115291988859</v>
      </c>
      <c r="AC53" s="204">
        <f t="shared" si="21"/>
        <v>0.0033922223745200338</v>
      </c>
      <c r="AD53" s="204">
        <f t="shared" si="21"/>
        <v>0.013580158435198093</v>
      </c>
      <c r="AE53" s="204">
        <f t="shared" si="21"/>
        <v>0.01750417053750743</v>
      </c>
      <c r="AF53" s="204">
        <f t="shared" si="21"/>
        <v>0.013092152363551957</v>
      </c>
      <c r="AG53" s="204">
        <f t="shared" si="21"/>
        <v>0.0045098439656730141</v>
      </c>
      <c r="AH53" s="204">
        <f t="shared" si="21"/>
        <v>0.011510236864337173</v>
      </c>
      <c r="AI53" s="204">
        <f t="shared" si="21"/>
        <v>0.016555363132555866</v>
      </c>
      <c r="AJ53" s="204">
        <f t="shared" si="21"/>
        <v>0.013076260051568433</v>
      </c>
      <c r="AK53" s="204">
        <f t="shared" si="21"/>
        <v>0.013724367289901254</v>
      </c>
      <c r="AL53" s="204">
        <f t="shared" si="22"/>
        <v>0.011352554818196066</v>
      </c>
      <c r="AM53" s="204">
        <f t="shared" si="22"/>
        <v>0.0058625348440774772</v>
      </c>
      <c r="AN53" s="204">
        <f t="shared" si="22"/>
        <v>0.0071342136626297726</v>
      </c>
      <c r="AO53" s="204">
        <f t="shared" si="22"/>
        <v>0.012868754583017037</v>
      </c>
      <c r="AP53" s="204">
        <f t="shared" si="22"/>
        <v>0.006546940631598509</v>
      </c>
      <c r="AQ53" s="204">
        <f t="shared" si="22"/>
        <v>0.0098651574509755324</v>
      </c>
      <c r="AR53" s="204">
        <f t="shared" si="22"/>
        <v>0.0066715363543053061</v>
      </c>
      <c r="AU53" s="217">
        <v>0.20</v>
      </c>
    </row>
    <row r="54" spans="1:47" ht="15">
      <c r="A54" s="2">
        <f t="shared" si="10"/>
        <v>0.24794153998779733</v>
      </c>
      <c r="C54" t="s">
        <v>855</v>
      </c>
      <c r="E54" s="201" t="s">
        <v>470</v>
      </c>
      <c r="F54" s="201"/>
      <c r="G54" s="201" t="s">
        <v>59</v>
      </c>
      <c r="H54" s="204">
        <f t="shared" si="19"/>
        <v>0.014233461071264287</v>
      </c>
      <c r="I54" s="204">
        <f t="shared" si="19"/>
        <v>0.017607811537583163</v>
      </c>
      <c r="J54" s="204">
        <f t="shared" si="19"/>
        <v>0.0061690150189345379</v>
      </c>
      <c r="K54" s="204">
        <f t="shared" si="19"/>
        <v>0.014590992308743576</v>
      </c>
      <c r="L54" s="204">
        <f t="shared" si="19"/>
        <v>0.0072689112296896409</v>
      </c>
      <c r="M54" s="204">
        <f t="shared" si="19"/>
        <v>0.01466253053104901</v>
      </c>
      <c r="N54" s="204">
        <f t="shared" si="19"/>
        <v>0.011711882854164938</v>
      </c>
      <c r="O54" s="204">
        <f t="shared" si="19"/>
        <v>0.011714435808222429</v>
      </c>
      <c r="P54" s="204">
        <f t="shared" si="19"/>
        <v>0.014843911513994903</v>
      </c>
      <c r="Q54" s="204">
        <f t="shared" si="19"/>
        <v>0.009429715678381724</v>
      </c>
      <c r="R54" s="204">
        <f t="shared" si="20"/>
        <v>0.022952638669621241</v>
      </c>
      <c r="S54" s="204">
        <f t="shared" si="20"/>
        <v>0.0096834071618230287</v>
      </c>
      <c r="T54" s="204">
        <f t="shared" si="20"/>
        <v>0.013147813638088113</v>
      </c>
      <c r="U54" s="204">
        <f t="shared" si="20"/>
        <v>0.0089995879196100911</v>
      </c>
      <c r="V54" s="204">
        <f t="shared" si="20"/>
        <v>0.011068564542776887</v>
      </c>
      <c r="W54" s="204">
        <f t="shared" si="20"/>
        <v>0.012123975996591383</v>
      </c>
      <c r="X54" s="204">
        <f t="shared" si="20"/>
        <v>0.03380685737119285</v>
      </c>
      <c r="Y54" s="204">
        <f t="shared" si="20"/>
        <v>0.014281978261391694</v>
      </c>
      <c r="Z54" s="204">
        <f t="shared" si="20"/>
        <v>0.010337305270348192</v>
      </c>
      <c r="AA54" s="204">
        <f t="shared" si="20"/>
        <v>0.01377083040000027</v>
      </c>
      <c r="AB54" s="204">
        <f t="shared" si="21"/>
        <v>0.014475115291988859</v>
      </c>
      <c r="AC54" s="204">
        <f t="shared" si="21"/>
        <v>0.0033922223745200338</v>
      </c>
      <c r="AD54" s="204">
        <f t="shared" si="21"/>
        <v>0.013580158435198093</v>
      </c>
      <c r="AE54" s="204">
        <f t="shared" si="21"/>
        <v>0.01750417053750743</v>
      </c>
      <c r="AF54" s="204">
        <f t="shared" si="21"/>
        <v>0.013092152363551957</v>
      </c>
      <c r="AG54" s="204">
        <f t="shared" si="21"/>
        <v>0.0045098439656730141</v>
      </c>
      <c r="AH54" s="204">
        <f t="shared" si="21"/>
        <v>0.011510236864337173</v>
      </c>
      <c r="AI54" s="204">
        <f t="shared" si="21"/>
        <v>0.016555363132555866</v>
      </c>
      <c r="AJ54" s="204">
        <f t="shared" si="21"/>
        <v>0.013076260051568433</v>
      </c>
      <c r="AK54" s="204">
        <f t="shared" si="21"/>
        <v>0.013724367289901254</v>
      </c>
      <c r="AL54" s="204">
        <f t="shared" si="22"/>
        <v>0.011352554818196066</v>
      </c>
      <c r="AM54" s="204">
        <f t="shared" si="22"/>
        <v>0.0058625348440774772</v>
      </c>
      <c r="AN54" s="204">
        <f t="shared" si="22"/>
        <v>0.0071342136626297726</v>
      </c>
      <c r="AO54" s="204">
        <f t="shared" si="22"/>
        <v>0.012868754583017037</v>
      </c>
      <c r="AP54" s="204">
        <f t="shared" si="22"/>
        <v>0.006546940631598509</v>
      </c>
      <c r="AQ54" s="204">
        <f t="shared" si="22"/>
        <v>0.0098651574509755324</v>
      </c>
      <c r="AR54" s="204">
        <f t="shared" si="22"/>
        <v>0.0066715363543053061</v>
      </c>
      <c r="AU54" s="217">
        <v>0.20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-0.249899998307228"/>
  </sheetPr>
  <dimension ref="A7:AS26"/>
  <sheetViews>
    <sheetView workbookViewId="0" topLeftCell="A1">
      <selection pane="topLeft" activeCell="A24" sqref="A24"/>
    </sheetView>
  </sheetViews>
  <sheetFormatPr defaultRowHeight="12.75"/>
  <cols>
    <col min="3" max="3" width="29" bestFit="1" customWidth="1"/>
    <col min="4" max="4" width="20.4285714285714" customWidth="1"/>
    <col min="5" max="5" width="16.5714285714286" customWidth="1"/>
    <col min="6" max="6" width="15.4285714285714" customWidth="1"/>
    <col min="7" max="7" width="9.85714285714286" customWidth="1"/>
    <col min="8" max="8" width="17" bestFit="1" customWidth="1"/>
  </cols>
  <sheetData>
    <row r="7" spans="10:10" ht="12.75">
      <c r="J7" t="s">
        <v>820</v>
      </c>
    </row>
    <row r="8" spans="10:10" ht="12.75">
      <c r="J8" t="s">
        <v>821</v>
      </c>
    </row>
    <row r="9" spans="6:45" ht="12.75">
      <c r="F9" s="214" t="s">
        <v>904</v>
      </c>
      <c r="G9" t="s">
        <v>90</v>
      </c>
      <c r="I9">
        <v>0.005</v>
      </c>
      <c r="J9">
        <v>0.005</v>
      </c>
      <c r="K9">
        <v>0.0040000000000000001</v>
      </c>
      <c r="L9">
        <v>0.0040000000000000001</v>
      </c>
      <c r="M9">
        <v>0.005</v>
      </c>
      <c r="N9">
        <v>0.0040000000000000001</v>
      </c>
      <c r="O9">
        <v>0.005</v>
      </c>
      <c r="P9">
        <v>0.005</v>
      </c>
      <c r="Q9">
        <v>0.0040000000000000001</v>
      </c>
      <c r="R9">
        <v>0.0060000000000000001</v>
      </c>
      <c r="S9">
        <v>0.0060000000000000001</v>
      </c>
      <c r="T9">
        <v>0.005</v>
      </c>
      <c r="U9">
        <v>0.005</v>
      </c>
      <c r="V9">
        <v>0.0040000000000000001</v>
      </c>
      <c r="W9">
        <v>0.0030000000000000001</v>
      </c>
      <c r="X9">
        <v>0.005</v>
      </c>
      <c r="Y9">
        <v>0.005</v>
      </c>
      <c r="Z9">
        <v>0.0040000000000000001</v>
      </c>
      <c r="AA9">
        <v>0.0040000000000000001</v>
      </c>
      <c r="AB9">
        <v>0.0040000000000000001</v>
      </c>
      <c r="AC9">
        <v>0.005</v>
      </c>
      <c r="AD9">
        <v>0.0040000000000000001</v>
      </c>
      <c r="AE9">
        <v>0.005</v>
      </c>
      <c r="AF9">
        <v>0.005</v>
      </c>
      <c r="AG9">
        <v>0.005</v>
      </c>
      <c r="AH9">
        <v>0.0070000000000000001</v>
      </c>
      <c r="AI9">
        <v>0.0030000000000000001</v>
      </c>
      <c r="AJ9">
        <v>0.005</v>
      </c>
      <c r="AK9">
        <v>0.0060000000000000001</v>
      </c>
      <c r="AL9">
        <v>0.005</v>
      </c>
      <c r="AM9">
        <v>0.005</v>
      </c>
      <c r="AN9">
        <v>0.005</v>
      </c>
      <c r="AO9">
        <v>0.002</v>
      </c>
      <c r="AP9">
        <v>0.0030000000000000001</v>
      </c>
      <c r="AQ9">
        <v>0.0030000000000000001</v>
      </c>
      <c r="AR9">
        <v>0.0030000000000000001</v>
      </c>
      <c r="AS9">
        <v>0.002</v>
      </c>
    </row>
    <row r="11" spans="3:3" ht="15">
      <c r="C11" s="86" t="s">
        <v>50</v>
      </c>
    </row>
    <row r="12" spans="3:45" ht="15.75" thickBot="1">
      <c r="C12" s="88" t="s">
        <v>48</v>
      </c>
      <c r="D12" s="88" t="s">
        <v>43</v>
      </c>
      <c r="E12" s="88" t="s">
        <v>35</v>
      </c>
      <c r="F12" s="88" t="s">
        <v>34</v>
      </c>
      <c r="G12" s="88" t="s">
        <v>39</v>
      </c>
      <c r="H12" s="88" t="s">
        <v>36</v>
      </c>
      <c r="I12" t="s">
        <v>0</v>
      </c>
      <c r="J12" t="s">
        <v>1</v>
      </c>
      <c r="K12" t="s">
        <v>30</v>
      </c>
      <c r="L12" t="s">
        <v>2</v>
      </c>
      <c r="M12" t="s">
        <v>3</v>
      </c>
      <c r="N12" t="s">
        <v>4</v>
      </c>
      <c r="O12" t="s">
        <v>5</v>
      </c>
      <c r="P12" t="s">
        <v>6</v>
      </c>
      <c r="Q12" t="s">
        <v>7</v>
      </c>
      <c r="R12" t="s">
        <v>8</v>
      </c>
      <c r="S12" t="s">
        <v>9</v>
      </c>
      <c r="T12" t="s">
        <v>10</v>
      </c>
      <c r="U12" t="s">
        <v>47</v>
      </c>
      <c r="V12" t="s">
        <v>31</v>
      </c>
      <c r="W12" t="s">
        <v>11</v>
      </c>
      <c r="X12" t="s">
        <v>12</v>
      </c>
      <c r="Y12" t="s">
        <v>13</v>
      </c>
      <c r="Z12" t="s">
        <v>27</v>
      </c>
      <c r="AA12" t="s">
        <v>14</v>
      </c>
      <c r="AB12" t="s">
        <v>15</v>
      </c>
      <c r="AC12" t="s">
        <v>16</v>
      </c>
      <c r="AD12" t="s">
        <v>17</v>
      </c>
      <c r="AE12" t="s">
        <v>18</v>
      </c>
      <c r="AF12" t="s">
        <v>19</v>
      </c>
      <c r="AG12" t="s">
        <v>20</v>
      </c>
      <c r="AH12" t="s">
        <v>21</v>
      </c>
      <c r="AI12" t="s">
        <v>22</v>
      </c>
      <c r="AJ12" t="s">
        <v>23</v>
      </c>
      <c r="AK12" t="s">
        <v>24</v>
      </c>
      <c r="AL12" t="s">
        <v>25</v>
      </c>
      <c r="AM12" t="s">
        <v>26</v>
      </c>
      <c r="AN12" t="s">
        <v>40</v>
      </c>
      <c r="AO12" t="s">
        <v>44</v>
      </c>
      <c r="AP12" t="s">
        <v>41</v>
      </c>
      <c r="AQ12" t="s">
        <v>32</v>
      </c>
      <c r="AR12" t="s">
        <v>42</v>
      </c>
      <c r="AS12" t="s">
        <v>45</v>
      </c>
    </row>
    <row r="13" spans="3:45" ht="12.75">
      <c r="C13" t="s">
        <v>860</v>
      </c>
      <c r="D13" t="s">
        <v>89</v>
      </c>
      <c r="E13" t="s">
        <v>470</v>
      </c>
      <c r="G13" t="str">
        <f>D13</f>
        <v>R_ES-DH-WatHeat</v>
      </c>
      <c r="I13">
        <v>0.010999999999999999</v>
      </c>
      <c r="J13">
        <v>0.01</v>
      </c>
      <c r="K13">
        <v>0.0080000000000000002</v>
      </c>
      <c r="L13">
        <v>0.0089999999999999993</v>
      </c>
      <c r="M13">
        <v>0.0089999999999999993</v>
      </c>
      <c r="N13">
        <v>0.0070000000000000001</v>
      </c>
      <c r="O13">
        <v>0.0089999999999999993</v>
      </c>
      <c r="P13">
        <v>0.01</v>
      </c>
      <c r="Q13">
        <v>0.0089999999999999993</v>
      </c>
      <c r="R13">
        <v>0.012</v>
      </c>
      <c r="S13">
        <v>0.010999999999999999</v>
      </c>
      <c r="T13">
        <v>0.01</v>
      </c>
      <c r="U13">
        <v>0.01</v>
      </c>
      <c r="V13">
        <v>0.0070000000000000001</v>
      </c>
      <c r="W13">
        <v>0.0060000000000000001</v>
      </c>
      <c r="X13">
        <v>0.010999999999999999</v>
      </c>
      <c r="Y13">
        <v>0.01</v>
      </c>
      <c r="Z13">
        <v>0.0080000000000000002</v>
      </c>
      <c r="AA13">
        <v>0.0070000000000000001</v>
      </c>
      <c r="AB13">
        <v>0.0080000000000000002</v>
      </c>
      <c r="AC13">
        <v>0.01</v>
      </c>
      <c r="AD13">
        <v>0.0080000000000000002</v>
      </c>
      <c r="AE13">
        <v>0.0089999999999999993</v>
      </c>
      <c r="AF13">
        <v>0.01</v>
      </c>
      <c r="AG13">
        <v>0.0089999999999999993</v>
      </c>
      <c r="AH13">
        <v>0.014</v>
      </c>
      <c r="AI13">
        <v>0.0060000000000000001</v>
      </c>
      <c r="AJ13">
        <v>0.0089999999999999993</v>
      </c>
      <c r="AK13">
        <v>0.012999999999999999</v>
      </c>
      <c r="AL13">
        <v>0.0089999999999999993</v>
      </c>
      <c r="AM13">
        <v>0.0089999999999999993</v>
      </c>
      <c r="AN13">
        <v>0.0089999999999999993</v>
      </c>
      <c r="AO13">
        <v>0.005</v>
      </c>
      <c r="AP13">
        <v>0.0070000000000000001</v>
      </c>
      <c r="AQ13">
        <v>0.005</v>
      </c>
      <c r="AR13">
        <v>0.0060000000000000001</v>
      </c>
      <c r="AS13">
        <v>0.0040000000000000001</v>
      </c>
    </row>
    <row r="14" spans="3:45" ht="12.75">
      <c r="C14" t="s">
        <v>860</v>
      </c>
      <c r="D14" t="s">
        <v>91</v>
      </c>
      <c r="E14" t="s">
        <v>470</v>
      </c>
      <c r="G14" t="str">
        <f>D14</f>
        <v>R_ES-SD-WatHeat</v>
      </c>
      <c r="I14">
        <v>0.010999999999999999</v>
      </c>
      <c r="J14">
        <v>0.01</v>
      </c>
      <c r="K14">
        <v>0.0080000000000000002</v>
      </c>
      <c r="L14">
        <v>0.0089999999999999993</v>
      </c>
      <c r="M14">
        <v>0.0089999999999999993</v>
      </c>
      <c r="N14">
        <v>0.0070000000000000001</v>
      </c>
      <c r="O14">
        <v>0.0089999999999999993</v>
      </c>
      <c r="P14">
        <v>0.01</v>
      </c>
      <c r="Q14">
        <v>0.0089999999999999993</v>
      </c>
      <c r="R14">
        <v>0.012</v>
      </c>
      <c r="S14">
        <v>0.010999999999999999</v>
      </c>
      <c r="T14">
        <v>0.01</v>
      </c>
      <c r="U14">
        <v>0.01</v>
      </c>
      <c r="V14">
        <v>0.0070000000000000001</v>
      </c>
      <c r="W14">
        <v>0.0060000000000000001</v>
      </c>
      <c r="X14">
        <v>0.010999999999999999</v>
      </c>
      <c r="Y14">
        <v>0.01</v>
      </c>
      <c r="Z14">
        <v>0.0080000000000000002</v>
      </c>
      <c r="AA14">
        <v>0.0070000000000000001</v>
      </c>
      <c r="AB14">
        <v>0.0080000000000000002</v>
      </c>
      <c r="AC14">
        <v>0.01</v>
      </c>
      <c r="AD14">
        <v>0.0080000000000000002</v>
      </c>
      <c r="AE14">
        <v>0.0089999999999999993</v>
      </c>
      <c r="AF14">
        <v>0.01</v>
      </c>
      <c r="AG14">
        <v>0.0089999999999999993</v>
      </c>
      <c r="AH14">
        <v>0.014</v>
      </c>
      <c r="AI14">
        <v>0.0060000000000000001</v>
      </c>
      <c r="AJ14">
        <v>0.0089999999999999993</v>
      </c>
      <c r="AK14">
        <v>0.012999999999999999</v>
      </c>
      <c r="AL14">
        <v>0.0089999999999999993</v>
      </c>
      <c r="AM14">
        <v>0.0089999999999999993</v>
      </c>
      <c r="AN14">
        <v>0.0089999999999999993</v>
      </c>
      <c r="AO14">
        <v>0.005</v>
      </c>
      <c r="AP14">
        <v>0.0070000000000000001</v>
      </c>
      <c r="AQ14">
        <v>0.005</v>
      </c>
      <c r="AR14">
        <v>0.0060000000000000001</v>
      </c>
      <c r="AS14">
        <v>0.0040000000000000001</v>
      </c>
    </row>
    <row r="15" spans="3:45" ht="12.75">
      <c r="C15" t="s">
        <v>860</v>
      </c>
      <c r="D15" t="s">
        <v>90</v>
      </c>
      <c r="E15" t="s">
        <v>470</v>
      </c>
      <c r="G15" t="str">
        <f>D15</f>
        <v>R_ES-FL-WatHeat</v>
      </c>
      <c r="I15">
        <f>MAX(I9,I13)</f>
        <v>0.010999999999999999</v>
      </c>
      <c r="J15">
        <f t="shared" si="0" ref="J15:AS15">MAX(J9,J13)</f>
        <v>0.01</v>
      </c>
      <c r="K15">
        <f t="shared" si="0"/>
        <v>0.0080000000000000002</v>
      </c>
      <c r="L15">
        <f t="shared" si="0"/>
        <v>0.0089999999999999993</v>
      </c>
      <c r="M15">
        <f t="shared" si="0"/>
        <v>0.0089999999999999993</v>
      </c>
      <c r="N15">
        <f t="shared" si="0"/>
        <v>0.0070000000000000001</v>
      </c>
      <c r="O15">
        <f t="shared" si="0"/>
        <v>0.0089999999999999993</v>
      </c>
      <c r="P15">
        <f t="shared" si="0"/>
        <v>0.01</v>
      </c>
      <c r="Q15">
        <f t="shared" si="0"/>
        <v>0.0089999999999999993</v>
      </c>
      <c r="R15">
        <f t="shared" si="0"/>
        <v>0.012</v>
      </c>
      <c r="S15">
        <f t="shared" si="0"/>
        <v>0.010999999999999999</v>
      </c>
      <c r="T15">
        <f t="shared" si="0"/>
        <v>0.01</v>
      </c>
      <c r="U15">
        <f t="shared" si="0"/>
        <v>0.01</v>
      </c>
      <c r="V15">
        <f t="shared" si="0"/>
        <v>0.0070000000000000001</v>
      </c>
      <c r="W15">
        <f t="shared" si="0"/>
        <v>0.0060000000000000001</v>
      </c>
      <c r="X15">
        <f t="shared" si="0"/>
        <v>0.010999999999999999</v>
      </c>
      <c r="Y15">
        <f t="shared" si="0"/>
        <v>0.01</v>
      </c>
      <c r="Z15">
        <f t="shared" si="0"/>
        <v>0.0080000000000000002</v>
      </c>
      <c r="AA15">
        <f t="shared" si="0"/>
        <v>0.0070000000000000001</v>
      </c>
      <c r="AB15">
        <f t="shared" si="0"/>
        <v>0.0080000000000000002</v>
      </c>
      <c r="AC15">
        <f t="shared" si="0"/>
        <v>0.01</v>
      </c>
      <c r="AD15">
        <f t="shared" si="0"/>
        <v>0.0080000000000000002</v>
      </c>
      <c r="AE15">
        <f t="shared" si="0"/>
        <v>0.0089999999999999993</v>
      </c>
      <c r="AF15">
        <f t="shared" si="0"/>
        <v>0.01</v>
      </c>
      <c r="AG15">
        <f t="shared" si="0"/>
        <v>0.0089999999999999993</v>
      </c>
      <c r="AH15">
        <f t="shared" si="0"/>
        <v>0.014</v>
      </c>
      <c r="AI15">
        <f t="shared" si="0"/>
        <v>0.0060000000000000001</v>
      </c>
      <c r="AJ15">
        <f t="shared" si="0"/>
        <v>0.0089999999999999993</v>
      </c>
      <c r="AK15">
        <f t="shared" si="0"/>
        <v>0.012999999999999999</v>
      </c>
      <c r="AL15">
        <f t="shared" si="0"/>
        <v>0.0089999999999999993</v>
      </c>
      <c r="AM15">
        <f t="shared" si="0"/>
        <v>0.0089999999999999993</v>
      </c>
      <c r="AN15">
        <f t="shared" si="0"/>
        <v>0.0089999999999999993</v>
      </c>
      <c r="AO15">
        <f t="shared" si="0"/>
        <v>0.0050000000000000001</v>
      </c>
      <c r="AP15">
        <f t="shared" si="0"/>
        <v>0.0070000000000000001</v>
      </c>
      <c r="AQ15">
        <f t="shared" si="0"/>
        <v>0.0050000000000000001</v>
      </c>
      <c r="AR15">
        <f t="shared" si="0"/>
        <v>0.0060000000000000001</v>
      </c>
      <c r="AS15">
        <f t="shared" si="0"/>
        <v>0.0040000000000000001</v>
      </c>
    </row>
    <row r="16" spans="1:45" ht="15">
      <c r="A16">
        <v>0.50</v>
      </c>
      <c r="C16" t="s">
        <v>832</v>
      </c>
      <c r="E16" s="201" t="s">
        <v>470</v>
      </c>
      <c r="F16" s="201"/>
      <c r="G16" s="201" t="s">
        <v>90</v>
      </c>
      <c r="I16" s="204">
        <f t="shared" si="1" ref="I16:R17">I$15*$A16</f>
        <v>0.0054999999999999997</v>
      </c>
      <c r="J16" s="204">
        <f t="shared" si="1"/>
        <v>0.0050000000000000001</v>
      </c>
      <c r="K16" s="204">
        <f t="shared" si="1"/>
        <v>0.0040000000000000001</v>
      </c>
      <c r="L16" s="204">
        <f t="shared" si="1"/>
        <v>0.0044999999999999997</v>
      </c>
      <c r="M16" s="204">
        <f t="shared" si="1"/>
        <v>0.0044999999999999997</v>
      </c>
      <c r="N16" s="204">
        <f t="shared" si="1"/>
        <v>0.0035000000000000001</v>
      </c>
      <c r="O16" s="204">
        <f t="shared" si="1"/>
        <v>0.0044999999999999997</v>
      </c>
      <c r="P16" s="204">
        <f t="shared" si="1"/>
        <v>0.0050000000000000001</v>
      </c>
      <c r="Q16" s="204">
        <f t="shared" si="1"/>
        <v>0.0044999999999999997</v>
      </c>
      <c r="R16" s="204">
        <f t="shared" si="1"/>
        <v>0.0060000000000000001</v>
      </c>
      <c r="S16" s="204">
        <f t="shared" si="2" ref="S16:AB17">S$15*$A16</f>
        <v>0.0054999999999999997</v>
      </c>
      <c r="T16" s="204">
        <f t="shared" si="2"/>
        <v>0.0050000000000000001</v>
      </c>
      <c r="U16" s="204">
        <f t="shared" si="2"/>
        <v>0.0050000000000000001</v>
      </c>
      <c r="V16" s="204">
        <f t="shared" si="2"/>
        <v>0.0035000000000000001</v>
      </c>
      <c r="W16" s="204">
        <f t="shared" si="2"/>
        <v>0.0030000000000000001</v>
      </c>
      <c r="X16" s="204">
        <f t="shared" si="2"/>
        <v>0.0054999999999999997</v>
      </c>
      <c r="Y16" s="204">
        <f t="shared" si="2"/>
        <v>0.0050000000000000001</v>
      </c>
      <c r="Z16" s="204">
        <f t="shared" si="2"/>
        <v>0.0040000000000000001</v>
      </c>
      <c r="AA16" s="204">
        <f t="shared" si="2"/>
        <v>0.0035000000000000001</v>
      </c>
      <c r="AB16" s="204">
        <f t="shared" si="2"/>
        <v>0.0040000000000000001</v>
      </c>
      <c r="AC16" s="204">
        <f t="shared" si="3" ref="AC16:AL17">AC$15*$A16</f>
        <v>0.0050000000000000001</v>
      </c>
      <c r="AD16" s="204">
        <f t="shared" si="3"/>
        <v>0.0040000000000000001</v>
      </c>
      <c r="AE16" s="204">
        <f t="shared" si="3"/>
        <v>0.0044999999999999997</v>
      </c>
      <c r="AF16" s="204">
        <f t="shared" si="3"/>
        <v>0.0050000000000000001</v>
      </c>
      <c r="AG16" s="204">
        <f t="shared" si="3"/>
        <v>0.0044999999999999997</v>
      </c>
      <c r="AH16" s="204">
        <f t="shared" si="3"/>
        <v>0.0070000000000000001</v>
      </c>
      <c r="AI16" s="204">
        <f t="shared" si="3"/>
        <v>0.0030000000000000001</v>
      </c>
      <c r="AJ16" s="204">
        <f t="shared" si="3"/>
        <v>0.0044999999999999997</v>
      </c>
      <c r="AK16" s="204">
        <f t="shared" si="3"/>
        <v>0.0064999999999999997</v>
      </c>
      <c r="AL16" s="204">
        <f t="shared" si="3"/>
        <v>0.0044999999999999997</v>
      </c>
      <c r="AM16" s="204">
        <f t="shared" si="4" ref="AM16:AS17">AM$15*$A16</f>
        <v>0.0044999999999999997</v>
      </c>
      <c r="AN16" s="204">
        <f t="shared" si="4"/>
        <v>0.0044999999999999997</v>
      </c>
      <c r="AO16" s="204">
        <f t="shared" si="4"/>
        <v>0.0025000000000000001</v>
      </c>
      <c r="AP16" s="204">
        <f t="shared" si="4"/>
        <v>0.0035000000000000001</v>
      </c>
      <c r="AQ16" s="204">
        <f t="shared" si="4"/>
        <v>0.0025000000000000001</v>
      </c>
      <c r="AR16" s="204">
        <f t="shared" si="4"/>
        <v>0.0030000000000000001</v>
      </c>
      <c r="AS16" s="204">
        <f t="shared" si="4"/>
        <v>0.002</v>
      </c>
    </row>
    <row r="17" spans="1:45" ht="15">
      <c r="A17">
        <v>0.50</v>
      </c>
      <c r="C17" t="s">
        <v>834</v>
      </c>
      <c r="E17" s="201" t="s">
        <v>470</v>
      </c>
      <c r="F17" s="201"/>
      <c r="G17" s="201" t="s">
        <v>90</v>
      </c>
      <c r="I17" s="204">
        <f t="shared" si="1"/>
        <v>0.0054999999999999997</v>
      </c>
      <c r="J17" s="204">
        <f t="shared" si="1"/>
        <v>0.0050000000000000001</v>
      </c>
      <c r="K17" s="204">
        <f t="shared" si="1"/>
        <v>0.0040000000000000001</v>
      </c>
      <c r="L17" s="204">
        <f t="shared" si="1"/>
        <v>0.0044999999999999997</v>
      </c>
      <c r="M17" s="204">
        <f t="shared" si="1"/>
        <v>0.0044999999999999997</v>
      </c>
      <c r="N17" s="204">
        <f t="shared" si="1"/>
        <v>0.0035000000000000001</v>
      </c>
      <c r="O17" s="204">
        <f t="shared" si="1"/>
        <v>0.0044999999999999997</v>
      </c>
      <c r="P17" s="204">
        <f t="shared" si="1"/>
        <v>0.0050000000000000001</v>
      </c>
      <c r="Q17" s="204">
        <f t="shared" si="1"/>
        <v>0.0044999999999999997</v>
      </c>
      <c r="R17" s="204">
        <f t="shared" si="1"/>
        <v>0.0060000000000000001</v>
      </c>
      <c r="S17" s="204">
        <f t="shared" si="2"/>
        <v>0.0054999999999999997</v>
      </c>
      <c r="T17" s="204">
        <f t="shared" si="2"/>
        <v>0.0050000000000000001</v>
      </c>
      <c r="U17" s="204">
        <f t="shared" si="2"/>
        <v>0.0050000000000000001</v>
      </c>
      <c r="V17" s="204">
        <f t="shared" si="2"/>
        <v>0.0035000000000000001</v>
      </c>
      <c r="W17" s="204">
        <f t="shared" si="2"/>
        <v>0.0030000000000000001</v>
      </c>
      <c r="X17" s="204">
        <f t="shared" si="2"/>
        <v>0.0054999999999999997</v>
      </c>
      <c r="Y17" s="204">
        <f t="shared" si="2"/>
        <v>0.0050000000000000001</v>
      </c>
      <c r="Z17" s="204">
        <f t="shared" si="2"/>
        <v>0.0040000000000000001</v>
      </c>
      <c r="AA17" s="204">
        <f t="shared" si="2"/>
        <v>0.0035000000000000001</v>
      </c>
      <c r="AB17" s="204">
        <f t="shared" si="2"/>
        <v>0.0040000000000000001</v>
      </c>
      <c r="AC17" s="204">
        <f t="shared" si="3"/>
        <v>0.0050000000000000001</v>
      </c>
      <c r="AD17" s="204">
        <f t="shared" si="3"/>
        <v>0.0040000000000000001</v>
      </c>
      <c r="AE17" s="204">
        <f t="shared" si="3"/>
        <v>0.0044999999999999997</v>
      </c>
      <c r="AF17" s="204">
        <f t="shared" si="3"/>
        <v>0.0050000000000000001</v>
      </c>
      <c r="AG17" s="204">
        <f t="shared" si="3"/>
        <v>0.0044999999999999997</v>
      </c>
      <c r="AH17" s="204">
        <f t="shared" si="3"/>
        <v>0.0070000000000000001</v>
      </c>
      <c r="AI17" s="204">
        <f t="shared" si="3"/>
        <v>0.0030000000000000001</v>
      </c>
      <c r="AJ17" s="204">
        <f t="shared" si="3"/>
        <v>0.0044999999999999997</v>
      </c>
      <c r="AK17" s="204">
        <f t="shared" si="3"/>
        <v>0.0064999999999999997</v>
      </c>
      <c r="AL17" s="204">
        <f t="shared" si="3"/>
        <v>0.0044999999999999997</v>
      </c>
      <c r="AM17" s="204">
        <f t="shared" si="4"/>
        <v>0.0044999999999999997</v>
      </c>
      <c r="AN17" s="204">
        <f t="shared" si="4"/>
        <v>0.0044999999999999997</v>
      </c>
      <c r="AO17" s="204">
        <f t="shared" si="4"/>
        <v>0.0025000000000000001</v>
      </c>
      <c r="AP17" s="204">
        <f t="shared" si="4"/>
        <v>0.0035000000000000001</v>
      </c>
      <c r="AQ17" s="204">
        <f t="shared" si="4"/>
        <v>0.0025000000000000001</v>
      </c>
      <c r="AR17" s="204">
        <f t="shared" si="4"/>
        <v>0.0030000000000000001</v>
      </c>
      <c r="AS17" s="204">
        <f t="shared" si="4"/>
        <v>0.002</v>
      </c>
    </row>
    <row r="18" spans="1:45" ht="15">
      <c r="A18">
        <v>0.50</v>
      </c>
      <c r="C18" t="s">
        <v>824</v>
      </c>
      <c r="E18" s="201" t="s">
        <v>470</v>
      </c>
      <c r="F18" s="201"/>
      <c r="G18" s="201" t="s">
        <v>89</v>
      </c>
      <c r="I18" s="204">
        <f t="shared" si="5" ref="I18:R26">I$13*$A18</f>
        <v>0.0054999999999999997</v>
      </c>
      <c r="J18" s="204">
        <f t="shared" si="5"/>
        <v>0.0050000000000000001</v>
      </c>
      <c r="K18" s="204">
        <f t="shared" si="5"/>
        <v>0.0040000000000000001</v>
      </c>
      <c r="L18" s="204">
        <f t="shared" si="5"/>
        <v>0.0044999999999999997</v>
      </c>
      <c r="M18" s="204">
        <f t="shared" si="5"/>
        <v>0.0044999999999999997</v>
      </c>
      <c r="N18" s="204">
        <f t="shared" si="5"/>
        <v>0.0035000000000000001</v>
      </c>
      <c r="O18" s="204">
        <f t="shared" si="5"/>
        <v>0.0044999999999999997</v>
      </c>
      <c r="P18" s="204">
        <f t="shared" si="5"/>
        <v>0.0050000000000000001</v>
      </c>
      <c r="Q18" s="204">
        <f t="shared" si="5"/>
        <v>0.0044999999999999997</v>
      </c>
      <c r="R18" s="204">
        <f t="shared" si="5"/>
        <v>0.0060000000000000001</v>
      </c>
      <c r="S18" s="204">
        <f t="shared" si="6" ref="S18:AB26">S$13*$A18</f>
        <v>0.0054999999999999997</v>
      </c>
      <c r="T18" s="204">
        <f t="shared" si="6"/>
        <v>0.0050000000000000001</v>
      </c>
      <c r="U18" s="204">
        <f t="shared" si="6"/>
        <v>0.0050000000000000001</v>
      </c>
      <c r="V18" s="204">
        <f t="shared" si="6"/>
        <v>0.0035000000000000001</v>
      </c>
      <c r="W18" s="204">
        <f t="shared" si="6"/>
        <v>0.0030000000000000001</v>
      </c>
      <c r="X18" s="204">
        <f t="shared" si="6"/>
        <v>0.0054999999999999997</v>
      </c>
      <c r="Y18" s="204">
        <f t="shared" si="6"/>
        <v>0.0050000000000000001</v>
      </c>
      <c r="Z18" s="204">
        <f t="shared" si="6"/>
        <v>0.0040000000000000001</v>
      </c>
      <c r="AA18" s="204">
        <f t="shared" si="6"/>
        <v>0.0035000000000000001</v>
      </c>
      <c r="AB18" s="204">
        <f t="shared" si="6"/>
        <v>0.0040000000000000001</v>
      </c>
      <c r="AC18" s="204">
        <f t="shared" si="7" ref="AC18:AL26">AC$13*$A18</f>
        <v>0.0050000000000000001</v>
      </c>
      <c r="AD18" s="204">
        <f t="shared" si="7"/>
        <v>0.0040000000000000001</v>
      </c>
      <c r="AE18" s="204">
        <f t="shared" si="7"/>
        <v>0.0044999999999999997</v>
      </c>
      <c r="AF18" s="204">
        <f t="shared" si="7"/>
        <v>0.0050000000000000001</v>
      </c>
      <c r="AG18" s="204">
        <f t="shared" si="7"/>
        <v>0.0044999999999999997</v>
      </c>
      <c r="AH18" s="204">
        <f t="shared" si="7"/>
        <v>0.0070000000000000001</v>
      </c>
      <c r="AI18" s="204">
        <f t="shared" si="7"/>
        <v>0.0030000000000000001</v>
      </c>
      <c r="AJ18" s="204">
        <f t="shared" si="7"/>
        <v>0.0044999999999999997</v>
      </c>
      <c r="AK18" s="204">
        <f t="shared" si="7"/>
        <v>0.0064999999999999997</v>
      </c>
      <c r="AL18" s="204">
        <f t="shared" si="7"/>
        <v>0.0044999999999999997</v>
      </c>
      <c r="AM18" s="204">
        <f t="shared" si="8" ref="AM18:AS26">AM$13*$A18</f>
        <v>0.0044999999999999997</v>
      </c>
      <c r="AN18" s="204">
        <f t="shared" si="8"/>
        <v>0.0044999999999999997</v>
      </c>
      <c r="AO18" s="204">
        <f t="shared" si="8"/>
        <v>0.0025000000000000001</v>
      </c>
      <c r="AP18" s="204">
        <f t="shared" si="8"/>
        <v>0.0035000000000000001</v>
      </c>
      <c r="AQ18" s="204">
        <f t="shared" si="8"/>
        <v>0.0025000000000000001</v>
      </c>
      <c r="AR18" s="204">
        <f t="shared" si="8"/>
        <v>0.0030000000000000001</v>
      </c>
      <c r="AS18" s="204">
        <f t="shared" si="8"/>
        <v>0.002</v>
      </c>
    </row>
    <row r="19" spans="1:45" ht="15">
      <c r="A19">
        <v>0.50</v>
      </c>
      <c r="C19" t="s">
        <v>826</v>
      </c>
      <c r="E19" s="201" t="s">
        <v>470</v>
      </c>
      <c r="F19" s="201"/>
      <c r="G19" s="201" t="s">
        <v>89</v>
      </c>
      <c r="I19" s="204">
        <f t="shared" si="5"/>
        <v>0.0054999999999999997</v>
      </c>
      <c r="J19" s="204">
        <f t="shared" si="5"/>
        <v>0.0050000000000000001</v>
      </c>
      <c r="K19" s="204">
        <f t="shared" si="5"/>
        <v>0.0040000000000000001</v>
      </c>
      <c r="L19" s="204">
        <f t="shared" si="5"/>
        <v>0.0044999999999999997</v>
      </c>
      <c r="M19" s="204">
        <f t="shared" si="5"/>
        <v>0.0044999999999999997</v>
      </c>
      <c r="N19" s="204">
        <f t="shared" si="5"/>
        <v>0.0035000000000000001</v>
      </c>
      <c r="O19" s="204">
        <f t="shared" si="5"/>
        <v>0.0044999999999999997</v>
      </c>
      <c r="P19" s="204">
        <f t="shared" si="5"/>
        <v>0.0050000000000000001</v>
      </c>
      <c r="Q19" s="204">
        <f t="shared" si="5"/>
        <v>0.0044999999999999997</v>
      </c>
      <c r="R19" s="204">
        <f t="shared" si="5"/>
        <v>0.0060000000000000001</v>
      </c>
      <c r="S19" s="204">
        <f t="shared" si="6"/>
        <v>0.0054999999999999997</v>
      </c>
      <c r="T19" s="204">
        <f t="shared" si="6"/>
        <v>0.0050000000000000001</v>
      </c>
      <c r="U19" s="204">
        <f t="shared" si="6"/>
        <v>0.0050000000000000001</v>
      </c>
      <c r="V19" s="204">
        <f t="shared" si="6"/>
        <v>0.0035000000000000001</v>
      </c>
      <c r="W19" s="204">
        <f t="shared" si="6"/>
        <v>0.0030000000000000001</v>
      </c>
      <c r="X19" s="204">
        <f t="shared" si="6"/>
        <v>0.0054999999999999997</v>
      </c>
      <c r="Y19" s="204">
        <f t="shared" si="6"/>
        <v>0.0050000000000000001</v>
      </c>
      <c r="Z19" s="204">
        <f t="shared" si="6"/>
        <v>0.0040000000000000001</v>
      </c>
      <c r="AA19" s="204">
        <f t="shared" si="6"/>
        <v>0.0035000000000000001</v>
      </c>
      <c r="AB19" s="204">
        <f t="shared" si="6"/>
        <v>0.0040000000000000001</v>
      </c>
      <c r="AC19" s="204">
        <f t="shared" si="7"/>
        <v>0.0050000000000000001</v>
      </c>
      <c r="AD19" s="204">
        <f t="shared" si="7"/>
        <v>0.0040000000000000001</v>
      </c>
      <c r="AE19" s="204">
        <f t="shared" si="7"/>
        <v>0.0044999999999999997</v>
      </c>
      <c r="AF19" s="204">
        <f t="shared" si="7"/>
        <v>0.0050000000000000001</v>
      </c>
      <c r="AG19" s="204">
        <f t="shared" si="7"/>
        <v>0.0044999999999999997</v>
      </c>
      <c r="AH19" s="204">
        <f t="shared" si="7"/>
        <v>0.0070000000000000001</v>
      </c>
      <c r="AI19" s="204">
        <f t="shared" si="7"/>
        <v>0.0030000000000000001</v>
      </c>
      <c r="AJ19" s="204">
        <f t="shared" si="7"/>
        <v>0.0044999999999999997</v>
      </c>
      <c r="AK19" s="204">
        <f t="shared" si="7"/>
        <v>0.0064999999999999997</v>
      </c>
      <c r="AL19" s="204">
        <f t="shared" si="7"/>
        <v>0.0044999999999999997</v>
      </c>
      <c r="AM19" s="204">
        <f t="shared" si="8"/>
        <v>0.0044999999999999997</v>
      </c>
      <c r="AN19" s="204">
        <f t="shared" si="8"/>
        <v>0.0044999999999999997</v>
      </c>
      <c r="AO19" s="204">
        <f t="shared" si="8"/>
        <v>0.0025000000000000001</v>
      </c>
      <c r="AP19" s="204">
        <f t="shared" si="8"/>
        <v>0.0035000000000000001</v>
      </c>
      <c r="AQ19" s="204">
        <f t="shared" si="8"/>
        <v>0.0025000000000000001</v>
      </c>
      <c r="AR19" s="204">
        <f t="shared" si="8"/>
        <v>0.0030000000000000001</v>
      </c>
      <c r="AS19" s="204">
        <f t="shared" si="8"/>
        <v>0.002</v>
      </c>
    </row>
    <row r="20" spans="1:45" ht="15">
      <c r="A20">
        <v>0.50</v>
      </c>
      <c r="C20" t="s">
        <v>840</v>
      </c>
      <c r="E20" s="201" t="s">
        <v>470</v>
      </c>
      <c r="F20" s="201"/>
      <c r="G20" s="201" t="s">
        <v>89</v>
      </c>
      <c r="I20" s="204">
        <f t="shared" si="5"/>
        <v>0.0054999999999999997</v>
      </c>
      <c r="J20" s="204">
        <f t="shared" si="5"/>
        <v>0.0050000000000000001</v>
      </c>
      <c r="K20" s="204">
        <f t="shared" si="5"/>
        <v>0.0040000000000000001</v>
      </c>
      <c r="L20" s="204">
        <f t="shared" si="5"/>
        <v>0.0044999999999999997</v>
      </c>
      <c r="M20" s="204">
        <f t="shared" si="5"/>
        <v>0.0044999999999999997</v>
      </c>
      <c r="N20" s="204">
        <f t="shared" si="5"/>
        <v>0.0035000000000000001</v>
      </c>
      <c r="O20" s="204">
        <f t="shared" si="5"/>
        <v>0.0044999999999999997</v>
      </c>
      <c r="P20" s="204">
        <f t="shared" si="5"/>
        <v>0.0050000000000000001</v>
      </c>
      <c r="Q20" s="204">
        <f t="shared" si="5"/>
        <v>0.0044999999999999997</v>
      </c>
      <c r="R20" s="204">
        <f t="shared" si="5"/>
        <v>0.0060000000000000001</v>
      </c>
      <c r="S20" s="204">
        <f t="shared" si="6"/>
        <v>0.0054999999999999997</v>
      </c>
      <c r="T20" s="204">
        <f t="shared" si="6"/>
        <v>0.0050000000000000001</v>
      </c>
      <c r="U20" s="204">
        <f t="shared" si="6"/>
        <v>0.0050000000000000001</v>
      </c>
      <c r="V20" s="204">
        <f t="shared" si="6"/>
        <v>0.0035000000000000001</v>
      </c>
      <c r="W20" s="204">
        <f t="shared" si="6"/>
        <v>0.0030000000000000001</v>
      </c>
      <c r="X20" s="204">
        <f t="shared" si="6"/>
        <v>0.0054999999999999997</v>
      </c>
      <c r="Y20" s="204">
        <f t="shared" si="6"/>
        <v>0.0050000000000000001</v>
      </c>
      <c r="Z20" s="204">
        <f t="shared" si="6"/>
        <v>0.0040000000000000001</v>
      </c>
      <c r="AA20" s="204">
        <f t="shared" si="6"/>
        <v>0.0035000000000000001</v>
      </c>
      <c r="AB20" s="204">
        <f t="shared" si="6"/>
        <v>0.0040000000000000001</v>
      </c>
      <c r="AC20" s="204">
        <f t="shared" si="7"/>
        <v>0.0050000000000000001</v>
      </c>
      <c r="AD20" s="204">
        <f t="shared" si="7"/>
        <v>0.0040000000000000001</v>
      </c>
      <c r="AE20" s="204">
        <f t="shared" si="7"/>
        <v>0.0044999999999999997</v>
      </c>
      <c r="AF20" s="204">
        <f t="shared" si="7"/>
        <v>0.0050000000000000001</v>
      </c>
      <c r="AG20" s="204">
        <f t="shared" si="7"/>
        <v>0.0044999999999999997</v>
      </c>
      <c r="AH20" s="204">
        <f t="shared" si="7"/>
        <v>0.0070000000000000001</v>
      </c>
      <c r="AI20" s="204">
        <f t="shared" si="7"/>
        <v>0.0030000000000000001</v>
      </c>
      <c r="AJ20" s="204">
        <f t="shared" si="7"/>
        <v>0.0044999999999999997</v>
      </c>
      <c r="AK20" s="204">
        <f t="shared" si="7"/>
        <v>0.0064999999999999997</v>
      </c>
      <c r="AL20" s="204">
        <f t="shared" si="7"/>
        <v>0.0044999999999999997</v>
      </c>
      <c r="AM20" s="204">
        <f t="shared" si="8"/>
        <v>0.0044999999999999997</v>
      </c>
      <c r="AN20" s="204">
        <f t="shared" si="8"/>
        <v>0.0044999999999999997</v>
      </c>
      <c r="AO20" s="204">
        <f t="shared" si="8"/>
        <v>0.0025000000000000001</v>
      </c>
      <c r="AP20" s="204">
        <f t="shared" si="8"/>
        <v>0.0035000000000000001</v>
      </c>
      <c r="AQ20" s="204">
        <f t="shared" si="8"/>
        <v>0.0025000000000000001</v>
      </c>
      <c r="AR20" s="204">
        <f t="shared" si="8"/>
        <v>0.0030000000000000001</v>
      </c>
      <c r="AS20" s="204">
        <f t="shared" si="8"/>
        <v>0.002</v>
      </c>
    </row>
    <row r="21" spans="1:45" ht="15">
      <c r="A21">
        <v>0.50</v>
      </c>
      <c r="C21" t="s">
        <v>842</v>
      </c>
      <c r="E21" s="201" t="s">
        <v>470</v>
      </c>
      <c r="F21" s="201"/>
      <c r="G21" s="201" t="s">
        <v>89</v>
      </c>
      <c r="I21" s="204">
        <f t="shared" si="5"/>
        <v>0.0054999999999999997</v>
      </c>
      <c r="J21" s="204">
        <f t="shared" si="5"/>
        <v>0.0050000000000000001</v>
      </c>
      <c r="K21" s="204">
        <f t="shared" si="5"/>
        <v>0.0040000000000000001</v>
      </c>
      <c r="L21" s="204">
        <f t="shared" si="5"/>
        <v>0.0044999999999999997</v>
      </c>
      <c r="M21" s="204">
        <f t="shared" si="5"/>
        <v>0.0044999999999999997</v>
      </c>
      <c r="N21" s="204">
        <f t="shared" si="5"/>
        <v>0.0035000000000000001</v>
      </c>
      <c r="O21" s="204">
        <f t="shared" si="5"/>
        <v>0.0044999999999999997</v>
      </c>
      <c r="P21" s="204">
        <f t="shared" si="5"/>
        <v>0.0050000000000000001</v>
      </c>
      <c r="Q21" s="204">
        <f t="shared" si="5"/>
        <v>0.0044999999999999997</v>
      </c>
      <c r="R21" s="204">
        <f t="shared" si="5"/>
        <v>0.0060000000000000001</v>
      </c>
      <c r="S21" s="204">
        <f t="shared" si="6"/>
        <v>0.0054999999999999997</v>
      </c>
      <c r="T21" s="204">
        <f t="shared" si="6"/>
        <v>0.0050000000000000001</v>
      </c>
      <c r="U21" s="204">
        <f t="shared" si="6"/>
        <v>0.0050000000000000001</v>
      </c>
      <c r="V21" s="204">
        <f t="shared" si="6"/>
        <v>0.0035000000000000001</v>
      </c>
      <c r="W21" s="204">
        <f t="shared" si="6"/>
        <v>0.0030000000000000001</v>
      </c>
      <c r="X21" s="204">
        <f t="shared" si="6"/>
        <v>0.0054999999999999997</v>
      </c>
      <c r="Y21" s="204">
        <f t="shared" si="6"/>
        <v>0.0050000000000000001</v>
      </c>
      <c r="Z21" s="204">
        <f t="shared" si="6"/>
        <v>0.0040000000000000001</v>
      </c>
      <c r="AA21" s="204">
        <f t="shared" si="6"/>
        <v>0.0035000000000000001</v>
      </c>
      <c r="AB21" s="204">
        <f t="shared" si="6"/>
        <v>0.0040000000000000001</v>
      </c>
      <c r="AC21" s="204">
        <f t="shared" si="7"/>
        <v>0.0050000000000000001</v>
      </c>
      <c r="AD21" s="204">
        <f t="shared" si="7"/>
        <v>0.0040000000000000001</v>
      </c>
      <c r="AE21" s="204">
        <f t="shared" si="7"/>
        <v>0.0044999999999999997</v>
      </c>
      <c r="AF21" s="204">
        <f t="shared" si="7"/>
        <v>0.0050000000000000001</v>
      </c>
      <c r="AG21" s="204">
        <f t="shared" si="7"/>
        <v>0.0044999999999999997</v>
      </c>
      <c r="AH21" s="204">
        <f t="shared" si="7"/>
        <v>0.0070000000000000001</v>
      </c>
      <c r="AI21" s="204">
        <f t="shared" si="7"/>
        <v>0.0030000000000000001</v>
      </c>
      <c r="AJ21" s="204">
        <f t="shared" si="7"/>
        <v>0.0044999999999999997</v>
      </c>
      <c r="AK21" s="204">
        <f t="shared" si="7"/>
        <v>0.0064999999999999997</v>
      </c>
      <c r="AL21" s="204">
        <f t="shared" si="7"/>
        <v>0.0044999999999999997</v>
      </c>
      <c r="AM21" s="204">
        <f t="shared" si="8"/>
        <v>0.0044999999999999997</v>
      </c>
      <c r="AN21" s="204">
        <f t="shared" si="8"/>
        <v>0.0044999999999999997</v>
      </c>
      <c r="AO21" s="204">
        <f t="shared" si="8"/>
        <v>0.0025000000000000001</v>
      </c>
      <c r="AP21" s="204">
        <f t="shared" si="8"/>
        <v>0.0035000000000000001</v>
      </c>
      <c r="AQ21" s="204">
        <f t="shared" si="8"/>
        <v>0.0025000000000000001</v>
      </c>
      <c r="AR21" s="204">
        <f t="shared" si="8"/>
        <v>0.0030000000000000001</v>
      </c>
      <c r="AS21" s="204">
        <f t="shared" si="8"/>
        <v>0.002</v>
      </c>
    </row>
    <row r="22" spans="1:45" ht="15">
      <c r="A22">
        <v>0.50</v>
      </c>
      <c r="C22" t="s">
        <v>848</v>
      </c>
      <c r="E22" s="201" t="s">
        <v>470</v>
      </c>
      <c r="F22" s="201"/>
      <c r="G22" s="201" t="s">
        <v>91</v>
      </c>
      <c r="I22" s="204">
        <f t="shared" si="5"/>
        <v>0.0054999999999999997</v>
      </c>
      <c r="J22" s="204">
        <f t="shared" si="5"/>
        <v>0.0050000000000000001</v>
      </c>
      <c r="K22" s="204">
        <f t="shared" si="5"/>
        <v>0.0040000000000000001</v>
      </c>
      <c r="L22" s="204">
        <f t="shared" si="5"/>
        <v>0.0044999999999999997</v>
      </c>
      <c r="M22" s="204">
        <f t="shared" si="5"/>
        <v>0.0044999999999999997</v>
      </c>
      <c r="N22" s="204">
        <f t="shared" si="5"/>
        <v>0.0035000000000000001</v>
      </c>
      <c r="O22" s="204">
        <f t="shared" si="5"/>
        <v>0.0044999999999999997</v>
      </c>
      <c r="P22" s="204">
        <f t="shared" si="5"/>
        <v>0.0050000000000000001</v>
      </c>
      <c r="Q22" s="204">
        <f t="shared" si="5"/>
        <v>0.0044999999999999997</v>
      </c>
      <c r="R22" s="204">
        <f t="shared" si="5"/>
        <v>0.0060000000000000001</v>
      </c>
      <c r="S22" s="204">
        <f t="shared" si="6"/>
        <v>0.0054999999999999997</v>
      </c>
      <c r="T22" s="204">
        <f t="shared" si="6"/>
        <v>0.0050000000000000001</v>
      </c>
      <c r="U22" s="204">
        <f t="shared" si="6"/>
        <v>0.0050000000000000001</v>
      </c>
      <c r="V22" s="204">
        <f t="shared" si="6"/>
        <v>0.0035000000000000001</v>
      </c>
      <c r="W22" s="204">
        <f t="shared" si="6"/>
        <v>0.0030000000000000001</v>
      </c>
      <c r="X22" s="204">
        <f t="shared" si="6"/>
        <v>0.0054999999999999997</v>
      </c>
      <c r="Y22" s="204">
        <f t="shared" si="6"/>
        <v>0.0050000000000000001</v>
      </c>
      <c r="Z22" s="204">
        <f t="shared" si="6"/>
        <v>0.0040000000000000001</v>
      </c>
      <c r="AA22" s="204">
        <f t="shared" si="6"/>
        <v>0.0035000000000000001</v>
      </c>
      <c r="AB22" s="204">
        <f t="shared" si="6"/>
        <v>0.0040000000000000001</v>
      </c>
      <c r="AC22" s="204">
        <f t="shared" si="7"/>
        <v>0.0050000000000000001</v>
      </c>
      <c r="AD22" s="204">
        <f t="shared" si="7"/>
        <v>0.0040000000000000001</v>
      </c>
      <c r="AE22" s="204">
        <f t="shared" si="7"/>
        <v>0.0044999999999999997</v>
      </c>
      <c r="AF22" s="204">
        <f t="shared" si="7"/>
        <v>0.0050000000000000001</v>
      </c>
      <c r="AG22" s="204">
        <f t="shared" si="7"/>
        <v>0.0044999999999999997</v>
      </c>
      <c r="AH22" s="204">
        <f t="shared" si="7"/>
        <v>0.0070000000000000001</v>
      </c>
      <c r="AI22" s="204">
        <f t="shared" si="7"/>
        <v>0.0030000000000000001</v>
      </c>
      <c r="AJ22" s="204">
        <f t="shared" si="7"/>
        <v>0.0044999999999999997</v>
      </c>
      <c r="AK22" s="204">
        <f t="shared" si="7"/>
        <v>0.0064999999999999997</v>
      </c>
      <c r="AL22" s="204">
        <f t="shared" si="7"/>
        <v>0.0044999999999999997</v>
      </c>
      <c r="AM22" s="204">
        <f t="shared" si="8"/>
        <v>0.0044999999999999997</v>
      </c>
      <c r="AN22" s="204">
        <f t="shared" si="8"/>
        <v>0.0044999999999999997</v>
      </c>
      <c r="AO22" s="204">
        <f t="shared" si="8"/>
        <v>0.0025000000000000001</v>
      </c>
      <c r="AP22" s="204">
        <f t="shared" si="8"/>
        <v>0.0035000000000000001</v>
      </c>
      <c r="AQ22" s="204">
        <f t="shared" si="8"/>
        <v>0.0025000000000000001</v>
      </c>
      <c r="AR22" s="204">
        <f t="shared" si="8"/>
        <v>0.0030000000000000001</v>
      </c>
      <c r="AS22" s="204">
        <f t="shared" si="8"/>
        <v>0.002</v>
      </c>
    </row>
    <row r="23" spans="1:45" ht="15">
      <c r="A23">
        <v>0.50</v>
      </c>
      <c r="C23" t="s">
        <v>850</v>
      </c>
      <c r="E23" s="201" t="s">
        <v>470</v>
      </c>
      <c r="F23" s="201"/>
      <c r="G23" s="201" t="s">
        <v>91</v>
      </c>
      <c r="I23" s="204">
        <f t="shared" si="5"/>
        <v>0.0054999999999999997</v>
      </c>
      <c r="J23" s="204">
        <f t="shared" si="5"/>
        <v>0.0050000000000000001</v>
      </c>
      <c r="K23" s="204">
        <f t="shared" si="5"/>
        <v>0.0040000000000000001</v>
      </c>
      <c r="L23" s="204">
        <f t="shared" si="5"/>
        <v>0.0044999999999999997</v>
      </c>
      <c r="M23" s="204">
        <f t="shared" si="5"/>
        <v>0.0044999999999999997</v>
      </c>
      <c r="N23" s="204">
        <f t="shared" si="5"/>
        <v>0.0035000000000000001</v>
      </c>
      <c r="O23" s="204">
        <f t="shared" si="5"/>
        <v>0.0044999999999999997</v>
      </c>
      <c r="P23" s="204">
        <f t="shared" si="5"/>
        <v>0.0050000000000000001</v>
      </c>
      <c r="Q23" s="204">
        <f t="shared" si="5"/>
        <v>0.0044999999999999997</v>
      </c>
      <c r="R23" s="204">
        <f t="shared" si="5"/>
        <v>0.0060000000000000001</v>
      </c>
      <c r="S23" s="204">
        <f t="shared" si="6"/>
        <v>0.0054999999999999997</v>
      </c>
      <c r="T23" s="204">
        <f t="shared" si="6"/>
        <v>0.0050000000000000001</v>
      </c>
      <c r="U23" s="204">
        <f t="shared" si="6"/>
        <v>0.0050000000000000001</v>
      </c>
      <c r="V23" s="204">
        <f t="shared" si="6"/>
        <v>0.0035000000000000001</v>
      </c>
      <c r="W23" s="204">
        <f t="shared" si="6"/>
        <v>0.0030000000000000001</v>
      </c>
      <c r="X23" s="204">
        <f t="shared" si="6"/>
        <v>0.0054999999999999997</v>
      </c>
      <c r="Y23" s="204">
        <f t="shared" si="6"/>
        <v>0.0050000000000000001</v>
      </c>
      <c r="Z23" s="204">
        <f t="shared" si="6"/>
        <v>0.0040000000000000001</v>
      </c>
      <c r="AA23" s="204">
        <f t="shared" si="6"/>
        <v>0.0035000000000000001</v>
      </c>
      <c r="AB23" s="204">
        <f t="shared" si="6"/>
        <v>0.0040000000000000001</v>
      </c>
      <c r="AC23" s="204">
        <f t="shared" si="7"/>
        <v>0.0050000000000000001</v>
      </c>
      <c r="AD23" s="204">
        <f t="shared" si="7"/>
        <v>0.0040000000000000001</v>
      </c>
      <c r="AE23" s="204">
        <f t="shared" si="7"/>
        <v>0.0044999999999999997</v>
      </c>
      <c r="AF23" s="204">
        <f t="shared" si="7"/>
        <v>0.0050000000000000001</v>
      </c>
      <c r="AG23" s="204">
        <f t="shared" si="7"/>
        <v>0.0044999999999999997</v>
      </c>
      <c r="AH23" s="204">
        <f t="shared" si="7"/>
        <v>0.0070000000000000001</v>
      </c>
      <c r="AI23" s="204">
        <f t="shared" si="7"/>
        <v>0.0030000000000000001</v>
      </c>
      <c r="AJ23" s="204">
        <f t="shared" si="7"/>
        <v>0.0044999999999999997</v>
      </c>
      <c r="AK23" s="204">
        <f t="shared" si="7"/>
        <v>0.0064999999999999997</v>
      </c>
      <c r="AL23" s="204">
        <f t="shared" si="7"/>
        <v>0.0044999999999999997</v>
      </c>
      <c r="AM23" s="204">
        <f t="shared" si="8"/>
        <v>0.0044999999999999997</v>
      </c>
      <c r="AN23" s="204">
        <f t="shared" si="8"/>
        <v>0.0044999999999999997</v>
      </c>
      <c r="AO23" s="204">
        <f t="shared" si="8"/>
        <v>0.0025000000000000001</v>
      </c>
      <c r="AP23" s="204">
        <f t="shared" si="8"/>
        <v>0.0035000000000000001</v>
      </c>
      <c r="AQ23" s="204">
        <f t="shared" si="8"/>
        <v>0.0025000000000000001</v>
      </c>
      <c r="AR23" s="204">
        <f t="shared" si="8"/>
        <v>0.0030000000000000001</v>
      </c>
      <c r="AS23" s="204">
        <f t="shared" si="8"/>
        <v>0.002</v>
      </c>
    </row>
    <row r="24" spans="1:45" ht="15">
      <c r="A24">
        <v>1.50</v>
      </c>
      <c r="C24" s="206" t="s">
        <v>910</v>
      </c>
      <c r="D24" s="206"/>
      <c r="E24" s="215" t="s">
        <v>470</v>
      </c>
      <c r="F24" s="215"/>
      <c r="G24" s="215" t="s">
        <v>89</v>
      </c>
      <c r="H24" s="217">
        <v>2035</v>
      </c>
      <c r="I24" s="204">
        <f t="shared" si="5"/>
        <v>0.016500000000000001</v>
      </c>
      <c r="J24" s="204">
        <f t="shared" si="5"/>
        <v>0.014999999999999999</v>
      </c>
      <c r="K24" s="204">
        <f t="shared" si="5"/>
        <v>0.012</v>
      </c>
      <c r="L24" s="204">
        <f t="shared" si="5"/>
        <v>0.013499999999999998</v>
      </c>
      <c r="M24" s="204">
        <f t="shared" si="5"/>
        <v>0.013499999999999998</v>
      </c>
      <c r="N24" s="204">
        <f t="shared" si="5"/>
        <v>0.010500000000000001</v>
      </c>
      <c r="O24" s="204">
        <f t="shared" si="5"/>
        <v>0.013499999999999998</v>
      </c>
      <c r="P24" s="204">
        <f t="shared" si="5"/>
        <v>0.014999999999999999</v>
      </c>
      <c r="Q24" s="204">
        <f t="shared" si="5"/>
        <v>0.013499999999999998</v>
      </c>
      <c r="R24" s="204">
        <f t="shared" si="5"/>
        <v>0.018000000000000002</v>
      </c>
      <c r="S24" s="204">
        <f t="shared" si="6"/>
        <v>0.016500000000000001</v>
      </c>
      <c r="T24" s="204">
        <f t="shared" si="6"/>
        <v>0.014999999999999999</v>
      </c>
      <c r="U24" s="204">
        <f t="shared" si="6"/>
        <v>0.014999999999999999</v>
      </c>
      <c r="V24" s="204">
        <f t="shared" si="6"/>
        <v>0.010500000000000001</v>
      </c>
      <c r="W24" s="204">
        <f t="shared" si="6"/>
        <v>0.0090000000000000011</v>
      </c>
      <c r="X24" s="204">
        <f t="shared" si="6"/>
        <v>0.016500000000000001</v>
      </c>
      <c r="Y24" s="204">
        <f t="shared" si="6"/>
        <v>0.014999999999999999</v>
      </c>
      <c r="Z24" s="204">
        <f t="shared" si="6"/>
        <v>0.012</v>
      </c>
      <c r="AA24" s="204">
        <f t="shared" si="6"/>
        <v>0.010500000000000001</v>
      </c>
      <c r="AB24" s="204">
        <f t="shared" si="6"/>
        <v>0.012</v>
      </c>
      <c r="AC24" s="204">
        <f t="shared" si="7"/>
        <v>0.014999999999999999</v>
      </c>
      <c r="AD24" s="204">
        <f t="shared" si="7"/>
        <v>0.012</v>
      </c>
      <c r="AE24" s="204">
        <f t="shared" si="7"/>
        <v>0.013499999999999998</v>
      </c>
      <c r="AF24" s="204">
        <f t="shared" si="7"/>
        <v>0.014999999999999999</v>
      </c>
      <c r="AG24" s="204">
        <f t="shared" si="7"/>
        <v>0.013499999999999998</v>
      </c>
      <c r="AH24" s="204">
        <f t="shared" si="7"/>
        <v>0.021000000000000001</v>
      </c>
      <c r="AI24" s="204">
        <f t="shared" si="7"/>
        <v>0.0090000000000000011</v>
      </c>
      <c r="AJ24" s="204">
        <f t="shared" si="7"/>
        <v>0.013499999999999998</v>
      </c>
      <c r="AK24" s="204">
        <f t="shared" si="7"/>
        <v>0.0195</v>
      </c>
      <c r="AL24" s="204">
        <f t="shared" si="7"/>
        <v>0.013499999999999998</v>
      </c>
      <c r="AM24" s="204">
        <f t="shared" si="8"/>
        <v>0.013499999999999998</v>
      </c>
      <c r="AN24" s="204">
        <f t="shared" si="8"/>
        <v>0.013499999999999998</v>
      </c>
      <c r="AO24" s="204">
        <f t="shared" si="8"/>
        <v>0.0074999999999999997</v>
      </c>
      <c r="AP24" s="204">
        <f t="shared" si="8"/>
        <v>0.010500000000000001</v>
      </c>
      <c r="AQ24" s="204">
        <f t="shared" si="8"/>
        <v>0.0074999999999999997</v>
      </c>
      <c r="AR24" s="204">
        <f t="shared" si="8"/>
        <v>0.0090000000000000011</v>
      </c>
      <c r="AS24" s="204">
        <f t="shared" si="8"/>
        <v>0.0060000000000000001</v>
      </c>
    </row>
    <row r="25" spans="1:45" ht="15">
      <c r="A25" s="79">
        <v>1.50</v>
      </c>
      <c r="C25" s="206" t="s">
        <v>911</v>
      </c>
      <c r="D25" s="206"/>
      <c r="E25" s="215" t="s">
        <v>470</v>
      </c>
      <c r="F25" s="215"/>
      <c r="G25" s="215" t="s">
        <v>91</v>
      </c>
      <c r="H25" s="217">
        <v>2035</v>
      </c>
      <c r="I25" s="204">
        <f t="shared" si="5"/>
        <v>0.016500000000000001</v>
      </c>
      <c r="J25" s="204">
        <f t="shared" si="5"/>
        <v>0.014999999999999999</v>
      </c>
      <c r="K25" s="204">
        <f t="shared" si="5"/>
        <v>0.012</v>
      </c>
      <c r="L25" s="204">
        <f t="shared" si="5"/>
        <v>0.013499999999999998</v>
      </c>
      <c r="M25" s="204">
        <f t="shared" si="5"/>
        <v>0.013499999999999998</v>
      </c>
      <c r="N25" s="204">
        <f t="shared" si="5"/>
        <v>0.010500000000000001</v>
      </c>
      <c r="O25" s="204">
        <f t="shared" si="5"/>
        <v>0.013499999999999998</v>
      </c>
      <c r="P25" s="204">
        <f t="shared" si="5"/>
        <v>0.014999999999999999</v>
      </c>
      <c r="Q25" s="204">
        <f t="shared" si="5"/>
        <v>0.013499999999999998</v>
      </c>
      <c r="R25" s="204">
        <f t="shared" si="5"/>
        <v>0.018000000000000002</v>
      </c>
      <c r="S25" s="204">
        <f t="shared" si="6"/>
        <v>0.016500000000000001</v>
      </c>
      <c r="T25" s="204">
        <f t="shared" si="6"/>
        <v>0.014999999999999999</v>
      </c>
      <c r="U25" s="204">
        <f t="shared" si="6"/>
        <v>0.014999999999999999</v>
      </c>
      <c r="V25" s="204">
        <f t="shared" si="6"/>
        <v>0.010500000000000001</v>
      </c>
      <c r="W25" s="204">
        <f t="shared" si="6"/>
        <v>0.0090000000000000011</v>
      </c>
      <c r="X25" s="204">
        <f t="shared" si="6"/>
        <v>0.016500000000000001</v>
      </c>
      <c r="Y25" s="204">
        <f t="shared" si="6"/>
        <v>0.014999999999999999</v>
      </c>
      <c r="Z25" s="204">
        <f t="shared" si="6"/>
        <v>0.012</v>
      </c>
      <c r="AA25" s="204">
        <f t="shared" si="6"/>
        <v>0.010500000000000001</v>
      </c>
      <c r="AB25" s="204">
        <f t="shared" si="6"/>
        <v>0.012</v>
      </c>
      <c r="AC25" s="204">
        <f t="shared" si="7"/>
        <v>0.014999999999999999</v>
      </c>
      <c r="AD25" s="204">
        <f t="shared" si="7"/>
        <v>0.012</v>
      </c>
      <c r="AE25" s="204">
        <f t="shared" si="7"/>
        <v>0.013499999999999998</v>
      </c>
      <c r="AF25" s="204">
        <f t="shared" si="7"/>
        <v>0.014999999999999999</v>
      </c>
      <c r="AG25" s="204">
        <f t="shared" si="7"/>
        <v>0.013499999999999998</v>
      </c>
      <c r="AH25" s="204">
        <f t="shared" si="7"/>
        <v>0.021000000000000001</v>
      </c>
      <c r="AI25" s="204">
        <f t="shared" si="7"/>
        <v>0.0090000000000000011</v>
      </c>
      <c r="AJ25" s="204">
        <f t="shared" si="7"/>
        <v>0.013499999999999998</v>
      </c>
      <c r="AK25" s="204">
        <f t="shared" si="7"/>
        <v>0.0195</v>
      </c>
      <c r="AL25" s="204">
        <f t="shared" si="7"/>
        <v>0.013499999999999998</v>
      </c>
      <c r="AM25" s="204">
        <f t="shared" si="8"/>
        <v>0.013499999999999998</v>
      </c>
      <c r="AN25" s="204">
        <f t="shared" si="8"/>
        <v>0.013499999999999998</v>
      </c>
      <c r="AO25" s="204">
        <f t="shared" si="8"/>
        <v>0.0074999999999999997</v>
      </c>
      <c r="AP25" s="204">
        <f t="shared" si="8"/>
        <v>0.010500000000000001</v>
      </c>
      <c r="AQ25" s="204">
        <f t="shared" si="8"/>
        <v>0.0074999999999999997</v>
      </c>
      <c r="AR25" s="204">
        <f t="shared" si="8"/>
        <v>0.0090000000000000011</v>
      </c>
      <c r="AS25" s="204">
        <f t="shared" si="8"/>
        <v>0.0060000000000000001</v>
      </c>
    </row>
    <row r="26" spans="1:45" ht="15">
      <c r="A26" s="79">
        <v>1.50</v>
      </c>
      <c r="C26" s="206" t="s">
        <v>912</v>
      </c>
      <c r="D26" s="206"/>
      <c r="E26" s="215" t="s">
        <v>470</v>
      </c>
      <c r="F26" s="215"/>
      <c r="G26" s="215" t="s">
        <v>90</v>
      </c>
      <c r="H26" s="217">
        <v>2035</v>
      </c>
      <c r="I26" s="204">
        <f t="shared" si="5"/>
        <v>0.016500000000000001</v>
      </c>
      <c r="J26" s="204">
        <f t="shared" si="5"/>
        <v>0.014999999999999999</v>
      </c>
      <c r="K26" s="204">
        <f t="shared" si="5"/>
        <v>0.012</v>
      </c>
      <c r="L26" s="204">
        <f t="shared" si="5"/>
        <v>0.013499999999999998</v>
      </c>
      <c r="M26" s="204">
        <f t="shared" si="5"/>
        <v>0.013499999999999998</v>
      </c>
      <c r="N26" s="204">
        <f t="shared" si="5"/>
        <v>0.010500000000000001</v>
      </c>
      <c r="O26" s="204">
        <f t="shared" si="5"/>
        <v>0.013499999999999998</v>
      </c>
      <c r="P26" s="204">
        <f t="shared" si="5"/>
        <v>0.014999999999999999</v>
      </c>
      <c r="Q26" s="204">
        <f t="shared" si="5"/>
        <v>0.013499999999999998</v>
      </c>
      <c r="R26" s="204">
        <f t="shared" si="5"/>
        <v>0.018000000000000002</v>
      </c>
      <c r="S26" s="204">
        <f t="shared" si="6"/>
        <v>0.016500000000000001</v>
      </c>
      <c r="T26" s="204">
        <f t="shared" si="6"/>
        <v>0.014999999999999999</v>
      </c>
      <c r="U26" s="204">
        <f t="shared" si="6"/>
        <v>0.014999999999999999</v>
      </c>
      <c r="V26" s="204">
        <f t="shared" si="6"/>
        <v>0.010500000000000001</v>
      </c>
      <c r="W26" s="204">
        <f t="shared" si="6"/>
        <v>0.0090000000000000011</v>
      </c>
      <c r="X26" s="204">
        <f t="shared" si="6"/>
        <v>0.016500000000000001</v>
      </c>
      <c r="Y26" s="204">
        <f t="shared" si="6"/>
        <v>0.014999999999999999</v>
      </c>
      <c r="Z26" s="204">
        <f t="shared" si="6"/>
        <v>0.012</v>
      </c>
      <c r="AA26" s="204">
        <f t="shared" si="6"/>
        <v>0.010500000000000001</v>
      </c>
      <c r="AB26" s="204">
        <f t="shared" si="6"/>
        <v>0.012</v>
      </c>
      <c r="AC26" s="204">
        <f t="shared" si="7"/>
        <v>0.014999999999999999</v>
      </c>
      <c r="AD26" s="204">
        <f t="shared" si="7"/>
        <v>0.012</v>
      </c>
      <c r="AE26" s="204">
        <f t="shared" si="7"/>
        <v>0.013499999999999998</v>
      </c>
      <c r="AF26" s="204">
        <f t="shared" si="7"/>
        <v>0.014999999999999999</v>
      </c>
      <c r="AG26" s="204">
        <f t="shared" si="7"/>
        <v>0.013499999999999998</v>
      </c>
      <c r="AH26" s="204">
        <f t="shared" si="7"/>
        <v>0.021000000000000001</v>
      </c>
      <c r="AI26" s="204">
        <f t="shared" si="7"/>
        <v>0.0090000000000000011</v>
      </c>
      <c r="AJ26" s="204">
        <f t="shared" si="7"/>
        <v>0.013499999999999998</v>
      </c>
      <c r="AK26" s="204">
        <f t="shared" si="7"/>
        <v>0.0195</v>
      </c>
      <c r="AL26" s="204">
        <f t="shared" si="7"/>
        <v>0.013499999999999998</v>
      </c>
      <c r="AM26" s="204">
        <f t="shared" si="8"/>
        <v>0.013499999999999998</v>
      </c>
      <c r="AN26" s="204">
        <f t="shared" si="8"/>
        <v>0.013499999999999998</v>
      </c>
      <c r="AO26" s="204">
        <f t="shared" si="8"/>
        <v>0.0074999999999999997</v>
      </c>
      <c r="AP26" s="204">
        <f t="shared" si="8"/>
        <v>0.010500000000000001</v>
      </c>
      <c r="AQ26" s="204">
        <f t="shared" si="8"/>
        <v>0.0074999999999999997</v>
      </c>
      <c r="AR26" s="204">
        <f t="shared" si="8"/>
        <v>0.0090000000000000011</v>
      </c>
      <c r="AS26" s="204">
        <f t="shared" si="8"/>
        <v>0.0060000000000000001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-0.249899998307228"/>
  </sheetPr>
  <dimension ref="B1:AU15"/>
  <sheetViews>
    <sheetView workbookViewId="0" topLeftCell="A1">
      <selection pane="topLeft" activeCell="AT12" sqref="AT12"/>
    </sheetView>
  </sheetViews>
  <sheetFormatPr defaultColWidth="9.14428571428571" defaultRowHeight="12.75"/>
  <cols>
    <col min="2" max="2" width="14.1428571428571" customWidth="1"/>
    <col min="3" max="4" width="20.4285714285714" customWidth="1"/>
    <col min="5" max="5" width="16.5714285714286" customWidth="1"/>
    <col min="6" max="6" width="15.4285714285714" customWidth="1"/>
    <col min="7" max="7" width="10.7142857142857" customWidth="1"/>
    <col min="8" max="8" width="15.7142857142857" bestFit="1" customWidth="1"/>
  </cols>
  <sheetData>
    <row r="1" spans="8:44" ht="12.75">
      <c r="H1" t="s">
        <v>0</v>
      </c>
      <c r="I1" t="s">
        <v>1</v>
      </c>
      <c r="J1" t="s">
        <v>30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47</v>
      </c>
      <c r="U1" t="s">
        <v>31</v>
      </c>
      <c r="V1" t="s">
        <v>11</v>
      </c>
      <c r="W1" t="s">
        <v>12</v>
      </c>
      <c r="X1" t="s">
        <v>13</v>
      </c>
      <c r="Y1" t="s">
        <v>27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40</v>
      </c>
      <c r="AN1" t="s">
        <v>44</v>
      </c>
      <c r="AO1" t="s">
        <v>41</v>
      </c>
      <c r="AP1" t="s">
        <v>32</v>
      </c>
      <c r="AQ1" t="s">
        <v>42</v>
      </c>
      <c r="AR1" t="s">
        <v>45</v>
      </c>
    </row>
    <row r="2" spans="8:47" ht="12.75">
      <c r="H2">
        <v>0.00029999999999999997</v>
      </c>
      <c r="I2">
        <v>0.00109</v>
      </c>
      <c r="J2">
        <v>0.00054000000000000001</v>
      </c>
      <c r="K2">
        <v>0.00035</v>
      </c>
      <c r="L2">
        <v>0.0074700000000000001</v>
      </c>
      <c r="M2">
        <v>6.0000000000000002E-05</v>
      </c>
      <c r="N2">
        <v>0.00027999999999999998</v>
      </c>
      <c r="O2">
        <v>0.00021000000000000001</v>
      </c>
      <c r="P2">
        <v>1.0000000000000001E-05</v>
      </c>
      <c r="Q2">
        <v>0.0018</v>
      </c>
      <c r="R2">
        <v>8.0000000000000007E-05</v>
      </c>
      <c r="S2">
        <v>0.0020999999999999999</v>
      </c>
      <c r="T2">
        <v>0.0023800000000000002</v>
      </c>
      <c r="U2">
        <v>0.00481</v>
      </c>
      <c r="V2">
        <v>6.9999999999999994E-05</v>
      </c>
      <c r="W2">
        <v>0.00018000000000000001</v>
      </c>
      <c r="X2">
        <v>5.0000000000000002E-05</v>
      </c>
      <c r="Y2">
        <v>0.0018</v>
      </c>
      <c r="Z2">
        <v>1.0000000000000001E-05</v>
      </c>
      <c r="AA2">
        <v>0.00298</v>
      </c>
      <c r="AB2">
        <v>0</v>
      </c>
      <c r="AC2">
        <v>0.015180000000000001</v>
      </c>
      <c r="AD2">
        <v>0.00071000000000000002</v>
      </c>
      <c r="AE2">
        <v>0.00016000000000000001</v>
      </c>
      <c r="AF2">
        <v>4.0000000000000003E-05</v>
      </c>
      <c r="AG2">
        <v>0.0012899999999999999</v>
      </c>
      <c r="AH2">
        <v>8.0000000000000007E-05</v>
      </c>
      <c r="AI2">
        <v>0.00016000000000000001</v>
      </c>
      <c r="AJ2">
        <v>0.00060999999999999997</v>
      </c>
      <c r="AK2">
        <v>0.00020000000000000001</v>
      </c>
      <c r="AL2">
        <v>0.00012</v>
      </c>
      <c r="AM2">
        <v>0.0027299999999999998</v>
      </c>
      <c r="AN2">
        <v>0.0064099999999999999</v>
      </c>
      <c r="AO2">
        <v>0.0029099999999999998</v>
      </c>
      <c r="AP2">
        <v>0.0073299999999999997</v>
      </c>
      <c r="AQ2">
        <v>0.0071599999999999997</v>
      </c>
      <c r="AR2">
        <v>0.0055500000000000002</v>
      </c>
      <c r="AT2">
        <f>SQRT(MAX(H2:AR2)*AU2)</f>
        <v>0.0056282295233552413</v>
      </c>
      <c r="AU2">
        <f>AVERAGE(H2:AR2)</f>
        <v>0.002086756756756757</v>
      </c>
    </row>
    <row r="3" spans="8:47" ht="12.75">
      <c r="H3">
        <v>0.00029999999999999997</v>
      </c>
      <c r="I3">
        <v>0.00109</v>
      </c>
      <c r="J3">
        <v>0.00054000000000000001</v>
      </c>
      <c r="K3">
        <v>0.00035</v>
      </c>
      <c r="L3">
        <v>0.0074700000000000001</v>
      </c>
      <c r="M3">
        <v>6.0000000000000002E-05</v>
      </c>
      <c r="N3">
        <v>0.00027999999999999998</v>
      </c>
      <c r="O3">
        <v>0.00021000000000000001</v>
      </c>
      <c r="P3">
        <v>1.0000000000000001E-05</v>
      </c>
      <c r="Q3">
        <v>0.0018</v>
      </c>
      <c r="R3">
        <v>8.0000000000000007E-05</v>
      </c>
      <c r="S3">
        <v>0.0020999999999999999</v>
      </c>
      <c r="T3">
        <v>0.0023800000000000002</v>
      </c>
      <c r="U3">
        <v>0.00481</v>
      </c>
      <c r="V3">
        <v>6.9999999999999994E-05</v>
      </c>
      <c r="W3">
        <v>0.00018000000000000001</v>
      </c>
      <c r="X3">
        <v>5.0000000000000002E-05</v>
      </c>
      <c r="Y3">
        <v>0.0018</v>
      </c>
      <c r="Z3">
        <v>1.0000000000000001E-05</v>
      </c>
      <c r="AA3">
        <v>0.00298</v>
      </c>
      <c r="AB3">
        <v>0</v>
      </c>
      <c r="AC3">
        <v>0.015180000000000001</v>
      </c>
      <c r="AD3">
        <v>0.00071000000000000002</v>
      </c>
      <c r="AE3">
        <v>0.00016000000000000001</v>
      </c>
      <c r="AF3">
        <v>4.0000000000000003E-05</v>
      </c>
      <c r="AG3">
        <v>0.0012899999999999999</v>
      </c>
      <c r="AH3">
        <v>8.0000000000000007E-05</v>
      </c>
      <c r="AI3">
        <v>0.00016000000000000001</v>
      </c>
      <c r="AJ3">
        <v>0.00060999999999999997</v>
      </c>
      <c r="AK3">
        <v>0.00020000000000000001</v>
      </c>
      <c r="AL3">
        <v>0.00012</v>
      </c>
      <c r="AM3">
        <v>0.0027299999999999998</v>
      </c>
      <c r="AN3">
        <v>0.0064099999999999999</v>
      </c>
      <c r="AO3">
        <v>0.0029099999999999998</v>
      </c>
      <c r="AP3">
        <v>0.0073299999999999997</v>
      </c>
      <c r="AQ3">
        <v>0.0071599999999999997</v>
      </c>
      <c r="AR3">
        <v>0.0055500000000000002</v>
      </c>
      <c r="AT3">
        <f>SQRT(MAX(H3:AR3)*AU3)</f>
        <v>0.0056282295233552413</v>
      </c>
      <c r="AU3">
        <f>AVERAGE(H3:AR3)</f>
        <v>0.002086756756756757</v>
      </c>
    </row>
    <row r="4" spans="8:47" ht="12.75">
      <c r="H4">
        <v>0.00014999999999999999</v>
      </c>
      <c r="I4">
        <v>0.00054000000000000001</v>
      </c>
      <c r="J4">
        <v>0.00027</v>
      </c>
      <c r="K4">
        <v>0.00018000000000000001</v>
      </c>
      <c r="L4">
        <v>0.0037299999999999998</v>
      </c>
      <c r="M4">
        <v>3.0000000000000001E-05</v>
      </c>
      <c r="N4">
        <v>0.00013999999999999999</v>
      </c>
      <c r="O4">
        <v>0.00011</v>
      </c>
      <c r="P4">
        <v>1.0000000000000001E-05</v>
      </c>
      <c r="Q4">
        <v>0.00089999999999999998</v>
      </c>
      <c r="R4">
        <v>4.0000000000000003E-05</v>
      </c>
      <c r="S4">
        <v>0.0010499999999999999</v>
      </c>
      <c r="T4">
        <v>0.0011900000000000001</v>
      </c>
      <c r="U4">
        <v>0.0023999999999999998</v>
      </c>
      <c r="V4">
        <v>3.0000000000000001E-05</v>
      </c>
      <c r="W4">
        <v>9.0000000000000006E-05</v>
      </c>
      <c r="X4">
        <v>2.0000000000000002E-05</v>
      </c>
      <c r="Y4">
        <v>0.00089999999999999998</v>
      </c>
      <c r="Z4">
        <v>0</v>
      </c>
      <c r="AA4">
        <v>0.00149</v>
      </c>
      <c r="AB4">
        <v>0</v>
      </c>
      <c r="AC4">
        <v>0.0075900000000000004</v>
      </c>
      <c r="AD4">
        <v>0.00035</v>
      </c>
      <c r="AE4">
        <v>8.0000000000000007E-05</v>
      </c>
      <c r="AF4">
        <v>2.0000000000000002E-05</v>
      </c>
      <c r="AG4">
        <v>0.00064000000000000005</v>
      </c>
      <c r="AH4">
        <v>4.0000000000000003E-05</v>
      </c>
      <c r="AI4">
        <v>8.0000000000000007E-05</v>
      </c>
      <c r="AJ4">
        <v>0.00031</v>
      </c>
      <c r="AK4">
        <v>0.0001</v>
      </c>
      <c r="AL4">
        <v>6.0000000000000002E-05</v>
      </c>
      <c r="AM4">
        <v>0.0013699999999999999</v>
      </c>
      <c r="AN4">
        <v>0.0032000000000000002</v>
      </c>
      <c r="AO4">
        <v>0.0014599999999999999</v>
      </c>
      <c r="AP4">
        <v>0.0036700000000000001</v>
      </c>
      <c r="AQ4">
        <v>0.0035799999999999998</v>
      </c>
      <c r="AR4">
        <v>0.0027699999999999999</v>
      </c>
      <c r="AT4">
        <f>SQRT(MAX(H4:AR4)*AU4)</f>
        <v>0.0028135679954223365</v>
      </c>
      <c r="AU4">
        <f>AVERAGE(H4:AR4)</f>
        <v>0.0010429729729729729</v>
      </c>
    </row>
    <row r="7" spans="9:9" ht="12.75">
      <c r="I7" t="s">
        <v>820</v>
      </c>
    </row>
    <row r="8" spans="9:9" ht="12.75">
      <c r="I8" t="s">
        <v>821</v>
      </c>
    </row>
    <row r="11" spans="2:2" ht="15">
      <c r="B11" s="86" t="s">
        <v>50</v>
      </c>
    </row>
    <row r="12" spans="2:46" ht="15.75" thickBot="1">
      <c r="B12" s="88" t="s">
        <v>48</v>
      </c>
      <c r="C12" s="88" t="s">
        <v>43</v>
      </c>
      <c r="D12" s="88" t="s">
        <v>35</v>
      </c>
      <c r="E12" s="88" t="s">
        <v>34</v>
      </c>
      <c r="F12" s="88" t="s">
        <v>39</v>
      </c>
      <c r="G12" s="88" t="s">
        <v>36</v>
      </c>
      <c r="H12" t="s">
        <v>0</v>
      </c>
      <c r="I12" t="s">
        <v>1</v>
      </c>
      <c r="J12" t="s">
        <v>30</v>
      </c>
      <c r="K12" t="s">
        <v>2</v>
      </c>
      <c r="L12" t="s">
        <v>3</v>
      </c>
      <c r="M12" t="s">
        <v>4</v>
      </c>
      <c r="N12" t="s">
        <v>5</v>
      </c>
      <c r="O12" t="s">
        <v>6</v>
      </c>
      <c r="P12" t="s">
        <v>7</v>
      </c>
      <c r="Q12" t="s">
        <v>8</v>
      </c>
      <c r="R12" t="s">
        <v>9</v>
      </c>
      <c r="S12" t="s">
        <v>10</v>
      </c>
      <c r="T12" t="s">
        <v>47</v>
      </c>
      <c r="U12" t="s">
        <v>31</v>
      </c>
      <c r="V12" t="s">
        <v>11</v>
      </c>
      <c r="W12" t="s">
        <v>12</v>
      </c>
      <c r="X12" t="s">
        <v>13</v>
      </c>
      <c r="Y12" t="s">
        <v>27</v>
      </c>
      <c r="Z12" t="s">
        <v>14</v>
      </c>
      <c r="AA12" t="s">
        <v>15</v>
      </c>
      <c r="AB12" t="s">
        <v>16</v>
      </c>
      <c r="AC12" t="s">
        <v>17</v>
      </c>
      <c r="AD12" t="s">
        <v>18</v>
      </c>
      <c r="AE12" t="s">
        <v>19</v>
      </c>
      <c r="AF12" t="s">
        <v>20</v>
      </c>
      <c r="AG12" t="s">
        <v>21</v>
      </c>
      <c r="AH12" t="s">
        <v>22</v>
      </c>
      <c r="AI12" t="s">
        <v>23</v>
      </c>
      <c r="AJ12" t="s">
        <v>24</v>
      </c>
      <c r="AK12" t="s">
        <v>25</v>
      </c>
      <c r="AL12" t="s">
        <v>26</v>
      </c>
      <c r="AM12" t="s">
        <v>40</v>
      </c>
      <c r="AN12" t="s">
        <v>44</v>
      </c>
      <c r="AO12" t="s">
        <v>41</v>
      </c>
      <c r="AP12" t="s">
        <v>32</v>
      </c>
      <c r="AQ12" t="s">
        <v>42</v>
      </c>
      <c r="AR12" t="s">
        <v>45</v>
      </c>
      <c r="AT12">
        <v>0.0070000000000000001</v>
      </c>
    </row>
    <row r="13" spans="2:46" ht="12.75">
      <c r="B13" t="s">
        <v>822</v>
      </c>
      <c r="C13" t="s">
        <v>469</v>
      </c>
      <c r="D13" t="s">
        <v>470</v>
      </c>
      <c r="F13" t="str">
        <f>C13</f>
        <v>R_ES-DH-SpCool</v>
      </c>
      <c r="H13" s="205">
        <f>MAX($AT$12,IF(H2&lt;$AT2,$AT2*(H2/$AT2)^0.5,H2))</f>
        <v>0.0070000000000000001</v>
      </c>
      <c r="I13" s="205">
        <f t="shared" si="0" ref="I13:AR13">MAX($AT$12,IF(I2&lt;$AT2,$AT2*(I2/$AT2)^0.5,I2))</f>
        <v>0.0070000000000000001</v>
      </c>
      <c r="J13" s="205">
        <f t="shared" si="0"/>
        <v>0.0070000000000000001</v>
      </c>
      <c r="K13" s="205">
        <f t="shared" si="0"/>
        <v>0.0070000000000000001</v>
      </c>
      <c r="L13" s="205">
        <f t="shared" si="0"/>
        <v>0.0074700000000000001</v>
      </c>
      <c r="M13" s="205">
        <f t="shared" si="0"/>
        <v>0.0070000000000000001</v>
      </c>
      <c r="N13" s="205">
        <f t="shared" si="0"/>
        <v>0.0070000000000000001</v>
      </c>
      <c r="O13" s="205">
        <f t="shared" si="0"/>
        <v>0.0070000000000000001</v>
      </c>
      <c r="P13" s="205">
        <f t="shared" si="0"/>
        <v>0.0070000000000000001</v>
      </c>
      <c r="Q13" s="205">
        <f t="shared" si="0"/>
        <v>0.0070000000000000001</v>
      </c>
      <c r="R13" s="205">
        <f t="shared" si="0"/>
        <v>0.0070000000000000001</v>
      </c>
      <c r="S13" s="205">
        <f t="shared" si="0"/>
        <v>0.0070000000000000001</v>
      </c>
      <c r="T13" s="205">
        <f t="shared" si="0"/>
        <v>0.0070000000000000001</v>
      </c>
      <c r="U13" s="205">
        <f t="shared" si="0"/>
        <v>0.0070000000000000001</v>
      </c>
      <c r="V13" s="205">
        <f t="shared" si="0"/>
        <v>0.0070000000000000001</v>
      </c>
      <c r="W13" s="205">
        <f t="shared" si="0"/>
        <v>0.0070000000000000001</v>
      </c>
      <c r="X13" s="205">
        <f t="shared" si="0"/>
        <v>0.0070000000000000001</v>
      </c>
      <c r="Y13" s="205">
        <f t="shared" si="0"/>
        <v>0.0070000000000000001</v>
      </c>
      <c r="Z13" s="205">
        <f t="shared" si="0"/>
        <v>0.0070000000000000001</v>
      </c>
      <c r="AA13" s="205">
        <f t="shared" si="0"/>
        <v>0.0070000000000000001</v>
      </c>
      <c r="AB13" s="205">
        <f t="shared" si="0"/>
        <v>0.0070000000000000001</v>
      </c>
      <c r="AC13" s="205">
        <f t="shared" si="0"/>
        <v>0.015180000000000001</v>
      </c>
      <c r="AD13" s="205">
        <f t="shared" si="0"/>
        <v>0.0070000000000000001</v>
      </c>
      <c r="AE13" s="205">
        <f t="shared" si="0"/>
        <v>0.0070000000000000001</v>
      </c>
      <c r="AF13" s="205">
        <f t="shared" si="0"/>
        <v>0.0070000000000000001</v>
      </c>
      <c r="AG13" s="205">
        <f t="shared" si="0"/>
        <v>0.0070000000000000001</v>
      </c>
      <c r="AH13" s="205">
        <f t="shared" si="0"/>
        <v>0.0070000000000000001</v>
      </c>
      <c r="AI13" s="205">
        <f t="shared" si="0"/>
        <v>0.0070000000000000001</v>
      </c>
      <c r="AJ13" s="205">
        <f t="shared" si="0"/>
        <v>0.0070000000000000001</v>
      </c>
      <c r="AK13" s="205">
        <f t="shared" si="0"/>
        <v>0.0070000000000000001</v>
      </c>
      <c r="AL13" s="205">
        <f t="shared" si="0"/>
        <v>0.0070000000000000001</v>
      </c>
      <c r="AM13" s="205">
        <f t="shared" si="0"/>
        <v>0.0070000000000000001</v>
      </c>
      <c r="AN13" s="205">
        <f t="shared" si="0"/>
        <v>0.0070000000000000001</v>
      </c>
      <c r="AO13" s="205">
        <f t="shared" si="0"/>
        <v>0.0070000000000000001</v>
      </c>
      <c r="AP13" s="205">
        <f t="shared" si="0"/>
        <v>0.0073299999999999997</v>
      </c>
      <c r="AQ13" s="205">
        <f t="shared" si="0"/>
        <v>0.0071599999999999997</v>
      </c>
      <c r="AR13" s="205">
        <f t="shared" si="0"/>
        <v>0.0070000000000000001</v>
      </c>
      <c r="AT13" s="205">
        <f>MIN(H13:AR13)</f>
        <v>0.0070000000000000001</v>
      </c>
    </row>
    <row r="14" spans="2:46" ht="12.75">
      <c r="B14" t="s">
        <v>822</v>
      </c>
      <c r="C14" t="s">
        <v>791</v>
      </c>
      <c r="D14" t="s">
        <v>470</v>
      </c>
      <c r="F14" t="str">
        <f>C14</f>
        <v>R_ES-SD-SpCool</v>
      </c>
      <c r="H14" s="205">
        <f t="shared" si="1" ref="H14:AR14">MAX($AT$12,IF(H3&lt;$AT3,$AT3*(H3/$AT3)^0.5,H3))</f>
        <v>0.0070000000000000001</v>
      </c>
      <c r="I14" s="205">
        <f t="shared" si="1"/>
        <v>0.0070000000000000001</v>
      </c>
      <c r="J14" s="205">
        <f t="shared" si="1"/>
        <v>0.0070000000000000001</v>
      </c>
      <c r="K14" s="205">
        <f t="shared" si="1"/>
        <v>0.0070000000000000001</v>
      </c>
      <c r="L14" s="205">
        <f t="shared" si="1"/>
        <v>0.0074700000000000001</v>
      </c>
      <c r="M14" s="205">
        <f t="shared" si="1"/>
        <v>0.0070000000000000001</v>
      </c>
      <c r="N14" s="205">
        <f t="shared" si="1"/>
        <v>0.0070000000000000001</v>
      </c>
      <c r="O14" s="205">
        <f t="shared" si="1"/>
        <v>0.0070000000000000001</v>
      </c>
      <c r="P14" s="205">
        <f t="shared" si="1"/>
        <v>0.0070000000000000001</v>
      </c>
      <c r="Q14" s="205">
        <f t="shared" si="1"/>
        <v>0.0070000000000000001</v>
      </c>
      <c r="R14" s="205">
        <f t="shared" si="1"/>
        <v>0.0070000000000000001</v>
      </c>
      <c r="S14" s="205">
        <f t="shared" si="1"/>
        <v>0.0070000000000000001</v>
      </c>
      <c r="T14" s="205">
        <f t="shared" si="1"/>
        <v>0.0070000000000000001</v>
      </c>
      <c r="U14" s="205">
        <f t="shared" si="1"/>
        <v>0.0070000000000000001</v>
      </c>
      <c r="V14" s="205">
        <f t="shared" si="1"/>
        <v>0.0070000000000000001</v>
      </c>
      <c r="W14" s="205">
        <f t="shared" si="1"/>
        <v>0.0070000000000000001</v>
      </c>
      <c r="X14" s="205">
        <f t="shared" si="1"/>
        <v>0.0070000000000000001</v>
      </c>
      <c r="Y14" s="205">
        <f t="shared" si="1"/>
        <v>0.0070000000000000001</v>
      </c>
      <c r="Z14" s="205">
        <f t="shared" si="1"/>
        <v>0.0070000000000000001</v>
      </c>
      <c r="AA14" s="205">
        <f t="shared" si="1"/>
        <v>0.0070000000000000001</v>
      </c>
      <c r="AB14" s="205">
        <f t="shared" si="1"/>
        <v>0.0070000000000000001</v>
      </c>
      <c r="AC14" s="205">
        <f t="shared" si="1"/>
        <v>0.015180000000000001</v>
      </c>
      <c r="AD14" s="205">
        <f t="shared" si="1"/>
        <v>0.0070000000000000001</v>
      </c>
      <c r="AE14" s="205">
        <f t="shared" si="1"/>
        <v>0.0070000000000000001</v>
      </c>
      <c r="AF14" s="205">
        <f t="shared" si="1"/>
        <v>0.0070000000000000001</v>
      </c>
      <c r="AG14" s="205">
        <f t="shared" si="1"/>
        <v>0.0070000000000000001</v>
      </c>
      <c r="AH14" s="205">
        <f t="shared" si="1"/>
        <v>0.0070000000000000001</v>
      </c>
      <c r="AI14" s="205">
        <f t="shared" si="1"/>
        <v>0.0070000000000000001</v>
      </c>
      <c r="AJ14" s="205">
        <f t="shared" si="1"/>
        <v>0.0070000000000000001</v>
      </c>
      <c r="AK14" s="205">
        <f t="shared" si="1"/>
        <v>0.0070000000000000001</v>
      </c>
      <c r="AL14" s="205">
        <f t="shared" si="1"/>
        <v>0.0070000000000000001</v>
      </c>
      <c r="AM14" s="205">
        <f t="shared" si="1"/>
        <v>0.0070000000000000001</v>
      </c>
      <c r="AN14" s="205">
        <f t="shared" si="1"/>
        <v>0.0070000000000000001</v>
      </c>
      <c r="AO14" s="205">
        <f t="shared" si="1"/>
        <v>0.0070000000000000001</v>
      </c>
      <c r="AP14" s="205">
        <f t="shared" si="1"/>
        <v>0.0073299999999999997</v>
      </c>
      <c r="AQ14" s="205">
        <f t="shared" si="1"/>
        <v>0.0071599999999999997</v>
      </c>
      <c r="AR14" s="205">
        <f t="shared" si="1"/>
        <v>0.0070000000000000001</v>
      </c>
      <c r="AT14" s="205">
        <f t="shared" si="2" ref="AT14:AT15">MIN(H14:AR14)</f>
        <v>0.0070000000000000001</v>
      </c>
    </row>
    <row r="15" spans="2:46" ht="12.75">
      <c r="B15" t="s">
        <v>822</v>
      </c>
      <c r="C15" t="s">
        <v>792</v>
      </c>
      <c r="D15" t="s">
        <v>470</v>
      </c>
      <c r="F15" t="str">
        <f>C15</f>
        <v>R_ES-FL-SpCool</v>
      </c>
      <c r="H15" s="205">
        <f t="shared" si="3" ref="H15:AR15">MAX($AT$12,IF(H4&lt;$AT4,$AT4*(H4/$AT4)^0.5,H4))</f>
        <v>0.0070000000000000001</v>
      </c>
      <c r="I15" s="205">
        <f t="shared" si="3"/>
        <v>0.0070000000000000001</v>
      </c>
      <c r="J15" s="205">
        <f t="shared" si="3"/>
        <v>0.0070000000000000001</v>
      </c>
      <c r="K15" s="205">
        <f t="shared" si="3"/>
        <v>0.0070000000000000001</v>
      </c>
      <c r="L15" s="205">
        <f t="shared" si="3"/>
        <v>0.0070000000000000001</v>
      </c>
      <c r="M15" s="205">
        <f t="shared" si="3"/>
        <v>0.0070000000000000001</v>
      </c>
      <c r="N15" s="205">
        <f t="shared" si="3"/>
        <v>0.0070000000000000001</v>
      </c>
      <c r="O15" s="205">
        <f t="shared" si="3"/>
        <v>0.0070000000000000001</v>
      </c>
      <c r="P15" s="205">
        <f t="shared" si="3"/>
        <v>0.0070000000000000001</v>
      </c>
      <c r="Q15" s="205">
        <f t="shared" si="3"/>
        <v>0.0070000000000000001</v>
      </c>
      <c r="R15" s="205">
        <f t="shared" si="3"/>
        <v>0.0070000000000000001</v>
      </c>
      <c r="S15" s="205">
        <f t="shared" si="3"/>
        <v>0.0070000000000000001</v>
      </c>
      <c r="T15" s="205">
        <f t="shared" si="3"/>
        <v>0.0070000000000000001</v>
      </c>
      <c r="U15" s="205">
        <f t="shared" si="3"/>
        <v>0.0070000000000000001</v>
      </c>
      <c r="V15" s="205">
        <f t="shared" si="3"/>
        <v>0.0070000000000000001</v>
      </c>
      <c r="W15" s="205">
        <f t="shared" si="3"/>
        <v>0.0070000000000000001</v>
      </c>
      <c r="X15" s="205">
        <f t="shared" si="3"/>
        <v>0.0070000000000000001</v>
      </c>
      <c r="Y15" s="205">
        <f t="shared" si="3"/>
        <v>0.0070000000000000001</v>
      </c>
      <c r="Z15" s="205">
        <f t="shared" si="3"/>
        <v>0.0070000000000000001</v>
      </c>
      <c r="AA15" s="205">
        <f t="shared" si="3"/>
        <v>0.0070000000000000001</v>
      </c>
      <c r="AB15" s="205">
        <f t="shared" si="3"/>
        <v>0.0070000000000000001</v>
      </c>
      <c r="AC15" s="205">
        <f t="shared" si="3"/>
        <v>0.0075900000000000004</v>
      </c>
      <c r="AD15" s="205">
        <f t="shared" si="3"/>
        <v>0.0070000000000000001</v>
      </c>
      <c r="AE15" s="205">
        <f t="shared" si="3"/>
        <v>0.0070000000000000001</v>
      </c>
      <c r="AF15" s="205">
        <f t="shared" si="3"/>
        <v>0.0070000000000000001</v>
      </c>
      <c r="AG15" s="205">
        <f t="shared" si="3"/>
        <v>0.0070000000000000001</v>
      </c>
      <c r="AH15" s="205">
        <f t="shared" si="3"/>
        <v>0.0070000000000000001</v>
      </c>
      <c r="AI15" s="205">
        <f t="shared" si="3"/>
        <v>0.0070000000000000001</v>
      </c>
      <c r="AJ15" s="205">
        <f t="shared" si="3"/>
        <v>0.0070000000000000001</v>
      </c>
      <c r="AK15" s="205">
        <f t="shared" si="3"/>
        <v>0.0070000000000000001</v>
      </c>
      <c r="AL15" s="205">
        <f t="shared" si="3"/>
        <v>0.0070000000000000001</v>
      </c>
      <c r="AM15" s="205">
        <f t="shared" si="3"/>
        <v>0.0070000000000000001</v>
      </c>
      <c r="AN15" s="205">
        <f t="shared" si="3"/>
        <v>0.0070000000000000001</v>
      </c>
      <c r="AO15" s="205">
        <f t="shared" si="3"/>
        <v>0.0070000000000000001</v>
      </c>
      <c r="AP15" s="205">
        <f t="shared" si="3"/>
        <v>0.0070000000000000001</v>
      </c>
      <c r="AQ15" s="205">
        <f t="shared" si="3"/>
        <v>0.0070000000000000001</v>
      </c>
      <c r="AR15" s="205">
        <f t="shared" si="3"/>
        <v>0.0070000000000000001</v>
      </c>
      <c r="AT15" s="205">
        <f t="shared" si="2"/>
        <v>0.0070000000000000001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899998307228"/>
  </sheetPr>
  <dimension ref="B2:AZ39"/>
  <sheetViews>
    <sheetView workbookViewId="0" topLeftCell="A1">
      <selection pane="topLeft" activeCell="F3" sqref="F3"/>
    </sheetView>
  </sheetViews>
  <sheetFormatPr defaultColWidth="9.14428571428571" defaultRowHeight="15"/>
  <cols>
    <col min="1" max="1" width="9.14285714285714" style="191"/>
    <col min="2" max="2" width="12.8571428571429" style="191" customWidth="1"/>
    <col min="3" max="3" width="15.4285714285714" style="191" customWidth="1"/>
    <col min="4" max="4" width="6.14285714285714" style="191" customWidth="1"/>
    <col min="5" max="6" width="12.8571428571429" style="191" customWidth="1"/>
    <col min="7" max="16384" width="9.14285714285714" style="191"/>
  </cols>
  <sheetData>
    <row r="2" spans="2:11" ht="15.75" thickBot="1">
      <c r="B2" s="188" t="s">
        <v>744</v>
      </c>
      <c r="C2" s="188" t="s">
        <v>745</v>
      </c>
      <c r="D2" s="189"/>
      <c r="E2" s="190" t="s">
        <v>746</v>
      </c>
      <c r="F2" s="188" t="s">
        <v>747</v>
      </c>
      <c r="H2" s="188" t="s">
        <v>23</v>
      </c>
      <c r="I2" s="188" t="s">
        <v>748</v>
      </c>
      <c r="J2" s="188" t="s">
        <v>7</v>
      </c>
      <c r="K2" s="188" t="s">
        <v>749</v>
      </c>
    </row>
    <row r="3" spans="2:15 52:52" ht="15">
      <c r="B3" s="191" t="s">
        <v>40</v>
      </c>
      <c r="C3" s="191" t="s">
        <v>750</v>
      </c>
      <c r="D3" s="192" t="s">
        <v>751</v>
      </c>
      <c r="E3" s="193" t="s">
        <v>23</v>
      </c>
      <c r="F3" s="191" t="str">
        <f>IF($E3="CE","Central EU",IF($E3="EE","East EU",IF($E3="NE","North EU",IF($E3="SE","South EU"))))</f>
        <v>South EU</v>
      </c>
      <c r="H3" s="194" t="str">
        <f>IF($E3=H$2,$B3,"")</f>
        <v>AL</v>
      </c>
      <c r="I3" s="195" t="str">
        <f t="shared" si="0" ref="H3:K39">IF($E3=I$2,","&amp;$B3,"")</f>
        <v/>
      </c>
      <c r="J3" s="195" t="str">
        <f t="shared" si="0"/>
        <v/>
      </c>
      <c r="K3" s="195" t="str">
        <f t="shared" si="0"/>
        <v/>
      </c>
      <c r="M3" s="191" t="s">
        <v>23</v>
      </c>
      <c r="N3" s="191" t="s">
        <v>752</v>
      </c>
      <c r="O3" s="191" t="str">
        <f>CONCATENATE(H3,H4,H5,H6,H7,H8,H9,H10,H11,H12,H13,H14,H15,H16,H17,H18,H19,H20,H21,H22,H23,H24,H25,H26,H27,H28,H29,H30,H31,H32,H33,H34,H35,H36,H37,H38,H39)</f>
        <v>AL,BA,CY,EL,ES,HR,IT,KS,ME,MK,MT,PT,RS</v>
      </c>
      <c r="AZ3" s="196"/>
    </row>
    <row r="4" spans="2:15" ht="15">
      <c r="B4" s="191" t="s">
        <v>0</v>
      </c>
      <c r="C4" s="191" t="s">
        <v>753</v>
      </c>
      <c r="D4" s="192" t="s">
        <v>751</v>
      </c>
      <c r="E4" s="193" t="s">
        <v>748</v>
      </c>
      <c r="F4" s="191" t="str">
        <f t="shared" si="1" ref="F4:F39">IF($E4="CE","Central EU",IF($E4="EE","East EU",IF($E4="NE","North EU",IF($E4="SE","South EU"))))</f>
        <v>Central EU</v>
      </c>
      <c r="H4" s="195" t="str">
        <f t="shared" si="0"/>
        <v/>
      </c>
      <c r="I4" s="194" t="str">
        <f>IF($E4=I$2,$B4,"")</f>
        <v>AT</v>
      </c>
      <c r="J4" s="195" t="str">
        <f t="shared" si="0"/>
        <v/>
      </c>
      <c r="K4" s="195" t="str">
        <f t="shared" si="0"/>
        <v/>
      </c>
      <c r="M4" s="191" t="s">
        <v>748</v>
      </c>
      <c r="N4" s="191" t="s">
        <v>752</v>
      </c>
      <c r="O4" s="191" t="str">
        <f>CONCATENATE(I3,I4,I5,I6,I7,I8,I9,I10,I11,I12,I13,I14,I15,I16,I17,I18,I19,I20,I21,I22,I23,I24,I25,I26,I27,I28,I29,I30,I31,I32,I33,I34,I35,I36,I37,I38,I39)</f>
        <v>AT,BE,CH,DE,FR,LU,SI,UK</v>
      </c>
    </row>
    <row r="5" spans="2:15" ht="15">
      <c r="B5" s="191" t="s">
        <v>44</v>
      </c>
      <c r="C5" s="191" t="s">
        <v>754</v>
      </c>
      <c r="D5" s="192" t="s">
        <v>751</v>
      </c>
      <c r="E5" s="193" t="s">
        <v>23</v>
      </c>
      <c r="F5" s="191" t="str">
        <f t="shared" si="1"/>
        <v>South EU</v>
      </c>
      <c r="H5" s="195" t="str">
        <f t="shared" si="0"/>
        <v>,BA</v>
      </c>
      <c r="I5" s="195" t="str">
        <f t="shared" si="0"/>
        <v/>
      </c>
      <c r="J5" s="195" t="str">
        <f t="shared" si="0"/>
        <v/>
      </c>
      <c r="K5" s="195" t="str">
        <f t="shared" si="0"/>
        <v/>
      </c>
      <c r="M5" s="191" t="s">
        <v>7</v>
      </c>
      <c r="N5" s="191" t="s">
        <v>752</v>
      </c>
      <c r="O5" s="191" t="str">
        <f>CONCATENATE(J3,J4,J5,J6,J7,J8,J9,J10,J11,J12,J13,J14,J15,J16,J17,J18,J19,J20,J21,J22,J23,J24,J25,J26,J27,J28,J29,J30,J31,J32,J33,J34,J35,J36,J37,J38,J39)</f>
        <v>BG,CZ,EE,HU,LT,LV,PL,RO,SK</v>
      </c>
    </row>
    <row r="6" spans="2:15" ht="15">
      <c r="B6" s="191" t="s">
        <v>1</v>
      </c>
      <c r="C6" s="191" t="s">
        <v>755</v>
      </c>
      <c r="D6" s="192" t="s">
        <v>751</v>
      </c>
      <c r="E6" s="193" t="s">
        <v>748</v>
      </c>
      <c r="F6" s="191" t="str">
        <f t="shared" si="1"/>
        <v>Central EU</v>
      </c>
      <c r="H6" s="195" t="str">
        <f t="shared" si="0"/>
        <v/>
      </c>
      <c r="I6" s="195" t="str">
        <f t="shared" si="0"/>
        <v>,BE</v>
      </c>
      <c r="J6" s="195" t="str">
        <f t="shared" si="0"/>
        <v/>
      </c>
      <c r="K6" s="195" t="str">
        <f t="shared" si="0"/>
        <v/>
      </c>
      <c r="M6" s="191" t="s">
        <v>749</v>
      </c>
      <c r="N6" s="191" t="s">
        <v>752</v>
      </c>
      <c r="O6" s="191" t="str">
        <f>CONCATENATE(K3,K4,K5,K6,K7,K8,K9,K10,K11,K12,K13,K14,K15,K16,K17,K18,K19,K20,K21,K22,K23,K24,K25,K26,K27,K28,K29,K30,K31,K32,K33,K34,K35,K36,K37,K38,K39)</f>
        <v>DK,FI,IE,IS,NL,NO,SE</v>
      </c>
    </row>
    <row r="7" spans="2:11" ht="15">
      <c r="B7" s="191" t="s">
        <v>30</v>
      </c>
      <c r="C7" s="191" t="s">
        <v>756</v>
      </c>
      <c r="D7" s="192" t="s">
        <v>751</v>
      </c>
      <c r="E7" s="193" t="s">
        <v>7</v>
      </c>
      <c r="F7" s="191" t="str">
        <f t="shared" si="1"/>
        <v>East EU</v>
      </c>
      <c r="H7" s="195" t="str">
        <f t="shared" si="0"/>
        <v/>
      </c>
      <c r="I7" s="195" t="str">
        <f t="shared" si="0"/>
        <v/>
      </c>
      <c r="J7" s="194" t="str">
        <f>IF($E7=J$2,$B7,"")</f>
        <v>BG</v>
      </c>
      <c r="K7" s="195" t="str">
        <f t="shared" si="0"/>
        <v/>
      </c>
    </row>
    <row r="8" spans="2:11" ht="15">
      <c r="B8" s="191" t="s">
        <v>2</v>
      </c>
      <c r="C8" s="191" t="s">
        <v>757</v>
      </c>
      <c r="D8" s="192" t="s">
        <v>751</v>
      </c>
      <c r="E8" s="193" t="s">
        <v>748</v>
      </c>
      <c r="F8" s="191" t="str">
        <f t="shared" si="1"/>
        <v>Central EU</v>
      </c>
      <c r="H8" s="195" t="str">
        <f t="shared" si="0"/>
        <v/>
      </c>
      <c r="I8" s="195" t="str">
        <f t="shared" si="0"/>
        <v>,CH</v>
      </c>
      <c r="J8" s="195" t="str">
        <f t="shared" si="0"/>
        <v/>
      </c>
      <c r="K8" s="195" t="str">
        <f t="shared" si="0"/>
        <v/>
      </c>
    </row>
    <row r="9" spans="2:11" ht="15">
      <c r="B9" s="191" t="s">
        <v>3</v>
      </c>
      <c r="C9" s="191" t="s">
        <v>758</v>
      </c>
      <c r="D9" s="192" t="s">
        <v>751</v>
      </c>
      <c r="E9" s="193" t="s">
        <v>23</v>
      </c>
      <c r="F9" s="191" t="str">
        <f t="shared" si="1"/>
        <v>South EU</v>
      </c>
      <c r="H9" s="195" t="str">
        <f t="shared" si="0"/>
        <v>,CY</v>
      </c>
      <c r="I9" s="195" t="str">
        <f t="shared" si="0"/>
        <v/>
      </c>
      <c r="J9" s="195" t="str">
        <f t="shared" si="0"/>
        <v/>
      </c>
      <c r="K9" s="195" t="str">
        <f t="shared" si="0"/>
        <v/>
      </c>
    </row>
    <row r="10" spans="2:11" ht="15">
      <c r="B10" s="191" t="s">
        <v>4</v>
      </c>
      <c r="C10" s="191" t="s">
        <v>759</v>
      </c>
      <c r="D10" s="192" t="s">
        <v>751</v>
      </c>
      <c r="E10" s="193" t="s">
        <v>7</v>
      </c>
      <c r="F10" s="191" t="str">
        <f t="shared" si="1"/>
        <v>East EU</v>
      </c>
      <c r="H10" s="195" t="str">
        <f t="shared" si="0"/>
        <v/>
      </c>
      <c r="I10" s="195" t="str">
        <f t="shared" si="0"/>
        <v/>
      </c>
      <c r="J10" s="195" t="str">
        <f t="shared" si="0"/>
        <v>,CZ</v>
      </c>
      <c r="K10" s="195" t="str">
        <f t="shared" si="0"/>
        <v/>
      </c>
    </row>
    <row r="11" spans="2:11" ht="15">
      <c r="B11" s="191" t="s">
        <v>5</v>
      </c>
      <c r="C11" s="191" t="s">
        <v>760</v>
      </c>
      <c r="D11" s="192" t="s">
        <v>751</v>
      </c>
      <c r="E11" s="193" t="s">
        <v>748</v>
      </c>
      <c r="F11" s="191" t="str">
        <f t="shared" si="1"/>
        <v>Central EU</v>
      </c>
      <c r="H11" s="195" t="str">
        <f t="shared" si="0"/>
        <v/>
      </c>
      <c r="I11" s="195" t="str">
        <f t="shared" si="0"/>
        <v>,DE</v>
      </c>
      <c r="J11" s="195" t="str">
        <f t="shared" si="0"/>
        <v/>
      </c>
      <c r="K11" s="195" t="str">
        <f t="shared" si="0"/>
        <v/>
      </c>
    </row>
    <row r="12" spans="2:11" ht="15">
      <c r="B12" s="191" t="s">
        <v>6</v>
      </c>
      <c r="C12" s="191" t="s">
        <v>761</v>
      </c>
      <c r="D12" s="192" t="s">
        <v>751</v>
      </c>
      <c r="E12" s="193" t="s">
        <v>749</v>
      </c>
      <c r="F12" s="191" t="str">
        <f t="shared" si="1"/>
        <v>North EU</v>
      </c>
      <c r="H12" s="195" t="str">
        <f t="shared" si="0"/>
        <v/>
      </c>
      <c r="I12" s="195" t="str">
        <f t="shared" si="0"/>
        <v/>
      </c>
      <c r="J12" s="195" t="str">
        <f t="shared" si="0"/>
        <v/>
      </c>
      <c r="K12" s="194" t="str">
        <f>IF($E12=K$2,$B12,"")</f>
        <v>DK</v>
      </c>
    </row>
    <row r="13" spans="2:11" ht="15">
      <c r="B13" s="191" t="s">
        <v>7</v>
      </c>
      <c r="C13" s="191" t="s">
        <v>762</v>
      </c>
      <c r="D13" s="192" t="s">
        <v>751</v>
      </c>
      <c r="E13" s="193" t="s">
        <v>7</v>
      </c>
      <c r="F13" s="191" t="str">
        <f t="shared" si="1"/>
        <v>East EU</v>
      </c>
      <c r="H13" s="195" t="str">
        <f t="shared" si="0"/>
        <v/>
      </c>
      <c r="I13" s="195" t="str">
        <f t="shared" si="0"/>
        <v/>
      </c>
      <c r="J13" s="195" t="str">
        <f t="shared" si="0"/>
        <v>,EE</v>
      </c>
      <c r="K13" s="195" t="str">
        <f t="shared" si="0"/>
        <v/>
      </c>
    </row>
    <row r="14" spans="2:11" ht="15">
      <c r="B14" s="191" t="s">
        <v>47</v>
      </c>
      <c r="C14" s="191" t="s">
        <v>763</v>
      </c>
      <c r="D14" s="192" t="s">
        <v>751</v>
      </c>
      <c r="E14" s="193" t="s">
        <v>23</v>
      </c>
      <c r="F14" s="191" t="str">
        <f t="shared" si="1"/>
        <v>South EU</v>
      </c>
      <c r="H14" s="195" t="str">
        <f t="shared" si="0"/>
        <v>,EL</v>
      </c>
      <c r="I14" s="195" t="str">
        <f t="shared" si="0"/>
        <v/>
      </c>
      <c r="J14" s="195" t="str">
        <f t="shared" si="0"/>
        <v/>
      </c>
      <c r="K14" s="195" t="str">
        <f t="shared" si="0"/>
        <v/>
      </c>
    </row>
    <row r="15" spans="2:11" ht="15">
      <c r="B15" s="191" t="s">
        <v>8</v>
      </c>
      <c r="C15" s="191" t="s">
        <v>764</v>
      </c>
      <c r="D15" s="192" t="s">
        <v>751</v>
      </c>
      <c r="E15" s="193" t="s">
        <v>23</v>
      </c>
      <c r="F15" s="191" t="str">
        <f t="shared" si="1"/>
        <v>South EU</v>
      </c>
      <c r="H15" s="195" t="str">
        <f t="shared" si="0"/>
        <v>,ES</v>
      </c>
      <c r="I15" s="195" t="str">
        <f t="shared" si="0"/>
        <v/>
      </c>
      <c r="J15" s="195" t="str">
        <f t="shared" si="0"/>
        <v/>
      </c>
      <c r="K15" s="195" t="str">
        <f t="shared" si="0"/>
        <v/>
      </c>
    </row>
    <row r="16" spans="2:11" ht="15">
      <c r="B16" s="191" t="s">
        <v>9</v>
      </c>
      <c r="C16" s="191" t="s">
        <v>765</v>
      </c>
      <c r="D16" s="192" t="s">
        <v>751</v>
      </c>
      <c r="E16" s="193" t="s">
        <v>749</v>
      </c>
      <c r="F16" s="191" t="str">
        <f t="shared" si="1"/>
        <v>North EU</v>
      </c>
      <c r="H16" s="195" t="str">
        <f t="shared" si="0"/>
        <v/>
      </c>
      <c r="I16" s="195" t="str">
        <f t="shared" si="0"/>
        <v/>
      </c>
      <c r="J16" s="195" t="str">
        <f t="shared" si="0"/>
        <v/>
      </c>
      <c r="K16" s="195" t="str">
        <f t="shared" si="0"/>
        <v>,FI</v>
      </c>
    </row>
    <row r="17" spans="2:11" ht="15">
      <c r="B17" s="191" t="s">
        <v>10</v>
      </c>
      <c r="C17" s="191" t="s">
        <v>766</v>
      </c>
      <c r="D17" s="192" t="s">
        <v>751</v>
      </c>
      <c r="E17" s="193" t="s">
        <v>748</v>
      </c>
      <c r="F17" s="191" t="str">
        <f t="shared" si="1"/>
        <v>Central EU</v>
      </c>
      <c r="H17" s="195" t="str">
        <f t="shared" si="0"/>
        <v/>
      </c>
      <c r="I17" s="195" t="str">
        <f t="shared" si="0"/>
        <v>,FR</v>
      </c>
      <c r="J17" s="195" t="str">
        <f t="shared" si="0"/>
        <v/>
      </c>
      <c r="K17" s="195" t="str">
        <f t="shared" si="0"/>
        <v/>
      </c>
    </row>
    <row r="18" spans="2:11" ht="15">
      <c r="B18" s="191" t="s">
        <v>31</v>
      </c>
      <c r="C18" s="191" t="s">
        <v>767</v>
      </c>
      <c r="D18" s="192" t="s">
        <v>751</v>
      </c>
      <c r="E18" s="193" t="s">
        <v>23</v>
      </c>
      <c r="F18" s="191" t="str">
        <f t="shared" si="1"/>
        <v>South EU</v>
      </c>
      <c r="H18" s="195" t="str">
        <f t="shared" si="0"/>
        <v>,HR</v>
      </c>
      <c r="I18" s="195" t="str">
        <f t="shared" si="0"/>
        <v/>
      </c>
      <c r="J18" s="195" t="str">
        <f t="shared" si="0"/>
        <v/>
      </c>
      <c r="K18" s="195" t="str">
        <f t="shared" si="0"/>
        <v/>
      </c>
    </row>
    <row r="19" spans="2:11" ht="15">
      <c r="B19" s="191" t="s">
        <v>11</v>
      </c>
      <c r="C19" s="191" t="s">
        <v>768</v>
      </c>
      <c r="D19" s="192" t="s">
        <v>751</v>
      </c>
      <c r="E19" s="193" t="s">
        <v>7</v>
      </c>
      <c r="F19" s="191" t="str">
        <f t="shared" si="1"/>
        <v>East EU</v>
      </c>
      <c r="H19" s="195" t="str">
        <f t="shared" si="0"/>
        <v/>
      </c>
      <c r="I19" s="195" t="str">
        <f t="shared" si="0"/>
        <v/>
      </c>
      <c r="J19" s="195" t="str">
        <f t="shared" si="0"/>
        <v>,HU</v>
      </c>
      <c r="K19" s="195" t="str">
        <f t="shared" si="0"/>
        <v/>
      </c>
    </row>
    <row r="20" spans="2:11" ht="15">
      <c r="B20" s="191" t="s">
        <v>12</v>
      </c>
      <c r="C20" s="191" t="s">
        <v>769</v>
      </c>
      <c r="D20" s="192" t="s">
        <v>751</v>
      </c>
      <c r="E20" s="193" t="s">
        <v>749</v>
      </c>
      <c r="F20" s="191" t="str">
        <f t="shared" si="1"/>
        <v>North EU</v>
      </c>
      <c r="H20" s="195" t="str">
        <f t="shared" si="0"/>
        <v/>
      </c>
      <c r="I20" s="195" t="str">
        <f t="shared" si="0"/>
        <v/>
      </c>
      <c r="J20" s="195" t="str">
        <f t="shared" si="0"/>
        <v/>
      </c>
      <c r="K20" s="195" t="str">
        <f t="shared" si="0"/>
        <v>,IE</v>
      </c>
    </row>
    <row r="21" spans="2:11" ht="15">
      <c r="B21" s="191" t="s">
        <v>13</v>
      </c>
      <c r="C21" s="191" t="s">
        <v>770</v>
      </c>
      <c r="D21" s="192" t="s">
        <v>751</v>
      </c>
      <c r="E21" s="193" t="s">
        <v>749</v>
      </c>
      <c r="F21" s="191" t="str">
        <f t="shared" si="1"/>
        <v>North EU</v>
      </c>
      <c r="H21" s="195" t="str">
        <f t="shared" si="0"/>
        <v/>
      </c>
      <c r="I21" s="195" t="str">
        <f t="shared" si="0"/>
        <v/>
      </c>
      <c r="J21" s="195" t="str">
        <f t="shared" si="0"/>
        <v/>
      </c>
      <c r="K21" s="195" t="str">
        <f t="shared" si="0"/>
        <v>,IS</v>
      </c>
    </row>
    <row r="22" spans="2:11" ht="15">
      <c r="B22" s="191" t="s">
        <v>27</v>
      </c>
      <c r="C22" s="191" t="s">
        <v>771</v>
      </c>
      <c r="D22" s="192" t="s">
        <v>751</v>
      </c>
      <c r="E22" s="193" t="s">
        <v>23</v>
      </c>
      <c r="F22" s="191" t="str">
        <f t="shared" si="1"/>
        <v>South EU</v>
      </c>
      <c r="H22" s="195" t="str">
        <f t="shared" si="0"/>
        <v>,IT</v>
      </c>
      <c r="I22" s="195" t="str">
        <f t="shared" si="0"/>
        <v/>
      </c>
      <c r="J22" s="195" t="str">
        <f t="shared" si="0"/>
        <v/>
      </c>
      <c r="K22" s="195" t="str">
        <f t="shared" si="0"/>
        <v/>
      </c>
    </row>
    <row r="23" spans="2:11" ht="15">
      <c r="B23" s="191" t="s">
        <v>45</v>
      </c>
      <c r="C23" s="191" t="s">
        <v>772</v>
      </c>
      <c r="D23" s="192" t="s">
        <v>751</v>
      </c>
      <c r="E23" s="193" t="s">
        <v>23</v>
      </c>
      <c r="F23" s="191" t="str">
        <f t="shared" si="1"/>
        <v>South EU</v>
      </c>
      <c r="H23" s="195" t="str">
        <f t="shared" si="0"/>
        <v>,KS</v>
      </c>
      <c r="I23" s="195" t="str">
        <f t="shared" si="0"/>
        <v/>
      </c>
      <c r="J23" s="195" t="str">
        <f t="shared" si="0"/>
        <v/>
      </c>
      <c r="K23" s="195" t="str">
        <f t="shared" si="0"/>
        <v/>
      </c>
    </row>
    <row r="24" spans="2:11" ht="15">
      <c r="B24" s="191" t="s">
        <v>14</v>
      </c>
      <c r="C24" s="191" t="s">
        <v>773</v>
      </c>
      <c r="D24" s="192" t="s">
        <v>751</v>
      </c>
      <c r="E24" s="193" t="s">
        <v>7</v>
      </c>
      <c r="F24" s="191" t="str">
        <f t="shared" si="1"/>
        <v>East EU</v>
      </c>
      <c r="H24" s="195" t="str">
        <f t="shared" si="0"/>
        <v/>
      </c>
      <c r="I24" s="195" t="str">
        <f t="shared" si="0"/>
        <v/>
      </c>
      <c r="J24" s="195" t="str">
        <f t="shared" si="0"/>
        <v>,LT</v>
      </c>
      <c r="K24" s="195" t="str">
        <f t="shared" si="0"/>
        <v/>
      </c>
    </row>
    <row r="25" spans="2:11" ht="15">
      <c r="B25" s="191" t="s">
        <v>15</v>
      </c>
      <c r="C25" s="191" t="s">
        <v>774</v>
      </c>
      <c r="D25" s="192" t="s">
        <v>751</v>
      </c>
      <c r="E25" s="193" t="s">
        <v>748</v>
      </c>
      <c r="F25" s="191" t="str">
        <f t="shared" si="1"/>
        <v>Central EU</v>
      </c>
      <c r="H25" s="195" t="str">
        <f t="shared" si="0"/>
        <v/>
      </c>
      <c r="I25" s="195" t="str">
        <f t="shared" si="0"/>
        <v>,LU</v>
      </c>
      <c r="J25" s="195" t="str">
        <f t="shared" si="0"/>
        <v/>
      </c>
      <c r="K25" s="195" t="str">
        <f t="shared" si="0"/>
        <v/>
      </c>
    </row>
    <row r="26" spans="2:11" ht="15">
      <c r="B26" s="191" t="s">
        <v>16</v>
      </c>
      <c r="C26" s="191" t="s">
        <v>775</v>
      </c>
      <c r="D26" s="192" t="s">
        <v>751</v>
      </c>
      <c r="E26" s="193" t="s">
        <v>7</v>
      </c>
      <c r="F26" s="191" t="str">
        <f t="shared" si="1"/>
        <v>East EU</v>
      </c>
      <c r="H26" s="195" t="str">
        <f t="shared" si="0"/>
        <v/>
      </c>
      <c r="I26" s="195" t="str">
        <f t="shared" si="0"/>
        <v/>
      </c>
      <c r="J26" s="195" t="str">
        <f t="shared" si="0"/>
        <v>,LV</v>
      </c>
      <c r="K26" s="195" t="str">
        <f t="shared" si="0"/>
        <v/>
      </c>
    </row>
    <row r="27" spans="2:11" ht="15">
      <c r="B27" s="191" t="s">
        <v>41</v>
      </c>
      <c r="C27" s="191" t="s">
        <v>776</v>
      </c>
      <c r="D27" s="192" t="s">
        <v>751</v>
      </c>
      <c r="E27" s="193" t="s">
        <v>23</v>
      </c>
      <c r="F27" s="191" t="str">
        <f t="shared" si="1"/>
        <v>South EU</v>
      </c>
      <c r="H27" s="195" t="str">
        <f t="shared" si="0"/>
        <v>,ME</v>
      </c>
      <c r="I27" s="195" t="str">
        <f t="shared" si="0"/>
        <v/>
      </c>
      <c r="J27" s="195" t="str">
        <f t="shared" si="0"/>
        <v/>
      </c>
      <c r="K27" s="195" t="str">
        <f t="shared" si="0"/>
        <v/>
      </c>
    </row>
    <row r="28" spans="2:11" ht="15">
      <c r="B28" s="191" t="s">
        <v>32</v>
      </c>
      <c r="C28" s="191" t="s">
        <v>777</v>
      </c>
      <c r="D28" s="192" t="s">
        <v>751</v>
      </c>
      <c r="E28" s="193" t="s">
        <v>23</v>
      </c>
      <c r="F28" s="191" t="str">
        <f t="shared" si="1"/>
        <v>South EU</v>
      </c>
      <c r="H28" s="195" t="str">
        <f t="shared" si="0"/>
        <v>,MK</v>
      </c>
      <c r="I28" s="195" t="str">
        <f t="shared" si="0"/>
        <v/>
      </c>
      <c r="J28" s="195" t="str">
        <f t="shared" si="0"/>
        <v/>
      </c>
      <c r="K28" s="195" t="str">
        <f t="shared" si="0"/>
        <v/>
      </c>
    </row>
    <row r="29" spans="2:11" ht="15">
      <c r="B29" s="191" t="s">
        <v>17</v>
      </c>
      <c r="C29" s="191" t="s">
        <v>778</v>
      </c>
      <c r="D29" s="192" t="s">
        <v>751</v>
      </c>
      <c r="E29" s="193" t="s">
        <v>23</v>
      </c>
      <c r="F29" s="191" t="str">
        <f t="shared" si="1"/>
        <v>South EU</v>
      </c>
      <c r="H29" s="195" t="str">
        <f t="shared" si="0"/>
        <v>,MT</v>
      </c>
      <c r="I29" s="195" t="str">
        <f t="shared" si="0"/>
        <v/>
      </c>
      <c r="J29" s="195" t="str">
        <f t="shared" si="0"/>
        <v/>
      </c>
      <c r="K29" s="195" t="str">
        <f t="shared" si="0"/>
        <v/>
      </c>
    </row>
    <row r="30" spans="2:11" ht="15">
      <c r="B30" s="191" t="s">
        <v>18</v>
      </c>
      <c r="C30" s="191" t="s">
        <v>779</v>
      </c>
      <c r="D30" s="192" t="s">
        <v>751</v>
      </c>
      <c r="E30" s="193" t="s">
        <v>749</v>
      </c>
      <c r="F30" s="191" t="str">
        <f t="shared" si="1"/>
        <v>North EU</v>
      </c>
      <c r="H30" s="195" t="str">
        <f t="shared" si="0"/>
        <v/>
      </c>
      <c r="I30" s="195" t="str">
        <f t="shared" si="0"/>
        <v/>
      </c>
      <c r="J30" s="195" t="str">
        <f t="shared" si="0"/>
        <v/>
      </c>
      <c r="K30" s="195" t="str">
        <f t="shared" si="0"/>
        <v>,NL</v>
      </c>
    </row>
    <row r="31" spans="2:11" ht="15">
      <c r="B31" s="191" t="s">
        <v>19</v>
      </c>
      <c r="C31" s="191" t="s">
        <v>780</v>
      </c>
      <c r="D31" s="192" t="s">
        <v>751</v>
      </c>
      <c r="E31" s="193" t="s">
        <v>749</v>
      </c>
      <c r="F31" s="191" t="str">
        <f t="shared" si="1"/>
        <v>North EU</v>
      </c>
      <c r="H31" s="195" t="str">
        <f t="shared" si="0"/>
        <v/>
      </c>
      <c r="I31" s="195" t="str">
        <f t="shared" si="0"/>
        <v/>
      </c>
      <c r="J31" s="195" t="str">
        <f t="shared" si="0"/>
        <v/>
      </c>
      <c r="K31" s="195" t="str">
        <f t="shared" si="0"/>
        <v>,NO</v>
      </c>
    </row>
    <row r="32" spans="2:11" ht="15">
      <c r="B32" s="191" t="s">
        <v>20</v>
      </c>
      <c r="C32" s="191" t="s">
        <v>781</v>
      </c>
      <c r="D32" s="192" t="s">
        <v>751</v>
      </c>
      <c r="E32" s="193" t="s">
        <v>7</v>
      </c>
      <c r="F32" s="191" t="str">
        <f t="shared" si="1"/>
        <v>East EU</v>
      </c>
      <c r="H32" s="195" t="str">
        <f t="shared" si="0"/>
        <v/>
      </c>
      <c r="I32" s="195" t="str">
        <f t="shared" si="0"/>
        <v/>
      </c>
      <c r="J32" s="195" t="str">
        <f t="shared" si="0"/>
        <v>,PL</v>
      </c>
      <c r="K32" s="195" t="str">
        <f t="shared" si="0"/>
        <v/>
      </c>
    </row>
    <row r="33" spans="2:11" ht="15">
      <c r="B33" s="191" t="s">
        <v>21</v>
      </c>
      <c r="C33" s="191" t="s">
        <v>782</v>
      </c>
      <c r="D33" s="192" t="s">
        <v>751</v>
      </c>
      <c r="E33" s="193" t="s">
        <v>23</v>
      </c>
      <c r="F33" s="191" t="str">
        <f t="shared" si="1"/>
        <v>South EU</v>
      </c>
      <c r="H33" s="195" t="str">
        <f t="shared" si="0"/>
        <v>,PT</v>
      </c>
      <c r="I33" s="195" t="str">
        <f t="shared" si="0"/>
        <v/>
      </c>
      <c r="J33" s="195" t="str">
        <f t="shared" si="0"/>
        <v/>
      </c>
      <c r="K33" s="195" t="str">
        <f t="shared" si="0"/>
        <v/>
      </c>
    </row>
    <row r="34" spans="2:11" ht="15">
      <c r="B34" s="191" t="s">
        <v>22</v>
      </c>
      <c r="C34" s="191" t="s">
        <v>783</v>
      </c>
      <c r="D34" s="192" t="s">
        <v>751</v>
      </c>
      <c r="E34" s="193" t="s">
        <v>7</v>
      </c>
      <c r="F34" s="191" t="str">
        <f t="shared" si="1"/>
        <v>East EU</v>
      </c>
      <c r="H34" s="195" t="str">
        <f t="shared" si="0"/>
        <v/>
      </c>
      <c r="I34" s="195" t="str">
        <f t="shared" si="0"/>
        <v/>
      </c>
      <c r="J34" s="195" t="str">
        <f t="shared" si="0"/>
        <v>,RO</v>
      </c>
      <c r="K34" s="195" t="str">
        <f t="shared" si="0"/>
        <v/>
      </c>
    </row>
    <row r="35" spans="2:11" ht="15">
      <c r="B35" s="191" t="s">
        <v>42</v>
      </c>
      <c r="C35" s="191" t="s">
        <v>784</v>
      </c>
      <c r="D35" s="192" t="s">
        <v>751</v>
      </c>
      <c r="E35" s="193" t="s">
        <v>23</v>
      </c>
      <c r="F35" s="191" t="str">
        <f t="shared" si="1"/>
        <v>South EU</v>
      </c>
      <c r="H35" s="195" t="str">
        <f t="shared" si="0"/>
        <v>,RS</v>
      </c>
      <c r="I35" s="195" t="str">
        <f t="shared" si="0"/>
        <v/>
      </c>
      <c r="J35" s="195" t="str">
        <f t="shared" si="0"/>
        <v/>
      </c>
      <c r="K35" s="195" t="str">
        <f t="shared" si="0"/>
        <v/>
      </c>
    </row>
    <row r="36" spans="2:11" ht="15">
      <c r="B36" s="191" t="s">
        <v>23</v>
      </c>
      <c r="C36" s="191" t="s">
        <v>785</v>
      </c>
      <c r="D36" s="192" t="s">
        <v>751</v>
      </c>
      <c r="E36" s="193" t="s">
        <v>749</v>
      </c>
      <c r="F36" s="191" t="str">
        <f t="shared" si="1"/>
        <v>North EU</v>
      </c>
      <c r="H36" s="195" t="str">
        <f t="shared" si="0"/>
        <v/>
      </c>
      <c r="I36" s="195" t="str">
        <f t="shared" si="0"/>
        <v/>
      </c>
      <c r="J36" s="195" t="str">
        <f t="shared" si="0"/>
        <v/>
      </c>
      <c r="K36" s="195" t="str">
        <f t="shared" si="0"/>
        <v>,SE</v>
      </c>
    </row>
    <row r="37" spans="2:11" ht="15">
      <c r="B37" s="191" t="s">
        <v>24</v>
      </c>
      <c r="C37" s="191" t="s">
        <v>786</v>
      </c>
      <c r="D37" s="192" t="s">
        <v>751</v>
      </c>
      <c r="E37" s="193" t="s">
        <v>748</v>
      </c>
      <c r="F37" s="191" t="str">
        <f t="shared" si="1"/>
        <v>Central EU</v>
      </c>
      <c r="H37" s="195" t="str">
        <f t="shared" si="0"/>
        <v/>
      </c>
      <c r="I37" s="195" t="str">
        <f t="shared" si="0"/>
        <v>,SI</v>
      </c>
      <c r="J37" s="195" t="str">
        <f t="shared" si="0"/>
        <v/>
      </c>
      <c r="K37" s="195" t="str">
        <f t="shared" si="0"/>
        <v/>
      </c>
    </row>
    <row r="38" spans="2:11" ht="15">
      <c r="B38" s="191" t="s">
        <v>25</v>
      </c>
      <c r="C38" s="191" t="s">
        <v>787</v>
      </c>
      <c r="D38" s="192" t="s">
        <v>751</v>
      </c>
      <c r="E38" s="193" t="s">
        <v>7</v>
      </c>
      <c r="F38" s="191" t="str">
        <f t="shared" si="1"/>
        <v>East EU</v>
      </c>
      <c r="H38" s="195" t="str">
        <f t="shared" si="0"/>
        <v/>
      </c>
      <c r="I38" s="195" t="str">
        <f t="shared" si="0"/>
        <v/>
      </c>
      <c r="J38" s="195" t="str">
        <f t="shared" si="0"/>
        <v>,SK</v>
      </c>
      <c r="K38" s="195" t="str">
        <f t="shared" si="0"/>
        <v/>
      </c>
    </row>
    <row r="39" spans="2:11" ht="15">
      <c r="B39" s="196" t="s">
        <v>26</v>
      </c>
      <c r="C39" s="196" t="s">
        <v>788</v>
      </c>
      <c r="D39" s="192" t="s">
        <v>751</v>
      </c>
      <c r="E39" s="197" t="s">
        <v>748</v>
      </c>
      <c r="F39" s="191" t="str">
        <f t="shared" si="1"/>
        <v>Central EU</v>
      </c>
      <c r="H39" s="198" t="str">
        <f t="shared" si="0"/>
        <v/>
      </c>
      <c r="I39" s="198" t="str">
        <f t="shared" si="0"/>
        <v>,UK</v>
      </c>
      <c r="J39" s="198" t="str">
        <f t="shared" si="0"/>
        <v/>
      </c>
      <c r="K39" s="198" t="str">
        <f t="shared" si="0"/>
        <v/>
      </c>
    </row>
  </sheetData>
  <dataValidations count="1">
    <dataValidation type="list" allowBlank="1" showInputMessage="1" showErrorMessage="1" sqref="E3:E39">
      <formula1>"CE,EE,NE,SE"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18"/>
  <sheetViews>
    <sheetView zoomScale="115" zoomScaleNormal="115" workbookViewId="0" topLeftCell="A1">
      <selection pane="topLeft" activeCell="E23" sqref="E23"/>
    </sheetView>
  </sheetViews>
  <sheetFormatPr defaultColWidth="9.14428571428571" defaultRowHeight="12.75"/>
  <cols>
    <col min="1" max="1" width="10" style="67" customWidth="1"/>
    <col min="2" max="2" width="8.85714285714286" style="67" bestFit="1" customWidth="1"/>
    <col min="3" max="3" width="9.71428571428571" style="67" bestFit="1" customWidth="1"/>
    <col min="4" max="4" width="9.57142857142857" style="67" bestFit="1" customWidth="1"/>
    <col min="5" max="5" width="14.2857142857143" style="67" bestFit="1" customWidth="1"/>
    <col min="6" max="6" width="14.5714285714286" style="67" bestFit="1" customWidth="1"/>
    <col min="7" max="7" width="18.5714285714286" style="67" bestFit="1" customWidth="1"/>
    <col min="8" max="8" width="13.4285714285714" style="67" bestFit="1" customWidth="1"/>
    <col min="9" max="9" width="14.4285714285714" style="67" bestFit="1" customWidth="1"/>
    <col min="10" max="10" width="4.42857142857143" style="67" customWidth="1"/>
    <col min="11" max="46" width="4.57142857142857" style="67" bestFit="1" customWidth="1"/>
    <col min="47" max="16384" width="9.14285714285714" style="67"/>
  </cols>
  <sheetData>
    <row r="1" spans="1:1" ht="18">
      <c r="A1" s="68" t="s">
        <v>400</v>
      </c>
    </row>
    <row r="7" spans="1:1" ht="12.75">
      <c r="A7" s="69" t="s">
        <v>50</v>
      </c>
    </row>
    <row r="8" spans="1:46" ht="12.75">
      <c r="A8" s="1" t="s">
        <v>33</v>
      </c>
      <c r="B8" s="1" t="s">
        <v>34</v>
      </c>
      <c r="C8" s="1" t="s">
        <v>35</v>
      </c>
      <c r="D8" s="1" t="s">
        <v>36</v>
      </c>
      <c r="E8" s="1" t="s">
        <v>49</v>
      </c>
      <c r="F8" s="1" t="s">
        <v>43</v>
      </c>
      <c r="G8" s="1" t="s">
        <v>397</v>
      </c>
      <c r="H8" s="73" t="s">
        <v>39</v>
      </c>
      <c r="I8" s="73" t="s">
        <v>422</v>
      </c>
      <c r="J8" s="1" t="s">
        <v>0</v>
      </c>
      <c r="K8" s="1" t="s">
        <v>1</v>
      </c>
      <c r="L8" s="1" t="s">
        <v>30</v>
      </c>
      <c r="M8" s="1" t="s">
        <v>2</v>
      </c>
      <c r="N8" s="1" t="s">
        <v>3</v>
      </c>
      <c r="O8" s="1" t="s">
        <v>4</v>
      </c>
      <c r="P8" s="1" t="s">
        <v>5</v>
      </c>
      <c r="Q8" s="1" t="s">
        <v>6</v>
      </c>
      <c r="R8" s="1" t="s">
        <v>7</v>
      </c>
      <c r="S8" s="1" t="s">
        <v>8</v>
      </c>
      <c r="T8" s="1" t="s">
        <v>9</v>
      </c>
      <c r="U8" s="1" t="s">
        <v>10</v>
      </c>
      <c r="V8" s="1" t="s">
        <v>47</v>
      </c>
      <c r="W8" s="1" t="s">
        <v>11</v>
      </c>
      <c r="X8" s="1" t="s">
        <v>12</v>
      </c>
      <c r="Y8" s="1" t="s">
        <v>13</v>
      </c>
      <c r="Z8" s="1" t="s">
        <v>27</v>
      </c>
      <c r="AA8" s="1" t="s">
        <v>14</v>
      </c>
      <c r="AB8" s="1" t="s">
        <v>15</v>
      </c>
      <c r="AC8" s="1" t="s">
        <v>16</v>
      </c>
      <c r="AD8" s="1" t="s">
        <v>17</v>
      </c>
      <c r="AE8" s="1" t="s">
        <v>18</v>
      </c>
      <c r="AF8" s="1" t="s">
        <v>19</v>
      </c>
      <c r="AG8" s="1" t="s">
        <v>20</v>
      </c>
      <c r="AH8" s="1" t="s">
        <v>21</v>
      </c>
      <c r="AI8" s="1" t="s">
        <v>22</v>
      </c>
      <c r="AJ8" s="1" t="s">
        <v>23</v>
      </c>
      <c r="AK8" s="1" t="s">
        <v>24</v>
      </c>
      <c r="AL8" s="1" t="s">
        <v>25</v>
      </c>
      <c r="AM8" s="1" t="s">
        <v>26</v>
      </c>
      <c r="AN8" s="1" t="s">
        <v>40</v>
      </c>
      <c r="AO8" s="1" t="s">
        <v>44</v>
      </c>
      <c r="AP8" s="1" t="s">
        <v>31</v>
      </c>
      <c r="AQ8" s="1" t="s">
        <v>45</v>
      </c>
      <c r="AR8" s="1" t="s">
        <v>41</v>
      </c>
      <c r="AS8" s="1" t="s">
        <v>32</v>
      </c>
      <c r="AT8" s="1" t="s">
        <v>42</v>
      </c>
    </row>
    <row r="9" spans="2:46" ht="12.75">
      <c r="B9" s="67" t="s">
        <v>222</v>
      </c>
      <c r="C9" s="67" t="s">
        <v>401</v>
      </c>
      <c r="D9" s="72" t="s">
        <v>405</v>
      </c>
      <c r="E9" s="67" t="s">
        <v>407</v>
      </c>
      <c r="F9" s="67" t="s">
        <v>406</v>
      </c>
      <c r="G9" s="67" t="s">
        <v>115</v>
      </c>
      <c r="H9" s="67" t="s">
        <v>402</v>
      </c>
      <c r="I9" s="67" t="s">
        <v>423</v>
      </c>
      <c r="J9" s="70">
        <v>0.75264362149059516</v>
      </c>
      <c r="K9" s="70">
        <v>0.85841467405784744</v>
      </c>
      <c r="L9" s="70">
        <f>AI9</f>
        <v>0.62493543547236641</v>
      </c>
      <c r="M9" s="70">
        <v>0.92634213063925896</v>
      </c>
      <c r="N9" s="70">
        <v>0.70349708400458677</v>
      </c>
      <c r="O9" s="70">
        <v>0.82711567790683649</v>
      </c>
      <c r="P9" s="70">
        <v>0.75496738043636158</v>
      </c>
      <c r="Q9" s="70">
        <v>0.80916739393178749</v>
      </c>
      <c r="R9" s="70">
        <v>0.50824827938759576</v>
      </c>
      <c r="S9" s="70">
        <v>0.88399181271523253</v>
      </c>
      <c r="T9" s="70">
        <v>0.80427866908604728</v>
      </c>
      <c r="U9" s="70">
        <v>0.87124783663463412</v>
      </c>
      <c r="V9" s="70">
        <v>0.80909754649956767</v>
      </c>
      <c r="W9" s="70">
        <v>0.83988739584225192</v>
      </c>
      <c r="X9" s="70">
        <v>0.87207067302509</v>
      </c>
      <c r="Y9" s="70">
        <f>AF9</f>
        <v>0.75855585004428294</v>
      </c>
      <c r="Z9" s="70">
        <v>0.6654139682391873</v>
      </c>
      <c r="AA9" s="70">
        <v>0.80964342261779509</v>
      </c>
      <c r="AB9" s="71">
        <f>U9</f>
        <v>0.87124783663463412</v>
      </c>
      <c r="AC9" s="70">
        <v>0.54075685695434983</v>
      </c>
      <c r="AD9" s="70">
        <v>0.7495867600732371</v>
      </c>
      <c r="AE9" s="70">
        <v>0.85852006846808104</v>
      </c>
      <c r="AF9" s="70">
        <v>0.75855585004428294</v>
      </c>
      <c r="AG9" s="70">
        <v>0.78778535709077402</v>
      </c>
      <c r="AH9" s="70">
        <v>0.94334171307537651</v>
      </c>
      <c r="AI9" s="70">
        <v>0.62493543547236641</v>
      </c>
      <c r="AJ9" s="70">
        <v>0.90096657636187716</v>
      </c>
      <c r="AK9" s="70">
        <v>0.60826477448751548</v>
      </c>
      <c r="AL9" s="70">
        <v>0.82262581206160379</v>
      </c>
      <c r="AM9" s="70">
        <v>0.86663724965440081</v>
      </c>
      <c r="AN9" s="71">
        <f>$V9</f>
        <v>0.80909754649956767</v>
      </c>
      <c r="AO9" s="71">
        <f>$AK9</f>
        <v>0.60826477448751548</v>
      </c>
      <c r="AP9" s="71">
        <f>$AK9</f>
        <v>0.60826477448751548</v>
      </c>
      <c r="AQ9" s="71">
        <f>$AK9</f>
        <v>0.60826477448751548</v>
      </c>
      <c r="AR9" s="71">
        <f>$AK9</f>
        <v>0.60826477448751548</v>
      </c>
      <c r="AS9" s="71">
        <f>$V9</f>
        <v>0.80909754649956767</v>
      </c>
      <c r="AT9" s="71">
        <f>$AK9</f>
        <v>0.60826477448751548</v>
      </c>
    </row>
    <row r="10" spans="4:4" ht="12.75">
      <c r="D10" s="72"/>
    </row>
    <row r="11" spans="4:7" ht="12.75">
      <c r="D11" s="72"/>
      <c r="G11"/>
    </row>
    <row r="12" spans="4:46" ht="12.75">
      <c r="D12" s="72"/>
      <c r="I12" s="81" t="s">
        <v>428</v>
      </c>
      <c r="J12" s="82">
        <v>0.30</v>
      </c>
      <c r="K12" s="82">
        <v>0.30</v>
      </c>
      <c r="L12" s="82">
        <v>0.30</v>
      </c>
      <c r="M12" s="82">
        <v>0.30</v>
      </c>
      <c r="N12" s="82">
        <v>0.30</v>
      </c>
      <c r="O12" s="82">
        <v>0.30</v>
      </c>
      <c r="P12" s="82">
        <v>0.30</v>
      </c>
      <c r="Q12" s="82">
        <v>0.30</v>
      </c>
      <c r="R12" s="82">
        <v>0.30</v>
      </c>
      <c r="S12" s="82">
        <v>0.30</v>
      </c>
      <c r="T12" s="82">
        <v>0.30</v>
      </c>
      <c r="U12" s="82">
        <v>0.30</v>
      </c>
      <c r="V12" s="82">
        <v>0.30</v>
      </c>
      <c r="W12" s="82">
        <v>0.30</v>
      </c>
      <c r="X12" s="82">
        <v>0.30</v>
      </c>
      <c r="Y12" s="82">
        <v>0.30</v>
      </c>
      <c r="Z12" s="82">
        <v>0.30</v>
      </c>
      <c r="AA12" s="82">
        <v>0.30</v>
      </c>
      <c r="AB12" s="82">
        <v>0.30</v>
      </c>
      <c r="AC12" s="82">
        <v>0.30</v>
      </c>
      <c r="AD12" s="82">
        <v>0.30</v>
      </c>
      <c r="AE12" s="82">
        <v>0.30</v>
      </c>
      <c r="AF12" s="82">
        <v>0.30</v>
      </c>
      <c r="AG12" s="82">
        <v>0.30</v>
      </c>
      <c r="AH12" s="82">
        <v>0.30</v>
      </c>
      <c r="AI12" s="82">
        <v>0.30</v>
      </c>
      <c r="AJ12" s="82">
        <v>0.30</v>
      </c>
      <c r="AK12" s="82">
        <v>0.30</v>
      </c>
      <c r="AL12" s="82">
        <v>0.30</v>
      </c>
      <c r="AM12" s="82">
        <v>0.30</v>
      </c>
      <c r="AN12" s="82">
        <v>0.30</v>
      </c>
      <c r="AO12" s="82">
        <v>0.30</v>
      </c>
      <c r="AP12" s="82">
        <v>0.30</v>
      </c>
      <c r="AQ12" s="82">
        <v>0.30</v>
      </c>
      <c r="AR12" s="82">
        <v>0.30</v>
      </c>
      <c r="AS12" s="82">
        <v>0.30</v>
      </c>
      <c r="AT12" s="82">
        <v>0.30</v>
      </c>
    </row>
    <row r="13" spans="4:4" ht="12.75">
      <c r="D13" s="72"/>
    </row>
    <row r="14" spans="8:9" ht="12.75">
      <c r="H14"/>
      <c r="I14"/>
    </row>
    <row r="15" spans="1:1" ht="12.75">
      <c r="A15" s="69" t="s">
        <v>50</v>
      </c>
    </row>
    <row r="16" spans="1:46" ht="12.75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49</v>
      </c>
      <c r="F16" s="1" t="s">
        <v>43</v>
      </c>
      <c r="G16" s="1" t="s">
        <v>397</v>
      </c>
      <c r="H16" s="73" t="s">
        <v>39</v>
      </c>
      <c r="I16" s="73" t="s">
        <v>422</v>
      </c>
      <c r="J16" s="1" t="s">
        <v>0</v>
      </c>
      <c r="K16" s="1" t="s">
        <v>1</v>
      </c>
      <c r="L16" s="1" t="s">
        <v>30</v>
      </c>
      <c r="M16" s="1" t="s">
        <v>2</v>
      </c>
      <c r="N16" s="1" t="s">
        <v>3</v>
      </c>
      <c r="O16" s="1" t="s">
        <v>4</v>
      </c>
      <c r="P16" s="1" t="s">
        <v>5</v>
      </c>
      <c r="Q16" s="1" t="s">
        <v>6</v>
      </c>
      <c r="R16" s="1" t="s">
        <v>7</v>
      </c>
      <c r="S16" s="1" t="s">
        <v>8</v>
      </c>
      <c r="T16" s="1" t="s">
        <v>9</v>
      </c>
      <c r="U16" s="1" t="s">
        <v>10</v>
      </c>
      <c r="V16" s="1" t="s">
        <v>47</v>
      </c>
      <c r="W16" s="1" t="s">
        <v>11</v>
      </c>
      <c r="X16" s="1" t="s">
        <v>12</v>
      </c>
      <c r="Y16" s="1" t="s">
        <v>13</v>
      </c>
      <c r="Z16" s="1" t="s">
        <v>27</v>
      </c>
      <c r="AA16" s="1" t="s">
        <v>14</v>
      </c>
      <c r="AB16" s="1" t="s">
        <v>15</v>
      </c>
      <c r="AC16" s="1" t="s">
        <v>16</v>
      </c>
      <c r="AD16" s="1" t="s">
        <v>17</v>
      </c>
      <c r="AE16" s="1" t="s">
        <v>18</v>
      </c>
      <c r="AF16" s="1" t="s">
        <v>19</v>
      </c>
      <c r="AG16" s="1" t="s">
        <v>20</v>
      </c>
      <c r="AH16" s="1" t="s">
        <v>21</v>
      </c>
      <c r="AI16" s="1" t="s">
        <v>22</v>
      </c>
      <c r="AJ16" s="1" t="s">
        <v>23</v>
      </c>
      <c r="AK16" s="1" t="s">
        <v>24</v>
      </c>
      <c r="AL16" s="1" t="s">
        <v>25</v>
      </c>
      <c r="AM16" s="1" t="s">
        <v>26</v>
      </c>
      <c r="AN16" s="1" t="s">
        <v>40</v>
      </c>
      <c r="AO16" s="1" t="s">
        <v>44</v>
      </c>
      <c r="AP16" s="1" t="s">
        <v>31</v>
      </c>
      <c r="AQ16" s="1" t="s">
        <v>45</v>
      </c>
      <c r="AR16" s="1" t="s">
        <v>41</v>
      </c>
      <c r="AS16" s="1" t="s">
        <v>32</v>
      </c>
      <c r="AT16" s="1" t="s">
        <v>42</v>
      </c>
    </row>
    <row r="17" spans="2:46" ht="12.75">
      <c r="B17" s="67" t="s">
        <v>427</v>
      </c>
      <c r="C17" s="67" t="s">
        <v>401</v>
      </c>
      <c r="D17" s="72">
        <v>2011</v>
      </c>
      <c r="E17" s="67" t="s">
        <v>407</v>
      </c>
      <c r="F17" s="67" t="s">
        <v>406</v>
      </c>
      <c r="G17" s="67" t="s">
        <v>115</v>
      </c>
      <c r="H17" s="67" t="s">
        <v>402</v>
      </c>
      <c r="I17" s="67" t="s">
        <v>423</v>
      </c>
      <c r="J17" s="83">
        <f t="shared" si="0" ref="J17:AT17">J9*0.98</f>
        <v>0.73759074906078326</v>
      </c>
      <c r="K17" s="83">
        <f t="shared" si="0"/>
        <v>0.84124638057669043</v>
      </c>
      <c r="L17" s="83">
        <f t="shared" si="0"/>
        <v>0.61243672676291905</v>
      </c>
      <c r="M17" s="83">
        <f t="shared" si="0"/>
        <v>0.90781528802647382</v>
      </c>
      <c r="N17" s="83">
        <f t="shared" si="0"/>
        <v>0.68942714232449498</v>
      </c>
      <c r="O17" s="83">
        <f t="shared" si="0"/>
        <v>0.81057336434869975</v>
      </c>
      <c r="P17" s="83">
        <f t="shared" si="0"/>
        <v>0.73986803282763436</v>
      </c>
      <c r="Q17" s="83">
        <f t="shared" si="0"/>
        <v>0.79298404605315176</v>
      </c>
      <c r="R17" s="83">
        <f t="shared" si="0"/>
        <v>0.49808331379984383</v>
      </c>
      <c r="S17" s="83">
        <f t="shared" si="0"/>
        <v>0.86631197646092784</v>
      </c>
      <c r="T17" s="83">
        <f t="shared" si="0"/>
        <v>0.78819309570432627</v>
      </c>
      <c r="U17" s="83">
        <f t="shared" si="0"/>
        <v>0.85382287990194139</v>
      </c>
      <c r="V17" s="83">
        <f t="shared" si="0"/>
        <v>0.79291559556957625</v>
      </c>
      <c r="W17" s="83">
        <f t="shared" si="0"/>
        <v>0.82308964792540684</v>
      </c>
      <c r="X17" s="83">
        <f t="shared" si="0"/>
        <v>0.85462925956458824</v>
      </c>
      <c r="Y17" s="83">
        <f t="shared" si="0"/>
        <v>0.74338473304339725</v>
      </c>
      <c r="Z17" s="83">
        <f t="shared" si="0"/>
        <v>0.65210568887440357</v>
      </c>
      <c r="AA17" s="83">
        <f t="shared" si="0"/>
        <v>0.79345055416543919</v>
      </c>
      <c r="AB17" s="83">
        <f t="shared" si="0"/>
        <v>0.85382287990194139</v>
      </c>
      <c r="AC17" s="83">
        <f t="shared" si="0"/>
        <v>0.52994171981526283</v>
      </c>
      <c r="AD17" s="83">
        <f t="shared" si="0"/>
        <v>0.73459502487177231</v>
      </c>
      <c r="AE17" s="83">
        <f t="shared" si="0"/>
        <v>0.84134966709871939</v>
      </c>
      <c r="AF17" s="83">
        <f t="shared" si="0"/>
        <v>0.74338473304339725</v>
      </c>
      <c r="AG17" s="83">
        <f t="shared" si="0"/>
        <v>0.77202964994895851</v>
      </c>
      <c r="AH17" s="83">
        <f t="shared" si="0"/>
        <v>0.92447487881386892</v>
      </c>
      <c r="AI17" s="83">
        <f t="shared" si="0"/>
        <v>0.61243672676291905</v>
      </c>
      <c r="AJ17" s="83">
        <f t="shared" si="0"/>
        <v>0.8829472448346396</v>
      </c>
      <c r="AK17" s="83">
        <f t="shared" si="0"/>
        <v>0.59609947899776516</v>
      </c>
      <c r="AL17" s="83">
        <f t="shared" si="0"/>
        <v>0.80617329582037167</v>
      </c>
      <c r="AM17" s="83">
        <f t="shared" si="0"/>
        <v>0.8493045046613128</v>
      </c>
      <c r="AN17" s="83">
        <f t="shared" si="0"/>
        <v>0.79291559556957625</v>
      </c>
      <c r="AO17" s="83">
        <f t="shared" si="0"/>
        <v>0.59609947899776516</v>
      </c>
      <c r="AP17" s="83">
        <f t="shared" si="0"/>
        <v>0.59609947899776516</v>
      </c>
      <c r="AQ17" s="83">
        <f t="shared" si="0"/>
        <v>0.59609947899776516</v>
      </c>
      <c r="AR17" s="83">
        <f t="shared" si="0"/>
        <v>0.59609947899776516</v>
      </c>
      <c r="AS17" s="83">
        <f t="shared" si="0"/>
        <v>0.79291559556957625</v>
      </c>
      <c r="AT17" s="83">
        <f t="shared" si="0"/>
        <v>0.59609947899776516</v>
      </c>
    </row>
    <row r="18" spans="2:46" ht="12.75">
      <c r="B18" s="67" t="s">
        <v>427</v>
      </c>
      <c r="C18" s="67" t="s">
        <v>401</v>
      </c>
      <c r="D18" s="72">
        <v>2050</v>
      </c>
      <c r="E18" s="67" t="s">
        <v>407</v>
      </c>
      <c r="F18" s="67" t="s">
        <v>406</v>
      </c>
      <c r="G18" s="67" t="s">
        <v>115</v>
      </c>
      <c r="H18" s="67" t="s">
        <v>402</v>
      </c>
      <c r="I18" s="67" t="s">
        <v>423</v>
      </c>
      <c r="J18" s="70">
        <f t="shared" si="1" ref="J18:AT18">J17*(1-J$12)</f>
        <v>0.51631352434254829</v>
      </c>
      <c r="K18" s="70">
        <f t="shared" si="1"/>
        <v>0.58887246640368329</v>
      </c>
      <c r="L18" s="70">
        <f t="shared" si="1"/>
        <v>0.42870570873404329</v>
      </c>
      <c r="M18" s="70">
        <f t="shared" si="1"/>
        <v>0.63547070161853159</v>
      </c>
      <c r="N18" s="70">
        <f t="shared" si="1"/>
        <v>0.48259899962714647</v>
      </c>
      <c r="O18" s="70">
        <f t="shared" si="1"/>
        <v>0.56740135504408984</v>
      </c>
      <c r="P18" s="70">
        <f t="shared" si="1"/>
        <v>0.51790762297934401</v>
      </c>
      <c r="Q18" s="70">
        <f t="shared" si="1"/>
        <v>0.55508883223720618</v>
      </c>
      <c r="R18" s="70">
        <f t="shared" si="1"/>
        <v>0.34865831965989064</v>
      </c>
      <c r="S18" s="70">
        <f t="shared" si="1"/>
        <v>0.60641838352264943</v>
      </c>
      <c r="T18" s="70">
        <f t="shared" si="1"/>
        <v>0.55173516699302838</v>
      </c>
      <c r="U18" s="70">
        <f t="shared" si="1"/>
        <v>0.59767601593135888</v>
      </c>
      <c r="V18" s="70">
        <f t="shared" si="1"/>
        <v>0.55504091689870338</v>
      </c>
      <c r="W18" s="70">
        <f t="shared" si="1"/>
        <v>0.57616275354778479</v>
      </c>
      <c r="X18" s="70">
        <f t="shared" si="1"/>
        <v>0.59824048169521171</v>
      </c>
      <c r="Y18" s="70">
        <f t="shared" si="1"/>
        <v>0.52036931313037804</v>
      </c>
      <c r="Z18" s="70">
        <f t="shared" si="1"/>
        <v>0.45647398221208246</v>
      </c>
      <c r="AA18" s="70">
        <f t="shared" si="1"/>
        <v>0.55541538791580736</v>
      </c>
      <c r="AB18" s="70">
        <f t="shared" si="1"/>
        <v>0.59767601593135888</v>
      </c>
      <c r="AC18" s="70">
        <f t="shared" si="1"/>
        <v>0.37095920387068398</v>
      </c>
      <c r="AD18" s="70">
        <f t="shared" si="1"/>
        <v>0.51421651741024055</v>
      </c>
      <c r="AE18" s="70">
        <f t="shared" si="1"/>
        <v>0.58894476696910358</v>
      </c>
      <c r="AF18" s="70">
        <f t="shared" si="1"/>
        <v>0.52036931313037804</v>
      </c>
      <c r="AG18" s="70">
        <f t="shared" si="1"/>
        <v>0.54042075496427089</v>
      </c>
      <c r="AH18" s="70">
        <f t="shared" si="1"/>
        <v>0.64713241516970821</v>
      </c>
      <c r="AI18" s="70">
        <f t="shared" si="1"/>
        <v>0.42870570873404329</v>
      </c>
      <c r="AJ18" s="70">
        <f t="shared" si="1"/>
        <v>0.61806307138424765</v>
      </c>
      <c r="AK18" s="70">
        <f t="shared" si="1"/>
        <v>0.41726963529843558</v>
      </c>
      <c r="AL18" s="70">
        <f t="shared" si="1"/>
        <v>0.56432130707426009</v>
      </c>
      <c r="AM18" s="70">
        <f t="shared" si="1"/>
        <v>0.59451315326291887</v>
      </c>
      <c r="AN18" s="70">
        <f t="shared" si="1"/>
        <v>0.55504091689870338</v>
      </c>
      <c r="AO18" s="70">
        <f t="shared" si="1"/>
        <v>0.41726963529843558</v>
      </c>
      <c r="AP18" s="70">
        <f t="shared" si="1"/>
        <v>0.41726963529843558</v>
      </c>
      <c r="AQ18" s="70">
        <f t="shared" si="1"/>
        <v>0.41726963529843558</v>
      </c>
      <c r="AR18" s="70">
        <f t="shared" si="1"/>
        <v>0.41726963529843558</v>
      </c>
      <c r="AS18" s="70">
        <f t="shared" si="1"/>
        <v>0.55504091689870338</v>
      </c>
      <c r="AT18" s="70">
        <f t="shared" si="1"/>
        <v>0.41726963529843558</v>
      </c>
    </row>
  </sheetData>
  <pageMargins left="0.75" right="0.75" top="1" bottom="1" header="0.5" footer="0.5"/>
  <pageSetup horizontalDpi="1200" verticalDpi="1200" orientation="portrait" paperSize="1" r:id="rId3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163"/>
  <sheetViews>
    <sheetView workbookViewId="0" topLeftCell="A1">
      <selection pane="topLeft" activeCell="A24" sqref="A24"/>
    </sheetView>
  </sheetViews>
  <sheetFormatPr defaultRowHeight="12.75"/>
  <cols>
    <col min="3" max="3" width="19.1428571428571" bestFit="1" customWidth="1"/>
  </cols>
  <sheetData>
    <row r="1" spans="1:49" ht="12.75">
      <c r="A1" t="s">
        <v>885</v>
      </c>
      <c r="B1" t="s">
        <v>886</v>
      </c>
      <c r="C1" t="s">
        <v>887</v>
      </c>
      <c r="D1" t="s">
        <v>888</v>
      </c>
      <c r="E1" t="s">
        <v>889</v>
      </c>
      <c r="F1" t="s">
        <v>890</v>
      </c>
      <c r="G1" t="s">
        <v>891</v>
      </c>
      <c r="H1" t="s">
        <v>892</v>
      </c>
      <c r="I1" t="s">
        <v>893</v>
      </c>
      <c r="J1" t="s">
        <v>894</v>
      </c>
      <c r="K1" t="s">
        <v>895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906</v>
      </c>
    </row>
    <row r="2" spans="1:49" ht="12.75">
      <c r="A2" t="s">
        <v>201</v>
      </c>
      <c r="B2" t="s">
        <v>29</v>
      </c>
      <c r="C2" t="s">
        <v>263</v>
      </c>
      <c r="D2" t="s">
        <v>203</v>
      </c>
      <c r="E2" t="s">
        <v>203</v>
      </c>
      <c r="F2" t="s">
        <v>223</v>
      </c>
      <c r="G2" t="s">
        <v>793</v>
      </c>
      <c r="H2" t="s">
        <v>203</v>
      </c>
      <c r="I2" t="s">
        <v>203</v>
      </c>
      <c r="J2" t="s">
        <v>203</v>
      </c>
      <c r="K2" t="s">
        <v>203</v>
      </c>
      <c r="L2">
        <v>0.65</v>
      </c>
      <c r="M2">
        <v>0.36461186365353898</v>
      </c>
      <c r="N2">
        <v>0.65</v>
      </c>
      <c r="O2">
        <v>0.39167509018574997</v>
      </c>
      <c r="P2">
        <v>0.34056209248295</v>
      </c>
      <c r="Q2">
        <v>0.65</v>
      </c>
      <c r="R2">
        <v>0.36232421826898598</v>
      </c>
      <c r="S2">
        <v>0.35511383576629202</v>
      </c>
      <c r="T2">
        <v>0.65</v>
      </c>
      <c r="U2">
        <v>0.337737285984261</v>
      </c>
      <c r="V2">
        <v>0.33783758944397002</v>
      </c>
      <c r="W2">
        <v>0.65</v>
      </c>
      <c r="X2">
        <v>0.32989345395688902</v>
      </c>
      <c r="Y2">
        <v>0.32913582534223002</v>
      </c>
      <c r="Z2">
        <v>0.352712520882078</v>
      </c>
      <c r="AA2">
        <v>0.364138987423412</v>
      </c>
      <c r="AB2">
        <v>0.37841649856950299</v>
      </c>
      <c r="AC2">
        <v>0.36015043084562598</v>
      </c>
      <c r="AD2">
        <v>0.337737285984261</v>
      </c>
      <c r="AE2">
        <v>0.65</v>
      </c>
      <c r="AF2">
        <v>0.65</v>
      </c>
      <c r="AG2">
        <v>0.35511297258333102</v>
      </c>
      <c r="AH2">
        <v>0.65</v>
      </c>
      <c r="AI2">
        <v>0.36025910812640699</v>
      </c>
      <c r="AJ2">
        <v>0.65</v>
      </c>
      <c r="AK2">
        <v>0.65</v>
      </c>
      <c r="AL2">
        <v>0.65</v>
      </c>
      <c r="AM2">
        <v>0.36461241822564</v>
      </c>
      <c r="AN2">
        <v>0.337737285984261</v>
      </c>
      <c r="AO2">
        <v>0.36025800912746803</v>
      </c>
      <c r="AP2">
        <v>0.65</v>
      </c>
      <c r="AQ2">
        <v>0.65</v>
      </c>
      <c r="AR2">
        <v>0.65</v>
      </c>
      <c r="AS2">
        <v>0.37800008782804601</v>
      </c>
      <c r="AT2">
        <v>0.65</v>
      </c>
      <c r="AU2">
        <v>0.39161181955299601</v>
      </c>
      <c r="AV2">
        <v>0.35358822310346899</v>
      </c>
      <c r="AW2" t="s">
        <v>203</v>
      </c>
    </row>
    <row r="3" spans="1:49" ht="12.75">
      <c r="A3" t="s">
        <v>201</v>
      </c>
      <c r="B3" t="s">
        <v>29</v>
      </c>
      <c r="C3" t="s">
        <v>264</v>
      </c>
      <c r="D3" t="s">
        <v>203</v>
      </c>
      <c r="E3" t="s">
        <v>203</v>
      </c>
      <c r="F3" t="s">
        <v>223</v>
      </c>
      <c r="G3" t="s">
        <v>793</v>
      </c>
      <c r="H3" t="s">
        <v>203</v>
      </c>
      <c r="I3" t="s">
        <v>203</v>
      </c>
      <c r="J3" t="s">
        <v>203</v>
      </c>
      <c r="K3" t="s">
        <v>203</v>
      </c>
      <c r="L3">
        <v>0.59970029182112194</v>
      </c>
      <c r="M3">
        <v>0.69450253672349704</v>
      </c>
      <c r="N3">
        <v>0.59970029182112194</v>
      </c>
      <c r="O3">
        <v>0.74605137718687997</v>
      </c>
      <c r="P3">
        <v>0.64869016926894696</v>
      </c>
      <c r="Q3">
        <v>0.67437084470167796</v>
      </c>
      <c r="R3">
        <v>0.69014463999216202</v>
      </c>
      <c r="S3">
        <v>0.67640647811767896</v>
      </c>
      <c r="T3">
        <v>0.67437084470167796</v>
      </c>
      <c r="U3">
        <v>0.643312981665904</v>
      </c>
      <c r="V3">
        <v>0.643501961514507</v>
      </c>
      <c r="W3">
        <v>0.59970029182112194</v>
      </c>
      <c r="X3">
        <v>0.62836757780983898</v>
      </c>
      <c r="Y3">
        <v>0.62692974902342502</v>
      </c>
      <c r="Z3">
        <v>0.67183474604551796</v>
      </c>
      <c r="AA3">
        <v>0.69359824883111398</v>
      </c>
      <c r="AB3">
        <v>0.72079202517599505</v>
      </c>
      <c r="AC3">
        <v>0.68599976545710195</v>
      </c>
      <c r="AD3">
        <v>0.643312981665904</v>
      </c>
      <c r="AE3">
        <v>0.72495187865722199</v>
      </c>
      <c r="AF3">
        <v>0.59970029182112194</v>
      </c>
      <c r="AG3">
        <v>0.67640724585396805</v>
      </c>
      <c r="AH3">
        <v>0.67995544906412497</v>
      </c>
      <c r="AI3">
        <v>0.68620531835156295</v>
      </c>
      <c r="AJ3">
        <v>0.59970029182112194</v>
      </c>
      <c r="AK3">
        <v>0.59970029182112194</v>
      </c>
      <c r="AL3">
        <v>0.66050006194602895</v>
      </c>
      <c r="AM3">
        <v>0.69450080694962602</v>
      </c>
      <c r="AN3">
        <v>0.643312981665904</v>
      </c>
      <c r="AO3">
        <v>0.68620603805230895</v>
      </c>
      <c r="AP3">
        <v>0.60498548055811296</v>
      </c>
      <c r="AQ3">
        <v>0.73019932164429402</v>
      </c>
      <c r="AR3">
        <v>0.59970029182112194</v>
      </c>
      <c r="AS3">
        <v>0.719998141137695</v>
      </c>
      <c r="AT3">
        <v>0.71580693921678595</v>
      </c>
      <c r="AU3">
        <v>0.74593020818891398</v>
      </c>
      <c r="AV3">
        <v>0.67350147419790596</v>
      </c>
      <c r="AW3" t="s">
        <v>203</v>
      </c>
    </row>
    <row r="4" spans="1:49" ht="12.75">
      <c r="A4" t="s">
        <v>201</v>
      </c>
      <c r="B4" t="s">
        <v>29</v>
      </c>
      <c r="C4" t="s">
        <v>265</v>
      </c>
      <c r="D4" t="s">
        <v>203</v>
      </c>
      <c r="E4" t="s">
        <v>203</v>
      </c>
      <c r="F4" t="s">
        <v>223</v>
      </c>
      <c r="G4" t="s">
        <v>793</v>
      </c>
      <c r="H4" t="s">
        <v>203</v>
      </c>
      <c r="I4" t="s">
        <v>203</v>
      </c>
      <c r="J4" t="s">
        <v>203</v>
      </c>
      <c r="K4" t="s">
        <v>203</v>
      </c>
      <c r="L4">
        <v>0.44078242080273</v>
      </c>
      <c r="M4">
        <v>0.51045730900080399</v>
      </c>
      <c r="N4">
        <v>0.44078242080273</v>
      </c>
      <c r="O4">
        <v>0.54834946367735704</v>
      </c>
      <c r="P4">
        <v>0.47678598790679</v>
      </c>
      <c r="Q4">
        <v>0.495662327416173</v>
      </c>
      <c r="R4">
        <v>0.45</v>
      </c>
      <c r="S4">
        <v>0.49715815975108701</v>
      </c>
      <c r="T4">
        <v>0.495662327416173</v>
      </c>
      <c r="U4">
        <v>0.47283325773161</v>
      </c>
      <c r="V4">
        <v>0.47297185613435599</v>
      </c>
      <c r="W4">
        <v>0.44078242080273</v>
      </c>
      <c r="X4">
        <v>0.46185085117421898</v>
      </c>
      <c r="Y4">
        <v>0.46079127022523197</v>
      </c>
      <c r="Z4">
        <v>0.49379645906679298</v>
      </c>
      <c r="AA4">
        <v>0.50979442754439297</v>
      </c>
      <c r="AB4">
        <v>0.52978125349711302</v>
      </c>
      <c r="AC4">
        <v>0.50421027556792397</v>
      </c>
      <c r="AD4">
        <v>0.47283325773161</v>
      </c>
      <c r="AE4">
        <v>0.53284146971343105</v>
      </c>
      <c r="AF4">
        <v>0.44078242080273</v>
      </c>
      <c r="AG4">
        <v>0.49715999166568497</v>
      </c>
      <c r="AH4">
        <v>0.499767190606692</v>
      </c>
      <c r="AI4">
        <v>0.50436436884512104</v>
      </c>
      <c r="AJ4">
        <v>0.44078242080273</v>
      </c>
      <c r="AK4">
        <v>0.44078242080273</v>
      </c>
      <c r="AL4">
        <v>0.45</v>
      </c>
      <c r="AM4">
        <v>0.51045632683139197</v>
      </c>
      <c r="AN4">
        <v>0.47283325773161</v>
      </c>
      <c r="AO4">
        <v>0.50436139170635896</v>
      </c>
      <c r="AP4">
        <v>0.44466287326690601</v>
      </c>
      <c r="AQ4">
        <v>0.53669731526162601</v>
      </c>
      <c r="AR4">
        <v>0.44078242080273</v>
      </c>
      <c r="AS4">
        <v>0.52920065631178304</v>
      </c>
      <c r="AT4">
        <v>0.52611890426047603</v>
      </c>
      <c r="AU4">
        <v>0.54825829656095804</v>
      </c>
      <c r="AV4">
        <v>0.49502196326974202</v>
      </c>
      <c r="AW4" t="s">
        <v>203</v>
      </c>
    </row>
    <row r="5" spans="1:49" ht="12.75">
      <c r="A5" t="s">
        <v>201</v>
      </c>
      <c r="B5" t="s">
        <v>29</v>
      </c>
      <c r="C5" t="s">
        <v>266</v>
      </c>
      <c r="D5" t="s">
        <v>203</v>
      </c>
      <c r="E5" t="s">
        <v>203</v>
      </c>
      <c r="F5" t="s">
        <v>223</v>
      </c>
      <c r="G5" t="s">
        <v>793</v>
      </c>
      <c r="H5" t="s">
        <v>203</v>
      </c>
      <c r="I5" t="s">
        <v>203</v>
      </c>
      <c r="J5" t="s">
        <v>203</v>
      </c>
      <c r="K5" t="s">
        <v>203</v>
      </c>
      <c r="L5">
        <v>0.40929684576721997</v>
      </c>
      <c r="M5">
        <v>0.47399779245620999</v>
      </c>
      <c r="N5">
        <v>0.40929684576721997</v>
      </c>
      <c r="O5">
        <v>0.50917960381027705</v>
      </c>
      <c r="P5">
        <v>0.44273004595327697</v>
      </c>
      <c r="Q5">
        <v>0.460258436911966</v>
      </c>
      <c r="R5">
        <v>0.45</v>
      </c>
      <c r="S5">
        <v>0.45</v>
      </c>
      <c r="T5">
        <v>0.460258436911966</v>
      </c>
      <c r="U5">
        <v>0.439059450354021</v>
      </c>
      <c r="V5">
        <v>0.43918884035973499</v>
      </c>
      <c r="W5">
        <v>0.40929684576721997</v>
      </c>
      <c r="X5">
        <v>0.42885932203389798</v>
      </c>
      <c r="Y5">
        <v>0.45</v>
      </c>
      <c r="Z5">
        <v>0.45852511541776902</v>
      </c>
      <c r="AA5">
        <v>0.47338263464371</v>
      </c>
      <c r="AB5">
        <v>0.491941071363454</v>
      </c>
      <c r="AC5">
        <v>0.46819527707702402</v>
      </c>
      <c r="AD5">
        <v>0.439059450354021</v>
      </c>
      <c r="AE5">
        <v>0.49478053759782198</v>
      </c>
      <c r="AF5">
        <v>0.40929684576721997</v>
      </c>
      <c r="AG5">
        <v>0.45</v>
      </c>
      <c r="AH5">
        <v>0.46407062786380499</v>
      </c>
      <c r="AI5">
        <v>0.46833590453519103</v>
      </c>
      <c r="AJ5">
        <v>0.40929684576721997</v>
      </c>
      <c r="AK5">
        <v>0.40929684576721997</v>
      </c>
      <c r="AL5">
        <v>0.450792490865566</v>
      </c>
      <c r="AM5">
        <v>0.47399636686334601</v>
      </c>
      <c r="AN5">
        <v>0.439059450354021</v>
      </c>
      <c r="AO5">
        <v>0.46833542979797799</v>
      </c>
      <c r="AP5">
        <v>0.41290181214459198</v>
      </c>
      <c r="AQ5">
        <v>0.49836110602453798</v>
      </c>
      <c r="AR5">
        <v>0.40929684576721997</v>
      </c>
      <c r="AS5">
        <v>0.49139976018145298</v>
      </c>
      <c r="AT5">
        <v>0.48853674807877301</v>
      </c>
      <c r="AU5">
        <v>0.50909826394741298</v>
      </c>
      <c r="AV5">
        <v>0.45</v>
      </c>
      <c r="AW5" t="s">
        <v>203</v>
      </c>
    </row>
    <row r="6" spans="1:49" ht="12.75">
      <c r="A6" t="s">
        <v>201</v>
      </c>
      <c r="B6" t="s">
        <v>29</v>
      </c>
      <c r="C6" t="s">
        <v>267</v>
      </c>
      <c r="D6" t="s">
        <v>203</v>
      </c>
      <c r="E6" t="s">
        <v>203</v>
      </c>
      <c r="F6" t="s">
        <v>223</v>
      </c>
      <c r="G6" t="s">
        <v>793</v>
      </c>
      <c r="H6" t="s">
        <v>203</v>
      </c>
      <c r="I6" t="s">
        <v>203</v>
      </c>
      <c r="J6" t="s">
        <v>203</v>
      </c>
      <c r="K6" t="s">
        <v>203</v>
      </c>
      <c r="L6">
        <v>0.65</v>
      </c>
      <c r="M6">
        <v>0.36461186365353898</v>
      </c>
      <c r="N6">
        <v>0.65</v>
      </c>
      <c r="O6">
        <v>0.39167509018574997</v>
      </c>
      <c r="P6">
        <v>0.34056209248295</v>
      </c>
      <c r="Q6">
        <v>0.65</v>
      </c>
      <c r="R6">
        <v>0.36232421826898598</v>
      </c>
      <c r="S6">
        <v>0.35511383576629202</v>
      </c>
      <c r="T6">
        <v>0.65</v>
      </c>
      <c r="U6">
        <v>0.337737285984261</v>
      </c>
      <c r="V6">
        <v>0.33783758944397002</v>
      </c>
      <c r="W6">
        <v>0.65</v>
      </c>
      <c r="X6">
        <v>0.32989345395688902</v>
      </c>
      <c r="Y6">
        <v>0.32913582534223002</v>
      </c>
      <c r="Z6">
        <v>0.352712520882078</v>
      </c>
      <c r="AA6">
        <v>0.364138987423412</v>
      </c>
      <c r="AB6">
        <v>0.37841649856950299</v>
      </c>
      <c r="AC6">
        <v>0.36015043084562598</v>
      </c>
      <c r="AD6">
        <v>0.337737285984261</v>
      </c>
      <c r="AE6">
        <v>0.65</v>
      </c>
      <c r="AF6">
        <v>0.65</v>
      </c>
      <c r="AG6">
        <v>0.35511297258333102</v>
      </c>
      <c r="AH6">
        <v>0.65</v>
      </c>
      <c r="AI6">
        <v>0.36025910812640699</v>
      </c>
      <c r="AJ6">
        <v>0.65</v>
      </c>
      <c r="AK6">
        <v>0.65</v>
      </c>
      <c r="AL6">
        <v>0.65</v>
      </c>
      <c r="AM6">
        <v>0.36461241822564</v>
      </c>
      <c r="AN6">
        <v>0.337737285984261</v>
      </c>
      <c r="AO6">
        <v>0.36025800912746803</v>
      </c>
      <c r="AP6">
        <v>0.65</v>
      </c>
      <c r="AQ6">
        <v>0.65</v>
      </c>
      <c r="AR6">
        <v>0.65</v>
      </c>
      <c r="AS6">
        <v>0.37800008782804601</v>
      </c>
      <c r="AT6">
        <v>0.65</v>
      </c>
      <c r="AU6">
        <v>0.39161181955299601</v>
      </c>
      <c r="AV6">
        <v>0.35358822310346899</v>
      </c>
      <c r="AW6" t="s">
        <v>203</v>
      </c>
    </row>
    <row r="7" spans="1:49" ht="12.75">
      <c r="A7" t="s">
        <v>201</v>
      </c>
      <c r="B7" t="s">
        <v>29</v>
      </c>
      <c r="C7" t="s">
        <v>268</v>
      </c>
      <c r="D7" t="s">
        <v>203</v>
      </c>
      <c r="E7" t="s">
        <v>203</v>
      </c>
      <c r="F7" t="s">
        <v>223</v>
      </c>
      <c r="G7" t="s">
        <v>793</v>
      </c>
      <c r="H7" t="s">
        <v>203</v>
      </c>
      <c r="I7" t="s">
        <v>203</v>
      </c>
      <c r="J7" t="s">
        <v>203</v>
      </c>
      <c r="K7" t="s">
        <v>203</v>
      </c>
      <c r="L7">
        <v>0.59970029182112194</v>
      </c>
      <c r="M7">
        <v>0.69450253672349704</v>
      </c>
      <c r="N7">
        <v>0.59970029182112194</v>
      </c>
      <c r="O7">
        <v>0.74605137718687997</v>
      </c>
      <c r="P7">
        <v>0.64869016926894696</v>
      </c>
      <c r="Q7">
        <v>0.67437084470167796</v>
      </c>
      <c r="R7">
        <v>0.69014463999216202</v>
      </c>
      <c r="S7">
        <v>0.67640647811767896</v>
      </c>
      <c r="T7">
        <v>0.67437084470167796</v>
      </c>
      <c r="U7">
        <v>0.643312981665904</v>
      </c>
      <c r="V7">
        <v>0.643501961514507</v>
      </c>
      <c r="W7">
        <v>0.59970029182112194</v>
      </c>
      <c r="X7">
        <v>0.62836757780983898</v>
      </c>
      <c r="Y7">
        <v>0.62692974902342502</v>
      </c>
      <c r="Z7">
        <v>0.67183474604551796</v>
      </c>
      <c r="AA7">
        <v>0.69359824883111398</v>
      </c>
      <c r="AB7">
        <v>0.72079202517599505</v>
      </c>
      <c r="AC7">
        <v>0.68599976545710195</v>
      </c>
      <c r="AD7">
        <v>0.643312981665904</v>
      </c>
      <c r="AE7">
        <v>0.72495187865722199</v>
      </c>
      <c r="AF7">
        <v>0.59970029182112194</v>
      </c>
      <c r="AG7">
        <v>0.67640724585396805</v>
      </c>
      <c r="AH7">
        <v>0.67995544906412497</v>
      </c>
      <c r="AI7">
        <v>0.68620531835156295</v>
      </c>
      <c r="AJ7">
        <v>0.59970029182112194</v>
      </c>
      <c r="AK7">
        <v>0.59970029182112194</v>
      </c>
      <c r="AL7">
        <v>0.66050006194602895</v>
      </c>
      <c r="AM7">
        <v>0.69450080694962602</v>
      </c>
      <c r="AN7">
        <v>0.643312981665904</v>
      </c>
      <c r="AO7">
        <v>0.68620603805230895</v>
      </c>
      <c r="AP7">
        <v>0.60498548055811296</v>
      </c>
      <c r="AQ7">
        <v>0.73019932164429402</v>
      </c>
      <c r="AR7">
        <v>0.59970029182112194</v>
      </c>
      <c r="AS7">
        <v>0.719998141137695</v>
      </c>
      <c r="AT7">
        <v>0.71580693921678595</v>
      </c>
      <c r="AU7">
        <v>0.74593020818891398</v>
      </c>
      <c r="AV7">
        <v>0.67350147419790596</v>
      </c>
      <c r="AW7" t="s">
        <v>203</v>
      </c>
    </row>
    <row r="8" spans="1:49" ht="12.75">
      <c r="A8" t="s">
        <v>201</v>
      </c>
      <c r="B8" t="s">
        <v>29</v>
      </c>
      <c r="C8" t="s">
        <v>269</v>
      </c>
      <c r="D8" t="s">
        <v>203</v>
      </c>
      <c r="E8" t="s">
        <v>203</v>
      </c>
      <c r="F8" t="s">
        <v>223</v>
      </c>
      <c r="G8" t="s">
        <v>793</v>
      </c>
      <c r="H8" t="s">
        <v>203</v>
      </c>
      <c r="I8" t="s">
        <v>203</v>
      </c>
      <c r="J8" t="s">
        <v>203</v>
      </c>
      <c r="K8" t="s">
        <v>203</v>
      </c>
      <c r="L8">
        <v>0.44078242080273</v>
      </c>
      <c r="M8">
        <v>0.51045730900080399</v>
      </c>
      <c r="N8">
        <v>0.44078242080273</v>
      </c>
      <c r="O8">
        <v>0.54834946367735704</v>
      </c>
      <c r="P8">
        <v>0.47678598790679</v>
      </c>
      <c r="Q8">
        <v>0.495662327416173</v>
      </c>
      <c r="R8">
        <v>0.45</v>
      </c>
      <c r="S8">
        <v>0.49715815975108701</v>
      </c>
      <c r="T8">
        <v>0.495662327416173</v>
      </c>
      <c r="U8">
        <v>0.47283325773161</v>
      </c>
      <c r="V8">
        <v>0.47297185613435599</v>
      </c>
      <c r="W8">
        <v>0.44078242080273</v>
      </c>
      <c r="X8">
        <v>0.46185085117421898</v>
      </c>
      <c r="Y8">
        <v>0.46079127022523197</v>
      </c>
      <c r="Z8">
        <v>0.49379645906679298</v>
      </c>
      <c r="AA8">
        <v>0.50979442754439297</v>
      </c>
      <c r="AB8">
        <v>0.52978125349711302</v>
      </c>
      <c r="AC8">
        <v>0.50421027556792397</v>
      </c>
      <c r="AD8">
        <v>0.47283325773161</v>
      </c>
      <c r="AE8">
        <v>0.53284146971343105</v>
      </c>
      <c r="AF8">
        <v>0.44078242080273</v>
      </c>
      <c r="AG8">
        <v>0.49715999166568497</v>
      </c>
      <c r="AH8">
        <v>0.499767190606692</v>
      </c>
      <c r="AI8">
        <v>0.50436436884512104</v>
      </c>
      <c r="AJ8">
        <v>0.44078242080273</v>
      </c>
      <c r="AK8">
        <v>0.44078242080273</v>
      </c>
      <c r="AL8">
        <v>0.45</v>
      </c>
      <c r="AM8">
        <v>0.51045632683139197</v>
      </c>
      <c r="AN8">
        <v>0.47283325773161</v>
      </c>
      <c r="AO8">
        <v>0.50436139170635896</v>
      </c>
      <c r="AP8">
        <v>0.44466287326690601</v>
      </c>
      <c r="AQ8">
        <v>0.53669731526162601</v>
      </c>
      <c r="AR8">
        <v>0.44078242080273</v>
      </c>
      <c r="AS8">
        <v>0.52920065631178304</v>
      </c>
      <c r="AT8">
        <v>0.52611890426047603</v>
      </c>
      <c r="AU8">
        <v>0.54825829656095804</v>
      </c>
      <c r="AV8">
        <v>0.49502196326974202</v>
      </c>
      <c r="AW8" t="s">
        <v>203</v>
      </c>
    </row>
    <row r="9" spans="1:49" ht="12.75">
      <c r="A9" t="s">
        <v>201</v>
      </c>
      <c r="B9" t="s">
        <v>29</v>
      </c>
      <c r="C9" t="s">
        <v>270</v>
      </c>
      <c r="D9" t="s">
        <v>203</v>
      </c>
      <c r="E9" t="s">
        <v>203</v>
      </c>
      <c r="F9" t="s">
        <v>223</v>
      </c>
      <c r="G9" t="s">
        <v>793</v>
      </c>
      <c r="H9" t="s">
        <v>203</v>
      </c>
      <c r="I9" t="s">
        <v>203</v>
      </c>
      <c r="J9" t="s">
        <v>203</v>
      </c>
      <c r="K9" t="s">
        <v>203</v>
      </c>
      <c r="L9">
        <v>0.40929684576721997</v>
      </c>
      <c r="M9">
        <v>0.47399779245620999</v>
      </c>
      <c r="N9">
        <v>0.40929684576721997</v>
      </c>
      <c r="O9">
        <v>0.50917960381027705</v>
      </c>
      <c r="P9">
        <v>0.44273004595327697</v>
      </c>
      <c r="Q9">
        <v>0.460258436911966</v>
      </c>
      <c r="R9">
        <v>0.45</v>
      </c>
      <c r="S9">
        <v>0.45</v>
      </c>
      <c r="T9">
        <v>0.460258436911966</v>
      </c>
      <c r="U9">
        <v>0.439059450354021</v>
      </c>
      <c r="V9">
        <v>0.43918884035973499</v>
      </c>
      <c r="W9">
        <v>0.40929684576721997</v>
      </c>
      <c r="X9">
        <v>0.42885932203389798</v>
      </c>
      <c r="Y9">
        <v>0.45</v>
      </c>
      <c r="Z9">
        <v>0.45852511541776902</v>
      </c>
      <c r="AA9">
        <v>0.47338263464371</v>
      </c>
      <c r="AB9">
        <v>0.491941071363454</v>
      </c>
      <c r="AC9">
        <v>0.46819527707702402</v>
      </c>
      <c r="AD9">
        <v>0.439059450354021</v>
      </c>
      <c r="AE9">
        <v>0.49478053759782198</v>
      </c>
      <c r="AF9">
        <v>0.40929684576721997</v>
      </c>
      <c r="AG9">
        <v>0.45</v>
      </c>
      <c r="AH9">
        <v>0.46407062786380499</v>
      </c>
      <c r="AI9">
        <v>0.46833590453519103</v>
      </c>
      <c r="AJ9">
        <v>0.40929684576721997</v>
      </c>
      <c r="AK9">
        <v>0.40929684576721997</v>
      </c>
      <c r="AL9">
        <v>0.450792490865566</v>
      </c>
      <c r="AM9">
        <v>0.47399636686334601</v>
      </c>
      <c r="AN9">
        <v>0.439059450354021</v>
      </c>
      <c r="AO9">
        <v>0.46833542979797799</v>
      </c>
      <c r="AP9">
        <v>0.41290181214459198</v>
      </c>
      <c r="AQ9">
        <v>0.49836110602453798</v>
      </c>
      <c r="AR9">
        <v>0.40929684576721997</v>
      </c>
      <c r="AS9">
        <v>0.49139976018145298</v>
      </c>
      <c r="AT9">
        <v>0.48853674807877301</v>
      </c>
      <c r="AU9">
        <v>0.50909826394741298</v>
      </c>
      <c r="AV9">
        <v>0.45</v>
      </c>
      <c r="AW9" t="s">
        <v>203</v>
      </c>
    </row>
    <row r="10" spans="1:49" ht="12.75">
      <c r="A10" t="s">
        <v>201</v>
      </c>
      <c r="B10" t="s">
        <v>29</v>
      </c>
      <c r="C10" t="s">
        <v>271</v>
      </c>
      <c r="D10" t="s">
        <v>203</v>
      </c>
      <c r="E10" t="s">
        <v>203</v>
      </c>
      <c r="F10" t="s">
        <v>223</v>
      </c>
      <c r="G10" t="s">
        <v>793</v>
      </c>
      <c r="H10" t="s">
        <v>203</v>
      </c>
      <c r="I10" t="s">
        <v>203</v>
      </c>
      <c r="J10" t="s">
        <v>203</v>
      </c>
      <c r="K10" t="s">
        <v>203</v>
      </c>
      <c r="L10">
        <v>0.65</v>
      </c>
      <c r="M10">
        <v>0.36461186365353898</v>
      </c>
      <c r="N10">
        <v>0.65</v>
      </c>
      <c r="O10">
        <v>0.39167509018574997</v>
      </c>
      <c r="P10">
        <v>0.34056209248295</v>
      </c>
      <c r="Q10">
        <v>0.65</v>
      </c>
      <c r="R10">
        <v>0.36232421826898598</v>
      </c>
      <c r="S10">
        <v>0.35511383576629202</v>
      </c>
      <c r="T10">
        <v>0.65</v>
      </c>
      <c r="U10">
        <v>0.337737285984261</v>
      </c>
      <c r="V10">
        <v>0.33783758944397002</v>
      </c>
      <c r="W10">
        <v>0.65</v>
      </c>
      <c r="X10">
        <v>0.32989345395688902</v>
      </c>
      <c r="Y10">
        <v>0.32913582534223002</v>
      </c>
      <c r="Z10">
        <v>0.352712520882078</v>
      </c>
      <c r="AA10">
        <v>0.364138987423412</v>
      </c>
      <c r="AB10">
        <v>0.37841649856950299</v>
      </c>
      <c r="AC10">
        <v>0.36015043084562598</v>
      </c>
      <c r="AD10">
        <v>0.337737285984261</v>
      </c>
      <c r="AE10">
        <v>0.65</v>
      </c>
      <c r="AF10">
        <v>0.65</v>
      </c>
      <c r="AG10">
        <v>0.35511297258333102</v>
      </c>
      <c r="AH10">
        <v>0.65</v>
      </c>
      <c r="AI10">
        <v>0.36025910812640699</v>
      </c>
      <c r="AJ10">
        <v>0.65</v>
      </c>
      <c r="AK10">
        <v>0.65</v>
      </c>
      <c r="AL10">
        <v>0.65</v>
      </c>
      <c r="AM10">
        <v>0.36461241822564</v>
      </c>
      <c r="AN10">
        <v>0.337737285984261</v>
      </c>
      <c r="AO10">
        <v>0.36025800912746803</v>
      </c>
      <c r="AP10">
        <v>0.65</v>
      </c>
      <c r="AQ10">
        <v>0.65</v>
      </c>
      <c r="AR10">
        <v>0.65</v>
      </c>
      <c r="AS10">
        <v>0.37800008782804601</v>
      </c>
      <c r="AT10">
        <v>0.65</v>
      </c>
      <c r="AU10">
        <v>0.39161181955299601</v>
      </c>
      <c r="AV10">
        <v>0.35358822310346899</v>
      </c>
      <c r="AW10" t="s">
        <v>203</v>
      </c>
    </row>
    <row r="11" spans="1:49" ht="12.75">
      <c r="A11" t="s">
        <v>201</v>
      </c>
      <c r="B11" t="s">
        <v>29</v>
      </c>
      <c r="C11" t="s">
        <v>272</v>
      </c>
      <c r="D11" t="s">
        <v>203</v>
      </c>
      <c r="E11" t="s">
        <v>203</v>
      </c>
      <c r="F11" t="s">
        <v>223</v>
      </c>
      <c r="G11" t="s">
        <v>793</v>
      </c>
      <c r="H11" t="s">
        <v>203</v>
      </c>
      <c r="I11" t="s">
        <v>203</v>
      </c>
      <c r="J11" t="s">
        <v>203</v>
      </c>
      <c r="K11" t="s">
        <v>203</v>
      </c>
      <c r="L11">
        <v>0.59970029182112194</v>
      </c>
      <c r="M11">
        <v>0.69450253672349704</v>
      </c>
      <c r="N11">
        <v>0.59970029182112194</v>
      </c>
      <c r="O11">
        <v>0.74605137718687997</v>
      </c>
      <c r="P11">
        <v>0.64869016926894696</v>
      </c>
      <c r="Q11">
        <v>0.67437084470167796</v>
      </c>
      <c r="R11">
        <v>0.69014463999216202</v>
      </c>
      <c r="S11">
        <v>0.67640647811767896</v>
      </c>
      <c r="T11">
        <v>0.67437084470167796</v>
      </c>
      <c r="U11">
        <v>0.643312981665904</v>
      </c>
      <c r="V11">
        <v>0.643501961514507</v>
      </c>
      <c r="W11">
        <v>0.59970029182112194</v>
      </c>
      <c r="X11">
        <v>0.62836757780983898</v>
      </c>
      <c r="Y11">
        <v>0.62692974902342502</v>
      </c>
      <c r="Z11">
        <v>0.67183474604551796</v>
      </c>
      <c r="AA11">
        <v>0.69359824883111398</v>
      </c>
      <c r="AB11">
        <v>0.72079202517599505</v>
      </c>
      <c r="AC11">
        <v>0.68599976545710195</v>
      </c>
      <c r="AD11">
        <v>0.643312981665904</v>
      </c>
      <c r="AE11">
        <v>0.72495187865722199</v>
      </c>
      <c r="AF11">
        <v>0.59970029182112194</v>
      </c>
      <c r="AG11">
        <v>0.67640724585396805</v>
      </c>
      <c r="AH11">
        <v>0.67995544906412497</v>
      </c>
      <c r="AI11">
        <v>0.68620531835156295</v>
      </c>
      <c r="AJ11">
        <v>0.59970029182112194</v>
      </c>
      <c r="AK11">
        <v>0.59970029182112194</v>
      </c>
      <c r="AL11">
        <v>0.66050006194602895</v>
      </c>
      <c r="AM11">
        <v>0.69450080694962602</v>
      </c>
      <c r="AN11">
        <v>0.643312981665904</v>
      </c>
      <c r="AO11">
        <v>0.68620603805230895</v>
      </c>
      <c r="AP11">
        <v>0.60498548055811296</v>
      </c>
      <c r="AQ11">
        <v>0.73019932164429402</v>
      </c>
      <c r="AR11">
        <v>0.59970029182112194</v>
      </c>
      <c r="AS11">
        <v>0.719998141137695</v>
      </c>
      <c r="AT11">
        <v>0.71580693921678595</v>
      </c>
      <c r="AU11">
        <v>0.74593020818891398</v>
      </c>
      <c r="AV11">
        <v>0.67350147419790596</v>
      </c>
      <c r="AW11" t="s">
        <v>203</v>
      </c>
    </row>
    <row r="12" spans="1:49" ht="12.75">
      <c r="A12" t="s">
        <v>201</v>
      </c>
      <c r="B12" t="s">
        <v>29</v>
      </c>
      <c r="C12" t="s">
        <v>273</v>
      </c>
      <c r="D12" t="s">
        <v>203</v>
      </c>
      <c r="E12" t="s">
        <v>203</v>
      </c>
      <c r="F12" t="s">
        <v>223</v>
      </c>
      <c r="G12" t="s">
        <v>793</v>
      </c>
      <c r="H12" t="s">
        <v>203</v>
      </c>
      <c r="I12" t="s">
        <v>203</v>
      </c>
      <c r="J12" t="s">
        <v>203</v>
      </c>
      <c r="K12" t="s">
        <v>203</v>
      </c>
      <c r="L12">
        <v>0.44078242080273</v>
      </c>
      <c r="M12">
        <v>0.51045730900080399</v>
      </c>
      <c r="N12">
        <v>0.44078242080273</v>
      </c>
      <c r="O12">
        <v>0.54834946367735704</v>
      </c>
      <c r="P12">
        <v>0.47678598790679</v>
      </c>
      <c r="Q12">
        <v>0.495662327416173</v>
      </c>
      <c r="R12">
        <v>0.45</v>
      </c>
      <c r="S12">
        <v>0.49715815975108701</v>
      </c>
      <c r="T12">
        <v>0.495662327416173</v>
      </c>
      <c r="U12">
        <v>0.47283325773161</v>
      </c>
      <c r="V12">
        <v>0.47297185613435599</v>
      </c>
      <c r="W12">
        <v>0.44078242080273</v>
      </c>
      <c r="X12">
        <v>0.46185085117421898</v>
      </c>
      <c r="Y12">
        <v>0.46079127022523197</v>
      </c>
      <c r="Z12">
        <v>0.49379645906679298</v>
      </c>
      <c r="AA12">
        <v>0.50979442754439297</v>
      </c>
      <c r="AB12">
        <v>0.52978125349711302</v>
      </c>
      <c r="AC12">
        <v>0.50421027556792397</v>
      </c>
      <c r="AD12">
        <v>0.47283325773161</v>
      </c>
      <c r="AE12">
        <v>0.53284146971343105</v>
      </c>
      <c r="AF12">
        <v>0.44078242080273</v>
      </c>
      <c r="AG12">
        <v>0.49715999166568497</v>
      </c>
      <c r="AH12">
        <v>0.499767190606692</v>
      </c>
      <c r="AI12">
        <v>0.50436436884512104</v>
      </c>
      <c r="AJ12">
        <v>0.44078242080273</v>
      </c>
      <c r="AK12">
        <v>0.44078242080273</v>
      </c>
      <c r="AL12">
        <v>0.45</v>
      </c>
      <c r="AM12">
        <v>0.51045632683139197</v>
      </c>
      <c r="AN12">
        <v>0.47283325773161</v>
      </c>
      <c r="AO12">
        <v>0.50436139170635896</v>
      </c>
      <c r="AP12">
        <v>0.44466287326690601</v>
      </c>
      <c r="AQ12">
        <v>0.53669731526162601</v>
      </c>
      <c r="AR12">
        <v>0.44078242080273</v>
      </c>
      <c r="AS12">
        <v>0.52920065631178304</v>
      </c>
      <c r="AT12">
        <v>0.52611890426047603</v>
      </c>
      <c r="AU12">
        <v>0.54825829656095804</v>
      </c>
      <c r="AV12">
        <v>0.49502196326974202</v>
      </c>
      <c r="AW12" t="s">
        <v>203</v>
      </c>
    </row>
    <row r="13" spans="1:49" ht="12.75">
      <c r="A13" t="s">
        <v>201</v>
      </c>
      <c r="B13" t="s">
        <v>29</v>
      </c>
      <c r="C13" t="s">
        <v>274</v>
      </c>
      <c r="D13" t="s">
        <v>203</v>
      </c>
      <c r="E13" t="s">
        <v>203</v>
      </c>
      <c r="F13" t="s">
        <v>223</v>
      </c>
      <c r="G13" t="s">
        <v>793</v>
      </c>
      <c r="H13" t="s">
        <v>203</v>
      </c>
      <c r="I13" t="s">
        <v>203</v>
      </c>
      <c r="J13" t="s">
        <v>203</v>
      </c>
      <c r="K13" t="s">
        <v>203</v>
      </c>
      <c r="L13">
        <v>0.40929684576721997</v>
      </c>
      <c r="M13">
        <v>0.47399779245620999</v>
      </c>
      <c r="N13">
        <v>0.40929684576721997</v>
      </c>
      <c r="O13">
        <v>0.50917960381027705</v>
      </c>
      <c r="P13">
        <v>0.44273004595327697</v>
      </c>
      <c r="Q13">
        <v>0.460258436911966</v>
      </c>
      <c r="R13">
        <v>0.45</v>
      </c>
      <c r="S13">
        <v>0.45</v>
      </c>
      <c r="T13">
        <v>0.460258436911966</v>
      </c>
      <c r="U13">
        <v>0.439059450354021</v>
      </c>
      <c r="V13">
        <v>0.43918884035973499</v>
      </c>
      <c r="W13">
        <v>0.40929684576721997</v>
      </c>
      <c r="X13">
        <v>0.42885932203389798</v>
      </c>
      <c r="Y13">
        <v>0.45</v>
      </c>
      <c r="Z13">
        <v>0.45852511541776902</v>
      </c>
      <c r="AA13">
        <v>0.47338263464371</v>
      </c>
      <c r="AB13">
        <v>0.491941071363454</v>
      </c>
      <c r="AC13">
        <v>0.46819527707702402</v>
      </c>
      <c r="AD13">
        <v>0.439059450354021</v>
      </c>
      <c r="AE13">
        <v>0.49478053759782198</v>
      </c>
      <c r="AF13">
        <v>0.40929684576721997</v>
      </c>
      <c r="AG13">
        <v>0.45</v>
      </c>
      <c r="AH13">
        <v>0.46407062786380499</v>
      </c>
      <c r="AI13">
        <v>0.46833590453519103</v>
      </c>
      <c r="AJ13">
        <v>0.40929684576721997</v>
      </c>
      <c r="AK13">
        <v>0.40929684576721997</v>
      </c>
      <c r="AL13">
        <v>0.450792490865566</v>
      </c>
      <c r="AM13">
        <v>0.47399636686334601</v>
      </c>
      <c r="AN13">
        <v>0.439059450354021</v>
      </c>
      <c r="AO13">
        <v>0.46833542979797799</v>
      </c>
      <c r="AP13">
        <v>0.41290181214459198</v>
      </c>
      <c r="AQ13">
        <v>0.49836110602453798</v>
      </c>
      <c r="AR13">
        <v>0.40929684576721997</v>
      </c>
      <c r="AS13">
        <v>0.49139976018145298</v>
      </c>
      <c r="AT13">
        <v>0.48853674807877301</v>
      </c>
      <c r="AU13">
        <v>0.50909826394741298</v>
      </c>
      <c r="AV13">
        <v>0.45</v>
      </c>
      <c r="AW13" t="s">
        <v>203</v>
      </c>
    </row>
    <row r="14" spans="1:49" ht="12.75">
      <c r="A14" t="s">
        <v>201</v>
      </c>
      <c r="B14" t="s">
        <v>29</v>
      </c>
      <c r="C14" t="s">
        <v>275</v>
      </c>
      <c r="D14" t="s">
        <v>203</v>
      </c>
      <c r="E14" t="s">
        <v>203</v>
      </c>
      <c r="F14" t="s">
        <v>223</v>
      </c>
      <c r="G14" t="s">
        <v>793</v>
      </c>
      <c r="H14" t="s">
        <v>203</v>
      </c>
      <c r="I14" t="s">
        <v>203</v>
      </c>
      <c r="J14" t="s">
        <v>203</v>
      </c>
      <c r="K14" t="s">
        <v>203</v>
      </c>
      <c r="L14">
        <v>0.65</v>
      </c>
      <c r="M14">
        <v>0.36461186365353898</v>
      </c>
      <c r="N14">
        <v>0.65</v>
      </c>
      <c r="O14">
        <v>0.39167509018574997</v>
      </c>
      <c r="P14">
        <v>0.34056209248295</v>
      </c>
      <c r="Q14">
        <v>0.65</v>
      </c>
      <c r="R14">
        <v>0.36232421826898598</v>
      </c>
      <c r="S14">
        <v>0.35511383576629202</v>
      </c>
      <c r="T14">
        <v>0.65</v>
      </c>
      <c r="U14">
        <v>0.337737285984261</v>
      </c>
      <c r="V14">
        <v>0.33783758944397002</v>
      </c>
      <c r="W14">
        <v>0.65</v>
      </c>
      <c r="X14">
        <v>0.32989345395688902</v>
      </c>
      <c r="Y14">
        <v>0.32913582534223002</v>
      </c>
      <c r="Z14">
        <v>0.352712520882078</v>
      </c>
      <c r="AA14">
        <v>0.364138987423412</v>
      </c>
      <c r="AB14">
        <v>0.37841649856950299</v>
      </c>
      <c r="AC14">
        <v>0.36015043084562598</v>
      </c>
      <c r="AD14">
        <v>0.337737285984261</v>
      </c>
      <c r="AE14">
        <v>0.65</v>
      </c>
      <c r="AF14">
        <v>0.65</v>
      </c>
      <c r="AG14">
        <v>0.35511297258333102</v>
      </c>
      <c r="AH14">
        <v>0.65</v>
      </c>
      <c r="AI14">
        <v>0.36025910812640699</v>
      </c>
      <c r="AJ14">
        <v>0.65</v>
      </c>
      <c r="AK14">
        <v>0.65</v>
      </c>
      <c r="AL14">
        <v>0.65</v>
      </c>
      <c r="AM14">
        <v>0.36461241822564</v>
      </c>
      <c r="AN14">
        <v>0.337737285984261</v>
      </c>
      <c r="AO14">
        <v>0.36025800912746803</v>
      </c>
      <c r="AP14">
        <v>0.65</v>
      </c>
      <c r="AQ14">
        <v>0.65</v>
      </c>
      <c r="AR14">
        <v>0.65</v>
      </c>
      <c r="AS14">
        <v>0.37800008782804601</v>
      </c>
      <c r="AT14">
        <v>0.65</v>
      </c>
      <c r="AU14">
        <v>0.39161181955299601</v>
      </c>
      <c r="AV14">
        <v>0.35358822310346899</v>
      </c>
      <c r="AW14" t="s">
        <v>203</v>
      </c>
    </row>
    <row r="15" spans="1:49" ht="12.75">
      <c r="A15" t="s">
        <v>201</v>
      </c>
      <c r="B15" t="s">
        <v>29</v>
      </c>
      <c r="C15" t="s">
        <v>276</v>
      </c>
      <c r="D15" t="s">
        <v>203</v>
      </c>
      <c r="E15" t="s">
        <v>203</v>
      </c>
      <c r="F15" t="s">
        <v>223</v>
      </c>
      <c r="G15" t="s">
        <v>793</v>
      </c>
      <c r="H15" t="s">
        <v>203</v>
      </c>
      <c r="I15" t="s">
        <v>203</v>
      </c>
      <c r="J15" t="s">
        <v>203</v>
      </c>
      <c r="K15" t="s">
        <v>203</v>
      </c>
      <c r="L15">
        <v>0.59970029182112194</v>
      </c>
      <c r="M15">
        <v>0.69450253672349704</v>
      </c>
      <c r="N15">
        <v>0.59970029182112194</v>
      </c>
      <c r="O15">
        <v>0.74605137718687997</v>
      </c>
      <c r="P15">
        <v>0.64869016926894696</v>
      </c>
      <c r="Q15">
        <v>0.67437084470167796</v>
      </c>
      <c r="R15">
        <v>0.69014463999216202</v>
      </c>
      <c r="S15">
        <v>0.67640647811767896</v>
      </c>
      <c r="T15">
        <v>0.67437084470167796</v>
      </c>
      <c r="U15">
        <v>0.643312981665904</v>
      </c>
      <c r="V15">
        <v>0.643501961514507</v>
      </c>
      <c r="W15">
        <v>0.59970029182112194</v>
      </c>
      <c r="X15">
        <v>0.62836757780983898</v>
      </c>
      <c r="Y15">
        <v>0.62692974902342502</v>
      </c>
      <c r="Z15">
        <v>0.67183474604551796</v>
      </c>
      <c r="AA15">
        <v>0.69359824883111398</v>
      </c>
      <c r="AB15">
        <v>0.72079202517599505</v>
      </c>
      <c r="AC15">
        <v>0.68599976545710195</v>
      </c>
      <c r="AD15">
        <v>0.643312981665904</v>
      </c>
      <c r="AE15">
        <v>0.72495187865722199</v>
      </c>
      <c r="AF15">
        <v>0.59970029182112194</v>
      </c>
      <c r="AG15">
        <v>0.67640724585396805</v>
      </c>
      <c r="AH15">
        <v>0.67995544906412497</v>
      </c>
      <c r="AI15">
        <v>0.68620531835156295</v>
      </c>
      <c r="AJ15">
        <v>0.59970029182112194</v>
      </c>
      <c r="AK15">
        <v>0.59970029182112194</v>
      </c>
      <c r="AL15">
        <v>0.66050006194602895</v>
      </c>
      <c r="AM15">
        <v>0.69450080694962602</v>
      </c>
      <c r="AN15">
        <v>0.643312981665904</v>
      </c>
      <c r="AO15">
        <v>0.68620603805230895</v>
      </c>
      <c r="AP15">
        <v>0.60498548055811296</v>
      </c>
      <c r="AQ15">
        <v>0.73019932164429402</v>
      </c>
      <c r="AR15">
        <v>0.59970029182112194</v>
      </c>
      <c r="AS15">
        <v>0.719998141137695</v>
      </c>
      <c r="AT15">
        <v>0.71580693921678595</v>
      </c>
      <c r="AU15">
        <v>0.74593020818891398</v>
      </c>
      <c r="AV15">
        <v>0.67350147419790596</v>
      </c>
      <c r="AW15" t="s">
        <v>203</v>
      </c>
    </row>
    <row r="16" spans="1:49" ht="12.75">
      <c r="A16" t="s">
        <v>201</v>
      </c>
      <c r="B16" t="s">
        <v>29</v>
      </c>
      <c r="C16" t="s">
        <v>277</v>
      </c>
      <c r="D16" t="s">
        <v>203</v>
      </c>
      <c r="E16" t="s">
        <v>203</v>
      </c>
      <c r="F16" t="s">
        <v>223</v>
      </c>
      <c r="G16" t="s">
        <v>793</v>
      </c>
      <c r="H16" t="s">
        <v>203</v>
      </c>
      <c r="I16" t="s">
        <v>203</v>
      </c>
      <c r="J16" t="s">
        <v>203</v>
      </c>
      <c r="K16" t="s">
        <v>203</v>
      </c>
      <c r="L16">
        <v>0.44078242080273</v>
      </c>
      <c r="M16">
        <v>0.51045730900080399</v>
      </c>
      <c r="N16">
        <v>0.44078242080273</v>
      </c>
      <c r="O16">
        <v>0.54834946367735704</v>
      </c>
      <c r="P16">
        <v>0.47678598790679</v>
      </c>
      <c r="Q16">
        <v>0.495662327416173</v>
      </c>
      <c r="R16">
        <v>0.45</v>
      </c>
      <c r="S16">
        <v>0.49715815975108701</v>
      </c>
      <c r="T16">
        <v>0.495662327416173</v>
      </c>
      <c r="U16">
        <v>0.47283325773161</v>
      </c>
      <c r="V16">
        <v>0.47297185613435599</v>
      </c>
      <c r="W16">
        <v>0.44078242080273</v>
      </c>
      <c r="X16">
        <v>0.46185085117421898</v>
      </c>
      <c r="Y16">
        <v>0.46079127022523197</v>
      </c>
      <c r="Z16">
        <v>0.49379645906679298</v>
      </c>
      <c r="AA16">
        <v>0.50979442754439297</v>
      </c>
      <c r="AB16">
        <v>0.52978125349711302</v>
      </c>
      <c r="AC16">
        <v>0.50421027556792397</v>
      </c>
      <c r="AD16">
        <v>0.47283325773161</v>
      </c>
      <c r="AE16">
        <v>0.53284146971343105</v>
      </c>
      <c r="AF16">
        <v>0.44078242080273</v>
      </c>
      <c r="AG16">
        <v>0.49715999166568497</v>
      </c>
      <c r="AH16">
        <v>0.499767190606692</v>
      </c>
      <c r="AI16">
        <v>0.50436436884512104</v>
      </c>
      <c r="AJ16">
        <v>0.44078242080273</v>
      </c>
      <c r="AK16">
        <v>0.44078242080273</v>
      </c>
      <c r="AL16">
        <v>0.45</v>
      </c>
      <c r="AM16">
        <v>0.51045632683139197</v>
      </c>
      <c r="AN16">
        <v>0.47283325773161</v>
      </c>
      <c r="AO16">
        <v>0.50436139170635896</v>
      </c>
      <c r="AP16">
        <v>0.44466287326690601</v>
      </c>
      <c r="AQ16">
        <v>0.53669731526162601</v>
      </c>
      <c r="AR16">
        <v>0.44078242080273</v>
      </c>
      <c r="AS16">
        <v>0.52920065631178304</v>
      </c>
      <c r="AT16">
        <v>0.52611890426047603</v>
      </c>
      <c r="AU16">
        <v>0.54825829656095804</v>
      </c>
      <c r="AV16">
        <v>0.49502196326974202</v>
      </c>
      <c r="AW16" t="s">
        <v>203</v>
      </c>
    </row>
    <row r="17" spans="1:49" ht="12.75">
      <c r="A17" t="s">
        <v>201</v>
      </c>
      <c r="B17" t="s">
        <v>29</v>
      </c>
      <c r="C17" t="s">
        <v>278</v>
      </c>
      <c r="D17" t="s">
        <v>203</v>
      </c>
      <c r="E17" t="s">
        <v>203</v>
      </c>
      <c r="F17" t="s">
        <v>223</v>
      </c>
      <c r="G17" t="s">
        <v>793</v>
      </c>
      <c r="H17" t="s">
        <v>203</v>
      </c>
      <c r="I17" t="s">
        <v>203</v>
      </c>
      <c r="J17" t="s">
        <v>203</v>
      </c>
      <c r="K17" t="s">
        <v>203</v>
      </c>
      <c r="L17">
        <v>0.40929684576721997</v>
      </c>
      <c r="M17">
        <v>0.47399779245620999</v>
      </c>
      <c r="N17">
        <v>0.40929684576721997</v>
      </c>
      <c r="O17">
        <v>0.50917960381027705</v>
      </c>
      <c r="P17">
        <v>0.44273004595327697</v>
      </c>
      <c r="Q17">
        <v>0.460258436911966</v>
      </c>
      <c r="R17">
        <v>0.45</v>
      </c>
      <c r="S17">
        <v>0.45</v>
      </c>
      <c r="T17">
        <v>0.460258436911966</v>
      </c>
      <c r="U17">
        <v>0.439059450354021</v>
      </c>
      <c r="V17">
        <v>0.43918884035973499</v>
      </c>
      <c r="W17">
        <v>0.40929684576721997</v>
      </c>
      <c r="X17">
        <v>0.42885932203389798</v>
      </c>
      <c r="Y17">
        <v>0.45</v>
      </c>
      <c r="Z17">
        <v>0.45852511541776902</v>
      </c>
      <c r="AA17">
        <v>0.47338263464371</v>
      </c>
      <c r="AB17">
        <v>0.491941071363454</v>
      </c>
      <c r="AC17">
        <v>0.46819527707702402</v>
      </c>
      <c r="AD17">
        <v>0.439059450354021</v>
      </c>
      <c r="AE17">
        <v>0.49478053759782198</v>
      </c>
      <c r="AF17">
        <v>0.40929684576721997</v>
      </c>
      <c r="AG17">
        <v>0.45</v>
      </c>
      <c r="AH17">
        <v>0.46407062786380499</v>
      </c>
      <c r="AI17">
        <v>0.46833590453519103</v>
      </c>
      <c r="AJ17">
        <v>0.40929684576721997</v>
      </c>
      <c r="AK17">
        <v>0.40929684576721997</v>
      </c>
      <c r="AL17">
        <v>0.450792490865566</v>
      </c>
      <c r="AM17">
        <v>0.47399636686334601</v>
      </c>
      <c r="AN17">
        <v>0.439059450354021</v>
      </c>
      <c r="AO17">
        <v>0.46833542979797799</v>
      </c>
      <c r="AP17">
        <v>0.41290181214459198</v>
      </c>
      <c r="AQ17">
        <v>0.49836110602453798</v>
      </c>
      <c r="AR17">
        <v>0.40929684576721997</v>
      </c>
      <c r="AS17">
        <v>0.49139976018145298</v>
      </c>
      <c r="AT17">
        <v>0.48853674807877301</v>
      </c>
      <c r="AU17">
        <v>0.50909826394741298</v>
      </c>
      <c r="AV17">
        <v>0.45</v>
      </c>
      <c r="AW17" t="s">
        <v>203</v>
      </c>
    </row>
    <row r="18" spans="1:49" ht="12.75">
      <c r="A18" t="s">
        <v>201</v>
      </c>
      <c r="B18" t="s">
        <v>29</v>
      </c>
      <c r="C18" t="s">
        <v>279</v>
      </c>
      <c r="D18" t="s">
        <v>203</v>
      </c>
      <c r="E18" t="s">
        <v>203</v>
      </c>
      <c r="F18" t="s">
        <v>223</v>
      </c>
      <c r="G18" t="s">
        <v>793</v>
      </c>
      <c r="H18" t="s">
        <v>203</v>
      </c>
      <c r="I18" t="s">
        <v>203</v>
      </c>
      <c r="J18" t="s">
        <v>203</v>
      </c>
      <c r="K18" t="s">
        <v>203</v>
      </c>
      <c r="L18">
        <v>0.65</v>
      </c>
      <c r="M18">
        <v>0.36461186365353898</v>
      </c>
      <c r="N18">
        <v>0.65</v>
      </c>
      <c r="O18">
        <v>0.39167509018574997</v>
      </c>
      <c r="P18">
        <v>0.34056209248295</v>
      </c>
      <c r="Q18">
        <v>0.65</v>
      </c>
      <c r="R18">
        <v>0.36232421826898598</v>
      </c>
      <c r="S18">
        <v>0.35511383576629202</v>
      </c>
      <c r="T18">
        <v>0.65</v>
      </c>
      <c r="U18">
        <v>0.337737285984261</v>
      </c>
      <c r="V18">
        <v>0.33783758944397002</v>
      </c>
      <c r="W18">
        <v>0.65</v>
      </c>
      <c r="X18">
        <v>0.32989345395688902</v>
      </c>
      <c r="Y18">
        <v>0.32913582534223002</v>
      </c>
      <c r="Z18">
        <v>0.352712520882078</v>
      </c>
      <c r="AA18">
        <v>0.364138987423412</v>
      </c>
      <c r="AB18">
        <v>0.37841649856950299</v>
      </c>
      <c r="AC18">
        <v>0.36015043084562598</v>
      </c>
      <c r="AD18">
        <v>0.337737285984261</v>
      </c>
      <c r="AE18">
        <v>0.65</v>
      </c>
      <c r="AF18">
        <v>0.65</v>
      </c>
      <c r="AG18">
        <v>0.35511297258333102</v>
      </c>
      <c r="AH18">
        <v>0.65</v>
      </c>
      <c r="AI18">
        <v>0.36025910812640699</v>
      </c>
      <c r="AJ18">
        <v>0.65</v>
      </c>
      <c r="AK18">
        <v>0.65</v>
      </c>
      <c r="AL18">
        <v>0.65</v>
      </c>
      <c r="AM18">
        <v>0.36461241822564</v>
      </c>
      <c r="AN18">
        <v>0.337737285984261</v>
      </c>
      <c r="AO18">
        <v>0.36025800912746803</v>
      </c>
      <c r="AP18">
        <v>0.65</v>
      </c>
      <c r="AQ18">
        <v>0.65</v>
      </c>
      <c r="AR18">
        <v>0.65</v>
      </c>
      <c r="AS18">
        <v>0.37800008782804601</v>
      </c>
      <c r="AT18">
        <v>0.65</v>
      </c>
      <c r="AU18">
        <v>0.39161181955299601</v>
      </c>
      <c r="AV18">
        <v>0.35358822310346899</v>
      </c>
      <c r="AW18" t="s">
        <v>203</v>
      </c>
    </row>
    <row r="19" spans="1:49" ht="12.75">
      <c r="A19" t="s">
        <v>201</v>
      </c>
      <c r="B19" t="s">
        <v>29</v>
      </c>
      <c r="C19" t="s">
        <v>280</v>
      </c>
      <c r="D19" t="s">
        <v>203</v>
      </c>
      <c r="E19" t="s">
        <v>203</v>
      </c>
      <c r="F19" t="s">
        <v>223</v>
      </c>
      <c r="G19" t="s">
        <v>793</v>
      </c>
      <c r="H19" t="s">
        <v>203</v>
      </c>
      <c r="I19" t="s">
        <v>203</v>
      </c>
      <c r="J19" t="s">
        <v>203</v>
      </c>
      <c r="K19" t="s">
        <v>203</v>
      </c>
      <c r="L19">
        <v>0.59970029182112194</v>
      </c>
      <c r="M19">
        <v>0.69450253672349704</v>
      </c>
      <c r="N19">
        <v>0.59970029182112194</v>
      </c>
      <c r="O19">
        <v>0.74605137718687997</v>
      </c>
      <c r="P19">
        <v>0.64869016926894696</v>
      </c>
      <c r="Q19">
        <v>0.67437084470167796</v>
      </c>
      <c r="R19">
        <v>0.69014463999216202</v>
      </c>
      <c r="S19">
        <v>0.67640647811767896</v>
      </c>
      <c r="T19">
        <v>0.67437084470167796</v>
      </c>
      <c r="U19">
        <v>0.643312981665904</v>
      </c>
      <c r="V19">
        <v>0.643501961514507</v>
      </c>
      <c r="W19">
        <v>0.59970029182112194</v>
      </c>
      <c r="X19">
        <v>0.62836757780983898</v>
      </c>
      <c r="Y19">
        <v>0.62692974902342502</v>
      </c>
      <c r="Z19">
        <v>0.67183474604551796</v>
      </c>
      <c r="AA19">
        <v>0.69359824883111398</v>
      </c>
      <c r="AB19">
        <v>0.72079202517599505</v>
      </c>
      <c r="AC19">
        <v>0.68599976545710195</v>
      </c>
      <c r="AD19">
        <v>0.643312981665904</v>
      </c>
      <c r="AE19">
        <v>0.72495187865722199</v>
      </c>
      <c r="AF19">
        <v>0.59970029182112194</v>
      </c>
      <c r="AG19">
        <v>0.67640724585396805</v>
      </c>
      <c r="AH19">
        <v>0.67995544906412497</v>
      </c>
      <c r="AI19">
        <v>0.68620531835156295</v>
      </c>
      <c r="AJ19">
        <v>0.59970029182112194</v>
      </c>
      <c r="AK19">
        <v>0.59970029182112194</v>
      </c>
      <c r="AL19">
        <v>0.66050006194602895</v>
      </c>
      <c r="AM19">
        <v>0.69450080694962602</v>
      </c>
      <c r="AN19">
        <v>0.643312981665904</v>
      </c>
      <c r="AO19">
        <v>0.68620603805230895</v>
      </c>
      <c r="AP19">
        <v>0.60498548055811296</v>
      </c>
      <c r="AQ19">
        <v>0.73019932164429402</v>
      </c>
      <c r="AR19">
        <v>0.59970029182112194</v>
      </c>
      <c r="AS19">
        <v>0.719998141137695</v>
      </c>
      <c r="AT19">
        <v>0.71580693921678595</v>
      </c>
      <c r="AU19">
        <v>0.74593020818891398</v>
      </c>
      <c r="AV19">
        <v>0.67350147419790596</v>
      </c>
      <c r="AW19" t="s">
        <v>203</v>
      </c>
    </row>
    <row r="20" spans="1:49" ht="12.75">
      <c r="A20" t="s">
        <v>201</v>
      </c>
      <c r="B20" t="s">
        <v>29</v>
      </c>
      <c r="C20" t="s">
        <v>281</v>
      </c>
      <c r="D20" t="s">
        <v>203</v>
      </c>
      <c r="E20" t="s">
        <v>203</v>
      </c>
      <c r="F20" t="s">
        <v>223</v>
      </c>
      <c r="G20" t="s">
        <v>793</v>
      </c>
      <c r="H20" t="s">
        <v>203</v>
      </c>
      <c r="I20" t="s">
        <v>203</v>
      </c>
      <c r="J20" t="s">
        <v>203</v>
      </c>
      <c r="K20" t="s">
        <v>203</v>
      </c>
      <c r="L20">
        <v>0.44078242080273</v>
      </c>
      <c r="M20">
        <v>0.51045730900080399</v>
      </c>
      <c r="N20">
        <v>0.44078242080273</v>
      </c>
      <c r="O20">
        <v>0.54834946367735704</v>
      </c>
      <c r="P20">
        <v>0.47678598790679</v>
      </c>
      <c r="Q20">
        <v>0.495662327416173</v>
      </c>
      <c r="R20">
        <v>0.45</v>
      </c>
      <c r="S20">
        <v>0.49715815975108701</v>
      </c>
      <c r="T20">
        <v>0.495662327416173</v>
      </c>
      <c r="U20">
        <v>0.47283325773161</v>
      </c>
      <c r="V20">
        <v>0.47297185613435599</v>
      </c>
      <c r="W20">
        <v>0.44078242080273</v>
      </c>
      <c r="X20">
        <v>0.46185085117421898</v>
      </c>
      <c r="Y20">
        <v>0.46079127022523197</v>
      </c>
      <c r="Z20">
        <v>0.49379645906679298</v>
      </c>
      <c r="AA20">
        <v>0.50979442754439297</v>
      </c>
      <c r="AB20">
        <v>0.52978125349711302</v>
      </c>
      <c r="AC20">
        <v>0.50421027556792397</v>
      </c>
      <c r="AD20">
        <v>0.47283325773161</v>
      </c>
      <c r="AE20">
        <v>0.53284146971343105</v>
      </c>
      <c r="AF20">
        <v>0.44078242080273</v>
      </c>
      <c r="AG20">
        <v>0.49715999166568497</v>
      </c>
      <c r="AH20">
        <v>0.499767190606692</v>
      </c>
      <c r="AI20">
        <v>0.50436436884512104</v>
      </c>
      <c r="AJ20">
        <v>0.44078242080273</v>
      </c>
      <c r="AK20">
        <v>0.44078242080273</v>
      </c>
      <c r="AL20">
        <v>0.45</v>
      </c>
      <c r="AM20">
        <v>0.51045632683139197</v>
      </c>
      <c r="AN20">
        <v>0.47283325773161</v>
      </c>
      <c r="AO20">
        <v>0.50436139170635896</v>
      </c>
      <c r="AP20">
        <v>0.44466287326690601</v>
      </c>
      <c r="AQ20">
        <v>0.53669731526162601</v>
      </c>
      <c r="AR20">
        <v>0.44078242080273</v>
      </c>
      <c r="AS20">
        <v>0.52920065631178304</v>
      </c>
      <c r="AT20">
        <v>0.52611890426047603</v>
      </c>
      <c r="AU20">
        <v>0.54825829656095804</v>
      </c>
      <c r="AV20">
        <v>0.49502196326974202</v>
      </c>
      <c r="AW20" t="s">
        <v>203</v>
      </c>
    </row>
    <row r="21" spans="1:49" ht="12.75">
      <c r="A21" t="s">
        <v>201</v>
      </c>
      <c r="B21" t="s">
        <v>29</v>
      </c>
      <c r="C21" t="s">
        <v>282</v>
      </c>
      <c r="D21" t="s">
        <v>203</v>
      </c>
      <c r="E21" t="s">
        <v>203</v>
      </c>
      <c r="F21" t="s">
        <v>223</v>
      </c>
      <c r="G21" t="s">
        <v>793</v>
      </c>
      <c r="H21" t="s">
        <v>203</v>
      </c>
      <c r="I21" t="s">
        <v>203</v>
      </c>
      <c r="J21" t="s">
        <v>203</v>
      </c>
      <c r="K21" t="s">
        <v>203</v>
      </c>
      <c r="L21">
        <v>0.40929684576721997</v>
      </c>
      <c r="M21">
        <v>0.47399779245620999</v>
      </c>
      <c r="N21">
        <v>0.40929684576721997</v>
      </c>
      <c r="O21">
        <v>0.50917960381027705</v>
      </c>
      <c r="P21">
        <v>0.44273004595327697</v>
      </c>
      <c r="Q21">
        <v>0.460258436911966</v>
      </c>
      <c r="R21">
        <v>0.45</v>
      </c>
      <c r="S21">
        <v>0.45</v>
      </c>
      <c r="T21">
        <v>0.460258436911966</v>
      </c>
      <c r="U21">
        <v>0.439059450354021</v>
      </c>
      <c r="V21">
        <v>0.43918884035973499</v>
      </c>
      <c r="W21">
        <v>0.40929684576721997</v>
      </c>
      <c r="X21">
        <v>0.42885932203389798</v>
      </c>
      <c r="Y21">
        <v>0.45</v>
      </c>
      <c r="Z21">
        <v>0.45852511541776902</v>
      </c>
      <c r="AA21">
        <v>0.47338263464371</v>
      </c>
      <c r="AB21">
        <v>0.491941071363454</v>
      </c>
      <c r="AC21">
        <v>0.46819527707702402</v>
      </c>
      <c r="AD21">
        <v>0.439059450354021</v>
      </c>
      <c r="AE21">
        <v>0.49478053759782198</v>
      </c>
      <c r="AF21">
        <v>0.40929684576721997</v>
      </c>
      <c r="AG21">
        <v>0.45</v>
      </c>
      <c r="AH21">
        <v>0.46407062786380499</v>
      </c>
      <c r="AI21">
        <v>0.46833590453519103</v>
      </c>
      <c r="AJ21">
        <v>0.40929684576721997</v>
      </c>
      <c r="AK21">
        <v>0.40929684576721997</v>
      </c>
      <c r="AL21">
        <v>0.450792490865566</v>
      </c>
      <c r="AM21">
        <v>0.47399636686334601</v>
      </c>
      <c r="AN21">
        <v>0.439059450354021</v>
      </c>
      <c r="AO21">
        <v>0.46833542979797799</v>
      </c>
      <c r="AP21">
        <v>0.41290181214459198</v>
      </c>
      <c r="AQ21">
        <v>0.49836110602453798</v>
      </c>
      <c r="AR21">
        <v>0.40929684576721997</v>
      </c>
      <c r="AS21">
        <v>0.49139976018145298</v>
      </c>
      <c r="AT21">
        <v>0.48853674807877301</v>
      </c>
      <c r="AU21">
        <v>0.50909826394741298</v>
      </c>
      <c r="AV21">
        <v>0.45</v>
      </c>
      <c r="AW21" t="s">
        <v>203</v>
      </c>
    </row>
    <row r="22" spans="1:49" ht="12.75">
      <c r="A22" t="s">
        <v>201</v>
      </c>
      <c r="B22" t="s">
        <v>29</v>
      </c>
      <c r="C22" t="s">
        <v>283</v>
      </c>
      <c r="D22" t="s">
        <v>203</v>
      </c>
      <c r="E22" t="s">
        <v>203</v>
      </c>
      <c r="F22" t="s">
        <v>223</v>
      </c>
      <c r="G22" t="s">
        <v>793</v>
      </c>
      <c r="H22" t="s">
        <v>203</v>
      </c>
      <c r="I22" t="s">
        <v>203</v>
      </c>
      <c r="J22" t="s">
        <v>203</v>
      </c>
      <c r="K22" t="s">
        <v>203</v>
      </c>
      <c r="L22">
        <v>0.65</v>
      </c>
      <c r="M22">
        <v>0.36461186365353898</v>
      </c>
      <c r="N22">
        <v>0.65</v>
      </c>
      <c r="O22">
        <v>0.39167509018574997</v>
      </c>
      <c r="P22">
        <v>0.34056209248295</v>
      </c>
      <c r="Q22">
        <v>0.65</v>
      </c>
      <c r="R22">
        <v>0.36232421826898598</v>
      </c>
      <c r="S22">
        <v>0.35511383576629202</v>
      </c>
      <c r="T22">
        <v>0.65</v>
      </c>
      <c r="U22">
        <v>0.337737285984261</v>
      </c>
      <c r="V22">
        <v>0.33783758944397002</v>
      </c>
      <c r="W22">
        <v>0.65</v>
      </c>
      <c r="X22">
        <v>0.32989345395688902</v>
      </c>
      <c r="Y22">
        <v>0.32913582534223002</v>
      </c>
      <c r="Z22">
        <v>0.352712520882078</v>
      </c>
      <c r="AA22">
        <v>0.364138987423412</v>
      </c>
      <c r="AB22">
        <v>0.37841649856950299</v>
      </c>
      <c r="AC22">
        <v>0.36015043084562598</v>
      </c>
      <c r="AD22">
        <v>0.337737285984261</v>
      </c>
      <c r="AE22">
        <v>0.65</v>
      </c>
      <c r="AF22">
        <v>0.65</v>
      </c>
      <c r="AG22">
        <v>0.35511297258333102</v>
      </c>
      <c r="AH22">
        <v>0.65</v>
      </c>
      <c r="AI22">
        <v>0.36025910812640699</v>
      </c>
      <c r="AJ22">
        <v>0.65</v>
      </c>
      <c r="AK22">
        <v>0.65</v>
      </c>
      <c r="AL22">
        <v>0.65</v>
      </c>
      <c r="AM22">
        <v>0.36461241822564</v>
      </c>
      <c r="AN22">
        <v>0.337737285984261</v>
      </c>
      <c r="AO22">
        <v>0.36025800912746803</v>
      </c>
      <c r="AP22">
        <v>0.65</v>
      </c>
      <c r="AQ22">
        <v>0.65</v>
      </c>
      <c r="AR22">
        <v>0.65</v>
      </c>
      <c r="AS22">
        <v>0.37800008782804601</v>
      </c>
      <c r="AT22">
        <v>0.65</v>
      </c>
      <c r="AU22">
        <v>0.39161181955299601</v>
      </c>
      <c r="AV22">
        <v>0.35358822310346899</v>
      </c>
      <c r="AW22" t="s">
        <v>203</v>
      </c>
    </row>
    <row r="23" spans="1:49" ht="12.75">
      <c r="A23" t="s">
        <v>201</v>
      </c>
      <c r="B23" t="s">
        <v>29</v>
      </c>
      <c r="C23" t="s">
        <v>284</v>
      </c>
      <c r="D23" t="s">
        <v>203</v>
      </c>
      <c r="E23" t="s">
        <v>203</v>
      </c>
      <c r="F23" t="s">
        <v>223</v>
      </c>
      <c r="G23" t="s">
        <v>793</v>
      </c>
      <c r="H23" t="s">
        <v>203</v>
      </c>
      <c r="I23" t="s">
        <v>203</v>
      </c>
      <c r="J23" t="s">
        <v>203</v>
      </c>
      <c r="K23" t="s">
        <v>203</v>
      </c>
      <c r="L23">
        <v>0.59970029182112194</v>
      </c>
      <c r="M23">
        <v>0.69450253672349704</v>
      </c>
      <c r="N23">
        <v>0.59970029182112194</v>
      </c>
      <c r="O23">
        <v>0.74605137718687997</v>
      </c>
      <c r="P23">
        <v>0.64869016926894696</v>
      </c>
      <c r="Q23">
        <v>0.67437084470167796</v>
      </c>
      <c r="R23">
        <v>0.69014463999216202</v>
      </c>
      <c r="S23">
        <v>0.67640647811767896</v>
      </c>
      <c r="T23">
        <v>0.67437084470167796</v>
      </c>
      <c r="U23">
        <v>0.643312981665904</v>
      </c>
      <c r="V23">
        <v>0.643501961514507</v>
      </c>
      <c r="W23">
        <v>0.59970029182112194</v>
      </c>
      <c r="X23">
        <v>0.62836757780983898</v>
      </c>
      <c r="Y23">
        <v>0.62692974902342502</v>
      </c>
      <c r="Z23">
        <v>0.67183474604551796</v>
      </c>
      <c r="AA23">
        <v>0.69359824883111398</v>
      </c>
      <c r="AB23">
        <v>0.72079202517599505</v>
      </c>
      <c r="AC23">
        <v>0.68599976545710195</v>
      </c>
      <c r="AD23">
        <v>0.643312981665904</v>
      </c>
      <c r="AE23">
        <v>0.72495187865722199</v>
      </c>
      <c r="AF23">
        <v>0.59970029182112194</v>
      </c>
      <c r="AG23">
        <v>0.67640724585396805</v>
      </c>
      <c r="AH23">
        <v>0.67995544906412497</v>
      </c>
      <c r="AI23">
        <v>0.68620531835156295</v>
      </c>
      <c r="AJ23">
        <v>0.59970029182112194</v>
      </c>
      <c r="AK23">
        <v>0.59970029182112194</v>
      </c>
      <c r="AL23">
        <v>0.66050006194602895</v>
      </c>
      <c r="AM23">
        <v>0.69450080694962602</v>
      </c>
      <c r="AN23">
        <v>0.643312981665904</v>
      </c>
      <c r="AO23">
        <v>0.68620603805230895</v>
      </c>
      <c r="AP23">
        <v>0.60498548055811296</v>
      </c>
      <c r="AQ23">
        <v>0.73019932164429402</v>
      </c>
      <c r="AR23">
        <v>0.59970029182112194</v>
      </c>
      <c r="AS23">
        <v>0.719998141137695</v>
      </c>
      <c r="AT23">
        <v>0.71580693921678595</v>
      </c>
      <c r="AU23">
        <v>0.74593020818891398</v>
      </c>
      <c r="AV23">
        <v>0.67350147419790596</v>
      </c>
      <c r="AW23" t="s">
        <v>203</v>
      </c>
    </row>
    <row r="24" spans="1:49" ht="12.75">
      <c r="A24" t="s">
        <v>201</v>
      </c>
      <c r="B24" t="s">
        <v>29</v>
      </c>
      <c r="C24" t="s">
        <v>285</v>
      </c>
      <c r="D24" t="s">
        <v>203</v>
      </c>
      <c r="E24" t="s">
        <v>203</v>
      </c>
      <c r="F24" t="s">
        <v>223</v>
      </c>
      <c r="G24" t="s">
        <v>793</v>
      </c>
      <c r="H24" t="s">
        <v>203</v>
      </c>
      <c r="I24" t="s">
        <v>203</v>
      </c>
      <c r="J24" t="s">
        <v>203</v>
      </c>
      <c r="K24" t="s">
        <v>203</v>
      </c>
      <c r="L24">
        <v>0.44078242080273</v>
      </c>
      <c r="M24">
        <v>0.51045730900080399</v>
      </c>
      <c r="N24">
        <v>0.44078242080273</v>
      </c>
      <c r="O24">
        <v>0.54834946367735704</v>
      </c>
      <c r="P24">
        <v>0.47678598790679</v>
      </c>
      <c r="Q24">
        <v>0.495662327416173</v>
      </c>
      <c r="R24">
        <v>0.45</v>
      </c>
      <c r="S24">
        <v>0.49715815975108701</v>
      </c>
      <c r="T24">
        <v>0.495662327416173</v>
      </c>
      <c r="U24">
        <v>0.47283325773161</v>
      </c>
      <c r="V24">
        <v>0.47297185613435599</v>
      </c>
      <c r="W24">
        <v>0.44078242080273</v>
      </c>
      <c r="X24">
        <v>0.46185085117421898</v>
      </c>
      <c r="Y24">
        <v>0.46079127022523197</v>
      </c>
      <c r="Z24">
        <v>0.49379645906679298</v>
      </c>
      <c r="AA24">
        <v>0.50979442754439297</v>
      </c>
      <c r="AB24">
        <v>0.52978125349711302</v>
      </c>
      <c r="AC24">
        <v>0.50421027556792397</v>
      </c>
      <c r="AD24">
        <v>0.47283325773161</v>
      </c>
      <c r="AE24">
        <v>0.53284146971343105</v>
      </c>
      <c r="AF24">
        <v>0.44078242080273</v>
      </c>
      <c r="AG24">
        <v>0.49715999166568497</v>
      </c>
      <c r="AH24">
        <v>0.499767190606692</v>
      </c>
      <c r="AI24">
        <v>0.50436436884512104</v>
      </c>
      <c r="AJ24">
        <v>0.44078242080273</v>
      </c>
      <c r="AK24">
        <v>0.44078242080273</v>
      </c>
      <c r="AL24">
        <v>0.45</v>
      </c>
      <c r="AM24">
        <v>0.51045632683139197</v>
      </c>
      <c r="AN24">
        <v>0.47283325773161</v>
      </c>
      <c r="AO24">
        <v>0.50436139170635896</v>
      </c>
      <c r="AP24">
        <v>0.44466287326690601</v>
      </c>
      <c r="AQ24">
        <v>0.53669731526162601</v>
      </c>
      <c r="AR24">
        <v>0.44078242080273</v>
      </c>
      <c r="AS24">
        <v>0.52920065631178304</v>
      </c>
      <c r="AT24">
        <v>0.52611890426047603</v>
      </c>
      <c r="AU24">
        <v>0.54825829656095804</v>
      </c>
      <c r="AV24">
        <v>0.49502196326974202</v>
      </c>
      <c r="AW24" t="s">
        <v>203</v>
      </c>
    </row>
    <row r="25" spans="1:49" ht="12.75">
      <c r="A25" t="s">
        <v>201</v>
      </c>
      <c r="B25" t="s">
        <v>29</v>
      </c>
      <c r="C25" t="s">
        <v>286</v>
      </c>
      <c r="D25" t="s">
        <v>203</v>
      </c>
      <c r="E25" t="s">
        <v>203</v>
      </c>
      <c r="F25" t="s">
        <v>223</v>
      </c>
      <c r="G25" t="s">
        <v>793</v>
      </c>
      <c r="H25" t="s">
        <v>203</v>
      </c>
      <c r="I25" t="s">
        <v>203</v>
      </c>
      <c r="J25" t="s">
        <v>203</v>
      </c>
      <c r="K25" t="s">
        <v>203</v>
      </c>
      <c r="L25">
        <v>0.40929684576721997</v>
      </c>
      <c r="M25">
        <v>0.47399779245620999</v>
      </c>
      <c r="N25">
        <v>0.40929684576721997</v>
      </c>
      <c r="O25">
        <v>0.50917960381027705</v>
      </c>
      <c r="P25">
        <v>0.44273004595327697</v>
      </c>
      <c r="Q25">
        <v>0.460258436911966</v>
      </c>
      <c r="R25">
        <v>0.45</v>
      </c>
      <c r="S25">
        <v>0.45</v>
      </c>
      <c r="T25">
        <v>0.460258436911966</v>
      </c>
      <c r="U25">
        <v>0.439059450354021</v>
      </c>
      <c r="V25">
        <v>0.43918884035973499</v>
      </c>
      <c r="W25">
        <v>0.40929684576721997</v>
      </c>
      <c r="X25">
        <v>0.42885932203389798</v>
      </c>
      <c r="Y25">
        <v>0.45</v>
      </c>
      <c r="Z25">
        <v>0.45852511541776902</v>
      </c>
      <c r="AA25">
        <v>0.47338263464371</v>
      </c>
      <c r="AB25">
        <v>0.491941071363454</v>
      </c>
      <c r="AC25">
        <v>0.46819527707702402</v>
      </c>
      <c r="AD25">
        <v>0.439059450354021</v>
      </c>
      <c r="AE25">
        <v>0.49478053759782198</v>
      </c>
      <c r="AF25">
        <v>0.40929684576721997</v>
      </c>
      <c r="AG25">
        <v>0.45</v>
      </c>
      <c r="AH25">
        <v>0.46407062786380499</v>
      </c>
      <c r="AI25">
        <v>0.46833590453519103</v>
      </c>
      <c r="AJ25">
        <v>0.40929684576721997</v>
      </c>
      <c r="AK25">
        <v>0.40929684576721997</v>
      </c>
      <c r="AL25">
        <v>0.450792490865566</v>
      </c>
      <c r="AM25">
        <v>0.47399636686334601</v>
      </c>
      <c r="AN25">
        <v>0.439059450354021</v>
      </c>
      <c r="AO25">
        <v>0.46833542979797799</v>
      </c>
      <c r="AP25">
        <v>0.41290181214459198</v>
      </c>
      <c r="AQ25">
        <v>0.49836110602453798</v>
      </c>
      <c r="AR25">
        <v>0.40929684576721997</v>
      </c>
      <c r="AS25">
        <v>0.49139976018145298</v>
      </c>
      <c r="AT25">
        <v>0.48853674807877301</v>
      </c>
      <c r="AU25">
        <v>0.50909826394741298</v>
      </c>
      <c r="AV25">
        <v>0.45</v>
      </c>
      <c r="AW25" t="s">
        <v>203</v>
      </c>
    </row>
    <row r="26" spans="1:49" ht="12.75">
      <c r="A26" t="s">
        <v>201</v>
      </c>
      <c r="B26" t="s">
        <v>29</v>
      </c>
      <c r="C26" t="s">
        <v>287</v>
      </c>
      <c r="D26" t="s">
        <v>203</v>
      </c>
      <c r="E26" t="s">
        <v>203</v>
      </c>
      <c r="F26" t="s">
        <v>223</v>
      </c>
      <c r="G26" t="s">
        <v>793</v>
      </c>
      <c r="H26" t="s">
        <v>203</v>
      </c>
      <c r="I26" t="s">
        <v>203</v>
      </c>
      <c r="J26" t="s">
        <v>203</v>
      </c>
      <c r="K26" t="s">
        <v>203</v>
      </c>
      <c r="L26">
        <v>1.95510940546217</v>
      </c>
      <c r="M26">
        <v>2.2036010875512599</v>
      </c>
      <c r="N26">
        <v>1.95510940546217</v>
      </c>
      <c r="O26">
        <v>2.2327090997943801</v>
      </c>
      <c r="P26">
        <v>2.02010088990933</v>
      </c>
      <c r="Q26">
        <v>2.2519111878435498</v>
      </c>
      <c r="R26">
        <v>1.9551107042675699</v>
      </c>
      <c r="S26">
        <v>2.1036269014087301</v>
      </c>
      <c r="T26">
        <v>2.2519111878435498</v>
      </c>
      <c r="U26">
        <v>2.1541930813179899</v>
      </c>
      <c r="V26">
        <v>2.1036269292494598</v>
      </c>
      <c r="W26">
        <v>1.95510940546217</v>
      </c>
      <c r="X26">
        <v>2.0518191323547801</v>
      </c>
      <c r="Y26">
        <v>2.1138398243081302</v>
      </c>
      <c r="Z26">
        <v>2.1541911050954998</v>
      </c>
      <c r="AA26">
        <v>2.1239979385393299</v>
      </c>
      <c r="AB26">
        <v>2.1240011576121001</v>
      </c>
      <c r="AC26">
        <v>2.1740872276841801</v>
      </c>
      <c r="AD26">
        <v>2.1541930813179899</v>
      </c>
      <c r="AE26">
        <v>2.1541944629657102</v>
      </c>
      <c r="AF26">
        <v>1.95510940546217</v>
      </c>
      <c r="AG26">
        <v>2.10362616705447</v>
      </c>
      <c r="AH26">
        <v>2.15419007629073</v>
      </c>
      <c r="AI26">
        <v>2.1441779203330702</v>
      </c>
      <c r="AJ26">
        <v>1.95510940546217</v>
      </c>
      <c r="AK26">
        <v>1.95510940546217</v>
      </c>
      <c r="AL26">
        <v>1.9440744500079901</v>
      </c>
      <c r="AM26">
        <v>2.2327096091328298</v>
      </c>
      <c r="AN26">
        <v>2.1541930813179899</v>
      </c>
      <c r="AO26">
        <v>2.14418191584822</v>
      </c>
      <c r="AP26">
        <v>2.0830582856134701</v>
      </c>
      <c r="AQ26">
        <v>2.1290619868407799</v>
      </c>
      <c r="AR26">
        <v>1.95510940546217</v>
      </c>
      <c r="AS26">
        <v>2.1036285380547701</v>
      </c>
      <c r="AT26">
        <v>2.1938110876841002</v>
      </c>
      <c r="AU26">
        <v>2.12399639371825</v>
      </c>
      <c r="AV26">
        <v>2.1541899573103098</v>
      </c>
      <c r="AW26" t="s">
        <v>203</v>
      </c>
    </row>
    <row r="27" spans="1:49" ht="12.75">
      <c r="A27" t="s">
        <v>201</v>
      </c>
      <c r="B27" t="s">
        <v>29</v>
      </c>
      <c r="C27" t="s">
        <v>288</v>
      </c>
      <c r="D27" t="s">
        <v>203</v>
      </c>
      <c r="E27" t="s">
        <v>203</v>
      </c>
      <c r="F27" t="s">
        <v>223</v>
      </c>
      <c r="G27" t="s">
        <v>793</v>
      </c>
      <c r="H27" t="s">
        <v>203</v>
      </c>
      <c r="I27" t="s">
        <v>203</v>
      </c>
      <c r="J27" t="s">
        <v>203</v>
      </c>
      <c r="K27" t="s">
        <v>203</v>
      </c>
      <c r="L27">
        <v>1.58892449249937</v>
      </c>
      <c r="M27">
        <v>1.79086051436869</v>
      </c>
      <c r="N27">
        <v>1.58892449249937</v>
      </c>
      <c r="O27">
        <v>1.81451782664459</v>
      </c>
      <c r="P27">
        <v>1.70</v>
      </c>
      <c r="Q27">
        <v>1.8301256397641401</v>
      </c>
      <c r="R27">
        <v>1.70</v>
      </c>
      <c r="S27">
        <v>1.70962141727217</v>
      </c>
      <c r="T27">
        <v>1.8301256397641401</v>
      </c>
      <c r="U27">
        <v>1.7507099674778399</v>
      </c>
      <c r="V27">
        <v>1.70</v>
      </c>
      <c r="W27">
        <v>1.58892449249937</v>
      </c>
      <c r="X27">
        <v>1.6675139750869299</v>
      </c>
      <c r="Y27">
        <v>1.70</v>
      </c>
      <c r="Z27">
        <v>1.7507091073302901</v>
      </c>
      <c r="AA27">
        <v>1.7261734353059901</v>
      </c>
      <c r="AB27">
        <v>1.7261733156111301</v>
      </c>
      <c r="AC27">
        <v>1.7668849867826999</v>
      </c>
      <c r="AD27">
        <v>1.7507099674778399</v>
      </c>
      <c r="AE27">
        <v>1.75071074367448</v>
      </c>
      <c r="AF27">
        <v>1.58892449249937</v>
      </c>
      <c r="AG27">
        <v>1.70</v>
      </c>
      <c r="AH27">
        <v>1.7507057343830099</v>
      </c>
      <c r="AI27">
        <v>1.70</v>
      </c>
      <c r="AJ27">
        <v>1.58892449249937</v>
      </c>
      <c r="AK27">
        <v>1.58892449249937</v>
      </c>
      <c r="AL27">
        <v>1.70</v>
      </c>
      <c r="AM27">
        <v>1.81452083977597</v>
      </c>
      <c r="AN27">
        <v>1.7507099674778399</v>
      </c>
      <c r="AO27">
        <v>1.7425659796389701</v>
      </c>
      <c r="AP27">
        <v>1.69289660858347</v>
      </c>
      <c r="AQ27">
        <v>1.73028966893088</v>
      </c>
      <c r="AR27">
        <v>1.58892449249937</v>
      </c>
      <c r="AS27">
        <v>1.70</v>
      </c>
      <c r="AT27">
        <v>1.70</v>
      </c>
      <c r="AU27">
        <v>1.7261694637115601</v>
      </c>
      <c r="AV27">
        <v>1.75070558995745</v>
      </c>
      <c r="AW27" t="s">
        <v>203</v>
      </c>
    </row>
    <row r="28" spans="1:49" ht="12.75">
      <c r="A28" t="s">
        <v>201</v>
      </c>
      <c r="B28" t="s">
        <v>29</v>
      </c>
      <c r="C28" t="s">
        <v>289</v>
      </c>
      <c r="D28" t="s">
        <v>203</v>
      </c>
      <c r="E28" t="s">
        <v>203</v>
      </c>
      <c r="F28" t="s">
        <v>223</v>
      </c>
      <c r="G28" t="s">
        <v>793</v>
      </c>
      <c r="H28" t="s">
        <v>203</v>
      </c>
      <c r="I28" t="s">
        <v>203</v>
      </c>
      <c r="J28" t="s">
        <v>203</v>
      </c>
      <c r="K28" t="s">
        <v>203</v>
      </c>
      <c r="L28">
        <v>1.95510940546217</v>
      </c>
      <c r="M28">
        <v>2.2036010875512599</v>
      </c>
      <c r="N28">
        <v>1.95510940546217</v>
      </c>
      <c r="O28">
        <v>2.2327090997943801</v>
      </c>
      <c r="P28">
        <v>2.02010088990933</v>
      </c>
      <c r="Q28">
        <v>2.2519111878435498</v>
      </c>
      <c r="R28">
        <v>1.9551107042675699</v>
      </c>
      <c r="S28">
        <v>2.1036269014087301</v>
      </c>
      <c r="T28">
        <v>2.2519111878435498</v>
      </c>
      <c r="U28">
        <v>2.1541930813179899</v>
      </c>
      <c r="V28">
        <v>2.1036269292494598</v>
      </c>
      <c r="W28">
        <v>1.95510940546217</v>
      </c>
      <c r="X28">
        <v>2.0518191323547801</v>
      </c>
      <c r="Y28">
        <v>2.1138398243081302</v>
      </c>
      <c r="Z28">
        <v>2.1541911050954998</v>
      </c>
      <c r="AA28">
        <v>2.1239979385393299</v>
      </c>
      <c r="AB28">
        <v>2.1240011576121001</v>
      </c>
      <c r="AC28">
        <v>2.1740872276841801</v>
      </c>
      <c r="AD28">
        <v>2.1541930813179899</v>
      </c>
      <c r="AE28">
        <v>2.1541944629657102</v>
      </c>
      <c r="AF28">
        <v>1.95510940546217</v>
      </c>
      <c r="AG28">
        <v>2.10362616705447</v>
      </c>
      <c r="AH28">
        <v>2.15419007629073</v>
      </c>
      <c r="AI28">
        <v>2.1441779203330702</v>
      </c>
      <c r="AJ28">
        <v>1.95510940546217</v>
      </c>
      <c r="AK28">
        <v>1.95510940546217</v>
      </c>
      <c r="AL28">
        <v>1.9440744500079901</v>
      </c>
      <c r="AM28">
        <v>2.2327096091328298</v>
      </c>
      <c r="AN28">
        <v>2.1541930813179899</v>
      </c>
      <c r="AO28">
        <v>2.14418191584822</v>
      </c>
      <c r="AP28">
        <v>2.0830582856134701</v>
      </c>
      <c r="AQ28">
        <v>2.1290619868407799</v>
      </c>
      <c r="AR28">
        <v>1.95510940546217</v>
      </c>
      <c r="AS28">
        <v>2.1036285380547701</v>
      </c>
      <c r="AT28">
        <v>2.1938110876841002</v>
      </c>
      <c r="AU28">
        <v>2.12399639371825</v>
      </c>
      <c r="AV28">
        <v>2.1541899573103098</v>
      </c>
      <c r="AW28" t="s">
        <v>203</v>
      </c>
    </row>
    <row r="29" spans="1:49" ht="12.75">
      <c r="A29" t="s">
        <v>201</v>
      </c>
      <c r="B29" t="s">
        <v>29</v>
      </c>
      <c r="C29" t="s">
        <v>290</v>
      </c>
      <c r="D29" t="s">
        <v>203</v>
      </c>
      <c r="E29" t="s">
        <v>203</v>
      </c>
      <c r="F29" t="s">
        <v>223</v>
      </c>
      <c r="G29" t="s">
        <v>793</v>
      </c>
      <c r="H29" t="s">
        <v>203</v>
      </c>
      <c r="I29" t="s">
        <v>203</v>
      </c>
      <c r="J29" t="s">
        <v>203</v>
      </c>
      <c r="K29" t="s">
        <v>203</v>
      </c>
      <c r="L29">
        <v>1.58892449249937</v>
      </c>
      <c r="M29">
        <v>1.79086051436869</v>
      </c>
      <c r="N29">
        <v>1.58892449249937</v>
      </c>
      <c r="O29">
        <v>1.81451782664459</v>
      </c>
      <c r="P29">
        <v>1.70</v>
      </c>
      <c r="Q29">
        <v>1.8301256397641401</v>
      </c>
      <c r="R29">
        <v>1.70</v>
      </c>
      <c r="S29">
        <v>1.70962141727217</v>
      </c>
      <c r="T29">
        <v>1.8301256397641401</v>
      </c>
      <c r="U29">
        <v>1.7507099674778399</v>
      </c>
      <c r="V29">
        <v>1.70</v>
      </c>
      <c r="W29">
        <v>1.58892449249937</v>
      </c>
      <c r="X29">
        <v>1.6675139750869299</v>
      </c>
      <c r="Y29">
        <v>1.70</v>
      </c>
      <c r="Z29">
        <v>1.7507091073302901</v>
      </c>
      <c r="AA29">
        <v>1.7261734353059901</v>
      </c>
      <c r="AB29">
        <v>1.7261733156111301</v>
      </c>
      <c r="AC29">
        <v>1.7668849867826999</v>
      </c>
      <c r="AD29">
        <v>1.7507099674778399</v>
      </c>
      <c r="AE29">
        <v>1.75071074367448</v>
      </c>
      <c r="AF29">
        <v>1.58892449249937</v>
      </c>
      <c r="AG29">
        <v>1.70</v>
      </c>
      <c r="AH29">
        <v>1.7507057343830099</v>
      </c>
      <c r="AI29">
        <v>1.70</v>
      </c>
      <c r="AJ29">
        <v>1.58892449249937</v>
      </c>
      <c r="AK29">
        <v>1.58892449249937</v>
      </c>
      <c r="AL29">
        <v>1.70</v>
      </c>
      <c r="AM29">
        <v>1.81452083977597</v>
      </c>
      <c r="AN29">
        <v>1.7507099674778399</v>
      </c>
      <c r="AO29">
        <v>1.7425659796389701</v>
      </c>
      <c r="AP29">
        <v>1.69289660858347</v>
      </c>
      <c r="AQ29">
        <v>1.73028966893088</v>
      </c>
      <c r="AR29">
        <v>1.58892449249937</v>
      </c>
      <c r="AS29">
        <v>1.70</v>
      </c>
      <c r="AT29">
        <v>1.70</v>
      </c>
      <c r="AU29">
        <v>1.7261694637115601</v>
      </c>
      <c r="AV29">
        <v>1.75070558995745</v>
      </c>
      <c r="AW29" t="s">
        <v>203</v>
      </c>
    </row>
    <row r="30" spans="1:49" ht="12.75">
      <c r="A30" t="s">
        <v>201</v>
      </c>
      <c r="B30" t="s">
        <v>29</v>
      </c>
      <c r="C30" t="s">
        <v>291</v>
      </c>
      <c r="D30" t="s">
        <v>203</v>
      </c>
      <c r="E30" t="s">
        <v>203</v>
      </c>
      <c r="F30" t="s">
        <v>223</v>
      </c>
      <c r="G30" t="s">
        <v>793</v>
      </c>
      <c r="H30" t="s">
        <v>203</v>
      </c>
      <c r="I30" t="s">
        <v>203</v>
      </c>
      <c r="J30" t="s">
        <v>203</v>
      </c>
      <c r="K30" t="s">
        <v>203</v>
      </c>
      <c r="L30">
        <v>1.95510940546217</v>
      </c>
      <c r="M30">
        <v>2.2036010875512599</v>
      </c>
      <c r="N30">
        <v>1.95510940546217</v>
      </c>
      <c r="O30">
        <v>2.2327090997943801</v>
      </c>
      <c r="P30">
        <v>2.02010088990933</v>
      </c>
      <c r="Q30">
        <v>2.2519111878435498</v>
      </c>
      <c r="R30">
        <v>1.9551107042675699</v>
      </c>
      <c r="S30">
        <v>2.1036269014087301</v>
      </c>
      <c r="T30">
        <v>2.2519111878435498</v>
      </c>
      <c r="U30">
        <v>2.1541930813179899</v>
      </c>
      <c r="V30">
        <v>2.1036269292494598</v>
      </c>
      <c r="W30">
        <v>1.95510940546217</v>
      </c>
      <c r="X30">
        <v>2.0518191323547801</v>
      </c>
      <c r="Y30">
        <v>2.1138398243081302</v>
      </c>
      <c r="Z30">
        <v>2.1541911050954998</v>
      </c>
      <c r="AA30">
        <v>2.1239979385393299</v>
      </c>
      <c r="AB30">
        <v>2.1240011576121001</v>
      </c>
      <c r="AC30">
        <v>2.1740872276841801</v>
      </c>
      <c r="AD30">
        <v>2.1541930813179899</v>
      </c>
      <c r="AE30">
        <v>2.1541944629657102</v>
      </c>
      <c r="AF30">
        <v>1.95510940546217</v>
      </c>
      <c r="AG30">
        <v>2.10362616705447</v>
      </c>
      <c r="AH30">
        <v>2.15419007629073</v>
      </c>
      <c r="AI30">
        <v>2.1441779203330702</v>
      </c>
      <c r="AJ30">
        <v>1.95510940546217</v>
      </c>
      <c r="AK30">
        <v>1.95510940546217</v>
      </c>
      <c r="AL30">
        <v>1.9440744500079901</v>
      </c>
      <c r="AM30">
        <v>2.2327096091328298</v>
      </c>
      <c r="AN30">
        <v>2.1541930813179899</v>
      </c>
      <c r="AO30">
        <v>2.14418191584822</v>
      </c>
      <c r="AP30">
        <v>2.0830582856134701</v>
      </c>
      <c r="AQ30">
        <v>2.1290619868407799</v>
      </c>
      <c r="AR30">
        <v>1.95510940546217</v>
      </c>
      <c r="AS30">
        <v>2.1036285380547701</v>
      </c>
      <c r="AT30">
        <v>2.1938110876841002</v>
      </c>
      <c r="AU30">
        <v>2.12399639371825</v>
      </c>
      <c r="AV30">
        <v>2.1541899573103098</v>
      </c>
      <c r="AW30" t="s">
        <v>203</v>
      </c>
    </row>
    <row r="31" spans="1:49" ht="12.75">
      <c r="A31" t="s">
        <v>201</v>
      </c>
      <c r="B31" t="s">
        <v>29</v>
      </c>
      <c r="C31" t="s">
        <v>292</v>
      </c>
      <c r="D31" t="s">
        <v>203</v>
      </c>
      <c r="E31" t="s">
        <v>203</v>
      </c>
      <c r="F31" t="s">
        <v>223</v>
      </c>
      <c r="G31" t="s">
        <v>793</v>
      </c>
      <c r="H31" t="s">
        <v>203</v>
      </c>
      <c r="I31" t="s">
        <v>203</v>
      </c>
      <c r="J31" t="s">
        <v>203</v>
      </c>
      <c r="K31" t="s">
        <v>203</v>
      </c>
      <c r="L31">
        <v>1.58892449249937</v>
      </c>
      <c r="M31">
        <v>1.79086051436869</v>
      </c>
      <c r="N31">
        <v>1.58892449249937</v>
      </c>
      <c r="O31">
        <v>1.81451782664459</v>
      </c>
      <c r="P31">
        <v>1.70</v>
      </c>
      <c r="Q31">
        <v>1.8301256397641401</v>
      </c>
      <c r="R31">
        <v>1.70</v>
      </c>
      <c r="S31">
        <v>1.70962141727217</v>
      </c>
      <c r="T31">
        <v>1.8301256397641401</v>
      </c>
      <c r="U31">
        <v>1.7507099674778399</v>
      </c>
      <c r="V31">
        <v>1.70</v>
      </c>
      <c r="W31">
        <v>1.58892449249937</v>
      </c>
      <c r="X31">
        <v>1.6675139750869299</v>
      </c>
      <c r="Y31">
        <v>1.70</v>
      </c>
      <c r="Z31">
        <v>1.7507091073302901</v>
      </c>
      <c r="AA31">
        <v>1.7261734353059901</v>
      </c>
      <c r="AB31">
        <v>1.7261733156111301</v>
      </c>
      <c r="AC31">
        <v>1.7668849867826999</v>
      </c>
      <c r="AD31">
        <v>1.7507099674778399</v>
      </c>
      <c r="AE31">
        <v>1.75071074367448</v>
      </c>
      <c r="AF31">
        <v>1.58892449249937</v>
      </c>
      <c r="AG31">
        <v>1.70</v>
      </c>
      <c r="AH31">
        <v>1.7507057343830099</v>
      </c>
      <c r="AI31">
        <v>1.70</v>
      </c>
      <c r="AJ31">
        <v>1.58892449249937</v>
      </c>
      <c r="AK31">
        <v>1.58892449249937</v>
      </c>
      <c r="AL31">
        <v>1.70</v>
      </c>
      <c r="AM31">
        <v>1.81452083977597</v>
      </c>
      <c r="AN31">
        <v>1.7507099674778399</v>
      </c>
      <c r="AO31">
        <v>1.7425659796389701</v>
      </c>
      <c r="AP31">
        <v>1.69289660858347</v>
      </c>
      <c r="AQ31">
        <v>1.73028966893088</v>
      </c>
      <c r="AR31">
        <v>1.58892449249937</v>
      </c>
      <c r="AS31">
        <v>1.70</v>
      </c>
      <c r="AT31">
        <v>1.70</v>
      </c>
      <c r="AU31">
        <v>1.7261694637115601</v>
      </c>
      <c r="AV31">
        <v>1.75070558995745</v>
      </c>
      <c r="AW31" t="s">
        <v>203</v>
      </c>
    </row>
    <row r="32" spans="1:49" ht="12.75">
      <c r="A32" t="s">
        <v>201</v>
      </c>
      <c r="B32" t="s">
        <v>29</v>
      </c>
      <c r="C32" t="s">
        <v>293</v>
      </c>
      <c r="D32" t="s">
        <v>203</v>
      </c>
      <c r="E32" t="s">
        <v>203</v>
      </c>
      <c r="F32" t="s">
        <v>223</v>
      </c>
      <c r="G32" t="s">
        <v>793</v>
      </c>
      <c r="H32" t="s">
        <v>203</v>
      </c>
      <c r="I32" t="s">
        <v>203</v>
      </c>
      <c r="J32" t="s">
        <v>203</v>
      </c>
      <c r="K32" t="s">
        <v>203</v>
      </c>
      <c r="L32">
        <v>1.95510940546217</v>
      </c>
      <c r="M32">
        <v>2.2036010875512599</v>
      </c>
      <c r="N32">
        <v>1.95510940546217</v>
      </c>
      <c r="O32">
        <v>2.2327090997943801</v>
      </c>
      <c r="P32">
        <v>2.02010088990933</v>
      </c>
      <c r="Q32">
        <v>2.2519111878435498</v>
      </c>
      <c r="R32">
        <v>1.9551107042675699</v>
      </c>
      <c r="S32">
        <v>2.1036269014087301</v>
      </c>
      <c r="T32">
        <v>2.2519111878435498</v>
      </c>
      <c r="U32">
        <v>2.1541930813179899</v>
      </c>
      <c r="V32">
        <v>2.1036269292494598</v>
      </c>
      <c r="W32">
        <v>1.95510940546217</v>
      </c>
      <c r="X32">
        <v>2.0518191323547801</v>
      </c>
      <c r="Y32">
        <v>2.1138398243081302</v>
      </c>
      <c r="Z32">
        <v>2.1541911050954998</v>
      </c>
      <c r="AA32">
        <v>2.1239979385393299</v>
      </c>
      <c r="AB32">
        <v>2.1240011576121001</v>
      </c>
      <c r="AC32">
        <v>2.1740872276841801</v>
      </c>
      <c r="AD32">
        <v>2.1541930813179899</v>
      </c>
      <c r="AE32">
        <v>2.1541944629657102</v>
      </c>
      <c r="AF32">
        <v>1.95510940546217</v>
      </c>
      <c r="AG32">
        <v>2.10362616705447</v>
      </c>
      <c r="AH32">
        <v>2.15419007629073</v>
      </c>
      <c r="AI32">
        <v>2.1441779203330702</v>
      </c>
      <c r="AJ32">
        <v>1.95510940546217</v>
      </c>
      <c r="AK32">
        <v>1.95510940546217</v>
      </c>
      <c r="AL32">
        <v>1.9440744500079901</v>
      </c>
      <c r="AM32">
        <v>2.2327096091328298</v>
      </c>
      <c r="AN32">
        <v>2.1541930813179899</v>
      </c>
      <c r="AO32">
        <v>2.14418191584822</v>
      </c>
      <c r="AP32">
        <v>2.0830582856134701</v>
      </c>
      <c r="AQ32">
        <v>2.1290619868407799</v>
      </c>
      <c r="AR32">
        <v>1.95510940546217</v>
      </c>
      <c r="AS32">
        <v>2.1036285380547701</v>
      </c>
      <c r="AT32">
        <v>2.1938110876841002</v>
      </c>
      <c r="AU32">
        <v>2.12399639371825</v>
      </c>
      <c r="AV32">
        <v>2.1541899573103098</v>
      </c>
      <c r="AW32" t="s">
        <v>203</v>
      </c>
    </row>
    <row r="33" spans="1:49" ht="12.75">
      <c r="A33" t="s">
        <v>201</v>
      </c>
      <c r="B33" t="s">
        <v>29</v>
      </c>
      <c r="C33" t="s">
        <v>294</v>
      </c>
      <c r="D33" t="s">
        <v>203</v>
      </c>
      <c r="E33" t="s">
        <v>203</v>
      </c>
      <c r="F33" t="s">
        <v>223</v>
      </c>
      <c r="G33" t="s">
        <v>793</v>
      </c>
      <c r="H33" t="s">
        <v>203</v>
      </c>
      <c r="I33" t="s">
        <v>203</v>
      </c>
      <c r="J33" t="s">
        <v>203</v>
      </c>
      <c r="K33" t="s">
        <v>203</v>
      </c>
      <c r="L33">
        <v>1.58892449249937</v>
      </c>
      <c r="M33">
        <v>1.79086051436869</v>
      </c>
      <c r="N33">
        <v>1.58892449249937</v>
      </c>
      <c r="O33">
        <v>1.81451782664459</v>
      </c>
      <c r="P33">
        <v>1.70</v>
      </c>
      <c r="Q33">
        <v>1.8301256397641401</v>
      </c>
      <c r="R33">
        <v>1.70</v>
      </c>
      <c r="S33">
        <v>1.70962141727217</v>
      </c>
      <c r="T33">
        <v>1.8301256397641401</v>
      </c>
      <c r="U33">
        <v>1.7507099674778399</v>
      </c>
      <c r="V33">
        <v>1.70</v>
      </c>
      <c r="W33">
        <v>1.58892449249937</v>
      </c>
      <c r="X33">
        <v>1.6675139750869299</v>
      </c>
      <c r="Y33">
        <v>1.70</v>
      </c>
      <c r="Z33">
        <v>1.7507091073302901</v>
      </c>
      <c r="AA33">
        <v>1.7261734353059901</v>
      </c>
      <c r="AB33">
        <v>1.7261733156111301</v>
      </c>
      <c r="AC33">
        <v>1.7668849867826999</v>
      </c>
      <c r="AD33">
        <v>1.7507099674778399</v>
      </c>
      <c r="AE33">
        <v>1.75071074367448</v>
      </c>
      <c r="AF33">
        <v>1.58892449249937</v>
      </c>
      <c r="AG33">
        <v>1.70</v>
      </c>
      <c r="AH33">
        <v>1.7507057343830099</v>
      </c>
      <c r="AI33">
        <v>1.70</v>
      </c>
      <c r="AJ33">
        <v>1.58892449249937</v>
      </c>
      <c r="AK33">
        <v>1.58892449249937</v>
      </c>
      <c r="AL33">
        <v>1.70</v>
      </c>
      <c r="AM33">
        <v>1.81452083977597</v>
      </c>
      <c r="AN33">
        <v>1.7507099674778399</v>
      </c>
      <c r="AO33">
        <v>1.7425659796389701</v>
      </c>
      <c r="AP33">
        <v>1.69289660858347</v>
      </c>
      <c r="AQ33">
        <v>1.73028966893088</v>
      </c>
      <c r="AR33">
        <v>1.58892449249937</v>
      </c>
      <c r="AS33">
        <v>1.70</v>
      </c>
      <c r="AT33">
        <v>1.70</v>
      </c>
      <c r="AU33">
        <v>1.7261694637115601</v>
      </c>
      <c r="AV33">
        <v>1.75070558995745</v>
      </c>
      <c r="AW33" t="s">
        <v>203</v>
      </c>
    </row>
    <row r="34" spans="1:49" ht="12.75">
      <c r="A34" t="s">
        <v>201</v>
      </c>
      <c r="B34" t="s">
        <v>29</v>
      </c>
      <c r="C34" t="s">
        <v>295</v>
      </c>
      <c r="D34" t="s">
        <v>203</v>
      </c>
      <c r="E34" t="s">
        <v>203</v>
      </c>
      <c r="F34" t="s">
        <v>223</v>
      </c>
      <c r="G34" t="s">
        <v>793</v>
      </c>
      <c r="H34" t="s">
        <v>203</v>
      </c>
      <c r="I34" t="s">
        <v>203</v>
      </c>
      <c r="J34" t="s">
        <v>203</v>
      </c>
      <c r="K34" t="s">
        <v>203</v>
      </c>
      <c r="L34">
        <v>1.95510940546217</v>
      </c>
      <c r="M34">
        <v>2.2036010875512599</v>
      </c>
      <c r="N34">
        <v>1.95510940546217</v>
      </c>
      <c r="O34">
        <v>2.2327090997943801</v>
      </c>
      <c r="P34">
        <v>2.02010088990933</v>
      </c>
      <c r="Q34">
        <v>2.2519111878435498</v>
      </c>
      <c r="R34">
        <v>1.9551107042675699</v>
      </c>
      <c r="S34">
        <v>2.1036269014087301</v>
      </c>
      <c r="T34">
        <v>2.2519111878435498</v>
      </c>
      <c r="U34">
        <v>2.1541930813179899</v>
      </c>
      <c r="V34">
        <v>2.1036269292494598</v>
      </c>
      <c r="W34">
        <v>1.95510940546217</v>
      </c>
      <c r="X34">
        <v>2.0518191323547801</v>
      </c>
      <c r="Y34">
        <v>2.1138398243081302</v>
      </c>
      <c r="Z34">
        <v>2.1541911050954998</v>
      </c>
      <c r="AA34">
        <v>2.1239979385393299</v>
      </c>
      <c r="AB34">
        <v>2.1240011576121001</v>
      </c>
      <c r="AC34">
        <v>2.1740872276841801</v>
      </c>
      <c r="AD34">
        <v>2.1541930813179899</v>
      </c>
      <c r="AE34">
        <v>2.1541944629657102</v>
      </c>
      <c r="AF34">
        <v>1.95510940546217</v>
      </c>
      <c r="AG34">
        <v>2.10362616705447</v>
      </c>
      <c r="AH34">
        <v>2.15419007629073</v>
      </c>
      <c r="AI34">
        <v>2.1441779203330702</v>
      </c>
      <c r="AJ34">
        <v>1.95510940546217</v>
      </c>
      <c r="AK34">
        <v>1.95510940546217</v>
      </c>
      <c r="AL34">
        <v>1.9440744500079901</v>
      </c>
      <c r="AM34">
        <v>2.2327096091328298</v>
      </c>
      <c r="AN34">
        <v>2.1541930813179899</v>
      </c>
      <c r="AO34">
        <v>2.14418191584822</v>
      </c>
      <c r="AP34">
        <v>2.0830582856134701</v>
      </c>
      <c r="AQ34">
        <v>2.1290619868407799</v>
      </c>
      <c r="AR34">
        <v>1.95510940546217</v>
      </c>
      <c r="AS34">
        <v>2.1036285380547701</v>
      </c>
      <c r="AT34">
        <v>2.1938110876841002</v>
      </c>
      <c r="AU34">
        <v>2.12399639371825</v>
      </c>
      <c r="AV34">
        <v>2.1541899573103098</v>
      </c>
      <c r="AW34" t="s">
        <v>203</v>
      </c>
    </row>
    <row r="35" spans="1:49" ht="12.75">
      <c r="A35" t="s">
        <v>201</v>
      </c>
      <c r="B35" t="s">
        <v>29</v>
      </c>
      <c r="C35" t="s">
        <v>296</v>
      </c>
      <c r="D35" t="s">
        <v>203</v>
      </c>
      <c r="E35" t="s">
        <v>203</v>
      </c>
      <c r="F35" t="s">
        <v>223</v>
      </c>
      <c r="G35" t="s">
        <v>793</v>
      </c>
      <c r="H35" t="s">
        <v>203</v>
      </c>
      <c r="I35" t="s">
        <v>203</v>
      </c>
      <c r="J35" t="s">
        <v>203</v>
      </c>
      <c r="K35" t="s">
        <v>203</v>
      </c>
      <c r="L35">
        <v>1.58892449249937</v>
      </c>
      <c r="M35">
        <v>1.79086051436869</v>
      </c>
      <c r="N35">
        <v>1.58892449249937</v>
      </c>
      <c r="O35">
        <v>1.81451782664459</v>
      </c>
      <c r="P35">
        <v>1.70</v>
      </c>
      <c r="Q35">
        <v>1.8301256397641401</v>
      </c>
      <c r="R35">
        <v>1.70</v>
      </c>
      <c r="S35">
        <v>1.70962141727217</v>
      </c>
      <c r="T35">
        <v>1.8301256397641401</v>
      </c>
      <c r="U35">
        <v>1.7507099674778399</v>
      </c>
      <c r="V35">
        <v>1.70</v>
      </c>
      <c r="W35">
        <v>1.58892449249937</v>
      </c>
      <c r="X35">
        <v>1.6675139750869299</v>
      </c>
      <c r="Y35">
        <v>1.70</v>
      </c>
      <c r="Z35">
        <v>1.7507091073302901</v>
      </c>
      <c r="AA35">
        <v>1.7261734353059901</v>
      </c>
      <c r="AB35">
        <v>1.7261733156111301</v>
      </c>
      <c r="AC35">
        <v>1.7668849867826999</v>
      </c>
      <c r="AD35">
        <v>1.7507099674778399</v>
      </c>
      <c r="AE35">
        <v>1.75071074367448</v>
      </c>
      <c r="AF35">
        <v>1.58892449249937</v>
      </c>
      <c r="AG35">
        <v>1.70</v>
      </c>
      <c r="AH35">
        <v>1.7507057343830099</v>
      </c>
      <c r="AI35">
        <v>1.70</v>
      </c>
      <c r="AJ35">
        <v>1.58892449249937</v>
      </c>
      <c r="AK35">
        <v>1.58892449249937</v>
      </c>
      <c r="AL35">
        <v>1.70</v>
      </c>
      <c r="AM35">
        <v>1.81452083977597</v>
      </c>
      <c r="AN35">
        <v>1.7507099674778399</v>
      </c>
      <c r="AO35">
        <v>1.7425659796389701</v>
      </c>
      <c r="AP35">
        <v>1.69289660858347</v>
      </c>
      <c r="AQ35">
        <v>1.73028966893088</v>
      </c>
      <c r="AR35">
        <v>1.58892449249937</v>
      </c>
      <c r="AS35">
        <v>1.70</v>
      </c>
      <c r="AT35">
        <v>1.70</v>
      </c>
      <c r="AU35">
        <v>1.7261694637115601</v>
      </c>
      <c r="AV35">
        <v>1.75070558995745</v>
      </c>
      <c r="AW35" t="s">
        <v>203</v>
      </c>
    </row>
    <row r="36" spans="1:49" ht="12.75">
      <c r="A36" t="s">
        <v>201</v>
      </c>
      <c r="B36" t="s">
        <v>29</v>
      </c>
      <c r="C36" t="s">
        <v>297</v>
      </c>
      <c r="D36" t="s">
        <v>203</v>
      </c>
      <c r="E36" t="s">
        <v>203</v>
      </c>
      <c r="F36" t="s">
        <v>223</v>
      </c>
      <c r="G36" t="s">
        <v>793</v>
      </c>
      <c r="H36" t="s">
        <v>203</v>
      </c>
      <c r="I36" t="s">
        <v>203</v>
      </c>
      <c r="J36" t="s">
        <v>203</v>
      </c>
      <c r="K36" t="s">
        <v>203</v>
      </c>
      <c r="L36">
        <v>1.95510940546217</v>
      </c>
      <c r="M36">
        <v>2.2036010875512599</v>
      </c>
      <c r="N36">
        <v>1.95510940546217</v>
      </c>
      <c r="O36">
        <v>2.2327090997943801</v>
      </c>
      <c r="P36">
        <v>2.02010088990933</v>
      </c>
      <c r="Q36">
        <v>2.2519111878435498</v>
      </c>
      <c r="R36">
        <v>1.9551107042675699</v>
      </c>
      <c r="S36">
        <v>2.1036269014087301</v>
      </c>
      <c r="T36">
        <v>2.2519111878435498</v>
      </c>
      <c r="U36">
        <v>2.1541930813179899</v>
      </c>
      <c r="V36">
        <v>2.1036269292494598</v>
      </c>
      <c r="W36">
        <v>1.95510940546217</v>
      </c>
      <c r="X36">
        <v>2.0518191323547801</v>
      </c>
      <c r="Y36">
        <v>2.1138398243081302</v>
      </c>
      <c r="Z36">
        <v>2.1541911050954998</v>
      </c>
      <c r="AA36">
        <v>2.1239979385393299</v>
      </c>
      <c r="AB36">
        <v>2.1240011576121001</v>
      </c>
      <c r="AC36">
        <v>2.1740872276841801</v>
      </c>
      <c r="AD36">
        <v>2.1541930813179899</v>
      </c>
      <c r="AE36">
        <v>2.1541944629657102</v>
      </c>
      <c r="AF36">
        <v>1.95510940546217</v>
      </c>
      <c r="AG36">
        <v>2.10362616705447</v>
      </c>
      <c r="AH36">
        <v>2.15419007629073</v>
      </c>
      <c r="AI36">
        <v>2.1441779203330702</v>
      </c>
      <c r="AJ36">
        <v>1.95510940546217</v>
      </c>
      <c r="AK36">
        <v>1.95510940546217</v>
      </c>
      <c r="AL36">
        <v>1.9440744500079901</v>
      </c>
      <c r="AM36">
        <v>2.2327096091328298</v>
      </c>
      <c r="AN36">
        <v>2.1541930813179899</v>
      </c>
      <c r="AO36">
        <v>2.14418191584822</v>
      </c>
      <c r="AP36">
        <v>2.0830582856134701</v>
      </c>
      <c r="AQ36">
        <v>2.1290619868407799</v>
      </c>
      <c r="AR36">
        <v>1.95510940546217</v>
      </c>
      <c r="AS36">
        <v>2.1036285380547701</v>
      </c>
      <c r="AT36">
        <v>2.1938110876841002</v>
      </c>
      <c r="AU36">
        <v>2.12399639371825</v>
      </c>
      <c r="AV36">
        <v>2.1541899573103098</v>
      </c>
      <c r="AW36" t="s">
        <v>203</v>
      </c>
    </row>
    <row r="37" spans="1:49" ht="12.75">
      <c r="A37" t="s">
        <v>201</v>
      </c>
      <c r="B37" t="s">
        <v>29</v>
      </c>
      <c r="C37" t="s">
        <v>298</v>
      </c>
      <c r="D37" t="s">
        <v>203</v>
      </c>
      <c r="E37" t="s">
        <v>203</v>
      </c>
      <c r="F37" t="s">
        <v>223</v>
      </c>
      <c r="G37" t="s">
        <v>793</v>
      </c>
      <c r="H37" t="s">
        <v>203</v>
      </c>
      <c r="I37" t="s">
        <v>203</v>
      </c>
      <c r="J37" t="s">
        <v>203</v>
      </c>
      <c r="K37" t="s">
        <v>203</v>
      </c>
      <c r="L37">
        <v>1.58892449249937</v>
      </c>
      <c r="M37">
        <v>1.79086051436869</v>
      </c>
      <c r="N37">
        <v>1.58892449249937</v>
      </c>
      <c r="O37">
        <v>1.81451782664459</v>
      </c>
      <c r="P37">
        <v>1.70</v>
      </c>
      <c r="Q37">
        <v>1.8301256397641401</v>
      </c>
      <c r="R37">
        <v>1.70</v>
      </c>
      <c r="S37">
        <v>1.70962141727217</v>
      </c>
      <c r="T37">
        <v>1.8301256397641401</v>
      </c>
      <c r="U37">
        <v>1.7507099674778399</v>
      </c>
      <c r="V37">
        <v>1.70</v>
      </c>
      <c r="W37">
        <v>1.58892449249937</v>
      </c>
      <c r="X37">
        <v>1.6675139750869299</v>
      </c>
      <c r="Y37">
        <v>1.70</v>
      </c>
      <c r="Z37">
        <v>1.7507091073302901</v>
      </c>
      <c r="AA37">
        <v>1.7261734353059901</v>
      </c>
      <c r="AB37">
        <v>1.7261733156111301</v>
      </c>
      <c r="AC37">
        <v>1.7668849867826999</v>
      </c>
      <c r="AD37">
        <v>1.7507099674778399</v>
      </c>
      <c r="AE37">
        <v>1.75071074367448</v>
      </c>
      <c r="AF37">
        <v>1.58892449249937</v>
      </c>
      <c r="AG37">
        <v>1.70</v>
      </c>
      <c r="AH37">
        <v>1.7507057343830099</v>
      </c>
      <c r="AI37">
        <v>1.70</v>
      </c>
      <c r="AJ37">
        <v>1.58892449249937</v>
      </c>
      <c r="AK37">
        <v>1.58892449249937</v>
      </c>
      <c r="AL37">
        <v>1.70</v>
      </c>
      <c r="AM37">
        <v>1.81452083977597</v>
      </c>
      <c r="AN37">
        <v>1.7507099674778399</v>
      </c>
      <c r="AO37">
        <v>1.7425659796389701</v>
      </c>
      <c r="AP37">
        <v>1.69289660858347</v>
      </c>
      <c r="AQ37">
        <v>1.73028966893088</v>
      </c>
      <c r="AR37">
        <v>1.58892449249937</v>
      </c>
      <c r="AS37">
        <v>1.70</v>
      </c>
      <c r="AT37">
        <v>1.70</v>
      </c>
      <c r="AU37">
        <v>1.7261694637115601</v>
      </c>
      <c r="AV37">
        <v>1.75070558995745</v>
      </c>
      <c r="AW37" t="s">
        <v>203</v>
      </c>
    </row>
    <row r="38" spans="1:49" ht="12.75">
      <c r="A38" t="s">
        <v>201</v>
      </c>
      <c r="B38" t="s">
        <v>29</v>
      </c>
      <c r="C38" t="s">
        <v>299</v>
      </c>
      <c r="D38" t="s">
        <v>203</v>
      </c>
      <c r="E38" t="s">
        <v>203</v>
      </c>
      <c r="F38" t="s">
        <v>223</v>
      </c>
      <c r="G38" t="s">
        <v>793</v>
      </c>
      <c r="H38" t="s">
        <v>203</v>
      </c>
      <c r="I38" t="s">
        <v>203</v>
      </c>
      <c r="J38" t="s">
        <v>203</v>
      </c>
      <c r="K38" t="s">
        <v>203</v>
      </c>
      <c r="L38">
        <v>0.50</v>
      </c>
      <c r="M38">
        <v>0.56636967800557603</v>
      </c>
      <c r="N38">
        <v>0.50</v>
      </c>
      <c r="O38">
        <v>0.58143601389810495</v>
      </c>
      <c r="P38">
        <v>0.47597370243559201</v>
      </c>
      <c r="Q38">
        <v>0.50</v>
      </c>
      <c r="R38">
        <v>0.44584231229690402</v>
      </c>
      <c r="S38">
        <v>0.51615018995212902</v>
      </c>
      <c r="T38">
        <v>0.50</v>
      </c>
      <c r="U38">
        <v>0.54125846320370197</v>
      </c>
      <c r="V38">
        <v>0.51614822449170805</v>
      </c>
      <c r="W38">
        <v>0.50</v>
      </c>
      <c r="X38">
        <v>0.49104004549575597</v>
      </c>
      <c r="Y38">
        <v>0.521171456816652</v>
      </c>
      <c r="Z38">
        <v>0.541260533331132</v>
      </c>
      <c r="AA38">
        <v>0.52619226772725602</v>
      </c>
      <c r="AB38">
        <v>0.52619483225875896</v>
      </c>
      <c r="AC38">
        <v>0.55130367951244896</v>
      </c>
      <c r="AD38">
        <v>0.54125846320370197</v>
      </c>
      <c r="AE38">
        <v>0.50</v>
      </c>
      <c r="AF38">
        <v>0.50</v>
      </c>
      <c r="AG38">
        <v>0.516150087942154</v>
      </c>
      <c r="AH38">
        <v>0.50</v>
      </c>
      <c r="AI38">
        <v>0.53623797076053004</v>
      </c>
      <c r="AJ38">
        <v>0.50</v>
      </c>
      <c r="AK38">
        <v>0.50</v>
      </c>
      <c r="AL38">
        <v>0.50</v>
      </c>
      <c r="AM38">
        <v>0.58143642322455602</v>
      </c>
      <c r="AN38">
        <v>0.54125846320370197</v>
      </c>
      <c r="AO38">
        <v>0.53623703075516505</v>
      </c>
      <c r="AP38">
        <v>0.50</v>
      </c>
      <c r="AQ38">
        <v>0.50</v>
      </c>
      <c r="AR38">
        <v>0.50</v>
      </c>
      <c r="AS38">
        <v>0.51614899075903098</v>
      </c>
      <c r="AT38">
        <v>0.50</v>
      </c>
      <c r="AU38">
        <v>0.52619458090501303</v>
      </c>
      <c r="AV38">
        <v>0.54126052266387803</v>
      </c>
      <c r="AW38" t="s">
        <v>203</v>
      </c>
    </row>
    <row r="39" spans="1:49" ht="12.75">
      <c r="A39" t="s">
        <v>201</v>
      </c>
      <c r="B39" t="s">
        <v>29</v>
      </c>
      <c r="C39" t="s">
        <v>300</v>
      </c>
      <c r="D39" t="s">
        <v>203</v>
      </c>
      <c r="E39" t="s">
        <v>203</v>
      </c>
      <c r="F39" t="s">
        <v>223</v>
      </c>
      <c r="G39" t="s">
        <v>793</v>
      </c>
      <c r="H39" t="s">
        <v>203</v>
      </c>
      <c r="I39" t="s">
        <v>203</v>
      </c>
      <c r="J39" t="s">
        <v>203</v>
      </c>
      <c r="K39" t="s">
        <v>203</v>
      </c>
      <c r="L39">
        <v>0.50</v>
      </c>
      <c r="M39">
        <v>0.59377429313906205</v>
      </c>
      <c r="N39">
        <v>0.50</v>
      </c>
      <c r="O39">
        <v>0.50</v>
      </c>
      <c r="P39">
        <v>0.49900601476646</v>
      </c>
      <c r="Q39">
        <v>0.62009965269107703</v>
      </c>
      <c r="R39">
        <v>0.50</v>
      </c>
      <c r="S39">
        <v>0.54112464981267105</v>
      </c>
      <c r="T39">
        <v>0.62009965269107703</v>
      </c>
      <c r="U39">
        <v>0.50</v>
      </c>
      <c r="V39">
        <v>0.54112589830116897</v>
      </c>
      <c r="W39">
        <v>0.50</v>
      </c>
      <c r="X39">
        <v>0.514799099967856</v>
      </c>
      <c r="Y39">
        <v>0.54638891786056298</v>
      </c>
      <c r="Z39">
        <v>0.50</v>
      </c>
      <c r="AA39">
        <v>0.55165505592483999</v>
      </c>
      <c r="AB39">
        <v>0.55165363316483695</v>
      </c>
      <c r="AC39">
        <v>0.50</v>
      </c>
      <c r="AD39">
        <v>0.50</v>
      </c>
      <c r="AE39">
        <v>0.50</v>
      </c>
      <c r="AF39">
        <v>0.50</v>
      </c>
      <c r="AG39">
        <v>0.54112535796091599</v>
      </c>
      <c r="AH39">
        <v>0.50</v>
      </c>
      <c r="AI39">
        <v>0.56218475555346803</v>
      </c>
      <c r="AJ39">
        <v>0.50</v>
      </c>
      <c r="AK39">
        <v>0.50</v>
      </c>
      <c r="AL39">
        <v>0.50</v>
      </c>
      <c r="AM39">
        <v>0.60957013258897397</v>
      </c>
      <c r="AN39">
        <v>0.50</v>
      </c>
      <c r="AO39">
        <v>0.56218504357187304</v>
      </c>
      <c r="AP39">
        <v>0.50</v>
      </c>
      <c r="AQ39">
        <v>0.55428700605841397</v>
      </c>
      <c r="AR39">
        <v>0.50</v>
      </c>
      <c r="AS39">
        <v>0.50</v>
      </c>
      <c r="AT39">
        <v>0.50</v>
      </c>
      <c r="AU39">
        <v>0.551654904555828</v>
      </c>
      <c r="AV39">
        <v>0.56744765243058803</v>
      </c>
      <c r="AW39" t="s">
        <v>203</v>
      </c>
    </row>
    <row r="40" spans="1:49" ht="12.75">
      <c r="A40" t="s">
        <v>201</v>
      </c>
      <c r="B40" t="s">
        <v>29</v>
      </c>
      <c r="C40" t="s">
        <v>301</v>
      </c>
      <c r="D40" t="s">
        <v>203</v>
      </c>
      <c r="E40" t="s">
        <v>203</v>
      </c>
      <c r="F40" t="s">
        <v>223</v>
      </c>
      <c r="G40" t="s">
        <v>793</v>
      </c>
      <c r="H40" t="s">
        <v>203</v>
      </c>
      <c r="I40" t="s">
        <v>203</v>
      </c>
      <c r="J40" t="s">
        <v>203</v>
      </c>
      <c r="K40" t="s">
        <v>203</v>
      </c>
      <c r="L40">
        <v>0.94780646484775699</v>
      </c>
      <c r="M40">
        <v>1.0084980225972699</v>
      </c>
      <c r="N40">
        <v>0.94780646484775699</v>
      </c>
      <c r="O40">
        <v>0.96534385944249501</v>
      </c>
      <c r="P40">
        <v>0.77963146310130704</v>
      </c>
      <c r="Q40">
        <v>1.1633871819913899</v>
      </c>
      <c r="R40">
        <v>0.93835400157127402</v>
      </c>
      <c r="S40">
        <v>0.91120772186594301</v>
      </c>
      <c r="T40">
        <v>1.1633871819913899</v>
      </c>
      <c r="U40">
        <v>1.1216918730488401</v>
      </c>
      <c r="V40">
        <v>0.82279820773840795</v>
      </c>
      <c r="W40">
        <v>0.94780646484775699</v>
      </c>
      <c r="X40">
        <v>1.0240202398146601</v>
      </c>
      <c r="Y40">
        <v>1.06478833879765</v>
      </c>
      <c r="Z40">
        <v>1.14318658841459</v>
      </c>
      <c r="AA40">
        <v>0.85089391609927501</v>
      </c>
      <c r="AB40">
        <v>0.98553260007627197</v>
      </c>
      <c r="AC40">
        <v>0.99654021420485905</v>
      </c>
      <c r="AD40">
        <v>1.1216918730488401</v>
      </c>
      <c r="AE40">
        <v>1.1351203915566801</v>
      </c>
      <c r="AF40">
        <v>0.94780646484775699</v>
      </c>
      <c r="AG40">
        <v>0.93222467860648395</v>
      </c>
      <c r="AH40">
        <v>1.2207389454201201</v>
      </c>
      <c r="AI40">
        <v>0.933743068533049</v>
      </c>
      <c r="AJ40">
        <v>0.94780646484775699</v>
      </c>
      <c r="AK40">
        <v>0.94780646484775699</v>
      </c>
      <c r="AL40">
        <v>0.77025043487448097</v>
      </c>
      <c r="AM40">
        <v>1.27962430748476</v>
      </c>
      <c r="AN40">
        <v>1.1216918730488401</v>
      </c>
      <c r="AO40">
        <v>1.1329140590478</v>
      </c>
      <c r="AP40">
        <v>0.97830240105151101</v>
      </c>
      <c r="AQ40">
        <v>0.87596127194701201</v>
      </c>
      <c r="AR40">
        <v>0.94780646484775699</v>
      </c>
      <c r="AS40">
        <v>1.0306215507272301</v>
      </c>
      <c r="AT40">
        <v>0.97654106043505795</v>
      </c>
      <c r="AU40">
        <v>0.94538192091474005</v>
      </c>
      <c r="AV40">
        <v>1.2293914992528601</v>
      </c>
      <c r="AW40" t="s">
        <v>203</v>
      </c>
    </row>
    <row r="41" spans="1:49" ht="12.75">
      <c r="A41" t="s">
        <v>201</v>
      </c>
      <c r="B41" t="s">
        <v>29</v>
      </c>
      <c r="C41" t="s">
        <v>302</v>
      </c>
      <c r="D41" t="s">
        <v>203</v>
      </c>
      <c r="E41" t="s">
        <v>203</v>
      </c>
      <c r="F41" t="s">
        <v>223</v>
      </c>
      <c r="G41" t="s">
        <v>793</v>
      </c>
      <c r="H41" t="s">
        <v>203</v>
      </c>
      <c r="I41" t="s">
        <v>203</v>
      </c>
      <c r="J41" t="s">
        <v>203</v>
      </c>
      <c r="K41" t="s">
        <v>203</v>
      </c>
      <c r="L41">
        <v>0.57641306417083105</v>
      </c>
      <c r="M41">
        <v>0.73526349090490795</v>
      </c>
      <c r="N41">
        <v>0.57641306417083105</v>
      </c>
      <c r="O41">
        <v>0.75328055047085596</v>
      </c>
      <c r="P41">
        <v>0.61416110186241701</v>
      </c>
      <c r="Q41">
        <v>0.76672100407458499</v>
      </c>
      <c r="R41">
        <v>0.57528010617490899</v>
      </c>
      <c r="S41">
        <v>0.66770115516495199</v>
      </c>
      <c r="T41">
        <v>0.76672100407458499</v>
      </c>
      <c r="U41">
        <v>0.70268568510503304</v>
      </c>
      <c r="V41">
        <v>0.66600041566987001</v>
      </c>
      <c r="W41">
        <v>0.57641306417083105</v>
      </c>
      <c r="X41">
        <v>0.63745380705538102</v>
      </c>
      <c r="Y41">
        <v>0.67248336931142305</v>
      </c>
      <c r="Z41">
        <v>0.70070908267201504</v>
      </c>
      <c r="AA41">
        <v>0.68052803939986295</v>
      </c>
      <c r="AB41">
        <v>0.68105292098157999</v>
      </c>
      <c r="AC41">
        <v>0.71459706117723198</v>
      </c>
      <c r="AD41">
        <v>0.70268568510503304</v>
      </c>
      <c r="AE41">
        <v>0.69971846218945699</v>
      </c>
      <c r="AF41">
        <v>0.57641306417083105</v>
      </c>
      <c r="AG41">
        <v>0.66600186088185098</v>
      </c>
      <c r="AH41">
        <v>0.70253156128482397</v>
      </c>
      <c r="AI41">
        <v>0.69192012891015597</v>
      </c>
      <c r="AJ41">
        <v>0.57641306417083105</v>
      </c>
      <c r="AK41">
        <v>0.57641306417083105</v>
      </c>
      <c r="AL41">
        <v>0.60</v>
      </c>
      <c r="AM41">
        <v>0.75401818371825702</v>
      </c>
      <c r="AN41">
        <v>0.70268568510503304</v>
      </c>
      <c r="AO41">
        <v>0.69549067389373498</v>
      </c>
      <c r="AP41">
        <v>0.65854470485857597</v>
      </c>
      <c r="AQ41">
        <v>0.68290054101230802</v>
      </c>
      <c r="AR41">
        <v>0.57641306417083105</v>
      </c>
      <c r="AS41">
        <v>0.66600056433669597</v>
      </c>
      <c r="AT41">
        <v>0.72432380169684096</v>
      </c>
      <c r="AU41">
        <v>0.68076997618728197</v>
      </c>
      <c r="AV41">
        <v>0.70187248613979802</v>
      </c>
      <c r="AW41" t="s">
        <v>203</v>
      </c>
    </row>
    <row r="42" spans="1:49" ht="12.75">
      <c r="A42" t="s">
        <v>201</v>
      </c>
      <c r="B42" t="s">
        <v>29</v>
      </c>
      <c r="C42" t="s">
        <v>303</v>
      </c>
      <c r="D42" t="s">
        <v>203</v>
      </c>
      <c r="E42" t="s">
        <v>203</v>
      </c>
      <c r="F42" t="s">
        <v>223</v>
      </c>
      <c r="G42" t="s">
        <v>793</v>
      </c>
      <c r="H42" t="s">
        <v>203</v>
      </c>
      <c r="I42" t="s">
        <v>203</v>
      </c>
      <c r="J42" t="s">
        <v>203</v>
      </c>
      <c r="K42" t="s">
        <v>203</v>
      </c>
      <c r="L42">
        <v>0.70</v>
      </c>
      <c r="M42">
        <v>0.82650058693100303</v>
      </c>
      <c r="N42">
        <v>0.70</v>
      </c>
      <c r="O42">
        <v>0.70</v>
      </c>
      <c r="P42">
        <v>0.69458590928567099</v>
      </c>
      <c r="Q42">
        <v>0.70</v>
      </c>
      <c r="R42">
        <v>0.70</v>
      </c>
      <c r="S42">
        <v>0.70</v>
      </c>
      <c r="T42">
        <v>0.70</v>
      </c>
      <c r="U42">
        <v>0.70</v>
      </c>
      <c r="V42">
        <v>0.70</v>
      </c>
      <c r="W42">
        <v>0.70</v>
      </c>
      <c r="X42">
        <v>0.71657055219524401</v>
      </c>
      <c r="Y42">
        <v>0.70</v>
      </c>
      <c r="Z42">
        <v>0.78985650018060605</v>
      </c>
      <c r="AA42">
        <v>0.76787130894667199</v>
      </c>
      <c r="AB42">
        <v>0.76787111822687804</v>
      </c>
      <c r="AC42">
        <v>0.70</v>
      </c>
      <c r="AD42">
        <v>0.70</v>
      </c>
      <c r="AE42">
        <v>0.78985746341937901</v>
      </c>
      <c r="AF42">
        <v>0.70</v>
      </c>
      <c r="AG42">
        <v>0.70</v>
      </c>
      <c r="AH42">
        <v>0.70</v>
      </c>
      <c r="AI42">
        <v>0.70</v>
      </c>
      <c r="AJ42">
        <v>0.70</v>
      </c>
      <c r="AK42">
        <v>0.70</v>
      </c>
      <c r="AL42">
        <v>0.70</v>
      </c>
      <c r="AM42">
        <v>0.70</v>
      </c>
      <c r="AN42">
        <v>0.70</v>
      </c>
      <c r="AO42">
        <v>0.78252893124574496</v>
      </c>
      <c r="AP42">
        <v>0.73855696202531596</v>
      </c>
      <c r="AQ42">
        <v>0.77153597036357202</v>
      </c>
      <c r="AR42">
        <v>0.70</v>
      </c>
      <c r="AS42">
        <v>0.70</v>
      </c>
      <c r="AT42">
        <v>0.81917134618915699</v>
      </c>
      <c r="AU42">
        <v>0.76787100262494701</v>
      </c>
      <c r="AV42">
        <v>0.78985659898477201</v>
      </c>
      <c r="AW42" t="s">
        <v>203</v>
      </c>
    </row>
    <row r="43" spans="1:49" ht="12.75">
      <c r="A43" t="s">
        <v>201</v>
      </c>
      <c r="B43" t="s">
        <v>29</v>
      </c>
      <c r="C43" t="s">
        <v>304</v>
      </c>
      <c r="D43" t="s">
        <v>203</v>
      </c>
      <c r="E43" t="s">
        <v>203</v>
      </c>
      <c r="F43" t="s">
        <v>223</v>
      </c>
      <c r="G43" t="s">
        <v>793</v>
      </c>
      <c r="H43" t="s">
        <v>203</v>
      </c>
      <c r="I43" t="s">
        <v>203</v>
      </c>
      <c r="J43" t="s">
        <v>203</v>
      </c>
      <c r="K43" t="s">
        <v>203</v>
      </c>
      <c r="L43">
        <v>0.80</v>
      </c>
      <c r="M43">
        <v>0.869999697421875</v>
      </c>
      <c r="N43">
        <v>0.80</v>
      </c>
      <c r="O43">
        <v>0.893142811116307</v>
      </c>
      <c r="P43">
        <v>0.73114327409514701</v>
      </c>
      <c r="Q43">
        <v>0.90856973763489901</v>
      </c>
      <c r="R43">
        <v>0.80</v>
      </c>
      <c r="S43">
        <v>0.79285818087871995</v>
      </c>
      <c r="T43">
        <v>0.90856973763489901</v>
      </c>
      <c r="U43">
        <v>0.83142781689006795</v>
      </c>
      <c r="V43">
        <v>0.79285670877284398</v>
      </c>
      <c r="W43">
        <v>0.80</v>
      </c>
      <c r="X43">
        <v>0.80</v>
      </c>
      <c r="Y43">
        <v>0.80056939501779301</v>
      </c>
      <c r="Z43">
        <v>0.83142591991090897</v>
      </c>
      <c r="AA43">
        <v>0.80828658084167504</v>
      </c>
      <c r="AB43">
        <v>0.80828487436431096</v>
      </c>
      <c r="AC43">
        <v>0.80</v>
      </c>
      <c r="AD43">
        <v>0.83142781689006795</v>
      </c>
      <c r="AE43">
        <v>0.83142793464554798</v>
      </c>
      <c r="AF43">
        <v>0.80</v>
      </c>
      <c r="AG43">
        <v>0.79285459180531803</v>
      </c>
      <c r="AH43">
        <v>0.83142964572192501</v>
      </c>
      <c r="AI43">
        <v>0.82371178025565905</v>
      </c>
      <c r="AJ43">
        <v>0.80</v>
      </c>
      <c r="AK43">
        <v>0.80</v>
      </c>
      <c r="AL43">
        <v>0.80</v>
      </c>
      <c r="AM43">
        <v>0.89314316964932305</v>
      </c>
      <c r="AN43">
        <v>0.83142781689006795</v>
      </c>
      <c r="AO43">
        <v>0.82371353985987195</v>
      </c>
      <c r="AP43">
        <v>0.77743071353682403</v>
      </c>
      <c r="AQ43">
        <v>0.81214265249940798</v>
      </c>
      <c r="AR43">
        <v>0.80</v>
      </c>
      <c r="AS43">
        <v>0.79285469678245502</v>
      </c>
      <c r="AT43">
        <v>0.86228726595308003</v>
      </c>
      <c r="AU43">
        <v>0.80828694242830001</v>
      </c>
      <c r="AV43">
        <v>0.83142879399815395</v>
      </c>
      <c r="AW43" t="s">
        <v>203</v>
      </c>
    </row>
    <row r="44" spans="1:49" ht="12.75">
      <c r="A44" t="s">
        <v>201</v>
      </c>
      <c r="B44" t="s">
        <v>29</v>
      </c>
      <c r="C44" t="s">
        <v>305</v>
      </c>
      <c r="D44" t="s">
        <v>203</v>
      </c>
      <c r="E44" t="s">
        <v>203</v>
      </c>
      <c r="F44" t="s">
        <v>223</v>
      </c>
      <c r="G44" t="s">
        <v>793</v>
      </c>
      <c r="H44" t="s">
        <v>203</v>
      </c>
      <c r="I44" t="s">
        <v>203</v>
      </c>
      <c r="J44" t="s">
        <v>203</v>
      </c>
      <c r="K44" t="s">
        <v>203</v>
      </c>
      <c r="L44">
        <v>0.66666666666666696</v>
      </c>
      <c r="M44">
        <v>0.66666666666666696</v>
      </c>
      <c r="N44">
        <v>0.66666666666666696</v>
      </c>
      <c r="O44">
        <v>0.66666666666666696</v>
      </c>
      <c r="P44">
        <v>0.66666666666666696</v>
      </c>
      <c r="Q44">
        <v>0.66666666666666696</v>
      </c>
      <c r="R44">
        <v>0.66666666666666696</v>
      </c>
      <c r="S44">
        <v>0.66666666666666696</v>
      </c>
      <c r="T44">
        <v>0.66666666666666696</v>
      </c>
      <c r="U44">
        <v>0.66666666666666696</v>
      </c>
      <c r="V44">
        <v>0.66666666666666696</v>
      </c>
      <c r="W44">
        <v>0.66666666666666696</v>
      </c>
      <c r="X44">
        <v>0.66666666666666696</v>
      </c>
      <c r="Y44">
        <v>0.66666666666666696</v>
      </c>
      <c r="Z44">
        <v>0.66666666666666696</v>
      </c>
      <c r="AA44">
        <v>0.66666666666666696</v>
      </c>
      <c r="AB44">
        <v>0.66666666666666696</v>
      </c>
      <c r="AC44">
        <v>0.66666666666666696</v>
      </c>
      <c r="AD44">
        <v>0.66666666666666696</v>
      </c>
      <c r="AE44">
        <v>0.67221013066817603</v>
      </c>
      <c r="AF44">
        <v>0.66666666666666696</v>
      </c>
      <c r="AG44">
        <v>0.66666666666666696</v>
      </c>
      <c r="AH44">
        <v>0.672208911424379</v>
      </c>
      <c r="AI44">
        <v>0.66666666666666696</v>
      </c>
      <c r="AJ44">
        <v>0.66666666666666696</v>
      </c>
      <c r="AK44">
        <v>0.66666666666666696</v>
      </c>
      <c r="AL44">
        <v>0.66666666666666696</v>
      </c>
      <c r="AM44">
        <v>0.66666666666666696</v>
      </c>
      <c r="AN44">
        <v>0.66666666666666696</v>
      </c>
      <c r="AO44">
        <v>0.66666666666666696</v>
      </c>
      <c r="AP44">
        <v>0.66666666666666696</v>
      </c>
      <c r="AQ44">
        <v>0.66666666666666696</v>
      </c>
      <c r="AR44">
        <v>0.66666666666666696</v>
      </c>
      <c r="AS44">
        <v>0.66666666666666696</v>
      </c>
      <c r="AT44">
        <v>0.69715865432799895</v>
      </c>
      <c r="AU44">
        <v>0.66666666666666696</v>
      </c>
      <c r="AV44">
        <v>0.66666666666666696</v>
      </c>
      <c r="AW44" t="s">
        <v>203</v>
      </c>
    </row>
    <row r="45" spans="1:49" ht="12.75">
      <c r="A45" t="s">
        <v>201</v>
      </c>
      <c r="B45" t="s">
        <v>29</v>
      </c>
      <c r="C45" t="s">
        <v>306</v>
      </c>
      <c r="D45" t="s">
        <v>203</v>
      </c>
      <c r="E45" t="s">
        <v>203</v>
      </c>
      <c r="F45" t="s">
        <v>223</v>
      </c>
      <c r="G45" t="s">
        <v>793</v>
      </c>
      <c r="H45" t="s">
        <v>203</v>
      </c>
      <c r="I45" t="s">
        <v>203</v>
      </c>
      <c r="J45" t="s">
        <v>203</v>
      </c>
      <c r="K45" t="s">
        <v>203</v>
      </c>
      <c r="L45">
        <v>0.53932557282182503</v>
      </c>
      <c r="M45">
        <v>0.68512373492146095</v>
      </c>
      <c r="N45">
        <v>0.53932557282182503</v>
      </c>
      <c r="O45">
        <v>0.70334956709312502</v>
      </c>
      <c r="P45">
        <v>0.57577546106916599</v>
      </c>
      <c r="Q45">
        <v>0.71550092501440099</v>
      </c>
      <c r="R45">
        <v>0.53932453821773096</v>
      </c>
      <c r="S45">
        <v>0.62437476878480902</v>
      </c>
      <c r="T45">
        <v>0.71550092501440099</v>
      </c>
      <c r="U45">
        <v>0.654750926885172</v>
      </c>
      <c r="V45">
        <v>0.62437371424779398</v>
      </c>
      <c r="W45">
        <v>0.53932557282182503</v>
      </c>
      <c r="X45">
        <v>0.59400073574969003</v>
      </c>
      <c r="Y45">
        <v>0.63045121029666296</v>
      </c>
      <c r="Z45">
        <v>0.65475074533242195</v>
      </c>
      <c r="AA45">
        <v>0.63652508929559304</v>
      </c>
      <c r="AB45">
        <v>0.55000000000000004</v>
      </c>
      <c r="AC45">
        <v>0.66689897171121104</v>
      </c>
      <c r="AD45">
        <v>0.654750926885172</v>
      </c>
      <c r="AE45">
        <v>0.65474796557578596</v>
      </c>
      <c r="AF45">
        <v>0.53932557282182503</v>
      </c>
      <c r="AG45">
        <v>0.62437638525085604</v>
      </c>
      <c r="AH45">
        <v>0.65474906536279298</v>
      </c>
      <c r="AI45">
        <v>0.64867556959769002</v>
      </c>
      <c r="AJ45">
        <v>0.53932557282182503</v>
      </c>
      <c r="AK45">
        <v>0.53932557282182503</v>
      </c>
      <c r="AL45">
        <v>0.55000000000000004</v>
      </c>
      <c r="AM45">
        <v>0.70335181691724302</v>
      </c>
      <c r="AN45">
        <v>0.654750926885172</v>
      </c>
      <c r="AO45">
        <v>0.648675788307715</v>
      </c>
      <c r="AP45">
        <v>0.61222632752145101</v>
      </c>
      <c r="AQ45">
        <v>0.63956306859319401</v>
      </c>
      <c r="AR45">
        <v>0.53932557282182503</v>
      </c>
      <c r="AS45">
        <v>0.62437437437437404</v>
      </c>
      <c r="AT45">
        <v>0.67905104662972304</v>
      </c>
      <c r="AU45">
        <v>0.63652609984043795</v>
      </c>
      <c r="AV45">
        <v>0.65474896949000505</v>
      </c>
      <c r="AW45" t="s">
        <v>203</v>
      </c>
    </row>
    <row r="46" spans="1:49" ht="12.75">
      <c r="A46" t="s">
        <v>201</v>
      </c>
      <c r="B46" t="s">
        <v>29</v>
      </c>
      <c r="C46" t="s">
        <v>307</v>
      </c>
      <c r="D46" t="s">
        <v>203</v>
      </c>
      <c r="E46" t="s">
        <v>203</v>
      </c>
      <c r="F46" t="s">
        <v>223</v>
      </c>
      <c r="G46" t="s">
        <v>793</v>
      </c>
      <c r="H46" t="s">
        <v>203</v>
      </c>
      <c r="I46" t="s">
        <v>203</v>
      </c>
      <c r="J46" t="s">
        <v>203</v>
      </c>
      <c r="K46" t="s">
        <v>203</v>
      </c>
      <c r="L46">
        <v>0.50</v>
      </c>
      <c r="M46">
        <v>0.56636967800557603</v>
      </c>
      <c r="N46">
        <v>0.50</v>
      </c>
      <c r="O46">
        <v>0.58143601389810495</v>
      </c>
      <c r="P46">
        <v>0.47597370243559201</v>
      </c>
      <c r="Q46">
        <v>0.50</v>
      </c>
      <c r="R46">
        <v>0.44584231229690402</v>
      </c>
      <c r="S46">
        <v>0.51615018995212902</v>
      </c>
      <c r="T46">
        <v>0.50</v>
      </c>
      <c r="U46">
        <v>0.54125846320370197</v>
      </c>
      <c r="V46">
        <v>0.51614822449170805</v>
      </c>
      <c r="W46">
        <v>0.50</v>
      </c>
      <c r="X46">
        <v>0.49104004549575597</v>
      </c>
      <c r="Y46">
        <v>0.521171456816652</v>
      </c>
      <c r="Z46">
        <v>0.541260533331132</v>
      </c>
      <c r="AA46">
        <v>0.52619226772725602</v>
      </c>
      <c r="AB46">
        <v>0.52619483225875896</v>
      </c>
      <c r="AC46">
        <v>0.55130367951244896</v>
      </c>
      <c r="AD46">
        <v>0.54125846320370197</v>
      </c>
      <c r="AE46">
        <v>0.50</v>
      </c>
      <c r="AF46">
        <v>0.50</v>
      </c>
      <c r="AG46">
        <v>0.516150087942154</v>
      </c>
      <c r="AH46">
        <v>0.50</v>
      </c>
      <c r="AI46">
        <v>0.53623797076053004</v>
      </c>
      <c r="AJ46">
        <v>0.50</v>
      </c>
      <c r="AK46">
        <v>0.50</v>
      </c>
      <c r="AL46">
        <v>0.50</v>
      </c>
      <c r="AM46">
        <v>0.58143642322455602</v>
      </c>
      <c r="AN46">
        <v>0.54125846320370197</v>
      </c>
      <c r="AO46">
        <v>0.53623703075516505</v>
      </c>
      <c r="AP46">
        <v>0.50</v>
      </c>
      <c r="AQ46">
        <v>0.50</v>
      </c>
      <c r="AR46">
        <v>0.50</v>
      </c>
      <c r="AS46">
        <v>0.51614899075903098</v>
      </c>
      <c r="AT46">
        <v>0.50</v>
      </c>
      <c r="AU46">
        <v>0.52619458090501303</v>
      </c>
      <c r="AV46">
        <v>0.54126052266387803</v>
      </c>
      <c r="AW46" t="s">
        <v>203</v>
      </c>
    </row>
    <row r="47" spans="1:49" ht="12.75">
      <c r="A47" t="s">
        <v>201</v>
      </c>
      <c r="B47" t="s">
        <v>29</v>
      </c>
      <c r="C47" t="s">
        <v>308</v>
      </c>
      <c r="D47" t="s">
        <v>203</v>
      </c>
      <c r="E47" t="s">
        <v>203</v>
      </c>
      <c r="F47" t="s">
        <v>223</v>
      </c>
      <c r="G47" t="s">
        <v>793</v>
      </c>
      <c r="H47" t="s">
        <v>203</v>
      </c>
      <c r="I47" t="s">
        <v>203</v>
      </c>
      <c r="J47" t="s">
        <v>203</v>
      </c>
      <c r="K47" t="s">
        <v>203</v>
      </c>
      <c r="L47">
        <v>0.50</v>
      </c>
      <c r="M47">
        <v>0.59377429313906205</v>
      </c>
      <c r="N47">
        <v>0.50</v>
      </c>
      <c r="O47">
        <v>0.50</v>
      </c>
      <c r="P47">
        <v>0.49900601476646</v>
      </c>
      <c r="Q47">
        <v>0.62009965269107703</v>
      </c>
      <c r="R47">
        <v>0.50</v>
      </c>
      <c r="S47">
        <v>0.54112464981267105</v>
      </c>
      <c r="T47">
        <v>0.62009965269107703</v>
      </c>
      <c r="U47">
        <v>0.50</v>
      </c>
      <c r="V47">
        <v>0.54112589830116897</v>
      </c>
      <c r="W47">
        <v>0.50</v>
      </c>
      <c r="X47">
        <v>0.514799099967856</v>
      </c>
      <c r="Y47">
        <v>0.54638891786056298</v>
      </c>
      <c r="Z47">
        <v>0.50</v>
      </c>
      <c r="AA47">
        <v>0.55165505592483999</v>
      </c>
      <c r="AB47">
        <v>0.55165363316483695</v>
      </c>
      <c r="AC47">
        <v>0.50</v>
      </c>
      <c r="AD47">
        <v>0.50</v>
      </c>
      <c r="AE47">
        <v>0.50</v>
      </c>
      <c r="AF47">
        <v>0.50</v>
      </c>
      <c r="AG47">
        <v>0.54112535796091599</v>
      </c>
      <c r="AH47">
        <v>0.50</v>
      </c>
      <c r="AI47">
        <v>0.56218475555346803</v>
      </c>
      <c r="AJ47">
        <v>0.50</v>
      </c>
      <c r="AK47">
        <v>0.50</v>
      </c>
      <c r="AL47">
        <v>0.50</v>
      </c>
      <c r="AM47">
        <v>0.60957013258897397</v>
      </c>
      <c r="AN47">
        <v>0.50</v>
      </c>
      <c r="AO47">
        <v>0.56218504357187304</v>
      </c>
      <c r="AP47">
        <v>0.50</v>
      </c>
      <c r="AQ47">
        <v>0.55428700605841397</v>
      </c>
      <c r="AR47">
        <v>0.50</v>
      </c>
      <c r="AS47">
        <v>0.50</v>
      </c>
      <c r="AT47">
        <v>0.50</v>
      </c>
      <c r="AU47">
        <v>0.551654904555828</v>
      </c>
      <c r="AV47">
        <v>0.56744765243058803</v>
      </c>
      <c r="AW47" t="s">
        <v>203</v>
      </c>
    </row>
    <row r="48" spans="1:49" ht="12.75">
      <c r="A48" t="s">
        <v>201</v>
      </c>
      <c r="B48" t="s">
        <v>29</v>
      </c>
      <c r="C48" t="s">
        <v>309</v>
      </c>
      <c r="D48" t="s">
        <v>203</v>
      </c>
      <c r="E48" t="s">
        <v>203</v>
      </c>
      <c r="F48" t="s">
        <v>223</v>
      </c>
      <c r="G48" t="s">
        <v>793</v>
      </c>
      <c r="H48" t="s">
        <v>203</v>
      </c>
      <c r="I48" t="s">
        <v>203</v>
      </c>
      <c r="J48" t="s">
        <v>203</v>
      </c>
      <c r="K48" t="s">
        <v>203</v>
      </c>
      <c r="L48">
        <v>0.94780646484775699</v>
      </c>
      <c r="M48">
        <v>1.0084980225972699</v>
      </c>
      <c r="N48">
        <v>0.94780646484775699</v>
      </c>
      <c r="O48">
        <v>0.96534385944249501</v>
      </c>
      <c r="P48">
        <v>0.77963146310130704</v>
      </c>
      <c r="Q48">
        <v>1.1633871819913899</v>
      </c>
      <c r="R48">
        <v>0.93835400157127402</v>
      </c>
      <c r="S48">
        <v>0.91120772186594301</v>
      </c>
      <c r="T48">
        <v>1.1633871819913899</v>
      </c>
      <c r="U48">
        <v>1.1216918730488401</v>
      </c>
      <c r="V48">
        <v>0.82279820773840795</v>
      </c>
      <c r="W48">
        <v>0.94780646484775699</v>
      </c>
      <c r="X48">
        <v>1.0240202398146601</v>
      </c>
      <c r="Y48">
        <v>1.06478833879765</v>
      </c>
      <c r="Z48">
        <v>1.14318658841459</v>
      </c>
      <c r="AA48">
        <v>0.85089391609927501</v>
      </c>
      <c r="AB48">
        <v>0.98553260007627197</v>
      </c>
      <c r="AC48">
        <v>0.99654021420485905</v>
      </c>
      <c r="AD48">
        <v>1.1216918730488401</v>
      </c>
      <c r="AE48">
        <v>1.1351203915566801</v>
      </c>
      <c r="AF48">
        <v>0.94780646484775699</v>
      </c>
      <c r="AG48">
        <v>0.93222467860648395</v>
      </c>
      <c r="AH48">
        <v>1.2207389454201201</v>
      </c>
      <c r="AI48">
        <v>0.933743068533049</v>
      </c>
      <c r="AJ48">
        <v>0.94780646484775699</v>
      </c>
      <c r="AK48">
        <v>0.94780646484775699</v>
      </c>
      <c r="AL48">
        <v>0.77025043487448097</v>
      </c>
      <c r="AM48">
        <v>1.27962430748476</v>
      </c>
      <c r="AN48">
        <v>1.1216918730488401</v>
      </c>
      <c r="AO48">
        <v>1.1329140590478</v>
      </c>
      <c r="AP48">
        <v>0.97830240105151101</v>
      </c>
      <c r="AQ48">
        <v>0.87596127194701201</v>
      </c>
      <c r="AR48">
        <v>0.94780646484775699</v>
      </c>
      <c r="AS48">
        <v>1.0306215507272301</v>
      </c>
      <c r="AT48">
        <v>0.97654106043505795</v>
      </c>
      <c r="AU48">
        <v>0.94538192091474005</v>
      </c>
      <c r="AV48">
        <v>1.2293914992528601</v>
      </c>
      <c r="AW48" t="s">
        <v>203</v>
      </c>
    </row>
    <row r="49" spans="1:49" ht="12.75">
      <c r="A49" t="s">
        <v>201</v>
      </c>
      <c r="B49" t="s">
        <v>29</v>
      </c>
      <c r="C49" t="s">
        <v>310</v>
      </c>
      <c r="D49" t="s">
        <v>203</v>
      </c>
      <c r="E49" t="s">
        <v>203</v>
      </c>
      <c r="F49" t="s">
        <v>223</v>
      </c>
      <c r="G49" t="s">
        <v>793</v>
      </c>
      <c r="H49" t="s">
        <v>203</v>
      </c>
      <c r="I49" t="s">
        <v>203</v>
      </c>
      <c r="J49" t="s">
        <v>203</v>
      </c>
      <c r="K49" t="s">
        <v>203</v>
      </c>
      <c r="L49">
        <v>0.57641306417083105</v>
      </c>
      <c r="M49">
        <v>0.73526349090490795</v>
      </c>
      <c r="N49">
        <v>0.57641306417083105</v>
      </c>
      <c r="O49">
        <v>0.75328055047085596</v>
      </c>
      <c r="P49">
        <v>0.61416110186241701</v>
      </c>
      <c r="Q49">
        <v>0.76672100407458499</v>
      </c>
      <c r="R49">
        <v>0.57528010617490899</v>
      </c>
      <c r="S49">
        <v>0.66770115516495199</v>
      </c>
      <c r="T49">
        <v>0.76672100407458499</v>
      </c>
      <c r="U49">
        <v>0.70268568510503304</v>
      </c>
      <c r="V49">
        <v>0.66600041566987001</v>
      </c>
      <c r="W49">
        <v>0.57641306417083105</v>
      </c>
      <c r="X49">
        <v>0.63745380705538102</v>
      </c>
      <c r="Y49">
        <v>0.67248336931142305</v>
      </c>
      <c r="Z49">
        <v>0.70070908267201504</v>
      </c>
      <c r="AA49">
        <v>0.68052803939986295</v>
      </c>
      <c r="AB49">
        <v>0.68105292098157999</v>
      </c>
      <c r="AC49">
        <v>0.71459706117723198</v>
      </c>
      <c r="AD49">
        <v>0.70268568510503304</v>
      </c>
      <c r="AE49">
        <v>0.69971846218945699</v>
      </c>
      <c r="AF49">
        <v>0.57641306417083105</v>
      </c>
      <c r="AG49">
        <v>0.66600186088185098</v>
      </c>
      <c r="AH49">
        <v>0.70253156128482397</v>
      </c>
      <c r="AI49">
        <v>0.69192012891015597</v>
      </c>
      <c r="AJ49">
        <v>0.57641306417083105</v>
      </c>
      <c r="AK49">
        <v>0.57641306417083105</v>
      </c>
      <c r="AL49">
        <v>0.60</v>
      </c>
      <c r="AM49">
        <v>0.75401818371825702</v>
      </c>
      <c r="AN49">
        <v>0.70268568510503304</v>
      </c>
      <c r="AO49">
        <v>0.69549067389373498</v>
      </c>
      <c r="AP49">
        <v>0.65854470485857597</v>
      </c>
      <c r="AQ49">
        <v>0.68290054101230802</v>
      </c>
      <c r="AR49">
        <v>0.57641306417083105</v>
      </c>
      <c r="AS49">
        <v>0.66600056433669597</v>
      </c>
      <c r="AT49">
        <v>0.72432380169684096</v>
      </c>
      <c r="AU49">
        <v>0.68076997618728197</v>
      </c>
      <c r="AV49">
        <v>0.70187248613979802</v>
      </c>
      <c r="AW49" t="s">
        <v>203</v>
      </c>
    </row>
    <row r="50" spans="1:49" ht="12.75">
      <c r="A50" t="s">
        <v>201</v>
      </c>
      <c r="B50" t="s">
        <v>29</v>
      </c>
      <c r="C50" t="s">
        <v>311</v>
      </c>
      <c r="D50" t="s">
        <v>203</v>
      </c>
      <c r="E50" t="s">
        <v>203</v>
      </c>
      <c r="F50" t="s">
        <v>223</v>
      </c>
      <c r="G50" t="s">
        <v>793</v>
      </c>
      <c r="H50" t="s">
        <v>203</v>
      </c>
      <c r="I50" t="s">
        <v>203</v>
      </c>
      <c r="J50" t="s">
        <v>203</v>
      </c>
      <c r="K50" t="s">
        <v>203</v>
      </c>
      <c r="L50">
        <v>0.70</v>
      </c>
      <c r="M50">
        <v>0.82650058693100303</v>
      </c>
      <c r="N50">
        <v>0.70</v>
      </c>
      <c r="O50">
        <v>0.70</v>
      </c>
      <c r="P50">
        <v>0.69458590928567099</v>
      </c>
      <c r="Q50">
        <v>0.70</v>
      </c>
      <c r="R50">
        <v>0.70</v>
      </c>
      <c r="S50">
        <v>0.70</v>
      </c>
      <c r="T50">
        <v>0.70</v>
      </c>
      <c r="U50">
        <v>0.70</v>
      </c>
      <c r="V50">
        <v>0.70</v>
      </c>
      <c r="W50">
        <v>0.70</v>
      </c>
      <c r="X50">
        <v>0.71657055219524401</v>
      </c>
      <c r="Y50">
        <v>0.70</v>
      </c>
      <c r="Z50">
        <v>0.78985650018060605</v>
      </c>
      <c r="AA50">
        <v>0.76787130894667199</v>
      </c>
      <c r="AB50">
        <v>0.76787111822687804</v>
      </c>
      <c r="AC50">
        <v>0.70</v>
      </c>
      <c r="AD50">
        <v>0.70</v>
      </c>
      <c r="AE50">
        <v>0.78985746341937901</v>
      </c>
      <c r="AF50">
        <v>0.70</v>
      </c>
      <c r="AG50">
        <v>0.70</v>
      </c>
      <c r="AH50">
        <v>0.70</v>
      </c>
      <c r="AI50">
        <v>0.70</v>
      </c>
      <c r="AJ50">
        <v>0.70</v>
      </c>
      <c r="AK50">
        <v>0.70</v>
      </c>
      <c r="AL50">
        <v>0.70</v>
      </c>
      <c r="AM50">
        <v>0.70</v>
      </c>
      <c r="AN50">
        <v>0.70</v>
      </c>
      <c r="AO50">
        <v>0.78252893124574496</v>
      </c>
      <c r="AP50">
        <v>0.73855696202531596</v>
      </c>
      <c r="AQ50">
        <v>0.77153597036357202</v>
      </c>
      <c r="AR50">
        <v>0.70</v>
      </c>
      <c r="AS50">
        <v>0.70</v>
      </c>
      <c r="AT50">
        <v>0.81917134618915699</v>
      </c>
      <c r="AU50">
        <v>0.76787100262494701</v>
      </c>
      <c r="AV50">
        <v>0.78985659898477201</v>
      </c>
      <c r="AW50" t="s">
        <v>203</v>
      </c>
    </row>
    <row r="51" spans="1:49" ht="12.75">
      <c r="A51" t="s">
        <v>201</v>
      </c>
      <c r="B51" t="s">
        <v>29</v>
      </c>
      <c r="C51" t="s">
        <v>312</v>
      </c>
      <c r="D51" t="s">
        <v>203</v>
      </c>
      <c r="E51" t="s">
        <v>203</v>
      </c>
      <c r="F51" t="s">
        <v>223</v>
      </c>
      <c r="G51" t="s">
        <v>793</v>
      </c>
      <c r="H51" t="s">
        <v>203</v>
      </c>
      <c r="I51" t="s">
        <v>203</v>
      </c>
      <c r="J51" t="s">
        <v>203</v>
      </c>
      <c r="K51" t="s">
        <v>203</v>
      </c>
      <c r="L51">
        <v>0.80</v>
      </c>
      <c r="M51">
        <v>0.869999697421875</v>
      </c>
      <c r="N51">
        <v>0.80</v>
      </c>
      <c r="O51">
        <v>0.893142811116307</v>
      </c>
      <c r="P51">
        <v>0.73114327409514701</v>
      </c>
      <c r="Q51">
        <v>0.90856973763489901</v>
      </c>
      <c r="R51">
        <v>0.80</v>
      </c>
      <c r="S51">
        <v>0.79285818087871995</v>
      </c>
      <c r="T51">
        <v>0.90856973763489901</v>
      </c>
      <c r="U51">
        <v>0.83142781689006795</v>
      </c>
      <c r="V51">
        <v>0.79285670877284398</v>
      </c>
      <c r="W51">
        <v>0.80</v>
      </c>
      <c r="X51">
        <v>0.80</v>
      </c>
      <c r="Y51">
        <v>0.80056939501779301</v>
      </c>
      <c r="Z51">
        <v>0.83142591991090897</v>
      </c>
      <c r="AA51">
        <v>0.80828658084167504</v>
      </c>
      <c r="AB51">
        <v>0.80828487436431096</v>
      </c>
      <c r="AC51">
        <v>0.80</v>
      </c>
      <c r="AD51">
        <v>0.83142781689006795</v>
      </c>
      <c r="AE51">
        <v>0.83142793464554798</v>
      </c>
      <c r="AF51">
        <v>0.80</v>
      </c>
      <c r="AG51">
        <v>0.79285459180531803</v>
      </c>
      <c r="AH51">
        <v>0.83142964572192501</v>
      </c>
      <c r="AI51">
        <v>0.82371178025565905</v>
      </c>
      <c r="AJ51">
        <v>0.80</v>
      </c>
      <c r="AK51">
        <v>0.80</v>
      </c>
      <c r="AL51">
        <v>0.80</v>
      </c>
      <c r="AM51">
        <v>0.89314316964932305</v>
      </c>
      <c r="AN51">
        <v>0.83142781689006795</v>
      </c>
      <c r="AO51">
        <v>0.82371353985987195</v>
      </c>
      <c r="AP51">
        <v>0.77743071353682403</v>
      </c>
      <c r="AQ51">
        <v>0.81214265249940798</v>
      </c>
      <c r="AR51">
        <v>0.80</v>
      </c>
      <c r="AS51">
        <v>0.79285469678245502</v>
      </c>
      <c r="AT51">
        <v>0.86228726595308003</v>
      </c>
      <c r="AU51">
        <v>0.80828694242830001</v>
      </c>
      <c r="AV51">
        <v>0.83142879399815395</v>
      </c>
      <c r="AW51" t="s">
        <v>203</v>
      </c>
    </row>
    <row r="52" spans="1:49" ht="12.75">
      <c r="A52" t="s">
        <v>201</v>
      </c>
      <c r="B52" t="s">
        <v>29</v>
      </c>
      <c r="C52" t="s">
        <v>313</v>
      </c>
      <c r="D52" t="s">
        <v>203</v>
      </c>
      <c r="E52" t="s">
        <v>203</v>
      </c>
      <c r="F52" t="s">
        <v>223</v>
      </c>
      <c r="G52" t="s">
        <v>793</v>
      </c>
      <c r="H52" t="s">
        <v>203</v>
      </c>
      <c r="I52" t="s">
        <v>203</v>
      </c>
      <c r="J52" t="s">
        <v>203</v>
      </c>
      <c r="K52" t="s">
        <v>203</v>
      </c>
      <c r="L52">
        <v>0.66666666666666696</v>
      </c>
      <c r="M52">
        <v>0.66666666666666696</v>
      </c>
      <c r="N52">
        <v>0.66666666666666696</v>
      </c>
      <c r="O52">
        <v>0.66666666666666696</v>
      </c>
      <c r="P52">
        <v>0.66666666666666696</v>
      </c>
      <c r="Q52">
        <v>0.66666666666666696</v>
      </c>
      <c r="R52">
        <v>0.66666666666666696</v>
      </c>
      <c r="S52">
        <v>0.66666666666666696</v>
      </c>
      <c r="T52">
        <v>0.66666666666666696</v>
      </c>
      <c r="U52">
        <v>0.66666666666666696</v>
      </c>
      <c r="V52">
        <v>0.66666666666666696</v>
      </c>
      <c r="W52">
        <v>0.66666666666666696</v>
      </c>
      <c r="X52">
        <v>0.66666666666666696</v>
      </c>
      <c r="Y52">
        <v>0.66666666666666696</v>
      </c>
      <c r="Z52">
        <v>0.66666666666666696</v>
      </c>
      <c r="AA52">
        <v>0.66666666666666696</v>
      </c>
      <c r="AB52">
        <v>0.66666666666666696</v>
      </c>
      <c r="AC52">
        <v>0.66666666666666696</v>
      </c>
      <c r="AD52">
        <v>0.66666666666666696</v>
      </c>
      <c r="AE52">
        <v>0.67221013066817603</v>
      </c>
      <c r="AF52">
        <v>0.66666666666666696</v>
      </c>
      <c r="AG52">
        <v>0.66666666666666696</v>
      </c>
      <c r="AH52">
        <v>0.672208911424379</v>
      </c>
      <c r="AI52">
        <v>0.66666666666666696</v>
      </c>
      <c r="AJ52">
        <v>0.66666666666666696</v>
      </c>
      <c r="AK52">
        <v>0.66666666666666696</v>
      </c>
      <c r="AL52">
        <v>0.66666666666666696</v>
      </c>
      <c r="AM52">
        <v>0.66666666666666696</v>
      </c>
      <c r="AN52">
        <v>0.66666666666666696</v>
      </c>
      <c r="AO52">
        <v>0.66666666666666696</v>
      </c>
      <c r="AP52">
        <v>0.66666666666666696</v>
      </c>
      <c r="AQ52">
        <v>0.66666666666666696</v>
      </c>
      <c r="AR52">
        <v>0.66666666666666696</v>
      </c>
      <c r="AS52">
        <v>0.66666666666666696</v>
      </c>
      <c r="AT52">
        <v>0.69715865432799895</v>
      </c>
      <c r="AU52">
        <v>0.66666666666666696</v>
      </c>
      <c r="AV52">
        <v>0.66666666666666696</v>
      </c>
      <c r="AW52" t="s">
        <v>203</v>
      </c>
    </row>
    <row r="53" spans="1:49" ht="12.75">
      <c r="A53" t="s">
        <v>201</v>
      </c>
      <c r="B53" t="s">
        <v>29</v>
      </c>
      <c r="C53" t="s">
        <v>314</v>
      </c>
      <c r="D53" t="s">
        <v>203</v>
      </c>
      <c r="E53" t="s">
        <v>203</v>
      </c>
      <c r="F53" t="s">
        <v>223</v>
      </c>
      <c r="G53" t="s">
        <v>793</v>
      </c>
      <c r="H53" t="s">
        <v>203</v>
      </c>
      <c r="I53" t="s">
        <v>203</v>
      </c>
      <c r="J53" t="s">
        <v>203</v>
      </c>
      <c r="K53" t="s">
        <v>203</v>
      </c>
      <c r="L53">
        <v>0.53932557282182503</v>
      </c>
      <c r="M53">
        <v>0.68512373492146095</v>
      </c>
      <c r="N53">
        <v>0.53932557282182503</v>
      </c>
      <c r="O53">
        <v>0.70334956709312502</v>
      </c>
      <c r="P53">
        <v>0.57577546106916599</v>
      </c>
      <c r="Q53">
        <v>0.71550092501440099</v>
      </c>
      <c r="R53">
        <v>0.53932453821773096</v>
      </c>
      <c r="S53">
        <v>0.62437476878480902</v>
      </c>
      <c r="T53">
        <v>0.71550092501440099</v>
      </c>
      <c r="U53">
        <v>0.654750926885172</v>
      </c>
      <c r="V53">
        <v>0.62437371424779398</v>
      </c>
      <c r="W53">
        <v>0.53932557282182503</v>
      </c>
      <c r="X53">
        <v>0.59400073574969003</v>
      </c>
      <c r="Y53">
        <v>0.63045121029666296</v>
      </c>
      <c r="Z53">
        <v>0.65475074533242195</v>
      </c>
      <c r="AA53">
        <v>0.63652508929559304</v>
      </c>
      <c r="AB53">
        <v>0.55000000000000004</v>
      </c>
      <c r="AC53">
        <v>0.66689897171121104</v>
      </c>
      <c r="AD53">
        <v>0.654750926885172</v>
      </c>
      <c r="AE53">
        <v>0.65474796557578596</v>
      </c>
      <c r="AF53">
        <v>0.53932557282182503</v>
      </c>
      <c r="AG53">
        <v>0.62437638525085604</v>
      </c>
      <c r="AH53">
        <v>0.65474906536279298</v>
      </c>
      <c r="AI53">
        <v>0.64867556959769002</v>
      </c>
      <c r="AJ53">
        <v>0.53932557282182503</v>
      </c>
      <c r="AK53">
        <v>0.53932557282182503</v>
      </c>
      <c r="AL53">
        <v>0.55000000000000004</v>
      </c>
      <c r="AM53">
        <v>0.70335181691724302</v>
      </c>
      <c r="AN53">
        <v>0.654750926885172</v>
      </c>
      <c r="AO53">
        <v>0.648675788307715</v>
      </c>
      <c r="AP53">
        <v>0.61222632752145101</v>
      </c>
      <c r="AQ53">
        <v>0.63956306859319401</v>
      </c>
      <c r="AR53">
        <v>0.53932557282182503</v>
      </c>
      <c r="AS53">
        <v>0.62437437437437404</v>
      </c>
      <c r="AT53">
        <v>0.67905104662972304</v>
      </c>
      <c r="AU53">
        <v>0.63652609984043795</v>
      </c>
      <c r="AV53">
        <v>0.65474896949000505</v>
      </c>
      <c r="AW53" t="s">
        <v>203</v>
      </c>
    </row>
    <row r="54" spans="1:49" ht="12.75">
      <c r="A54" t="s">
        <v>201</v>
      </c>
      <c r="B54" t="s">
        <v>29</v>
      </c>
      <c r="C54" t="s">
        <v>315</v>
      </c>
      <c r="D54" t="s">
        <v>203</v>
      </c>
      <c r="E54" t="s">
        <v>203</v>
      </c>
      <c r="F54" t="s">
        <v>223</v>
      </c>
      <c r="G54" t="s">
        <v>793</v>
      </c>
      <c r="H54" t="s">
        <v>203</v>
      </c>
      <c r="I54" t="s">
        <v>203</v>
      </c>
      <c r="J54" t="s">
        <v>203</v>
      </c>
      <c r="K54" t="s">
        <v>203</v>
      </c>
      <c r="L54">
        <v>0.50</v>
      </c>
      <c r="M54">
        <v>0.56636967800557603</v>
      </c>
      <c r="N54">
        <v>0.50</v>
      </c>
      <c r="O54">
        <v>0.58143601389810495</v>
      </c>
      <c r="P54">
        <v>0.47597370243559201</v>
      </c>
      <c r="Q54">
        <v>0.50</v>
      </c>
      <c r="R54">
        <v>0.44584231229690402</v>
      </c>
      <c r="S54">
        <v>0.51615018995212902</v>
      </c>
      <c r="T54">
        <v>0.50</v>
      </c>
      <c r="U54">
        <v>0.54125846320370197</v>
      </c>
      <c r="V54">
        <v>0.51614822449170805</v>
      </c>
      <c r="W54">
        <v>0.50</v>
      </c>
      <c r="X54">
        <v>0.49104004549575597</v>
      </c>
      <c r="Y54">
        <v>0.521171456816652</v>
      </c>
      <c r="Z54">
        <v>0.541260533331132</v>
      </c>
      <c r="AA54">
        <v>0.52619226772725602</v>
      </c>
      <c r="AB54">
        <v>0.52619483225875896</v>
      </c>
      <c r="AC54">
        <v>0.55130367951244896</v>
      </c>
      <c r="AD54">
        <v>0.54125846320370197</v>
      </c>
      <c r="AE54">
        <v>0.50</v>
      </c>
      <c r="AF54">
        <v>0.50</v>
      </c>
      <c r="AG54">
        <v>0.516150087942154</v>
      </c>
      <c r="AH54">
        <v>0.50</v>
      </c>
      <c r="AI54">
        <v>0.53623797076053004</v>
      </c>
      <c r="AJ54">
        <v>0.50</v>
      </c>
      <c r="AK54">
        <v>0.50</v>
      </c>
      <c r="AL54">
        <v>0.50</v>
      </c>
      <c r="AM54">
        <v>0.58143642322455602</v>
      </c>
      <c r="AN54">
        <v>0.54125846320370197</v>
      </c>
      <c r="AO54">
        <v>0.53623703075516505</v>
      </c>
      <c r="AP54">
        <v>0.50</v>
      </c>
      <c r="AQ54">
        <v>0.50</v>
      </c>
      <c r="AR54">
        <v>0.50</v>
      </c>
      <c r="AS54">
        <v>0.51614899075903098</v>
      </c>
      <c r="AT54">
        <v>0.50</v>
      </c>
      <c r="AU54">
        <v>0.52619458090501303</v>
      </c>
      <c r="AV54">
        <v>0.54126052266387803</v>
      </c>
      <c r="AW54" t="s">
        <v>203</v>
      </c>
    </row>
    <row r="55" spans="1:49" ht="12.75">
      <c r="A55" t="s">
        <v>201</v>
      </c>
      <c r="B55" t="s">
        <v>29</v>
      </c>
      <c r="C55" t="s">
        <v>316</v>
      </c>
      <c r="D55" t="s">
        <v>203</v>
      </c>
      <c r="E55" t="s">
        <v>203</v>
      </c>
      <c r="F55" t="s">
        <v>223</v>
      </c>
      <c r="G55" t="s">
        <v>793</v>
      </c>
      <c r="H55" t="s">
        <v>203</v>
      </c>
      <c r="I55" t="s">
        <v>203</v>
      </c>
      <c r="J55" t="s">
        <v>203</v>
      </c>
      <c r="K55" t="s">
        <v>203</v>
      </c>
      <c r="L55">
        <v>0.50</v>
      </c>
      <c r="M55">
        <v>0.59377429313906205</v>
      </c>
      <c r="N55">
        <v>0.50</v>
      </c>
      <c r="O55">
        <v>0.50</v>
      </c>
      <c r="P55">
        <v>0.49900601476646</v>
      </c>
      <c r="Q55">
        <v>0.62009965269107703</v>
      </c>
      <c r="R55">
        <v>0.50</v>
      </c>
      <c r="S55">
        <v>0.54112464981267105</v>
      </c>
      <c r="T55">
        <v>0.62009965269107703</v>
      </c>
      <c r="U55">
        <v>0.50</v>
      </c>
      <c r="V55">
        <v>0.54112589830116897</v>
      </c>
      <c r="W55">
        <v>0.50</v>
      </c>
      <c r="X55">
        <v>0.514799099967856</v>
      </c>
      <c r="Y55">
        <v>0.54638891786056298</v>
      </c>
      <c r="Z55">
        <v>0.50</v>
      </c>
      <c r="AA55">
        <v>0.55165505592483999</v>
      </c>
      <c r="AB55">
        <v>0.55165363316483695</v>
      </c>
      <c r="AC55">
        <v>0.50</v>
      </c>
      <c r="AD55">
        <v>0.50</v>
      </c>
      <c r="AE55">
        <v>0.50</v>
      </c>
      <c r="AF55">
        <v>0.50</v>
      </c>
      <c r="AG55">
        <v>0.54112535796091599</v>
      </c>
      <c r="AH55">
        <v>0.50</v>
      </c>
      <c r="AI55">
        <v>0.56218475555346803</v>
      </c>
      <c r="AJ55">
        <v>0.50</v>
      </c>
      <c r="AK55">
        <v>0.50</v>
      </c>
      <c r="AL55">
        <v>0.50</v>
      </c>
      <c r="AM55">
        <v>0.60957013258897397</v>
      </c>
      <c r="AN55">
        <v>0.50</v>
      </c>
      <c r="AO55">
        <v>0.56218504357187304</v>
      </c>
      <c r="AP55">
        <v>0.50</v>
      </c>
      <c r="AQ55">
        <v>0.55428700605841397</v>
      </c>
      <c r="AR55">
        <v>0.50</v>
      </c>
      <c r="AS55">
        <v>0.50</v>
      </c>
      <c r="AT55">
        <v>0.50</v>
      </c>
      <c r="AU55">
        <v>0.551654904555828</v>
      </c>
      <c r="AV55">
        <v>0.56744765243058803</v>
      </c>
      <c r="AW55" t="s">
        <v>203</v>
      </c>
    </row>
    <row r="56" spans="1:49" ht="12.75">
      <c r="A56" t="s">
        <v>201</v>
      </c>
      <c r="B56" t="s">
        <v>29</v>
      </c>
      <c r="C56" t="s">
        <v>317</v>
      </c>
      <c r="D56" t="s">
        <v>203</v>
      </c>
      <c r="E56" t="s">
        <v>203</v>
      </c>
      <c r="F56" t="s">
        <v>223</v>
      </c>
      <c r="G56" t="s">
        <v>793</v>
      </c>
      <c r="H56" t="s">
        <v>203</v>
      </c>
      <c r="I56" t="s">
        <v>203</v>
      </c>
      <c r="J56" t="s">
        <v>203</v>
      </c>
      <c r="K56" t="s">
        <v>203</v>
      </c>
      <c r="L56">
        <v>0.94780646484775699</v>
      </c>
      <c r="M56">
        <v>1.0084980225972699</v>
      </c>
      <c r="N56">
        <v>0.94780646484775699</v>
      </c>
      <c r="O56">
        <v>0.96534385944249501</v>
      </c>
      <c r="P56">
        <v>0.77963146310130704</v>
      </c>
      <c r="Q56">
        <v>1.1633871819913899</v>
      </c>
      <c r="R56">
        <v>0.93835400157127402</v>
      </c>
      <c r="S56">
        <v>0.91120772186594301</v>
      </c>
      <c r="T56">
        <v>1.1633871819913899</v>
      </c>
      <c r="U56">
        <v>1.1216918730488401</v>
      </c>
      <c r="V56">
        <v>0.82279820773840795</v>
      </c>
      <c r="W56">
        <v>0.94780646484775699</v>
      </c>
      <c r="X56">
        <v>1.0240202398146601</v>
      </c>
      <c r="Y56">
        <v>1.06478833879765</v>
      </c>
      <c r="Z56">
        <v>1.14318658841459</v>
      </c>
      <c r="AA56">
        <v>0.85089391609927501</v>
      </c>
      <c r="AB56">
        <v>0.98553260007627197</v>
      </c>
      <c r="AC56">
        <v>0.99654021420485905</v>
      </c>
      <c r="AD56">
        <v>1.1216918730488401</v>
      </c>
      <c r="AE56">
        <v>1.1351203915566801</v>
      </c>
      <c r="AF56">
        <v>0.94780646484775699</v>
      </c>
      <c r="AG56">
        <v>0.93222467860648395</v>
      </c>
      <c r="AH56">
        <v>1.2207389454201201</v>
      </c>
      <c r="AI56">
        <v>0.933743068533049</v>
      </c>
      <c r="AJ56">
        <v>0.94780646484775699</v>
      </c>
      <c r="AK56">
        <v>0.94780646484775699</v>
      </c>
      <c r="AL56">
        <v>0.77025043487448097</v>
      </c>
      <c r="AM56">
        <v>1.27962430748476</v>
      </c>
      <c r="AN56">
        <v>1.1216918730488401</v>
      </c>
      <c r="AO56">
        <v>1.1329140590478</v>
      </c>
      <c r="AP56">
        <v>0.97830240105151101</v>
      </c>
      <c r="AQ56">
        <v>0.87596127194701201</v>
      </c>
      <c r="AR56">
        <v>0.94780646484775699</v>
      </c>
      <c r="AS56">
        <v>1.0306215507272301</v>
      </c>
      <c r="AT56">
        <v>0.97654106043505795</v>
      </c>
      <c r="AU56">
        <v>0.94538192091474005</v>
      </c>
      <c r="AV56">
        <v>1.2293914992528601</v>
      </c>
      <c r="AW56" t="s">
        <v>203</v>
      </c>
    </row>
    <row r="57" spans="1:49" ht="12.75">
      <c r="A57" t="s">
        <v>201</v>
      </c>
      <c r="B57" t="s">
        <v>29</v>
      </c>
      <c r="C57" t="s">
        <v>318</v>
      </c>
      <c r="D57" t="s">
        <v>203</v>
      </c>
      <c r="E57" t="s">
        <v>203</v>
      </c>
      <c r="F57" t="s">
        <v>223</v>
      </c>
      <c r="G57" t="s">
        <v>793</v>
      </c>
      <c r="H57" t="s">
        <v>203</v>
      </c>
      <c r="I57" t="s">
        <v>203</v>
      </c>
      <c r="J57" t="s">
        <v>203</v>
      </c>
      <c r="K57" t="s">
        <v>203</v>
      </c>
      <c r="L57">
        <v>0.57641306417083105</v>
      </c>
      <c r="M57">
        <v>0.73526349090490795</v>
      </c>
      <c r="N57">
        <v>0.57641306417083105</v>
      </c>
      <c r="O57">
        <v>0.75328055047085596</v>
      </c>
      <c r="P57">
        <v>0.61416110186241701</v>
      </c>
      <c r="Q57">
        <v>0.76672100407458499</v>
      </c>
      <c r="R57">
        <v>0.57528010617490899</v>
      </c>
      <c r="S57">
        <v>0.66770115516495199</v>
      </c>
      <c r="T57">
        <v>0.76672100407458499</v>
      </c>
      <c r="U57">
        <v>0.70268568510503304</v>
      </c>
      <c r="V57">
        <v>0.66600041566987001</v>
      </c>
      <c r="W57">
        <v>0.57641306417083105</v>
      </c>
      <c r="X57">
        <v>0.63745380705538102</v>
      </c>
      <c r="Y57">
        <v>0.67248336931142305</v>
      </c>
      <c r="Z57">
        <v>0.70070908267201504</v>
      </c>
      <c r="AA57">
        <v>0.68052803939986295</v>
      </c>
      <c r="AB57">
        <v>0.68105292098157999</v>
      </c>
      <c r="AC57">
        <v>0.71459706117723198</v>
      </c>
      <c r="AD57">
        <v>0.70268568510503304</v>
      </c>
      <c r="AE57">
        <v>0.69971846218945699</v>
      </c>
      <c r="AF57">
        <v>0.57641306417083105</v>
      </c>
      <c r="AG57">
        <v>0.66600186088185098</v>
      </c>
      <c r="AH57">
        <v>0.70253156128482397</v>
      </c>
      <c r="AI57">
        <v>0.69192012891015597</v>
      </c>
      <c r="AJ57">
        <v>0.57641306417083105</v>
      </c>
      <c r="AK57">
        <v>0.57641306417083105</v>
      </c>
      <c r="AL57">
        <v>0.60</v>
      </c>
      <c r="AM57">
        <v>0.75401818371825702</v>
      </c>
      <c r="AN57">
        <v>0.70268568510503304</v>
      </c>
      <c r="AO57">
        <v>0.69549067389373498</v>
      </c>
      <c r="AP57">
        <v>0.65854470485857597</v>
      </c>
      <c r="AQ57">
        <v>0.68290054101230802</v>
      </c>
      <c r="AR57">
        <v>0.57641306417083105</v>
      </c>
      <c r="AS57">
        <v>0.66600056433669597</v>
      </c>
      <c r="AT57">
        <v>0.72432380169684096</v>
      </c>
      <c r="AU57">
        <v>0.68076997618728197</v>
      </c>
      <c r="AV57">
        <v>0.70187248613979802</v>
      </c>
      <c r="AW57" t="s">
        <v>203</v>
      </c>
    </row>
    <row r="58" spans="1:49" ht="12.75">
      <c r="A58" t="s">
        <v>201</v>
      </c>
      <c r="B58" t="s">
        <v>29</v>
      </c>
      <c r="C58" t="s">
        <v>319</v>
      </c>
      <c r="D58" t="s">
        <v>203</v>
      </c>
      <c r="E58" t="s">
        <v>203</v>
      </c>
      <c r="F58" t="s">
        <v>223</v>
      </c>
      <c r="G58" t="s">
        <v>793</v>
      </c>
      <c r="H58" t="s">
        <v>203</v>
      </c>
      <c r="I58" t="s">
        <v>203</v>
      </c>
      <c r="J58" t="s">
        <v>203</v>
      </c>
      <c r="K58" t="s">
        <v>203</v>
      </c>
      <c r="L58">
        <v>0.70</v>
      </c>
      <c r="M58">
        <v>0.82650058693100303</v>
      </c>
      <c r="N58">
        <v>0.70</v>
      </c>
      <c r="O58">
        <v>0.70</v>
      </c>
      <c r="P58">
        <v>0.69458590928567099</v>
      </c>
      <c r="Q58">
        <v>0.70</v>
      </c>
      <c r="R58">
        <v>0.70</v>
      </c>
      <c r="S58">
        <v>0.70</v>
      </c>
      <c r="T58">
        <v>0.70</v>
      </c>
      <c r="U58">
        <v>0.70</v>
      </c>
      <c r="V58">
        <v>0.70</v>
      </c>
      <c r="W58">
        <v>0.70</v>
      </c>
      <c r="X58">
        <v>0.71657055219524401</v>
      </c>
      <c r="Y58">
        <v>0.70</v>
      </c>
      <c r="Z58">
        <v>0.78985650018060605</v>
      </c>
      <c r="AA58">
        <v>0.76787130894667199</v>
      </c>
      <c r="AB58">
        <v>0.76787111822687804</v>
      </c>
      <c r="AC58">
        <v>0.70</v>
      </c>
      <c r="AD58">
        <v>0.70</v>
      </c>
      <c r="AE58">
        <v>0.78985746341937901</v>
      </c>
      <c r="AF58">
        <v>0.70</v>
      </c>
      <c r="AG58">
        <v>0.70</v>
      </c>
      <c r="AH58">
        <v>0.70</v>
      </c>
      <c r="AI58">
        <v>0.70</v>
      </c>
      <c r="AJ58">
        <v>0.70</v>
      </c>
      <c r="AK58">
        <v>0.70</v>
      </c>
      <c r="AL58">
        <v>0.70</v>
      </c>
      <c r="AM58">
        <v>0.70</v>
      </c>
      <c r="AN58">
        <v>0.70</v>
      </c>
      <c r="AO58">
        <v>0.78252893124574496</v>
      </c>
      <c r="AP58">
        <v>0.73855696202531596</v>
      </c>
      <c r="AQ58">
        <v>0.77153597036357202</v>
      </c>
      <c r="AR58">
        <v>0.70</v>
      </c>
      <c r="AS58">
        <v>0.70</v>
      </c>
      <c r="AT58">
        <v>0.81917134618915699</v>
      </c>
      <c r="AU58">
        <v>0.76787100262494701</v>
      </c>
      <c r="AV58">
        <v>0.78985659898477201</v>
      </c>
      <c r="AW58" t="s">
        <v>203</v>
      </c>
    </row>
    <row r="59" spans="1:49" ht="12.75">
      <c r="A59" t="s">
        <v>201</v>
      </c>
      <c r="B59" t="s">
        <v>29</v>
      </c>
      <c r="C59" t="s">
        <v>320</v>
      </c>
      <c r="D59" t="s">
        <v>203</v>
      </c>
      <c r="E59" t="s">
        <v>203</v>
      </c>
      <c r="F59" t="s">
        <v>223</v>
      </c>
      <c r="G59" t="s">
        <v>793</v>
      </c>
      <c r="H59" t="s">
        <v>203</v>
      </c>
      <c r="I59" t="s">
        <v>203</v>
      </c>
      <c r="J59" t="s">
        <v>203</v>
      </c>
      <c r="K59" t="s">
        <v>203</v>
      </c>
      <c r="L59">
        <v>0.80</v>
      </c>
      <c r="M59">
        <v>0.869999697421875</v>
      </c>
      <c r="N59">
        <v>0.80</v>
      </c>
      <c r="O59">
        <v>0.893142811116307</v>
      </c>
      <c r="P59">
        <v>0.73114327409514701</v>
      </c>
      <c r="Q59">
        <v>0.90856973763489901</v>
      </c>
      <c r="R59">
        <v>0.80</v>
      </c>
      <c r="S59">
        <v>0.79285818087871995</v>
      </c>
      <c r="T59">
        <v>0.90856973763489901</v>
      </c>
      <c r="U59">
        <v>0.83142781689006795</v>
      </c>
      <c r="V59">
        <v>0.79285670877284398</v>
      </c>
      <c r="W59">
        <v>0.80</v>
      </c>
      <c r="X59">
        <v>0.80</v>
      </c>
      <c r="Y59">
        <v>0.80056939501779301</v>
      </c>
      <c r="Z59">
        <v>0.83142591991090897</v>
      </c>
      <c r="AA59">
        <v>0.80828658084167504</v>
      </c>
      <c r="AB59">
        <v>0.80828487436431096</v>
      </c>
      <c r="AC59">
        <v>0.80</v>
      </c>
      <c r="AD59">
        <v>0.83142781689006795</v>
      </c>
      <c r="AE59">
        <v>0.83142793464554798</v>
      </c>
      <c r="AF59">
        <v>0.80</v>
      </c>
      <c r="AG59">
        <v>0.79285459180531803</v>
      </c>
      <c r="AH59">
        <v>0.83142964572192501</v>
      </c>
      <c r="AI59">
        <v>0.82371178025565905</v>
      </c>
      <c r="AJ59">
        <v>0.80</v>
      </c>
      <c r="AK59">
        <v>0.80</v>
      </c>
      <c r="AL59">
        <v>0.80</v>
      </c>
      <c r="AM59">
        <v>0.89314316964932305</v>
      </c>
      <c r="AN59">
        <v>0.83142781689006795</v>
      </c>
      <c r="AO59">
        <v>0.82371353985987195</v>
      </c>
      <c r="AP59">
        <v>0.77743071353682403</v>
      </c>
      <c r="AQ59">
        <v>0.81214265249940798</v>
      </c>
      <c r="AR59">
        <v>0.80</v>
      </c>
      <c r="AS59">
        <v>0.79285469678245502</v>
      </c>
      <c r="AT59">
        <v>0.86228726595308003</v>
      </c>
      <c r="AU59">
        <v>0.80828694242830001</v>
      </c>
      <c r="AV59">
        <v>0.83142879399815395</v>
      </c>
      <c r="AW59" t="s">
        <v>203</v>
      </c>
    </row>
    <row r="60" spans="1:49" ht="12.75">
      <c r="A60" t="s">
        <v>201</v>
      </c>
      <c r="B60" t="s">
        <v>29</v>
      </c>
      <c r="C60" t="s">
        <v>321</v>
      </c>
      <c r="D60" t="s">
        <v>203</v>
      </c>
      <c r="E60" t="s">
        <v>203</v>
      </c>
      <c r="F60" t="s">
        <v>223</v>
      </c>
      <c r="G60" t="s">
        <v>793</v>
      </c>
      <c r="H60" t="s">
        <v>203</v>
      </c>
      <c r="I60" t="s">
        <v>203</v>
      </c>
      <c r="J60" t="s">
        <v>203</v>
      </c>
      <c r="K60" t="s">
        <v>203</v>
      </c>
      <c r="L60">
        <v>0.66666666666666696</v>
      </c>
      <c r="M60">
        <v>0.66666666666666696</v>
      </c>
      <c r="N60">
        <v>0.66666666666666696</v>
      </c>
      <c r="O60">
        <v>0.66666666666666696</v>
      </c>
      <c r="P60">
        <v>0.66666666666666696</v>
      </c>
      <c r="Q60">
        <v>0.66666666666666696</v>
      </c>
      <c r="R60">
        <v>0.66666666666666696</v>
      </c>
      <c r="S60">
        <v>0.66666666666666696</v>
      </c>
      <c r="T60">
        <v>0.66666666666666696</v>
      </c>
      <c r="U60">
        <v>0.66666666666666696</v>
      </c>
      <c r="V60">
        <v>0.66666666666666696</v>
      </c>
      <c r="W60">
        <v>0.66666666666666696</v>
      </c>
      <c r="X60">
        <v>0.66666666666666696</v>
      </c>
      <c r="Y60">
        <v>0.66666666666666696</v>
      </c>
      <c r="Z60">
        <v>0.66666666666666696</v>
      </c>
      <c r="AA60">
        <v>0.66666666666666696</v>
      </c>
      <c r="AB60">
        <v>0.66666666666666696</v>
      </c>
      <c r="AC60">
        <v>0.66666666666666696</v>
      </c>
      <c r="AD60">
        <v>0.66666666666666696</v>
      </c>
      <c r="AE60">
        <v>0.67221013066817603</v>
      </c>
      <c r="AF60">
        <v>0.66666666666666696</v>
      </c>
      <c r="AG60">
        <v>0.66666666666666696</v>
      </c>
      <c r="AH60">
        <v>0.672208911424379</v>
      </c>
      <c r="AI60">
        <v>0.66666666666666696</v>
      </c>
      <c r="AJ60">
        <v>0.66666666666666696</v>
      </c>
      <c r="AK60">
        <v>0.66666666666666696</v>
      </c>
      <c r="AL60">
        <v>0.66666666666666696</v>
      </c>
      <c r="AM60">
        <v>0.66666666666666696</v>
      </c>
      <c r="AN60">
        <v>0.66666666666666696</v>
      </c>
      <c r="AO60">
        <v>0.66666666666666696</v>
      </c>
      <c r="AP60">
        <v>0.66666666666666696</v>
      </c>
      <c r="AQ60">
        <v>0.66666666666666696</v>
      </c>
      <c r="AR60">
        <v>0.66666666666666696</v>
      </c>
      <c r="AS60">
        <v>0.66666666666666696</v>
      </c>
      <c r="AT60">
        <v>0.69715865432799895</v>
      </c>
      <c r="AU60">
        <v>0.66666666666666696</v>
      </c>
      <c r="AV60">
        <v>0.66666666666666696</v>
      </c>
      <c r="AW60" t="s">
        <v>203</v>
      </c>
    </row>
    <row r="61" spans="1:49" ht="12.75">
      <c r="A61" t="s">
        <v>201</v>
      </c>
      <c r="B61" t="s">
        <v>29</v>
      </c>
      <c r="C61" t="s">
        <v>322</v>
      </c>
      <c r="D61" t="s">
        <v>203</v>
      </c>
      <c r="E61" t="s">
        <v>203</v>
      </c>
      <c r="F61" t="s">
        <v>223</v>
      </c>
      <c r="G61" t="s">
        <v>793</v>
      </c>
      <c r="H61" t="s">
        <v>203</v>
      </c>
      <c r="I61" t="s">
        <v>203</v>
      </c>
      <c r="J61" t="s">
        <v>203</v>
      </c>
      <c r="K61" t="s">
        <v>203</v>
      </c>
      <c r="L61">
        <v>0.53932557282182503</v>
      </c>
      <c r="M61">
        <v>0.68512373492146095</v>
      </c>
      <c r="N61">
        <v>0.53932557282182503</v>
      </c>
      <c r="O61">
        <v>0.70334956709312502</v>
      </c>
      <c r="P61">
        <v>0.57577546106916599</v>
      </c>
      <c r="Q61">
        <v>0.71550092501440099</v>
      </c>
      <c r="R61">
        <v>0.53932453821773096</v>
      </c>
      <c r="S61">
        <v>0.62437476878480902</v>
      </c>
      <c r="T61">
        <v>0.71550092501440099</v>
      </c>
      <c r="U61">
        <v>0.654750926885172</v>
      </c>
      <c r="V61">
        <v>0.62437371424779398</v>
      </c>
      <c r="W61">
        <v>0.53932557282182503</v>
      </c>
      <c r="X61">
        <v>0.59400073574969003</v>
      </c>
      <c r="Y61">
        <v>0.63045121029666296</v>
      </c>
      <c r="Z61">
        <v>0.65475074533242195</v>
      </c>
      <c r="AA61">
        <v>0.63652508929559304</v>
      </c>
      <c r="AB61">
        <v>0.55000000000000004</v>
      </c>
      <c r="AC61">
        <v>0.66689897171121104</v>
      </c>
      <c r="AD61">
        <v>0.654750926885172</v>
      </c>
      <c r="AE61">
        <v>0.65474796557578596</v>
      </c>
      <c r="AF61">
        <v>0.53932557282182503</v>
      </c>
      <c r="AG61">
        <v>0.62437638525085604</v>
      </c>
      <c r="AH61">
        <v>0.65474906536279298</v>
      </c>
      <c r="AI61">
        <v>0.64867556959769002</v>
      </c>
      <c r="AJ61">
        <v>0.53932557282182503</v>
      </c>
      <c r="AK61">
        <v>0.53932557282182503</v>
      </c>
      <c r="AL61">
        <v>0.55000000000000004</v>
      </c>
      <c r="AM61">
        <v>0.70335181691724302</v>
      </c>
      <c r="AN61">
        <v>0.654750926885172</v>
      </c>
      <c r="AO61">
        <v>0.648675788307715</v>
      </c>
      <c r="AP61">
        <v>0.61222632752145101</v>
      </c>
      <c r="AQ61">
        <v>0.63956306859319401</v>
      </c>
      <c r="AR61">
        <v>0.53932557282182503</v>
      </c>
      <c r="AS61">
        <v>0.62437437437437404</v>
      </c>
      <c r="AT61">
        <v>0.67905104662972304</v>
      </c>
      <c r="AU61">
        <v>0.63652609984043795</v>
      </c>
      <c r="AV61">
        <v>0.65474896949000505</v>
      </c>
      <c r="AW61" t="s">
        <v>203</v>
      </c>
    </row>
    <row r="62" spans="1:49" ht="12.75">
      <c r="A62" t="s">
        <v>201</v>
      </c>
      <c r="B62" t="s">
        <v>29</v>
      </c>
      <c r="C62" t="s">
        <v>323</v>
      </c>
      <c r="D62" t="s">
        <v>203</v>
      </c>
      <c r="E62" t="s">
        <v>203</v>
      </c>
      <c r="F62" t="s">
        <v>223</v>
      </c>
      <c r="G62" t="s">
        <v>793</v>
      </c>
      <c r="H62" t="s">
        <v>203</v>
      </c>
      <c r="I62" t="s">
        <v>203</v>
      </c>
      <c r="J62" t="s">
        <v>203</v>
      </c>
      <c r="K62" t="s">
        <v>203</v>
      </c>
      <c r="L62">
        <v>0.50</v>
      </c>
      <c r="M62">
        <v>0.56636967800557603</v>
      </c>
      <c r="N62">
        <v>0.50</v>
      </c>
      <c r="O62">
        <v>0.58143601389810495</v>
      </c>
      <c r="P62">
        <v>0.47597370243559201</v>
      </c>
      <c r="Q62">
        <v>0.50</v>
      </c>
      <c r="R62">
        <v>0.44584231229690402</v>
      </c>
      <c r="S62">
        <v>0.51615018995212902</v>
      </c>
      <c r="T62">
        <v>0.50</v>
      </c>
      <c r="U62">
        <v>0.54125846320370197</v>
      </c>
      <c r="V62">
        <v>0.51614822449170805</v>
      </c>
      <c r="W62">
        <v>0.50</v>
      </c>
      <c r="X62">
        <v>0.49104004549575597</v>
      </c>
      <c r="Y62">
        <v>0.521171456816652</v>
      </c>
      <c r="Z62">
        <v>0.541260533331132</v>
      </c>
      <c r="AA62">
        <v>0.52619226772725602</v>
      </c>
      <c r="AB62">
        <v>0.52619483225875896</v>
      </c>
      <c r="AC62">
        <v>0.55130367951244896</v>
      </c>
      <c r="AD62">
        <v>0.54125846320370197</v>
      </c>
      <c r="AE62">
        <v>0.50</v>
      </c>
      <c r="AF62">
        <v>0.50</v>
      </c>
      <c r="AG62">
        <v>0.516150087942154</v>
      </c>
      <c r="AH62">
        <v>0.50</v>
      </c>
      <c r="AI62">
        <v>0.53623797076053004</v>
      </c>
      <c r="AJ62">
        <v>0.50</v>
      </c>
      <c r="AK62">
        <v>0.50</v>
      </c>
      <c r="AL62">
        <v>0.50</v>
      </c>
      <c r="AM62">
        <v>0.58143642322455602</v>
      </c>
      <c r="AN62">
        <v>0.54125846320370197</v>
      </c>
      <c r="AO62">
        <v>0.53623703075516505</v>
      </c>
      <c r="AP62">
        <v>0.50</v>
      </c>
      <c r="AQ62">
        <v>0.50</v>
      </c>
      <c r="AR62">
        <v>0.50</v>
      </c>
      <c r="AS62">
        <v>0.51614899075903098</v>
      </c>
      <c r="AT62">
        <v>0.50</v>
      </c>
      <c r="AU62">
        <v>0.52619458090501303</v>
      </c>
      <c r="AV62">
        <v>0.54126052266387803</v>
      </c>
      <c r="AW62" t="s">
        <v>203</v>
      </c>
    </row>
    <row r="63" spans="1:49" ht="12.75">
      <c r="A63" t="s">
        <v>201</v>
      </c>
      <c r="B63" t="s">
        <v>29</v>
      </c>
      <c r="C63" t="s">
        <v>324</v>
      </c>
      <c r="D63" t="s">
        <v>203</v>
      </c>
      <c r="E63" t="s">
        <v>203</v>
      </c>
      <c r="F63" t="s">
        <v>223</v>
      </c>
      <c r="G63" t="s">
        <v>793</v>
      </c>
      <c r="H63" t="s">
        <v>203</v>
      </c>
      <c r="I63" t="s">
        <v>203</v>
      </c>
      <c r="J63" t="s">
        <v>203</v>
      </c>
      <c r="K63" t="s">
        <v>203</v>
      </c>
      <c r="L63">
        <v>0.50</v>
      </c>
      <c r="M63">
        <v>0.59377429313906205</v>
      </c>
      <c r="N63">
        <v>0.50</v>
      </c>
      <c r="O63">
        <v>0.50</v>
      </c>
      <c r="P63">
        <v>0.49900601476646</v>
      </c>
      <c r="Q63">
        <v>0.62009965269107703</v>
      </c>
      <c r="R63">
        <v>0.50</v>
      </c>
      <c r="S63">
        <v>0.54112464981267105</v>
      </c>
      <c r="T63">
        <v>0.62009965269107703</v>
      </c>
      <c r="U63">
        <v>0.50</v>
      </c>
      <c r="V63">
        <v>0.54112589830116897</v>
      </c>
      <c r="W63">
        <v>0.50</v>
      </c>
      <c r="X63">
        <v>0.514799099967856</v>
      </c>
      <c r="Y63">
        <v>0.54638891786056298</v>
      </c>
      <c r="Z63">
        <v>0.50</v>
      </c>
      <c r="AA63">
        <v>0.55165505592483999</v>
      </c>
      <c r="AB63">
        <v>0.55165363316483695</v>
      </c>
      <c r="AC63">
        <v>0.50</v>
      </c>
      <c r="AD63">
        <v>0.50</v>
      </c>
      <c r="AE63">
        <v>0.50</v>
      </c>
      <c r="AF63">
        <v>0.50</v>
      </c>
      <c r="AG63">
        <v>0.54112535796091599</v>
      </c>
      <c r="AH63">
        <v>0.50</v>
      </c>
      <c r="AI63">
        <v>0.56218475555346803</v>
      </c>
      <c r="AJ63">
        <v>0.50</v>
      </c>
      <c r="AK63">
        <v>0.50</v>
      </c>
      <c r="AL63">
        <v>0.50</v>
      </c>
      <c r="AM63">
        <v>0.60957013258897397</v>
      </c>
      <c r="AN63">
        <v>0.50</v>
      </c>
      <c r="AO63">
        <v>0.56218504357187304</v>
      </c>
      <c r="AP63">
        <v>0.50</v>
      </c>
      <c r="AQ63">
        <v>0.55428700605841397</v>
      </c>
      <c r="AR63">
        <v>0.50</v>
      </c>
      <c r="AS63">
        <v>0.50</v>
      </c>
      <c r="AT63">
        <v>0.50</v>
      </c>
      <c r="AU63">
        <v>0.551654904555828</v>
      </c>
      <c r="AV63">
        <v>0.56744765243058803</v>
      </c>
      <c r="AW63" t="s">
        <v>203</v>
      </c>
    </row>
    <row r="64" spans="1:49" ht="12.75">
      <c r="A64" t="s">
        <v>201</v>
      </c>
      <c r="B64" t="s">
        <v>29</v>
      </c>
      <c r="C64" t="s">
        <v>325</v>
      </c>
      <c r="D64" t="s">
        <v>203</v>
      </c>
      <c r="E64" t="s">
        <v>203</v>
      </c>
      <c r="F64" t="s">
        <v>223</v>
      </c>
      <c r="G64" t="s">
        <v>793</v>
      </c>
      <c r="H64" t="s">
        <v>203</v>
      </c>
      <c r="I64" t="s">
        <v>203</v>
      </c>
      <c r="J64" t="s">
        <v>203</v>
      </c>
      <c r="K64" t="s">
        <v>203</v>
      </c>
      <c r="L64">
        <v>0.94780646484775699</v>
      </c>
      <c r="M64">
        <v>1.0084980225972699</v>
      </c>
      <c r="N64">
        <v>0.94780646484775699</v>
      </c>
      <c r="O64">
        <v>0.96534385944249501</v>
      </c>
      <c r="P64">
        <v>0.77963146310130704</v>
      </c>
      <c r="Q64">
        <v>1.1633871819913899</v>
      </c>
      <c r="R64">
        <v>0.93835400157127402</v>
      </c>
      <c r="S64">
        <v>0.91120772186594301</v>
      </c>
      <c r="T64">
        <v>1.1633871819913899</v>
      </c>
      <c r="U64">
        <v>1.1216918730488401</v>
      </c>
      <c r="V64">
        <v>0.82279820773840795</v>
      </c>
      <c r="W64">
        <v>0.94780646484775699</v>
      </c>
      <c r="X64">
        <v>1.0240202398146601</v>
      </c>
      <c r="Y64">
        <v>1.06478833879765</v>
      </c>
      <c r="Z64">
        <v>1.14318658841459</v>
      </c>
      <c r="AA64">
        <v>0.85089391609927501</v>
      </c>
      <c r="AB64">
        <v>0.98553260007627197</v>
      </c>
      <c r="AC64">
        <v>0.99654021420485905</v>
      </c>
      <c r="AD64">
        <v>1.1216918730488401</v>
      </c>
      <c r="AE64">
        <v>1.1351203915566801</v>
      </c>
      <c r="AF64">
        <v>0.94780646484775699</v>
      </c>
      <c r="AG64">
        <v>0.93222467860648395</v>
      </c>
      <c r="AH64">
        <v>1.2207389454201201</v>
      </c>
      <c r="AI64">
        <v>0.933743068533049</v>
      </c>
      <c r="AJ64">
        <v>0.94780646484775699</v>
      </c>
      <c r="AK64">
        <v>0.94780646484775699</v>
      </c>
      <c r="AL64">
        <v>0.77025043487448097</v>
      </c>
      <c r="AM64">
        <v>1.27962430748476</v>
      </c>
      <c r="AN64">
        <v>1.1216918730488401</v>
      </c>
      <c r="AO64">
        <v>1.1329140590478</v>
      </c>
      <c r="AP64">
        <v>0.97830240105151101</v>
      </c>
      <c r="AQ64">
        <v>0.87596127194701201</v>
      </c>
      <c r="AR64">
        <v>0.94780646484775699</v>
      </c>
      <c r="AS64">
        <v>1.0306215507272301</v>
      </c>
      <c r="AT64">
        <v>0.97654106043505795</v>
      </c>
      <c r="AU64">
        <v>0.94538192091474005</v>
      </c>
      <c r="AV64">
        <v>1.2293914992528601</v>
      </c>
      <c r="AW64" t="s">
        <v>203</v>
      </c>
    </row>
    <row r="65" spans="1:49" ht="12.75">
      <c r="A65" t="s">
        <v>201</v>
      </c>
      <c r="B65" t="s">
        <v>29</v>
      </c>
      <c r="C65" t="s">
        <v>326</v>
      </c>
      <c r="D65" t="s">
        <v>203</v>
      </c>
      <c r="E65" t="s">
        <v>203</v>
      </c>
      <c r="F65" t="s">
        <v>223</v>
      </c>
      <c r="G65" t="s">
        <v>793</v>
      </c>
      <c r="H65" t="s">
        <v>203</v>
      </c>
      <c r="I65" t="s">
        <v>203</v>
      </c>
      <c r="J65" t="s">
        <v>203</v>
      </c>
      <c r="K65" t="s">
        <v>203</v>
      </c>
      <c r="L65">
        <v>0.57641306417083105</v>
      </c>
      <c r="M65">
        <v>0.73526349090490795</v>
      </c>
      <c r="N65">
        <v>0.57641306417083105</v>
      </c>
      <c r="O65">
        <v>0.75328055047085596</v>
      </c>
      <c r="P65">
        <v>0.61416110186241701</v>
      </c>
      <c r="Q65">
        <v>0.76672100407458499</v>
      </c>
      <c r="R65">
        <v>0.57528010617490899</v>
      </c>
      <c r="S65">
        <v>0.66770115516495199</v>
      </c>
      <c r="T65">
        <v>0.76672100407458499</v>
      </c>
      <c r="U65">
        <v>0.70268568510503304</v>
      </c>
      <c r="V65">
        <v>0.66600041566987001</v>
      </c>
      <c r="W65">
        <v>0.57641306417083105</v>
      </c>
      <c r="X65">
        <v>0.63745380705538102</v>
      </c>
      <c r="Y65">
        <v>0.67248336931142305</v>
      </c>
      <c r="Z65">
        <v>0.70070908267201504</v>
      </c>
      <c r="AA65">
        <v>0.68052803939986295</v>
      </c>
      <c r="AB65">
        <v>0.68105292098157999</v>
      </c>
      <c r="AC65">
        <v>0.71459706117723198</v>
      </c>
      <c r="AD65">
        <v>0.70268568510503304</v>
      </c>
      <c r="AE65">
        <v>0.69971846218945699</v>
      </c>
      <c r="AF65">
        <v>0.57641306417083105</v>
      </c>
      <c r="AG65">
        <v>0.66600186088185098</v>
      </c>
      <c r="AH65">
        <v>0.70253156128482397</v>
      </c>
      <c r="AI65">
        <v>0.69192012891015597</v>
      </c>
      <c r="AJ65">
        <v>0.57641306417083105</v>
      </c>
      <c r="AK65">
        <v>0.57641306417083105</v>
      </c>
      <c r="AL65">
        <v>0.60</v>
      </c>
      <c r="AM65">
        <v>0.75401818371825702</v>
      </c>
      <c r="AN65">
        <v>0.70268568510503304</v>
      </c>
      <c r="AO65">
        <v>0.69549067389373498</v>
      </c>
      <c r="AP65">
        <v>0.65854470485857597</v>
      </c>
      <c r="AQ65">
        <v>0.68290054101230802</v>
      </c>
      <c r="AR65">
        <v>0.57641306417083105</v>
      </c>
      <c r="AS65">
        <v>0.66600056433669597</v>
      </c>
      <c r="AT65">
        <v>0.72432380169684096</v>
      </c>
      <c r="AU65">
        <v>0.68076997618728197</v>
      </c>
      <c r="AV65">
        <v>0.70187248613979802</v>
      </c>
      <c r="AW65" t="s">
        <v>203</v>
      </c>
    </row>
    <row r="66" spans="1:49" ht="12.75">
      <c r="A66" t="s">
        <v>201</v>
      </c>
      <c r="B66" t="s">
        <v>29</v>
      </c>
      <c r="C66" t="s">
        <v>327</v>
      </c>
      <c r="D66" t="s">
        <v>203</v>
      </c>
      <c r="E66" t="s">
        <v>203</v>
      </c>
      <c r="F66" t="s">
        <v>223</v>
      </c>
      <c r="G66" t="s">
        <v>793</v>
      </c>
      <c r="H66" t="s">
        <v>203</v>
      </c>
      <c r="I66" t="s">
        <v>203</v>
      </c>
      <c r="J66" t="s">
        <v>203</v>
      </c>
      <c r="K66" t="s">
        <v>203</v>
      </c>
      <c r="L66">
        <v>0.70</v>
      </c>
      <c r="M66">
        <v>0.82650058693100303</v>
      </c>
      <c r="N66">
        <v>0.70</v>
      </c>
      <c r="O66">
        <v>0.70</v>
      </c>
      <c r="P66">
        <v>0.69458590928567099</v>
      </c>
      <c r="Q66">
        <v>0.70</v>
      </c>
      <c r="R66">
        <v>0.70</v>
      </c>
      <c r="S66">
        <v>0.70</v>
      </c>
      <c r="T66">
        <v>0.70</v>
      </c>
      <c r="U66">
        <v>0.70</v>
      </c>
      <c r="V66">
        <v>0.70</v>
      </c>
      <c r="W66">
        <v>0.70</v>
      </c>
      <c r="X66">
        <v>0.71657055219524401</v>
      </c>
      <c r="Y66">
        <v>0.70</v>
      </c>
      <c r="Z66">
        <v>0.78985650018060605</v>
      </c>
      <c r="AA66">
        <v>0.76787130894667199</v>
      </c>
      <c r="AB66">
        <v>0.76787111822687804</v>
      </c>
      <c r="AC66">
        <v>0.70</v>
      </c>
      <c r="AD66">
        <v>0.70</v>
      </c>
      <c r="AE66">
        <v>0.78985746341937901</v>
      </c>
      <c r="AF66">
        <v>0.70</v>
      </c>
      <c r="AG66">
        <v>0.70</v>
      </c>
      <c r="AH66">
        <v>0.70</v>
      </c>
      <c r="AI66">
        <v>0.70</v>
      </c>
      <c r="AJ66">
        <v>0.70</v>
      </c>
      <c r="AK66">
        <v>0.70</v>
      </c>
      <c r="AL66">
        <v>0.70</v>
      </c>
      <c r="AM66">
        <v>0.70</v>
      </c>
      <c r="AN66">
        <v>0.70</v>
      </c>
      <c r="AO66">
        <v>0.78252893124574496</v>
      </c>
      <c r="AP66">
        <v>0.73855696202531596</v>
      </c>
      <c r="AQ66">
        <v>0.77153597036357202</v>
      </c>
      <c r="AR66">
        <v>0.70</v>
      </c>
      <c r="AS66">
        <v>0.70</v>
      </c>
      <c r="AT66">
        <v>0.81917134618915699</v>
      </c>
      <c r="AU66">
        <v>0.76787100262494701</v>
      </c>
      <c r="AV66">
        <v>0.78985659898477201</v>
      </c>
      <c r="AW66" t="s">
        <v>203</v>
      </c>
    </row>
    <row r="67" spans="1:49" ht="12.75">
      <c r="A67" t="s">
        <v>201</v>
      </c>
      <c r="B67" t="s">
        <v>29</v>
      </c>
      <c r="C67" t="s">
        <v>328</v>
      </c>
      <c r="D67" t="s">
        <v>203</v>
      </c>
      <c r="E67" t="s">
        <v>203</v>
      </c>
      <c r="F67" t="s">
        <v>223</v>
      </c>
      <c r="G67" t="s">
        <v>793</v>
      </c>
      <c r="H67" t="s">
        <v>203</v>
      </c>
      <c r="I67" t="s">
        <v>203</v>
      </c>
      <c r="J67" t="s">
        <v>203</v>
      </c>
      <c r="K67" t="s">
        <v>203</v>
      </c>
      <c r="L67">
        <v>0.80</v>
      </c>
      <c r="M67">
        <v>0.869999697421875</v>
      </c>
      <c r="N67">
        <v>0.80</v>
      </c>
      <c r="O67">
        <v>0.893142811116307</v>
      </c>
      <c r="P67">
        <v>0.73114327409514701</v>
      </c>
      <c r="Q67">
        <v>0.90856973763489901</v>
      </c>
      <c r="R67">
        <v>0.80</v>
      </c>
      <c r="S67">
        <v>0.79285818087871995</v>
      </c>
      <c r="T67">
        <v>0.90856973763489901</v>
      </c>
      <c r="U67">
        <v>0.83142781689006795</v>
      </c>
      <c r="V67">
        <v>0.79285670877284398</v>
      </c>
      <c r="W67">
        <v>0.80</v>
      </c>
      <c r="X67">
        <v>0.80</v>
      </c>
      <c r="Y67">
        <v>0.80056939501779301</v>
      </c>
      <c r="Z67">
        <v>0.83142591991090897</v>
      </c>
      <c r="AA67">
        <v>0.80828658084167504</v>
      </c>
      <c r="AB67">
        <v>0.80828487436431096</v>
      </c>
      <c r="AC67">
        <v>0.80</v>
      </c>
      <c r="AD67">
        <v>0.83142781689006795</v>
      </c>
      <c r="AE67">
        <v>0.83142793464554798</v>
      </c>
      <c r="AF67">
        <v>0.80</v>
      </c>
      <c r="AG67">
        <v>0.79285459180531803</v>
      </c>
      <c r="AH67">
        <v>0.83142964572192501</v>
      </c>
      <c r="AI67">
        <v>0.82371178025565905</v>
      </c>
      <c r="AJ67">
        <v>0.80</v>
      </c>
      <c r="AK67">
        <v>0.80</v>
      </c>
      <c r="AL67">
        <v>0.80</v>
      </c>
      <c r="AM67">
        <v>0.89314316964932305</v>
      </c>
      <c r="AN67">
        <v>0.83142781689006795</v>
      </c>
      <c r="AO67">
        <v>0.82371353985987195</v>
      </c>
      <c r="AP67">
        <v>0.77743071353682403</v>
      </c>
      <c r="AQ67">
        <v>0.81214265249940798</v>
      </c>
      <c r="AR67">
        <v>0.80</v>
      </c>
      <c r="AS67">
        <v>0.79285469678245502</v>
      </c>
      <c r="AT67">
        <v>0.86228726595308003</v>
      </c>
      <c r="AU67">
        <v>0.80828694242830001</v>
      </c>
      <c r="AV67">
        <v>0.83142879399815395</v>
      </c>
      <c r="AW67" t="s">
        <v>203</v>
      </c>
    </row>
    <row r="68" spans="1:49" ht="12.75">
      <c r="A68" t="s">
        <v>201</v>
      </c>
      <c r="B68" t="s">
        <v>29</v>
      </c>
      <c r="C68" t="s">
        <v>329</v>
      </c>
      <c r="D68" t="s">
        <v>203</v>
      </c>
      <c r="E68" t="s">
        <v>203</v>
      </c>
      <c r="F68" t="s">
        <v>223</v>
      </c>
      <c r="G68" t="s">
        <v>793</v>
      </c>
      <c r="H68" t="s">
        <v>203</v>
      </c>
      <c r="I68" t="s">
        <v>203</v>
      </c>
      <c r="J68" t="s">
        <v>203</v>
      </c>
      <c r="K68" t="s">
        <v>203</v>
      </c>
      <c r="L68">
        <v>0.66666666666666696</v>
      </c>
      <c r="M68">
        <v>0.66666666666666696</v>
      </c>
      <c r="N68">
        <v>0.66666666666666696</v>
      </c>
      <c r="O68">
        <v>0.66666666666666696</v>
      </c>
      <c r="P68">
        <v>0.66666666666666696</v>
      </c>
      <c r="Q68">
        <v>0.66666666666666696</v>
      </c>
      <c r="R68">
        <v>0.66666666666666696</v>
      </c>
      <c r="S68">
        <v>0.66666666666666696</v>
      </c>
      <c r="T68">
        <v>0.66666666666666696</v>
      </c>
      <c r="U68">
        <v>0.66666666666666696</v>
      </c>
      <c r="V68">
        <v>0.66666666666666696</v>
      </c>
      <c r="W68">
        <v>0.66666666666666696</v>
      </c>
      <c r="X68">
        <v>0.66666666666666696</v>
      </c>
      <c r="Y68">
        <v>0.66666666666666696</v>
      </c>
      <c r="Z68">
        <v>0.66666666666666696</v>
      </c>
      <c r="AA68">
        <v>0.66666666666666696</v>
      </c>
      <c r="AB68">
        <v>0.66666666666666696</v>
      </c>
      <c r="AC68">
        <v>0.66666666666666696</v>
      </c>
      <c r="AD68">
        <v>0.66666666666666696</v>
      </c>
      <c r="AE68">
        <v>0.67221013066817603</v>
      </c>
      <c r="AF68">
        <v>0.66666666666666696</v>
      </c>
      <c r="AG68">
        <v>0.66666666666666696</v>
      </c>
      <c r="AH68">
        <v>0.672208911424379</v>
      </c>
      <c r="AI68">
        <v>0.66666666666666696</v>
      </c>
      <c r="AJ68">
        <v>0.66666666666666696</v>
      </c>
      <c r="AK68">
        <v>0.66666666666666696</v>
      </c>
      <c r="AL68">
        <v>0.66666666666666696</v>
      </c>
      <c r="AM68">
        <v>0.66666666666666696</v>
      </c>
      <c r="AN68">
        <v>0.66666666666666696</v>
      </c>
      <c r="AO68">
        <v>0.66666666666666696</v>
      </c>
      <c r="AP68">
        <v>0.66666666666666696</v>
      </c>
      <c r="AQ68">
        <v>0.66666666666666696</v>
      </c>
      <c r="AR68">
        <v>0.66666666666666696</v>
      </c>
      <c r="AS68">
        <v>0.66666666666666696</v>
      </c>
      <c r="AT68">
        <v>0.69715865432799895</v>
      </c>
      <c r="AU68">
        <v>0.66666666666666696</v>
      </c>
      <c r="AV68">
        <v>0.66666666666666696</v>
      </c>
      <c r="AW68" t="s">
        <v>203</v>
      </c>
    </row>
    <row r="69" spans="1:49" ht="12.75">
      <c r="A69" t="s">
        <v>201</v>
      </c>
      <c r="B69" t="s">
        <v>29</v>
      </c>
      <c r="C69" t="s">
        <v>330</v>
      </c>
      <c r="D69" t="s">
        <v>203</v>
      </c>
      <c r="E69" t="s">
        <v>203</v>
      </c>
      <c r="F69" t="s">
        <v>223</v>
      </c>
      <c r="G69" t="s">
        <v>793</v>
      </c>
      <c r="H69" t="s">
        <v>203</v>
      </c>
      <c r="I69" t="s">
        <v>203</v>
      </c>
      <c r="J69" t="s">
        <v>203</v>
      </c>
      <c r="K69" t="s">
        <v>203</v>
      </c>
      <c r="L69">
        <v>0.53932557282182503</v>
      </c>
      <c r="M69">
        <v>0.68512373492146095</v>
      </c>
      <c r="N69">
        <v>0.53932557282182503</v>
      </c>
      <c r="O69">
        <v>0.70334956709312502</v>
      </c>
      <c r="P69">
        <v>0.57577546106916599</v>
      </c>
      <c r="Q69">
        <v>0.71550092501440099</v>
      </c>
      <c r="R69">
        <v>0.53932453821773096</v>
      </c>
      <c r="S69">
        <v>0.62437476878480902</v>
      </c>
      <c r="T69">
        <v>0.71550092501440099</v>
      </c>
      <c r="U69">
        <v>0.654750926885172</v>
      </c>
      <c r="V69">
        <v>0.62437371424779398</v>
      </c>
      <c r="W69">
        <v>0.53932557282182503</v>
      </c>
      <c r="X69">
        <v>0.59400073574969003</v>
      </c>
      <c r="Y69">
        <v>0.63045121029666296</v>
      </c>
      <c r="Z69">
        <v>0.65475074533242195</v>
      </c>
      <c r="AA69">
        <v>0.63652508929559304</v>
      </c>
      <c r="AB69">
        <v>0.55000000000000004</v>
      </c>
      <c r="AC69">
        <v>0.66689897171121104</v>
      </c>
      <c r="AD69">
        <v>0.654750926885172</v>
      </c>
      <c r="AE69">
        <v>0.65474796557578596</v>
      </c>
      <c r="AF69">
        <v>0.53932557282182503</v>
      </c>
      <c r="AG69">
        <v>0.62437638525085604</v>
      </c>
      <c r="AH69">
        <v>0.65474906536279298</v>
      </c>
      <c r="AI69">
        <v>0.64867556959769002</v>
      </c>
      <c r="AJ69">
        <v>0.53932557282182503</v>
      </c>
      <c r="AK69">
        <v>0.53932557282182503</v>
      </c>
      <c r="AL69">
        <v>0.55000000000000004</v>
      </c>
      <c r="AM69">
        <v>0.70335181691724302</v>
      </c>
      <c r="AN69">
        <v>0.654750926885172</v>
      </c>
      <c r="AO69">
        <v>0.648675788307715</v>
      </c>
      <c r="AP69">
        <v>0.61222632752145101</v>
      </c>
      <c r="AQ69">
        <v>0.63956306859319401</v>
      </c>
      <c r="AR69">
        <v>0.53932557282182503</v>
      </c>
      <c r="AS69">
        <v>0.62437437437437404</v>
      </c>
      <c r="AT69">
        <v>0.67905104662972304</v>
      </c>
      <c r="AU69">
        <v>0.63652609984043795</v>
      </c>
      <c r="AV69">
        <v>0.65474896949000505</v>
      </c>
      <c r="AW69" t="s">
        <v>203</v>
      </c>
    </row>
    <row r="70" spans="1:49" ht="12.75">
      <c r="A70" t="s">
        <v>201</v>
      </c>
      <c r="B70" t="s">
        <v>29</v>
      </c>
      <c r="C70" t="s">
        <v>331</v>
      </c>
      <c r="D70" t="s">
        <v>203</v>
      </c>
      <c r="E70" t="s">
        <v>203</v>
      </c>
      <c r="F70" t="s">
        <v>223</v>
      </c>
      <c r="G70" t="s">
        <v>793</v>
      </c>
      <c r="H70" t="s">
        <v>203</v>
      </c>
      <c r="I70" t="s">
        <v>203</v>
      </c>
      <c r="J70" t="s">
        <v>203</v>
      </c>
      <c r="K70" t="s">
        <v>203</v>
      </c>
      <c r="L70">
        <v>0.50</v>
      </c>
      <c r="M70">
        <v>0.56636967800557603</v>
      </c>
      <c r="N70">
        <v>0.50</v>
      </c>
      <c r="O70">
        <v>0.58143601389810495</v>
      </c>
      <c r="P70">
        <v>0.47597370243559201</v>
      </c>
      <c r="Q70">
        <v>0.50</v>
      </c>
      <c r="R70">
        <v>0.44584231229690402</v>
      </c>
      <c r="S70">
        <v>0.51615018995212902</v>
      </c>
      <c r="T70">
        <v>0.50</v>
      </c>
      <c r="U70">
        <v>0.54125846320370197</v>
      </c>
      <c r="V70">
        <v>0.51614822449170805</v>
      </c>
      <c r="W70">
        <v>0.50</v>
      </c>
      <c r="X70">
        <v>0.49104004549575597</v>
      </c>
      <c r="Y70">
        <v>0.521171456816652</v>
      </c>
      <c r="Z70">
        <v>0.541260533331132</v>
      </c>
      <c r="AA70">
        <v>0.52619226772725602</v>
      </c>
      <c r="AB70">
        <v>0.52619483225875896</v>
      </c>
      <c r="AC70">
        <v>0.55130367951244896</v>
      </c>
      <c r="AD70">
        <v>0.54125846320370197</v>
      </c>
      <c r="AE70">
        <v>0.50</v>
      </c>
      <c r="AF70">
        <v>0.50</v>
      </c>
      <c r="AG70">
        <v>0.516150087942154</v>
      </c>
      <c r="AH70">
        <v>0.50</v>
      </c>
      <c r="AI70">
        <v>0.53623797076053004</v>
      </c>
      <c r="AJ70">
        <v>0.50</v>
      </c>
      <c r="AK70">
        <v>0.50</v>
      </c>
      <c r="AL70">
        <v>0.50</v>
      </c>
      <c r="AM70">
        <v>0.58143642322455602</v>
      </c>
      <c r="AN70">
        <v>0.54125846320370197</v>
      </c>
      <c r="AO70">
        <v>0.53623703075516505</v>
      </c>
      <c r="AP70">
        <v>0.50</v>
      </c>
      <c r="AQ70">
        <v>0.50</v>
      </c>
      <c r="AR70">
        <v>0.50</v>
      </c>
      <c r="AS70">
        <v>0.51614899075903098</v>
      </c>
      <c r="AT70">
        <v>0.50</v>
      </c>
      <c r="AU70">
        <v>0.52619458090501303</v>
      </c>
      <c r="AV70">
        <v>0.54126052266387803</v>
      </c>
      <c r="AW70" t="s">
        <v>203</v>
      </c>
    </row>
    <row r="71" spans="1:49" ht="12.75">
      <c r="A71" t="s">
        <v>201</v>
      </c>
      <c r="B71" t="s">
        <v>29</v>
      </c>
      <c r="C71" t="s">
        <v>332</v>
      </c>
      <c r="D71" t="s">
        <v>203</v>
      </c>
      <c r="E71" t="s">
        <v>203</v>
      </c>
      <c r="F71" t="s">
        <v>223</v>
      </c>
      <c r="G71" t="s">
        <v>793</v>
      </c>
      <c r="H71" t="s">
        <v>203</v>
      </c>
      <c r="I71" t="s">
        <v>203</v>
      </c>
      <c r="J71" t="s">
        <v>203</v>
      </c>
      <c r="K71" t="s">
        <v>203</v>
      </c>
      <c r="L71">
        <v>0.50</v>
      </c>
      <c r="M71">
        <v>0.59377429313906205</v>
      </c>
      <c r="N71">
        <v>0.50</v>
      </c>
      <c r="O71">
        <v>0.50</v>
      </c>
      <c r="P71">
        <v>0.49900601476646</v>
      </c>
      <c r="Q71">
        <v>0.62009965269107703</v>
      </c>
      <c r="R71">
        <v>0.50</v>
      </c>
      <c r="S71">
        <v>0.54112464981267105</v>
      </c>
      <c r="T71">
        <v>0.62009965269107703</v>
      </c>
      <c r="U71">
        <v>0.50</v>
      </c>
      <c r="V71">
        <v>0.54112589830116897</v>
      </c>
      <c r="W71">
        <v>0.50</v>
      </c>
      <c r="X71">
        <v>0.514799099967856</v>
      </c>
      <c r="Y71">
        <v>0.54638891786056298</v>
      </c>
      <c r="Z71">
        <v>0.50</v>
      </c>
      <c r="AA71">
        <v>0.55165505592483999</v>
      </c>
      <c r="AB71">
        <v>0.55165363316483695</v>
      </c>
      <c r="AC71">
        <v>0.50</v>
      </c>
      <c r="AD71">
        <v>0.50</v>
      </c>
      <c r="AE71">
        <v>0.50</v>
      </c>
      <c r="AF71">
        <v>0.50</v>
      </c>
      <c r="AG71">
        <v>0.54112535796091599</v>
      </c>
      <c r="AH71">
        <v>0.50</v>
      </c>
      <c r="AI71">
        <v>0.56218475555346803</v>
      </c>
      <c r="AJ71">
        <v>0.50</v>
      </c>
      <c r="AK71">
        <v>0.50</v>
      </c>
      <c r="AL71">
        <v>0.50</v>
      </c>
      <c r="AM71">
        <v>0.60957013258897397</v>
      </c>
      <c r="AN71">
        <v>0.50</v>
      </c>
      <c r="AO71">
        <v>0.56218504357187304</v>
      </c>
      <c r="AP71">
        <v>0.50</v>
      </c>
      <c r="AQ71">
        <v>0.55428700605841397</v>
      </c>
      <c r="AR71">
        <v>0.50</v>
      </c>
      <c r="AS71">
        <v>0.50</v>
      </c>
      <c r="AT71">
        <v>0.50</v>
      </c>
      <c r="AU71">
        <v>0.551654904555828</v>
      </c>
      <c r="AV71">
        <v>0.56744765243058803</v>
      </c>
      <c r="AW71" t="s">
        <v>203</v>
      </c>
    </row>
    <row r="72" spans="1:49" ht="12.75">
      <c r="A72" t="s">
        <v>201</v>
      </c>
      <c r="B72" t="s">
        <v>29</v>
      </c>
      <c r="C72" t="s">
        <v>333</v>
      </c>
      <c r="D72" t="s">
        <v>203</v>
      </c>
      <c r="E72" t="s">
        <v>203</v>
      </c>
      <c r="F72" t="s">
        <v>223</v>
      </c>
      <c r="G72" t="s">
        <v>793</v>
      </c>
      <c r="H72" t="s">
        <v>203</v>
      </c>
      <c r="I72" t="s">
        <v>203</v>
      </c>
      <c r="J72" t="s">
        <v>203</v>
      </c>
      <c r="K72" t="s">
        <v>203</v>
      </c>
      <c r="L72">
        <v>0.94780646484775699</v>
      </c>
      <c r="M72">
        <v>1.0084980225972699</v>
      </c>
      <c r="N72">
        <v>0.94780646484775699</v>
      </c>
      <c r="O72">
        <v>0.96534385944249501</v>
      </c>
      <c r="P72">
        <v>0.77963146310130704</v>
      </c>
      <c r="Q72">
        <v>1.1633871819913899</v>
      </c>
      <c r="R72">
        <v>0.93835400157127402</v>
      </c>
      <c r="S72">
        <v>0.91120772186594301</v>
      </c>
      <c r="T72">
        <v>1.1633871819913899</v>
      </c>
      <c r="U72">
        <v>1.1216918730488401</v>
      </c>
      <c r="V72">
        <v>0.82279820773840795</v>
      </c>
      <c r="W72">
        <v>0.94780646484775699</v>
      </c>
      <c r="X72">
        <v>1.0240202398146601</v>
      </c>
      <c r="Y72">
        <v>1.06478833879765</v>
      </c>
      <c r="Z72">
        <v>1.14318658841459</v>
      </c>
      <c r="AA72">
        <v>0.85089391609927501</v>
      </c>
      <c r="AB72">
        <v>0.98553260007627197</v>
      </c>
      <c r="AC72">
        <v>0.99654021420485905</v>
      </c>
      <c r="AD72">
        <v>1.1216918730488401</v>
      </c>
      <c r="AE72">
        <v>1.1351203915566801</v>
      </c>
      <c r="AF72">
        <v>0.94780646484775699</v>
      </c>
      <c r="AG72">
        <v>0.93222467860648395</v>
      </c>
      <c r="AH72">
        <v>1.2207389454201201</v>
      </c>
      <c r="AI72">
        <v>0.933743068533049</v>
      </c>
      <c r="AJ72">
        <v>0.94780646484775699</v>
      </c>
      <c r="AK72">
        <v>0.94780646484775699</v>
      </c>
      <c r="AL72">
        <v>0.77025043487448097</v>
      </c>
      <c r="AM72">
        <v>1.27962430748476</v>
      </c>
      <c r="AN72">
        <v>1.1216918730488401</v>
      </c>
      <c r="AO72">
        <v>1.1329140590478</v>
      </c>
      <c r="AP72">
        <v>0.97830240105151101</v>
      </c>
      <c r="AQ72">
        <v>0.87596127194701201</v>
      </c>
      <c r="AR72">
        <v>0.94780646484775699</v>
      </c>
      <c r="AS72">
        <v>1.0306215507272301</v>
      </c>
      <c r="AT72">
        <v>0.97654106043505795</v>
      </c>
      <c r="AU72">
        <v>0.94538192091474005</v>
      </c>
      <c r="AV72">
        <v>1.2293914992528601</v>
      </c>
      <c r="AW72" t="s">
        <v>203</v>
      </c>
    </row>
    <row r="73" spans="1:49" ht="12.75">
      <c r="A73" t="s">
        <v>201</v>
      </c>
      <c r="B73" t="s">
        <v>29</v>
      </c>
      <c r="C73" t="s">
        <v>334</v>
      </c>
      <c r="D73" t="s">
        <v>203</v>
      </c>
      <c r="E73" t="s">
        <v>203</v>
      </c>
      <c r="F73" t="s">
        <v>223</v>
      </c>
      <c r="G73" t="s">
        <v>793</v>
      </c>
      <c r="H73" t="s">
        <v>203</v>
      </c>
      <c r="I73" t="s">
        <v>203</v>
      </c>
      <c r="J73" t="s">
        <v>203</v>
      </c>
      <c r="K73" t="s">
        <v>203</v>
      </c>
      <c r="L73">
        <v>0.57641306417083105</v>
      </c>
      <c r="M73">
        <v>0.73526349090490795</v>
      </c>
      <c r="N73">
        <v>0.57641306417083105</v>
      </c>
      <c r="O73">
        <v>0.75328055047085596</v>
      </c>
      <c r="P73">
        <v>0.61416110186241701</v>
      </c>
      <c r="Q73">
        <v>0.76672100407458499</v>
      </c>
      <c r="R73">
        <v>0.57528010617490899</v>
      </c>
      <c r="S73">
        <v>0.66770115516495199</v>
      </c>
      <c r="T73">
        <v>0.76672100407458499</v>
      </c>
      <c r="U73">
        <v>0.70268568510503304</v>
      </c>
      <c r="V73">
        <v>0.66600041566987001</v>
      </c>
      <c r="W73">
        <v>0.57641306417083105</v>
      </c>
      <c r="X73">
        <v>0.63745380705538102</v>
      </c>
      <c r="Y73">
        <v>0.67248336931142305</v>
      </c>
      <c r="Z73">
        <v>0.70070908267201504</v>
      </c>
      <c r="AA73">
        <v>0.68052803939986295</v>
      </c>
      <c r="AB73">
        <v>0.68105292098157999</v>
      </c>
      <c r="AC73">
        <v>0.71459706117723198</v>
      </c>
      <c r="AD73">
        <v>0.70268568510503304</v>
      </c>
      <c r="AE73">
        <v>0.69971846218945699</v>
      </c>
      <c r="AF73">
        <v>0.57641306417083105</v>
      </c>
      <c r="AG73">
        <v>0.66600186088185098</v>
      </c>
      <c r="AH73">
        <v>0.70253156128482397</v>
      </c>
      <c r="AI73">
        <v>0.69192012891015597</v>
      </c>
      <c r="AJ73">
        <v>0.57641306417083105</v>
      </c>
      <c r="AK73">
        <v>0.57641306417083105</v>
      </c>
      <c r="AL73">
        <v>0.60</v>
      </c>
      <c r="AM73">
        <v>0.75401818371825702</v>
      </c>
      <c r="AN73">
        <v>0.70268568510503304</v>
      </c>
      <c r="AO73">
        <v>0.69549067389373498</v>
      </c>
      <c r="AP73">
        <v>0.65854470485857597</v>
      </c>
      <c r="AQ73">
        <v>0.68290054101230802</v>
      </c>
      <c r="AR73">
        <v>0.57641306417083105</v>
      </c>
      <c r="AS73">
        <v>0.66600056433669597</v>
      </c>
      <c r="AT73">
        <v>0.72432380169684096</v>
      </c>
      <c r="AU73">
        <v>0.68076997618728197</v>
      </c>
      <c r="AV73">
        <v>0.70187248613979802</v>
      </c>
      <c r="AW73" t="s">
        <v>203</v>
      </c>
    </row>
    <row r="74" spans="1:49" ht="12.75">
      <c r="A74" t="s">
        <v>201</v>
      </c>
      <c r="B74" t="s">
        <v>29</v>
      </c>
      <c r="C74" t="s">
        <v>335</v>
      </c>
      <c r="D74" t="s">
        <v>203</v>
      </c>
      <c r="E74" t="s">
        <v>203</v>
      </c>
      <c r="F74" t="s">
        <v>223</v>
      </c>
      <c r="G74" t="s">
        <v>793</v>
      </c>
      <c r="H74" t="s">
        <v>203</v>
      </c>
      <c r="I74" t="s">
        <v>203</v>
      </c>
      <c r="J74" t="s">
        <v>203</v>
      </c>
      <c r="K74" t="s">
        <v>203</v>
      </c>
      <c r="L74">
        <v>0.70</v>
      </c>
      <c r="M74">
        <v>0.82650058693100303</v>
      </c>
      <c r="N74">
        <v>0.70</v>
      </c>
      <c r="O74">
        <v>0.70</v>
      </c>
      <c r="P74">
        <v>0.69458590928567099</v>
      </c>
      <c r="Q74">
        <v>0.70</v>
      </c>
      <c r="R74">
        <v>0.70</v>
      </c>
      <c r="S74">
        <v>0.70</v>
      </c>
      <c r="T74">
        <v>0.70</v>
      </c>
      <c r="U74">
        <v>0.70</v>
      </c>
      <c r="V74">
        <v>0.70</v>
      </c>
      <c r="W74">
        <v>0.70</v>
      </c>
      <c r="X74">
        <v>0.71657055219524401</v>
      </c>
      <c r="Y74">
        <v>0.70</v>
      </c>
      <c r="Z74">
        <v>0.78985650018060605</v>
      </c>
      <c r="AA74">
        <v>0.76787130894667199</v>
      </c>
      <c r="AB74">
        <v>0.76787111822687804</v>
      </c>
      <c r="AC74">
        <v>0.70</v>
      </c>
      <c r="AD74">
        <v>0.70</v>
      </c>
      <c r="AE74">
        <v>0.78985746341937901</v>
      </c>
      <c r="AF74">
        <v>0.70</v>
      </c>
      <c r="AG74">
        <v>0.70</v>
      </c>
      <c r="AH74">
        <v>0.70</v>
      </c>
      <c r="AI74">
        <v>0.70</v>
      </c>
      <c r="AJ74">
        <v>0.70</v>
      </c>
      <c r="AK74">
        <v>0.70</v>
      </c>
      <c r="AL74">
        <v>0.70</v>
      </c>
      <c r="AM74">
        <v>0.70</v>
      </c>
      <c r="AN74">
        <v>0.70</v>
      </c>
      <c r="AO74">
        <v>0.78252893124574496</v>
      </c>
      <c r="AP74">
        <v>0.73855696202531596</v>
      </c>
      <c r="AQ74">
        <v>0.77153597036357202</v>
      </c>
      <c r="AR74">
        <v>0.70</v>
      </c>
      <c r="AS74">
        <v>0.70</v>
      </c>
      <c r="AT74">
        <v>0.81917134618915699</v>
      </c>
      <c r="AU74">
        <v>0.76787100262494701</v>
      </c>
      <c r="AV74">
        <v>0.78985659898477201</v>
      </c>
      <c r="AW74" t="s">
        <v>203</v>
      </c>
    </row>
    <row r="75" spans="1:49" ht="12.75">
      <c r="A75" t="s">
        <v>201</v>
      </c>
      <c r="B75" t="s">
        <v>29</v>
      </c>
      <c r="C75" t="s">
        <v>336</v>
      </c>
      <c r="D75" t="s">
        <v>203</v>
      </c>
      <c r="E75" t="s">
        <v>203</v>
      </c>
      <c r="F75" t="s">
        <v>223</v>
      </c>
      <c r="G75" t="s">
        <v>793</v>
      </c>
      <c r="H75" t="s">
        <v>203</v>
      </c>
      <c r="I75" t="s">
        <v>203</v>
      </c>
      <c r="J75" t="s">
        <v>203</v>
      </c>
      <c r="K75" t="s">
        <v>203</v>
      </c>
      <c r="L75">
        <v>0.80</v>
      </c>
      <c r="M75">
        <v>0.869999697421875</v>
      </c>
      <c r="N75">
        <v>0.80</v>
      </c>
      <c r="O75">
        <v>0.893142811116307</v>
      </c>
      <c r="P75">
        <v>0.73114327409514701</v>
      </c>
      <c r="Q75">
        <v>0.90856973763489901</v>
      </c>
      <c r="R75">
        <v>0.80</v>
      </c>
      <c r="S75">
        <v>0.79285818087871995</v>
      </c>
      <c r="T75">
        <v>0.90856973763489901</v>
      </c>
      <c r="U75">
        <v>0.83142781689006795</v>
      </c>
      <c r="V75">
        <v>0.79285670877284398</v>
      </c>
      <c r="W75">
        <v>0.80</v>
      </c>
      <c r="X75">
        <v>0.80</v>
      </c>
      <c r="Y75">
        <v>0.80056939501779301</v>
      </c>
      <c r="Z75">
        <v>0.83142591991090897</v>
      </c>
      <c r="AA75">
        <v>0.80828658084167504</v>
      </c>
      <c r="AB75">
        <v>0.80828487436431096</v>
      </c>
      <c r="AC75">
        <v>0.80</v>
      </c>
      <c r="AD75">
        <v>0.83142781689006795</v>
      </c>
      <c r="AE75">
        <v>0.83142793464554798</v>
      </c>
      <c r="AF75">
        <v>0.80</v>
      </c>
      <c r="AG75">
        <v>0.79285459180531803</v>
      </c>
      <c r="AH75">
        <v>0.83142964572192501</v>
      </c>
      <c r="AI75">
        <v>0.82371178025565905</v>
      </c>
      <c r="AJ75">
        <v>0.80</v>
      </c>
      <c r="AK75">
        <v>0.80</v>
      </c>
      <c r="AL75">
        <v>0.80</v>
      </c>
      <c r="AM75">
        <v>0.89314316964932305</v>
      </c>
      <c r="AN75">
        <v>0.83142781689006795</v>
      </c>
      <c r="AO75">
        <v>0.82371353985987195</v>
      </c>
      <c r="AP75">
        <v>0.77743071353682403</v>
      </c>
      <c r="AQ75">
        <v>0.81214265249940798</v>
      </c>
      <c r="AR75">
        <v>0.80</v>
      </c>
      <c r="AS75">
        <v>0.79285469678245502</v>
      </c>
      <c r="AT75">
        <v>0.86228726595308003</v>
      </c>
      <c r="AU75">
        <v>0.80828694242830001</v>
      </c>
      <c r="AV75">
        <v>0.83142879399815395</v>
      </c>
      <c r="AW75" t="s">
        <v>203</v>
      </c>
    </row>
    <row r="76" spans="1:49" ht="12.75">
      <c r="A76" t="s">
        <v>201</v>
      </c>
      <c r="B76" t="s">
        <v>29</v>
      </c>
      <c r="C76" t="s">
        <v>337</v>
      </c>
      <c r="D76" t="s">
        <v>203</v>
      </c>
      <c r="E76" t="s">
        <v>203</v>
      </c>
      <c r="F76" t="s">
        <v>223</v>
      </c>
      <c r="G76" t="s">
        <v>793</v>
      </c>
      <c r="H76" t="s">
        <v>203</v>
      </c>
      <c r="I76" t="s">
        <v>203</v>
      </c>
      <c r="J76" t="s">
        <v>203</v>
      </c>
      <c r="K76" t="s">
        <v>203</v>
      </c>
      <c r="L76">
        <v>0.66666666666666696</v>
      </c>
      <c r="M76">
        <v>0.66666666666666696</v>
      </c>
      <c r="N76">
        <v>0.66666666666666696</v>
      </c>
      <c r="O76">
        <v>0.66666666666666696</v>
      </c>
      <c r="P76">
        <v>0.66666666666666696</v>
      </c>
      <c r="Q76">
        <v>0.66666666666666696</v>
      </c>
      <c r="R76">
        <v>0.66666666666666696</v>
      </c>
      <c r="S76">
        <v>0.66666666666666696</v>
      </c>
      <c r="T76">
        <v>0.66666666666666696</v>
      </c>
      <c r="U76">
        <v>0.66666666666666696</v>
      </c>
      <c r="V76">
        <v>0.66666666666666696</v>
      </c>
      <c r="W76">
        <v>0.66666666666666696</v>
      </c>
      <c r="X76">
        <v>0.66666666666666696</v>
      </c>
      <c r="Y76">
        <v>0.66666666666666696</v>
      </c>
      <c r="Z76">
        <v>0.66666666666666696</v>
      </c>
      <c r="AA76">
        <v>0.66666666666666696</v>
      </c>
      <c r="AB76">
        <v>0.66666666666666696</v>
      </c>
      <c r="AC76">
        <v>0.66666666666666696</v>
      </c>
      <c r="AD76">
        <v>0.66666666666666696</v>
      </c>
      <c r="AE76">
        <v>0.67221013066817603</v>
      </c>
      <c r="AF76">
        <v>0.66666666666666696</v>
      </c>
      <c r="AG76">
        <v>0.66666666666666696</v>
      </c>
      <c r="AH76">
        <v>0.672208911424379</v>
      </c>
      <c r="AI76">
        <v>0.66666666666666696</v>
      </c>
      <c r="AJ76">
        <v>0.66666666666666696</v>
      </c>
      <c r="AK76">
        <v>0.66666666666666696</v>
      </c>
      <c r="AL76">
        <v>0.66666666666666696</v>
      </c>
      <c r="AM76">
        <v>0.66666666666666696</v>
      </c>
      <c r="AN76">
        <v>0.66666666666666696</v>
      </c>
      <c r="AO76">
        <v>0.66666666666666696</v>
      </c>
      <c r="AP76">
        <v>0.66666666666666696</v>
      </c>
      <c r="AQ76">
        <v>0.66666666666666696</v>
      </c>
      <c r="AR76">
        <v>0.66666666666666696</v>
      </c>
      <c r="AS76">
        <v>0.66666666666666696</v>
      </c>
      <c r="AT76">
        <v>0.69715865432799895</v>
      </c>
      <c r="AU76">
        <v>0.66666666666666696</v>
      </c>
      <c r="AV76">
        <v>0.66666666666666696</v>
      </c>
      <c r="AW76" t="s">
        <v>203</v>
      </c>
    </row>
    <row r="77" spans="1:49" ht="12.75">
      <c r="A77" t="s">
        <v>201</v>
      </c>
      <c r="B77" t="s">
        <v>29</v>
      </c>
      <c r="C77" t="s">
        <v>338</v>
      </c>
      <c r="D77" t="s">
        <v>203</v>
      </c>
      <c r="E77" t="s">
        <v>203</v>
      </c>
      <c r="F77" t="s">
        <v>223</v>
      </c>
      <c r="G77" t="s">
        <v>793</v>
      </c>
      <c r="H77" t="s">
        <v>203</v>
      </c>
      <c r="I77" t="s">
        <v>203</v>
      </c>
      <c r="J77" t="s">
        <v>203</v>
      </c>
      <c r="K77" t="s">
        <v>203</v>
      </c>
      <c r="L77">
        <v>0.53932557282182503</v>
      </c>
      <c r="M77">
        <v>0.68512373492146095</v>
      </c>
      <c r="N77">
        <v>0.53932557282182503</v>
      </c>
      <c r="O77">
        <v>0.70334956709312502</v>
      </c>
      <c r="P77">
        <v>0.57577546106916599</v>
      </c>
      <c r="Q77">
        <v>0.71550092501440099</v>
      </c>
      <c r="R77">
        <v>0.53932453821773096</v>
      </c>
      <c r="S77">
        <v>0.62437476878480902</v>
      </c>
      <c r="T77">
        <v>0.71550092501440099</v>
      </c>
      <c r="U77">
        <v>0.654750926885172</v>
      </c>
      <c r="V77">
        <v>0.62437371424779398</v>
      </c>
      <c r="W77">
        <v>0.53932557282182503</v>
      </c>
      <c r="X77">
        <v>0.59400073574969003</v>
      </c>
      <c r="Y77">
        <v>0.63045121029666296</v>
      </c>
      <c r="Z77">
        <v>0.65475074533242195</v>
      </c>
      <c r="AA77">
        <v>0.63652508929559304</v>
      </c>
      <c r="AB77">
        <v>0.55000000000000004</v>
      </c>
      <c r="AC77">
        <v>0.66689897171121104</v>
      </c>
      <c r="AD77">
        <v>0.654750926885172</v>
      </c>
      <c r="AE77">
        <v>0.65474796557578596</v>
      </c>
      <c r="AF77">
        <v>0.53932557282182503</v>
      </c>
      <c r="AG77">
        <v>0.62437638525085604</v>
      </c>
      <c r="AH77">
        <v>0.65474906536279298</v>
      </c>
      <c r="AI77">
        <v>0.64867556959769002</v>
      </c>
      <c r="AJ77">
        <v>0.53932557282182503</v>
      </c>
      <c r="AK77">
        <v>0.53932557282182503</v>
      </c>
      <c r="AL77">
        <v>0.55000000000000004</v>
      </c>
      <c r="AM77">
        <v>0.70335181691724302</v>
      </c>
      <c r="AN77">
        <v>0.654750926885172</v>
      </c>
      <c r="AO77">
        <v>0.648675788307715</v>
      </c>
      <c r="AP77">
        <v>0.61222632752145101</v>
      </c>
      <c r="AQ77">
        <v>0.63956306859319401</v>
      </c>
      <c r="AR77">
        <v>0.53932557282182503</v>
      </c>
      <c r="AS77">
        <v>0.62437437437437404</v>
      </c>
      <c r="AT77">
        <v>0.67905104662972304</v>
      </c>
      <c r="AU77">
        <v>0.63652609984043795</v>
      </c>
      <c r="AV77">
        <v>0.65474896949000505</v>
      </c>
      <c r="AW77" t="s">
        <v>203</v>
      </c>
    </row>
    <row r="78" spans="1:49" ht="12.75">
      <c r="A78" t="s">
        <v>201</v>
      </c>
      <c r="B78" t="s">
        <v>29</v>
      </c>
      <c r="C78" t="s">
        <v>339</v>
      </c>
      <c r="D78" t="s">
        <v>203</v>
      </c>
      <c r="E78" t="s">
        <v>203</v>
      </c>
      <c r="F78" t="s">
        <v>223</v>
      </c>
      <c r="G78" t="s">
        <v>793</v>
      </c>
      <c r="H78" t="s">
        <v>203</v>
      </c>
      <c r="I78" t="s">
        <v>203</v>
      </c>
      <c r="J78" t="s">
        <v>203</v>
      </c>
      <c r="K78" t="s">
        <v>203</v>
      </c>
      <c r="L78">
        <v>0.50</v>
      </c>
      <c r="M78">
        <v>0.56636967800557603</v>
      </c>
      <c r="N78">
        <v>0.50</v>
      </c>
      <c r="O78">
        <v>0.58143601389810495</v>
      </c>
      <c r="P78">
        <v>0.47597370243559201</v>
      </c>
      <c r="Q78">
        <v>0.50</v>
      </c>
      <c r="R78">
        <v>0.44584231229690402</v>
      </c>
      <c r="S78">
        <v>0.51615018995212902</v>
      </c>
      <c r="T78">
        <v>0.50</v>
      </c>
      <c r="U78">
        <v>0.54125846320370197</v>
      </c>
      <c r="V78">
        <v>0.51614822449170805</v>
      </c>
      <c r="W78">
        <v>0.50</v>
      </c>
      <c r="X78">
        <v>0.49104004549575597</v>
      </c>
      <c r="Y78">
        <v>0.521171456816652</v>
      </c>
      <c r="Z78">
        <v>0.541260533331132</v>
      </c>
      <c r="AA78">
        <v>0.52619226772725602</v>
      </c>
      <c r="AB78">
        <v>0.52619483225875896</v>
      </c>
      <c r="AC78">
        <v>0.55130367951244896</v>
      </c>
      <c r="AD78">
        <v>0.54125846320370197</v>
      </c>
      <c r="AE78">
        <v>0.50</v>
      </c>
      <c r="AF78">
        <v>0.50</v>
      </c>
      <c r="AG78">
        <v>0.516150087942154</v>
      </c>
      <c r="AH78">
        <v>0.50</v>
      </c>
      <c r="AI78">
        <v>0.53623797076053004</v>
      </c>
      <c r="AJ78">
        <v>0.50</v>
      </c>
      <c r="AK78">
        <v>0.50</v>
      </c>
      <c r="AL78">
        <v>0.50</v>
      </c>
      <c r="AM78">
        <v>0.58143642322455602</v>
      </c>
      <c r="AN78">
        <v>0.54125846320370197</v>
      </c>
      <c r="AO78">
        <v>0.53623703075516505</v>
      </c>
      <c r="AP78">
        <v>0.50</v>
      </c>
      <c r="AQ78">
        <v>0.50</v>
      </c>
      <c r="AR78">
        <v>0.50</v>
      </c>
      <c r="AS78">
        <v>0.51614899075903098</v>
      </c>
      <c r="AT78">
        <v>0.50</v>
      </c>
      <c r="AU78">
        <v>0.52619458090501303</v>
      </c>
      <c r="AV78">
        <v>0.54126052266387803</v>
      </c>
      <c r="AW78" t="s">
        <v>203</v>
      </c>
    </row>
    <row r="79" spans="1:49" ht="12.75">
      <c r="A79" t="s">
        <v>201</v>
      </c>
      <c r="B79" t="s">
        <v>29</v>
      </c>
      <c r="C79" t="s">
        <v>340</v>
      </c>
      <c r="D79" t="s">
        <v>203</v>
      </c>
      <c r="E79" t="s">
        <v>203</v>
      </c>
      <c r="F79" t="s">
        <v>223</v>
      </c>
      <c r="G79" t="s">
        <v>793</v>
      </c>
      <c r="H79" t="s">
        <v>203</v>
      </c>
      <c r="I79" t="s">
        <v>203</v>
      </c>
      <c r="J79" t="s">
        <v>203</v>
      </c>
      <c r="K79" t="s">
        <v>203</v>
      </c>
      <c r="L79">
        <v>0.50</v>
      </c>
      <c r="M79">
        <v>0.59377429313906205</v>
      </c>
      <c r="N79">
        <v>0.50</v>
      </c>
      <c r="O79">
        <v>0.50</v>
      </c>
      <c r="P79">
        <v>0.49900601476646</v>
      </c>
      <c r="Q79">
        <v>0.62009965269107703</v>
      </c>
      <c r="R79">
        <v>0.50</v>
      </c>
      <c r="S79">
        <v>0.54112464981267105</v>
      </c>
      <c r="T79">
        <v>0.62009965269107703</v>
      </c>
      <c r="U79">
        <v>0.50</v>
      </c>
      <c r="V79">
        <v>0.54112589830116897</v>
      </c>
      <c r="W79">
        <v>0.50</v>
      </c>
      <c r="X79">
        <v>0.514799099967856</v>
      </c>
      <c r="Y79">
        <v>0.54638891786056298</v>
      </c>
      <c r="Z79">
        <v>0.50</v>
      </c>
      <c r="AA79">
        <v>0.55165505592483999</v>
      </c>
      <c r="AB79">
        <v>0.55165363316483695</v>
      </c>
      <c r="AC79">
        <v>0.50</v>
      </c>
      <c r="AD79">
        <v>0.50</v>
      </c>
      <c r="AE79">
        <v>0.50</v>
      </c>
      <c r="AF79">
        <v>0.50</v>
      </c>
      <c r="AG79">
        <v>0.54112535796091599</v>
      </c>
      <c r="AH79">
        <v>0.50</v>
      </c>
      <c r="AI79">
        <v>0.56218475555346803</v>
      </c>
      <c r="AJ79">
        <v>0.50</v>
      </c>
      <c r="AK79">
        <v>0.50</v>
      </c>
      <c r="AL79">
        <v>0.50</v>
      </c>
      <c r="AM79">
        <v>0.60957013258897397</v>
      </c>
      <c r="AN79">
        <v>0.50</v>
      </c>
      <c r="AO79">
        <v>0.56218504357187304</v>
      </c>
      <c r="AP79">
        <v>0.50</v>
      </c>
      <c r="AQ79">
        <v>0.55428700605841397</v>
      </c>
      <c r="AR79">
        <v>0.50</v>
      </c>
      <c r="AS79">
        <v>0.50</v>
      </c>
      <c r="AT79">
        <v>0.50</v>
      </c>
      <c r="AU79">
        <v>0.551654904555828</v>
      </c>
      <c r="AV79">
        <v>0.56744765243058803</v>
      </c>
      <c r="AW79" t="s">
        <v>203</v>
      </c>
    </row>
    <row r="80" spans="1:49" ht="12.75">
      <c r="A80" t="s">
        <v>201</v>
      </c>
      <c r="B80" t="s">
        <v>29</v>
      </c>
      <c r="C80" t="s">
        <v>341</v>
      </c>
      <c r="D80" t="s">
        <v>203</v>
      </c>
      <c r="E80" t="s">
        <v>203</v>
      </c>
      <c r="F80" t="s">
        <v>223</v>
      </c>
      <c r="G80" t="s">
        <v>793</v>
      </c>
      <c r="H80" t="s">
        <v>203</v>
      </c>
      <c r="I80" t="s">
        <v>203</v>
      </c>
      <c r="J80" t="s">
        <v>203</v>
      </c>
      <c r="K80" t="s">
        <v>203</v>
      </c>
      <c r="L80">
        <v>0.94780646484775699</v>
      </c>
      <c r="M80">
        <v>1.0084980225972699</v>
      </c>
      <c r="N80">
        <v>0.94780646484775699</v>
      </c>
      <c r="O80">
        <v>0.96534385944249501</v>
      </c>
      <c r="P80">
        <v>0.77963146310130704</v>
      </c>
      <c r="Q80">
        <v>1.1633871819913899</v>
      </c>
      <c r="R80">
        <v>0.93835400157127402</v>
      </c>
      <c r="S80">
        <v>0.91120772186594301</v>
      </c>
      <c r="T80">
        <v>1.1633871819913899</v>
      </c>
      <c r="U80">
        <v>1.1216918730488401</v>
      </c>
      <c r="V80">
        <v>0.82279820773840795</v>
      </c>
      <c r="W80">
        <v>0.94780646484775699</v>
      </c>
      <c r="X80">
        <v>1.0240202398146601</v>
      </c>
      <c r="Y80">
        <v>1.06478833879765</v>
      </c>
      <c r="Z80">
        <v>1.14318658841459</v>
      </c>
      <c r="AA80">
        <v>0.85089391609927501</v>
      </c>
      <c r="AB80">
        <v>0.98553260007627197</v>
      </c>
      <c r="AC80">
        <v>0.99654021420485905</v>
      </c>
      <c r="AD80">
        <v>1.1216918730488401</v>
      </c>
      <c r="AE80">
        <v>1.1351203915566801</v>
      </c>
      <c r="AF80">
        <v>0.94780646484775699</v>
      </c>
      <c r="AG80">
        <v>0.93222467860648395</v>
      </c>
      <c r="AH80">
        <v>1.2207389454201201</v>
      </c>
      <c r="AI80">
        <v>0.933743068533049</v>
      </c>
      <c r="AJ80">
        <v>0.94780646484775699</v>
      </c>
      <c r="AK80">
        <v>0.94780646484775699</v>
      </c>
      <c r="AL80">
        <v>0.77025043487448097</v>
      </c>
      <c r="AM80">
        <v>1.27962430748476</v>
      </c>
      <c r="AN80">
        <v>1.1216918730488401</v>
      </c>
      <c r="AO80">
        <v>1.1329140590478</v>
      </c>
      <c r="AP80">
        <v>0.97830240105151101</v>
      </c>
      <c r="AQ80">
        <v>0.87596127194701201</v>
      </c>
      <c r="AR80">
        <v>0.94780646484775699</v>
      </c>
      <c r="AS80">
        <v>1.0306215507272301</v>
      </c>
      <c r="AT80">
        <v>0.97654106043505795</v>
      </c>
      <c r="AU80">
        <v>0.94538192091474005</v>
      </c>
      <c r="AV80">
        <v>1.2293914992528601</v>
      </c>
      <c r="AW80" t="s">
        <v>203</v>
      </c>
    </row>
    <row r="81" spans="1:49" ht="12.75">
      <c r="A81" t="s">
        <v>201</v>
      </c>
      <c r="B81" t="s">
        <v>29</v>
      </c>
      <c r="C81" t="s">
        <v>342</v>
      </c>
      <c r="D81" t="s">
        <v>203</v>
      </c>
      <c r="E81" t="s">
        <v>203</v>
      </c>
      <c r="F81" t="s">
        <v>223</v>
      </c>
      <c r="G81" t="s">
        <v>793</v>
      </c>
      <c r="H81" t="s">
        <v>203</v>
      </c>
      <c r="I81" t="s">
        <v>203</v>
      </c>
      <c r="J81" t="s">
        <v>203</v>
      </c>
      <c r="K81" t="s">
        <v>203</v>
      </c>
      <c r="L81">
        <v>0.57641306417083105</v>
      </c>
      <c r="M81">
        <v>0.73526349090490795</v>
      </c>
      <c r="N81">
        <v>0.57641306417083105</v>
      </c>
      <c r="O81">
        <v>0.75328055047085596</v>
      </c>
      <c r="P81">
        <v>0.61416110186241701</v>
      </c>
      <c r="Q81">
        <v>0.76672100407458499</v>
      </c>
      <c r="R81">
        <v>0.57528010617490899</v>
      </c>
      <c r="S81">
        <v>0.66770115516495199</v>
      </c>
      <c r="T81">
        <v>0.76672100407458499</v>
      </c>
      <c r="U81">
        <v>0.70268568510503304</v>
      </c>
      <c r="V81">
        <v>0.66600041566987001</v>
      </c>
      <c r="W81">
        <v>0.57641306417083105</v>
      </c>
      <c r="X81">
        <v>0.63745380705538102</v>
      </c>
      <c r="Y81">
        <v>0.67248336931142305</v>
      </c>
      <c r="Z81">
        <v>0.70070908267201504</v>
      </c>
      <c r="AA81">
        <v>0.68052803939986295</v>
      </c>
      <c r="AB81">
        <v>0.68105292098157999</v>
      </c>
      <c r="AC81">
        <v>0.71459706117723198</v>
      </c>
      <c r="AD81">
        <v>0.70268568510503304</v>
      </c>
      <c r="AE81">
        <v>0.69971846218945699</v>
      </c>
      <c r="AF81">
        <v>0.57641306417083105</v>
      </c>
      <c r="AG81">
        <v>0.66600186088185098</v>
      </c>
      <c r="AH81">
        <v>0.70253156128482397</v>
      </c>
      <c r="AI81">
        <v>0.69192012891015597</v>
      </c>
      <c r="AJ81">
        <v>0.57641306417083105</v>
      </c>
      <c r="AK81">
        <v>0.57641306417083105</v>
      </c>
      <c r="AL81">
        <v>0.60</v>
      </c>
      <c r="AM81">
        <v>0.75401818371825702</v>
      </c>
      <c r="AN81">
        <v>0.70268568510503304</v>
      </c>
      <c r="AO81">
        <v>0.69549067389373498</v>
      </c>
      <c r="AP81">
        <v>0.65854470485857597</v>
      </c>
      <c r="AQ81">
        <v>0.68290054101230802</v>
      </c>
      <c r="AR81">
        <v>0.57641306417083105</v>
      </c>
      <c r="AS81">
        <v>0.66600056433669597</v>
      </c>
      <c r="AT81">
        <v>0.72432380169684096</v>
      </c>
      <c r="AU81">
        <v>0.68076997618728197</v>
      </c>
      <c r="AV81">
        <v>0.70187248613979802</v>
      </c>
      <c r="AW81" t="s">
        <v>203</v>
      </c>
    </row>
    <row r="82" spans="1:49" ht="12.75">
      <c r="A82" t="s">
        <v>201</v>
      </c>
      <c r="B82" t="s">
        <v>29</v>
      </c>
      <c r="C82" t="s">
        <v>343</v>
      </c>
      <c r="D82" t="s">
        <v>203</v>
      </c>
      <c r="E82" t="s">
        <v>203</v>
      </c>
      <c r="F82" t="s">
        <v>223</v>
      </c>
      <c r="G82" t="s">
        <v>793</v>
      </c>
      <c r="H82" t="s">
        <v>203</v>
      </c>
      <c r="I82" t="s">
        <v>203</v>
      </c>
      <c r="J82" t="s">
        <v>203</v>
      </c>
      <c r="K82" t="s">
        <v>203</v>
      </c>
      <c r="L82">
        <v>0.70</v>
      </c>
      <c r="M82">
        <v>0.82650058693100303</v>
      </c>
      <c r="N82">
        <v>0.70</v>
      </c>
      <c r="O82">
        <v>0.70</v>
      </c>
      <c r="P82">
        <v>0.69458590928567099</v>
      </c>
      <c r="Q82">
        <v>0.70</v>
      </c>
      <c r="R82">
        <v>0.70</v>
      </c>
      <c r="S82">
        <v>0.70</v>
      </c>
      <c r="T82">
        <v>0.70</v>
      </c>
      <c r="U82">
        <v>0.70</v>
      </c>
      <c r="V82">
        <v>0.70</v>
      </c>
      <c r="W82">
        <v>0.70</v>
      </c>
      <c r="X82">
        <v>0.71657055219524401</v>
      </c>
      <c r="Y82">
        <v>0.70</v>
      </c>
      <c r="Z82">
        <v>0.78985650018060605</v>
      </c>
      <c r="AA82">
        <v>0.76787130894667199</v>
      </c>
      <c r="AB82">
        <v>0.76787111822687804</v>
      </c>
      <c r="AC82">
        <v>0.70</v>
      </c>
      <c r="AD82">
        <v>0.70</v>
      </c>
      <c r="AE82">
        <v>0.78985746341937901</v>
      </c>
      <c r="AF82">
        <v>0.70</v>
      </c>
      <c r="AG82">
        <v>0.70</v>
      </c>
      <c r="AH82">
        <v>0.70</v>
      </c>
      <c r="AI82">
        <v>0.70</v>
      </c>
      <c r="AJ82">
        <v>0.70</v>
      </c>
      <c r="AK82">
        <v>0.70</v>
      </c>
      <c r="AL82">
        <v>0.70</v>
      </c>
      <c r="AM82">
        <v>0.70</v>
      </c>
      <c r="AN82">
        <v>0.70</v>
      </c>
      <c r="AO82">
        <v>0.78252893124574496</v>
      </c>
      <c r="AP82">
        <v>0.73855696202531596</v>
      </c>
      <c r="AQ82">
        <v>0.77153597036357202</v>
      </c>
      <c r="AR82">
        <v>0.70</v>
      </c>
      <c r="AS82">
        <v>0.70</v>
      </c>
      <c r="AT82">
        <v>0.81917134618915699</v>
      </c>
      <c r="AU82">
        <v>0.76787100262494701</v>
      </c>
      <c r="AV82">
        <v>0.78985659898477201</v>
      </c>
      <c r="AW82" t="s">
        <v>203</v>
      </c>
    </row>
    <row r="83" spans="1:49" ht="12.75">
      <c r="A83" t="s">
        <v>201</v>
      </c>
      <c r="B83" t="s">
        <v>29</v>
      </c>
      <c r="C83" t="s">
        <v>344</v>
      </c>
      <c r="D83" t="s">
        <v>203</v>
      </c>
      <c r="E83" t="s">
        <v>203</v>
      </c>
      <c r="F83" t="s">
        <v>223</v>
      </c>
      <c r="G83" t="s">
        <v>793</v>
      </c>
      <c r="H83" t="s">
        <v>203</v>
      </c>
      <c r="I83" t="s">
        <v>203</v>
      </c>
      <c r="J83" t="s">
        <v>203</v>
      </c>
      <c r="K83" t="s">
        <v>203</v>
      </c>
      <c r="L83">
        <v>0.80</v>
      </c>
      <c r="M83">
        <v>0.869999697421875</v>
      </c>
      <c r="N83">
        <v>0.80</v>
      </c>
      <c r="O83">
        <v>0.893142811116307</v>
      </c>
      <c r="P83">
        <v>0.73114327409514701</v>
      </c>
      <c r="Q83">
        <v>0.90856973763489901</v>
      </c>
      <c r="R83">
        <v>0.80</v>
      </c>
      <c r="S83">
        <v>0.79285818087871995</v>
      </c>
      <c r="T83">
        <v>0.90856973763489901</v>
      </c>
      <c r="U83">
        <v>0.83142781689006795</v>
      </c>
      <c r="V83">
        <v>0.79285670877284398</v>
      </c>
      <c r="W83">
        <v>0.80</v>
      </c>
      <c r="X83">
        <v>0.80</v>
      </c>
      <c r="Y83">
        <v>0.80056939501779301</v>
      </c>
      <c r="Z83">
        <v>0.83142591991090897</v>
      </c>
      <c r="AA83">
        <v>0.80828658084167504</v>
      </c>
      <c r="AB83">
        <v>0.80828487436431096</v>
      </c>
      <c r="AC83">
        <v>0.80</v>
      </c>
      <c r="AD83">
        <v>0.83142781689006795</v>
      </c>
      <c r="AE83">
        <v>0.83142793464554798</v>
      </c>
      <c r="AF83">
        <v>0.80</v>
      </c>
      <c r="AG83">
        <v>0.79285459180531803</v>
      </c>
      <c r="AH83">
        <v>0.83142964572192501</v>
      </c>
      <c r="AI83">
        <v>0.82371178025565905</v>
      </c>
      <c r="AJ83">
        <v>0.80</v>
      </c>
      <c r="AK83">
        <v>0.80</v>
      </c>
      <c r="AL83">
        <v>0.80</v>
      </c>
      <c r="AM83">
        <v>0.89314316964932305</v>
      </c>
      <c r="AN83">
        <v>0.83142781689006795</v>
      </c>
      <c r="AO83">
        <v>0.82371353985987195</v>
      </c>
      <c r="AP83">
        <v>0.77743071353682403</v>
      </c>
      <c r="AQ83">
        <v>0.81214265249940798</v>
      </c>
      <c r="AR83">
        <v>0.80</v>
      </c>
      <c r="AS83">
        <v>0.79285469678245502</v>
      </c>
      <c r="AT83">
        <v>0.86228726595308003</v>
      </c>
      <c r="AU83">
        <v>0.80828694242830001</v>
      </c>
      <c r="AV83">
        <v>0.83142879399815395</v>
      </c>
      <c r="AW83" t="s">
        <v>203</v>
      </c>
    </row>
    <row r="84" spans="1:49" ht="12.75">
      <c r="A84" t="s">
        <v>201</v>
      </c>
      <c r="B84" t="s">
        <v>29</v>
      </c>
      <c r="C84" t="s">
        <v>345</v>
      </c>
      <c r="D84" t="s">
        <v>203</v>
      </c>
      <c r="E84" t="s">
        <v>203</v>
      </c>
      <c r="F84" t="s">
        <v>223</v>
      </c>
      <c r="G84" t="s">
        <v>793</v>
      </c>
      <c r="H84" t="s">
        <v>203</v>
      </c>
      <c r="I84" t="s">
        <v>203</v>
      </c>
      <c r="J84" t="s">
        <v>203</v>
      </c>
      <c r="K84" t="s">
        <v>203</v>
      </c>
      <c r="L84">
        <v>0.66666666666666696</v>
      </c>
      <c r="M84">
        <v>0.66666666666666696</v>
      </c>
      <c r="N84">
        <v>0.66666666666666696</v>
      </c>
      <c r="O84">
        <v>0.66666666666666696</v>
      </c>
      <c r="P84">
        <v>0.66666666666666696</v>
      </c>
      <c r="Q84">
        <v>0.66666666666666696</v>
      </c>
      <c r="R84">
        <v>0.66666666666666696</v>
      </c>
      <c r="S84">
        <v>0.66666666666666696</v>
      </c>
      <c r="T84">
        <v>0.66666666666666696</v>
      </c>
      <c r="U84">
        <v>0.66666666666666696</v>
      </c>
      <c r="V84">
        <v>0.66666666666666696</v>
      </c>
      <c r="W84">
        <v>0.66666666666666696</v>
      </c>
      <c r="X84">
        <v>0.66666666666666696</v>
      </c>
      <c r="Y84">
        <v>0.66666666666666696</v>
      </c>
      <c r="Z84">
        <v>0.66666666666666696</v>
      </c>
      <c r="AA84">
        <v>0.66666666666666696</v>
      </c>
      <c r="AB84">
        <v>0.66666666666666696</v>
      </c>
      <c r="AC84">
        <v>0.66666666666666696</v>
      </c>
      <c r="AD84">
        <v>0.66666666666666696</v>
      </c>
      <c r="AE84">
        <v>0.67221013066817603</v>
      </c>
      <c r="AF84">
        <v>0.66666666666666696</v>
      </c>
      <c r="AG84">
        <v>0.66666666666666696</v>
      </c>
      <c r="AH84">
        <v>0.672208911424379</v>
      </c>
      <c r="AI84">
        <v>0.66666666666666696</v>
      </c>
      <c r="AJ84">
        <v>0.66666666666666696</v>
      </c>
      <c r="AK84">
        <v>0.66666666666666696</v>
      </c>
      <c r="AL84">
        <v>0.66666666666666696</v>
      </c>
      <c r="AM84">
        <v>0.66666666666666696</v>
      </c>
      <c r="AN84">
        <v>0.66666666666666696</v>
      </c>
      <c r="AO84">
        <v>0.66666666666666696</v>
      </c>
      <c r="AP84">
        <v>0.66666666666666696</v>
      </c>
      <c r="AQ84">
        <v>0.66666666666666696</v>
      </c>
      <c r="AR84">
        <v>0.66666666666666696</v>
      </c>
      <c r="AS84">
        <v>0.66666666666666696</v>
      </c>
      <c r="AT84">
        <v>0.69715865432799895</v>
      </c>
      <c r="AU84">
        <v>0.66666666666666696</v>
      </c>
      <c r="AV84">
        <v>0.66666666666666696</v>
      </c>
      <c r="AW84" t="s">
        <v>203</v>
      </c>
    </row>
    <row r="85" spans="1:49" ht="12.75">
      <c r="A85" t="s">
        <v>201</v>
      </c>
      <c r="B85" t="s">
        <v>29</v>
      </c>
      <c r="C85" t="s">
        <v>346</v>
      </c>
      <c r="D85" t="s">
        <v>203</v>
      </c>
      <c r="E85" t="s">
        <v>203</v>
      </c>
      <c r="F85" t="s">
        <v>223</v>
      </c>
      <c r="G85" t="s">
        <v>793</v>
      </c>
      <c r="H85" t="s">
        <v>203</v>
      </c>
      <c r="I85" t="s">
        <v>203</v>
      </c>
      <c r="J85" t="s">
        <v>203</v>
      </c>
      <c r="K85" t="s">
        <v>203</v>
      </c>
      <c r="L85">
        <v>0.53932557282182503</v>
      </c>
      <c r="M85">
        <v>0.68512373492146095</v>
      </c>
      <c r="N85">
        <v>0.53932557282182503</v>
      </c>
      <c r="O85">
        <v>0.70334956709312502</v>
      </c>
      <c r="P85">
        <v>0.57577546106916599</v>
      </c>
      <c r="Q85">
        <v>0.71550092501440099</v>
      </c>
      <c r="R85">
        <v>0.53932453821773096</v>
      </c>
      <c r="S85">
        <v>0.62437476878480902</v>
      </c>
      <c r="T85">
        <v>0.71550092501440099</v>
      </c>
      <c r="U85">
        <v>0.654750926885172</v>
      </c>
      <c r="V85">
        <v>0.62437371424779398</v>
      </c>
      <c r="W85">
        <v>0.53932557282182503</v>
      </c>
      <c r="X85">
        <v>0.59400073574969003</v>
      </c>
      <c r="Y85">
        <v>0.63045121029666296</v>
      </c>
      <c r="Z85">
        <v>0.65475074533242195</v>
      </c>
      <c r="AA85">
        <v>0.63652508929559304</v>
      </c>
      <c r="AB85">
        <v>0.55000000000000004</v>
      </c>
      <c r="AC85">
        <v>0.66689897171121104</v>
      </c>
      <c r="AD85">
        <v>0.654750926885172</v>
      </c>
      <c r="AE85">
        <v>0.65474796557578596</v>
      </c>
      <c r="AF85">
        <v>0.53932557282182503</v>
      </c>
      <c r="AG85">
        <v>0.62437638525085604</v>
      </c>
      <c r="AH85">
        <v>0.65474906536279298</v>
      </c>
      <c r="AI85">
        <v>0.64867556959769002</v>
      </c>
      <c r="AJ85">
        <v>0.53932557282182503</v>
      </c>
      <c r="AK85">
        <v>0.53932557282182503</v>
      </c>
      <c r="AL85">
        <v>0.55000000000000004</v>
      </c>
      <c r="AM85">
        <v>0.70335181691724302</v>
      </c>
      <c r="AN85">
        <v>0.654750926885172</v>
      </c>
      <c r="AO85">
        <v>0.648675788307715</v>
      </c>
      <c r="AP85">
        <v>0.61222632752145101</v>
      </c>
      <c r="AQ85">
        <v>0.63956306859319401</v>
      </c>
      <c r="AR85">
        <v>0.53932557282182503</v>
      </c>
      <c r="AS85">
        <v>0.62437437437437404</v>
      </c>
      <c r="AT85">
        <v>0.67905104662972304</v>
      </c>
      <c r="AU85">
        <v>0.63652609984043795</v>
      </c>
      <c r="AV85">
        <v>0.65474896949000505</v>
      </c>
      <c r="AW85" t="s">
        <v>203</v>
      </c>
    </row>
    <row r="86" spans="1:49" ht="12.75">
      <c r="A86" t="s">
        <v>201</v>
      </c>
      <c r="B86" t="s">
        <v>29</v>
      </c>
      <c r="C86" t="s">
        <v>347</v>
      </c>
      <c r="D86" t="s">
        <v>203</v>
      </c>
      <c r="E86" t="s">
        <v>203</v>
      </c>
      <c r="F86" t="s">
        <v>223</v>
      </c>
      <c r="G86" t="s">
        <v>793</v>
      </c>
      <c r="H86" t="s">
        <v>203</v>
      </c>
      <c r="I86" t="s">
        <v>203</v>
      </c>
      <c r="J86" t="s">
        <v>203</v>
      </c>
      <c r="K86" t="s">
        <v>203</v>
      </c>
      <c r="L86">
        <v>0.50</v>
      </c>
      <c r="M86">
        <v>0.52258518286964695</v>
      </c>
      <c r="N86">
        <v>0.50</v>
      </c>
      <c r="O86">
        <v>0.53396362894475702</v>
      </c>
      <c r="P86">
        <v>0.429590509892191</v>
      </c>
      <c r="Q86">
        <v>0.50</v>
      </c>
      <c r="R86">
        <v>0.39627706516162098</v>
      </c>
      <c r="S86">
        <v>0.46884830333710698</v>
      </c>
      <c r="T86">
        <v>0.50</v>
      </c>
      <c r="U86">
        <v>0.50156230843911598</v>
      </c>
      <c r="V86">
        <v>0.47155471498096702</v>
      </c>
      <c r="W86">
        <v>0.50</v>
      </c>
      <c r="X86">
        <v>0.44861364568176199</v>
      </c>
      <c r="Y86">
        <v>0.48294820161097402</v>
      </c>
      <c r="Z86">
        <v>0.499415973541466</v>
      </c>
      <c r="AA86">
        <v>0.47910754595291799</v>
      </c>
      <c r="AB86">
        <v>0.47617726824457601</v>
      </c>
      <c r="AC86">
        <v>0.50727608345081499</v>
      </c>
      <c r="AD86">
        <v>0.50156230843911598</v>
      </c>
      <c r="AE86">
        <v>0.50</v>
      </c>
      <c r="AF86">
        <v>0.50</v>
      </c>
      <c r="AG86">
        <v>0.468847395858983</v>
      </c>
      <c r="AH86">
        <v>0.50</v>
      </c>
      <c r="AI86">
        <v>0.48990782401059402</v>
      </c>
      <c r="AJ86">
        <v>0.50</v>
      </c>
      <c r="AK86">
        <v>0.50</v>
      </c>
      <c r="AL86">
        <v>0.50</v>
      </c>
      <c r="AM86">
        <v>0.53789395156662501</v>
      </c>
      <c r="AN86">
        <v>0.50156230843911598</v>
      </c>
      <c r="AO86">
        <v>0.48990781376711401</v>
      </c>
      <c r="AP86">
        <v>0.50</v>
      </c>
      <c r="AQ86">
        <v>0.50</v>
      </c>
      <c r="AR86">
        <v>0.50</v>
      </c>
      <c r="AS86">
        <v>0.47155511961869201</v>
      </c>
      <c r="AT86">
        <v>0.50</v>
      </c>
      <c r="AU86">
        <v>0.47491658542613502</v>
      </c>
      <c r="AV86">
        <v>0.49803396448371201</v>
      </c>
      <c r="AW86" t="s">
        <v>203</v>
      </c>
    </row>
    <row r="87" spans="1:49" ht="12.75">
      <c r="A87" t="s">
        <v>201</v>
      </c>
      <c r="B87" t="s">
        <v>29</v>
      </c>
      <c r="C87" t="s">
        <v>348</v>
      </c>
      <c r="D87" t="s">
        <v>203</v>
      </c>
      <c r="E87" t="s">
        <v>203</v>
      </c>
      <c r="F87" t="s">
        <v>223</v>
      </c>
      <c r="G87" t="s">
        <v>793</v>
      </c>
      <c r="H87" t="s">
        <v>203</v>
      </c>
      <c r="I87" t="s">
        <v>203</v>
      </c>
      <c r="J87" t="s">
        <v>203</v>
      </c>
      <c r="K87" t="s">
        <v>203</v>
      </c>
      <c r="L87">
        <v>0.40</v>
      </c>
      <c r="M87">
        <v>0.40</v>
      </c>
      <c r="N87">
        <v>0.40</v>
      </c>
      <c r="O87">
        <v>0.40</v>
      </c>
      <c r="P87">
        <v>0.40</v>
      </c>
      <c r="Q87">
        <v>0.40</v>
      </c>
      <c r="R87">
        <v>0.40</v>
      </c>
      <c r="S87">
        <v>0.40</v>
      </c>
      <c r="T87">
        <v>0.40</v>
      </c>
      <c r="U87">
        <v>0.40</v>
      </c>
      <c r="V87">
        <v>0.40</v>
      </c>
      <c r="W87">
        <v>0.40</v>
      </c>
      <c r="X87">
        <v>0.40</v>
      </c>
      <c r="Y87">
        <v>0.40</v>
      </c>
      <c r="Z87">
        <v>0.40</v>
      </c>
      <c r="AA87">
        <v>0.40</v>
      </c>
      <c r="AB87">
        <v>0.40</v>
      </c>
      <c r="AC87">
        <v>0.40</v>
      </c>
      <c r="AD87">
        <v>0.40</v>
      </c>
      <c r="AE87">
        <v>0.40</v>
      </c>
      <c r="AF87">
        <v>0.40</v>
      </c>
      <c r="AG87">
        <v>0.40</v>
      </c>
      <c r="AH87">
        <v>0.40</v>
      </c>
      <c r="AI87">
        <v>0.40</v>
      </c>
      <c r="AJ87">
        <v>0.40</v>
      </c>
      <c r="AK87">
        <v>0.40</v>
      </c>
      <c r="AL87">
        <v>0.40</v>
      </c>
      <c r="AM87">
        <v>0.40</v>
      </c>
      <c r="AN87">
        <v>0.40</v>
      </c>
      <c r="AO87">
        <v>0.506238228280525</v>
      </c>
      <c r="AP87">
        <v>0.40</v>
      </c>
      <c r="AQ87">
        <v>0.40</v>
      </c>
      <c r="AR87">
        <v>0.40</v>
      </c>
      <c r="AS87">
        <v>0.40</v>
      </c>
      <c r="AT87">
        <v>0.40</v>
      </c>
      <c r="AU87">
        <v>0.49074601915946903</v>
      </c>
      <c r="AV87">
        <v>0.40</v>
      </c>
      <c r="AW87" t="s">
        <v>203</v>
      </c>
    </row>
    <row r="88" spans="1:49" ht="12.75">
      <c r="A88" t="s">
        <v>201</v>
      </c>
      <c r="B88" t="s">
        <v>29</v>
      </c>
      <c r="C88" t="s">
        <v>349</v>
      </c>
      <c r="D88" t="s">
        <v>203</v>
      </c>
      <c r="E88" t="s">
        <v>203</v>
      </c>
      <c r="F88" t="s">
        <v>223</v>
      </c>
      <c r="G88" t="s">
        <v>793</v>
      </c>
      <c r="H88" t="s">
        <v>203</v>
      </c>
      <c r="I88" t="s">
        <v>203</v>
      </c>
      <c r="J88" t="s">
        <v>203</v>
      </c>
      <c r="K88" t="s">
        <v>203</v>
      </c>
      <c r="L88">
        <v>0.62097344674683796</v>
      </c>
      <c r="M88">
        <v>0.80129817444219098</v>
      </c>
      <c r="N88">
        <v>0.62097344674683796</v>
      </c>
      <c r="O88">
        <v>0.81874589207059301</v>
      </c>
      <c r="P88">
        <v>0.65870487814988099</v>
      </c>
      <c r="Q88">
        <v>0.84372457204268103</v>
      </c>
      <c r="R88">
        <v>0.60762576705303395</v>
      </c>
      <c r="S88">
        <v>0.718901829423505</v>
      </c>
      <c r="T88">
        <v>0.84372457204268103</v>
      </c>
      <c r="U88">
        <v>0.76906371732138901</v>
      </c>
      <c r="V88">
        <v>0.723052106584821</v>
      </c>
      <c r="W88">
        <v>0.62097344674683796</v>
      </c>
      <c r="X88">
        <v>0.68787563180803502</v>
      </c>
      <c r="Y88">
        <v>0.74052089032220902</v>
      </c>
      <c r="Z88">
        <v>0.76577084409834095</v>
      </c>
      <c r="AA88">
        <v>0.73463332696680095</v>
      </c>
      <c r="AB88">
        <v>0.73013893624478698</v>
      </c>
      <c r="AC88">
        <v>0.77782189943744895</v>
      </c>
      <c r="AD88">
        <v>0.76906371732138901</v>
      </c>
      <c r="AE88">
        <v>0.76064078097297505</v>
      </c>
      <c r="AF88">
        <v>0.62097344674683796</v>
      </c>
      <c r="AG88">
        <v>0.718899463575013</v>
      </c>
      <c r="AH88">
        <v>0.76576844679983702</v>
      </c>
      <c r="AI88">
        <v>0.75119162212868795</v>
      </c>
      <c r="AJ88">
        <v>0.62097344674683796</v>
      </c>
      <c r="AK88">
        <v>0.62097344674683796</v>
      </c>
      <c r="AL88">
        <v>0.60568177245928501</v>
      </c>
      <c r="AM88">
        <v>0.82477053064442996</v>
      </c>
      <c r="AN88">
        <v>0.76906371732138901</v>
      </c>
      <c r="AO88">
        <v>0.75119111949339001</v>
      </c>
      <c r="AP88">
        <v>0.71123778633130297</v>
      </c>
      <c r="AQ88">
        <v>0.73167867750328097</v>
      </c>
      <c r="AR88">
        <v>0.62097344674683796</v>
      </c>
      <c r="AS88">
        <v>0.72305151215375896</v>
      </c>
      <c r="AT88">
        <v>0.79199113283692402</v>
      </c>
      <c r="AU88">
        <v>0.72820621487632498</v>
      </c>
      <c r="AV88">
        <v>0.76365199742817103</v>
      </c>
      <c r="AW88" t="s">
        <v>203</v>
      </c>
    </row>
    <row r="89" spans="1:49" ht="12.75">
      <c r="A89" t="s">
        <v>201</v>
      </c>
      <c r="B89" t="s">
        <v>29</v>
      </c>
      <c r="C89" t="s">
        <v>350</v>
      </c>
      <c r="D89" t="s">
        <v>203</v>
      </c>
      <c r="E89" t="s">
        <v>203</v>
      </c>
      <c r="F89" t="s">
        <v>223</v>
      </c>
      <c r="G89" t="s">
        <v>793</v>
      </c>
      <c r="H89" t="s">
        <v>203</v>
      </c>
      <c r="I89" t="s">
        <v>203</v>
      </c>
      <c r="J89" t="s">
        <v>203</v>
      </c>
      <c r="K89" t="s">
        <v>203</v>
      </c>
      <c r="L89">
        <v>0.50622880488168898</v>
      </c>
      <c r="M89">
        <v>0.65323309462780399</v>
      </c>
      <c r="N89">
        <v>0.50622880488168898</v>
      </c>
      <c r="O89">
        <v>0.66745795482648296</v>
      </c>
      <c r="P89">
        <v>0.53698897665133205</v>
      </c>
      <c r="Q89">
        <v>0.687818275864581</v>
      </c>
      <c r="R89">
        <v>0.60</v>
      </c>
      <c r="S89">
        <v>0.58605952228892599</v>
      </c>
      <c r="T89">
        <v>0.687818275864581</v>
      </c>
      <c r="U89">
        <v>0.62695461346124903</v>
      </c>
      <c r="V89">
        <v>0.58944286563553405</v>
      </c>
      <c r="W89">
        <v>0.50622880488168898</v>
      </c>
      <c r="X89">
        <v>0.560769385328026</v>
      </c>
      <c r="Y89">
        <v>0.60368694531344402</v>
      </c>
      <c r="Z89">
        <v>0.62426949722203195</v>
      </c>
      <c r="AA89">
        <v>0.59888489314375903</v>
      </c>
      <c r="AB89">
        <v>0.59521972424098402</v>
      </c>
      <c r="AC89">
        <v>0.63409355433985604</v>
      </c>
      <c r="AD89">
        <v>0.62695461346124903</v>
      </c>
      <c r="AE89">
        <v>0.62008671592583597</v>
      </c>
      <c r="AF89">
        <v>0.50622880488168898</v>
      </c>
      <c r="AG89">
        <v>0.58605978029464401</v>
      </c>
      <c r="AH89">
        <v>0.62427214659936303</v>
      </c>
      <c r="AI89">
        <v>0.61238294923506098</v>
      </c>
      <c r="AJ89">
        <v>0.50622880488168898</v>
      </c>
      <c r="AK89">
        <v>0.50622880488168898</v>
      </c>
      <c r="AL89">
        <v>0.60</v>
      </c>
      <c r="AM89">
        <v>0.67236910707943898</v>
      </c>
      <c r="AN89">
        <v>0.62695461346124903</v>
      </c>
      <c r="AO89">
        <v>0.61238422365767797</v>
      </c>
      <c r="AP89">
        <v>0.57981442959629403</v>
      </c>
      <c r="AQ89">
        <v>0.59647676532795701</v>
      </c>
      <c r="AR89">
        <v>0.50622880488168898</v>
      </c>
      <c r="AS89">
        <v>0.589442663186732</v>
      </c>
      <c r="AT89">
        <v>0.64564740446197599</v>
      </c>
      <c r="AU89">
        <v>0.59364448558046001</v>
      </c>
      <c r="AV89">
        <v>0.62254260507425097</v>
      </c>
      <c r="AW89" t="s">
        <v>203</v>
      </c>
    </row>
    <row r="90" spans="1:49" ht="12.75">
      <c r="A90" t="s">
        <v>201</v>
      </c>
      <c r="B90" t="s">
        <v>29</v>
      </c>
      <c r="C90" t="s">
        <v>351</v>
      </c>
      <c r="D90" t="s">
        <v>203</v>
      </c>
      <c r="E90" t="s">
        <v>203</v>
      </c>
      <c r="F90" t="s">
        <v>223</v>
      </c>
      <c r="G90" t="s">
        <v>793</v>
      </c>
      <c r="H90" t="s">
        <v>203</v>
      </c>
      <c r="I90" t="s">
        <v>203</v>
      </c>
      <c r="J90" t="s">
        <v>203</v>
      </c>
      <c r="K90" t="s">
        <v>203</v>
      </c>
      <c r="L90">
        <v>0.60</v>
      </c>
      <c r="M90">
        <v>0.82950118423481201</v>
      </c>
      <c r="N90">
        <v>0.60</v>
      </c>
      <c r="O90">
        <v>0.84756507296539996</v>
      </c>
      <c r="P90">
        <v>0.68188659727912504</v>
      </c>
      <c r="Q90">
        <v>0.87342038114902298</v>
      </c>
      <c r="R90">
        <v>0.60</v>
      </c>
      <c r="S90">
        <v>0.74420502028242896</v>
      </c>
      <c r="T90">
        <v>0.87342038114902298</v>
      </c>
      <c r="U90">
        <v>0.79613153157536198</v>
      </c>
      <c r="V90">
        <v>0.74850140066374504</v>
      </c>
      <c r="W90">
        <v>0.60</v>
      </c>
      <c r="X90">
        <v>0.60</v>
      </c>
      <c r="Y90">
        <v>0.76658436240029004</v>
      </c>
      <c r="Z90">
        <v>0.79272698587993995</v>
      </c>
      <c r="AA90">
        <v>0.76049125912812598</v>
      </c>
      <c r="AB90">
        <v>0.75583806032307699</v>
      </c>
      <c r="AC90">
        <v>0.60</v>
      </c>
      <c r="AD90">
        <v>0.79613153157536198</v>
      </c>
      <c r="AE90">
        <v>0.78741449604583902</v>
      </c>
      <c r="AF90">
        <v>0.60</v>
      </c>
      <c r="AG90">
        <v>0.74420440730545101</v>
      </c>
      <c r="AH90">
        <v>0.79272490530302997</v>
      </c>
      <c r="AI90">
        <v>0.77763218891022801</v>
      </c>
      <c r="AJ90">
        <v>0.60</v>
      </c>
      <c r="AK90">
        <v>0.60</v>
      </c>
      <c r="AL90">
        <v>0.60</v>
      </c>
      <c r="AM90">
        <v>0.85379972978501595</v>
      </c>
      <c r="AN90">
        <v>0.79613153157536198</v>
      </c>
      <c r="AO90">
        <v>0.777636941853317</v>
      </c>
      <c r="AP90">
        <v>0.736268047708726</v>
      </c>
      <c r="AQ90">
        <v>0.75743233774605501</v>
      </c>
      <c r="AR90">
        <v>0.60</v>
      </c>
      <c r="AS90">
        <v>0.74849824218209304</v>
      </c>
      <c r="AT90">
        <v>0.81986938629450701</v>
      </c>
      <c r="AU90">
        <v>0.75383407206271902</v>
      </c>
      <c r="AV90">
        <v>0.79052963098158702</v>
      </c>
      <c r="AW90" t="s">
        <v>203</v>
      </c>
    </row>
    <row r="91" spans="1:49" ht="12.75">
      <c r="A91" t="s">
        <v>201</v>
      </c>
      <c r="B91" t="s">
        <v>29</v>
      </c>
      <c r="C91" t="s">
        <v>352</v>
      </c>
      <c r="D91" t="s">
        <v>203</v>
      </c>
      <c r="E91" t="s">
        <v>203</v>
      </c>
      <c r="F91" t="s">
        <v>223</v>
      </c>
      <c r="G91" t="s">
        <v>793</v>
      </c>
      <c r="H91" t="s">
        <v>203</v>
      </c>
      <c r="I91" t="s">
        <v>203</v>
      </c>
      <c r="J91" t="s">
        <v>203</v>
      </c>
      <c r="K91" t="s">
        <v>203</v>
      </c>
      <c r="L91">
        <v>0.48598115955219801</v>
      </c>
      <c r="M91">
        <v>0.62710251209237</v>
      </c>
      <c r="N91">
        <v>0.48598115955219801</v>
      </c>
      <c r="O91">
        <v>0.64075738975544005</v>
      </c>
      <c r="P91">
        <v>0.51550653842653005</v>
      </c>
      <c r="Q91">
        <v>0.66030593266058102</v>
      </c>
      <c r="R91">
        <v>0.66666666666666696</v>
      </c>
      <c r="S91">
        <v>0.66666666666666696</v>
      </c>
      <c r="T91">
        <v>0.66030593266058102</v>
      </c>
      <c r="U91">
        <v>0.60187543638611796</v>
      </c>
      <c r="V91">
        <v>0.56586562587120104</v>
      </c>
      <c r="W91">
        <v>0.48598115955219801</v>
      </c>
      <c r="X91">
        <v>0.538337841823193</v>
      </c>
      <c r="Y91">
        <v>0.66666666666666696</v>
      </c>
      <c r="Z91">
        <v>0.59929863141498196</v>
      </c>
      <c r="AA91">
        <v>0.57493234425441297</v>
      </c>
      <c r="AB91">
        <v>0.57141450607154598</v>
      </c>
      <c r="AC91">
        <v>0.60873144456782702</v>
      </c>
      <c r="AD91">
        <v>0.60187543638611796</v>
      </c>
      <c r="AE91">
        <v>0.59528022164973504</v>
      </c>
      <c r="AF91">
        <v>0.48598115955219801</v>
      </c>
      <c r="AG91">
        <v>0.66666666666666696</v>
      </c>
      <c r="AH91">
        <v>0.59929878165710004</v>
      </c>
      <c r="AI91">
        <v>0.58788831726503299</v>
      </c>
      <c r="AJ91">
        <v>0.48598115955219801</v>
      </c>
      <c r="AK91">
        <v>0.48598115955219801</v>
      </c>
      <c r="AL91">
        <v>0.47401029773897502</v>
      </c>
      <c r="AM91">
        <v>0.64547332315164896</v>
      </c>
      <c r="AN91">
        <v>0.60187543638611796</v>
      </c>
      <c r="AO91">
        <v>0.58788939260837902</v>
      </c>
      <c r="AP91">
        <v>0.55662080368926403</v>
      </c>
      <c r="AQ91">
        <v>0.57261948361105997</v>
      </c>
      <c r="AR91">
        <v>0.48598115955219801</v>
      </c>
      <c r="AS91">
        <v>0.56586659732154498</v>
      </c>
      <c r="AT91">
        <v>0.61982327909434998</v>
      </c>
      <c r="AU91">
        <v>0.56989791016701496</v>
      </c>
      <c r="AV91">
        <v>0.66666666666666696</v>
      </c>
      <c r="AW91" t="s">
        <v>203</v>
      </c>
    </row>
    <row r="92" spans="1:49" ht="12.75">
      <c r="A92" t="s">
        <v>201</v>
      </c>
      <c r="B92" t="s">
        <v>29</v>
      </c>
      <c r="C92" t="s">
        <v>353</v>
      </c>
      <c r="D92" t="s">
        <v>203</v>
      </c>
      <c r="E92" t="s">
        <v>203</v>
      </c>
      <c r="F92" t="s">
        <v>223</v>
      </c>
      <c r="G92" t="s">
        <v>793</v>
      </c>
      <c r="H92" t="s">
        <v>203</v>
      </c>
      <c r="I92" t="s">
        <v>203</v>
      </c>
      <c r="J92" t="s">
        <v>203</v>
      </c>
      <c r="K92" t="s">
        <v>203</v>
      </c>
      <c r="L92">
        <v>0.47248107163657499</v>
      </c>
      <c r="M92">
        <v>0.60968216033169498</v>
      </c>
      <c r="N92">
        <v>0.47248107163657499</v>
      </c>
      <c r="O92">
        <v>0.62296069650733199</v>
      </c>
      <c r="P92">
        <v>0.50118797881341204</v>
      </c>
      <c r="Q92">
        <v>0.64196549490667099</v>
      </c>
      <c r="R92">
        <v>0.46232472664593599</v>
      </c>
      <c r="S92">
        <v>0.54698986859033305</v>
      </c>
      <c r="T92">
        <v>0.64196549490667099</v>
      </c>
      <c r="U92">
        <v>0.58515687159968199</v>
      </c>
      <c r="V92">
        <v>0.55014724650216096</v>
      </c>
      <c r="W92">
        <v>0.47248107163657499</v>
      </c>
      <c r="X92">
        <v>0.52338400434479704</v>
      </c>
      <c r="Y92">
        <v>0.56344177798950601</v>
      </c>
      <c r="Z92">
        <v>0.58265116795382099</v>
      </c>
      <c r="AA92">
        <v>0.55896145653309803</v>
      </c>
      <c r="AB92">
        <v>0.60</v>
      </c>
      <c r="AC92">
        <v>0.59182255987559296</v>
      </c>
      <c r="AD92">
        <v>0.58515687159968199</v>
      </c>
      <c r="AE92">
        <v>0.57874846218708098</v>
      </c>
      <c r="AF92">
        <v>0.47248107163657499</v>
      </c>
      <c r="AG92">
        <v>0.54699173886761998</v>
      </c>
      <c r="AH92">
        <v>0.58265223666383903</v>
      </c>
      <c r="AI92">
        <v>0.57155887279946105</v>
      </c>
      <c r="AJ92">
        <v>0.47248107163657499</v>
      </c>
      <c r="AK92">
        <v>0.47248107163657499</v>
      </c>
      <c r="AL92">
        <v>0.60</v>
      </c>
      <c r="AM92">
        <v>0.62754346182917597</v>
      </c>
      <c r="AN92">
        <v>0.58515687159968199</v>
      </c>
      <c r="AO92">
        <v>0.57155910531953502</v>
      </c>
      <c r="AP92">
        <v>0.54116067442980298</v>
      </c>
      <c r="AQ92">
        <v>0.55671277419880905</v>
      </c>
      <c r="AR92">
        <v>0.47248107163657499</v>
      </c>
      <c r="AS92">
        <v>0.55014722417938</v>
      </c>
      <c r="AT92">
        <v>0.60260398266309401</v>
      </c>
      <c r="AU92">
        <v>0.55406943800989605</v>
      </c>
      <c r="AV92">
        <v>0.58104048415592202</v>
      </c>
      <c r="AW92" t="s">
        <v>203</v>
      </c>
    </row>
    <row r="93" spans="1:49" ht="12.75">
      <c r="A93" t="s">
        <v>201</v>
      </c>
      <c r="B93" t="s">
        <v>29</v>
      </c>
      <c r="C93" t="s">
        <v>354</v>
      </c>
      <c r="D93" t="s">
        <v>203</v>
      </c>
      <c r="E93" t="s">
        <v>203</v>
      </c>
      <c r="F93" t="s">
        <v>223</v>
      </c>
      <c r="G93" t="s">
        <v>793</v>
      </c>
      <c r="H93" t="s">
        <v>203</v>
      </c>
      <c r="I93" t="s">
        <v>203</v>
      </c>
      <c r="J93" t="s">
        <v>203</v>
      </c>
      <c r="K93" t="s">
        <v>203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 t="s">
        <v>203</v>
      </c>
    </row>
    <row r="94" spans="1:49" ht="12.75">
      <c r="A94" t="s">
        <v>201</v>
      </c>
      <c r="B94" t="s">
        <v>29</v>
      </c>
      <c r="C94" t="s">
        <v>355</v>
      </c>
      <c r="D94" t="s">
        <v>203</v>
      </c>
      <c r="E94" t="s">
        <v>203</v>
      </c>
      <c r="F94" t="s">
        <v>223</v>
      </c>
      <c r="G94" t="s">
        <v>793</v>
      </c>
      <c r="H94" t="s">
        <v>203</v>
      </c>
      <c r="I94" t="s">
        <v>203</v>
      </c>
      <c r="J94" t="s">
        <v>203</v>
      </c>
      <c r="K94" t="s">
        <v>203</v>
      </c>
      <c r="L94">
        <v>0.50</v>
      </c>
      <c r="M94">
        <v>0.52258518286964695</v>
      </c>
      <c r="N94">
        <v>0.50</v>
      </c>
      <c r="O94">
        <v>0.53396362894475702</v>
      </c>
      <c r="P94">
        <v>0.429590509892191</v>
      </c>
      <c r="Q94">
        <v>0.50</v>
      </c>
      <c r="R94">
        <v>0.39627706516162098</v>
      </c>
      <c r="S94">
        <v>0.46884830333710698</v>
      </c>
      <c r="T94">
        <v>0.50</v>
      </c>
      <c r="U94">
        <v>0.50156230843911598</v>
      </c>
      <c r="V94">
        <v>0.47155471498096702</v>
      </c>
      <c r="W94">
        <v>0.50</v>
      </c>
      <c r="X94">
        <v>0.44861364568176199</v>
      </c>
      <c r="Y94">
        <v>0.48294820161097402</v>
      </c>
      <c r="Z94">
        <v>0.499415973541466</v>
      </c>
      <c r="AA94">
        <v>0.47910754595291799</v>
      </c>
      <c r="AB94">
        <v>0.47617726824457601</v>
      </c>
      <c r="AC94">
        <v>0.50727608345081499</v>
      </c>
      <c r="AD94">
        <v>0.50156230843911598</v>
      </c>
      <c r="AE94">
        <v>0.50</v>
      </c>
      <c r="AF94">
        <v>0.50</v>
      </c>
      <c r="AG94">
        <v>0.468847395858983</v>
      </c>
      <c r="AH94">
        <v>0.50</v>
      </c>
      <c r="AI94">
        <v>0.48990782401059402</v>
      </c>
      <c r="AJ94">
        <v>0.50</v>
      </c>
      <c r="AK94">
        <v>0.50</v>
      </c>
      <c r="AL94">
        <v>0.50</v>
      </c>
      <c r="AM94">
        <v>0.53789395156662501</v>
      </c>
      <c r="AN94">
        <v>0.50156230843911598</v>
      </c>
      <c r="AO94">
        <v>0.48990781376711401</v>
      </c>
      <c r="AP94">
        <v>0.50</v>
      </c>
      <c r="AQ94">
        <v>0.50</v>
      </c>
      <c r="AR94">
        <v>0.50</v>
      </c>
      <c r="AS94">
        <v>0.47155511961869201</v>
      </c>
      <c r="AT94">
        <v>0.50</v>
      </c>
      <c r="AU94">
        <v>0.47491658542613502</v>
      </c>
      <c r="AV94">
        <v>0.49803396448371201</v>
      </c>
      <c r="AW94" t="s">
        <v>203</v>
      </c>
    </row>
    <row r="95" spans="1:49" ht="12.75">
      <c r="A95" t="s">
        <v>201</v>
      </c>
      <c r="B95" t="s">
        <v>29</v>
      </c>
      <c r="C95" t="s">
        <v>356</v>
      </c>
      <c r="D95" t="s">
        <v>203</v>
      </c>
      <c r="E95" t="s">
        <v>203</v>
      </c>
      <c r="F95" t="s">
        <v>223</v>
      </c>
      <c r="G95" t="s">
        <v>793</v>
      </c>
      <c r="H95" t="s">
        <v>203</v>
      </c>
      <c r="I95" t="s">
        <v>203</v>
      </c>
      <c r="J95" t="s">
        <v>203</v>
      </c>
      <c r="K95" t="s">
        <v>203</v>
      </c>
      <c r="L95">
        <v>0.40</v>
      </c>
      <c r="M95">
        <v>0.40</v>
      </c>
      <c r="N95">
        <v>0.40</v>
      </c>
      <c r="O95">
        <v>0.40</v>
      </c>
      <c r="P95">
        <v>0.40</v>
      </c>
      <c r="Q95">
        <v>0.40</v>
      </c>
      <c r="R95">
        <v>0.40</v>
      </c>
      <c r="S95">
        <v>0.40</v>
      </c>
      <c r="T95">
        <v>0.40</v>
      </c>
      <c r="U95">
        <v>0.40</v>
      </c>
      <c r="V95">
        <v>0.40</v>
      </c>
      <c r="W95">
        <v>0.40</v>
      </c>
      <c r="X95">
        <v>0.40</v>
      </c>
      <c r="Y95">
        <v>0.40</v>
      </c>
      <c r="Z95">
        <v>0.40</v>
      </c>
      <c r="AA95">
        <v>0.40</v>
      </c>
      <c r="AB95">
        <v>0.40</v>
      </c>
      <c r="AC95">
        <v>0.40</v>
      </c>
      <c r="AD95">
        <v>0.40</v>
      </c>
      <c r="AE95">
        <v>0.40</v>
      </c>
      <c r="AF95">
        <v>0.40</v>
      </c>
      <c r="AG95">
        <v>0.40</v>
      </c>
      <c r="AH95">
        <v>0.40</v>
      </c>
      <c r="AI95">
        <v>0.40</v>
      </c>
      <c r="AJ95">
        <v>0.40</v>
      </c>
      <c r="AK95">
        <v>0.40</v>
      </c>
      <c r="AL95">
        <v>0.40</v>
      </c>
      <c r="AM95">
        <v>0.40</v>
      </c>
      <c r="AN95">
        <v>0.40</v>
      </c>
      <c r="AO95">
        <v>0.506238228280525</v>
      </c>
      <c r="AP95">
        <v>0.40</v>
      </c>
      <c r="AQ95">
        <v>0.40</v>
      </c>
      <c r="AR95">
        <v>0.40</v>
      </c>
      <c r="AS95">
        <v>0.40</v>
      </c>
      <c r="AT95">
        <v>0.40</v>
      </c>
      <c r="AU95">
        <v>0.49074601915946903</v>
      </c>
      <c r="AV95">
        <v>0.40</v>
      </c>
      <c r="AW95" t="s">
        <v>203</v>
      </c>
    </row>
    <row r="96" spans="1:49" ht="12.75">
      <c r="A96" t="s">
        <v>201</v>
      </c>
      <c r="B96" t="s">
        <v>29</v>
      </c>
      <c r="C96" t="s">
        <v>357</v>
      </c>
      <c r="D96" t="s">
        <v>203</v>
      </c>
      <c r="E96" t="s">
        <v>203</v>
      </c>
      <c r="F96" t="s">
        <v>223</v>
      </c>
      <c r="G96" t="s">
        <v>793</v>
      </c>
      <c r="H96" t="s">
        <v>203</v>
      </c>
      <c r="I96" t="s">
        <v>203</v>
      </c>
      <c r="J96" t="s">
        <v>203</v>
      </c>
      <c r="K96" t="s">
        <v>203</v>
      </c>
      <c r="L96">
        <v>0.62097344674683796</v>
      </c>
      <c r="M96">
        <v>0.80129817444219098</v>
      </c>
      <c r="N96">
        <v>0.62097344674683796</v>
      </c>
      <c r="O96">
        <v>0.81874589207059301</v>
      </c>
      <c r="P96">
        <v>0.65870487814988099</v>
      </c>
      <c r="Q96">
        <v>0.84372457204268103</v>
      </c>
      <c r="R96">
        <v>0.60762576705303395</v>
      </c>
      <c r="S96">
        <v>0.718901829423505</v>
      </c>
      <c r="T96">
        <v>0.84372457204268103</v>
      </c>
      <c r="U96">
        <v>0.76906371732138901</v>
      </c>
      <c r="V96">
        <v>0.723052106584821</v>
      </c>
      <c r="W96">
        <v>0.62097344674683796</v>
      </c>
      <c r="X96">
        <v>0.68787563180803502</v>
      </c>
      <c r="Y96">
        <v>0.74052089032220902</v>
      </c>
      <c r="Z96">
        <v>0.76577084409834095</v>
      </c>
      <c r="AA96">
        <v>0.73463332696680095</v>
      </c>
      <c r="AB96">
        <v>0.73013893624478698</v>
      </c>
      <c r="AC96">
        <v>0.77782189943744895</v>
      </c>
      <c r="AD96">
        <v>0.76906371732138901</v>
      </c>
      <c r="AE96">
        <v>0.76064078097297505</v>
      </c>
      <c r="AF96">
        <v>0.62097344674683796</v>
      </c>
      <c r="AG96">
        <v>0.718899463575013</v>
      </c>
      <c r="AH96">
        <v>0.76576844679983702</v>
      </c>
      <c r="AI96">
        <v>0.75119162212868795</v>
      </c>
      <c r="AJ96">
        <v>0.62097344674683796</v>
      </c>
      <c r="AK96">
        <v>0.62097344674683796</v>
      </c>
      <c r="AL96">
        <v>0.60568177245928501</v>
      </c>
      <c r="AM96">
        <v>0.82477053064442996</v>
      </c>
      <c r="AN96">
        <v>0.76906371732138901</v>
      </c>
      <c r="AO96">
        <v>0.75119111949339001</v>
      </c>
      <c r="AP96">
        <v>0.71123778633130297</v>
      </c>
      <c r="AQ96">
        <v>0.73167867750328097</v>
      </c>
      <c r="AR96">
        <v>0.62097344674683796</v>
      </c>
      <c r="AS96">
        <v>0.72305151215375896</v>
      </c>
      <c r="AT96">
        <v>0.79199113283692402</v>
      </c>
      <c r="AU96">
        <v>0.72820621487632498</v>
      </c>
      <c r="AV96">
        <v>0.76365199742817103</v>
      </c>
      <c r="AW96" t="s">
        <v>203</v>
      </c>
    </row>
    <row r="97" spans="1:49" ht="12.75">
      <c r="A97" t="s">
        <v>201</v>
      </c>
      <c r="B97" t="s">
        <v>29</v>
      </c>
      <c r="C97" t="s">
        <v>358</v>
      </c>
      <c r="D97" t="s">
        <v>203</v>
      </c>
      <c r="E97" t="s">
        <v>203</v>
      </c>
      <c r="F97" t="s">
        <v>223</v>
      </c>
      <c r="G97" t="s">
        <v>793</v>
      </c>
      <c r="H97" t="s">
        <v>203</v>
      </c>
      <c r="I97" t="s">
        <v>203</v>
      </c>
      <c r="J97" t="s">
        <v>203</v>
      </c>
      <c r="K97" t="s">
        <v>203</v>
      </c>
      <c r="L97">
        <v>0.50622880488168898</v>
      </c>
      <c r="M97">
        <v>0.65323309462780399</v>
      </c>
      <c r="N97">
        <v>0.50622880488168898</v>
      </c>
      <c r="O97">
        <v>0.66745795482648296</v>
      </c>
      <c r="P97">
        <v>0.53698897665133205</v>
      </c>
      <c r="Q97">
        <v>0.687818275864581</v>
      </c>
      <c r="R97">
        <v>0.60</v>
      </c>
      <c r="S97">
        <v>0.58605952228892599</v>
      </c>
      <c r="T97">
        <v>0.687818275864581</v>
      </c>
      <c r="U97">
        <v>0.62695461346124903</v>
      </c>
      <c r="V97">
        <v>0.58944286563553405</v>
      </c>
      <c r="W97">
        <v>0.50622880488168898</v>
      </c>
      <c r="X97">
        <v>0.560769385328026</v>
      </c>
      <c r="Y97">
        <v>0.60368694531344402</v>
      </c>
      <c r="Z97">
        <v>0.62426949722203195</v>
      </c>
      <c r="AA97">
        <v>0.59888489314375903</v>
      </c>
      <c r="AB97">
        <v>0.59521972424098402</v>
      </c>
      <c r="AC97">
        <v>0.63409355433985604</v>
      </c>
      <c r="AD97">
        <v>0.62695461346124903</v>
      </c>
      <c r="AE97">
        <v>0.62008671592583597</v>
      </c>
      <c r="AF97">
        <v>0.50622880488168898</v>
      </c>
      <c r="AG97">
        <v>0.58605978029464401</v>
      </c>
      <c r="AH97">
        <v>0.62427214659936303</v>
      </c>
      <c r="AI97">
        <v>0.61238294923506098</v>
      </c>
      <c r="AJ97">
        <v>0.50622880488168898</v>
      </c>
      <c r="AK97">
        <v>0.50622880488168898</v>
      </c>
      <c r="AL97">
        <v>0.60</v>
      </c>
      <c r="AM97">
        <v>0.67236910707943898</v>
      </c>
      <c r="AN97">
        <v>0.62695461346124903</v>
      </c>
      <c r="AO97">
        <v>0.61238422365767797</v>
      </c>
      <c r="AP97">
        <v>0.57981442959629403</v>
      </c>
      <c r="AQ97">
        <v>0.59647676532795701</v>
      </c>
      <c r="AR97">
        <v>0.50622880488168898</v>
      </c>
      <c r="AS97">
        <v>0.589442663186732</v>
      </c>
      <c r="AT97">
        <v>0.64564740446197599</v>
      </c>
      <c r="AU97">
        <v>0.59364448558046001</v>
      </c>
      <c r="AV97">
        <v>0.62254260507425097</v>
      </c>
      <c r="AW97" t="s">
        <v>203</v>
      </c>
    </row>
    <row r="98" spans="1:49" ht="12.75">
      <c r="A98" t="s">
        <v>201</v>
      </c>
      <c r="B98" t="s">
        <v>29</v>
      </c>
      <c r="C98" t="s">
        <v>359</v>
      </c>
      <c r="D98" t="s">
        <v>203</v>
      </c>
      <c r="E98" t="s">
        <v>203</v>
      </c>
      <c r="F98" t="s">
        <v>223</v>
      </c>
      <c r="G98" t="s">
        <v>793</v>
      </c>
      <c r="H98" t="s">
        <v>203</v>
      </c>
      <c r="I98" t="s">
        <v>203</v>
      </c>
      <c r="J98" t="s">
        <v>203</v>
      </c>
      <c r="K98" t="s">
        <v>203</v>
      </c>
      <c r="L98">
        <v>0.60</v>
      </c>
      <c r="M98">
        <v>0.82950118423481201</v>
      </c>
      <c r="N98">
        <v>0.60</v>
      </c>
      <c r="O98">
        <v>0.84756507296539996</v>
      </c>
      <c r="P98">
        <v>0.68188659727912504</v>
      </c>
      <c r="Q98">
        <v>0.87342038114902298</v>
      </c>
      <c r="R98">
        <v>0.60</v>
      </c>
      <c r="S98">
        <v>0.74420502028242896</v>
      </c>
      <c r="T98">
        <v>0.87342038114902298</v>
      </c>
      <c r="U98">
        <v>0.79613153157536198</v>
      </c>
      <c r="V98">
        <v>0.74850140066374504</v>
      </c>
      <c r="W98">
        <v>0.60</v>
      </c>
      <c r="X98">
        <v>0.60</v>
      </c>
      <c r="Y98">
        <v>0.76658436240029004</v>
      </c>
      <c r="Z98">
        <v>0.79272698587993995</v>
      </c>
      <c r="AA98">
        <v>0.76049125912812598</v>
      </c>
      <c r="AB98">
        <v>0.75583806032307699</v>
      </c>
      <c r="AC98">
        <v>0.60</v>
      </c>
      <c r="AD98">
        <v>0.79613153157536198</v>
      </c>
      <c r="AE98">
        <v>0.78741449604583902</v>
      </c>
      <c r="AF98">
        <v>0.60</v>
      </c>
      <c r="AG98">
        <v>0.74420440730545101</v>
      </c>
      <c r="AH98">
        <v>0.79272490530302997</v>
      </c>
      <c r="AI98">
        <v>0.77763218891022801</v>
      </c>
      <c r="AJ98">
        <v>0.60</v>
      </c>
      <c r="AK98">
        <v>0.60</v>
      </c>
      <c r="AL98">
        <v>0.60</v>
      </c>
      <c r="AM98">
        <v>0.85379972978501595</v>
      </c>
      <c r="AN98">
        <v>0.79613153157536198</v>
      </c>
      <c r="AO98">
        <v>0.777636941853317</v>
      </c>
      <c r="AP98">
        <v>0.736268047708726</v>
      </c>
      <c r="AQ98">
        <v>0.75743233774605501</v>
      </c>
      <c r="AR98">
        <v>0.60</v>
      </c>
      <c r="AS98">
        <v>0.74849824218209304</v>
      </c>
      <c r="AT98">
        <v>0.81986938629450701</v>
      </c>
      <c r="AU98">
        <v>0.75383407206271902</v>
      </c>
      <c r="AV98">
        <v>0.79052963098158702</v>
      </c>
      <c r="AW98" t="s">
        <v>203</v>
      </c>
    </row>
    <row r="99" spans="1:49" ht="12.75">
      <c r="A99" t="s">
        <v>201</v>
      </c>
      <c r="B99" t="s">
        <v>29</v>
      </c>
      <c r="C99" t="s">
        <v>360</v>
      </c>
      <c r="D99" t="s">
        <v>203</v>
      </c>
      <c r="E99" t="s">
        <v>203</v>
      </c>
      <c r="F99" t="s">
        <v>223</v>
      </c>
      <c r="G99" t="s">
        <v>793</v>
      </c>
      <c r="H99" t="s">
        <v>203</v>
      </c>
      <c r="I99" t="s">
        <v>203</v>
      </c>
      <c r="J99" t="s">
        <v>203</v>
      </c>
      <c r="K99" t="s">
        <v>203</v>
      </c>
      <c r="L99">
        <v>0.48598115955219801</v>
      </c>
      <c r="M99">
        <v>0.62710251209237</v>
      </c>
      <c r="N99">
        <v>0.48598115955219801</v>
      </c>
      <c r="O99">
        <v>0.64075738975544005</v>
      </c>
      <c r="P99">
        <v>0.51550653842653005</v>
      </c>
      <c r="Q99">
        <v>0.66030593266058102</v>
      </c>
      <c r="R99">
        <v>0.66666666666666696</v>
      </c>
      <c r="S99">
        <v>0.66666666666666696</v>
      </c>
      <c r="T99">
        <v>0.66030593266058102</v>
      </c>
      <c r="U99">
        <v>0.60187543638611796</v>
      </c>
      <c r="V99">
        <v>0.56586562587120104</v>
      </c>
      <c r="W99">
        <v>0.48598115955219801</v>
      </c>
      <c r="X99">
        <v>0.538337841823193</v>
      </c>
      <c r="Y99">
        <v>0.66666666666666696</v>
      </c>
      <c r="Z99">
        <v>0.59929863141498196</v>
      </c>
      <c r="AA99">
        <v>0.57493234425441297</v>
      </c>
      <c r="AB99">
        <v>0.57141450607154598</v>
      </c>
      <c r="AC99">
        <v>0.60873144456782702</v>
      </c>
      <c r="AD99">
        <v>0.60187543638611796</v>
      </c>
      <c r="AE99">
        <v>0.59528022164973504</v>
      </c>
      <c r="AF99">
        <v>0.48598115955219801</v>
      </c>
      <c r="AG99">
        <v>0.66666666666666696</v>
      </c>
      <c r="AH99">
        <v>0.59929878165710004</v>
      </c>
      <c r="AI99">
        <v>0.58788831726503299</v>
      </c>
      <c r="AJ99">
        <v>0.48598115955219801</v>
      </c>
      <c r="AK99">
        <v>0.48598115955219801</v>
      </c>
      <c r="AL99">
        <v>0.47401029773897502</v>
      </c>
      <c r="AM99">
        <v>0.64547332315164896</v>
      </c>
      <c r="AN99">
        <v>0.60187543638611796</v>
      </c>
      <c r="AO99">
        <v>0.58788939260837902</v>
      </c>
      <c r="AP99">
        <v>0.55662080368926403</v>
      </c>
      <c r="AQ99">
        <v>0.57261948361105997</v>
      </c>
      <c r="AR99">
        <v>0.48598115955219801</v>
      </c>
      <c r="AS99">
        <v>0.56586659732154498</v>
      </c>
      <c r="AT99">
        <v>0.61982327909434998</v>
      </c>
      <c r="AU99">
        <v>0.56989791016701496</v>
      </c>
      <c r="AV99">
        <v>0.66666666666666696</v>
      </c>
      <c r="AW99" t="s">
        <v>203</v>
      </c>
    </row>
    <row r="100" spans="1:49" ht="12.75">
      <c r="A100" t="s">
        <v>201</v>
      </c>
      <c r="B100" t="s">
        <v>29</v>
      </c>
      <c r="C100" t="s">
        <v>361</v>
      </c>
      <c r="D100" t="s">
        <v>203</v>
      </c>
      <c r="E100" t="s">
        <v>203</v>
      </c>
      <c r="F100" t="s">
        <v>223</v>
      </c>
      <c r="G100" t="s">
        <v>793</v>
      </c>
      <c r="H100" t="s">
        <v>203</v>
      </c>
      <c r="I100" t="s">
        <v>203</v>
      </c>
      <c r="J100" t="s">
        <v>203</v>
      </c>
      <c r="K100" t="s">
        <v>203</v>
      </c>
      <c r="L100">
        <v>0.47248107163657499</v>
      </c>
      <c r="M100">
        <v>0.60968216033169498</v>
      </c>
      <c r="N100">
        <v>0.47248107163657499</v>
      </c>
      <c r="O100">
        <v>0.62296069650733199</v>
      </c>
      <c r="P100">
        <v>0.50118797881341204</v>
      </c>
      <c r="Q100">
        <v>0.64196549490667099</v>
      </c>
      <c r="R100">
        <v>0.46232472664593599</v>
      </c>
      <c r="S100">
        <v>0.54698986859033305</v>
      </c>
      <c r="T100">
        <v>0.64196549490667099</v>
      </c>
      <c r="U100">
        <v>0.58515687159968199</v>
      </c>
      <c r="V100">
        <v>0.55014724650216096</v>
      </c>
      <c r="W100">
        <v>0.47248107163657499</v>
      </c>
      <c r="X100">
        <v>0.52338400434479704</v>
      </c>
      <c r="Y100">
        <v>0.56344177798950601</v>
      </c>
      <c r="Z100">
        <v>0.58265116795382099</v>
      </c>
      <c r="AA100">
        <v>0.55896145653309803</v>
      </c>
      <c r="AB100">
        <v>0.60</v>
      </c>
      <c r="AC100">
        <v>0.59182255987559296</v>
      </c>
      <c r="AD100">
        <v>0.58515687159968199</v>
      </c>
      <c r="AE100">
        <v>0.57874846218708098</v>
      </c>
      <c r="AF100">
        <v>0.47248107163657499</v>
      </c>
      <c r="AG100">
        <v>0.54699173886761998</v>
      </c>
      <c r="AH100">
        <v>0.58265223666383903</v>
      </c>
      <c r="AI100">
        <v>0.57155887279946105</v>
      </c>
      <c r="AJ100">
        <v>0.47248107163657499</v>
      </c>
      <c r="AK100">
        <v>0.47248107163657499</v>
      </c>
      <c r="AL100">
        <v>0.60</v>
      </c>
      <c r="AM100">
        <v>0.62754346182917597</v>
      </c>
      <c r="AN100">
        <v>0.58515687159968199</v>
      </c>
      <c r="AO100">
        <v>0.57155910531953502</v>
      </c>
      <c r="AP100">
        <v>0.54116067442980298</v>
      </c>
      <c r="AQ100">
        <v>0.55671277419880905</v>
      </c>
      <c r="AR100">
        <v>0.47248107163657499</v>
      </c>
      <c r="AS100">
        <v>0.55014722417938</v>
      </c>
      <c r="AT100">
        <v>0.60260398266309401</v>
      </c>
      <c r="AU100">
        <v>0.55406943800989605</v>
      </c>
      <c r="AV100">
        <v>0.58104048415592202</v>
      </c>
      <c r="AW100" t="s">
        <v>203</v>
      </c>
    </row>
    <row r="101" spans="1:49" ht="12.75">
      <c r="A101" t="s">
        <v>201</v>
      </c>
      <c r="B101" t="s">
        <v>29</v>
      </c>
      <c r="C101" t="s">
        <v>362</v>
      </c>
      <c r="D101" t="s">
        <v>203</v>
      </c>
      <c r="E101" t="s">
        <v>203</v>
      </c>
      <c r="F101" t="s">
        <v>223</v>
      </c>
      <c r="G101" t="s">
        <v>793</v>
      </c>
      <c r="H101" t="s">
        <v>203</v>
      </c>
      <c r="I101" t="s">
        <v>203</v>
      </c>
      <c r="J101" t="s">
        <v>203</v>
      </c>
      <c r="K101" t="s">
        <v>203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 t="s">
        <v>203</v>
      </c>
    </row>
    <row r="102" spans="1:49" ht="12.75">
      <c r="A102" t="s">
        <v>201</v>
      </c>
      <c r="B102" t="s">
        <v>29</v>
      </c>
      <c r="C102" t="s">
        <v>363</v>
      </c>
      <c r="D102" t="s">
        <v>203</v>
      </c>
      <c r="E102" t="s">
        <v>203</v>
      </c>
      <c r="F102" t="s">
        <v>223</v>
      </c>
      <c r="G102" t="s">
        <v>793</v>
      </c>
      <c r="H102" t="s">
        <v>203</v>
      </c>
      <c r="I102" t="s">
        <v>203</v>
      </c>
      <c r="J102" t="s">
        <v>203</v>
      </c>
      <c r="K102" t="s">
        <v>203</v>
      </c>
      <c r="L102">
        <v>0.50</v>
      </c>
      <c r="M102">
        <v>0.52258518286964695</v>
      </c>
      <c r="N102">
        <v>0.50</v>
      </c>
      <c r="O102">
        <v>0.53396362894475702</v>
      </c>
      <c r="P102">
        <v>0.429590509892191</v>
      </c>
      <c r="Q102">
        <v>0.50</v>
      </c>
      <c r="R102">
        <v>0.39627706516162098</v>
      </c>
      <c r="S102">
        <v>0.46884830333710698</v>
      </c>
      <c r="T102">
        <v>0.50</v>
      </c>
      <c r="U102">
        <v>0.50156230843911598</v>
      </c>
      <c r="V102">
        <v>0.47155471498096702</v>
      </c>
      <c r="W102">
        <v>0.50</v>
      </c>
      <c r="X102">
        <v>0.44861364568176199</v>
      </c>
      <c r="Y102">
        <v>0.48294820161097402</v>
      </c>
      <c r="Z102">
        <v>0.499415973541466</v>
      </c>
      <c r="AA102">
        <v>0.47910754595291799</v>
      </c>
      <c r="AB102">
        <v>0.47617726824457601</v>
      </c>
      <c r="AC102">
        <v>0.50727608345081499</v>
      </c>
      <c r="AD102">
        <v>0.50156230843911598</v>
      </c>
      <c r="AE102">
        <v>0.50</v>
      </c>
      <c r="AF102">
        <v>0.50</v>
      </c>
      <c r="AG102">
        <v>0.468847395858983</v>
      </c>
      <c r="AH102">
        <v>0.50</v>
      </c>
      <c r="AI102">
        <v>0.48990782401059402</v>
      </c>
      <c r="AJ102">
        <v>0.50</v>
      </c>
      <c r="AK102">
        <v>0.50</v>
      </c>
      <c r="AL102">
        <v>0.50</v>
      </c>
      <c r="AM102">
        <v>0.53789395156662501</v>
      </c>
      <c r="AN102">
        <v>0.50156230843911598</v>
      </c>
      <c r="AO102">
        <v>0.48990781376711401</v>
      </c>
      <c r="AP102">
        <v>0.50</v>
      </c>
      <c r="AQ102">
        <v>0.50</v>
      </c>
      <c r="AR102">
        <v>0.50</v>
      </c>
      <c r="AS102">
        <v>0.47155511961869201</v>
      </c>
      <c r="AT102">
        <v>0.50</v>
      </c>
      <c r="AU102">
        <v>0.47491658542613502</v>
      </c>
      <c r="AV102">
        <v>0.49803396448371201</v>
      </c>
      <c r="AW102" t="s">
        <v>203</v>
      </c>
    </row>
    <row r="103" spans="1:49" ht="12.75">
      <c r="A103" t="s">
        <v>201</v>
      </c>
      <c r="B103" t="s">
        <v>29</v>
      </c>
      <c r="C103" t="s">
        <v>364</v>
      </c>
      <c r="D103" t="s">
        <v>203</v>
      </c>
      <c r="E103" t="s">
        <v>203</v>
      </c>
      <c r="F103" t="s">
        <v>223</v>
      </c>
      <c r="G103" t="s">
        <v>793</v>
      </c>
      <c r="H103" t="s">
        <v>203</v>
      </c>
      <c r="I103" t="s">
        <v>203</v>
      </c>
      <c r="J103" t="s">
        <v>203</v>
      </c>
      <c r="K103" t="s">
        <v>203</v>
      </c>
      <c r="L103">
        <v>0.40</v>
      </c>
      <c r="M103">
        <v>0.40</v>
      </c>
      <c r="N103">
        <v>0.40</v>
      </c>
      <c r="O103">
        <v>0.40</v>
      </c>
      <c r="P103">
        <v>0.40</v>
      </c>
      <c r="Q103">
        <v>0.40</v>
      </c>
      <c r="R103">
        <v>0.40</v>
      </c>
      <c r="S103">
        <v>0.40</v>
      </c>
      <c r="T103">
        <v>0.40</v>
      </c>
      <c r="U103">
        <v>0.40</v>
      </c>
      <c r="V103">
        <v>0.40</v>
      </c>
      <c r="W103">
        <v>0.40</v>
      </c>
      <c r="X103">
        <v>0.40</v>
      </c>
      <c r="Y103">
        <v>0.40</v>
      </c>
      <c r="Z103">
        <v>0.40</v>
      </c>
      <c r="AA103">
        <v>0.40</v>
      </c>
      <c r="AB103">
        <v>0.40</v>
      </c>
      <c r="AC103">
        <v>0.40</v>
      </c>
      <c r="AD103">
        <v>0.40</v>
      </c>
      <c r="AE103">
        <v>0.40</v>
      </c>
      <c r="AF103">
        <v>0.40</v>
      </c>
      <c r="AG103">
        <v>0.40</v>
      </c>
      <c r="AH103">
        <v>0.40</v>
      </c>
      <c r="AI103">
        <v>0.40</v>
      </c>
      <c r="AJ103">
        <v>0.40</v>
      </c>
      <c r="AK103">
        <v>0.40</v>
      </c>
      <c r="AL103">
        <v>0.40</v>
      </c>
      <c r="AM103">
        <v>0.40</v>
      </c>
      <c r="AN103">
        <v>0.40</v>
      </c>
      <c r="AO103">
        <v>0.506238228280525</v>
      </c>
      <c r="AP103">
        <v>0.40</v>
      </c>
      <c r="AQ103">
        <v>0.40</v>
      </c>
      <c r="AR103">
        <v>0.40</v>
      </c>
      <c r="AS103">
        <v>0.40</v>
      </c>
      <c r="AT103">
        <v>0.40</v>
      </c>
      <c r="AU103">
        <v>0.49074601915946903</v>
      </c>
      <c r="AV103">
        <v>0.40</v>
      </c>
      <c r="AW103" t="s">
        <v>203</v>
      </c>
    </row>
    <row r="104" spans="1:49" ht="12.75">
      <c r="A104" t="s">
        <v>201</v>
      </c>
      <c r="B104" t="s">
        <v>29</v>
      </c>
      <c r="C104" t="s">
        <v>365</v>
      </c>
      <c r="D104" t="s">
        <v>203</v>
      </c>
      <c r="E104" t="s">
        <v>203</v>
      </c>
      <c r="F104" t="s">
        <v>223</v>
      </c>
      <c r="G104" t="s">
        <v>793</v>
      </c>
      <c r="H104" t="s">
        <v>203</v>
      </c>
      <c r="I104" t="s">
        <v>203</v>
      </c>
      <c r="J104" t="s">
        <v>203</v>
      </c>
      <c r="K104" t="s">
        <v>203</v>
      </c>
      <c r="L104">
        <v>0.62097344674683796</v>
      </c>
      <c r="M104">
        <v>0.80129817444219098</v>
      </c>
      <c r="N104">
        <v>0.62097344674683796</v>
      </c>
      <c r="O104">
        <v>0.81874589207059301</v>
      </c>
      <c r="P104">
        <v>0.65870487814988099</v>
      </c>
      <c r="Q104">
        <v>0.84372457204268103</v>
      </c>
      <c r="R104">
        <v>0.60762576705303395</v>
      </c>
      <c r="S104">
        <v>0.718901829423505</v>
      </c>
      <c r="T104">
        <v>0.84372457204268103</v>
      </c>
      <c r="U104">
        <v>0.76906371732138901</v>
      </c>
      <c r="V104">
        <v>0.723052106584821</v>
      </c>
      <c r="W104">
        <v>0.62097344674683796</v>
      </c>
      <c r="X104">
        <v>0.68787563180803502</v>
      </c>
      <c r="Y104">
        <v>0.74052089032220902</v>
      </c>
      <c r="Z104">
        <v>0.76577084409834095</v>
      </c>
      <c r="AA104">
        <v>0.73463332696680095</v>
      </c>
      <c r="AB104">
        <v>0.73013893624478698</v>
      </c>
      <c r="AC104">
        <v>0.77782189943744895</v>
      </c>
      <c r="AD104">
        <v>0.76906371732138901</v>
      </c>
      <c r="AE104">
        <v>0.76064078097297505</v>
      </c>
      <c r="AF104">
        <v>0.62097344674683796</v>
      </c>
      <c r="AG104">
        <v>0.718899463575013</v>
      </c>
      <c r="AH104">
        <v>0.76576844679983702</v>
      </c>
      <c r="AI104">
        <v>0.75119162212868795</v>
      </c>
      <c r="AJ104">
        <v>0.62097344674683796</v>
      </c>
      <c r="AK104">
        <v>0.62097344674683796</v>
      </c>
      <c r="AL104">
        <v>0.60568177245928501</v>
      </c>
      <c r="AM104">
        <v>0.82477053064442996</v>
      </c>
      <c r="AN104">
        <v>0.76906371732138901</v>
      </c>
      <c r="AO104">
        <v>0.75119111949339001</v>
      </c>
      <c r="AP104">
        <v>0.71123778633130297</v>
      </c>
      <c r="AQ104">
        <v>0.73167867750328097</v>
      </c>
      <c r="AR104">
        <v>0.62097344674683796</v>
      </c>
      <c r="AS104">
        <v>0.72305151215375896</v>
      </c>
      <c r="AT104">
        <v>0.79199113283692402</v>
      </c>
      <c r="AU104">
        <v>0.72820621487632498</v>
      </c>
      <c r="AV104">
        <v>0.76365199742817103</v>
      </c>
      <c r="AW104" t="s">
        <v>203</v>
      </c>
    </row>
    <row r="105" spans="1:49" ht="12.75">
      <c r="A105" t="s">
        <v>201</v>
      </c>
      <c r="B105" t="s">
        <v>29</v>
      </c>
      <c r="C105" t="s">
        <v>366</v>
      </c>
      <c r="D105" t="s">
        <v>203</v>
      </c>
      <c r="E105" t="s">
        <v>203</v>
      </c>
      <c r="F105" t="s">
        <v>223</v>
      </c>
      <c r="G105" t="s">
        <v>793</v>
      </c>
      <c r="H105" t="s">
        <v>203</v>
      </c>
      <c r="I105" t="s">
        <v>203</v>
      </c>
      <c r="J105" t="s">
        <v>203</v>
      </c>
      <c r="K105" t="s">
        <v>203</v>
      </c>
      <c r="L105">
        <v>0.50622880488168898</v>
      </c>
      <c r="M105">
        <v>0.65323309462780399</v>
      </c>
      <c r="N105">
        <v>0.50622880488168898</v>
      </c>
      <c r="O105">
        <v>0.66745795482648296</v>
      </c>
      <c r="P105">
        <v>0.53698897665133205</v>
      </c>
      <c r="Q105">
        <v>0.687818275864581</v>
      </c>
      <c r="R105">
        <v>0.60</v>
      </c>
      <c r="S105">
        <v>0.58605952228892599</v>
      </c>
      <c r="T105">
        <v>0.687818275864581</v>
      </c>
      <c r="U105">
        <v>0.62695461346124903</v>
      </c>
      <c r="V105">
        <v>0.58944286563553405</v>
      </c>
      <c r="W105">
        <v>0.50622880488168898</v>
      </c>
      <c r="X105">
        <v>0.560769385328026</v>
      </c>
      <c r="Y105">
        <v>0.60368694531344402</v>
      </c>
      <c r="Z105">
        <v>0.62426949722203195</v>
      </c>
      <c r="AA105">
        <v>0.59888489314375903</v>
      </c>
      <c r="AB105">
        <v>0.59521972424098402</v>
      </c>
      <c r="AC105">
        <v>0.63409355433985604</v>
      </c>
      <c r="AD105">
        <v>0.62695461346124903</v>
      </c>
      <c r="AE105">
        <v>0.62008671592583597</v>
      </c>
      <c r="AF105">
        <v>0.50622880488168898</v>
      </c>
      <c r="AG105">
        <v>0.58605978029464401</v>
      </c>
      <c r="AH105">
        <v>0.62427214659936303</v>
      </c>
      <c r="AI105">
        <v>0.61238294923506098</v>
      </c>
      <c r="AJ105">
        <v>0.50622880488168898</v>
      </c>
      <c r="AK105">
        <v>0.50622880488168898</v>
      </c>
      <c r="AL105">
        <v>0.60</v>
      </c>
      <c r="AM105">
        <v>0.67236910707943898</v>
      </c>
      <c r="AN105">
        <v>0.62695461346124903</v>
      </c>
      <c r="AO105">
        <v>0.61238422365767797</v>
      </c>
      <c r="AP105">
        <v>0.57981442959629403</v>
      </c>
      <c r="AQ105">
        <v>0.59647676532795701</v>
      </c>
      <c r="AR105">
        <v>0.50622880488168898</v>
      </c>
      <c r="AS105">
        <v>0.589442663186732</v>
      </c>
      <c r="AT105">
        <v>0.64564740446197599</v>
      </c>
      <c r="AU105">
        <v>0.59364448558046001</v>
      </c>
      <c r="AV105">
        <v>0.62254260507425097</v>
      </c>
      <c r="AW105" t="s">
        <v>203</v>
      </c>
    </row>
    <row r="106" spans="1:49" ht="12.75">
      <c r="A106" t="s">
        <v>201</v>
      </c>
      <c r="B106" t="s">
        <v>29</v>
      </c>
      <c r="C106" t="s">
        <v>367</v>
      </c>
      <c r="D106" t="s">
        <v>203</v>
      </c>
      <c r="E106" t="s">
        <v>203</v>
      </c>
      <c r="F106" t="s">
        <v>223</v>
      </c>
      <c r="G106" t="s">
        <v>793</v>
      </c>
      <c r="H106" t="s">
        <v>203</v>
      </c>
      <c r="I106" t="s">
        <v>203</v>
      </c>
      <c r="J106" t="s">
        <v>203</v>
      </c>
      <c r="K106" t="s">
        <v>203</v>
      </c>
      <c r="L106">
        <v>0.60</v>
      </c>
      <c r="M106">
        <v>0.82950118423481201</v>
      </c>
      <c r="N106">
        <v>0.60</v>
      </c>
      <c r="O106">
        <v>0.84756507296539996</v>
      </c>
      <c r="P106">
        <v>0.68188659727912504</v>
      </c>
      <c r="Q106">
        <v>0.87342038114902298</v>
      </c>
      <c r="R106">
        <v>0.60</v>
      </c>
      <c r="S106">
        <v>0.74420502028242896</v>
      </c>
      <c r="T106">
        <v>0.87342038114902298</v>
      </c>
      <c r="U106">
        <v>0.79613153157536198</v>
      </c>
      <c r="V106">
        <v>0.74850140066374504</v>
      </c>
      <c r="W106">
        <v>0.60</v>
      </c>
      <c r="X106">
        <v>0.60</v>
      </c>
      <c r="Y106">
        <v>0.76658436240029004</v>
      </c>
      <c r="Z106">
        <v>0.79272698587993995</v>
      </c>
      <c r="AA106">
        <v>0.76049125912812598</v>
      </c>
      <c r="AB106">
        <v>0.75583806032307699</v>
      </c>
      <c r="AC106">
        <v>0.60</v>
      </c>
      <c r="AD106">
        <v>0.79613153157536198</v>
      </c>
      <c r="AE106">
        <v>0.78741449604583902</v>
      </c>
      <c r="AF106">
        <v>0.60</v>
      </c>
      <c r="AG106">
        <v>0.74420440730545101</v>
      </c>
      <c r="AH106">
        <v>0.79272490530302997</v>
      </c>
      <c r="AI106">
        <v>0.77763218891022801</v>
      </c>
      <c r="AJ106">
        <v>0.60</v>
      </c>
      <c r="AK106">
        <v>0.60</v>
      </c>
      <c r="AL106">
        <v>0.60</v>
      </c>
      <c r="AM106">
        <v>0.85379972978501595</v>
      </c>
      <c r="AN106">
        <v>0.79613153157536198</v>
      </c>
      <c r="AO106">
        <v>0.777636941853317</v>
      </c>
      <c r="AP106">
        <v>0.736268047708726</v>
      </c>
      <c r="AQ106">
        <v>0.75743233774605501</v>
      </c>
      <c r="AR106">
        <v>0.60</v>
      </c>
      <c r="AS106">
        <v>0.74849824218209304</v>
      </c>
      <c r="AT106">
        <v>0.81986938629450701</v>
      </c>
      <c r="AU106">
        <v>0.75383407206271902</v>
      </c>
      <c r="AV106">
        <v>0.79052963098158702</v>
      </c>
      <c r="AW106" t="s">
        <v>203</v>
      </c>
    </row>
    <row r="107" spans="1:49" ht="12.75">
      <c r="A107" t="s">
        <v>201</v>
      </c>
      <c r="B107" t="s">
        <v>29</v>
      </c>
      <c r="C107" t="s">
        <v>368</v>
      </c>
      <c r="D107" t="s">
        <v>203</v>
      </c>
      <c r="E107" t="s">
        <v>203</v>
      </c>
      <c r="F107" t="s">
        <v>223</v>
      </c>
      <c r="G107" t="s">
        <v>793</v>
      </c>
      <c r="H107" t="s">
        <v>203</v>
      </c>
      <c r="I107" t="s">
        <v>203</v>
      </c>
      <c r="J107" t="s">
        <v>203</v>
      </c>
      <c r="K107" t="s">
        <v>203</v>
      </c>
      <c r="L107">
        <v>0.48598115955219801</v>
      </c>
      <c r="M107">
        <v>0.62710251209237</v>
      </c>
      <c r="N107">
        <v>0.48598115955219801</v>
      </c>
      <c r="O107">
        <v>0.64075738975544005</v>
      </c>
      <c r="P107">
        <v>0.51550653842653005</v>
      </c>
      <c r="Q107">
        <v>0.66030593266058102</v>
      </c>
      <c r="R107">
        <v>0.66666666666666696</v>
      </c>
      <c r="S107">
        <v>0.66666666666666696</v>
      </c>
      <c r="T107">
        <v>0.66030593266058102</v>
      </c>
      <c r="U107">
        <v>0.60187543638611796</v>
      </c>
      <c r="V107">
        <v>0.56586562587120104</v>
      </c>
      <c r="W107">
        <v>0.48598115955219801</v>
      </c>
      <c r="X107">
        <v>0.538337841823193</v>
      </c>
      <c r="Y107">
        <v>0.66666666666666696</v>
      </c>
      <c r="Z107">
        <v>0.59929863141498196</v>
      </c>
      <c r="AA107">
        <v>0.57493234425441297</v>
      </c>
      <c r="AB107">
        <v>0.57141450607154598</v>
      </c>
      <c r="AC107">
        <v>0.60873144456782702</v>
      </c>
      <c r="AD107">
        <v>0.60187543638611796</v>
      </c>
      <c r="AE107">
        <v>0.59528022164973504</v>
      </c>
      <c r="AF107">
        <v>0.48598115955219801</v>
      </c>
      <c r="AG107">
        <v>0.66666666666666696</v>
      </c>
      <c r="AH107">
        <v>0.59929878165710004</v>
      </c>
      <c r="AI107">
        <v>0.58788831726503299</v>
      </c>
      <c r="AJ107">
        <v>0.48598115955219801</v>
      </c>
      <c r="AK107">
        <v>0.48598115955219801</v>
      </c>
      <c r="AL107">
        <v>0.47401029773897502</v>
      </c>
      <c r="AM107">
        <v>0.64547332315164896</v>
      </c>
      <c r="AN107">
        <v>0.60187543638611796</v>
      </c>
      <c r="AO107">
        <v>0.58788939260837902</v>
      </c>
      <c r="AP107">
        <v>0.55662080368926403</v>
      </c>
      <c r="AQ107">
        <v>0.57261948361105997</v>
      </c>
      <c r="AR107">
        <v>0.48598115955219801</v>
      </c>
      <c r="AS107">
        <v>0.56586659732154498</v>
      </c>
      <c r="AT107">
        <v>0.61982327909434998</v>
      </c>
      <c r="AU107">
        <v>0.56989791016701496</v>
      </c>
      <c r="AV107">
        <v>0.66666666666666696</v>
      </c>
      <c r="AW107" t="s">
        <v>203</v>
      </c>
    </row>
    <row r="108" spans="1:49" ht="12.75">
      <c r="A108" t="s">
        <v>201</v>
      </c>
      <c r="B108" t="s">
        <v>29</v>
      </c>
      <c r="C108" t="s">
        <v>369</v>
      </c>
      <c r="D108" t="s">
        <v>203</v>
      </c>
      <c r="E108" t="s">
        <v>203</v>
      </c>
      <c r="F108" t="s">
        <v>223</v>
      </c>
      <c r="G108" t="s">
        <v>793</v>
      </c>
      <c r="H108" t="s">
        <v>203</v>
      </c>
      <c r="I108" t="s">
        <v>203</v>
      </c>
      <c r="J108" t="s">
        <v>203</v>
      </c>
      <c r="K108" t="s">
        <v>203</v>
      </c>
      <c r="L108">
        <v>0.47248107163657499</v>
      </c>
      <c r="M108">
        <v>0.60968216033169498</v>
      </c>
      <c r="N108">
        <v>0.47248107163657499</v>
      </c>
      <c r="O108">
        <v>0.62296069650733199</v>
      </c>
      <c r="P108">
        <v>0.50118797881341204</v>
      </c>
      <c r="Q108">
        <v>0.64196549490667099</v>
      </c>
      <c r="R108">
        <v>0.46232472664593599</v>
      </c>
      <c r="S108">
        <v>0.54698986859033305</v>
      </c>
      <c r="T108">
        <v>0.64196549490667099</v>
      </c>
      <c r="U108">
        <v>0.58515687159968199</v>
      </c>
      <c r="V108">
        <v>0.55014724650216096</v>
      </c>
      <c r="W108">
        <v>0.47248107163657499</v>
      </c>
      <c r="X108">
        <v>0.52338400434479704</v>
      </c>
      <c r="Y108">
        <v>0.56344177798950601</v>
      </c>
      <c r="Z108">
        <v>0.58265116795382099</v>
      </c>
      <c r="AA108">
        <v>0.55896145653309803</v>
      </c>
      <c r="AB108">
        <v>0.60</v>
      </c>
      <c r="AC108">
        <v>0.59182255987559296</v>
      </c>
      <c r="AD108">
        <v>0.58515687159968199</v>
      </c>
      <c r="AE108">
        <v>0.57874846218708098</v>
      </c>
      <c r="AF108">
        <v>0.47248107163657499</v>
      </c>
      <c r="AG108">
        <v>0.54699173886761998</v>
      </c>
      <c r="AH108">
        <v>0.58265223666383903</v>
      </c>
      <c r="AI108">
        <v>0.57155887279946105</v>
      </c>
      <c r="AJ108">
        <v>0.47248107163657499</v>
      </c>
      <c r="AK108">
        <v>0.47248107163657499</v>
      </c>
      <c r="AL108">
        <v>0.60</v>
      </c>
      <c r="AM108">
        <v>0.62754346182917597</v>
      </c>
      <c r="AN108">
        <v>0.58515687159968199</v>
      </c>
      <c r="AO108">
        <v>0.57155910531953502</v>
      </c>
      <c r="AP108">
        <v>0.54116067442980298</v>
      </c>
      <c r="AQ108">
        <v>0.55671277419880905</v>
      </c>
      <c r="AR108">
        <v>0.47248107163657499</v>
      </c>
      <c r="AS108">
        <v>0.55014722417938</v>
      </c>
      <c r="AT108">
        <v>0.60260398266309401</v>
      </c>
      <c r="AU108">
        <v>0.55406943800989605</v>
      </c>
      <c r="AV108">
        <v>0.58104048415592202</v>
      </c>
      <c r="AW108" t="s">
        <v>203</v>
      </c>
    </row>
    <row r="109" spans="1:49" ht="12.75">
      <c r="A109" t="s">
        <v>201</v>
      </c>
      <c r="B109" t="s">
        <v>29</v>
      </c>
      <c r="C109" t="s">
        <v>370</v>
      </c>
      <c r="D109" t="s">
        <v>203</v>
      </c>
      <c r="E109" t="s">
        <v>203</v>
      </c>
      <c r="F109" t="s">
        <v>223</v>
      </c>
      <c r="G109" t="s">
        <v>793</v>
      </c>
      <c r="H109" t="s">
        <v>203</v>
      </c>
      <c r="I109" t="s">
        <v>203</v>
      </c>
      <c r="J109" t="s">
        <v>203</v>
      </c>
      <c r="K109" t="s">
        <v>203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 t="s">
        <v>203</v>
      </c>
    </row>
    <row r="110" spans="1:49" ht="12.75">
      <c r="A110" t="s">
        <v>201</v>
      </c>
      <c r="B110" t="s">
        <v>29</v>
      </c>
      <c r="C110" t="s">
        <v>371</v>
      </c>
      <c r="D110" t="s">
        <v>203</v>
      </c>
      <c r="E110" t="s">
        <v>203</v>
      </c>
      <c r="F110" t="s">
        <v>223</v>
      </c>
      <c r="G110" t="s">
        <v>793</v>
      </c>
      <c r="H110" t="s">
        <v>203</v>
      </c>
      <c r="I110" t="s">
        <v>203</v>
      </c>
      <c r="J110" t="s">
        <v>203</v>
      </c>
      <c r="K110" t="s">
        <v>203</v>
      </c>
      <c r="L110">
        <v>0.50</v>
      </c>
      <c r="M110">
        <v>0.52258518286964695</v>
      </c>
      <c r="N110">
        <v>0.50</v>
      </c>
      <c r="O110">
        <v>0.53396362894475702</v>
      </c>
      <c r="P110">
        <v>0.429590509892191</v>
      </c>
      <c r="Q110">
        <v>0.50</v>
      </c>
      <c r="R110">
        <v>0.39627706516162098</v>
      </c>
      <c r="S110">
        <v>0.46884830333710698</v>
      </c>
      <c r="T110">
        <v>0.50</v>
      </c>
      <c r="U110">
        <v>0.50156230843911598</v>
      </c>
      <c r="V110">
        <v>0.47155471498096702</v>
      </c>
      <c r="W110">
        <v>0.50</v>
      </c>
      <c r="X110">
        <v>0.44861364568176199</v>
      </c>
      <c r="Y110">
        <v>0.48294820161097402</v>
      </c>
      <c r="Z110">
        <v>0.499415973541466</v>
      </c>
      <c r="AA110">
        <v>0.47910754595291799</v>
      </c>
      <c r="AB110">
        <v>0.47617726824457601</v>
      </c>
      <c r="AC110">
        <v>0.50727608345081499</v>
      </c>
      <c r="AD110">
        <v>0.50156230843911598</v>
      </c>
      <c r="AE110">
        <v>0.50</v>
      </c>
      <c r="AF110">
        <v>0.50</v>
      </c>
      <c r="AG110">
        <v>0.468847395858983</v>
      </c>
      <c r="AH110">
        <v>0.50</v>
      </c>
      <c r="AI110">
        <v>0.48990782401059402</v>
      </c>
      <c r="AJ110">
        <v>0.50</v>
      </c>
      <c r="AK110">
        <v>0.50</v>
      </c>
      <c r="AL110">
        <v>0.50</v>
      </c>
      <c r="AM110">
        <v>0.53789395156662501</v>
      </c>
      <c r="AN110">
        <v>0.50156230843911598</v>
      </c>
      <c r="AO110">
        <v>0.48990781376711401</v>
      </c>
      <c r="AP110">
        <v>0.50</v>
      </c>
      <c r="AQ110">
        <v>0.50</v>
      </c>
      <c r="AR110">
        <v>0.50</v>
      </c>
      <c r="AS110">
        <v>0.47155511961869201</v>
      </c>
      <c r="AT110">
        <v>0.50</v>
      </c>
      <c r="AU110">
        <v>0.47491658542613502</v>
      </c>
      <c r="AV110">
        <v>0.49803396448371201</v>
      </c>
      <c r="AW110" t="s">
        <v>203</v>
      </c>
    </row>
    <row r="111" spans="1:49" ht="12.75">
      <c r="A111" t="s">
        <v>201</v>
      </c>
      <c r="B111" t="s">
        <v>29</v>
      </c>
      <c r="C111" t="s">
        <v>372</v>
      </c>
      <c r="D111" t="s">
        <v>203</v>
      </c>
      <c r="E111" t="s">
        <v>203</v>
      </c>
      <c r="F111" t="s">
        <v>223</v>
      </c>
      <c r="G111" t="s">
        <v>793</v>
      </c>
      <c r="H111" t="s">
        <v>203</v>
      </c>
      <c r="I111" t="s">
        <v>203</v>
      </c>
      <c r="J111" t="s">
        <v>203</v>
      </c>
      <c r="K111" t="s">
        <v>203</v>
      </c>
      <c r="L111">
        <v>0.40</v>
      </c>
      <c r="M111">
        <v>0.40</v>
      </c>
      <c r="N111">
        <v>0.40</v>
      </c>
      <c r="O111">
        <v>0.40</v>
      </c>
      <c r="P111">
        <v>0.40</v>
      </c>
      <c r="Q111">
        <v>0.40</v>
      </c>
      <c r="R111">
        <v>0.40</v>
      </c>
      <c r="S111">
        <v>0.40</v>
      </c>
      <c r="T111">
        <v>0.40</v>
      </c>
      <c r="U111">
        <v>0.40</v>
      </c>
      <c r="V111">
        <v>0.40</v>
      </c>
      <c r="W111">
        <v>0.40</v>
      </c>
      <c r="X111">
        <v>0.40</v>
      </c>
      <c r="Y111">
        <v>0.40</v>
      </c>
      <c r="Z111">
        <v>0.40</v>
      </c>
      <c r="AA111">
        <v>0.40</v>
      </c>
      <c r="AB111">
        <v>0.40</v>
      </c>
      <c r="AC111">
        <v>0.40</v>
      </c>
      <c r="AD111">
        <v>0.40</v>
      </c>
      <c r="AE111">
        <v>0.40</v>
      </c>
      <c r="AF111">
        <v>0.40</v>
      </c>
      <c r="AG111">
        <v>0.40</v>
      </c>
      <c r="AH111">
        <v>0.40</v>
      </c>
      <c r="AI111">
        <v>0.40</v>
      </c>
      <c r="AJ111">
        <v>0.40</v>
      </c>
      <c r="AK111">
        <v>0.40</v>
      </c>
      <c r="AL111">
        <v>0.40</v>
      </c>
      <c r="AM111">
        <v>0.40</v>
      </c>
      <c r="AN111">
        <v>0.40</v>
      </c>
      <c r="AO111">
        <v>0.506238228280525</v>
      </c>
      <c r="AP111">
        <v>0.40</v>
      </c>
      <c r="AQ111">
        <v>0.40</v>
      </c>
      <c r="AR111">
        <v>0.40</v>
      </c>
      <c r="AS111">
        <v>0.40</v>
      </c>
      <c r="AT111">
        <v>0.40</v>
      </c>
      <c r="AU111">
        <v>0.49074601915946903</v>
      </c>
      <c r="AV111">
        <v>0.40</v>
      </c>
      <c r="AW111" t="s">
        <v>203</v>
      </c>
    </row>
    <row r="112" spans="1:49" ht="12.75">
      <c r="A112" t="s">
        <v>201</v>
      </c>
      <c r="B112" t="s">
        <v>29</v>
      </c>
      <c r="C112" t="s">
        <v>373</v>
      </c>
      <c r="D112" t="s">
        <v>203</v>
      </c>
      <c r="E112" t="s">
        <v>203</v>
      </c>
      <c r="F112" t="s">
        <v>223</v>
      </c>
      <c r="G112" t="s">
        <v>793</v>
      </c>
      <c r="H112" t="s">
        <v>203</v>
      </c>
      <c r="I112" t="s">
        <v>203</v>
      </c>
      <c r="J112" t="s">
        <v>203</v>
      </c>
      <c r="K112" t="s">
        <v>203</v>
      </c>
      <c r="L112">
        <v>0.62097344674683796</v>
      </c>
      <c r="M112">
        <v>0.80129817444219098</v>
      </c>
      <c r="N112">
        <v>0.62097344674683796</v>
      </c>
      <c r="O112">
        <v>0.81874589207059301</v>
      </c>
      <c r="P112">
        <v>0.65870487814988099</v>
      </c>
      <c r="Q112">
        <v>0.84372457204268103</v>
      </c>
      <c r="R112">
        <v>0.60762576705303395</v>
      </c>
      <c r="S112">
        <v>0.718901829423505</v>
      </c>
      <c r="T112">
        <v>0.84372457204268103</v>
      </c>
      <c r="U112">
        <v>0.76906371732138901</v>
      </c>
      <c r="V112">
        <v>0.723052106584821</v>
      </c>
      <c r="W112">
        <v>0.62097344674683796</v>
      </c>
      <c r="X112">
        <v>0.68787563180803502</v>
      </c>
      <c r="Y112">
        <v>0.74052089032220902</v>
      </c>
      <c r="Z112">
        <v>0.76577084409834095</v>
      </c>
      <c r="AA112">
        <v>0.73463332696680095</v>
      </c>
      <c r="AB112">
        <v>0.73013893624478698</v>
      </c>
      <c r="AC112">
        <v>0.77782189943744895</v>
      </c>
      <c r="AD112">
        <v>0.76906371732138901</v>
      </c>
      <c r="AE112">
        <v>0.76064078097297505</v>
      </c>
      <c r="AF112">
        <v>0.62097344674683796</v>
      </c>
      <c r="AG112">
        <v>0.718899463575013</v>
      </c>
      <c r="AH112">
        <v>0.76576844679983702</v>
      </c>
      <c r="AI112">
        <v>0.75119162212868795</v>
      </c>
      <c r="AJ112">
        <v>0.62097344674683796</v>
      </c>
      <c r="AK112">
        <v>0.62097344674683796</v>
      </c>
      <c r="AL112">
        <v>0.60568177245928501</v>
      </c>
      <c r="AM112">
        <v>0.82477053064442996</v>
      </c>
      <c r="AN112">
        <v>0.76906371732138901</v>
      </c>
      <c r="AO112">
        <v>0.75119111949339001</v>
      </c>
      <c r="AP112">
        <v>0.71123778633130297</v>
      </c>
      <c r="AQ112">
        <v>0.73167867750328097</v>
      </c>
      <c r="AR112">
        <v>0.62097344674683796</v>
      </c>
      <c r="AS112">
        <v>0.72305151215375896</v>
      </c>
      <c r="AT112">
        <v>0.79199113283692402</v>
      </c>
      <c r="AU112">
        <v>0.72820621487632498</v>
      </c>
      <c r="AV112">
        <v>0.76365199742817103</v>
      </c>
      <c r="AW112" t="s">
        <v>203</v>
      </c>
    </row>
    <row r="113" spans="1:49" ht="12.75">
      <c r="A113" t="s">
        <v>201</v>
      </c>
      <c r="B113" t="s">
        <v>29</v>
      </c>
      <c r="C113" t="s">
        <v>374</v>
      </c>
      <c r="D113" t="s">
        <v>203</v>
      </c>
      <c r="E113" t="s">
        <v>203</v>
      </c>
      <c r="F113" t="s">
        <v>223</v>
      </c>
      <c r="G113" t="s">
        <v>793</v>
      </c>
      <c r="H113" t="s">
        <v>203</v>
      </c>
      <c r="I113" t="s">
        <v>203</v>
      </c>
      <c r="J113" t="s">
        <v>203</v>
      </c>
      <c r="K113" t="s">
        <v>203</v>
      </c>
      <c r="L113">
        <v>0.50622880488168898</v>
      </c>
      <c r="M113">
        <v>0.65323309462780399</v>
      </c>
      <c r="N113">
        <v>0.50622880488168898</v>
      </c>
      <c r="O113">
        <v>0.66745795482648296</v>
      </c>
      <c r="P113">
        <v>0.53698897665133205</v>
      </c>
      <c r="Q113">
        <v>0.687818275864581</v>
      </c>
      <c r="R113">
        <v>0.60</v>
      </c>
      <c r="S113">
        <v>0.58605952228892599</v>
      </c>
      <c r="T113">
        <v>0.687818275864581</v>
      </c>
      <c r="U113">
        <v>0.62695461346124903</v>
      </c>
      <c r="V113">
        <v>0.58944286563553405</v>
      </c>
      <c r="W113">
        <v>0.50622880488168898</v>
      </c>
      <c r="X113">
        <v>0.560769385328026</v>
      </c>
      <c r="Y113">
        <v>0.60368694531344402</v>
      </c>
      <c r="Z113">
        <v>0.62426949722203195</v>
      </c>
      <c r="AA113">
        <v>0.59888489314375903</v>
      </c>
      <c r="AB113">
        <v>0.59521972424098402</v>
      </c>
      <c r="AC113">
        <v>0.63409355433985604</v>
      </c>
      <c r="AD113">
        <v>0.62695461346124903</v>
      </c>
      <c r="AE113">
        <v>0.62008671592583597</v>
      </c>
      <c r="AF113">
        <v>0.50622880488168898</v>
      </c>
      <c r="AG113">
        <v>0.58605978029464401</v>
      </c>
      <c r="AH113">
        <v>0.62427214659936303</v>
      </c>
      <c r="AI113">
        <v>0.61238294923506098</v>
      </c>
      <c r="AJ113">
        <v>0.50622880488168898</v>
      </c>
      <c r="AK113">
        <v>0.50622880488168898</v>
      </c>
      <c r="AL113">
        <v>0.60</v>
      </c>
      <c r="AM113">
        <v>0.67236910707943898</v>
      </c>
      <c r="AN113">
        <v>0.62695461346124903</v>
      </c>
      <c r="AO113">
        <v>0.61238422365767797</v>
      </c>
      <c r="AP113">
        <v>0.57981442959629403</v>
      </c>
      <c r="AQ113">
        <v>0.59647676532795701</v>
      </c>
      <c r="AR113">
        <v>0.50622880488168898</v>
      </c>
      <c r="AS113">
        <v>0.589442663186732</v>
      </c>
      <c r="AT113">
        <v>0.64564740446197599</v>
      </c>
      <c r="AU113">
        <v>0.59364448558046001</v>
      </c>
      <c r="AV113">
        <v>0.62254260507425097</v>
      </c>
      <c r="AW113" t="s">
        <v>203</v>
      </c>
    </row>
    <row r="114" spans="1:49" ht="12.75">
      <c r="A114" t="s">
        <v>201</v>
      </c>
      <c r="B114" t="s">
        <v>29</v>
      </c>
      <c r="C114" t="s">
        <v>375</v>
      </c>
      <c r="D114" t="s">
        <v>203</v>
      </c>
      <c r="E114" t="s">
        <v>203</v>
      </c>
      <c r="F114" t="s">
        <v>223</v>
      </c>
      <c r="G114" t="s">
        <v>793</v>
      </c>
      <c r="H114" t="s">
        <v>203</v>
      </c>
      <c r="I114" t="s">
        <v>203</v>
      </c>
      <c r="J114" t="s">
        <v>203</v>
      </c>
      <c r="K114" t="s">
        <v>203</v>
      </c>
      <c r="L114">
        <v>0.60</v>
      </c>
      <c r="M114">
        <v>0.82950118423481201</v>
      </c>
      <c r="N114">
        <v>0.60</v>
      </c>
      <c r="O114">
        <v>0.84756507296539996</v>
      </c>
      <c r="P114">
        <v>0.68188659727912504</v>
      </c>
      <c r="Q114">
        <v>0.87342038114902298</v>
      </c>
      <c r="R114">
        <v>0.60</v>
      </c>
      <c r="S114">
        <v>0.74420502028242896</v>
      </c>
      <c r="T114">
        <v>0.87342038114902298</v>
      </c>
      <c r="U114">
        <v>0.79613153157536198</v>
      </c>
      <c r="V114">
        <v>0.74850140066374504</v>
      </c>
      <c r="W114">
        <v>0.60</v>
      </c>
      <c r="X114">
        <v>0.60</v>
      </c>
      <c r="Y114">
        <v>0.76658436240029004</v>
      </c>
      <c r="Z114">
        <v>0.79272698587993995</v>
      </c>
      <c r="AA114">
        <v>0.76049125912812598</v>
      </c>
      <c r="AB114">
        <v>0.75583806032307699</v>
      </c>
      <c r="AC114">
        <v>0.60</v>
      </c>
      <c r="AD114">
        <v>0.79613153157536198</v>
      </c>
      <c r="AE114">
        <v>0.78741449604583902</v>
      </c>
      <c r="AF114">
        <v>0.60</v>
      </c>
      <c r="AG114">
        <v>0.74420440730545101</v>
      </c>
      <c r="AH114">
        <v>0.79272490530302997</v>
      </c>
      <c r="AI114">
        <v>0.77763218891022801</v>
      </c>
      <c r="AJ114">
        <v>0.60</v>
      </c>
      <c r="AK114">
        <v>0.60</v>
      </c>
      <c r="AL114">
        <v>0.60</v>
      </c>
      <c r="AM114">
        <v>0.85379972978501595</v>
      </c>
      <c r="AN114">
        <v>0.79613153157536198</v>
      </c>
      <c r="AO114">
        <v>0.777636941853317</v>
      </c>
      <c r="AP114">
        <v>0.736268047708726</v>
      </c>
      <c r="AQ114">
        <v>0.75743233774605501</v>
      </c>
      <c r="AR114">
        <v>0.60</v>
      </c>
      <c r="AS114">
        <v>0.74849824218209304</v>
      </c>
      <c r="AT114">
        <v>0.81986938629450701</v>
      </c>
      <c r="AU114">
        <v>0.75383407206271902</v>
      </c>
      <c r="AV114">
        <v>0.79052963098158702</v>
      </c>
      <c r="AW114" t="s">
        <v>203</v>
      </c>
    </row>
    <row r="115" spans="1:49" ht="12.75">
      <c r="A115" t="s">
        <v>201</v>
      </c>
      <c r="B115" t="s">
        <v>29</v>
      </c>
      <c r="C115" t="s">
        <v>376</v>
      </c>
      <c r="D115" t="s">
        <v>203</v>
      </c>
      <c r="E115" t="s">
        <v>203</v>
      </c>
      <c r="F115" t="s">
        <v>223</v>
      </c>
      <c r="G115" t="s">
        <v>793</v>
      </c>
      <c r="H115" t="s">
        <v>203</v>
      </c>
      <c r="I115" t="s">
        <v>203</v>
      </c>
      <c r="J115" t="s">
        <v>203</v>
      </c>
      <c r="K115" t="s">
        <v>203</v>
      </c>
      <c r="L115">
        <v>0.48598115955219801</v>
      </c>
      <c r="M115">
        <v>0.62710251209237</v>
      </c>
      <c r="N115">
        <v>0.48598115955219801</v>
      </c>
      <c r="O115">
        <v>0.64075738975544005</v>
      </c>
      <c r="P115">
        <v>0.51550653842653005</v>
      </c>
      <c r="Q115">
        <v>0.66030593266058102</v>
      </c>
      <c r="R115">
        <v>0.66666666666666696</v>
      </c>
      <c r="S115">
        <v>0.66666666666666696</v>
      </c>
      <c r="T115">
        <v>0.66030593266058102</v>
      </c>
      <c r="U115">
        <v>0.60187543638611796</v>
      </c>
      <c r="V115">
        <v>0.56586562587120104</v>
      </c>
      <c r="W115">
        <v>0.48598115955219801</v>
      </c>
      <c r="X115">
        <v>0.538337841823193</v>
      </c>
      <c r="Y115">
        <v>0.66666666666666696</v>
      </c>
      <c r="Z115">
        <v>0.59929863141498196</v>
      </c>
      <c r="AA115">
        <v>0.57493234425441297</v>
      </c>
      <c r="AB115">
        <v>0.57141450607154598</v>
      </c>
      <c r="AC115">
        <v>0.60873144456782702</v>
      </c>
      <c r="AD115">
        <v>0.60187543638611796</v>
      </c>
      <c r="AE115">
        <v>0.59528022164973504</v>
      </c>
      <c r="AF115">
        <v>0.48598115955219801</v>
      </c>
      <c r="AG115">
        <v>0.66666666666666696</v>
      </c>
      <c r="AH115">
        <v>0.59929878165710004</v>
      </c>
      <c r="AI115">
        <v>0.58788831726503299</v>
      </c>
      <c r="AJ115">
        <v>0.48598115955219801</v>
      </c>
      <c r="AK115">
        <v>0.48598115955219801</v>
      </c>
      <c r="AL115">
        <v>0.47401029773897502</v>
      </c>
      <c r="AM115">
        <v>0.64547332315164896</v>
      </c>
      <c r="AN115">
        <v>0.60187543638611796</v>
      </c>
      <c r="AO115">
        <v>0.58788939260837902</v>
      </c>
      <c r="AP115">
        <v>0.55662080368926403</v>
      </c>
      <c r="AQ115">
        <v>0.57261948361105997</v>
      </c>
      <c r="AR115">
        <v>0.48598115955219801</v>
      </c>
      <c r="AS115">
        <v>0.56586659732154498</v>
      </c>
      <c r="AT115">
        <v>0.61982327909434998</v>
      </c>
      <c r="AU115">
        <v>0.56989791016701496</v>
      </c>
      <c r="AV115">
        <v>0.66666666666666696</v>
      </c>
      <c r="AW115" t="s">
        <v>203</v>
      </c>
    </row>
    <row r="116" spans="1:49" ht="12.75">
      <c r="A116" t="s">
        <v>201</v>
      </c>
      <c r="B116" t="s">
        <v>29</v>
      </c>
      <c r="C116" t="s">
        <v>377</v>
      </c>
      <c r="D116" t="s">
        <v>203</v>
      </c>
      <c r="E116" t="s">
        <v>203</v>
      </c>
      <c r="F116" t="s">
        <v>223</v>
      </c>
      <c r="G116" t="s">
        <v>793</v>
      </c>
      <c r="H116" t="s">
        <v>203</v>
      </c>
      <c r="I116" t="s">
        <v>203</v>
      </c>
      <c r="J116" t="s">
        <v>203</v>
      </c>
      <c r="K116" t="s">
        <v>203</v>
      </c>
      <c r="L116">
        <v>0.47248107163657499</v>
      </c>
      <c r="M116">
        <v>0.60968216033169498</v>
      </c>
      <c r="N116">
        <v>0.47248107163657499</v>
      </c>
      <c r="O116">
        <v>0.62296069650733199</v>
      </c>
      <c r="P116">
        <v>0.50118797881341204</v>
      </c>
      <c r="Q116">
        <v>0.64196549490667099</v>
      </c>
      <c r="R116">
        <v>0.46232472664593599</v>
      </c>
      <c r="S116">
        <v>0.54698986859033305</v>
      </c>
      <c r="T116">
        <v>0.64196549490667099</v>
      </c>
      <c r="U116">
        <v>0.58515687159968199</v>
      </c>
      <c r="V116">
        <v>0.55014724650216096</v>
      </c>
      <c r="W116">
        <v>0.47248107163657499</v>
      </c>
      <c r="X116">
        <v>0.52338400434479704</v>
      </c>
      <c r="Y116">
        <v>0.56344177798950601</v>
      </c>
      <c r="Z116">
        <v>0.58265116795382099</v>
      </c>
      <c r="AA116">
        <v>0.55896145653309803</v>
      </c>
      <c r="AB116">
        <v>0.60</v>
      </c>
      <c r="AC116">
        <v>0.59182255987559296</v>
      </c>
      <c r="AD116">
        <v>0.58515687159968199</v>
      </c>
      <c r="AE116">
        <v>0.57874846218708098</v>
      </c>
      <c r="AF116">
        <v>0.47248107163657499</v>
      </c>
      <c r="AG116">
        <v>0.54699173886761998</v>
      </c>
      <c r="AH116">
        <v>0.58265223666383903</v>
      </c>
      <c r="AI116">
        <v>0.57155887279946105</v>
      </c>
      <c r="AJ116">
        <v>0.47248107163657499</v>
      </c>
      <c r="AK116">
        <v>0.47248107163657499</v>
      </c>
      <c r="AL116">
        <v>0.60</v>
      </c>
      <c r="AM116">
        <v>0.62754346182917597</v>
      </c>
      <c r="AN116">
        <v>0.58515687159968199</v>
      </c>
      <c r="AO116">
        <v>0.57155910531953502</v>
      </c>
      <c r="AP116">
        <v>0.54116067442980298</v>
      </c>
      <c r="AQ116">
        <v>0.55671277419880905</v>
      </c>
      <c r="AR116">
        <v>0.47248107163657499</v>
      </c>
      <c r="AS116">
        <v>0.55014722417938</v>
      </c>
      <c r="AT116">
        <v>0.60260398266309401</v>
      </c>
      <c r="AU116">
        <v>0.55406943800989605</v>
      </c>
      <c r="AV116">
        <v>0.58104048415592202</v>
      </c>
      <c r="AW116" t="s">
        <v>203</v>
      </c>
    </row>
    <row r="117" spans="1:49" ht="12.75">
      <c r="A117" t="s">
        <v>201</v>
      </c>
      <c r="B117" t="s">
        <v>29</v>
      </c>
      <c r="C117" t="s">
        <v>378</v>
      </c>
      <c r="D117" t="s">
        <v>203</v>
      </c>
      <c r="E117" t="s">
        <v>203</v>
      </c>
      <c r="F117" t="s">
        <v>223</v>
      </c>
      <c r="G117" t="s">
        <v>793</v>
      </c>
      <c r="H117" t="s">
        <v>203</v>
      </c>
      <c r="I117" t="s">
        <v>203</v>
      </c>
      <c r="J117" t="s">
        <v>203</v>
      </c>
      <c r="K117" t="s">
        <v>203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 t="s">
        <v>203</v>
      </c>
    </row>
    <row r="118" spans="1:49" ht="12.75">
      <c r="A118" t="s">
        <v>201</v>
      </c>
      <c r="B118" t="s">
        <v>29</v>
      </c>
      <c r="C118" t="s">
        <v>379</v>
      </c>
      <c r="D118" t="s">
        <v>203</v>
      </c>
      <c r="E118" t="s">
        <v>203</v>
      </c>
      <c r="F118" t="s">
        <v>223</v>
      </c>
      <c r="G118" t="s">
        <v>793</v>
      </c>
      <c r="H118" t="s">
        <v>203</v>
      </c>
      <c r="I118" t="s">
        <v>203</v>
      </c>
      <c r="J118" t="s">
        <v>203</v>
      </c>
      <c r="K118" t="s">
        <v>203</v>
      </c>
      <c r="L118">
        <v>0.50</v>
      </c>
      <c r="M118">
        <v>0.52258518286964695</v>
      </c>
      <c r="N118">
        <v>0.50</v>
      </c>
      <c r="O118">
        <v>0.53396362894475702</v>
      </c>
      <c r="P118">
        <v>0.429590509892191</v>
      </c>
      <c r="Q118">
        <v>0.50</v>
      </c>
      <c r="R118">
        <v>0.39627706516162098</v>
      </c>
      <c r="S118">
        <v>0.46884830333710698</v>
      </c>
      <c r="T118">
        <v>0.50</v>
      </c>
      <c r="U118">
        <v>0.50156230843911598</v>
      </c>
      <c r="V118">
        <v>0.47155471498096702</v>
      </c>
      <c r="W118">
        <v>0.50</v>
      </c>
      <c r="X118">
        <v>0.44861364568176199</v>
      </c>
      <c r="Y118">
        <v>0.48294820161097402</v>
      </c>
      <c r="Z118">
        <v>0.499415973541466</v>
      </c>
      <c r="AA118">
        <v>0.47910754595291799</v>
      </c>
      <c r="AB118">
        <v>0.47617726824457601</v>
      </c>
      <c r="AC118">
        <v>0.50727608345081499</v>
      </c>
      <c r="AD118">
        <v>0.50156230843911598</v>
      </c>
      <c r="AE118">
        <v>0.50</v>
      </c>
      <c r="AF118">
        <v>0.50</v>
      </c>
      <c r="AG118">
        <v>0.468847395858983</v>
      </c>
      <c r="AH118">
        <v>0.50</v>
      </c>
      <c r="AI118">
        <v>0.48990782401059402</v>
      </c>
      <c r="AJ118">
        <v>0.50</v>
      </c>
      <c r="AK118">
        <v>0.50</v>
      </c>
      <c r="AL118">
        <v>0.50</v>
      </c>
      <c r="AM118">
        <v>0.53789395156662501</v>
      </c>
      <c r="AN118">
        <v>0.50156230843911598</v>
      </c>
      <c r="AO118">
        <v>0.48990781376711401</v>
      </c>
      <c r="AP118">
        <v>0.50</v>
      </c>
      <c r="AQ118">
        <v>0.50</v>
      </c>
      <c r="AR118">
        <v>0.50</v>
      </c>
      <c r="AS118">
        <v>0.47155511961869201</v>
      </c>
      <c r="AT118">
        <v>0.50</v>
      </c>
      <c r="AU118">
        <v>0.47491658542613502</v>
      </c>
      <c r="AV118">
        <v>0.49803396448371201</v>
      </c>
      <c r="AW118" t="s">
        <v>203</v>
      </c>
    </row>
    <row r="119" spans="1:49" ht="12.75">
      <c r="A119" t="s">
        <v>201</v>
      </c>
      <c r="B119" t="s">
        <v>29</v>
      </c>
      <c r="C119" t="s">
        <v>380</v>
      </c>
      <c r="D119" t="s">
        <v>203</v>
      </c>
      <c r="E119" t="s">
        <v>203</v>
      </c>
      <c r="F119" t="s">
        <v>223</v>
      </c>
      <c r="G119" t="s">
        <v>793</v>
      </c>
      <c r="H119" t="s">
        <v>203</v>
      </c>
      <c r="I119" t="s">
        <v>203</v>
      </c>
      <c r="J119" t="s">
        <v>203</v>
      </c>
      <c r="K119" t="s">
        <v>203</v>
      </c>
      <c r="L119">
        <v>0.40</v>
      </c>
      <c r="M119">
        <v>0.40</v>
      </c>
      <c r="N119">
        <v>0.40</v>
      </c>
      <c r="O119">
        <v>0.40</v>
      </c>
      <c r="P119">
        <v>0.40</v>
      </c>
      <c r="Q119">
        <v>0.40</v>
      </c>
      <c r="R119">
        <v>0.40</v>
      </c>
      <c r="S119">
        <v>0.40</v>
      </c>
      <c r="T119">
        <v>0.40</v>
      </c>
      <c r="U119">
        <v>0.40</v>
      </c>
      <c r="V119">
        <v>0.40</v>
      </c>
      <c r="W119">
        <v>0.40</v>
      </c>
      <c r="X119">
        <v>0.40</v>
      </c>
      <c r="Y119">
        <v>0.40</v>
      </c>
      <c r="Z119">
        <v>0.40</v>
      </c>
      <c r="AA119">
        <v>0.40</v>
      </c>
      <c r="AB119">
        <v>0.40</v>
      </c>
      <c r="AC119">
        <v>0.40</v>
      </c>
      <c r="AD119">
        <v>0.40</v>
      </c>
      <c r="AE119">
        <v>0.40</v>
      </c>
      <c r="AF119">
        <v>0.40</v>
      </c>
      <c r="AG119">
        <v>0.40</v>
      </c>
      <c r="AH119">
        <v>0.40</v>
      </c>
      <c r="AI119">
        <v>0.40</v>
      </c>
      <c r="AJ119">
        <v>0.40</v>
      </c>
      <c r="AK119">
        <v>0.40</v>
      </c>
      <c r="AL119">
        <v>0.40</v>
      </c>
      <c r="AM119">
        <v>0.40</v>
      </c>
      <c r="AN119">
        <v>0.40</v>
      </c>
      <c r="AO119">
        <v>0.506238228280525</v>
      </c>
      <c r="AP119">
        <v>0.40</v>
      </c>
      <c r="AQ119">
        <v>0.40</v>
      </c>
      <c r="AR119">
        <v>0.40</v>
      </c>
      <c r="AS119">
        <v>0.40</v>
      </c>
      <c r="AT119">
        <v>0.40</v>
      </c>
      <c r="AU119">
        <v>0.49074601915946903</v>
      </c>
      <c r="AV119">
        <v>0.40</v>
      </c>
      <c r="AW119" t="s">
        <v>203</v>
      </c>
    </row>
    <row r="120" spans="1:49" ht="12.75">
      <c r="A120" t="s">
        <v>201</v>
      </c>
      <c r="B120" t="s">
        <v>29</v>
      </c>
      <c r="C120" t="s">
        <v>381</v>
      </c>
      <c r="D120" t="s">
        <v>203</v>
      </c>
      <c r="E120" t="s">
        <v>203</v>
      </c>
      <c r="F120" t="s">
        <v>223</v>
      </c>
      <c r="G120" t="s">
        <v>793</v>
      </c>
      <c r="H120" t="s">
        <v>203</v>
      </c>
      <c r="I120" t="s">
        <v>203</v>
      </c>
      <c r="J120" t="s">
        <v>203</v>
      </c>
      <c r="K120" t="s">
        <v>203</v>
      </c>
      <c r="L120">
        <v>0.62097344674683796</v>
      </c>
      <c r="M120">
        <v>0.80129817444219098</v>
      </c>
      <c r="N120">
        <v>0.62097344674683796</v>
      </c>
      <c r="O120">
        <v>0.81874589207059301</v>
      </c>
      <c r="P120">
        <v>0.65870487814988099</v>
      </c>
      <c r="Q120">
        <v>0.84372457204268103</v>
      </c>
      <c r="R120">
        <v>0.60762576705303395</v>
      </c>
      <c r="S120">
        <v>0.718901829423505</v>
      </c>
      <c r="T120">
        <v>0.84372457204268103</v>
      </c>
      <c r="U120">
        <v>0.76906371732138901</v>
      </c>
      <c r="V120">
        <v>0.723052106584821</v>
      </c>
      <c r="W120">
        <v>0.62097344674683796</v>
      </c>
      <c r="X120">
        <v>0.68787563180803502</v>
      </c>
      <c r="Y120">
        <v>0.74052089032220902</v>
      </c>
      <c r="Z120">
        <v>0.76577084409834095</v>
      </c>
      <c r="AA120">
        <v>0.73463332696680095</v>
      </c>
      <c r="AB120">
        <v>0.73013893624478698</v>
      </c>
      <c r="AC120">
        <v>0.77782189943744895</v>
      </c>
      <c r="AD120">
        <v>0.76906371732138901</v>
      </c>
      <c r="AE120">
        <v>0.76064078097297505</v>
      </c>
      <c r="AF120">
        <v>0.62097344674683796</v>
      </c>
      <c r="AG120">
        <v>0.718899463575013</v>
      </c>
      <c r="AH120">
        <v>0.76576844679983702</v>
      </c>
      <c r="AI120">
        <v>0.75119162212868795</v>
      </c>
      <c r="AJ120">
        <v>0.62097344674683796</v>
      </c>
      <c r="AK120">
        <v>0.62097344674683796</v>
      </c>
      <c r="AL120">
        <v>0.60568177245928501</v>
      </c>
      <c r="AM120">
        <v>0.82477053064442996</v>
      </c>
      <c r="AN120">
        <v>0.76906371732138901</v>
      </c>
      <c r="AO120">
        <v>0.75119111949339001</v>
      </c>
      <c r="AP120">
        <v>0.71123778633130297</v>
      </c>
      <c r="AQ120">
        <v>0.73167867750328097</v>
      </c>
      <c r="AR120">
        <v>0.62097344674683796</v>
      </c>
      <c r="AS120">
        <v>0.72305151215375896</v>
      </c>
      <c r="AT120">
        <v>0.79199113283692402</v>
      </c>
      <c r="AU120">
        <v>0.72820621487632498</v>
      </c>
      <c r="AV120">
        <v>0.76365199742817103</v>
      </c>
      <c r="AW120" t="s">
        <v>203</v>
      </c>
    </row>
    <row r="121" spans="1:49" ht="12.75">
      <c r="A121" t="s">
        <v>201</v>
      </c>
      <c r="B121" t="s">
        <v>29</v>
      </c>
      <c r="C121" t="s">
        <v>382</v>
      </c>
      <c r="D121" t="s">
        <v>203</v>
      </c>
      <c r="E121" t="s">
        <v>203</v>
      </c>
      <c r="F121" t="s">
        <v>223</v>
      </c>
      <c r="G121" t="s">
        <v>793</v>
      </c>
      <c r="H121" t="s">
        <v>203</v>
      </c>
      <c r="I121" t="s">
        <v>203</v>
      </c>
      <c r="J121" t="s">
        <v>203</v>
      </c>
      <c r="K121" t="s">
        <v>203</v>
      </c>
      <c r="L121">
        <v>0.50622880488168898</v>
      </c>
      <c r="M121">
        <v>0.65323309462780399</v>
      </c>
      <c r="N121">
        <v>0.50622880488168898</v>
      </c>
      <c r="O121">
        <v>0.66745795482648296</v>
      </c>
      <c r="P121">
        <v>0.53698897665133205</v>
      </c>
      <c r="Q121">
        <v>0.687818275864581</v>
      </c>
      <c r="R121">
        <v>0.60</v>
      </c>
      <c r="S121">
        <v>0.58605952228892599</v>
      </c>
      <c r="T121">
        <v>0.687818275864581</v>
      </c>
      <c r="U121">
        <v>0.62695461346124903</v>
      </c>
      <c r="V121">
        <v>0.58944286563553405</v>
      </c>
      <c r="W121">
        <v>0.50622880488168898</v>
      </c>
      <c r="X121">
        <v>0.560769385328026</v>
      </c>
      <c r="Y121">
        <v>0.60368694531344402</v>
      </c>
      <c r="Z121">
        <v>0.62426949722203195</v>
      </c>
      <c r="AA121">
        <v>0.59888489314375903</v>
      </c>
      <c r="AB121">
        <v>0.59521972424098402</v>
      </c>
      <c r="AC121">
        <v>0.63409355433985604</v>
      </c>
      <c r="AD121">
        <v>0.62695461346124903</v>
      </c>
      <c r="AE121">
        <v>0.62008671592583597</v>
      </c>
      <c r="AF121">
        <v>0.50622880488168898</v>
      </c>
      <c r="AG121">
        <v>0.58605978029464401</v>
      </c>
      <c r="AH121">
        <v>0.62427214659936303</v>
      </c>
      <c r="AI121">
        <v>0.61238294923506098</v>
      </c>
      <c r="AJ121">
        <v>0.50622880488168898</v>
      </c>
      <c r="AK121">
        <v>0.50622880488168898</v>
      </c>
      <c r="AL121">
        <v>0.60</v>
      </c>
      <c r="AM121">
        <v>0.67236910707943898</v>
      </c>
      <c r="AN121">
        <v>0.62695461346124903</v>
      </c>
      <c r="AO121">
        <v>0.61238422365767797</v>
      </c>
      <c r="AP121">
        <v>0.57981442959629403</v>
      </c>
      <c r="AQ121">
        <v>0.59647676532795701</v>
      </c>
      <c r="AR121">
        <v>0.50622880488168898</v>
      </c>
      <c r="AS121">
        <v>0.589442663186732</v>
      </c>
      <c r="AT121">
        <v>0.64564740446197599</v>
      </c>
      <c r="AU121">
        <v>0.59364448558046001</v>
      </c>
      <c r="AV121">
        <v>0.62254260507425097</v>
      </c>
      <c r="AW121" t="s">
        <v>203</v>
      </c>
    </row>
    <row r="122" spans="1:49" ht="12.75">
      <c r="A122" t="s">
        <v>201</v>
      </c>
      <c r="B122" t="s">
        <v>29</v>
      </c>
      <c r="C122" t="s">
        <v>383</v>
      </c>
      <c r="D122" t="s">
        <v>203</v>
      </c>
      <c r="E122" t="s">
        <v>203</v>
      </c>
      <c r="F122" t="s">
        <v>223</v>
      </c>
      <c r="G122" t="s">
        <v>793</v>
      </c>
      <c r="H122" t="s">
        <v>203</v>
      </c>
      <c r="I122" t="s">
        <v>203</v>
      </c>
      <c r="J122" t="s">
        <v>203</v>
      </c>
      <c r="K122" t="s">
        <v>203</v>
      </c>
      <c r="L122">
        <v>0.60</v>
      </c>
      <c r="M122">
        <v>0.82950118423481201</v>
      </c>
      <c r="N122">
        <v>0.60</v>
      </c>
      <c r="O122">
        <v>0.84756507296539996</v>
      </c>
      <c r="P122">
        <v>0.68188659727912504</v>
      </c>
      <c r="Q122">
        <v>0.87342038114902298</v>
      </c>
      <c r="R122">
        <v>0.60</v>
      </c>
      <c r="S122">
        <v>0.74420502028242896</v>
      </c>
      <c r="T122">
        <v>0.87342038114902298</v>
      </c>
      <c r="U122">
        <v>0.79613153157536198</v>
      </c>
      <c r="V122">
        <v>0.74850140066374504</v>
      </c>
      <c r="W122">
        <v>0.60</v>
      </c>
      <c r="X122">
        <v>0.60</v>
      </c>
      <c r="Y122">
        <v>0.76658436240029004</v>
      </c>
      <c r="Z122">
        <v>0.79272698587993995</v>
      </c>
      <c r="AA122">
        <v>0.76049125912812598</v>
      </c>
      <c r="AB122">
        <v>0.75583806032307699</v>
      </c>
      <c r="AC122">
        <v>0.60</v>
      </c>
      <c r="AD122">
        <v>0.79613153157536198</v>
      </c>
      <c r="AE122">
        <v>0.78741449604583902</v>
      </c>
      <c r="AF122">
        <v>0.60</v>
      </c>
      <c r="AG122">
        <v>0.74420440730545101</v>
      </c>
      <c r="AH122">
        <v>0.79272490530302997</v>
      </c>
      <c r="AI122">
        <v>0.77763218891022801</v>
      </c>
      <c r="AJ122">
        <v>0.60</v>
      </c>
      <c r="AK122">
        <v>0.60</v>
      </c>
      <c r="AL122">
        <v>0.60</v>
      </c>
      <c r="AM122">
        <v>0.85379972978501595</v>
      </c>
      <c r="AN122">
        <v>0.79613153157536198</v>
      </c>
      <c r="AO122">
        <v>0.777636941853317</v>
      </c>
      <c r="AP122">
        <v>0.736268047708726</v>
      </c>
      <c r="AQ122">
        <v>0.75743233774605501</v>
      </c>
      <c r="AR122">
        <v>0.60</v>
      </c>
      <c r="AS122">
        <v>0.74849824218209304</v>
      </c>
      <c r="AT122">
        <v>0.81986938629450701</v>
      </c>
      <c r="AU122">
        <v>0.75383407206271902</v>
      </c>
      <c r="AV122">
        <v>0.79052963098158702</v>
      </c>
      <c r="AW122" t="s">
        <v>203</v>
      </c>
    </row>
    <row r="123" spans="1:49" ht="12.75">
      <c r="A123" t="s">
        <v>201</v>
      </c>
      <c r="B123" t="s">
        <v>29</v>
      </c>
      <c r="C123" t="s">
        <v>384</v>
      </c>
      <c r="D123" t="s">
        <v>203</v>
      </c>
      <c r="E123" t="s">
        <v>203</v>
      </c>
      <c r="F123" t="s">
        <v>223</v>
      </c>
      <c r="G123" t="s">
        <v>793</v>
      </c>
      <c r="H123" t="s">
        <v>203</v>
      </c>
      <c r="I123" t="s">
        <v>203</v>
      </c>
      <c r="J123" t="s">
        <v>203</v>
      </c>
      <c r="K123" t="s">
        <v>203</v>
      </c>
      <c r="L123">
        <v>0.48598115955219801</v>
      </c>
      <c r="M123">
        <v>0.62710251209237</v>
      </c>
      <c r="N123">
        <v>0.48598115955219801</v>
      </c>
      <c r="O123">
        <v>0.64075738975544005</v>
      </c>
      <c r="P123">
        <v>0.51550653842653005</v>
      </c>
      <c r="Q123">
        <v>0.66030593266058102</v>
      </c>
      <c r="R123">
        <v>0.66666666666666696</v>
      </c>
      <c r="S123">
        <v>0.66666666666666696</v>
      </c>
      <c r="T123">
        <v>0.66030593266058102</v>
      </c>
      <c r="U123">
        <v>0.60187543638611796</v>
      </c>
      <c r="V123">
        <v>0.56586562587120104</v>
      </c>
      <c r="W123">
        <v>0.48598115955219801</v>
      </c>
      <c r="X123">
        <v>0.538337841823193</v>
      </c>
      <c r="Y123">
        <v>0.66666666666666696</v>
      </c>
      <c r="Z123">
        <v>0.59929863141498196</v>
      </c>
      <c r="AA123">
        <v>0.57493234425441297</v>
      </c>
      <c r="AB123">
        <v>0.57141450607154598</v>
      </c>
      <c r="AC123">
        <v>0.60873144456782702</v>
      </c>
      <c r="AD123">
        <v>0.60187543638611796</v>
      </c>
      <c r="AE123">
        <v>0.59528022164973504</v>
      </c>
      <c r="AF123">
        <v>0.48598115955219801</v>
      </c>
      <c r="AG123">
        <v>0.66666666666666696</v>
      </c>
      <c r="AH123">
        <v>0.59929878165710004</v>
      </c>
      <c r="AI123">
        <v>0.58788831726503299</v>
      </c>
      <c r="AJ123">
        <v>0.48598115955219801</v>
      </c>
      <c r="AK123">
        <v>0.48598115955219801</v>
      </c>
      <c r="AL123">
        <v>0.47401029773897502</v>
      </c>
      <c r="AM123">
        <v>0.64547332315164896</v>
      </c>
      <c r="AN123">
        <v>0.60187543638611796</v>
      </c>
      <c r="AO123">
        <v>0.58788939260837902</v>
      </c>
      <c r="AP123">
        <v>0.55662080368926403</v>
      </c>
      <c r="AQ123">
        <v>0.57261948361105997</v>
      </c>
      <c r="AR123">
        <v>0.48598115955219801</v>
      </c>
      <c r="AS123">
        <v>0.56586659732154498</v>
      </c>
      <c r="AT123">
        <v>0.61982327909434998</v>
      </c>
      <c r="AU123">
        <v>0.56989791016701496</v>
      </c>
      <c r="AV123">
        <v>0.66666666666666696</v>
      </c>
      <c r="AW123" t="s">
        <v>203</v>
      </c>
    </row>
    <row r="124" spans="1:49" ht="12.75">
      <c r="A124" t="s">
        <v>201</v>
      </c>
      <c r="B124" t="s">
        <v>29</v>
      </c>
      <c r="C124" t="s">
        <v>385</v>
      </c>
      <c r="D124" t="s">
        <v>203</v>
      </c>
      <c r="E124" t="s">
        <v>203</v>
      </c>
      <c r="F124" t="s">
        <v>223</v>
      </c>
      <c r="G124" t="s">
        <v>793</v>
      </c>
      <c r="H124" t="s">
        <v>203</v>
      </c>
      <c r="I124" t="s">
        <v>203</v>
      </c>
      <c r="J124" t="s">
        <v>203</v>
      </c>
      <c r="K124" t="s">
        <v>203</v>
      </c>
      <c r="L124">
        <v>0.47248107163657499</v>
      </c>
      <c r="M124">
        <v>0.60968216033169498</v>
      </c>
      <c r="N124">
        <v>0.47248107163657499</v>
      </c>
      <c r="O124">
        <v>0.62296069650733199</v>
      </c>
      <c r="P124">
        <v>0.50118797881341204</v>
      </c>
      <c r="Q124">
        <v>0.64196549490667099</v>
      </c>
      <c r="R124">
        <v>0.46232472664593599</v>
      </c>
      <c r="S124">
        <v>0.54698986859033305</v>
      </c>
      <c r="T124">
        <v>0.64196549490667099</v>
      </c>
      <c r="U124">
        <v>0.58515687159968199</v>
      </c>
      <c r="V124">
        <v>0.55014724650216096</v>
      </c>
      <c r="W124">
        <v>0.47248107163657499</v>
      </c>
      <c r="X124">
        <v>0.52338400434479704</v>
      </c>
      <c r="Y124">
        <v>0.56344177798950601</v>
      </c>
      <c r="Z124">
        <v>0.58265116795382099</v>
      </c>
      <c r="AA124">
        <v>0.55896145653309803</v>
      </c>
      <c r="AB124">
        <v>0.60</v>
      </c>
      <c r="AC124">
        <v>0.59182255987559296</v>
      </c>
      <c r="AD124">
        <v>0.58515687159968199</v>
      </c>
      <c r="AE124">
        <v>0.57874846218708098</v>
      </c>
      <c r="AF124">
        <v>0.47248107163657499</v>
      </c>
      <c r="AG124">
        <v>0.54699173886761998</v>
      </c>
      <c r="AH124">
        <v>0.58265223666383903</v>
      </c>
      <c r="AI124">
        <v>0.57155887279946105</v>
      </c>
      <c r="AJ124">
        <v>0.47248107163657499</v>
      </c>
      <c r="AK124">
        <v>0.47248107163657499</v>
      </c>
      <c r="AL124">
        <v>0.60</v>
      </c>
      <c r="AM124">
        <v>0.62754346182917597</v>
      </c>
      <c r="AN124">
        <v>0.58515687159968199</v>
      </c>
      <c r="AO124">
        <v>0.57155910531953502</v>
      </c>
      <c r="AP124">
        <v>0.54116067442980298</v>
      </c>
      <c r="AQ124">
        <v>0.55671277419880905</v>
      </c>
      <c r="AR124">
        <v>0.47248107163657499</v>
      </c>
      <c r="AS124">
        <v>0.55014722417938</v>
      </c>
      <c r="AT124">
        <v>0.60260398266309401</v>
      </c>
      <c r="AU124">
        <v>0.55406943800989605</v>
      </c>
      <c r="AV124">
        <v>0.58104048415592202</v>
      </c>
      <c r="AW124" t="s">
        <v>203</v>
      </c>
    </row>
    <row r="125" spans="1:49" ht="12.75">
      <c r="A125" t="s">
        <v>201</v>
      </c>
      <c r="B125" t="s">
        <v>29</v>
      </c>
      <c r="C125" t="s">
        <v>386</v>
      </c>
      <c r="D125" t="s">
        <v>203</v>
      </c>
      <c r="E125" t="s">
        <v>203</v>
      </c>
      <c r="F125" t="s">
        <v>223</v>
      </c>
      <c r="G125" t="s">
        <v>793</v>
      </c>
      <c r="H125" t="s">
        <v>203</v>
      </c>
      <c r="I125" t="s">
        <v>203</v>
      </c>
      <c r="J125" t="s">
        <v>203</v>
      </c>
      <c r="K125" t="s">
        <v>203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 t="s">
        <v>203</v>
      </c>
    </row>
    <row r="126" spans="1:49" ht="12.75">
      <c r="A126" t="s">
        <v>201</v>
      </c>
      <c r="B126" t="s">
        <v>29</v>
      </c>
      <c r="C126" t="s">
        <v>387</v>
      </c>
      <c r="D126" t="s">
        <v>203</v>
      </c>
      <c r="E126" t="s">
        <v>203</v>
      </c>
      <c r="F126" t="s">
        <v>223</v>
      </c>
      <c r="G126" t="s">
        <v>793</v>
      </c>
      <c r="H126" t="s">
        <v>203</v>
      </c>
      <c r="I126" t="s">
        <v>203</v>
      </c>
      <c r="J126" t="s">
        <v>203</v>
      </c>
      <c r="K126" t="s">
        <v>203</v>
      </c>
      <c r="L126">
        <v>0.50</v>
      </c>
      <c r="M126">
        <v>0.52258518286964695</v>
      </c>
      <c r="N126">
        <v>0.50</v>
      </c>
      <c r="O126">
        <v>0.53396362894475702</v>
      </c>
      <c r="P126">
        <v>0.429590509892191</v>
      </c>
      <c r="Q126">
        <v>0.50</v>
      </c>
      <c r="R126">
        <v>0.39627706516162098</v>
      </c>
      <c r="S126">
        <v>0.46884830333710698</v>
      </c>
      <c r="T126">
        <v>0.50</v>
      </c>
      <c r="U126">
        <v>0.50156230843911598</v>
      </c>
      <c r="V126">
        <v>0.47155471498096702</v>
      </c>
      <c r="W126">
        <v>0.50</v>
      </c>
      <c r="X126">
        <v>0.44861364568176199</v>
      </c>
      <c r="Y126">
        <v>0.48294820161097402</v>
      </c>
      <c r="Z126">
        <v>0.499415973541466</v>
      </c>
      <c r="AA126">
        <v>0.47910754595291799</v>
      </c>
      <c r="AB126">
        <v>0.47617726824457601</v>
      </c>
      <c r="AC126">
        <v>0.50727608345081499</v>
      </c>
      <c r="AD126">
        <v>0.50156230843911598</v>
      </c>
      <c r="AE126">
        <v>0.50</v>
      </c>
      <c r="AF126">
        <v>0.50</v>
      </c>
      <c r="AG126">
        <v>0.468847395858983</v>
      </c>
      <c r="AH126">
        <v>0.50</v>
      </c>
      <c r="AI126">
        <v>0.48990782401059402</v>
      </c>
      <c r="AJ126">
        <v>0.50</v>
      </c>
      <c r="AK126">
        <v>0.50</v>
      </c>
      <c r="AL126">
        <v>0.50</v>
      </c>
      <c r="AM126">
        <v>0.53789395156662501</v>
      </c>
      <c r="AN126">
        <v>0.50156230843911598</v>
      </c>
      <c r="AO126">
        <v>0.48990781376711401</v>
      </c>
      <c r="AP126">
        <v>0.50</v>
      </c>
      <c r="AQ126">
        <v>0.50</v>
      </c>
      <c r="AR126">
        <v>0.50</v>
      </c>
      <c r="AS126">
        <v>0.47155511961869201</v>
      </c>
      <c r="AT126">
        <v>0.50</v>
      </c>
      <c r="AU126">
        <v>0.47491658542613502</v>
      </c>
      <c r="AV126">
        <v>0.49803396448371201</v>
      </c>
      <c r="AW126" t="s">
        <v>203</v>
      </c>
    </row>
    <row r="127" spans="1:49" ht="12.75">
      <c r="A127" t="s">
        <v>201</v>
      </c>
      <c r="B127" t="s">
        <v>29</v>
      </c>
      <c r="C127" t="s">
        <v>388</v>
      </c>
      <c r="D127" t="s">
        <v>203</v>
      </c>
      <c r="E127" t="s">
        <v>203</v>
      </c>
      <c r="F127" t="s">
        <v>223</v>
      </c>
      <c r="G127" t="s">
        <v>793</v>
      </c>
      <c r="H127" t="s">
        <v>203</v>
      </c>
      <c r="I127" t="s">
        <v>203</v>
      </c>
      <c r="J127" t="s">
        <v>203</v>
      </c>
      <c r="K127" t="s">
        <v>203</v>
      </c>
      <c r="L127">
        <v>0.40</v>
      </c>
      <c r="M127">
        <v>0.40</v>
      </c>
      <c r="N127">
        <v>0.40</v>
      </c>
      <c r="O127">
        <v>0.40</v>
      </c>
      <c r="P127">
        <v>0.40</v>
      </c>
      <c r="Q127">
        <v>0.40</v>
      </c>
      <c r="R127">
        <v>0.40</v>
      </c>
      <c r="S127">
        <v>0.40</v>
      </c>
      <c r="T127">
        <v>0.40</v>
      </c>
      <c r="U127">
        <v>0.40</v>
      </c>
      <c r="V127">
        <v>0.40</v>
      </c>
      <c r="W127">
        <v>0.40</v>
      </c>
      <c r="X127">
        <v>0.40</v>
      </c>
      <c r="Y127">
        <v>0.40</v>
      </c>
      <c r="Z127">
        <v>0.40</v>
      </c>
      <c r="AA127">
        <v>0.40</v>
      </c>
      <c r="AB127">
        <v>0.40</v>
      </c>
      <c r="AC127">
        <v>0.40</v>
      </c>
      <c r="AD127">
        <v>0.40</v>
      </c>
      <c r="AE127">
        <v>0.40</v>
      </c>
      <c r="AF127">
        <v>0.40</v>
      </c>
      <c r="AG127">
        <v>0.40</v>
      </c>
      <c r="AH127">
        <v>0.40</v>
      </c>
      <c r="AI127">
        <v>0.40</v>
      </c>
      <c r="AJ127">
        <v>0.40</v>
      </c>
      <c r="AK127">
        <v>0.40</v>
      </c>
      <c r="AL127">
        <v>0.40</v>
      </c>
      <c r="AM127">
        <v>0.40</v>
      </c>
      <c r="AN127">
        <v>0.40</v>
      </c>
      <c r="AO127">
        <v>0.506238228280525</v>
      </c>
      <c r="AP127">
        <v>0.40</v>
      </c>
      <c r="AQ127">
        <v>0.40</v>
      </c>
      <c r="AR127">
        <v>0.40</v>
      </c>
      <c r="AS127">
        <v>0.40</v>
      </c>
      <c r="AT127">
        <v>0.40</v>
      </c>
      <c r="AU127">
        <v>0.49074601915946903</v>
      </c>
      <c r="AV127">
        <v>0.40</v>
      </c>
      <c r="AW127" t="s">
        <v>203</v>
      </c>
    </row>
    <row r="128" spans="1:49" ht="12.75">
      <c r="A128" t="s">
        <v>201</v>
      </c>
      <c r="B128" t="s">
        <v>29</v>
      </c>
      <c r="C128" t="s">
        <v>389</v>
      </c>
      <c r="D128" t="s">
        <v>203</v>
      </c>
      <c r="E128" t="s">
        <v>203</v>
      </c>
      <c r="F128" t="s">
        <v>223</v>
      </c>
      <c r="G128" t="s">
        <v>793</v>
      </c>
      <c r="H128" t="s">
        <v>203</v>
      </c>
      <c r="I128" t="s">
        <v>203</v>
      </c>
      <c r="J128" t="s">
        <v>203</v>
      </c>
      <c r="K128" t="s">
        <v>203</v>
      </c>
      <c r="L128">
        <v>0.62097344674683796</v>
      </c>
      <c r="M128">
        <v>0.80129817444219098</v>
      </c>
      <c r="N128">
        <v>0.62097344674683796</v>
      </c>
      <c r="O128">
        <v>0.81874589207059301</v>
      </c>
      <c r="P128">
        <v>0.65870487814988099</v>
      </c>
      <c r="Q128">
        <v>0.84372457204268103</v>
      </c>
      <c r="R128">
        <v>0.60762576705303395</v>
      </c>
      <c r="S128">
        <v>0.718901829423505</v>
      </c>
      <c r="T128">
        <v>0.84372457204268103</v>
      </c>
      <c r="U128">
        <v>0.76906371732138901</v>
      </c>
      <c r="V128">
        <v>0.723052106584821</v>
      </c>
      <c r="W128">
        <v>0.62097344674683796</v>
      </c>
      <c r="X128">
        <v>0.68787563180803502</v>
      </c>
      <c r="Y128">
        <v>0.74052089032220902</v>
      </c>
      <c r="Z128">
        <v>0.76577084409834095</v>
      </c>
      <c r="AA128">
        <v>0.73463332696680095</v>
      </c>
      <c r="AB128">
        <v>0.73013893624478698</v>
      </c>
      <c r="AC128">
        <v>0.77782189943744895</v>
      </c>
      <c r="AD128">
        <v>0.76906371732138901</v>
      </c>
      <c r="AE128">
        <v>0.76064078097297505</v>
      </c>
      <c r="AF128">
        <v>0.62097344674683796</v>
      </c>
      <c r="AG128">
        <v>0.718899463575013</v>
      </c>
      <c r="AH128">
        <v>0.76576844679983702</v>
      </c>
      <c r="AI128">
        <v>0.75119162212868795</v>
      </c>
      <c r="AJ128">
        <v>0.62097344674683796</v>
      </c>
      <c r="AK128">
        <v>0.62097344674683796</v>
      </c>
      <c r="AL128">
        <v>0.60568177245928501</v>
      </c>
      <c r="AM128">
        <v>0.82477053064442996</v>
      </c>
      <c r="AN128">
        <v>0.76906371732138901</v>
      </c>
      <c r="AO128">
        <v>0.75119111949339001</v>
      </c>
      <c r="AP128">
        <v>0.71123778633130297</v>
      </c>
      <c r="AQ128">
        <v>0.73167867750328097</v>
      </c>
      <c r="AR128">
        <v>0.62097344674683796</v>
      </c>
      <c r="AS128">
        <v>0.72305151215375896</v>
      </c>
      <c r="AT128">
        <v>0.79199113283692402</v>
      </c>
      <c r="AU128">
        <v>0.72820621487632498</v>
      </c>
      <c r="AV128">
        <v>0.76365199742817103</v>
      </c>
      <c r="AW128" t="s">
        <v>203</v>
      </c>
    </row>
    <row r="129" spans="1:49" ht="12.75">
      <c r="A129" t="s">
        <v>201</v>
      </c>
      <c r="B129" t="s">
        <v>29</v>
      </c>
      <c r="C129" t="s">
        <v>390</v>
      </c>
      <c r="D129" t="s">
        <v>203</v>
      </c>
      <c r="E129" t="s">
        <v>203</v>
      </c>
      <c r="F129" t="s">
        <v>223</v>
      </c>
      <c r="G129" t="s">
        <v>793</v>
      </c>
      <c r="H129" t="s">
        <v>203</v>
      </c>
      <c r="I129" t="s">
        <v>203</v>
      </c>
      <c r="J129" t="s">
        <v>203</v>
      </c>
      <c r="K129" t="s">
        <v>203</v>
      </c>
      <c r="L129">
        <v>0.50622880488168898</v>
      </c>
      <c r="M129">
        <v>0.65323309462780399</v>
      </c>
      <c r="N129">
        <v>0.50622880488168898</v>
      </c>
      <c r="O129">
        <v>0.66745795482648296</v>
      </c>
      <c r="P129">
        <v>0.53698897665133205</v>
      </c>
      <c r="Q129">
        <v>0.687818275864581</v>
      </c>
      <c r="R129">
        <v>0.60</v>
      </c>
      <c r="S129">
        <v>0.58605952228892599</v>
      </c>
      <c r="T129">
        <v>0.687818275864581</v>
      </c>
      <c r="U129">
        <v>0.62695461346124903</v>
      </c>
      <c r="V129">
        <v>0.58944286563553405</v>
      </c>
      <c r="W129">
        <v>0.50622880488168898</v>
      </c>
      <c r="X129">
        <v>0.560769385328026</v>
      </c>
      <c r="Y129">
        <v>0.60368694531344402</v>
      </c>
      <c r="Z129">
        <v>0.62426949722203195</v>
      </c>
      <c r="AA129">
        <v>0.59888489314375903</v>
      </c>
      <c r="AB129">
        <v>0.59521972424098402</v>
      </c>
      <c r="AC129">
        <v>0.63409355433985604</v>
      </c>
      <c r="AD129">
        <v>0.62695461346124903</v>
      </c>
      <c r="AE129">
        <v>0.62008671592583597</v>
      </c>
      <c r="AF129">
        <v>0.50622880488168898</v>
      </c>
      <c r="AG129">
        <v>0.58605978029464401</v>
      </c>
      <c r="AH129">
        <v>0.62427214659936303</v>
      </c>
      <c r="AI129">
        <v>0.61238294923506098</v>
      </c>
      <c r="AJ129">
        <v>0.50622880488168898</v>
      </c>
      <c r="AK129">
        <v>0.50622880488168898</v>
      </c>
      <c r="AL129">
        <v>0.60</v>
      </c>
      <c r="AM129">
        <v>0.67236910707943898</v>
      </c>
      <c r="AN129">
        <v>0.62695461346124903</v>
      </c>
      <c r="AO129">
        <v>0.61238422365767797</v>
      </c>
      <c r="AP129">
        <v>0.57981442959629403</v>
      </c>
      <c r="AQ129">
        <v>0.59647676532795701</v>
      </c>
      <c r="AR129">
        <v>0.50622880488168898</v>
      </c>
      <c r="AS129">
        <v>0.589442663186732</v>
      </c>
      <c r="AT129">
        <v>0.64564740446197599</v>
      </c>
      <c r="AU129">
        <v>0.59364448558046001</v>
      </c>
      <c r="AV129">
        <v>0.62254260507425097</v>
      </c>
      <c r="AW129" t="s">
        <v>203</v>
      </c>
    </row>
    <row r="130" spans="1:49" ht="12.75">
      <c r="A130" t="s">
        <v>201</v>
      </c>
      <c r="B130" t="s">
        <v>29</v>
      </c>
      <c r="C130" t="s">
        <v>391</v>
      </c>
      <c r="D130" t="s">
        <v>203</v>
      </c>
      <c r="E130" t="s">
        <v>203</v>
      </c>
      <c r="F130" t="s">
        <v>223</v>
      </c>
      <c r="G130" t="s">
        <v>793</v>
      </c>
      <c r="H130" t="s">
        <v>203</v>
      </c>
      <c r="I130" t="s">
        <v>203</v>
      </c>
      <c r="J130" t="s">
        <v>203</v>
      </c>
      <c r="K130" t="s">
        <v>203</v>
      </c>
      <c r="L130">
        <v>0.60</v>
      </c>
      <c r="M130">
        <v>0.82950118423481201</v>
      </c>
      <c r="N130">
        <v>0.60</v>
      </c>
      <c r="O130">
        <v>0.84756507296539996</v>
      </c>
      <c r="P130">
        <v>0.68188659727912504</v>
      </c>
      <c r="Q130">
        <v>0.87342038114902298</v>
      </c>
      <c r="R130">
        <v>0.60</v>
      </c>
      <c r="S130">
        <v>0.74420502028242896</v>
      </c>
      <c r="T130">
        <v>0.87342038114902298</v>
      </c>
      <c r="U130">
        <v>0.79613153157536198</v>
      </c>
      <c r="V130">
        <v>0.74850140066374504</v>
      </c>
      <c r="W130">
        <v>0.60</v>
      </c>
      <c r="X130">
        <v>0.60</v>
      </c>
      <c r="Y130">
        <v>0.76658436240029004</v>
      </c>
      <c r="Z130">
        <v>0.79272698587993995</v>
      </c>
      <c r="AA130">
        <v>0.76049125912812598</v>
      </c>
      <c r="AB130">
        <v>0.75583806032307699</v>
      </c>
      <c r="AC130">
        <v>0.60</v>
      </c>
      <c r="AD130">
        <v>0.79613153157536198</v>
      </c>
      <c r="AE130">
        <v>0.78741449604583902</v>
      </c>
      <c r="AF130">
        <v>0.60</v>
      </c>
      <c r="AG130">
        <v>0.74420440730545101</v>
      </c>
      <c r="AH130">
        <v>0.79272490530302997</v>
      </c>
      <c r="AI130">
        <v>0.77763218891022801</v>
      </c>
      <c r="AJ130">
        <v>0.60</v>
      </c>
      <c r="AK130">
        <v>0.60</v>
      </c>
      <c r="AL130">
        <v>0.60</v>
      </c>
      <c r="AM130">
        <v>0.85379972978501595</v>
      </c>
      <c r="AN130">
        <v>0.79613153157536198</v>
      </c>
      <c r="AO130">
        <v>0.777636941853317</v>
      </c>
      <c r="AP130">
        <v>0.736268047708726</v>
      </c>
      <c r="AQ130">
        <v>0.75743233774605501</v>
      </c>
      <c r="AR130">
        <v>0.60</v>
      </c>
      <c r="AS130">
        <v>0.74849824218209304</v>
      </c>
      <c r="AT130">
        <v>0.81986938629450701</v>
      </c>
      <c r="AU130">
        <v>0.75383407206271902</v>
      </c>
      <c r="AV130">
        <v>0.79052963098158702</v>
      </c>
      <c r="AW130" t="s">
        <v>203</v>
      </c>
    </row>
    <row r="131" spans="1:49" ht="12.75">
      <c r="A131" t="s">
        <v>201</v>
      </c>
      <c r="B131" t="s">
        <v>29</v>
      </c>
      <c r="C131" t="s">
        <v>392</v>
      </c>
      <c r="D131" t="s">
        <v>203</v>
      </c>
      <c r="E131" t="s">
        <v>203</v>
      </c>
      <c r="F131" t="s">
        <v>223</v>
      </c>
      <c r="G131" t="s">
        <v>793</v>
      </c>
      <c r="H131" t="s">
        <v>203</v>
      </c>
      <c r="I131" t="s">
        <v>203</v>
      </c>
      <c r="J131" t="s">
        <v>203</v>
      </c>
      <c r="K131" t="s">
        <v>203</v>
      </c>
      <c r="L131">
        <v>0.48598115955219801</v>
      </c>
      <c r="M131">
        <v>0.62710251209237</v>
      </c>
      <c r="N131">
        <v>0.48598115955219801</v>
      </c>
      <c r="O131">
        <v>0.64075738975544005</v>
      </c>
      <c r="P131">
        <v>0.51550653842653005</v>
      </c>
      <c r="Q131">
        <v>0.66030593266058102</v>
      </c>
      <c r="R131">
        <v>0.66666666666666696</v>
      </c>
      <c r="S131">
        <v>0.66666666666666696</v>
      </c>
      <c r="T131">
        <v>0.66030593266058102</v>
      </c>
      <c r="U131">
        <v>0.60187543638611796</v>
      </c>
      <c r="V131">
        <v>0.56586562587120104</v>
      </c>
      <c r="W131">
        <v>0.48598115955219801</v>
      </c>
      <c r="X131">
        <v>0.538337841823193</v>
      </c>
      <c r="Y131">
        <v>0.66666666666666696</v>
      </c>
      <c r="Z131">
        <v>0.59929863141498196</v>
      </c>
      <c r="AA131">
        <v>0.57493234425441297</v>
      </c>
      <c r="AB131">
        <v>0.57141450607154598</v>
      </c>
      <c r="AC131">
        <v>0.60873144456782702</v>
      </c>
      <c r="AD131">
        <v>0.60187543638611796</v>
      </c>
      <c r="AE131">
        <v>0.59528022164973504</v>
      </c>
      <c r="AF131">
        <v>0.48598115955219801</v>
      </c>
      <c r="AG131">
        <v>0.66666666666666696</v>
      </c>
      <c r="AH131">
        <v>0.59929878165710004</v>
      </c>
      <c r="AI131">
        <v>0.58788831726503299</v>
      </c>
      <c r="AJ131">
        <v>0.48598115955219801</v>
      </c>
      <c r="AK131">
        <v>0.48598115955219801</v>
      </c>
      <c r="AL131">
        <v>0.47401029773897502</v>
      </c>
      <c r="AM131">
        <v>0.64547332315164896</v>
      </c>
      <c r="AN131">
        <v>0.60187543638611796</v>
      </c>
      <c r="AO131">
        <v>0.58788939260837902</v>
      </c>
      <c r="AP131">
        <v>0.55662080368926403</v>
      </c>
      <c r="AQ131">
        <v>0.57261948361105997</v>
      </c>
      <c r="AR131">
        <v>0.48598115955219801</v>
      </c>
      <c r="AS131">
        <v>0.56586659732154498</v>
      </c>
      <c r="AT131">
        <v>0.61982327909434998</v>
      </c>
      <c r="AU131">
        <v>0.56989791016701496</v>
      </c>
      <c r="AV131">
        <v>0.66666666666666696</v>
      </c>
      <c r="AW131" t="s">
        <v>203</v>
      </c>
    </row>
    <row r="132" spans="1:49" ht="12.75">
      <c r="A132" t="s">
        <v>201</v>
      </c>
      <c r="B132" t="s">
        <v>29</v>
      </c>
      <c r="C132" t="s">
        <v>393</v>
      </c>
      <c r="D132" t="s">
        <v>203</v>
      </c>
      <c r="E132" t="s">
        <v>203</v>
      </c>
      <c r="F132" t="s">
        <v>223</v>
      </c>
      <c r="G132" t="s">
        <v>793</v>
      </c>
      <c r="H132" t="s">
        <v>203</v>
      </c>
      <c r="I132" t="s">
        <v>203</v>
      </c>
      <c r="J132" t="s">
        <v>203</v>
      </c>
      <c r="K132" t="s">
        <v>203</v>
      </c>
      <c r="L132">
        <v>0.47248107163657499</v>
      </c>
      <c r="M132">
        <v>0.60968216033169498</v>
      </c>
      <c r="N132">
        <v>0.47248107163657499</v>
      </c>
      <c r="O132">
        <v>0.62296069650733199</v>
      </c>
      <c r="P132">
        <v>0.50118797881341204</v>
      </c>
      <c r="Q132">
        <v>0.64196549490667099</v>
      </c>
      <c r="R132">
        <v>0.46232472664593599</v>
      </c>
      <c r="S132">
        <v>0.54698986859033305</v>
      </c>
      <c r="T132">
        <v>0.64196549490667099</v>
      </c>
      <c r="U132">
        <v>0.58515687159968199</v>
      </c>
      <c r="V132">
        <v>0.55014724650216096</v>
      </c>
      <c r="W132">
        <v>0.47248107163657499</v>
      </c>
      <c r="X132">
        <v>0.52338400434479704</v>
      </c>
      <c r="Y132">
        <v>0.56344177798950601</v>
      </c>
      <c r="Z132">
        <v>0.58265116795382099</v>
      </c>
      <c r="AA132">
        <v>0.55896145653309803</v>
      </c>
      <c r="AB132">
        <v>0.60</v>
      </c>
      <c r="AC132">
        <v>0.59182255987559296</v>
      </c>
      <c r="AD132">
        <v>0.58515687159968199</v>
      </c>
      <c r="AE132">
        <v>0.57874846218708098</v>
      </c>
      <c r="AF132">
        <v>0.47248107163657499</v>
      </c>
      <c r="AG132">
        <v>0.54699173886761998</v>
      </c>
      <c r="AH132">
        <v>0.58265223666383903</v>
      </c>
      <c r="AI132">
        <v>0.57155887279946105</v>
      </c>
      <c r="AJ132">
        <v>0.47248107163657499</v>
      </c>
      <c r="AK132">
        <v>0.47248107163657499</v>
      </c>
      <c r="AL132">
        <v>0.60</v>
      </c>
      <c r="AM132">
        <v>0.62754346182917597</v>
      </c>
      <c r="AN132">
        <v>0.58515687159968199</v>
      </c>
      <c r="AO132">
        <v>0.57155910531953502</v>
      </c>
      <c r="AP132">
        <v>0.54116067442980298</v>
      </c>
      <c r="AQ132">
        <v>0.55671277419880905</v>
      </c>
      <c r="AR132">
        <v>0.47248107163657499</v>
      </c>
      <c r="AS132">
        <v>0.55014722417938</v>
      </c>
      <c r="AT132">
        <v>0.60260398266309401</v>
      </c>
      <c r="AU132">
        <v>0.55406943800989605</v>
      </c>
      <c r="AV132">
        <v>0.58104048415592202</v>
      </c>
      <c r="AW132" t="s">
        <v>203</v>
      </c>
    </row>
    <row r="133" spans="1:49" ht="12.75">
      <c r="A133" t="s">
        <v>201</v>
      </c>
      <c r="B133" t="s">
        <v>29</v>
      </c>
      <c r="C133" t="s">
        <v>394</v>
      </c>
      <c r="D133" t="s">
        <v>203</v>
      </c>
      <c r="E133" t="s">
        <v>203</v>
      </c>
      <c r="F133" t="s">
        <v>223</v>
      </c>
      <c r="G133" t="s">
        <v>793</v>
      </c>
      <c r="H133" t="s">
        <v>203</v>
      </c>
      <c r="I133" t="s">
        <v>203</v>
      </c>
      <c r="J133" t="s">
        <v>203</v>
      </c>
      <c r="K133" t="s">
        <v>203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 t="s">
        <v>203</v>
      </c>
    </row>
    <row r="134" spans="1:49" ht="12.75">
      <c r="A134" t="s">
        <v>201</v>
      </c>
      <c r="B134" t="s">
        <v>103</v>
      </c>
      <c r="C134" t="s">
        <v>189</v>
      </c>
      <c r="D134" t="s">
        <v>426</v>
      </c>
      <c r="E134" t="s">
        <v>203</v>
      </c>
      <c r="F134" t="s">
        <v>223</v>
      </c>
      <c r="G134" t="s">
        <v>793</v>
      </c>
      <c r="H134" t="s">
        <v>203</v>
      </c>
      <c r="I134" t="s">
        <v>203</v>
      </c>
      <c r="J134" t="s">
        <v>203</v>
      </c>
      <c r="K134" t="s">
        <v>203</v>
      </c>
      <c r="L134">
        <v>0.083764559345156905</v>
      </c>
      <c r="M134">
        <v>0.064223337238684494</v>
      </c>
      <c r="N134">
        <v>0.083764559345156905</v>
      </c>
      <c r="O134">
        <v>0.079090823379642503</v>
      </c>
      <c r="P134">
        <v>0.087411638240296005</v>
      </c>
      <c r="Q134">
        <v>0.064223337238684494</v>
      </c>
      <c r="R134">
        <v>0.0842848085372985</v>
      </c>
      <c r="S134">
        <v>0.079565044420149694</v>
      </c>
      <c r="T134">
        <v>0.086563123855133206</v>
      </c>
      <c r="U134">
        <v>0.066966975357330094</v>
      </c>
      <c r="V134">
        <v>0.083828879052419203</v>
      </c>
      <c r="W134">
        <v>0.083764559345156905</v>
      </c>
      <c r="X134">
        <v>0.080355325767923702</v>
      </c>
      <c r="Y134">
        <v>0.082326891873987895</v>
      </c>
      <c r="Z134">
        <v>0.084309863867532697</v>
      </c>
      <c r="AA134">
        <v>0.083303271896902994</v>
      </c>
      <c r="AB134">
        <v>0.077986842276585602</v>
      </c>
      <c r="AC134">
        <v>0.084197061970721507</v>
      </c>
      <c r="AD134">
        <v>0.083990122538136494</v>
      </c>
      <c r="AE134">
        <v>0.069449826999852096</v>
      </c>
      <c r="AF134">
        <v>0.083764559345156905</v>
      </c>
      <c r="AG134">
        <v>0.080318824056222399</v>
      </c>
      <c r="AH134">
        <v>0.084876968012422394</v>
      </c>
      <c r="AI134">
        <v>0.083625797447433703</v>
      </c>
      <c r="AJ134">
        <v>0.083764559345156905</v>
      </c>
      <c r="AK134">
        <v>0.083764559345156905</v>
      </c>
      <c r="AL134">
        <v>0.083842900339129195</v>
      </c>
      <c r="AM134">
        <v>0.058506431868350701</v>
      </c>
      <c r="AN134">
        <v>0.083990122538136494</v>
      </c>
      <c r="AO134">
        <v>0.084270107298502206</v>
      </c>
      <c r="AP134">
        <v>0.082973215490212707</v>
      </c>
      <c r="AQ134">
        <v>0.060865486023163003</v>
      </c>
      <c r="AR134">
        <v>0.083764559345156905</v>
      </c>
      <c r="AS134">
        <v>0.083990122538136494</v>
      </c>
      <c r="AT134">
        <v>0.084456306464963604</v>
      </c>
      <c r="AU134">
        <v>0.084186840333086904</v>
      </c>
      <c r="AV134">
        <v>0.084683046159160197</v>
      </c>
      <c r="AW134" t="s">
        <v>203</v>
      </c>
    </row>
    <row r="135" spans="1:49" ht="12.75">
      <c r="A135" t="s">
        <v>201</v>
      </c>
      <c r="B135" t="s">
        <v>103</v>
      </c>
      <c r="C135" t="s">
        <v>190</v>
      </c>
      <c r="D135" t="s">
        <v>426</v>
      </c>
      <c r="E135" t="s">
        <v>203</v>
      </c>
      <c r="F135" t="s">
        <v>223</v>
      </c>
      <c r="G135" t="s">
        <v>793</v>
      </c>
      <c r="H135" t="s">
        <v>203</v>
      </c>
      <c r="I135" t="s">
        <v>203</v>
      </c>
      <c r="J135" t="s">
        <v>203</v>
      </c>
      <c r="K135" t="s">
        <v>203</v>
      </c>
      <c r="L135">
        <v>0.172562136769802</v>
      </c>
      <c r="M135">
        <v>0.13192038630038699</v>
      </c>
      <c r="N135">
        <v>0.172562136769802</v>
      </c>
      <c r="O135">
        <v>0.14275208084261201</v>
      </c>
      <c r="P135">
        <v>0.166203003558444</v>
      </c>
      <c r="Q135">
        <v>0.13192038630038699</v>
      </c>
      <c r="R135">
        <v>0.172770581841444</v>
      </c>
      <c r="S135">
        <v>0.14573733659261701</v>
      </c>
      <c r="T135">
        <v>0.102224923601231</v>
      </c>
      <c r="U135">
        <v>0.138061731516021</v>
      </c>
      <c r="V135">
        <v>0.169809573510248</v>
      </c>
      <c r="W135">
        <v>0.172562136769802</v>
      </c>
      <c r="X135">
        <v>0.17886894190754599</v>
      </c>
      <c r="Y135">
        <v>0.13629556391554701</v>
      </c>
      <c r="Z135">
        <v>0.14524666057451099</v>
      </c>
      <c r="AA135">
        <v>0.17386806766898999</v>
      </c>
      <c r="AB135">
        <v>0.17880584518120499</v>
      </c>
      <c r="AC135">
        <v>0.145187149783681</v>
      </c>
      <c r="AD135">
        <v>0.135914014107338</v>
      </c>
      <c r="AE135">
        <v>0.156235832596923</v>
      </c>
      <c r="AF135">
        <v>0.172562136769802</v>
      </c>
      <c r="AG135">
        <v>0.17216400145331201</v>
      </c>
      <c r="AH135">
        <v>0.13762574134538</v>
      </c>
      <c r="AI135">
        <v>0.17023858404078701</v>
      </c>
      <c r="AJ135">
        <v>0.172562136769802</v>
      </c>
      <c r="AK135">
        <v>0.172562136769802</v>
      </c>
      <c r="AL135">
        <v>0.143850923012318</v>
      </c>
      <c r="AM135">
        <v>0.135705206267001</v>
      </c>
      <c r="AN135">
        <v>0.135914014107338</v>
      </c>
      <c r="AO135">
        <v>0.15438980754513801</v>
      </c>
      <c r="AP135">
        <v>0.17720157942212</v>
      </c>
      <c r="AQ135">
        <v>0.171653233466288</v>
      </c>
      <c r="AR135">
        <v>0.172562136769802</v>
      </c>
      <c r="AS135">
        <v>0.135914014107338</v>
      </c>
      <c r="AT135">
        <v>0.16903214285714299</v>
      </c>
      <c r="AU135">
        <v>0.170918273006502</v>
      </c>
      <c r="AV135">
        <v>0.14573888963203199</v>
      </c>
      <c r="AW135" t="s">
        <v>203</v>
      </c>
    </row>
    <row r="136" spans="1:49" ht="12.75">
      <c r="A136" t="s">
        <v>201</v>
      </c>
      <c r="B136" t="s">
        <v>103</v>
      </c>
      <c r="C136" t="s">
        <v>191</v>
      </c>
      <c r="D136" t="s">
        <v>426</v>
      </c>
      <c r="E136" t="s">
        <v>203</v>
      </c>
      <c r="F136" t="s">
        <v>223</v>
      </c>
      <c r="G136" t="s">
        <v>793</v>
      </c>
      <c r="H136" t="s">
        <v>203</v>
      </c>
      <c r="I136" t="s">
        <v>203</v>
      </c>
      <c r="J136" t="s">
        <v>203</v>
      </c>
      <c r="K136" t="s">
        <v>203</v>
      </c>
      <c r="L136">
        <v>0.0029183714103074398</v>
      </c>
      <c r="M136">
        <v>0.0030528566635979401</v>
      </c>
      <c r="N136">
        <v>0.0029183714103074398</v>
      </c>
      <c r="O136">
        <v>0.0030466754652661299</v>
      </c>
      <c r="P136">
        <v>0.0036881813482680802</v>
      </c>
      <c r="Q136">
        <v>0.0030528566635979401</v>
      </c>
      <c r="R136">
        <v>0.0032952163802269499</v>
      </c>
      <c r="S136">
        <v>0.00266522076274047</v>
      </c>
      <c r="T136">
        <v>0.0026464972111846</v>
      </c>
      <c r="U136">
        <v>0.0025695131803492098</v>
      </c>
      <c r="V136">
        <v>0.00393844797143928</v>
      </c>
      <c r="W136">
        <v>0.0029183714103074398</v>
      </c>
      <c r="X136">
        <v>0.00341021878122349</v>
      </c>
      <c r="Y136">
        <v>0.00302737378307077</v>
      </c>
      <c r="Z136">
        <v>0.0030768587019303498</v>
      </c>
      <c r="AA136">
        <v>0.00314309795683045</v>
      </c>
      <c r="AB136">
        <v>0.00274726026482314</v>
      </c>
      <c r="AC136">
        <v>0.0029976749040230002</v>
      </c>
      <c r="AD136">
        <v>0.00268212128630608</v>
      </c>
      <c r="AE136">
        <v>0.0027349842685447101</v>
      </c>
      <c r="AF136">
        <v>0.0029183714103074398</v>
      </c>
      <c r="AG136">
        <v>0.0029535579738257699</v>
      </c>
      <c r="AH136">
        <v>0.0029522204446514799</v>
      </c>
      <c r="AI136">
        <v>0.0035620970330897399</v>
      </c>
      <c r="AJ136">
        <v>0.0029183714103074398</v>
      </c>
      <c r="AK136">
        <v>0.0029183714103074398</v>
      </c>
      <c r="AL136">
        <v>0.0030654756024301099</v>
      </c>
      <c r="AM136">
        <v>0.0025648916490366401</v>
      </c>
      <c r="AN136">
        <v>0.00268212128630608</v>
      </c>
      <c r="AO136">
        <v>0.00294588173179586</v>
      </c>
      <c r="AP136">
        <v>0.0033059434778442099</v>
      </c>
      <c r="AQ136">
        <v>0.0029554480867884599</v>
      </c>
      <c r="AR136">
        <v>0.0029183714103074398</v>
      </c>
      <c r="AS136">
        <v>0.00268212128630608</v>
      </c>
      <c r="AT136">
        <v>0.00330713699037224</v>
      </c>
      <c r="AU136">
        <v>0.0027738183970692498</v>
      </c>
      <c r="AV136">
        <v>0.0029484487630475802</v>
      </c>
      <c r="AW136" t="s">
        <v>203</v>
      </c>
    </row>
    <row r="137" spans="1:49" ht="12.75">
      <c r="A137" t="s">
        <v>201</v>
      </c>
      <c r="B137" t="s">
        <v>103</v>
      </c>
      <c r="C137" t="s">
        <v>192</v>
      </c>
      <c r="D137" t="s">
        <v>426</v>
      </c>
      <c r="E137" t="s">
        <v>203</v>
      </c>
      <c r="F137" t="s">
        <v>223</v>
      </c>
      <c r="G137" t="s">
        <v>793</v>
      </c>
      <c r="H137" t="s">
        <v>203</v>
      </c>
      <c r="I137" t="s">
        <v>203</v>
      </c>
      <c r="J137" t="s">
        <v>203</v>
      </c>
      <c r="K137" t="s">
        <v>203</v>
      </c>
      <c r="L137">
        <v>0.017258637739264501</v>
      </c>
      <c r="M137">
        <v>0.018310373269268501</v>
      </c>
      <c r="N137">
        <v>0.017258637739264501</v>
      </c>
      <c r="O137">
        <v>0.019088561216600301</v>
      </c>
      <c r="P137">
        <v>0.020349650979886499</v>
      </c>
      <c r="Q137">
        <v>0.018310373269268501</v>
      </c>
      <c r="R137">
        <v>0.021247309108172002</v>
      </c>
      <c r="S137">
        <v>0.019831420602584499</v>
      </c>
      <c r="T137">
        <v>0.016830938127583201</v>
      </c>
      <c r="U137">
        <v>0.016848160074309601</v>
      </c>
      <c r="V137">
        <v>0.021331850598269701</v>
      </c>
      <c r="W137">
        <v>0.017258637739264501</v>
      </c>
      <c r="X137">
        <v>0.017929689291155099</v>
      </c>
      <c r="Y137">
        <v>0.018021251839797001</v>
      </c>
      <c r="Z137">
        <v>0.019599569227901199</v>
      </c>
      <c r="AA137">
        <v>0.019108131057559499</v>
      </c>
      <c r="AB137">
        <v>0.019354377617671899</v>
      </c>
      <c r="AC137">
        <v>0.018341690424377</v>
      </c>
      <c r="AD137">
        <v>0.0175394097712709</v>
      </c>
      <c r="AE137">
        <v>0.017972467875811599</v>
      </c>
      <c r="AF137">
        <v>0.017258637739264501</v>
      </c>
      <c r="AG137">
        <v>0.0203468836455565</v>
      </c>
      <c r="AH137">
        <v>0.0177899330675351</v>
      </c>
      <c r="AI137">
        <v>0.019867389599450801</v>
      </c>
      <c r="AJ137">
        <v>0.017258637739264501</v>
      </c>
      <c r="AK137">
        <v>0.017258637739264501</v>
      </c>
      <c r="AL137">
        <v>0.021449061425650801</v>
      </c>
      <c r="AM137">
        <v>0.0163284335800431</v>
      </c>
      <c r="AN137">
        <v>0.0175394097712709</v>
      </c>
      <c r="AO137">
        <v>0.018265374094117701</v>
      </c>
      <c r="AP137">
        <v>0.019382350056382999</v>
      </c>
      <c r="AQ137">
        <v>0.0175179905388449</v>
      </c>
      <c r="AR137">
        <v>0.017258637739264501</v>
      </c>
      <c r="AS137">
        <v>0.0175394097712709</v>
      </c>
      <c r="AT137">
        <v>0.021610091024181599</v>
      </c>
      <c r="AU137">
        <v>0.0208555680552324</v>
      </c>
      <c r="AV137">
        <v>0.016393424349138101</v>
      </c>
      <c r="AW137" t="s">
        <v>203</v>
      </c>
    </row>
    <row r="138" spans="1:49" ht="12.75">
      <c r="A138" t="s">
        <v>201</v>
      </c>
      <c r="B138" t="s">
        <v>103</v>
      </c>
      <c r="C138" t="s">
        <v>193</v>
      </c>
      <c r="D138" t="s">
        <v>426</v>
      </c>
      <c r="E138" t="s">
        <v>203</v>
      </c>
      <c r="F138" t="s">
        <v>223</v>
      </c>
      <c r="G138" t="s">
        <v>793</v>
      </c>
      <c r="H138" t="s">
        <v>203</v>
      </c>
      <c r="I138" t="s">
        <v>203</v>
      </c>
      <c r="J138" t="s">
        <v>203</v>
      </c>
      <c r="K138" t="s">
        <v>203</v>
      </c>
      <c r="L138">
        <v>0.0028571435059458299</v>
      </c>
      <c r="M138">
        <v>0.00276808919850904</v>
      </c>
      <c r="N138">
        <v>0.0028571435059458299</v>
      </c>
      <c r="O138">
        <v>0.0026886303445824598</v>
      </c>
      <c r="P138">
        <v>0.0030072231013520802</v>
      </c>
      <c r="Q138">
        <v>0.00276808919850904</v>
      </c>
      <c r="R138">
        <v>0.0028763475396926998</v>
      </c>
      <c r="S138">
        <v>0.00272385652536038</v>
      </c>
      <c r="T138">
        <v>0.0029377675419295099</v>
      </c>
      <c r="U138">
        <v>0.0028451179062442301</v>
      </c>
      <c r="V138">
        <v>0.0028675761005383699</v>
      </c>
      <c r="W138">
        <v>0.0028571435059458299</v>
      </c>
      <c r="X138">
        <v>0.00273232499916286</v>
      </c>
      <c r="Y138">
        <v>0.0027949049418829301</v>
      </c>
      <c r="Z138">
        <v>0.0028629244690098598</v>
      </c>
      <c r="AA138">
        <v>0.0028436971780982402</v>
      </c>
      <c r="AB138">
        <v>0.0028079428792569701</v>
      </c>
      <c r="AC138">
        <v>0.0028601900651311</v>
      </c>
      <c r="AD138">
        <v>0.0028458988675619701</v>
      </c>
      <c r="AE138">
        <v>0.0026322690365189099</v>
      </c>
      <c r="AF138">
        <v>0.0028571435059458299</v>
      </c>
      <c r="AG138">
        <v>0.00285917453748535</v>
      </c>
      <c r="AH138">
        <v>0.0028732770079332899</v>
      </c>
      <c r="AI138">
        <v>0.00286364933650066</v>
      </c>
      <c r="AJ138">
        <v>0.0028571435059458299</v>
      </c>
      <c r="AK138">
        <v>0.0028571435059458299</v>
      </c>
      <c r="AL138">
        <v>0.0028678376700802099</v>
      </c>
      <c r="AM138">
        <v>0.0028646292543426698</v>
      </c>
      <c r="AN138">
        <v>0.0028458988675619701</v>
      </c>
      <c r="AO138">
        <v>0.0028760757970145599</v>
      </c>
      <c r="AP138">
        <v>0.0028297006408803099</v>
      </c>
      <c r="AQ138">
        <v>0.0019145554179113</v>
      </c>
      <c r="AR138">
        <v>0.0028571435059458299</v>
      </c>
      <c r="AS138">
        <v>0.0028458988675619701</v>
      </c>
      <c r="AT138">
        <v>0.0028796667556553902</v>
      </c>
      <c r="AU138">
        <v>0.0028744739312352198</v>
      </c>
      <c r="AV138">
        <v>0.0026094890259503898</v>
      </c>
      <c r="AW138" t="s">
        <v>203</v>
      </c>
    </row>
    <row r="139" spans="1:49" ht="12.75">
      <c r="A139" t="s">
        <v>201</v>
      </c>
      <c r="B139" t="s">
        <v>103</v>
      </c>
      <c r="C139" t="s">
        <v>194</v>
      </c>
      <c r="D139" t="s">
        <v>426</v>
      </c>
      <c r="E139" t="s">
        <v>203</v>
      </c>
      <c r="F139" t="s">
        <v>223</v>
      </c>
      <c r="G139" t="s">
        <v>793</v>
      </c>
      <c r="H139" t="s">
        <v>203</v>
      </c>
      <c r="I139" t="s">
        <v>203</v>
      </c>
      <c r="J139" t="s">
        <v>203</v>
      </c>
      <c r="K139" t="s">
        <v>203</v>
      </c>
      <c r="L139">
        <v>0.11565745477757</v>
      </c>
      <c r="M139">
        <v>0.102037763152351</v>
      </c>
      <c r="N139">
        <v>0.11565745477757</v>
      </c>
      <c r="O139">
        <v>0.10311333486968401</v>
      </c>
      <c r="P139">
        <v>0.11818465932437799</v>
      </c>
      <c r="Q139">
        <v>0.102037763152351</v>
      </c>
      <c r="R139">
        <v>0.116114771569667</v>
      </c>
      <c r="S139">
        <v>0.11735642242648001</v>
      </c>
      <c r="T139">
        <v>0.101960390629488</v>
      </c>
      <c r="U139">
        <v>0.10273443344934299</v>
      </c>
      <c r="V139">
        <v>0.116034477940523</v>
      </c>
      <c r="W139">
        <v>0.11565745477757</v>
      </c>
      <c r="X139">
        <v>0.11731785790195801</v>
      </c>
      <c r="Y139">
        <v>0.10250963719867399</v>
      </c>
      <c r="Z139">
        <v>0.10669871853988901</v>
      </c>
      <c r="AA139">
        <v>0.11717425981900299</v>
      </c>
      <c r="AB139">
        <v>0.120965477698423</v>
      </c>
      <c r="AC139">
        <v>0.104376207973969</v>
      </c>
      <c r="AD139">
        <v>0.10052583822869</v>
      </c>
      <c r="AE139">
        <v>0.107947690376204</v>
      </c>
      <c r="AF139">
        <v>0.11565745477757</v>
      </c>
      <c r="AG139">
        <v>0.11964576074229499</v>
      </c>
      <c r="AH139">
        <v>0.100209759282213</v>
      </c>
      <c r="AI139">
        <v>0.117309413828211</v>
      </c>
      <c r="AJ139">
        <v>0.11565745477757</v>
      </c>
      <c r="AK139">
        <v>0.11565745477757</v>
      </c>
      <c r="AL139">
        <v>0.115080820929746</v>
      </c>
      <c r="AM139">
        <v>0.10159729792913801</v>
      </c>
      <c r="AN139">
        <v>0.10052583822869</v>
      </c>
      <c r="AO139">
        <v>0.115509476209516</v>
      </c>
      <c r="AP139">
        <v>0.11860563884333999</v>
      </c>
      <c r="AQ139">
        <v>0.119800874484132</v>
      </c>
      <c r="AR139">
        <v>0.11565745477757</v>
      </c>
      <c r="AS139">
        <v>0.10052583822869</v>
      </c>
      <c r="AT139">
        <v>0.11298311913558701</v>
      </c>
      <c r="AU139">
        <v>0.115344391983544</v>
      </c>
      <c r="AV139">
        <v>0.104972242152789</v>
      </c>
      <c r="AW139" t="s">
        <v>203</v>
      </c>
    </row>
    <row r="140" spans="1:49" ht="12.75">
      <c r="A140" t="s">
        <v>201</v>
      </c>
      <c r="B140" t="s">
        <v>114</v>
      </c>
      <c r="C140" t="s">
        <v>263</v>
      </c>
      <c r="D140" t="s">
        <v>203</v>
      </c>
      <c r="E140" t="s">
        <v>203</v>
      </c>
      <c r="F140" t="s">
        <v>203</v>
      </c>
      <c r="G140" t="s">
        <v>203</v>
      </c>
      <c r="H140" t="s">
        <v>203</v>
      </c>
      <c r="I140" t="s">
        <v>203</v>
      </c>
      <c r="J140" t="s">
        <v>203</v>
      </c>
      <c r="K140" t="s">
        <v>203</v>
      </c>
      <c r="L140">
        <v>0.124562581475928</v>
      </c>
      <c r="M140">
        <v>0.031530748361570098</v>
      </c>
      <c r="N140">
        <v>0.0052940568592983704</v>
      </c>
      <c r="O140">
        <v>0.028206744902825001</v>
      </c>
      <c r="P140">
        <v>0.018065026162514399</v>
      </c>
      <c r="Q140">
        <v>0.026075089748405202</v>
      </c>
      <c r="R140">
        <v>0.13806473472810199</v>
      </c>
      <c r="S140">
        <v>0.030247839647684301</v>
      </c>
      <c r="T140">
        <v>0.020286551092556199</v>
      </c>
      <c r="U140">
        <v>0.417863143633187</v>
      </c>
      <c r="V140">
        <v>0.64443989126169099</v>
      </c>
      <c r="W140">
        <v>0.145482073350817</v>
      </c>
      <c r="X140">
        <v>0.078391657981882107</v>
      </c>
      <c r="Y140">
        <v>0.18327732168963001</v>
      </c>
      <c r="Z140">
        <v>0.036120937755964901</v>
      </c>
      <c r="AA140">
        <v>0.0416533759655709</v>
      </c>
      <c r="AB140">
        <v>0.0143319250104694</v>
      </c>
      <c r="AC140">
        <v>0.040350887062768202</v>
      </c>
      <c r="AD140">
        <v>0.038228002198117401</v>
      </c>
      <c r="AE140">
        <v>0.073652409341071395</v>
      </c>
      <c r="AF140">
        <v>0.081440146428663707</v>
      </c>
      <c r="AG140">
        <v>0.016144024879774399</v>
      </c>
      <c r="AH140">
        <v>0.0076370284882021104</v>
      </c>
      <c r="AI140">
        <v>0.084940908134804302</v>
      </c>
      <c r="AJ140">
        <v>0.092350263754587505</v>
      </c>
      <c r="AK140">
        <v>0.057735165402051501</v>
      </c>
      <c r="AL140">
        <v>0.15806963875962099</v>
      </c>
      <c r="AM140">
        <v>0.19410762922052099</v>
      </c>
      <c r="AN140">
        <v>0.42015660044467301</v>
      </c>
      <c r="AO140">
        <v>0.060781629747186303</v>
      </c>
      <c r="AP140">
        <v>0.072880882635632901</v>
      </c>
      <c r="AQ140">
        <v>0.018042511788895699</v>
      </c>
      <c r="AR140">
        <v>0.032767485393350199</v>
      </c>
      <c r="AS140">
        <v>0.16311339437216299</v>
      </c>
      <c r="AT140">
        <v>0.061570634253422497</v>
      </c>
      <c r="AU140">
        <v>0.012718760644572599</v>
      </c>
      <c r="AV140">
        <v>0.063769667486966095</v>
      </c>
      <c r="AW140" t="s">
        <v>203</v>
      </c>
    </row>
    <row r="141" spans="1:49" ht="12.75">
      <c r="A141" t="s">
        <v>201</v>
      </c>
      <c r="B141" t="s">
        <v>114</v>
      </c>
      <c r="C141" t="s">
        <v>264</v>
      </c>
      <c r="D141" t="s">
        <v>203</v>
      </c>
      <c r="E141" t="s">
        <v>203</v>
      </c>
      <c r="F141" t="s">
        <v>203</v>
      </c>
      <c r="G141" t="s">
        <v>203</v>
      </c>
      <c r="H141" t="s">
        <v>203</v>
      </c>
      <c r="I141" t="s">
        <v>203</v>
      </c>
      <c r="J141" t="s">
        <v>203</v>
      </c>
      <c r="K141" t="s">
        <v>203</v>
      </c>
      <c r="L141">
        <v>0.124562581475928</v>
      </c>
      <c r="M141">
        <v>0.031530748361570098</v>
      </c>
      <c r="N141">
        <v>0.0052940568592983704</v>
      </c>
      <c r="O141">
        <v>0.028206744902825001</v>
      </c>
      <c r="P141">
        <v>0.018065026162514399</v>
      </c>
      <c r="Q141">
        <v>0.026075089748405202</v>
      </c>
      <c r="R141">
        <v>0.13806473472810199</v>
      </c>
      <c r="S141">
        <v>0.030247839647684301</v>
      </c>
      <c r="T141">
        <v>0.020286551092556199</v>
      </c>
      <c r="U141">
        <v>0.417863143633187</v>
      </c>
      <c r="V141">
        <v>0.64443989126169099</v>
      </c>
      <c r="W141">
        <v>0.145482073350817</v>
      </c>
      <c r="X141">
        <v>0.078391657981882107</v>
      </c>
      <c r="Y141">
        <v>0.18327732168963001</v>
      </c>
      <c r="Z141">
        <v>0.036120937755964901</v>
      </c>
      <c r="AA141">
        <v>0.0416533759655709</v>
      </c>
      <c r="AB141">
        <v>0.0143319250104694</v>
      </c>
      <c r="AC141">
        <v>0.040350887062768202</v>
      </c>
      <c r="AD141">
        <v>0.038228002198117401</v>
      </c>
      <c r="AE141">
        <v>0.073652409341071395</v>
      </c>
      <c r="AF141">
        <v>0.081440146428663707</v>
      </c>
      <c r="AG141">
        <v>0.016144024879774399</v>
      </c>
      <c r="AH141">
        <v>0.0076370284882021104</v>
      </c>
      <c r="AI141">
        <v>0.084940908134804302</v>
      </c>
      <c r="AJ141">
        <v>0.092350263754587505</v>
      </c>
      <c r="AK141">
        <v>0.057735165402051501</v>
      </c>
      <c r="AL141">
        <v>0.15806963875962099</v>
      </c>
      <c r="AM141">
        <v>0.19410762922052099</v>
      </c>
      <c r="AN141">
        <v>0.42015660044467301</v>
      </c>
      <c r="AO141">
        <v>0.060781629747186303</v>
      </c>
      <c r="AP141">
        <v>0.072880882635632901</v>
      </c>
      <c r="AQ141">
        <v>0.018042511788895699</v>
      </c>
      <c r="AR141">
        <v>0.032767485393350199</v>
      </c>
      <c r="AS141">
        <v>0.16311339437216299</v>
      </c>
      <c r="AT141">
        <v>0.061570634253422497</v>
      </c>
      <c r="AU141">
        <v>0.012718760644572599</v>
      </c>
      <c r="AV141">
        <v>0.063769667486966095</v>
      </c>
      <c r="AW141" t="s">
        <v>203</v>
      </c>
    </row>
    <row r="142" spans="1:49" ht="12.75">
      <c r="A142" t="s">
        <v>201</v>
      </c>
      <c r="B142" t="s">
        <v>114</v>
      </c>
      <c r="C142" t="s">
        <v>265</v>
      </c>
      <c r="D142" t="s">
        <v>203</v>
      </c>
      <c r="E142" t="s">
        <v>203</v>
      </c>
      <c r="F142" t="s">
        <v>203</v>
      </c>
      <c r="G142" t="s">
        <v>203</v>
      </c>
      <c r="H142" t="s">
        <v>203</v>
      </c>
      <c r="I142" t="s">
        <v>203</v>
      </c>
      <c r="J142" t="s">
        <v>203</v>
      </c>
      <c r="K142" t="s">
        <v>203</v>
      </c>
      <c r="L142">
        <v>0.124562581475928</v>
      </c>
      <c r="M142">
        <v>0.031530748361570098</v>
      </c>
      <c r="N142">
        <v>0.0052940568592983704</v>
      </c>
      <c r="O142">
        <v>0.028206744902825001</v>
      </c>
      <c r="P142">
        <v>0.018065026162514399</v>
      </c>
      <c r="Q142">
        <v>0.026075089748405202</v>
      </c>
      <c r="R142">
        <v>0.13806473472810199</v>
      </c>
      <c r="S142">
        <v>0.030247839647684301</v>
      </c>
      <c r="T142">
        <v>0.020286551092556199</v>
      </c>
      <c r="U142">
        <v>0.417863143633187</v>
      </c>
      <c r="V142">
        <v>0.64443989126169099</v>
      </c>
      <c r="W142">
        <v>0.145482073350817</v>
      </c>
      <c r="X142">
        <v>0.078391657981882107</v>
      </c>
      <c r="Y142">
        <v>0.18327732168963001</v>
      </c>
      <c r="Z142">
        <v>0.036120937755964901</v>
      </c>
      <c r="AA142">
        <v>0.0416533759655709</v>
      </c>
      <c r="AB142">
        <v>0.0143319250104694</v>
      </c>
      <c r="AC142">
        <v>0.040350887062768202</v>
      </c>
      <c r="AD142">
        <v>0.038228002198117401</v>
      </c>
      <c r="AE142">
        <v>0.073652409341071395</v>
      </c>
      <c r="AF142">
        <v>0.081440146428663707</v>
      </c>
      <c r="AG142">
        <v>0.016144024879774399</v>
      </c>
      <c r="AH142">
        <v>0.0076370284882021104</v>
      </c>
      <c r="AI142">
        <v>0.084940908134804302</v>
      </c>
      <c r="AJ142">
        <v>0.092350263754587505</v>
      </c>
      <c r="AK142">
        <v>0.057735165402051501</v>
      </c>
      <c r="AL142">
        <v>0.15806963875962099</v>
      </c>
      <c r="AM142">
        <v>0.19410762922052099</v>
      </c>
      <c r="AN142">
        <v>0.42015660044467301</v>
      </c>
      <c r="AO142">
        <v>0.060781629747186303</v>
      </c>
      <c r="AP142">
        <v>0.072880882635632901</v>
      </c>
      <c r="AQ142">
        <v>0.018042511788895699</v>
      </c>
      <c r="AR142">
        <v>0.032767485393350199</v>
      </c>
      <c r="AS142">
        <v>0.16311339437216299</v>
      </c>
      <c r="AT142">
        <v>0.061570634253422497</v>
      </c>
      <c r="AU142">
        <v>0.012718760644572599</v>
      </c>
      <c r="AV142">
        <v>0.063769667486966095</v>
      </c>
      <c r="AW142" t="s">
        <v>203</v>
      </c>
    </row>
    <row r="143" spans="1:49" ht="12.75">
      <c r="A143" t="s">
        <v>201</v>
      </c>
      <c r="B143" t="s">
        <v>114</v>
      </c>
      <c r="C143" t="s">
        <v>266</v>
      </c>
      <c r="D143" t="s">
        <v>203</v>
      </c>
      <c r="E143" t="s">
        <v>203</v>
      </c>
      <c r="F143" t="s">
        <v>203</v>
      </c>
      <c r="G143" t="s">
        <v>203</v>
      </c>
      <c r="H143" t="s">
        <v>203</v>
      </c>
      <c r="I143" t="s">
        <v>203</v>
      </c>
      <c r="J143" t="s">
        <v>203</v>
      </c>
      <c r="K143" t="s">
        <v>203</v>
      </c>
      <c r="L143">
        <v>0.124562581475928</v>
      </c>
      <c r="M143">
        <v>0.031530748361570098</v>
      </c>
      <c r="N143">
        <v>0.0052940568592983704</v>
      </c>
      <c r="O143">
        <v>0.028206744902825001</v>
      </c>
      <c r="P143">
        <v>0.018065026162514399</v>
      </c>
      <c r="Q143">
        <v>0.026075089748405202</v>
      </c>
      <c r="R143">
        <v>0.13806473472810199</v>
      </c>
      <c r="S143">
        <v>0.030247839647684301</v>
      </c>
      <c r="T143">
        <v>0.020286551092556199</v>
      </c>
      <c r="U143">
        <v>0.417863143633187</v>
      </c>
      <c r="V143">
        <v>0.64443989126169099</v>
      </c>
      <c r="W143">
        <v>0.145482073350817</v>
      </c>
      <c r="X143">
        <v>0.078391657981882107</v>
      </c>
      <c r="Y143">
        <v>0.18327732168963001</v>
      </c>
      <c r="Z143">
        <v>0.036120937755964901</v>
      </c>
      <c r="AA143">
        <v>0.0416533759655709</v>
      </c>
      <c r="AB143">
        <v>0.0143319250104694</v>
      </c>
      <c r="AC143">
        <v>0.040350887062768202</v>
      </c>
      <c r="AD143">
        <v>0.038228002198117401</v>
      </c>
      <c r="AE143">
        <v>0.073652409341071395</v>
      </c>
      <c r="AF143">
        <v>0.081440146428663707</v>
      </c>
      <c r="AG143">
        <v>0.016144024879774399</v>
      </c>
      <c r="AH143">
        <v>0.0076370284882021104</v>
      </c>
      <c r="AI143">
        <v>0.084940908134804302</v>
      </c>
      <c r="AJ143">
        <v>0.092350263754587505</v>
      </c>
      <c r="AK143">
        <v>0.057735165402051501</v>
      </c>
      <c r="AL143">
        <v>0.15806963875962099</v>
      </c>
      <c r="AM143">
        <v>0.19410762922052099</v>
      </c>
      <c r="AN143">
        <v>0.42015660044467301</v>
      </c>
      <c r="AO143">
        <v>0.060781629747186303</v>
      </c>
      <c r="AP143">
        <v>0.072880882635632901</v>
      </c>
      <c r="AQ143">
        <v>0.018042511788895699</v>
      </c>
      <c r="AR143">
        <v>0.032767485393350199</v>
      </c>
      <c r="AS143">
        <v>0.16311339437216299</v>
      </c>
      <c r="AT143">
        <v>0.061570634253422497</v>
      </c>
      <c r="AU143">
        <v>0.012718760644572599</v>
      </c>
      <c r="AV143">
        <v>0.063769667486966095</v>
      </c>
      <c r="AW143" t="s">
        <v>203</v>
      </c>
    </row>
    <row r="144" spans="1:49" ht="12.75">
      <c r="A144" t="s">
        <v>201</v>
      </c>
      <c r="B144" t="s">
        <v>114</v>
      </c>
      <c r="C144" t="s">
        <v>267</v>
      </c>
      <c r="D144" t="s">
        <v>203</v>
      </c>
      <c r="E144" t="s">
        <v>203</v>
      </c>
      <c r="F144" t="s">
        <v>203</v>
      </c>
      <c r="G144" t="s">
        <v>203</v>
      </c>
      <c r="H144" t="s">
        <v>203</v>
      </c>
      <c r="I144" t="s">
        <v>203</v>
      </c>
      <c r="J144" t="s">
        <v>203</v>
      </c>
      <c r="K144" t="s">
        <v>203</v>
      </c>
      <c r="L144">
        <v>0.511962937386651</v>
      </c>
      <c r="M144">
        <v>0.079259537012469794</v>
      </c>
      <c r="N144">
        <v>0.046150527863178498</v>
      </c>
      <c r="O144">
        <v>0.22928450568806599</v>
      </c>
      <c r="P144">
        <v>1.2159273212164601</v>
      </c>
      <c r="Q144">
        <v>0.069374569974412006</v>
      </c>
      <c r="R144">
        <v>0.112481435022652</v>
      </c>
      <c r="S144">
        <v>2.10245719894231</v>
      </c>
      <c r="T144">
        <v>0.091738729664561994</v>
      </c>
      <c r="U144">
        <v>0.071578740811998595</v>
      </c>
      <c r="V144">
        <v>0.15066105301235799</v>
      </c>
      <c r="W144">
        <v>0.110141681481688</v>
      </c>
      <c r="X144">
        <v>0.41513341468792397</v>
      </c>
      <c r="Y144">
        <v>0.064124768155699396</v>
      </c>
      <c r="Z144">
        <v>0.26227268968642697</v>
      </c>
      <c r="AA144">
        <v>0.15044430271159401</v>
      </c>
      <c r="AB144">
        <v>0.113110907777692</v>
      </c>
      <c r="AC144">
        <v>0.144528961585592</v>
      </c>
      <c r="AD144">
        <v>0.031207703764186901</v>
      </c>
      <c r="AE144">
        <v>0.55591986391968695</v>
      </c>
      <c r="AF144">
        <v>0.42621012403787001</v>
      </c>
      <c r="AG144">
        <v>0.40152903218767499</v>
      </c>
      <c r="AH144">
        <v>0.13640162540287501</v>
      </c>
      <c r="AI144">
        <v>0.31403307209620102</v>
      </c>
      <c r="AJ144">
        <v>0.43937502473795698</v>
      </c>
      <c r="AK144">
        <v>0.345769561021602</v>
      </c>
      <c r="AL144">
        <v>0.104369525976915</v>
      </c>
      <c r="AM144">
        <v>0.313671444495496</v>
      </c>
      <c r="AN144">
        <v>0.26809530584053898</v>
      </c>
      <c r="AO144">
        <v>0.29169144174543199</v>
      </c>
      <c r="AP144">
        <v>0.38897770631400902</v>
      </c>
      <c r="AQ144">
        <v>0.64538235934775101</v>
      </c>
      <c r="AR144">
        <v>0.23385749968035899</v>
      </c>
      <c r="AS144">
        <v>0.1202055882182</v>
      </c>
      <c r="AT144">
        <v>0.25633673117169598</v>
      </c>
      <c r="AU144">
        <v>0.30531851729243298</v>
      </c>
      <c r="AV144">
        <v>0.18367151164487899</v>
      </c>
      <c r="AW144" t="s">
        <v>203</v>
      </c>
    </row>
    <row r="145" spans="1:49" ht="12.75">
      <c r="A145" t="s">
        <v>201</v>
      </c>
      <c r="B145" t="s">
        <v>114</v>
      </c>
      <c r="C145" t="s">
        <v>268</v>
      </c>
      <c r="D145" t="s">
        <v>203</v>
      </c>
      <c r="E145" t="s">
        <v>203</v>
      </c>
      <c r="F145" t="s">
        <v>203</v>
      </c>
      <c r="G145" t="s">
        <v>203</v>
      </c>
      <c r="H145" t="s">
        <v>203</v>
      </c>
      <c r="I145" t="s">
        <v>203</v>
      </c>
      <c r="J145" t="s">
        <v>203</v>
      </c>
      <c r="K145" t="s">
        <v>203</v>
      </c>
      <c r="L145">
        <v>0.511962937386651</v>
      </c>
      <c r="M145">
        <v>0.079259537012469794</v>
      </c>
      <c r="N145">
        <v>0.046150527863178498</v>
      </c>
      <c r="O145">
        <v>0.22928450568806599</v>
      </c>
      <c r="P145">
        <v>1.2159273212164601</v>
      </c>
      <c r="Q145">
        <v>0.069374569974412006</v>
      </c>
      <c r="R145">
        <v>0.112481435022652</v>
      </c>
      <c r="S145">
        <v>2.10245719894231</v>
      </c>
      <c r="T145">
        <v>0.091738729664561994</v>
      </c>
      <c r="U145">
        <v>0.071578740811998595</v>
      </c>
      <c r="V145">
        <v>0.15066105301235799</v>
      </c>
      <c r="W145">
        <v>0.110141681481688</v>
      </c>
      <c r="X145">
        <v>0.41513341468792397</v>
      </c>
      <c r="Y145">
        <v>0.064124768155699396</v>
      </c>
      <c r="Z145">
        <v>0.26227268968642697</v>
      </c>
      <c r="AA145">
        <v>0.15044430271159401</v>
      </c>
      <c r="AB145">
        <v>0.113110907777692</v>
      </c>
      <c r="AC145">
        <v>0.144528961585592</v>
      </c>
      <c r="AD145">
        <v>0.031207703764186901</v>
      </c>
      <c r="AE145">
        <v>0.55591986391968695</v>
      </c>
      <c r="AF145">
        <v>0.42621012403787001</v>
      </c>
      <c r="AG145">
        <v>0.40152903218767499</v>
      </c>
      <c r="AH145">
        <v>0.13640162540287501</v>
      </c>
      <c r="AI145">
        <v>0.31403307209620102</v>
      </c>
      <c r="AJ145">
        <v>0.43937502473795698</v>
      </c>
      <c r="AK145">
        <v>0.345769561021602</v>
      </c>
      <c r="AL145">
        <v>0.104369525976915</v>
      </c>
      <c r="AM145">
        <v>0.313671444495496</v>
      </c>
      <c r="AN145">
        <v>0.26809530584053898</v>
      </c>
      <c r="AO145">
        <v>0.29169144174543199</v>
      </c>
      <c r="AP145">
        <v>0.38897770631400902</v>
      </c>
      <c r="AQ145">
        <v>0.64538235934775101</v>
      </c>
      <c r="AR145">
        <v>0.23385749968035899</v>
      </c>
      <c r="AS145">
        <v>0.1202055882182</v>
      </c>
      <c r="AT145">
        <v>0.25633673117169598</v>
      </c>
      <c r="AU145">
        <v>0.30531851729243298</v>
      </c>
      <c r="AV145">
        <v>0.18367151164487899</v>
      </c>
      <c r="AW145" t="s">
        <v>203</v>
      </c>
    </row>
    <row r="146" spans="1:49" ht="12.75">
      <c r="A146" t="s">
        <v>201</v>
      </c>
      <c r="B146" t="s">
        <v>114</v>
      </c>
      <c r="C146" t="s">
        <v>269</v>
      </c>
      <c r="D146" t="s">
        <v>203</v>
      </c>
      <c r="E146" t="s">
        <v>203</v>
      </c>
      <c r="F146" t="s">
        <v>203</v>
      </c>
      <c r="G146" t="s">
        <v>203</v>
      </c>
      <c r="H146" t="s">
        <v>203</v>
      </c>
      <c r="I146" t="s">
        <v>203</v>
      </c>
      <c r="J146" t="s">
        <v>203</v>
      </c>
      <c r="K146" t="s">
        <v>203</v>
      </c>
      <c r="L146">
        <v>0.511962937386651</v>
      </c>
      <c r="M146">
        <v>0.079259537012469794</v>
      </c>
      <c r="N146">
        <v>0.046150527863178498</v>
      </c>
      <c r="O146">
        <v>0.22928450568806599</v>
      </c>
      <c r="P146">
        <v>1.2159273212164601</v>
      </c>
      <c r="Q146">
        <v>0.069374569974412006</v>
      </c>
      <c r="R146">
        <v>0.112481435022652</v>
      </c>
      <c r="S146">
        <v>2.10245719894231</v>
      </c>
      <c r="T146">
        <v>0.091738729664561994</v>
      </c>
      <c r="U146">
        <v>0.071578740811998595</v>
      </c>
      <c r="V146">
        <v>0.15066105301235799</v>
      </c>
      <c r="W146">
        <v>0.110141681481688</v>
      </c>
      <c r="X146">
        <v>0.41513341468792397</v>
      </c>
      <c r="Y146">
        <v>0.064124768155699396</v>
      </c>
      <c r="Z146">
        <v>0.26227268968642697</v>
      </c>
      <c r="AA146">
        <v>0.15044430271159401</v>
      </c>
      <c r="AB146">
        <v>0.113110907777692</v>
      </c>
      <c r="AC146">
        <v>0.144528961585592</v>
      </c>
      <c r="AD146">
        <v>0.031207703764186901</v>
      </c>
      <c r="AE146">
        <v>0.55591986391968695</v>
      </c>
      <c r="AF146">
        <v>0.42621012403787001</v>
      </c>
      <c r="AG146">
        <v>0.40152903218767499</v>
      </c>
      <c r="AH146">
        <v>0.13640162540287501</v>
      </c>
      <c r="AI146">
        <v>0.31403307209620102</v>
      </c>
      <c r="AJ146">
        <v>0.43937502473795698</v>
      </c>
      <c r="AK146">
        <v>0.345769561021602</v>
      </c>
      <c r="AL146">
        <v>0.104369525976915</v>
      </c>
      <c r="AM146">
        <v>0.313671444495496</v>
      </c>
      <c r="AN146">
        <v>0.26809530584053898</v>
      </c>
      <c r="AO146">
        <v>0.29169144174543199</v>
      </c>
      <c r="AP146">
        <v>0.38897770631400902</v>
      </c>
      <c r="AQ146">
        <v>0.64538235934775101</v>
      </c>
      <c r="AR146">
        <v>0.23385749968035899</v>
      </c>
      <c r="AS146">
        <v>0.1202055882182</v>
      </c>
      <c r="AT146">
        <v>0.25633673117169598</v>
      </c>
      <c r="AU146">
        <v>0.30531851729243298</v>
      </c>
      <c r="AV146">
        <v>0.18367151164487899</v>
      </c>
      <c r="AW146" t="s">
        <v>203</v>
      </c>
    </row>
    <row r="147" spans="1:49" ht="12.75">
      <c r="A147" t="s">
        <v>201</v>
      </c>
      <c r="B147" t="s">
        <v>114</v>
      </c>
      <c r="C147" t="s">
        <v>270</v>
      </c>
      <c r="D147" t="s">
        <v>203</v>
      </c>
      <c r="E147" t="s">
        <v>203</v>
      </c>
      <c r="F147" t="s">
        <v>203</v>
      </c>
      <c r="G147" t="s">
        <v>203</v>
      </c>
      <c r="H147" t="s">
        <v>203</v>
      </c>
      <c r="I147" t="s">
        <v>203</v>
      </c>
      <c r="J147" t="s">
        <v>203</v>
      </c>
      <c r="K147" t="s">
        <v>203</v>
      </c>
      <c r="L147">
        <v>0.511962937386651</v>
      </c>
      <c r="M147">
        <v>0.079259537012469794</v>
      </c>
      <c r="N147">
        <v>0.046150527863178498</v>
      </c>
      <c r="O147">
        <v>0.22928450568806599</v>
      </c>
      <c r="P147">
        <v>1.2159273212164601</v>
      </c>
      <c r="Q147">
        <v>0.069374569974412006</v>
      </c>
      <c r="R147">
        <v>0.112481435022652</v>
      </c>
      <c r="S147">
        <v>2.10245719894231</v>
      </c>
      <c r="T147">
        <v>0.091738729664561994</v>
      </c>
      <c r="U147">
        <v>0.071578740811998595</v>
      </c>
      <c r="V147">
        <v>0.15066105301235799</v>
      </c>
      <c r="W147">
        <v>0.110141681481688</v>
      </c>
      <c r="X147">
        <v>0.41513341468792397</v>
      </c>
      <c r="Y147">
        <v>0.064124768155699396</v>
      </c>
      <c r="Z147">
        <v>0.26227268968642697</v>
      </c>
      <c r="AA147">
        <v>0.15044430271159401</v>
      </c>
      <c r="AB147">
        <v>0.113110907777692</v>
      </c>
      <c r="AC147">
        <v>0.144528961585592</v>
      </c>
      <c r="AD147">
        <v>0.031207703764186901</v>
      </c>
      <c r="AE147">
        <v>0.55591986391968695</v>
      </c>
      <c r="AF147">
        <v>0.42621012403787001</v>
      </c>
      <c r="AG147">
        <v>0.40152903218767499</v>
      </c>
      <c r="AH147">
        <v>0.13640162540287501</v>
      </c>
      <c r="AI147">
        <v>0.31403307209620102</v>
      </c>
      <c r="AJ147">
        <v>0.43937502473795698</v>
      </c>
      <c r="AK147">
        <v>0.345769561021602</v>
      </c>
      <c r="AL147">
        <v>0.104369525976915</v>
      </c>
      <c r="AM147">
        <v>0.313671444495496</v>
      </c>
      <c r="AN147">
        <v>0.26809530584053898</v>
      </c>
      <c r="AO147">
        <v>0.29169144174543199</v>
      </c>
      <c r="AP147">
        <v>0.38897770631400902</v>
      </c>
      <c r="AQ147">
        <v>0.64538235934775101</v>
      </c>
      <c r="AR147">
        <v>0.23385749968035899</v>
      </c>
      <c r="AS147">
        <v>0.1202055882182</v>
      </c>
      <c r="AT147">
        <v>0.25633673117169598</v>
      </c>
      <c r="AU147">
        <v>0.30531851729243298</v>
      </c>
      <c r="AV147">
        <v>0.18367151164487899</v>
      </c>
      <c r="AW147" t="s">
        <v>203</v>
      </c>
    </row>
    <row r="148" spans="1:49" ht="12.75">
      <c r="A148" t="s">
        <v>201</v>
      </c>
      <c r="B148" t="s">
        <v>114</v>
      </c>
      <c r="C148" t="s">
        <v>271</v>
      </c>
      <c r="D148" t="s">
        <v>203</v>
      </c>
      <c r="E148" t="s">
        <v>203</v>
      </c>
      <c r="F148" t="s">
        <v>203</v>
      </c>
      <c r="G148" t="s">
        <v>203</v>
      </c>
      <c r="H148" t="s">
        <v>203</v>
      </c>
      <c r="I148" t="s">
        <v>203</v>
      </c>
      <c r="J148" t="s">
        <v>203</v>
      </c>
      <c r="K148" t="s">
        <v>203</v>
      </c>
      <c r="L148">
        <v>0.078777811001610396</v>
      </c>
      <c r="M148">
        <v>0.030986608037968301</v>
      </c>
      <c r="N148">
        <v>0.0033334102239870799</v>
      </c>
      <c r="O148">
        <v>0.029287561786738199</v>
      </c>
      <c r="P148">
        <v>0.020866653460081999</v>
      </c>
      <c r="Q148">
        <v>0.0255764029093507</v>
      </c>
      <c r="R148">
        <v>0.018328646574364699</v>
      </c>
      <c r="S148">
        <v>0.034908666134164601</v>
      </c>
      <c r="T148">
        <v>0.0253691959333412</v>
      </c>
      <c r="U148">
        <v>0.014820549370048499</v>
      </c>
      <c r="V148">
        <v>0.062862775609045698</v>
      </c>
      <c r="W148">
        <v>0.019255970761735099</v>
      </c>
      <c r="X148">
        <v>0.050994696020128599</v>
      </c>
      <c r="Y148">
        <v>0.039000802847358899</v>
      </c>
      <c r="Z148">
        <v>0.037588892224674403</v>
      </c>
      <c r="AA148">
        <v>0.053236495629678103</v>
      </c>
      <c r="AB148">
        <v>0.082623909918850894</v>
      </c>
      <c r="AC148">
        <v>0.041965739821784101</v>
      </c>
      <c r="AD148">
        <v>0.0057688345529618599</v>
      </c>
      <c r="AE148">
        <v>0.082953485801932597</v>
      </c>
      <c r="AF148">
        <v>0.050134789746468303</v>
      </c>
      <c r="AG148">
        <v>0.024795907523426301</v>
      </c>
      <c r="AH148">
        <v>0.014099709419560799</v>
      </c>
      <c r="AI148">
        <v>0.046305159862367502</v>
      </c>
      <c r="AJ148">
        <v>0.062891153775125705</v>
      </c>
      <c r="AK148">
        <v>0.036835084556412802</v>
      </c>
      <c r="AL148">
        <v>0.023708362824947999</v>
      </c>
      <c r="AM148">
        <v>0.071830617851202205</v>
      </c>
      <c r="AN148">
        <v>0.080636524627456296</v>
      </c>
      <c r="AO148">
        <v>0.0353098744589719</v>
      </c>
      <c r="AP148">
        <v>0.0471556111045245</v>
      </c>
      <c r="AQ148">
        <v>0.071261466058323703</v>
      </c>
      <c r="AR148">
        <v>0.020544147807991499</v>
      </c>
      <c r="AS148">
        <v>0.026615254249198701</v>
      </c>
      <c r="AT148">
        <v>0.033079158603997197</v>
      </c>
      <c r="AU148">
        <v>0.044766800950252497</v>
      </c>
      <c r="AV148">
        <v>0.0664865241528622</v>
      </c>
      <c r="AW148" t="s">
        <v>203</v>
      </c>
    </row>
    <row r="149" spans="1:49" ht="12.75">
      <c r="A149" t="s">
        <v>201</v>
      </c>
      <c r="B149" t="s">
        <v>114</v>
      </c>
      <c r="C149" t="s">
        <v>272</v>
      </c>
      <c r="D149" t="s">
        <v>203</v>
      </c>
      <c r="E149" t="s">
        <v>203</v>
      </c>
      <c r="F149" t="s">
        <v>203</v>
      </c>
      <c r="G149" t="s">
        <v>203</v>
      </c>
      <c r="H149" t="s">
        <v>203</v>
      </c>
      <c r="I149" t="s">
        <v>203</v>
      </c>
      <c r="J149" t="s">
        <v>203</v>
      </c>
      <c r="K149" t="s">
        <v>203</v>
      </c>
      <c r="L149">
        <v>0.078777811001610396</v>
      </c>
      <c r="M149">
        <v>0.030986608037968301</v>
      </c>
      <c r="N149">
        <v>0.0033334102239870799</v>
      </c>
      <c r="O149">
        <v>0.029287561786738199</v>
      </c>
      <c r="P149">
        <v>0.020866653460081999</v>
      </c>
      <c r="Q149">
        <v>0.0255764029093507</v>
      </c>
      <c r="R149">
        <v>0.018328646574364699</v>
      </c>
      <c r="S149">
        <v>0.034908666134164601</v>
      </c>
      <c r="T149">
        <v>0.0253691959333412</v>
      </c>
      <c r="U149">
        <v>0.014820549370048499</v>
      </c>
      <c r="V149">
        <v>0.062862775609045698</v>
      </c>
      <c r="W149">
        <v>0.019255970761735099</v>
      </c>
      <c r="X149">
        <v>0.050994696020128599</v>
      </c>
      <c r="Y149">
        <v>0.039000802847358899</v>
      </c>
      <c r="Z149">
        <v>0.037588892224674403</v>
      </c>
      <c r="AA149">
        <v>0.053236495629678103</v>
      </c>
      <c r="AB149">
        <v>0.082623909918850894</v>
      </c>
      <c r="AC149">
        <v>0.041965739821784101</v>
      </c>
      <c r="AD149">
        <v>0.0057688345529618599</v>
      </c>
      <c r="AE149">
        <v>0.082953485801932597</v>
      </c>
      <c r="AF149">
        <v>0.050134789746468303</v>
      </c>
      <c r="AG149">
        <v>0.024795907523426301</v>
      </c>
      <c r="AH149">
        <v>0.014099709419560799</v>
      </c>
      <c r="AI149">
        <v>0.046305159862367502</v>
      </c>
      <c r="AJ149">
        <v>0.062891153775125705</v>
      </c>
      <c r="AK149">
        <v>0.036835084556412802</v>
      </c>
      <c r="AL149">
        <v>0.023708362824947999</v>
      </c>
      <c r="AM149">
        <v>0.071830617851202205</v>
      </c>
      <c r="AN149">
        <v>0.080636524627456296</v>
      </c>
      <c r="AO149">
        <v>0.0353098744589719</v>
      </c>
      <c r="AP149">
        <v>0.0471556111045245</v>
      </c>
      <c r="AQ149">
        <v>0.071261466058323703</v>
      </c>
      <c r="AR149">
        <v>0.020544147807991499</v>
      </c>
      <c r="AS149">
        <v>0.026615254249198701</v>
      </c>
      <c r="AT149">
        <v>0.033079158603997197</v>
      </c>
      <c r="AU149">
        <v>0.044766800950252497</v>
      </c>
      <c r="AV149">
        <v>0.0664865241528622</v>
      </c>
      <c r="AW149" t="s">
        <v>203</v>
      </c>
    </row>
    <row r="150" spans="1:49" ht="12.75">
      <c r="A150" t="s">
        <v>201</v>
      </c>
      <c r="B150" t="s">
        <v>114</v>
      </c>
      <c r="C150" t="s">
        <v>273</v>
      </c>
      <c r="D150" t="s">
        <v>203</v>
      </c>
      <c r="E150" t="s">
        <v>203</v>
      </c>
      <c r="F150" t="s">
        <v>203</v>
      </c>
      <c r="G150" t="s">
        <v>203</v>
      </c>
      <c r="H150" t="s">
        <v>203</v>
      </c>
      <c r="I150" t="s">
        <v>203</v>
      </c>
      <c r="J150" t="s">
        <v>203</v>
      </c>
      <c r="K150" t="s">
        <v>203</v>
      </c>
      <c r="L150">
        <v>0.078777811001610396</v>
      </c>
      <c r="M150">
        <v>0.030986608037968301</v>
      </c>
      <c r="N150">
        <v>0.0033334102239870799</v>
      </c>
      <c r="O150">
        <v>0.029287561786738199</v>
      </c>
      <c r="P150">
        <v>0.020866653460081999</v>
      </c>
      <c r="Q150">
        <v>0.0255764029093507</v>
      </c>
      <c r="R150">
        <v>0.018328646574364699</v>
      </c>
      <c r="S150">
        <v>0.034908666134164601</v>
      </c>
      <c r="T150">
        <v>0.0253691959333412</v>
      </c>
      <c r="U150">
        <v>0.014820549370048499</v>
      </c>
      <c r="V150">
        <v>0.062862775609045698</v>
      </c>
      <c r="W150">
        <v>0.019255970761735099</v>
      </c>
      <c r="X150">
        <v>0.050994696020128599</v>
      </c>
      <c r="Y150">
        <v>0.039000802847358899</v>
      </c>
      <c r="Z150">
        <v>0.037588892224674403</v>
      </c>
      <c r="AA150">
        <v>0.053236495629678103</v>
      </c>
      <c r="AB150">
        <v>0.082623909918850894</v>
      </c>
      <c r="AC150">
        <v>0.041965739821784101</v>
      </c>
      <c r="AD150">
        <v>0.0057688345529618599</v>
      </c>
      <c r="AE150">
        <v>0.082953485801932597</v>
      </c>
      <c r="AF150">
        <v>0.050134789746468303</v>
      </c>
      <c r="AG150">
        <v>0.024795907523426301</v>
      </c>
      <c r="AH150">
        <v>0.014099709419560799</v>
      </c>
      <c r="AI150">
        <v>0.046305159862367502</v>
      </c>
      <c r="AJ150">
        <v>0.062891153775125705</v>
      </c>
      <c r="AK150">
        <v>0.036835084556412802</v>
      </c>
      <c r="AL150">
        <v>0.023708362824947999</v>
      </c>
      <c r="AM150">
        <v>0.071830617851202205</v>
      </c>
      <c r="AN150">
        <v>0.080636524627456296</v>
      </c>
      <c r="AO150">
        <v>0.0353098744589719</v>
      </c>
      <c r="AP150">
        <v>0.0471556111045245</v>
      </c>
      <c r="AQ150">
        <v>0.071261466058323703</v>
      </c>
      <c r="AR150">
        <v>0.020544147807991499</v>
      </c>
      <c r="AS150">
        <v>0.026615254249198701</v>
      </c>
      <c r="AT150">
        <v>0.033079158603997197</v>
      </c>
      <c r="AU150">
        <v>0.044766800950252497</v>
      </c>
      <c r="AV150">
        <v>0.0664865241528622</v>
      </c>
      <c r="AW150" t="s">
        <v>203</v>
      </c>
    </row>
    <row r="151" spans="1:49" ht="12.75">
      <c r="A151" t="s">
        <v>201</v>
      </c>
      <c r="B151" t="s">
        <v>114</v>
      </c>
      <c r="C151" t="s">
        <v>274</v>
      </c>
      <c r="D151" t="s">
        <v>203</v>
      </c>
      <c r="E151" t="s">
        <v>203</v>
      </c>
      <c r="F151" t="s">
        <v>203</v>
      </c>
      <c r="G151" t="s">
        <v>203</v>
      </c>
      <c r="H151" t="s">
        <v>203</v>
      </c>
      <c r="I151" t="s">
        <v>203</v>
      </c>
      <c r="J151" t="s">
        <v>203</v>
      </c>
      <c r="K151" t="s">
        <v>203</v>
      </c>
      <c r="L151">
        <v>0.078777811001610396</v>
      </c>
      <c r="M151">
        <v>0.030986608037968301</v>
      </c>
      <c r="N151">
        <v>0.0033334102239870799</v>
      </c>
      <c r="O151">
        <v>0.029287561786738199</v>
      </c>
      <c r="P151">
        <v>0.020866653460081999</v>
      </c>
      <c r="Q151">
        <v>0.0255764029093507</v>
      </c>
      <c r="R151">
        <v>0.018328646574364699</v>
      </c>
      <c r="S151">
        <v>0.034908666134164601</v>
      </c>
      <c r="T151">
        <v>0.0253691959333412</v>
      </c>
      <c r="U151">
        <v>0.014820549370048499</v>
      </c>
      <c r="V151">
        <v>0.062862775609045698</v>
      </c>
      <c r="W151">
        <v>0.019255970761735099</v>
      </c>
      <c r="X151">
        <v>0.050994696020128599</v>
      </c>
      <c r="Y151">
        <v>0.039000802847358899</v>
      </c>
      <c r="Z151">
        <v>0.037588892224674403</v>
      </c>
      <c r="AA151">
        <v>0.053236495629678103</v>
      </c>
      <c r="AB151">
        <v>0.082623909918850894</v>
      </c>
      <c r="AC151">
        <v>0.041965739821784101</v>
      </c>
      <c r="AD151">
        <v>0.0057688345529618599</v>
      </c>
      <c r="AE151">
        <v>0.082953485801932597</v>
      </c>
      <c r="AF151">
        <v>0.050134789746468303</v>
      </c>
      <c r="AG151">
        <v>0.024795907523426301</v>
      </c>
      <c r="AH151">
        <v>0.014099709419560799</v>
      </c>
      <c r="AI151">
        <v>0.046305159862367502</v>
      </c>
      <c r="AJ151">
        <v>0.062891153775125705</v>
      </c>
      <c r="AK151">
        <v>0.036835084556412802</v>
      </c>
      <c r="AL151">
        <v>0.023708362824947999</v>
      </c>
      <c r="AM151">
        <v>0.071830617851202205</v>
      </c>
      <c r="AN151">
        <v>0.080636524627456296</v>
      </c>
      <c r="AO151">
        <v>0.0353098744589719</v>
      </c>
      <c r="AP151">
        <v>0.0471556111045245</v>
      </c>
      <c r="AQ151">
        <v>0.071261466058323703</v>
      </c>
      <c r="AR151">
        <v>0.020544147807991499</v>
      </c>
      <c r="AS151">
        <v>0.026615254249198701</v>
      </c>
      <c r="AT151">
        <v>0.033079158603997197</v>
      </c>
      <c r="AU151">
        <v>0.044766800950252497</v>
      </c>
      <c r="AV151">
        <v>0.0664865241528622</v>
      </c>
      <c r="AW151" t="s">
        <v>203</v>
      </c>
    </row>
    <row r="152" spans="1:49" ht="12.75">
      <c r="A152" t="s">
        <v>201</v>
      </c>
      <c r="B152" t="s">
        <v>114</v>
      </c>
      <c r="C152" t="s">
        <v>275</v>
      </c>
      <c r="D152" t="s">
        <v>203</v>
      </c>
      <c r="E152" t="s">
        <v>203</v>
      </c>
      <c r="F152" t="s">
        <v>203</v>
      </c>
      <c r="G152" t="s">
        <v>203</v>
      </c>
      <c r="H152" t="s">
        <v>203</v>
      </c>
      <c r="I152" t="s">
        <v>203</v>
      </c>
      <c r="J152" t="s">
        <v>203</v>
      </c>
      <c r="K152" t="s">
        <v>203</v>
      </c>
      <c r="L152">
        <v>0.12187287599991301</v>
      </c>
      <c r="M152">
        <v>0.097153607844547796</v>
      </c>
      <c r="N152">
        <v>0.00503687859667175</v>
      </c>
      <c r="O152">
        <v>0.043436291866920801</v>
      </c>
      <c r="P152">
        <v>0.059095477736246599</v>
      </c>
      <c r="Q152">
        <v>0.080047009437727704</v>
      </c>
      <c r="R152">
        <v>0.038561755666900198</v>
      </c>
      <c r="S152">
        <v>0.093554789489782006</v>
      </c>
      <c r="T152">
        <v>0.024311200975861699</v>
      </c>
      <c r="U152">
        <v>0.050199383273165803</v>
      </c>
      <c r="V152">
        <v>0.076599098600708404</v>
      </c>
      <c r="W152">
        <v>0.041329899132330199</v>
      </c>
      <c r="X152">
        <v>0.077995975826959704</v>
      </c>
      <c r="Y152">
        <v>0.019811822794623998</v>
      </c>
      <c r="Z152">
        <v>0.056850903491450798</v>
      </c>
      <c r="AA152">
        <v>0.171407447700855</v>
      </c>
      <c r="AB152">
        <v>0.058991724634034501</v>
      </c>
      <c r="AC152">
        <v>0.032846136960250398</v>
      </c>
      <c r="AD152">
        <v>0.020189784454354098</v>
      </c>
      <c r="AE152">
        <v>0.062078559185892203</v>
      </c>
      <c r="AF152">
        <v>0.076284169421757794</v>
      </c>
      <c r="AG152">
        <v>0.048765083269256701</v>
      </c>
      <c r="AH152">
        <v>0.021607220777764599</v>
      </c>
      <c r="AI152">
        <v>0.119320472806815</v>
      </c>
      <c r="AJ152">
        <v>0.097373173262584697</v>
      </c>
      <c r="AK152">
        <v>0.056347796966855102</v>
      </c>
      <c r="AL152">
        <v>0.053214506330493801</v>
      </c>
      <c r="AM152">
        <v>0.033007045818276598</v>
      </c>
      <c r="AN152">
        <v>0.27412315551158301</v>
      </c>
      <c r="AO152">
        <v>0.061563867834558798</v>
      </c>
      <c r="AP152">
        <v>0.072173975876698507</v>
      </c>
      <c r="AQ152">
        <v>0.086398815883575605</v>
      </c>
      <c r="AR152">
        <v>0.0310953381203041</v>
      </c>
      <c r="AS152">
        <v>0.092977494907261093</v>
      </c>
      <c r="AT152">
        <v>0.045419296234200199</v>
      </c>
      <c r="AU152">
        <v>2.7121194916654199</v>
      </c>
      <c r="AV152">
        <v>0.052951797862154197</v>
      </c>
      <c r="AW152" t="s">
        <v>203</v>
      </c>
    </row>
    <row r="153" spans="1:49" ht="12.75">
      <c r="A153" t="s">
        <v>201</v>
      </c>
      <c r="B153" t="s">
        <v>114</v>
      </c>
      <c r="C153" t="s">
        <v>276</v>
      </c>
      <c r="D153" t="s">
        <v>203</v>
      </c>
      <c r="E153" t="s">
        <v>203</v>
      </c>
      <c r="F153" t="s">
        <v>203</v>
      </c>
      <c r="G153" t="s">
        <v>203</v>
      </c>
      <c r="H153" t="s">
        <v>203</v>
      </c>
      <c r="I153" t="s">
        <v>203</v>
      </c>
      <c r="J153" t="s">
        <v>203</v>
      </c>
      <c r="K153" t="s">
        <v>203</v>
      </c>
      <c r="L153">
        <v>0.12187287599991301</v>
      </c>
      <c r="M153">
        <v>0.097153607844547796</v>
      </c>
      <c r="N153">
        <v>0.00503687859667175</v>
      </c>
      <c r="O153">
        <v>0.043436291866920801</v>
      </c>
      <c r="P153">
        <v>0.059095477736246599</v>
      </c>
      <c r="Q153">
        <v>0.080047009437727704</v>
      </c>
      <c r="R153">
        <v>0.038561755666900198</v>
      </c>
      <c r="S153">
        <v>0.093554789489782006</v>
      </c>
      <c r="T153">
        <v>0.024311200975861699</v>
      </c>
      <c r="U153">
        <v>0.050199383273165803</v>
      </c>
      <c r="V153">
        <v>0.076599098600708404</v>
      </c>
      <c r="W153">
        <v>0.041329899132330199</v>
      </c>
      <c r="X153">
        <v>0.077995975826959704</v>
      </c>
      <c r="Y153">
        <v>0.019811822794623998</v>
      </c>
      <c r="Z153">
        <v>0.056850903491450798</v>
      </c>
      <c r="AA153">
        <v>0.171407447700855</v>
      </c>
      <c r="AB153">
        <v>0.058991724634034501</v>
      </c>
      <c r="AC153">
        <v>0.032846136960250398</v>
      </c>
      <c r="AD153">
        <v>0.020189784454354098</v>
      </c>
      <c r="AE153">
        <v>0.062078559185892203</v>
      </c>
      <c r="AF153">
        <v>0.076284169421757794</v>
      </c>
      <c r="AG153">
        <v>0.048765083269256701</v>
      </c>
      <c r="AH153">
        <v>0.021607220777764599</v>
      </c>
      <c r="AI153">
        <v>0.119320472806815</v>
      </c>
      <c r="AJ153">
        <v>0.097373173262584697</v>
      </c>
      <c r="AK153">
        <v>0.056347796966855102</v>
      </c>
      <c r="AL153">
        <v>0.053214506330493801</v>
      </c>
      <c r="AM153">
        <v>0.033007045818276598</v>
      </c>
      <c r="AN153">
        <v>0.27412315551158301</v>
      </c>
      <c r="AO153">
        <v>0.061563867834558798</v>
      </c>
      <c r="AP153">
        <v>0.072173975876698507</v>
      </c>
      <c r="AQ153">
        <v>0.086398815883575605</v>
      </c>
      <c r="AR153">
        <v>0.0310953381203041</v>
      </c>
      <c r="AS153">
        <v>0.092977494907261093</v>
      </c>
      <c r="AT153">
        <v>0.045419296234200199</v>
      </c>
      <c r="AU153">
        <v>2.7121194916654199</v>
      </c>
      <c r="AV153">
        <v>0.052951797862154197</v>
      </c>
      <c r="AW153" t="s">
        <v>203</v>
      </c>
    </row>
    <row r="154" spans="1:49" ht="12.75">
      <c r="A154" t="s">
        <v>201</v>
      </c>
      <c r="B154" t="s">
        <v>114</v>
      </c>
      <c r="C154" t="s">
        <v>277</v>
      </c>
      <c r="D154" t="s">
        <v>203</v>
      </c>
      <c r="E154" t="s">
        <v>203</v>
      </c>
      <c r="F154" t="s">
        <v>203</v>
      </c>
      <c r="G154" t="s">
        <v>203</v>
      </c>
      <c r="H154" t="s">
        <v>203</v>
      </c>
      <c r="I154" t="s">
        <v>203</v>
      </c>
      <c r="J154" t="s">
        <v>203</v>
      </c>
      <c r="K154" t="s">
        <v>203</v>
      </c>
      <c r="L154">
        <v>0.12187287599991301</v>
      </c>
      <c r="M154">
        <v>0.097153607844547796</v>
      </c>
      <c r="N154">
        <v>0.00503687859667175</v>
      </c>
      <c r="O154">
        <v>0.043436291866920801</v>
      </c>
      <c r="P154">
        <v>0.059095477736246599</v>
      </c>
      <c r="Q154">
        <v>0.080047009437727704</v>
      </c>
      <c r="R154">
        <v>0.038561755666900198</v>
      </c>
      <c r="S154">
        <v>0.093554789489782006</v>
      </c>
      <c r="T154">
        <v>0.024311200975861699</v>
      </c>
      <c r="U154">
        <v>0.050199383273165803</v>
      </c>
      <c r="V154">
        <v>0.076599098600708404</v>
      </c>
      <c r="W154">
        <v>0.041329899132330199</v>
      </c>
      <c r="X154">
        <v>0.077995975826959704</v>
      </c>
      <c r="Y154">
        <v>0.019811822794623998</v>
      </c>
      <c r="Z154">
        <v>0.056850903491450798</v>
      </c>
      <c r="AA154">
        <v>0.171407447700855</v>
      </c>
      <c r="AB154">
        <v>0.058991724634034501</v>
      </c>
      <c r="AC154">
        <v>0.032846136960250398</v>
      </c>
      <c r="AD154">
        <v>0.020189784454354098</v>
      </c>
      <c r="AE154">
        <v>0.062078559185892203</v>
      </c>
      <c r="AF154">
        <v>0.076284169421757794</v>
      </c>
      <c r="AG154">
        <v>0.048765083269256701</v>
      </c>
      <c r="AH154">
        <v>0.021607220777764599</v>
      </c>
      <c r="AI154">
        <v>0.119320472806815</v>
      </c>
      <c r="AJ154">
        <v>0.097373173262584697</v>
      </c>
      <c r="AK154">
        <v>0.056347796966855102</v>
      </c>
      <c r="AL154">
        <v>0.053214506330493801</v>
      </c>
      <c r="AM154">
        <v>0.033007045818276598</v>
      </c>
      <c r="AN154">
        <v>0.27412315551158301</v>
      </c>
      <c r="AO154">
        <v>0.061563867834558798</v>
      </c>
      <c r="AP154">
        <v>0.072173975876698507</v>
      </c>
      <c r="AQ154">
        <v>0.086398815883575605</v>
      </c>
      <c r="AR154">
        <v>0.0310953381203041</v>
      </c>
      <c r="AS154">
        <v>0.092977494907261093</v>
      </c>
      <c r="AT154">
        <v>0.045419296234200199</v>
      </c>
      <c r="AU154">
        <v>2.7121194916654199</v>
      </c>
      <c r="AV154">
        <v>0.052951797862154197</v>
      </c>
      <c r="AW154" t="s">
        <v>203</v>
      </c>
    </row>
    <row r="155" spans="1:49" ht="12.75">
      <c r="A155" t="s">
        <v>201</v>
      </c>
      <c r="B155" t="s">
        <v>114</v>
      </c>
      <c r="C155" t="s">
        <v>278</v>
      </c>
      <c r="D155" t="s">
        <v>203</v>
      </c>
      <c r="E155" t="s">
        <v>203</v>
      </c>
      <c r="F155" t="s">
        <v>203</v>
      </c>
      <c r="G155" t="s">
        <v>203</v>
      </c>
      <c r="H155" t="s">
        <v>203</v>
      </c>
      <c r="I155" t="s">
        <v>203</v>
      </c>
      <c r="J155" t="s">
        <v>203</v>
      </c>
      <c r="K155" t="s">
        <v>203</v>
      </c>
      <c r="L155">
        <v>0.12187287599991301</v>
      </c>
      <c r="M155">
        <v>0.097153607844547796</v>
      </c>
      <c r="N155">
        <v>0.00503687859667175</v>
      </c>
      <c r="O155">
        <v>0.043436291866920801</v>
      </c>
      <c r="P155">
        <v>0.059095477736246599</v>
      </c>
      <c r="Q155">
        <v>0.080047009437727704</v>
      </c>
      <c r="R155">
        <v>0.038561755666900198</v>
      </c>
      <c r="S155">
        <v>0.093554789489782006</v>
      </c>
      <c r="T155">
        <v>0.024311200975861699</v>
      </c>
      <c r="U155">
        <v>0.050199383273165803</v>
      </c>
      <c r="V155">
        <v>0.076599098600708404</v>
      </c>
      <c r="W155">
        <v>0.041329899132330199</v>
      </c>
      <c r="X155">
        <v>0.077995975826959704</v>
      </c>
      <c r="Y155">
        <v>0.019811822794623998</v>
      </c>
      <c r="Z155">
        <v>0.056850903491450798</v>
      </c>
      <c r="AA155">
        <v>0.171407447700855</v>
      </c>
      <c r="AB155">
        <v>0.058991724634034501</v>
      </c>
      <c r="AC155">
        <v>0.032846136960250398</v>
      </c>
      <c r="AD155">
        <v>0.020189784454354098</v>
      </c>
      <c r="AE155">
        <v>0.062078559185892203</v>
      </c>
      <c r="AF155">
        <v>0.076284169421757794</v>
      </c>
      <c r="AG155">
        <v>0.048765083269256701</v>
      </c>
      <c r="AH155">
        <v>0.021607220777764599</v>
      </c>
      <c r="AI155">
        <v>0.119320472806815</v>
      </c>
      <c r="AJ155">
        <v>0.097373173262584697</v>
      </c>
      <c r="AK155">
        <v>0.056347796966855102</v>
      </c>
      <c r="AL155">
        <v>0.053214506330493801</v>
      </c>
      <c r="AM155">
        <v>0.033007045818276598</v>
      </c>
      <c r="AN155">
        <v>0.27412315551158301</v>
      </c>
      <c r="AO155">
        <v>0.061563867834558798</v>
      </c>
      <c r="AP155">
        <v>0.072173975876698507</v>
      </c>
      <c r="AQ155">
        <v>0.086398815883575605</v>
      </c>
      <c r="AR155">
        <v>0.0310953381203041</v>
      </c>
      <c r="AS155">
        <v>0.092977494907261093</v>
      </c>
      <c r="AT155">
        <v>0.045419296234200199</v>
      </c>
      <c r="AU155">
        <v>2.7121194916654199</v>
      </c>
      <c r="AV155">
        <v>0.052951797862154197</v>
      </c>
      <c r="AW155" t="s">
        <v>203</v>
      </c>
    </row>
    <row r="156" spans="1:49" ht="12.75">
      <c r="A156" t="s">
        <v>201</v>
      </c>
      <c r="B156" t="s">
        <v>114</v>
      </c>
      <c r="C156" t="s">
        <v>279</v>
      </c>
      <c r="D156" t="s">
        <v>203</v>
      </c>
      <c r="E156" t="s">
        <v>203</v>
      </c>
      <c r="F156" t="s">
        <v>203</v>
      </c>
      <c r="G156" t="s">
        <v>203</v>
      </c>
      <c r="H156" t="s">
        <v>203</v>
      </c>
      <c r="I156" t="s">
        <v>203</v>
      </c>
      <c r="J156" t="s">
        <v>203</v>
      </c>
      <c r="K156" t="s">
        <v>203</v>
      </c>
      <c r="L156">
        <v>0.017637732394281899</v>
      </c>
      <c r="M156">
        <v>0.0515716218270671</v>
      </c>
      <c r="N156">
        <v>0.00089913207142391601</v>
      </c>
      <c r="O156">
        <v>0.024432420248134398</v>
      </c>
      <c r="P156">
        <v>0.026192928917582101</v>
      </c>
      <c r="Q156">
        <v>0.043644270918132701</v>
      </c>
      <c r="R156">
        <v>0.012601765543069099</v>
      </c>
      <c r="S156">
        <v>0.0280074308024536</v>
      </c>
      <c r="T156">
        <v>0.100696290000327</v>
      </c>
      <c r="U156">
        <v>0.022579791272431999</v>
      </c>
      <c r="V156">
        <v>0.027188818787074302</v>
      </c>
      <c r="W156">
        <v>0.012950652200419801</v>
      </c>
      <c r="X156">
        <v>0.0119958494909273</v>
      </c>
      <c r="Y156">
        <v>0.0205069406678158</v>
      </c>
      <c r="Z156">
        <v>0.0302556333508932</v>
      </c>
      <c r="AA156">
        <v>0.0148979617818114</v>
      </c>
      <c r="AB156">
        <v>0.043653582817623902</v>
      </c>
      <c r="AC156">
        <v>0.0112992947987077</v>
      </c>
      <c r="AD156">
        <v>0.0098825494389670095</v>
      </c>
      <c r="AE156">
        <v>0.019452288225973901</v>
      </c>
      <c r="AF156">
        <v>0.012350784016257201</v>
      </c>
      <c r="AG156">
        <v>0.081204380396725395</v>
      </c>
      <c r="AH156">
        <v>0.020937869438167198</v>
      </c>
      <c r="AI156">
        <v>0.038458763832440297</v>
      </c>
      <c r="AJ156">
        <v>0.0137712009927221</v>
      </c>
      <c r="AK156">
        <v>0.0090767727910706104</v>
      </c>
      <c r="AL156">
        <v>0.0136144997809865</v>
      </c>
      <c r="AM156">
        <v>0.00692228807984823</v>
      </c>
      <c r="AN156">
        <v>0.115291536986488</v>
      </c>
      <c r="AO156">
        <v>0.044301876758263199</v>
      </c>
      <c r="AP156">
        <v>0.0111640000749023</v>
      </c>
      <c r="AQ156">
        <v>0.40089400212297099</v>
      </c>
      <c r="AR156">
        <v>0.0053555266813797003</v>
      </c>
      <c r="AS156">
        <v>0.042626304204219798</v>
      </c>
      <c r="AT156">
        <v>0.0088001835950127106</v>
      </c>
      <c r="AU156">
        <v>0.0576269774246383</v>
      </c>
      <c r="AV156">
        <v>0.016139195718924301</v>
      </c>
      <c r="AW156" t="s">
        <v>203</v>
      </c>
    </row>
    <row r="157" spans="1:49" ht="12.75">
      <c r="A157" t="s">
        <v>201</v>
      </c>
      <c r="B157" t="s">
        <v>114</v>
      </c>
      <c r="C157" t="s">
        <v>280</v>
      </c>
      <c r="D157" t="s">
        <v>203</v>
      </c>
      <c r="E157" t="s">
        <v>203</v>
      </c>
      <c r="F157" t="s">
        <v>203</v>
      </c>
      <c r="G157" t="s">
        <v>203</v>
      </c>
      <c r="H157" t="s">
        <v>203</v>
      </c>
      <c r="I157" t="s">
        <v>203</v>
      </c>
      <c r="J157" t="s">
        <v>203</v>
      </c>
      <c r="K157" t="s">
        <v>203</v>
      </c>
      <c r="L157">
        <v>0.017637732394281899</v>
      </c>
      <c r="M157">
        <v>0.0515716218270671</v>
      </c>
      <c r="N157">
        <v>0.00089913207142391601</v>
      </c>
      <c r="O157">
        <v>0.024432420248134398</v>
      </c>
      <c r="P157">
        <v>0.026192928917582101</v>
      </c>
      <c r="Q157">
        <v>0.043644270918132701</v>
      </c>
      <c r="R157">
        <v>0.012601765543069099</v>
      </c>
      <c r="S157">
        <v>0.0280074308024536</v>
      </c>
      <c r="T157">
        <v>0.100696290000327</v>
      </c>
      <c r="U157">
        <v>0.022579791272431999</v>
      </c>
      <c r="V157">
        <v>0.027188818787074302</v>
      </c>
      <c r="W157">
        <v>0.012950652200419801</v>
      </c>
      <c r="X157">
        <v>0.0119958494909273</v>
      </c>
      <c r="Y157">
        <v>0.0205069406678158</v>
      </c>
      <c r="Z157">
        <v>0.0302556333508932</v>
      </c>
      <c r="AA157">
        <v>0.0148979617818114</v>
      </c>
      <c r="AB157">
        <v>0.043653582817623902</v>
      </c>
      <c r="AC157">
        <v>0.0112992947987077</v>
      </c>
      <c r="AD157">
        <v>0.0098825494389670095</v>
      </c>
      <c r="AE157">
        <v>0.019452288225973901</v>
      </c>
      <c r="AF157">
        <v>0.012350784016257201</v>
      </c>
      <c r="AG157">
        <v>0.081204380396725395</v>
      </c>
      <c r="AH157">
        <v>0.020937869438167198</v>
      </c>
      <c r="AI157">
        <v>0.038458763832440297</v>
      </c>
      <c r="AJ157">
        <v>0.0137712009927221</v>
      </c>
      <c r="AK157">
        <v>0.0090767727910706104</v>
      </c>
      <c r="AL157">
        <v>0.0136144997809865</v>
      </c>
      <c r="AM157">
        <v>0.00692228807984823</v>
      </c>
      <c r="AN157">
        <v>0.115291536986488</v>
      </c>
      <c r="AO157">
        <v>0.044301876758263199</v>
      </c>
      <c r="AP157">
        <v>0.0111640000749023</v>
      </c>
      <c r="AQ157">
        <v>0.40089400212297099</v>
      </c>
      <c r="AR157">
        <v>0.0053555266813797003</v>
      </c>
      <c r="AS157">
        <v>0.042626304204219798</v>
      </c>
      <c r="AT157">
        <v>0.0088001835950127106</v>
      </c>
      <c r="AU157">
        <v>0.0576269774246383</v>
      </c>
      <c r="AV157">
        <v>0.016139195718924301</v>
      </c>
      <c r="AW157" t="s">
        <v>203</v>
      </c>
    </row>
    <row r="158" spans="1:49" ht="12.75">
      <c r="A158" t="s">
        <v>201</v>
      </c>
      <c r="B158" t="s">
        <v>114</v>
      </c>
      <c r="C158" t="s">
        <v>281</v>
      </c>
      <c r="D158" t="s">
        <v>203</v>
      </c>
      <c r="E158" t="s">
        <v>203</v>
      </c>
      <c r="F158" t="s">
        <v>203</v>
      </c>
      <c r="G158" t="s">
        <v>203</v>
      </c>
      <c r="H158" t="s">
        <v>203</v>
      </c>
      <c r="I158" t="s">
        <v>203</v>
      </c>
      <c r="J158" t="s">
        <v>203</v>
      </c>
      <c r="K158" t="s">
        <v>203</v>
      </c>
      <c r="L158">
        <v>0.017637732394281899</v>
      </c>
      <c r="M158">
        <v>0.0515716218270671</v>
      </c>
      <c r="N158">
        <v>0.00089913207142391601</v>
      </c>
      <c r="O158">
        <v>0.024432420248134398</v>
      </c>
      <c r="P158">
        <v>0.026192928917582101</v>
      </c>
      <c r="Q158">
        <v>0.043644270918132701</v>
      </c>
      <c r="R158">
        <v>0.012601765543069099</v>
      </c>
      <c r="S158">
        <v>0.0280074308024536</v>
      </c>
      <c r="T158">
        <v>0.100696290000327</v>
      </c>
      <c r="U158">
        <v>0.022579791272431999</v>
      </c>
      <c r="V158">
        <v>0.027188818787074302</v>
      </c>
      <c r="W158">
        <v>0.012950652200419801</v>
      </c>
      <c r="X158">
        <v>0.0119958494909273</v>
      </c>
      <c r="Y158">
        <v>0.0205069406678158</v>
      </c>
      <c r="Z158">
        <v>0.0302556333508932</v>
      </c>
      <c r="AA158">
        <v>0.0148979617818114</v>
      </c>
      <c r="AB158">
        <v>0.043653582817623902</v>
      </c>
      <c r="AC158">
        <v>0.0112992947987077</v>
      </c>
      <c r="AD158">
        <v>0.0098825494389670095</v>
      </c>
      <c r="AE158">
        <v>0.019452288225973901</v>
      </c>
      <c r="AF158">
        <v>0.012350784016257201</v>
      </c>
      <c r="AG158">
        <v>0.081204380396725395</v>
      </c>
      <c r="AH158">
        <v>0.020937869438167198</v>
      </c>
      <c r="AI158">
        <v>0.038458763832440297</v>
      </c>
      <c r="AJ158">
        <v>0.0137712009927221</v>
      </c>
      <c r="AK158">
        <v>0.0090767727910706104</v>
      </c>
      <c r="AL158">
        <v>0.0136144997809865</v>
      </c>
      <c r="AM158">
        <v>0.00692228807984823</v>
      </c>
      <c r="AN158">
        <v>0.115291536986488</v>
      </c>
      <c r="AO158">
        <v>0.044301876758263199</v>
      </c>
      <c r="AP158">
        <v>0.0111640000749023</v>
      </c>
      <c r="AQ158">
        <v>0.40089400212297099</v>
      </c>
      <c r="AR158">
        <v>0.0053555266813797003</v>
      </c>
      <c r="AS158">
        <v>0.042626304204219798</v>
      </c>
      <c r="AT158">
        <v>0.0088001835950127106</v>
      </c>
      <c r="AU158">
        <v>0.0576269774246383</v>
      </c>
      <c r="AV158">
        <v>0.016139195718924301</v>
      </c>
      <c r="AW158" t="s">
        <v>203</v>
      </c>
    </row>
    <row r="159" spans="1:49" ht="12.75">
      <c r="A159" t="s">
        <v>201</v>
      </c>
      <c r="B159" t="s">
        <v>114</v>
      </c>
      <c r="C159" t="s">
        <v>282</v>
      </c>
      <c r="D159" t="s">
        <v>203</v>
      </c>
      <c r="E159" t="s">
        <v>203</v>
      </c>
      <c r="F159" t="s">
        <v>203</v>
      </c>
      <c r="G159" t="s">
        <v>203</v>
      </c>
      <c r="H159" t="s">
        <v>203</v>
      </c>
      <c r="I159" t="s">
        <v>203</v>
      </c>
      <c r="J159" t="s">
        <v>203</v>
      </c>
      <c r="K159" t="s">
        <v>203</v>
      </c>
      <c r="L159">
        <v>0.017637732394281899</v>
      </c>
      <c r="M159">
        <v>0.0515716218270671</v>
      </c>
      <c r="N159">
        <v>0.00089913207142391601</v>
      </c>
      <c r="O159">
        <v>0.024432420248134398</v>
      </c>
      <c r="P159">
        <v>0.026192928917582101</v>
      </c>
      <c r="Q159">
        <v>0.043644270918132701</v>
      </c>
      <c r="R159">
        <v>0.012601765543069099</v>
      </c>
      <c r="S159">
        <v>0.0280074308024536</v>
      </c>
      <c r="T159">
        <v>0.100696290000327</v>
      </c>
      <c r="U159">
        <v>0.022579791272431999</v>
      </c>
      <c r="V159">
        <v>0.027188818787074302</v>
      </c>
      <c r="W159">
        <v>0.012950652200419801</v>
      </c>
      <c r="X159">
        <v>0.0119958494909273</v>
      </c>
      <c r="Y159">
        <v>0.0205069406678158</v>
      </c>
      <c r="Z159">
        <v>0.0302556333508932</v>
      </c>
      <c r="AA159">
        <v>0.0148979617818114</v>
      </c>
      <c r="AB159">
        <v>0.043653582817623902</v>
      </c>
      <c r="AC159">
        <v>0.0112992947987077</v>
      </c>
      <c r="AD159">
        <v>0.0098825494389670095</v>
      </c>
      <c r="AE159">
        <v>0.019452288225973901</v>
      </c>
      <c r="AF159">
        <v>0.012350784016257201</v>
      </c>
      <c r="AG159">
        <v>0.081204380396725395</v>
      </c>
      <c r="AH159">
        <v>0.020937869438167198</v>
      </c>
      <c r="AI159">
        <v>0.038458763832440297</v>
      </c>
      <c r="AJ159">
        <v>0.0137712009927221</v>
      </c>
      <c r="AK159">
        <v>0.0090767727910706104</v>
      </c>
      <c r="AL159">
        <v>0.0136144997809865</v>
      </c>
      <c r="AM159">
        <v>0.00692228807984823</v>
      </c>
      <c r="AN159">
        <v>0.115291536986488</v>
      </c>
      <c r="AO159">
        <v>0.044301876758263199</v>
      </c>
      <c r="AP159">
        <v>0.0111640000749023</v>
      </c>
      <c r="AQ159">
        <v>0.40089400212297099</v>
      </c>
      <c r="AR159">
        <v>0.0053555266813797003</v>
      </c>
      <c r="AS159">
        <v>0.042626304204219798</v>
      </c>
      <c r="AT159">
        <v>0.0088001835950127106</v>
      </c>
      <c r="AU159">
        <v>0.0576269774246383</v>
      </c>
      <c r="AV159">
        <v>0.016139195718924301</v>
      </c>
      <c r="AW159" t="s">
        <v>203</v>
      </c>
    </row>
    <row r="160" spans="1:49" ht="12.75">
      <c r="A160" t="s">
        <v>201</v>
      </c>
      <c r="B160" t="s">
        <v>114</v>
      </c>
      <c r="C160" t="s">
        <v>283</v>
      </c>
      <c r="D160" t="s">
        <v>203</v>
      </c>
      <c r="E160" t="s">
        <v>203</v>
      </c>
      <c r="F160" t="s">
        <v>203</v>
      </c>
      <c r="G160" t="s">
        <v>203</v>
      </c>
      <c r="H160" t="s">
        <v>203</v>
      </c>
      <c r="I160" t="s">
        <v>203</v>
      </c>
      <c r="J160" t="s">
        <v>203</v>
      </c>
      <c r="K160" t="s">
        <v>203</v>
      </c>
      <c r="L160">
        <v>0.12187287599991301</v>
      </c>
      <c r="M160">
        <v>0.097153607844547796</v>
      </c>
      <c r="N160">
        <v>0.00503687859667175</v>
      </c>
      <c r="O160">
        <v>0.043436291866920801</v>
      </c>
      <c r="P160">
        <v>0.059095477736246599</v>
      </c>
      <c r="Q160">
        <v>0.080047009437727606</v>
      </c>
      <c r="R160">
        <v>0.038561755666900198</v>
      </c>
      <c r="S160">
        <v>0.093554789489782006</v>
      </c>
      <c r="T160">
        <v>0.024311200975861699</v>
      </c>
      <c r="U160">
        <v>0.050199383273165803</v>
      </c>
      <c r="V160">
        <v>0.076599098600708404</v>
      </c>
      <c r="W160">
        <v>0.041329899132330102</v>
      </c>
      <c r="X160">
        <v>0.077995975826959704</v>
      </c>
      <c r="Y160">
        <v>0.019811822794623998</v>
      </c>
      <c r="Z160">
        <v>0.056850903491450798</v>
      </c>
      <c r="AA160">
        <v>0.171407447700855</v>
      </c>
      <c r="AB160">
        <v>0.058991724634034501</v>
      </c>
      <c r="AC160">
        <v>0.032846136960250398</v>
      </c>
      <c r="AD160">
        <v>0.020189784454354098</v>
      </c>
      <c r="AE160">
        <v>0.062078559185892203</v>
      </c>
      <c r="AF160">
        <v>0.076284169421757794</v>
      </c>
      <c r="AG160">
        <v>0.048765083269256701</v>
      </c>
      <c r="AH160">
        <v>0.021607220777764599</v>
      </c>
      <c r="AI160">
        <v>0.119320472806815</v>
      </c>
      <c r="AJ160">
        <v>0.097373173262584697</v>
      </c>
      <c r="AK160">
        <v>0.056347796966855102</v>
      </c>
      <c r="AL160">
        <v>0.053214506330493801</v>
      </c>
      <c r="AM160">
        <v>0.033007045818276598</v>
      </c>
      <c r="AN160">
        <v>0.27412315551158301</v>
      </c>
      <c r="AO160">
        <v>0.061563867834558798</v>
      </c>
      <c r="AP160">
        <v>0.072173975876698396</v>
      </c>
      <c r="AQ160">
        <v>0.086398815883575494</v>
      </c>
      <c r="AR160">
        <v>0.031095338120304</v>
      </c>
      <c r="AS160">
        <v>0.092977494907261093</v>
      </c>
      <c r="AT160">
        <v>0.045419296234200199</v>
      </c>
      <c r="AU160">
        <v>2.7121194916654199</v>
      </c>
      <c r="AV160">
        <v>0.052951797862154301</v>
      </c>
      <c r="AW160" t="s">
        <v>203</v>
      </c>
    </row>
    <row r="161" spans="1:49" ht="12.75">
      <c r="A161" t="s">
        <v>201</v>
      </c>
      <c r="B161" t="s">
        <v>114</v>
      </c>
      <c r="C161" t="s">
        <v>284</v>
      </c>
      <c r="D161" t="s">
        <v>203</v>
      </c>
      <c r="E161" t="s">
        <v>203</v>
      </c>
      <c r="F161" t="s">
        <v>203</v>
      </c>
      <c r="G161" t="s">
        <v>203</v>
      </c>
      <c r="H161" t="s">
        <v>203</v>
      </c>
      <c r="I161" t="s">
        <v>203</v>
      </c>
      <c r="J161" t="s">
        <v>203</v>
      </c>
      <c r="K161" t="s">
        <v>203</v>
      </c>
      <c r="L161">
        <v>0.12187287599991301</v>
      </c>
      <c r="M161">
        <v>0.097153607844547796</v>
      </c>
      <c r="N161">
        <v>0.00503687859667175</v>
      </c>
      <c r="O161">
        <v>0.043436291866920801</v>
      </c>
      <c r="P161">
        <v>0.059095477736246599</v>
      </c>
      <c r="Q161">
        <v>0.080047009437727606</v>
      </c>
      <c r="R161">
        <v>0.038561755666900198</v>
      </c>
      <c r="S161">
        <v>0.093554789489782006</v>
      </c>
      <c r="T161">
        <v>0.024311200975861699</v>
      </c>
      <c r="U161">
        <v>0.050199383273165803</v>
      </c>
      <c r="V161">
        <v>0.076599098600708404</v>
      </c>
      <c r="W161">
        <v>0.041329899132330102</v>
      </c>
      <c r="X161">
        <v>0.077995975826959704</v>
      </c>
      <c r="Y161">
        <v>0.019811822794623998</v>
      </c>
      <c r="Z161">
        <v>0.056850903491450798</v>
      </c>
      <c r="AA161">
        <v>0.171407447700855</v>
      </c>
      <c r="AB161">
        <v>0.058991724634034501</v>
      </c>
      <c r="AC161">
        <v>0.032846136960250398</v>
      </c>
      <c r="AD161">
        <v>0.020189784454354098</v>
      </c>
      <c r="AE161">
        <v>0.062078559185892203</v>
      </c>
      <c r="AF161">
        <v>0.076284169421757794</v>
      </c>
      <c r="AG161">
        <v>0.048765083269256701</v>
      </c>
      <c r="AH161">
        <v>0.021607220777764599</v>
      </c>
      <c r="AI161">
        <v>0.119320472806815</v>
      </c>
      <c r="AJ161">
        <v>0.097373173262584697</v>
      </c>
      <c r="AK161">
        <v>0.056347796966855102</v>
      </c>
      <c r="AL161">
        <v>0.053214506330493801</v>
      </c>
      <c r="AM161">
        <v>0.033007045818276598</v>
      </c>
      <c r="AN161">
        <v>0.27412315551158301</v>
      </c>
      <c r="AO161">
        <v>0.061563867834558798</v>
      </c>
      <c r="AP161">
        <v>0.072173975876698396</v>
      </c>
      <c r="AQ161">
        <v>0.086398815883575494</v>
      </c>
      <c r="AR161">
        <v>0.031095338120304</v>
      </c>
      <c r="AS161">
        <v>0.092977494907261093</v>
      </c>
      <c r="AT161">
        <v>0.045419296234200199</v>
      </c>
      <c r="AU161">
        <v>2.7121194916654199</v>
      </c>
      <c r="AV161">
        <v>0.052951797862154301</v>
      </c>
      <c r="AW161" t="s">
        <v>203</v>
      </c>
    </row>
    <row r="162" spans="1:49" ht="12.75">
      <c r="A162" t="s">
        <v>201</v>
      </c>
      <c r="B162" t="s">
        <v>114</v>
      </c>
      <c r="C162" t="s">
        <v>285</v>
      </c>
      <c r="D162" t="s">
        <v>203</v>
      </c>
      <c r="E162" t="s">
        <v>203</v>
      </c>
      <c r="F162" t="s">
        <v>203</v>
      </c>
      <c r="G162" t="s">
        <v>203</v>
      </c>
      <c r="H162" t="s">
        <v>203</v>
      </c>
      <c r="I162" t="s">
        <v>203</v>
      </c>
      <c r="J162" t="s">
        <v>203</v>
      </c>
      <c r="K162" t="s">
        <v>203</v>
      </c>
      <c r="L162">
        <v>0.12187287599991301</v>
      </c>
      <c r="M162">
        <v>0.097153607844547796</v>
      </c>
      <c r="N162">
        <v>0.00503687859667175</v>
      </c>
      <c r="O162">
        <v>0.043436291866920801</v>
      </c>
      <c r="P162">
        <v>0.059095477736246599</v>
      </c>
      <c r="Q162">
        <v>0.080047009437727606</v>
      </c>
      <c r="R162">
        <v>0.038561755666900198</v>
      </c>
      <c r="S162">
        <v>0.093554789489782006</v>
      </c>
      <c r="T162">
        <v>0.024311200975861699</v>
      </c>
      <c r="U162">
        <v>0.050199383273165803</v>
      </c>
      <c r="V162">
        <v>0.076599098600708404</v>
      </c>
      <c r="W162">
        <v>0.041329899132330102</v>
      </c>
      <c r="X162">
        <v>0.077995975826959704</v>
      </c>
      <c r="Y162">
        <v>0.019811822794623998</v>
      </c>
      <c r="Z162">
        <v>0.056850903491450798</v>
      </c>
      <c r="AA162">
        <v>0.171407447700855</v>
      </c>
      <c r="AB162">
        <v>0.058991724634034501</v>
      </c>
      <c r="AC162">
        <v>0.032846136960250398</v>
      </c>
      <c r="AD162">
        <v>0.020189784454354098</v>
      </c>
      <c r="AE162">
        <v>0.062078559185892203</v>
      </c>
      <c r="AF162">
        <v>0.076284169421757794</v>
      </c>
      <c r="AG162">
        <v>0.048765083269256701</v>
      </c>
      <c r="AH162">
        <v>0.021607220777764599</v>
      </c>
      <c r="AI162">
        <v>0.119320472806815</v>
      </c>
      <c r="AJ162">
        <v>0.097373173262584697</v>
      </c>
      <c r="AK162">
        <v>0.056347796966855102</v>
      </c>
      <c r="AL162">
        <v>0.053214506330493801</v>
      </c>
      <c r="AM162">
        <v>0.033007045818276598</v>
      </c>
      <c r="AN162">
        <v>0.27412315551158301</v>
      </c>
      <c r="AO162">
        <v>0.061563867834558798</v>
      </c>
      <c r="AP162">
        <v>0.072173975876698396</v>
      </c>
      <c r="AQ162">
        <v>0.086398815883575494</v>
      </c>
      <c r="AR162">
        <v>0.031095338120304</v>
      </c>
      <c r="AS162">
        <v>0.092977494907261093</v>
      </c>
      <c r="AT162">
        <v>0.045419296234200199</v>
      </c>
      <c r="AU162">
        <v>2.7121194916654199</v>
      </c>
      <c r="AV162">
        <v>0.052951797862154301</v>
      </c>
      <c r="AW162" t="s">
        <v>203</v>
      </c>
    </row>
    <row r="163" spans="1:49" ht="12.75">
      <c r="A163" t="s">
        <v>201</v>
      </c>
      <c r="B163" t="s">
        <v>114</v>
      </c>
      <c r="C163" t="s">
        <v>286</v>
      </c>
      <c r="D163" t="s">
        <v>203</v>
      </c>
      <c r="E163" t="s">
        <v>203</v>
      </c>
      <c r="F163" t="s">
        <v>203</v>
      </c>
      <c r="G163" t="s">
        <v>203</v>
      </c>
      <c r="H163" t="s">
        <v>203</v>
      </c>
      <c r="I163" t="s">
        <v>203</v>
      </c>
      <c r="J163" t="s">
        <v>203</v>
      </c>
      <c r="K163" t="s">
        <v>203</v>
      </c>
      <c r="L163">
        <v>0.12187287599991301</v>
      </c>
      <c r="M163">
        <v>0.097153607844547796</v>
      </c>
      <c r="N163">
        <v>0.00503687859667175</v>
      </c>
      <c r="O163">
        <v>0.043436291866920801</v>
      </c>
      <c r="P163">
        <v>0.059095477736246599</v>
      </c>
      <c r="Q163">
        <v>0.080047009437727606</v>
      </c>
      <c r="R163">
        <v>0.038561755666900198</v>
      </c>
      <c r="S163">
        <v>0.093554789489782006</v>
      </c>
      <c r="T163">
        <v>0.024311200975861699</v>
      </c>
      <c r="U163">
        <v>0.050199383273165803</v>
      </c>
      <c r="V163">
        <v>0.076599098600708404</v>
      </c>
      <c r="W163">
        <v>0.041329899132330102</v>
      </c>
      <c r="X163">
        <v>0.077995975826959704</v>
      </c>
      <c r="Y163">
        <v>0.019811822794623998</v>
      </c>
      <c r="Z163">
        <v>0.056850903491450798</v>
      </c>
      <c r="AA163">
        <v>0.171407447700855</v>
      </c>
      <c r="AB163">
        <v>0.058991724634034501</v>
      </c>
      <c r="AC163">
        <v>0.032846136960250398</v>
      </c>
      <c r="AD163">
        <v>0.020189784454354098</v>
      </c>
      <c r="AE163">
        <v>0.062078559185892203</v>
      </c>
      <c r="AF163">
        <v>0.076284169421757794</v>
      </c>
      <c r="AG163">
        <v>0.048765083269256701</v>
      </c>
      <c r="AH163">
        <v>0.021607220777764599</v>
      </c>
      <c r="AI163">
        <v>0.119320472806815</v>
      </c>
      <c r="AJ163">
        <v>0.097373173262584697</v>
      </c>
      <c r="AK163">
        <v>0.056347796966855102</v>
      </c>
      <c r="AL163">
        <v>0.053214506330493801</v>
      </c>
      <c r="AM163">
        <v>0.033007045818276598</v>
      </c>
      <c r="AN163">
        <v>0.27412315551158301</v>
      </c>
      <c r="AO163">
        <v>0.061563867834558798</v>
      </c>
      <c r="AP163">
        <v>0.072173975876698396</v>
      </c>
      <c r="AQ163">
        <v>0.086398815883575494</v>
      </c>
      <c r="AR163">
        <v>0.031095338120304</v>
      </c>
      <c r="AS163">
        <v>0.092977494907261093</v>
      </c>
      <c r="AT163">
        <v>0.045419296234200199</v>
      </c>
      <c r="AU163">
        <v>2.7121194916654199</v>
      </c>
      <c r="AV163">
        <v>0.052951797862154301</v>
      </c>
      <c r="AW163" t="s">
        <v>203</v>
      </c>
    </row>
  </sheetData>
  <pageMargins left="0.7" right="0.7" top="0.75" bottom="0.75" header="0.3" footer="0.3"/>
  <pageSetup orientation="portrait" paperSize="1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CI106"/>
  <sheetViews>
    <sheetView zoomScale="85" zoomScaleNormal="85" workbookViewId="0" topLeftCell="A1">
      <selection pane="topLeft" activeCell="D9" sqref="D9"/>
    </sheetView>
  </sheetViews>
  <sheetFormatPr defaultRowHeight="12.75"/>
  <cols>
    <col min="1" max="1" width="21.4285714285714" bestFit="1" customWidth="1"/>
    <col min="3" max="3" width="10.1428571428571" bestFit="1" customWidth="1"/>
    <col min="4" max="4" width="16.8571428571429" customWidth="1"/>
    <col min="5" max="5" width="14.2857142857143" bestFit="1" customWidth="1"/>
    <col min="6" max="6" width="20.1428571428571" customWidth="1"/>
    <col min="7" max="7" width="16.5714285714286" customWidth="1"/>
    <col min="8" max="8" width="7.28571428571429" bestFit="1" customWidth="1"/>
    <col min="9" max="9" width="5.57142857142857" bestFit="1" customWidth="1"/>
    <col min="10" max="10" width="6.57142857142857" bestFit="1" customWidth="1"/>
    <col min="11" max="11" width="5.57142857142857" bestFit="1" customWidth="1"/>
    <col min="12" max="12" width="6.57142857142857" bestFit="1" customWidth="1"/>
    <col min="13" max="14" width="5.57142857142857" bestFit="1" customWidth="1"/>
    <col min="15" max="16" width="6.57142857142857" bestFit="1" customWidth="1"/>
    <col min="17" max="17" width="5.57142857142857" bestFit="1" customWidth="1"/>
    <col min="18" max="19" width="6.57142857142857" bestFit="1" customWidth="1"/>
    <col min="20" max="20" width="5.57142857142857" bestFit="1" customWidth="1"/>
    <col min="21" max="21" width="6.57142857142857" bestFit="1" customWidth="1"/>
    <col min="22" max="22" width="5.57142857142857" bestFit="1" customWidth="1"/>
    <col min="23" max="24" width="6.57142857142857" bestFit="1" customWidth="1"/>
    <col min="25" max="28" width="5.57142857142857" bestFit="1" customWidth="1"/>
    <col min="29" max="32" width="6.57142857142857" bestFit="1" customWidth="1"/>
    <col min="33" max="33" width="5.57142857142857" bestFit="1" customWidth="1"/>
    <col min="34" max="34" width="6.57142857142857" bestFit="1" customWidth="1"/>
    <col min="35" max="39" width="5.57142857142857" bestFit="1" customWidth="1"/>
    <col min="40" max="43" width="6.57142857142857" bestFit="1" customWidth="1"/>
    <col min="45" max="82" width="4.57142857142857" bestFit="1" customWidth="1"/>
  </cols>
  <sheetData>
    <row r="2" spans="1:87" ht="12.7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</row>
    <row r="3" spans="17:17" ht="12.75">
      <c r="Q3" t="s">
        <v>186</v>
      </c>
    </row>
    <row r="4" spans="1:3" ht="15">
      <c r="A4" s="6" t="s">
        <v>29</v>
      </c>
      <c r="C4" s="4" t="s">
        <v>51</v>
      </c>
    </row>
    <row r="5" spans="3:85" ht="12.75">
      <c r="C5" t="s">
        <v>35</v>
      </c>
      <c r="D5" t="s">
        <v>48</v>
      </c>
      <c r="E5" t="s">
        <v>38</v>
      </c>
      <c r="F5" t="s">
        <v>39</v>
      </c>
      <c r="G5" t="s">
        <v>49</v>
      </c>
      <c r="H5" t="s">
        <v>46</v>
      </c>
      <c r="I5" t="str">
        <f>RES_SpHeat!L$1</f>
        <v>AL</v>
      </c>
      <c r="J5" t="str">
        <f>RES_SpHeat!M$1</f>
        <v>AT</v>
      </c>
      <c r="K5" t="str">
        <f>RES_SpHeat!N$1</f>
        <v>BA</v>
      </c>
      <c r="L5" t="str">
        <f>RES_SpHeat!O$1</f>
        <v>BE</v>
      </c>
      <c r="M5" t="str">
        <f>RES_SpHeat!P$1</f>
        <v>BG</v>
      </c>
      <c r="N5" t="str">
        <f>RES_SpHeat!Q$1</f>
        <v>CH</v>
      </c>
      <c r="O5" t="str">
        <f>RES_SpHeat!R$1</f>
        <v>CY</v>
      </c>
      <c r="P5" t="str">
        <f>RES_SpHeat!S$1</f>
        <v>CZ</v>
      </c>
      <c r="Q5" t="str">
        <f>RES_SpHeat!T$1</f>
        <v>DE</v>
      </c>
      <c r="R5" t="str">
        <f>RES_SpHeat!U$1</f>
        <v>DK</v>
      </c>
      <c r="S5" t="str">
        <f>RES_SpHeat!V$1</f>
        <v>EE</v>
      </c>
      <c r="T5" t="str">
        <f>RES_SpHeat!W$1</f>
        <v>EL</v>
      </c>
      <c r="U5" t="str">
        <f>RES_SpHeat!X$1</f>
        <v>ES</v>
      </c>
      <c r="V5" t="str">
        <f>RES_SpHeat!Y$1</f>
        <v>FI</v>
      </c>
      <c r="W5" t="str">
        <f>RES_SpHeat!Z$1</f>
        <v>FR</v>
      </c>
      <c r="X5" t="str">
        <f>RES_SpHeat!AA$1</f>
        <v>HR</v>
      </c>
      <c r="Y5" t="str">
        <f>RES_SpHeat!AB$1</f>
        <v>HU</v>
      </c>
      <c r="Z5" t="str">
        <f>RES_SpHeat!AC$1</f>
        <v>IE</v>
      </c>
      <c r="AA5" t="str">
        <f>RES_SpHeat!AD$1</f>
        <v>IS</v>
      </c>
      <c r="AB5" t="str">
        <f>RES_SpHeat!AE$1</f>
        <v>IT</v>
      </c>
      <c r="AC5" t="str">
        <f>RES_SpHeat!AF$1</f>
        <v>KS</v>
      </c>
      <c r="AD5" t="str">
        <f>RES_SpHeat!AG$1</f>
        <v>LT</v>
      </c>
      <c r="AE5" t="str">
        <f>RES_SpHeat!AH$1</f>
        <v>LU</v>
      </c>
      <c r="AF5" t="str">
        <f>RES_SpHeat!AI$1</f>
        <v>LV</v>
      </c>
      <c r="AG5" t="str">
        <f>RES_SpHeat!AJ$1</f>
        <v>ME</v>
      </c>
      <c r="AH5" t="str">
        <f>RES_SpHeat!AK$1</f>
        <v>MK</v>
      </c>
      <c r="AI5" t="str">
        <f>RES_SpHeat!AL$1</f>
        <v>MT</v>
      </c>
      <c r="AJ5" t="str">
        <f>RES_SpHeat!AM$1</f>
        <v>NL</v>
      </c>
      <c r="AK5" t="str">
        <f>RES_SpHeat!AN$1</f>
        <v>NO</v>
      </c>
      <c r="AL5" t="str">
        <f>RES_SpHeat!AO$1</f>
        <v>PL</v>
      </c>
      <c r="AM5" t="str">
        <f>RES_SpHeat!AP$1</f>
        <v>PT</v>
      </c>
      <c r="AN5" t="str">
        <f>RES_SpHeat!AQ$1</f>
        <v>RO</v>
      </c>
      <c r="AO5" t="str">
        <f>RES_SpHeat!AR$1</f>
        <v>RS</v>
      </c>
      <c r="AP5" t="str">
        <f>RES_SpHeat!AS$1</f>
        <v>SE</v>
      </c>
      <c r="AQ5" t="str">
        <f>RES_SpHeat!AT$1</f>
        <v>SI</v>
      </c>
      <c r="AR5" t="str">
        <f>RES_SpHeat!AU$1</f>
        <v>SK</v>
      </c>
      <c r="AS5" t="str">
        <f>RES_SpHeat!AV$1</f>
        <v>UK</v>
      </c>
      <c r="AW5" t="str">
        <f t="shared" si="0" ref="AW5:CG5">I5</f>
        <v>AL</v>
      </c>
      <c r="AX5" t="str">
        <f t="shared" si="0"/>
        <v>AT</v>
      </c>
      <c r="AY5" t="str">
        <f t="shared" si="0"/>
        <v>BA</v>
      </c>
      <c r="AZ5" t="str">
        <f t="shared" si="0"/>
        <v>BE</v>
      </c>
      <c r="BA5" t="str">
        <f t="shared" si="0"/>
        <v>BG</v>
      </c>
      <c r="BB5" t="str">
        <f t="shared" si="0"/>
        <v>CH</v>
      </c>
      <c r="BC5" t="str">
        <f t="shared" si="0"/>
        <v>CY</v>
      </c>
      <c r="BD5" t="str">
        <f t="shared" si="0"/>
        <v>CZ</v>
      </c>
      <c r="BE5" t="str">
        <f t="shared" si="0"/>
        <v>DE</v>
      </c>
      <c r="BF5" t="str">
        <f t="shared" si="0"/>
        <v>DK</v>
      </c>
      <c r="BG5" t="str">
        <f t="shared" si="0"/>
        <v>EE</v>
      </c>
      <c r="BH5" t="str">
        <f t="shared" si="0"/>
        <v>EL</v>
      </c>
      <c r="BI5" t="str">
        <f t="shared" si="0"/>
        <v>ES</v>
      </c>
      <c r="BJ5" t="str">
        <f t="shared" si="0"/>
        <v>FI</v>
      </c>
      <c r="BK5" t="str">
        <f t="shared" si="0"/>
        <v>FR</v>
      </c>
      <c r="BL5" t="str">
        <f t="shared" si="0"/>
        <v>HR</v>
      </c>
      <c r="BM5" t="str">
        <f t="shared" si="0"/>
        <v>HU</v>
      </c>
      <c r="BN5" t="str">
        <f t="shared" si="0"/>
        <v>IE</v>
      </c>
      <c r="BO5" t="str">
        <f t="shared" si="0"/>
        <v>IS</v>
      </c>
      <c r="BP5" t="str">
        <f t="shared" si="0"/>
        <v>IT</v>
      </c>
      <c r="BQ5" t="str">
        <f t="shared" si="0"/>
        <v>KS</v>
      </c>
      <c r="BR5" t="str">
        <f t="shared" si="0"/>
        <v>LT</v>
      </c>
      <c r="BS5" t="str">
        <f t="shared" si="0"/>
        <v>LU</v>
      </c>
      <c r="BT5" t="str">
        <f t="shared" si="0"/>
        <v>LV</v>
      </c>
      <c r="BU5" t="str">
        <f t="shared" si="0"/>
        <v>ME</v>
      </c>
      <c r="BV5" t="str">
        <f t="shared" si="0"/>
        <v>MK</v>
      </c>
      <c r="BW5" t="str">
        <f t="shared" si="0"/>
        <v>MT</v>
      </c>
      <c r="BX5" t="str">
        <f t="shared" si="0"/>
        <v>NL</v>
      </c>
      <c r="BY5" t="str">
        <f t="shared" si="0"/>
        <v>NO</v>
      </c>
      <c r="BZ5" t="str">
        <f t="shared" si="0"/>
        <v>PL</v>
      </c>
      <c r="CA5" t="str">
        <f t="shared" si="0"/>
        <v>PT</v>
      </c>
      <c r="CB5" t="str">
        <f t="shared" si="0"/>
        <v>RO</v>
      </c>
      <c r="CC5" t="str">
        <f t="shared" si="0"/>
        <v>RS</v>
      </c>
      <c r="CD5" t="str">
        <f t="shared" si="0"/>
        <v>SE</v>
      </c>
      <c r="CE5" t="str">
        <f t="shared" si="0"/>
        <v>SI</v>
      </c>
      <c r="CF5" t="str">
        <f t="shared" si="0"/>
        <v>SK</v>
      </c>
      <c r="CG5" t="str">
        <f t="shared" si="0"/>
        <v>UK</v>
      </c>
    </row>
    <row r="6" spans="1:85" ht="15">
      <c r="A6" t="s">
        <v>122</v>
      </c>
      <c r="C6" t="s">
        <v>29</v>
      </c>
      <c r="D6" t="str">
        <f>A6</f>
        <v>C_ES-SH-HO_BI*</v>
      </c>
      <c r="H6" s="53"/>
      <c r="I6" s="45" t="str">
        <f>IF(AW6&lt;&gt;"","*"&amp;AW6/$BE6,"")</f>
        <v>*1</v>
      </c>
      <c r="J6" s="45" t="str">
        <f t="shared" si="1" ref="J6:AS13">IF(AX6&lt;&gt;"","*"&amp;AX6/$BE6,"")</f>
        <v>*1.13273935601115</v>
      </c>
      <c r="K6" s="45" t="str">
        <f t="shared" si="1"/>
        <v>*1</v>
      </c>
      <c r="L6" s="45" t="str">
        <f t="shared" si="1"/>
        <v>*1.16287202779621</v>
      </c>
      <c r="M6" s="45" t="str">
        <f t="shared" si="1"/>
        <v>*0.951947404871184</v>
      </c>
      <c r="N6" s="45" t="str">
        <f t="shared" si="1"/>
        <v>*1</v>
      </c>
      <c r="O6" s="45" t="str">
        <f t="shared" si="1"/>
        <v>*0.891684624593808</v>
      </c>
      <c r="P6" s="45" t="str">
        <f t="shared" si="1"/>
        <v>*1.03230037990426</v>
      </c>
      <c r="Q6" s="46" t="str">
        <f>IF(BE6&lt;&gt;"","*"&amp;BE6,"")</f>
        <v>*0.5</v>
      </c>
      <c r="R6" s="45" t="str">
        <f t="shared" si="1"/>
        <v>*1.0825169264074</v>
      </c>
      <c r="S6" s="45" t="str">
        <f t="shared" si="1"/>
        <v>*1.03229644898342</v>
      </c>
      <c r="T6" s="45" t="str">
        <f t="shared" si="1"/>
        <v>*1</v>
      </c>
      <c r="U6" s="45" t="str">
        <f t="shared" si="1"/>
        <v>*0.982080090991512</v>
      </c>
      <c r="V6" s="45" t="str">
        <f t="shared" si="1"/>
        <v>*1.0423429136333</v>
      </c>
      <c r="W6" s="45" t="str">
        <f t="shared" si="1"/>
        <v>*1.08252106666226</v>
      </c>
      <c r="X6" s="45" t="str">
        <f t="shared" si="1"/>
        <v>*1.05238453545451</v>
      </c>
      <c r="Y6" s="45" t="str">
        <f t="shared" si="1"/>
        <v>*1.05238966451752</v>
      </c>
      <c r="Z6" s="45" t="str">
        <f t="shared" si="1"/>
        <v>*1.1026073590249</v>
      </c>
      <c r="AA6" s="45" t="str">
        <f t="shared" si="1"/>
        <v>*1.0825169264074</v>
      </c>
      <c r="AB6" s="45" t="str">
        <f t="shared" si="1"/>
        <v>*1</v>
      </c>
      <c r="AC6" s="45" t="str">
        <f t="shared" si="1"/>
        <v>*1</v>
      </c>
      <c r="AD6" s="45" t="str">
        <f t="shared" si="1"/>
        <v>*1.03230017588431</v>
      </c>
      <c r="AE6" s="45" t="str">
        <f t="shared" si="1"/>
        <v>*1</v>
      </c>
      <c r="AF6" s="45" t="str">
        <f t="shared" si="1"/>
        <v>*1.07247594152106</v>
      </c>
      <c r="AG6" s="45" t="str">
        <f t="shared" si="1"/>
        <v>*1</v>
      </c>
      <c r="AH6" s="45" t="str">
        <f t="shared" si="1"/>
        <v>*1</v>
      </c>
      <c r="AI6" s="45" t="str">
        <f t="shared" si="1"/>
        <v>*1</v>
      </c>
      <c r="AJ6" s="45" t="str">
        <f t="shared" si="1"/>
        <v>*1.16287284644911</v>
      </c>
      <c r="AK6" s="45" t="str">
        <f t="shared" si="1"/>
        <v>*1.0825169264074</v>
      </c>
      <c r="AL6" s="45" t="str">
        <f t="shared" si="1"/>
        <v>*1.07247406151033</v>
      </c>
      <c r="AM6" s="45" t="str">
        <f t="shared" si="1"/>
        <v>*1</v>
      </c>
      <c r="AN6" s="45" t="str">
        <f t="shared" si="1"/>
        <v>*1</v>
      </c>
      <c r="AO6" s="45" t="str">
        <f t="shared" si="1"/>
        <v>*1</v>
      </c>
      <c r="AP6" s="45" t="str">
        <f t="shared" si="1"/>
        <v>*1.03229798151806</v>
      </c>
      <c r="AQ6" s="45" t="str">
        <f t="shared" si="1"/>
        <v>*1</v>
      </c>
      <c r="AR6" s="45" t="str">
        <f t="shared" si="1"/>
        <v>*1.05238916181003</v>
      </c>
      <c r="AS6" s="47" t="str">
        <f t="shared" si="1"/>
        <v>*1.08252104532776</v>
      </c>
      <c r="AV6" s="28">
        <f>AVERAGE(AW6:CG6)</f>
        <v>0.51720334953630942</v>
      </c>
      <c r="AW6" s="29">
        <f>IFERROR(AVERAGEIFS(COM_All!L$2:L$999,COM_All!$B$2:$B$999,"="&amp;$A$4,COM_All!$C$2:$C$999,"="&amp;'INS-UPD Heat'!$A6),"")</f>
        <v>0.5</v>
      </c>
      <c r="AX6" s="29">
        <f>IFERROR(AVERAGEIFS(COM_All!M$2:M$999,COM_All!$B$2:$B$999,"="&amp;$A$4,COM_All!$C$2:$C$999,"="&amp;'INS-UPD Heat'!$A6),"")</f>
        <v>0.56636967800557603</v>
      </c>
      <c r="AY6" s="29">
        <f>IFERROR(AVERAGEIFS(COM_All!N$2:N$999,COM_All!$B$2:$B$999,"="&amp;$A$4,COM_All!$C$2:$C$999,"="&amp;'INS-UPD Heat'!$A6),"")</f>
        <v>0.5</v>
      </c>
      <c r="AZ6" s="29">
        <f>IFERROR(AVERAGEIFS(COM_All!O$2:O$999,COM_All!$B$2:$B$999,"="&amp;$A$4,COM_All!$C$2:$C$999,"="&amp;'INS-UPD Heat'!$A6),"")</f>
        <v>0.58143601389810495</v>
      </c>
      <c r="BA6" s="29">
        <f>IFERROR(AVERAGEIFS(COM_All!P$2:P$999,COM_All!$B$2:$B$999,"="&amp;$A$4,COM_All!$C$2:$C$999,"="&amp;'INS-UPD Heat'!$A6),"")</f>
        <v>0.47597370243559201</v>
      </c>
      <c r="BB6" s="29">
        <f>IFERROR(AVERAGEIFS(COM_All!Q$2:Q$999,COM_All!$B$2:$B$999,"="&amp;$A$4,COM_All!$C$2:$C$999,"="&amp;'INS-UPD Heat'!$A6),"")</f>
        <v>0.5</v>
      </c>
      <c r="BC6" s="29">
        <f>IFERROR(AVERAGEIFS(COM_All!R$2:R$999,COM_All!$B$2:$B$999,"="&amp;$A$4,COM_All!$C$2:$C$999,"="&amp;'INS-UPD Heat'!$A6),"")</f>
        <v>0.44584231229690402</v>
      </c>
      <c r="BD6" s="29">
        <f>IFERROR(AVERAGEIFS(COM_All!S$2:S$999,COM_All!$B$2:$B$999,"="&amp;$A$4,COM_All!$C$2:$C$999,"="&amp;'INS-UPD Heat'!$A6),"")</f>
        <v>0.51615018995212902</v>
      </c>
      <c r="BE6" s="29">
        <f>IFERROR(AVERAGEIFS(COM_All!T$2:T$999,COM_All!$B$2:$B$999,"="&amp;$A$4,COM_All!$C$2:$C$999,"="&amp;'INS-UPD Heat'!$A6),"")</f>
        <v>0.5</v>
      </c>
      <c r="BF6" s="29">
        <f>IFERROR(AVERAGEIFS(COM_All!U$2:U$999,COM_All!$B$2:$B$999,"="&amp;$A$4,COM_All!$C$2:$C$999,"="&amp;'INS-UPD Heat'!$A6),"")</f>
        <v>0.54125846320370197</v>
      </c>
      <c r="BG6" s="29">
        <f>IFERROR(AVERAGEIFS(COM_All!V$2:V$999,COM_All!$B$2:$B$999,"="&amp;$A$4,COM_All!$C$2:$C$999,"="&amp;'INS-UPD Heat'!$A6),"")</f>
        <v>0.51614822449170805</v>
      </c>
      <c r="BH6" s="29">
        <f>IFERROR(AVERAGEIFS(COM_All!W$2:W$999,COM_All!$B$2:$B$999,"="&amp;$A$4,COM_All!$C$2:$C$999,"="&amp;'INS-UPD Heat'!$A6),"")</f>
        <v>0.5</v>
      </c>
      <c r="BI6" s="29">
        <f>IFERROR(AVERAGEIFS(COM_All!X$2:X$999,COM_All!$B$2:$B$999,"="&amp;$A$4,COM_All!$C$2:$C$999,"="&amp;'INS-UPD Heat'!$A6),"")</f>
        <v>0.49104004549575597</v>
      </c>
      <c r="BJ6" s="29">
        <f>IFERROR(AVERAGEIFS(COM_All!Y$2:Y$999,COM_All!$B$2:$B$999,"="&amp;$A$4,COM_All!$C$2:$C$999,"="&amp;'INS-UPD Heat'!$A6),"")</f>
        <v>0.521171456816652</v>
      </c>
      <c r="BK6" s="29">
        <f>IFERROR(AVERAGEIFS(COM_All!Z$2:Z$999,COM_All!$B$2:$B$999,"="&amp;$A$4,COM_All!$C$2:$C$999,"="&amp;'INS-UPD Heat'!$A6),"")</f>
        <v>0.541260533331132</v>
      </c>
      <c r="BL6" s="29">
        <f>IFERROR(AVERAGEIFS(COM_All!AA$2:AA$999,COM_All!$B$2:$B$999,"="&amp;$A$4,COM_All!$C$2:$C$999,"="&amp;'INS-UPD Heat'!$A6),"")</f>
        <v>0.52619226772725602</v>
      </c>
      <c r="BM6" s="29">
        <f>IFERROR(AVERAGEIFS(COM_All!AB$2:AB$999,COM_All!$B$2:$B$999,"="&amp;$A$4,COM_All!$C$2:$C$999,"="&amp;'INS-UPD Heat'!$A6),"")</f>
        <v>0.52619483225875896</v>
      </c>
      <c r="BN6" s="29">
        <f>IFERROR(AVERAGEIFS(COM_All!AC$2:AC$999,COM_All!$B$2:$B$999,"="&amp;$A$4,COM_All!$C$2:$C$999,"="&amp;'INS-UPD Heat'!$A6),"")</f>
        <v>0.55130367951244896</v>
      </c>
      <c r="BO6" s="29">
        <f>IFERROR(AVERAGEIFS(COM_All!AD$2:AD$999,COM_All!$B$2:$B$999,"="&amp;$A$4,COM_All!$C$2:$C$999,"="&amp;'INS-UPD Heat'!$A6),"")</f>
        <v>0.54125846320370197</v>
      </c>
      <c r="BP6" s="29">
        <f>IFERROR(AVERAGEIFS(COM_All!AE$2:AE$999,COM_All!$B$2:$B$999,"="&amp;$A$4,COM_All!$C$2:$C$999,"="&amp;'INS-UPD Heat'!$A6),"")</f>
        <v>0.5</v>
      </c>
      <c r="BQ6" s="29">
        <f>IFERROR(AVERAGEIFS(COM_All!AF$2:AF$999,COM_All!$B$2:$B$999,"="&amp;$A$4,COM_All!$C$2:$C$999,"="&amp;'INS-UPD Heat'!$A6),"")</f>
        <v>0.5</v>
      </c>
      <c r="BR6" s="29">
        <f>IFERROR(AVERAGEIFS(COM_All!AG$2:AG$999,COM_All!$B$2:$B$999,"="&amp;$A$4,COM_All!$C$2:$C$999,"="&amp;'INS-UPD Heat'!$A6),"")</f>
        <v>0.516150087942154</v>
      </c>
      <c r="BS6" s="29">
        <f>IFERROR(AVERAGEIFS(COM_All!AH$2:AH$999,COM_All!$B$2:$B$999,"="&amp;$A$4,COM_All!$C$2:$C$999,"="&amp;'INS-UPD Heat'!$A6),"")</f>
        <v>0.5</v>
      </c>
      <c r="BT6" s="29">
        <f>IFERROR(AVERAGEIFS(COM_All!AI$2:AI$999,COM_All!$B$2:$B$999,"="&amp;$A$4,COM_All!$C$2:$C$999,"="&amp;'INS-UPD Heat'!$A6),"")</f>
        <v>0.53623797076053004</v>
      </c>
      <c r="BU6" s="29">
        <f>IFERROR(AVERAGEIFS(COM_All!AJ$2:AJ$999,COM_All!$B$2:$B$999,"="&amp;$A$4,COM_All!$C$2:$C$999,"="&amp;'INS-UPD Heat'!$A6),"")</f>
        <v>0.5</v>
      </c>
      <c r="BV6" s="29">
        <f>IFERROR(AVERAGEIFS(COM_All!AK$2:AK$999,COM_All!$B$2:$B$999,"="&amp;$A$4,COM_All!$C$2:$C$999,"="&amp;'INS-UPD Heat'!$A6),"")</f>
        <v>0.5</v>
      </c>
      <c r="BW6" s="29">
        <f>IFERROR(AVERAGEIFS(COM_All!AL$2:AL$999,COM_All!$B$2:$B$999,"="&amp;$A$4,COM_All!$C$2:$C$999,"="&amp;'INS-UPD Heat'!$A6),"")</f>
        <v>0.5</v>
      </c>
      <c r="BX6" s="29">
        <f>IFERROR(AVERAGEIFS(COM_All!AM$2:AM$999,COM_All!$B$2:$B$999,"="&amp;$A$4,COM_All!$C$2:$C$999,"="&amp;'INS-UPD Heat'!$A6),"")</f>
        <v>0.58143642322455602</v>
      </c>
      <c r="BY6" s="29">
        <f>IFERROR(AVERAGEIFS(COM_All!AN$2:AN$999,COM_All!$B$2:$B$999,"="&amp;$A$4,COM_All!$C$2:$C$999,"="&amp;'INS-UPD Heat'!$A6),"")</f>
        <v>0.54125846320370197</v>
      </c>
      <c r="BZ6" s="29">
        <f>IFERROR(AVERAGEIFS(COM_All!AO$2:AO$999,COM_All!$B$2:$B$999,"="&amp;$A$4,COM_All!$C$2:$C$999,"="&amp;'INS-UPD Heat'!$A6),"")</f>
        <v>0.53623703075516505</v>
      </c>
      <c r="CA6" s="29">
        <f>IFERROR(AVERAGEIFS(COM_All!AP$2:AP$999,COM_All!$B$2:$B$999,"="&amp;$A$4,COM_All!$C$2:$C$999,"="&amp;'INS-UPD Heat'!$A6),"")</f>
        <v>0.5</v>
      </c>
      <c r="CB6" s="29">
        <f>IFERROR(AVERAGEIFS(COM_All!AQ$2:AQ$999,COM_All!$B$2:$B$999,"="&amp;$A$4,COM_All!$C$2:$C$999,"="&amp;'INS-UPD Heat'!$A6),"")</f>
        <v>0.5</v>
      </c>
      <c r="CC6" s="29">
        <f>IFERROR(AVERAGEIFS(COM_All!AR$2:AR$999,COM_All!$B$2:$B$999,"="&amp;$A$4,COM_All!$C$2:$C$999,"="&amp;'INS-UPD Heat'!$A6),"")</f>
        <v>0.5</v>
      </c>
      <c r="CD6" s="29">
        <f>IFERROR(AVERAGEIFS(COM_All!AS$2:AS$999,COM_All!$B$2:$B$999,"="&amp;$A$4,COM_All!$C$2:$C$999,"="&amp;'INS-UPD Heat'!$A6),"")</f>
        <v>0.51614899075903098</v>
      </c>
      <c r="CE6" s="29">
        <f>IFERROR(AVERAGEIFS(COM_All!AT$2:AT$999,COM_All!$B$2:$B$999,"="&amp;$A$4,COM_All!$C$2:$C$999,"="&amp;'INS-UPD Heat'!$A6),"")</f>
        <v>0.5</v>
      </c>
      <c r="CF6" s="29">
        <f>IFERROR(AVERAGEIFS(COM_All!AU$2:AU$999,COM_All!$B$2:$B$999,"="&amp;$A$4,COM_All!$C$2:$C$999,"="&amp;'INS-UPD Heat'!$A6),"")</f>
        <v>0.52619458090501303</v>
      </c>
      <c r="CG6" s="30">
        <f>IFERROR(AVERAGEIFS(COM_All!AV$2:AV$999,COM_All!$B$2:$B$999,"="&amp;$A$4,COM_All!$C$2:$C$999,"="&amp;'INS-UPD Heat'!$A6),"")</f>
        <v>0.54126052266387803</v>
      </c>
    </row>
    <row r="7" spans="1:85" ht="15">
      <c r="A7" t="s">
        <v>123</v>
      </c>
      <c r="C7" t="s">
        <v>29</v>
      </c>
      <c r="D7" t="str">
        <f t="shared" si="2" ref="D7:D31">A7</f>
        <v>C_ES-SH-HO_HE*</v>
      </c>
      <c r="H7" s="54"/>
      <c r="I7" t="str">
        <f t="shared" si="3" ref="I7:I53">IF(AW7&lt;&gt;"","*"&amp;AW7/$BE7,"")</f>
        <v>*0.880504783355962</v>
      </c>
      <c r="J7" t="str">
        <f t="shared" si="1"/>
        <v>*0.957548618872751</v>
      </c>
      <c r="K7" t="str">
        <f t="shared" si="1"/>
        <v>*0.880504783355962</v>
      </c>
      <c r="L7" t="str">
        <f t="shared" si="1"/>
        <v>*0.983020646759874</v>
      </c>
      <c r="M7" t="str">
        <f t="shared" si="1"/>
        <v>*0.804718937699145</v>
      </c>
      <c r="N7" t="str">
        <f t="shared" si="1"/>
        <v>*1</v>
      </c>
      <c r="O7" t="str">
        <f t="shared" si="1"/>
        <v>*0.880504783355962</v>
      </c>
      <c r="P7" t="str">
        <f t="shared" si="1"/>
        <v>*0.872644275983274</v>
      </c>
      <c r="Q7" s="48" t="str">
        <f t="shared" si="4" ref="Q7:Q53">IF(BE7&lt;&gt;"","*"&amp;BE7,"")</f>
        <v>*0.908569737634899</v>
      </c>
      <c r="R7" t="str">
        <f t="shared" si="1"/>
        <v>*0.915095212233637</v>
      </c>
      <c r="S7" t="str">
        <f t="shared" si="1"/>
        <v>*0.872642655737943</v>
      </c>
      <c r="T7" t="str">
        <f t="shared" si="1"/>
        <v>*0.880504783355962</v>
      </c>
      <c r="U7" t="str">
        <f t="shared" si="1"/>
        <v>*0.880504783355962</v>
      </c>
      <c r="V7" t="str">
        <f t="shared" si="1"/>
        <v>*0.881131477151944</v>
      </c>
      <c r="W7" t="str">
        <f t="shared" si="1"/>
        <v>*0.915093124359608</v>
      </c>
      <c r="X7" t="str">
        <f t="shared" si="1"/>
        <v>*0.889625250941913</v>
      </c>
      <c r="Y7" t="str">
        <f t="shared" si="1"/>
        <v>*0.889623372740061</v>
      </c>
      <c r="Z7" t="str">
        <f t="shared" si="1"/>
        <v>*0.880504783355962</v>
      </c>
      <c r="AA7" t="str">
        <f t="shared" si="1"/>
        <v>*0.915095212233637</v>
      </c>
      <c r="AB7" t="str">
        <f t="shared" si="1"/>
        <v>*0.915095341838966</v>
      </c>
      <c r="AC7" t="str">
        <f t="shared" si="1"/>
        <v>*0.880504783355962</v>
      </c>
      <c r="AD7" t="str">
        <f t="shared" si="1"/>
        <v>*0.872640325737902</v>
      </c>
      <c r="AE7" t="str">
        <f t="shared" si="1"/>
        <v>*0.915097225102635</v>
      </c>
      <c r="AF7" t="str">
        <f t="shared" si="1"/>
        <v>*0.906602703277204</v>
      </c>
      <c r="AG7" t="str">
        <f t="shared" si="1"/>
        <v>*0.880504783355962</v>
      </c>
      <c r="AH7" t="str">
        <f t="shared" si="1"/>
        <v>*0.880504783355962</v>
      </c>
      <c r="AI7" t="str">
        <f t="shared" si="1"/>
        <v>*0.880504783355962</v>
      </c>
      <c r="AJ7" t="str">
        <f t="shared" si="1"/>
        <v>*0.983021041372418</v>
      </c>
      <c r="AK7" t="str">
        <f t="shared" si="1"/>
        <v>*0.915095212233637</v>
      </c>
      <c r="AL7" t="str">
        <f t="shared" si="1"/>
        <v>*0.906604639952111</v>
      </c>
      <c r="AM7" t="str">
        <f t="shared" si="1"/>
        <v>*0.855664327496265</v>
      </c>
      <c r="AN7" t="str">
        <f t="shared" si="1"/>
        <v>*0.89386936286641</v>
      </c>
      <c r="AO7" t="str">
        <f t="shared" si="1"/>
        <v>*0.880504783355962</v>
      </c>
      <c r="AP7" t="str">
        <f t="shared" si="1"/>
        <v>*0.872640441278991</v>
      </c>
      <c r="AQ7" t="str">
        <f t="shared" si="1"/>
        <v>*0.949060077873277</v>
      </c>
      <c r="AR7" t="str">
        <f t="shared" si="1"/>
        <v>*0.889625648915354</v>
      </c>
      <c r="AS7" s="49" t="str">
        <f t="shared" si="1"/>
        <v>*0.915096287669067</v>
      </c>
      <c r="AV7" s="31">
        <f t="shared" si="5" ref="AV7:AV53">AVERAGE(AW7:CG7)</f>
        <v>0.81947843501339068</v>
      </c>
      <c r="AW7" s="32">
        <f>IFERROR(AVERAGEIFS(COM_All!L$2:L$999,COM_All!$B$2:$B$999,"="&amp;$A$4,COM_All!$C$2:$C$999,"="&amp;'INS-UPD Heat'!$A7),"")</f>
        <v>0.80000000000000004</v>
      </c>
      <c r="AX7" s="32">
        <f>IFERROR(AVERAGEIFS(COM_All!M$2:M$999,COM_All!$B$2:$B$999,"="&amp;$A$4,COM_All!$C$2:$C$999,"="&amp;'INS-UPD Heat'!$A7),"")</f>
        <v>0.869999697421875</v>
      </c>
      <c r="AY7" s="32">
        <f>IFERROR(AVERAGEIFS(COM_All!N$2:N$999,COM_All!$B$2:$B$999,"="&amp;$A$4,COM_All!$C$2:$C$999,"="&amp;'INS-UPD Heat'!$A7),"")</f>
        <v>0.80000000000000004</v>
      </c>
      <c r="AZ7" s="32">
        <f>IFERROR(AVERAGEIFS(COM_All!O$2:O$999,COM_All!$B$2:$B$999,"="&amp;$A$4,COM_All!$C$2:$C$999,"="&amp;'INS-UPD Heat'!$A7),"")</f>
        <v>0.893142811116307</v>
      </c>
      <c r="BA7" s="32">
        <f>IFERROR(AVERAGEIFS(COM_All!P$2:P$999,COM_All!$B$2:$B$999,"="&amp;$A$4,COM_All!$C$2:$C$999,"="&amp;'INS-UPD Heat'!$A7),"")</f>
        <v>0.73114327409514701</v>
      </c>
      <c r="BB7" s="32">
        <f>IFERROR(AVERAGEIFS(COM_All!Q$2:Q$999,COM_All!$B$2:$B$999,"="&amp;$A$4,COM_All!$C$2:$C$999,"="&amp;'INS-UPD Heat'!$A7),"")</f>
        <v>0.90856973763489901</v>
      </c>
      <c r="BC7" s="32">
        <f>IFERROR(AVERAGEIFS(COM_All!R$2:R$999,COM_All!$B$2:$B$999,"="&amp;$A$4,COM_All!$C$2:$C$999,"="&amp;'INS-UPD Heat'!$A7),"")</f>
        <v>0.80000000000000004</v>
      </c>
      <c r="BD7" s="32">
        <f>IFERROR(AVERAGEIFS(COM_All!S$2:S$999,COM_All!$B$2:$B$999,"="&amp;$A$4,COM_All!$C$2:$C$999,"="&amp;'INS-UPD Heat'!$A7),"")</f>
        <v>0.79285818087871995</v>
      </c>
      <c r="BE7" s="32">
        <f>IFERROR(AVERAGEIFS(COM_All!T$2:T$999,COM_All!$B$2:$B$999,"="&amp;$A$4,COM_All!$C$2:$C$999,"="&amp;'INS-UPD Heat'!$A7),"")</f>
        <v>0.90856973763489901</v>
      </c>
      <c r="BF7" s="32">
        <f>IFERROR(AVERAGEIFS(COM_All!U$2:U$999,COM_All!$B$2:$B$999,"="&amp;$A$4,COM_All!$C$2:$C$999,"="&amp;'INS-UPD Heat'!$A7),"")</f>
        <v>0.83142781689006795</v>
      </c>
      <c r="BG7" s="32">
        <f>IFERROR(AVERAGEIFS(COM_All!V$2:V$999,COM_All!$B$2:$B$999,"="&amp;$A$4,COM_All!$C$2:$C$999,"="&amp;'INS-UPD Heat'!$A7),"")</f>
        <v>0.79285670877284398</v>
      </c>
      <c r="BH7" s="32">
        <f>IFERROR(AVERAGEIFS(COM_All!W$2:W$999,COM_All!$B$2:$B$999,"="&amp;$A$4,COM_All!$C$2:$C$999,"="&amp;'INS-UPD Heat'!$A7),"")</f>
        <v>0.80000000000000004</v>
      </c>
      <c r="BI7" s="32">
        <f>IFERROR(AVERAGEIFS(COM_All!X$2:X$999,COM_All!$B$2:$B$999,"="&amp;$A$4,COM_All!$C$2:$C$999,"="&amp;'INS-UPD Heat'!$A7),"")</f>
        <v>0.80000000000000004</v>
      </c>
      <c r="BJ7" s="32">
        <f>IFERROR(AVERAGEIFS(COM_All!Y$2:Y$999,COM_All!$B$2:$B$999,"="&amp;$A$4,COM_All!$C$2:$C$999,"="&amp;'INS-UPD Heat'!$A7),"")</f>
        <v>0.80056939501779301</v>
      </c>
      <c r="BK7" s="32">
        <f>IFERROR(AVERAGEIFS(COM_All!Z$2:Z$999,COM_All!$B$2:$B$999,"="&amp;$A$4,COM_All!$C$2:$C$999,"="&amp;'INS-UPD Heat'!$A7),"")</f>
        <v>0.83142591991090897</v>
      </c>
      <c r="BL7" s="32">
        <f>IFERROR(AVERAGEIFS(COM_All!AA$2:AA$999,COM_All!$B$2:$B$999,"="&amp;$A$4,COM_All!$C$2:$C$999,"="&amp;'INS-UPD Heat'!$A7),"")</f>
        <v>0.80828658084167504</v>
      </c>
      <c r="BM7" s="32">
        <f>IFERROR(AVERAGEIFS(COM_All!AB$2:AB$999,COM_All!$B$2:$B$999,"="&amp;$A$4,COM_All!$C$2:$C$999,"="&amp;'INS-UPD Heat'!$A7),"")</f>
        <v>0.80828487436431096</v>
      </c>
      <c r="BN7" s="32">
        <f>IFERROR(AVERAGEIFS(COM_All!AC$2:AC$999,COM_All!$B$2:$B$999,"="&amp;$A$4,COM_All!$C$2:$C$999,"="&amp;'INS-UPD Heat'!$A7),"")</f>
        <v>0.80000000000000004</v>
      </c>
      <c r="BO7" s="32">
        <f>IFERROR(AVERAGEIFS(COM_All!AD$2:AD$999,COM_All!$B$2:$B$999,"="&amp;$A$4,COM_All!$C$2:$C$999,"="&amp;'INS-UPD Heat'!$A7),"")</f>
        <v>0.83142781689006795</v>
      </c>
      <c r="BP7" s="32">
        <f>IFERROR(AVERAGEIFS(COM_All!AE$2:AE$999,COM_All!$B$2:$B$999,"="&amp;$A$4,COM_All!$C$2:$C$999,"="&amp;'INS-UPD Heat'!$A7),"")</f>
        <v>0.83142793464554798</v>
      </c>
      <c r="BQ7" s="32">
        <f>IFERROR(AVERAGEIFS(COM_All!AF$2:AF$999,COM_All!$B$2:$B$999,"="&amp;$A$4,COM_All!$C$2:$C$999,"="&amp;'INS-UPD Heat'!$A7),"")</f>
        <v>0.80000000000000004</v>
      </c>
      <c r="BR7" s="32">
        <f>IFERROR(AVERAGEIFS(COM_All!AG$2:AG$999,COM_All!$B$2:$B$999,"="&amp;$A$4,COM_All!$C$2:$C$999,"="&amp;'INS-UPD Heat'!$A7),"")</f>
        <v>0.79285459180531803</v>
      </c>
      <c r="BS7" s="32">
        <f>IFERROR(AVERAGEIFS(COM_All!AH$2:AH$999,COM_All!$B$2:$B$999,"="&amp;$A$4,COM_All!$C$2:$C$999,"="&amp;'INS-UPD Heat'!$A7),"")</f>
        <v>0.83142964572192501</v>
      </c>
      <c r="BT7" s="32">
        <f>IFERROR(AVERAGEIFS(COM_All!AI$2:AI$999,COM_All!$B$2:$B$999,"="&amp;$A$4,COM_All!$C$2:$C$999,"="&amp;'INS-UPD Heat'!$A7),"")</f>
        <v>0.82371178025565905</v>
      </c>
      <c r="BU7" s="32">
        <f>IFERROR(AVERAGEIFS(COM_All!AJ$2:AJ$999,COM_All!$B$2:$B$999,"="&amp;$A$4,COM_All!$C$2:$C$999,"="&amp;'INS-UPD Heat'!$A7),"")</f>
        <v>0.80000000000000004</v>
      </c>
      <c r="BV7" s="32">
        <f>IFERROR(AVERAGEIFS(COM_All!AK$2:AK$999,COM_All!$B$2:$B$999,"="&amp;$A$4,COM_All!$C$2:$C$999,"="&amp;'INS-UPD Heat'!$A7),"")</f>
        <v>0.80000000000000004</v>
      </c>
      <c r="BW7" s="32">
        <f>IFERROR(AVERAGEIFS(COM_All!AL$2:AL$999,COM_All!$B$2:$B$999,"="&amp;$A$4,COM_All!$C$2:$C$999,"="&amp;'INS-UPD Heat'!$A7),"")</f>
        <v>0.80000000000000004</v>
      </c>
      <c r="BX7" s="32">
        <f>IFERROR(AVERAGEIFS(COM_All!AM$2:AM$999,COM_All!$B$2:$B$999,"="&amp;$A$4,COM_All!$C$2:$C$999,"="&amp;'INS-UPD Heat'!$A7),"")</f>
        <v>0.89314316964932305</v>
      </c>
      <c r="BY7" s="32">
        <f>IFERROR(AVERAGEIFS(COM_All!AN$2:AN$999,COM_All!$B$2:$B$999,"="&amp;$A$4,COM_All!$C$2:$C$999,"="&amp;'INS-UPD Heat'!$A7),"")</f>
        <v>0.83142781689006795</v>
      </c>
      <c r="BZ7" s="32">
        <f>IFERROR(AVERAGEIFS(COM_All!AO$2:AO$999,COM_All!$B$2:$B$999,"="&amp;$A$4,COM_All!$C$2:$C$999,"="&amp;'INS-UPD Heat'!$A7),"")</f>
        <v>0.82371353985987195</v>
      </c>
      <c r="CA7" s="32">
        <f>IFERROR(AVERAGEIFS(COM_All!AP$2:AP$999,COM_All!$B$2:$B$999,"="&amp;$A$4,COM_All!$C$2:$C$999,"="&amp;'INS-UPD Heat'!$A7),"")</f>
        <v>0.77743071353682403</v>
      </c>
      <c r="CB7" s="32">
        <f>IFERROR(AVERAGEIFS(COM_All!AQ$2:AQ$999,COM_All!$B$2:$B$999,"="&amp;$A$4,COM_All!$C$2:$C$999,"="&amp;'INS-UPD Heat'!$A7),"")</f>
        <v>0.81214265249940798</v>
      </c>
      <c r="CC7" s="32">
        <f>IFERROR(AVERAGEIFS(COM_All!AR$2:AR$999,COM_All!$B$2:$B$999,"="&amp;$A$4,COM_All!$C$2:$C$999,"="&amp;'INS-UPD Heat'!$A7),"")</f>
        <v>0.80000000000000004</v>
      </c>
      <c r="CD7" s="32">
        <f>IFERROR(AVERAGEIFS(COM_All!AS$2:AS$999,COM_All!$B$2:$B$999,"="&amp;$A$4,COM_All!$C$2:$C$999,"="&amp;'INS-UPD Heat'!$A7),"")</f>
        <v>0.79285469678245502</v>
      </c>
      <c r="CE7" s="32">
        <f>IFERROR(AVERAGEIFS(COM_All!AT$2:AT$999,COM_All!$B$2:$B$999,"="&amp;$A$4,COM_All!$C$2:$C$999,"="&amp;'INS-UPD Heat'!$A7),"")</f>
        <v>0.86228726595308003</v>
      </c>
      <c r="CF7" s="32">
        <f>IFERROR(AVERAGEIFS(COM_All!AU$2:AU$999,COM_All!$B$2:$B$999,"="&amp;$A$4,COM_All!$C$2:$C$999,"="&amp;'INS-UPD Heat'!$A7),"")</f>
        <v>0.80828694242830001</v>
      </c>
      <c r="CG7" s="33">
        <f>IFERROR(AVERAGEIFS(COM_All!AV$2:AV$999,COM_All!$B$2:$B$999,"="&amp;$A$4,COM_All!$C$2:$C$999,"="&amp;'INS-UPD Heat'!$A7),"")</f>
        <v>0.83142879399815395</v>
      </c>
    </row>
    <row r="8" spans="1:85" ht="39">
      <c r="A8" t="s">
        <v>124</v>
      </c>
      <c r="C8" t="s">
        <v>29</v>
      </c>
      <c r="D8" s="75" t="s">
        <v>409</v>
      </c>
      <c r="H8" s="54"/>
      <c r="I8" t="str">
        <f t="shared" si="3"/>
        <v>*0.814695640040816</v>
      </c>
      <c r="J8" t="str">
        <f t="shared" si="1"/>
        <v>*0.866863618757606</v>
      </c>
      <c r="K8" t="str">
        <f t="shared" si="1"/>
        <v>*0.814695640040816</v>
      </c>
      <c r="L8" t="str">
        <f t="shared" si="1"/>
        <v>*0.829770066565543</v>
      </c>
      <c r="M8" t="str">
        <f t="shared" si="1"/>
        <v>*0.670139292549879</v>
      </c>
      <c r="N8" t="str">
        <f t="shared" si="1"/>
        <v>*1</v>
      </c>
      <c r="O8" t="str">
        <f t="shared" si="1"/>
        <v>*0.806570689531818</v>
      </c>
      <c r="P8" t="str">
        <f t="shared" si="1"/>
        <v>*0.783236858692403</v>
      </c>
      <c r="Q8" s="48" t="str">
        <f t="shared" si="4"/>
        <v>*1.16338718199139</v>
      </c>
      <c r="R8" t="str">
        <f t="shared" si="1"/>
        <v>*0.964160419172593</v>
      </c>
      <c r="S8" t="str">
        <f t="shared" si="1"/>
        <v>*0.707243659269144</v>
      </c>
      <c r="T8" t="str">
        <f t="shared" si="1"/>
        <v>*0.814695640040816</v>
      </c>
      <c r="U8" t="str">
        <f t="shared" si="1"/>
        <v>*0.880205881297254</v>
      </c>
      <c r="V8" t="str">
        <f t="shared" si="1"/>
        <v>*0.915248470397476</v>
      </c>
      <c r="W8" t="str">
        <f t="shared" si="1"/>
        <v>*0.982636396644647</v>
      </c>
      <c r="X8" t="str">
        <f t="shared" si="1"/>
        <v>*0.731393580117313</v>
      </c>
      <c r="Y8" t="str">
        <f t="shared" si="1"/>
        <v>*0.847123481616257</v>
      </c>
      <c r="Z8" t="str">
        <f t="shared" si="1"/>
        <v>*0.856585176139782</v>
      </c>
      <c r="AA8" t="str">
        <f t="shared" si="1"/>
        <v>*0.964160419172593</v>
      </c>
      <c r="AB8" t="str">
        <f t="shared" si="1"/>
        <v>*0.975703024004163</v>
      </c>
      <c r="AC8" t="str">
        <f t="shared" si="1"/>
        <v>*0.814695640040816</v>
      </c>
      <c r="AD8" t="str">
        <f t="shared" si="1"/>
        <v>*0.801302174406614</v>
      </c>
      <c r="AE8" t="str">
        <f t="shared" si="1"/>
        <v>*1.04929722822849</v>
      </c>
      <c r="AF8" t="str">
        <f t="shared" si="1"/>
        <v>*0.802607320234305</v>
      </c>
      <c r="AG8" t="str">
        <f t="shared" si="1"/>
        <v>*0.814695640040816</v>
      </c>
      <c r="AH8" t="str">
        <f t="shared" si="1"/>
        <v>*0.814695640040816</v>
      </c>
      <c r="AI8" t="str">
        <f t="shared" si="1"/>
        <v>*0.662075744685471</v>
      </c>
      <c r="AJ8" t="str">
        <f t="shared" si="1"/>
        <v>*1.09991267506868</v>
      </c>
      <c r="AK8" t="str">
        <f t="shared" si="1"/>
        <v>*0.964160419172593</v>
      </c>
      <c r="AL8" t="str">
        <f t="shared" si="1"/>
        <v>*0.973806550892689</v>
      </c>
      <c r="AM8" t="str">
        <f t="shared" si="1"/>
        <v>*0.840908698492736</v>
      </c>
      <c r="AN8" t="str">
        <f t="shared" si="1"/>
        <v>*0.752940453106604</v>
      </c>
      <c r="AO8" t="str">
        <f t="shared" si="1"/>
        <v>*0.814695640040816</v>
      </c>
      <c r="AP8" t="str">
        <f t="shared" si="1"/>
        <v>*0.885880097942198</v>
      </c>
      <c r="AQ8" t="str">
        <f t="shared" si="1"/>
        <v>*0.839394722196866</v>
      </c>
      <c r="AR8" t="str">
        <f t="shared" si="1"/>
        <v>*0.812611601321336</v>
      </c>
      <c r="AS8" s="49" t="str">
        <f t="shared" si="1"/>
        <v>*1.05673460932283</v>
      </c>
      <c r="AV8" s="31">
        <f t="shared" si="5"/>
        <v>1.0069758378551188</v>
      </c>
      <c r="AW8" s="32">
        <f>IFERROR(AVERAGEIFS(COM_All!L$2:L$999,COM_All!$B$2:$B$999,"="&amp;$A$4,COM_All!$C$2:$C$999,"="&amp;'INS-UPD Heat'!$A8),"")</f>
        <v>0.94780646484775699</v>
      </c>
      <c r="AX8" s="32">
        <f>IFERROR(AVERAGEIFS(COM_All!M$2:M$999,COM_All!$B$2:$B$999,"="&amp;$A$4,COM_All!$C$2:$C$999,"="&amp;'INS-UPD Heat'!$A8),"")</f>
        <v>1.0084980225972699</v>
      </c>
      <c r="AY8" s="32">
        <f>IFERROR(AVERAGEIFS(COM_All!N$2:N$999,COM_All!$B$2:$B$999,"="&amp;$A$4,COM_All!$C$2:$C$999,"="&amp;'INS-UPD Heat'!$A8),"")</f>
        <v>0.94780646484775699</v>
      </c>
      <c r="AZ8" s="32">
        <f>IFERROR(AVERAGEIFS(COM_All!O$2:O$999,COM_All!$B$2:$B$999,"="&amp;$A$4,COM_All!$C$2:$C$999,"="&amp;'INS-UPD Heat'!$A8),"")</f>
        <v>0.96534385944249501</v>
      </c>
      <c r="BA8" s="32">
        <f>IFERROR(AVERAGEIFS(COM_All!P$2:P$999,COM_All!$B$2:$B$999,"="&amp;$A$4,COM_All!$C$2:$C$999,"="&amp;'INS-UPD Heat'!$A8),"")</f>
        <v>0.77963146310130704</v>
      </c>
      <c r="BB8" s="32">
        <f>IFERROR(AVERAGEIFS(COM_All!Q$2:Q$999,COM_All!$B$2:$B$999,"="&amp;$A$4,COM_All!$C$2:$C$999,"="&amp;'INS-UPD Heat'!$A8),"")</f>
        <v>1.1633871819913899</v>
      </c>
      <c r="BC8" s="32">
        <f>IFERROR(AVERAGEIFS(COM_All!R$2:R$999,COM_All!$B$2:$B$999,"="&amp;$A$4,COM_All!$C$2:$C$999,"="&amp;'INS-UPD Heat'!$A8),"")</f>
        <v>0.93835400157127402</v>
      </c>
      <c r="BD8" s="32">
        <f>IFERROR(AVERAGEIFS(COM_All!S$2:S$999,COM_All!$B$2:$B$999,"="&amp;$A$4,COM_All!$C$2:$C$999,"="&amp;'INS-UPD Heat'!$A8),"")</f>
        <v>0.91120772186594301</v>
      </c>
      <c r="BE8" s="32">
        <f>IFERROR(AVERAGEIFS(COM_All!T$2:T$999,COM_All!$B$2:$B$999,"="&amp;$A$4,COM_All!$C$2:$C$999,"="&amp;'INS-UPD Heat'!$A8),"")</f>
        <v>1.1633871819913899</v>
      </c>
      <c r="BF8" s="32">
        <f>IFERROR(AVERAGEIFS(COM_All!U$2:U$999,COM_All!$B$2:$B$999,"="&amp;$A$4,COM_All!$C$2:$C$999,"="&amp;'INS-UPD Heat'!$A8),"")</f>
        <v>1.1216918730488401</v>
      </c>
      <c r="BG8" s="32">
        <f>IFERROR(AVERAGEIFS(COM_All!V$2:V$999,COM_All!$B$2:$B$999,"="&amp;$A$4,COM_All!$C$2:$C$999,"="&amp;'INS-UPD Heat'!$A8),"")</f>
        <v>0.82279820773840795</v>
      </c>
      <c r="BH8" s="32">
        <f>IFERROR(AVERAGEIFS(COM_All!W$2:W$999,COM_All!$B$2:$B$999,"="&amp;$A$4,COM_All!$C$2:$C$999,"="&amp;'INS-UPD Heat'!$A8),"")</f>
        <v>0.94780646484775699</v>
      </c>
      <c r="BI8" s="32">
        <f>IFERROR(AVERAGEIFS(COM_All!X$2:X$999,COM_All!$B$2:$B$999,"="&amp;$A$4,COM_All!$C$2:$C$999,"="&amp;'INS-UPD Heat'!$A8),"")</f>
        <v>1.0240202398146601</v>
      </c>
      <c r="BJ8" s="32">
        <f>IFERROR(AVERAGEIFS(COM_All!Y$2:Y$999,COM_All!$B$2:$B$999,"="&amp;$A$4,COM_All!$C$2:$C$999,"="&amp;'INS-UPD Heat'!$A8),"")</f>
        <v>1.06478833879765</v>
      </c>
      <c r="BK8" s="32">
        <f>IFERROR(AVERAGEIFS(COM_All!Z$2:Z$999,COM_All!$B$2:$B$999,"="&amp;$A$4,COM_All!$C$2:$C$999,"="&amp;'INS-UPD Heat'!$A8),"")</f>
        <v>1.14318658841459</v>
      </c>
      <c r="BL8" s="32">
        <f>IFERROR(AVERAGEIFS(COM_All!AA$2:AA$999,COM_All!$B$2:$B$999,"="&amp;$A$4,COM_All!$C$2:$C$999,"="&amp;'INS-UPD Heat'!$A8),"")</f>
        <v>0.85089391609927501</v>
      </c>
      <c r="BM8" s="32">
        <f>IFERROR(AVERAGEIFS(COM_All!AB$2:AB$999,COM_All!$B$2:$B$999,"="&amp;$A$4,COM_All!$C$2:$C$999,"="&amp;'INS-UPD Heat'!$A8),"")</f>
        <v>0.98553260007627197</v>
      </c>
      <c r="BN8" s="32">
        <f>IFERROR(AVERAGEIFS(COM_All!AC$2:AC$999,COM_All!$B$2:$B$999,"="&amp;$A$4,COM_All!$C$2:$C$999,"="&amp;'INS-UPD Heat'!$A8),"")</f>
        <v>0.99654021420485905</v>
      </c>
      <c r="BO8" s="32">
        <f>IFERROR(AVERAGEIFS(COM_All!AD$2:AD$999,COM_All!$B$2:$B$999,"="&amp;$A$4,COM_All!$C$2:$C$999,"="&amp;'INS-UPD Heat'!$A8),"")</f>
        <v>1.1216918730488401</v>
      </c>
      <c r="BP8" s="32">
        <f>IFERROR(AVERAGEIFS(COM_All!AE$2:AE$999,COM_All!$B$2:$B$999,"="&amp;$A$4,COM_All!$C$2:$C$999,"="&amp;'INS-UPD Heat'!$A8),"")</f>
        <v>1.1351203915566801</v>
      </c>
      <c r="BQ8" s="32">
        <f>IFERROR(AVERAGEIFS(COM_All!AF$2:AF$999,COM_All!$B$2:$B$999,"="&amp;$A$4,COM_All!$C$2:$C$999,"="&amp;'INS-UPD Heat'!$A8),"")</f>
        <v>0.94780646484775699</v>
      </c>
      <c r="BR8" s="32">
        <f>IFERROR(AVERAGEIFS(COM_All!AG$2:AG$999,COM_All!$B$2:$B$999,"="&amp;$A$4,COM_All!$C$2:$C$999,"="&amp;'INS-UPD Heat'!$A8),"")</f>
        <v>0.93222467860648395</v>
      </c>
      <c r="BS8" s="32">
        <f>IFERROR(AVERAGEIFS(COM_All!AH$2:AH$999,COM_All!$B$2:$B$999,"="&amp;$A$4,COM_All!$C$2:$C$999,"="&amp;'INS-UPD Heat'!$A8),"")</f>
        <v>1.2207389454201201</v>
      </c>
      <c r="BT8" s="32">
        <f>IFERROR(AVERAGEIFS(COM_All!AI$2:AI$999,COM_All!$B$2:$B$999,"="&amp;$A$4,COM_All!$C$2:$C$999,"="&amp;'INS-UPD Heat'!$A8),"")</f>
        <v>0.933743068533049</v>
      </c>
      <c r="BU8" s="32">
        <f>IFERROR(AVERAGEIFS(COM_All!AJ$2:AJ$999,COM_All!$B$2:$B$999,"="&amp;$A$4,COM_All!$C$2:$C$999,"="&amp;'INS-UPD Heat'!$A8),"")</f>
        <v>0.94780646484775699</v>
      </c>
      <c r="BV8" s="32">
        <f>IFERROR(AVERAGEIFS(COM_All!AK$2:AK$999,COM_All!$B$2:$B$999,"="&amp;$A$4,COM_All!$C$2:$C$999,"="&amp;'INS-UPD Heat'!$A8),"")</f>
        <v>0.94780646484775699</v>
      </c>
      <c r="BW8" s="32">
        <f>IFERROR(AVERAGEIFS(COM_All!AL$2:AL$999,COM_All!$B$2:$B$999,"="&amp;$A$4,COM_All!$C$2:$C$999,"="&amp;'INS-UPD Heat'!$A8),"")</f>
        <v>0.77025043487448097</v>
      </c>
      <c r="BX8" s="32">
        <f>IFERROR(AVERAGEIFS(COM_All!AM$2:AM$999,COM_All!$B$2:$B$999,"="&amp;$A$4,COM_All!$C$2:$C$999,"="&amp;'INS-UPD Heat'!$A8),"")</f>
        <v>1.27962430748476</v>
      </c>
      <c r="BY8" s="32">
        <f>IFERROR(AVERAGEIFS(COM_All!AN$2:AN$999,COM_All!$B$2:$B$999,"="&amp;$A$4,COM_All!$C$2:$C$999,"="&amp;'INS-UPD Heat'!$A8),"")</f>
        <v>1.1216918730488401</v>
      </c>
      <c r="BZ8" s="32">
        <f>IFERROR(AVERAGEIFS(COM_All!AO$2:AO$999,COM_All!$B$2:$B$999,"="&amp;$A$4,COM_All!$C$2:$C$999,"="&amp;'INS-UPD Heat'!$A8),"")</f>
        <v>1.1329140590478</v>
      </c>
      <c r="CA8" s="32">
        <f>IFERROR(AVERAGEIFS(COM_All!AP$2:AP$999,COM_All!$B$2:$B$999,"="&amp;$A$4,COM_All!$C$2:$C$999,"="&amp;'INS-UPD Heat'!$A8),"")</f>
        <v>0.97830240105151101</v>
      </c>
      <c r="CB8" s="32">
        <f>IFERROR(AVERAGEIFS(COM_All!AQ$2:AQ$999,COM_All!$B$2:$B$999,"="&amp;$A$4,COM_All!$C$2:$C$999,"="&amp;'INS-UPD Heat'!$A8),"")</f>
        <v>0.87596127194701201</v>
      </c>
      <c r="CC8" s="32">
        <f>IFERROR(AVERAGEIFS(COM_All!AR$2:AR$999,COM_All!$B$2:$B$999,"="&amp;$A$4,COM_All!$C$2:$C$999,"="&amp;'INS-UPD Heat'!$A8),"")</f>
        <v>0.94780646484775699</v>
      </c>
      <c r="CD8" s="32">
        <f>IFERROR(AVERAGEIFS(COM_All!AS$2:AS$999,COM_All!$B$2:$B$999,"="&amp;$A$4,COM_All!$C$2:$C$999,"="&amp;'INS-UPD Heat'!$A8),"")</f>
        <v>1.0306215507272301</v>
      </c>
      <c r="CE8" s="32">
        <f>IFERROR(AVERAGEIFS(COM_All!AT$2:AT$999,COM_All!$B$2:$B$999,"="&amp;$A$4,COM_All!$C$2:$C$999,"="&amp;'INS-UPD Heat'!$A8),"")</f>
        <v>0.97654106043505795</v>
      </c>
      <c r="CF8" s="32">
        <f>IFERROR(AVERAGEIFS(COM_All!AU$2:AU$999,COM_All!$B$2:$B$999,"="&amp;$A$4,COM_All!$C$2:$C$999,"="&amp;'INS-UPD Heat'!$A8),"")</f>
        <v>0.94538192091474005</v>
      </c>
      <c r="CG8" s="33">
        <f>IFERROR(AVERAGEIFS(COM_All!AV$2:AV$999,COM_All!$B$2:$B$999,"="&amp;$A$4,COM_All!$C$2:$C$999,"="&amp;'INS-UPD Heat'!$A8),"")</f>
        <v>1.2293914992528601</v>
      </c>
    </row>
    <row r="9" spans="1:85" ht="15">
      <c r="A9" t="s">
        <v>125</v>
      </c>
      <c r="C9" t="s">
        <v>29</v>
      </c>
      <c r="D9" t="str">
        <f t="shared" si="2"/>
        <v>C_ES-SH-HO_GA*</v>
      </c>
      <c r="H9" s="54"/>
      <c r="I9" t="str">
        <f t="shared" si="3"/>
        <v>*0.751789844164435</v>
      </c>
      <c r="J9" t="str">
        <f t="shared" si="1"/>
        <v>*0.958971368982325</v>
      </c>
      <c r="K9" t="str">
        <f t="shared" si="1"/>
        <v>*0.751789844164435</v>
      </c>
      <c r="L9" t="str">
        <f t="shared" si="1"/>
        <v>*0.98247021598169</v>
      </c>
      <c r="M9" t="str">
        <f t="shared" si="1"/>
        <v>*0.801022925677764</v>
      </c>
      <c r="N9" t="str">
        <f t="shared" si="1"/>
        <v>*1</v>
      </c>
      <c r="O9" t="str">
        <f t="shared" si="1"/>
        <v>*0.750312177594846</v>
      </c>
      <c r="P9" t="str">
        <f t="shared" si="1"/>
        <v>*0.870852828625521</v>
      </c>
      <c r="Q9" s="48" t="str">
        <f t="shared" si="4"/>
        <v>*0.766721004074585</v>
      </c>
      <c r="R9" t="str">
        <f t="shared" si="1"/>
        <v>*0.916481590266539</v>
      </c>
      <c r="S9" t="str">
        <f t="shared" si="1"/>
        <v>*0.868634629976933</v>
      </c>
      <c r="T9" t="str">
        <f t="shared" si="1"/>
        <v>*0.751789844164435</v>
      </c>
      <c r="U9" t="str">
        <f t="shared" si="1"/>
        <v>*0.831402561906822</v>
      </c>
      <c r="V9" t="str">
        <f t="shared" si="1"/>
        <v>*0.877090057188528</v>
      </c>
      <c r="W9" t="str">
        <f t="shared" si="1"/>
        <v>*0.913903595895035</v>
      </c>
      <c r="X9" t="str">
        <f t="shared" si="1"/>
        <v>*0.887582361489164</v>
      </c>
      <c r="Y9" t="str">
        <f t="shared" si="1"/>
        <v>*0.88826694111973</v>
      </c>
      <c r="Z9" t="str">
        <f t="shared" si="1"/>
        <v>*0.932017066676991</v>
      </c>
      <c r="AA9" t="str">
        <f t="shared" si="1"/>
        <v>*0.916481590266539</v>
      </c>
      <c r="AB9" t="str">
        <f t="shared" si="1"/>
        <v>*0.912611573794044</v>
      </c>
      <c r="AC9" t="str">
        <f t="shared" si="1"/>
        <v>*0.751789844164435</v>
      </c>
      <c r="AD9" t="str">
        <f t="shared" si="1"/>
        <v>*0.868636514902445</v>
      </c>
      <c r="AE9" t="str">
        <f t="shared" si="1"/>
        <v>*0.916280573443744</v>
      </c>
      <c r="AF9" t="str">
        <f t="shared" si="1"/>
        <v>*0.902440555603779</v>
      </c>
      <c r="AG9" t="str">
        <f t="shared" si="1"/>
        <v>*0.751789844164435</v>
      </c>
      <c r="AH9" t="str">
        <f t="shared" si="1"/>
        <v>*0.751789844164435</v>
      </c>
      <c r="AI9" t="str">
        <f t="shared" si="1"/>
        <v>*0.782553232285825</v>
      </c>
      <c r="AJ9" t="str">
        <f t="shared" si="1"/>
        <v>*0.983432278118349</v>
      </c>
      <c r="AK9" t="str">
        <f t="shared" si="1"/>
        <v>*0.916481590266539</v>
      </c>
      <c r="AL9" t="str">
        <f t="shared" si="1"/>
        <v>*0.907097458133649</v>
      </c>
      <c r="AM9" t="str">
        <f t="shared" si="1"/>
        <v>*0.858910478986323</v>
      </c>
      <c r="AN9" t="str">
        <f t="shared" si="1"/>
        <v>*0.890676709498201</v>
      </c>
      <c r="AO9" t="str">
        <f t="shared" si="1"/>
        <v>*0.751789844164435</v>
      </c>
      <c r="AP9" t="str">
        <f t="shared" si="1"/>
        <v>*0.868634823876442</v>
      </c>
      <c r="AQ9" t="str">
        <f t="shared" si="1"/>
        <v>*0.944703220399034</v>
      </c>
      <c r="AR9" t="str">
        <f t="shared" si="1"/>
        <v>*0.887897908847503</v>
      </c>
      <c r="AS9" s="49" t="str">
        <f t="shared" si="1"/>
        <v>*0.915420971135312</v>
      </c>
      <c r="AV9" s="31">
        <f t="shared" si="5"/>
        <v>0.66754039347608862</v>
      </c>
      <c r="AW9" s="32">
        <f>IFERROR(AVERAGEIFS(COM_All!L$2:L$999,COM_All!$B$2:$B$999,"="&amp;$A$4,COM_All!$C$2:$C$999,"="&amp;'INS-UPD Heat'!$A9),"")</f>
        <v>0.57641306417083105</v>
      </c>
      <c r="AX9" s="32">
        <f>IFERROR(AVERAGEIFS(COM_All!M$2:M$999,COM_All!$B$2:$B$999,"="&amp;$A$4,COM_All!$C$2:$C$999,"="&amp;'INS-UPD Heat'!$A9),"")</f>
        <v>0.73526349090490795</v>
      </c>
      <c r="AY9" s="32">
        <f>IFERROR(AVERAGEIFS(COM_All!N$2:N$999,COM_All!$B$2:$B$999,"="&amp;$A$4,COM_All!$C$2:$C$999,"="&amp;'INS-UPD Heat'!$A9),"")</f>
        <v>0.57641306417083105</v>
      </c>
      <c r="AZ9" s="32">
        <f>IFERROR(AVERAGEIFS(COM_All!O$2:O$999,COM_All!$B$2:$B$999,"="&amp;$A$4,COM_All!$C$2:$C$999,"="&amp;'INS-UPD Heat'!$A9),"")</f>
        <v>0.75328055047085596</v>
      </c>
      <c r="BA9" s="32">
        <f>IFERROR(AVERAGEIFS(COM_All!P$2:P$999,COM_All!$B$2:$B$999,"="&amp;$A$4,COM_All!$C$2:$C$999,"="&amp;'INS-UPD Heat'!$A9),"")</f>
        <v>0.61416110186241701</v>
      </c>
      <c r="BB9" s="32">
        <f>IFERROR(AVERAGEIFS(COM_All!Q$2:Q$999,COM_All!$B$2:$B$999,"="&amp;$A$4,COM_All!$C$2:$C$999,"="&amp;'INS-UPD Heat'!$A9),"")</f>
        <v>0.76672100407458499</v>
      </c>
      <c r="BC9" s="32">
        <f>IFERROR(AVERAGEIFS(COM_All!R$2:R$999,COM_All!$B$2:$B$999,"="&amp;$A$4,COM_All!$C$2:$C$999,"="&amp;'INS-UPD Heat'!$A9),"")</f>
        <v>0.57528010617490899</v>
      </c>
      <c r="BD9" s="32">
        <f>IFERROR(AVERAGEIFS(COM_All!S$2:S$999,COM_All!$B$2:$B$999,"="&amp;$A$4,COM_All!$C$2:$C$999,"="&amp;'INS-UPD Heat'!$A9),"")</f>
        <v>0.66770115516495199</v>
      </c>
      <c r="BE9" s="32">
        <f>IFERROR(AVERAGEIFS(COM_All!T$2:T$999,COM_All!$B$2:$B$999,"="&amp;$A$4,COM_All!$C$2:$C$999,"="&amp;'INS-UPD Heat'!$A9),"")</f>
        <v>0.76672100407458499</v>
      </c>
      <c r="BF9" s="32">
        <f>IFERROR(AVERAGEIFS(COM_All!U$2:U$999,COM_All!$B$2:$B$999,"="&amp;$A$4,COM_All!$C$2:$C$999,"="&amp;'INS-UPD Heat'!$A9),"")</f>
        <v>0.70268568510503304</v>
      </c>
      <c r="BG9" s="32">
        <f>IFERROR(AVERAGEIFS(COM_All!V$2:V$999,COM_All!$B$2:$B$999,"="&amp;$A$4,COM_All!$C$2:$C$999,"="&amp;'INS-UPD Heat'!$A9),"")</f>
        <v>0.66600041566987001</v>
      </c>
      <c r="BH9" s="32">
        <f>IFERROR(AVERAGEIFS(COM_All!W$2:W$999,COM_All!$B$2:$B$999,"="&amp;$A$4,COM_All!$C$2:$C$999,"="&amp;'INS-UPD Heat'!$A9),"")</f>
        <v>0.57641306417083105</v>
      </c>
      <c r="BI9" s="32">
        <f>IFERROR(AVERAGEIFS(COM_All!X$2:X$999,COM_All!$B$2:$B$999,"="&amp;$A$4,COM_All!$C$2:$C$999,"="&amp;'INS-UPD Heat'!$A9),"")</f>
        <v>0.63745380705538102</v>
      </c>
      <c r="BJ9" s="32">
        <f>IFERROR(AVERAGEIFS(COM_All!Y$2:Y$999,COM_All!$B$2:$B$999,"="&amp;$A$4,COM_All!$C$2:$C$999,"="&amp;'INS-UPD Heat'!$A9),"")</f>
        <v>0.67248336931142305</v>
      </c>
      <c r="BK9" s="32">
        <f>IFERROR(AVERAGEIFS(COM_All!Z$2:Z$999,COM_All!$B$2:$B$999,"="&amp;$A$4,COM_All!$C$2:$C$999,"="&amp;'INS-UPD Heat'!$A9),"")</f>
        <v>0.70070908267201504</v>
      </c>
      <c r="BL9" s="32">
        <f>IFERROR(AVERAGEIFS(COM_All!AA$2:AA$999,COM_All!$B$2:$B$999,"="&amp;$A$4,COM_All!$C$2:$C$999,"="&amp;'INS-UPD Heat'!$A9),"")</f>
        <v>0.68052803939986295</v>
      </c>
      <c r="BM9" s="32">
        <f>IFERROR(AVERAGEIFS(COM_All!AB$2:AB$999,COM_All!$B$2:$B$999,"="&amp;$A$4,COM_All!$C$2:$C$999,"="&amp;'INS-UPD Heat'!$A9),"")</f>
        <v>0.68105292098157999</v>
      </c>
      <c r="BN9" s="32">
        <f>IFERROR(AVERAGEIFS(COM_All!AC$2:AC$999,COM_All!$B$2:$B$999,"="&amp;$A$4,COM_All!$C$2:$C$999,"="&amp;'INS-UPD Heat'!$A9),"")</f>
        <v>0.71459706117723198</v>
      </c>
      <c r="BO9" s="32">
        <f>IFERROR(AVERAGEIFS(COM_All!AD$2:AD$999,COM_All!$B$2:$B$999,"="&amp;$A$4,COM_All!$C$2:$C$999,"="&amp;'INS-UPD Heat'!$A9),"")</f>
        <v>0.70268568510503304</v>
      </c>
      <c r="BP9" s="32">
        <f>IFERROR(AVERAGEIFS(COM_All!AE$2:AE$999,COM_All!$B$2:$B$999,"="&amp;$A$4,COM_All!$C$2:$C$999,"="&amp;'INS-UPD Heat'!$A9),"")</f>
        <v>0.69971846218945699</v>
      </c>
      <c r="BQ9" s="32">
        <f>IFERROR(AVERAGEIFS(COM_All!AF$2:AF$999,COM_All!$B$2:$B$999,"="&amp;$A$4,COM_All!$C$2:$C$999,"="&amp;'INS-UPD Heat'!$A9),"")</f>
        <v>0.57641306417083105</v>
      </c>
      <c r="BR9" s="32">
        <f>IFERROR(AVERAGEIFS(COM_All!AG$2:AG$999,COM_All!$B$2:$B$999,"="&amp;$A$4,COM_All!$C$2:$C$999,"="&amp;'INS-UPD Heat'!$A9),"")</f>
        <v>0.66600186088185098</v>
      </c>
      <c r="BS9" s="32">
        <f>IFERROR(AVERAGEIFS(COM_All!AH$2:AH$999,COM_All!$B$2:$B$999,"="&amp;$A$4,COM_All!$C$2:$C$999,"="&amp;'INS-UPD Heat'!$A9),"")</f>
        <v>0.70253156128482397</v>
      </c>
      <c r="BT9" s="32">
        <f>IFERROR(AVERAGEIFS(COM_All!AI$2:AI$999,COM_All!$B$2:$B$999,"="&amp;$A$4,COM_All!$C$2:$C$999,"="&amp;'INS-UPD Heat'!$A9),"")</f>
        <v>0.69192012891015597</v>
      </c>
      <c r="BU9" s="32">
        <f>IFERROR(AVERAGEIFS(COM_All!AJ$2:AJ$999,COM_All!$B$2:$B$999,"="&amp;$A$4,COM_All!$C$2:$C$999,"="&amp;'INS-UPD Heat'!$A9),"")</f>
        <v>0.57641306417083105</v>
      </c>
      <c r="BV9" s="32">
        <f>IFERROR(AVERAGEIFS(COM_All!AK$2:AK$999,COM_All!$B$2:$B$999,"="&amp;$A$4,COM_All!$C$2:$C$999,"="&amp;'INS-UPD Heat'!$A9),"")</f>
        <v>0.57641306417083105</v>
      </c>
      <c r="BW9" s="32">
        <f>IFERROR(AVERAGEIFS(COM_All!AL$2:AL$999,COM_All!$B$2:$B$999,"="&amp;$A$4,COM_All!$C$2:$C$999,"="&amp;'INS-UPD Heat'!$A9),"")</f>
        <v>0.59999999999999998</v>
      </c>
      <c r="BX9" s="32">
        <f>IFERROR(AVERAGEIFS(COM_All!AM$2:AM$999,COM_All!$B$2:$B$999,"="&amp;$A$4,COM_All!$C$2:$C$999,"="&amp;'INS-UPD Heat'!$A9),"")</f>
        <v>0.75401818371825702</v>
      </c>
      <c r="BY9" s="32">
        <f>IFERROR(AVERAGEIFS(COM_All!AN$2:AN$999,COM_All!$B$2:$B$999,"="&amp;$A$4,COM_All!$C$2:$C$999,"="&amp;'INS-UPD Heat'!$A9),"")</f>
        <v>0.70268568510503304</v>
      </c>
      <c r="BZ9" s="32">
        <f>IFERROR(AVERAGEIFS(COM_All!AO$2:AO$999,COM_All!$B$2:$B$999,"="&amp;$A$4,COM_All!$C$2:$C$999,"="&amp;'INS-UPD Heat'!$A9),"")</f>
        <v>0.69549067389373498</v>
      </c>
      <c r="CA9" s="32">
        <f>IFERROR(AVERAGEIFS(COM_All!AP$2:AP$999,COM_All!$B$2:$B$999,"="&amp;$A$4,COM_All!$C$2:$C$999,"="&amp;'INS-UPD Heat'!$A9),"")</f>
        <v>0.65854470485857597</v>
      </c>
      <c r="CB9" s="32">
        <f>IFERROR(AVERAGEIFS(COM_All!AQ$2:AQ$999,COM_All!$B$2:$B$999,"="&amp;$A$4,COM_All!$C$2:$C$999,"="&amp;'INS-UPD Heat'!$A9),"")</f>
        <v>0.68290054101230802</v>
      </c>
      <c r="CC9" s="32">
        <f>IFERROR(AVERAGEIFS(COM_All!AR$2:AR$999,COM_All!$B$2:$B$999,"="&amp;$A$4,COM_All!$C$2:$C$999,"="&amp;'INS-UPD Heat'!$A9),"")</f>
        <v>0.57641306417083105</v>
      </c>
      <c r="CD9" s="32">
        <f>IFERROR(AVERAGEIFS(COM_All!AS$2:AS$999,COM_All!$B$2:$B$999,"="&amp;$A$4,COM_All!$C$2:$C$999,"="&amp;'INS-UPD Heat'!$A9),"")</f>
        <v>0.66600056433669597</v>
      </c>
      <c r="CE9" s="32">
        <f>IFERROR(AVERAGEIFS(COM_All!AT$2:AT$999,COM_All!$B$2:$B$999,"="&amp;$A$4,COM_All!$C$2:$C$999,"="&amp;'INS-UPD Heat'!$A9),"")</f>
        <v>0.72432380169684096</v>
      </c>
      <c r="CF9" s="32">
        <f>IFERROR(AVERAGEIFS(COM_All!AU$2:AU$999,COM_All!$B$2:$B$999,"="&amp;$A$4,COM_All!$C$2:$C$999,"="&amp;'INS-UPD Heat'!$A9),"")</f>
        <v>0.68076997618728197</v>
      </c>
      <c r="CG9" s="33">
        <f>IFERROR(AVERAGEIFS(COM_All!AV$2:AV$999,COM_All!$B$2:$B$999,"="&amp;$A$4,COM_All!$C$2:$C$999,"="&amp;'INS-UPD Heat'!$A9),"")</f>
        <v>0.70187248613979802</v>
      </c>
    </row>
    <row r="10" spans="1:85" ht="15">
      <c r="A10" t="s">
        <v>126</v>
      </c>
      <c r="C10" t="s">
        <v>29</v>
      </c>
      <c r="D10" t="str">
        <f t="shared" si="2"/>
        <v>C_ES-SH-HO_OI*</v>
      </c>
      <c r="H10" s="54"/>
      <c r="I10" t="str">
        <f t="shared" si="3"/>
        <v>*0.753773411000091</v>
      </c>
      <c r="J10" t="str">
        <f t="shared" si="1"/>
        <v>*0.957544163772634</v>
      </c>
      <c r="K10" t="str">
        <f t="shared" si="1"/>
        <v>*0.753773411000091</v>
      </c>
      <c r="L10" t="str">
        <f t="shared" si="1"/>
        <v>*0.983016992017122</v>
      </c>
      <c r="M10" t="str">
        <f t="shared" si="1"/>
        <v>*0.804716585177828</v>
      </c>
      <c r="N10" t="str">
        <f t="shared" si="1"/>
        <v>*1</v>
      </c>
      <c r="O10" t="str">
        <f t="shared" si="1"/>
        <v>*0.753771965014407</v>
      </c>
      <c r="P10" t="str">
        <f t="shared" si="1"/>
        <v>*0.872640058113471</v>
      </c>
      <c r="Q10" s="48" t="str">
        <f t="shared" si="4"/>
        <v>*0.715500925014401</v>
      </c>
      <c r="R10" t="str">
        <f t="shared" si="1"/>
        <v>*0.915094452005067</v>
      </c>
      <c r="S10" t="str">
        <f t="shared" si="1"/>
        <v>*0.872638584269094</v>
      </c>
      <c r="T10" t="str">
        <f t="shared" si="1"/>
        <v>*0.753773411000091</v>
      </c>
      <c r="U10" t="str">
        <f t="shared" si="1"/>
        <v>*0.830188634260304</v>
      </c>
      <c r="V10" t="str">
        <f t="shared" si="1"/>
        <v>*0.881132627863442</v>
      </c>
      <c r="W10" t="str">
        <f t="shared" si="1"/>
        <v>*0.915094198262907</v>
      </c>
      <c r="X10" t="str">
        <f t="shared" si="1"/>
        <v>*0.889621616188381</v>
      </c>
      <c r="Y10" t="str">
        <f t="shared" si="1"/>
        <v>*0.768692227740908</v>
      </c>
      <c r="Z10" t="str">
        <f t="shared" si="1"/>
        <v>*0.932072829532384</v>
      </c>
      <c r="AA10" t="str">
        <f t="shared" si="1"/>
        <v>*0.915094452005067</v>
      </c>
      <c r="AB10" t="str">
        <f t="shared" si="1"/>
        <v>*0.915090313213233</v>
      </c>
      <c r="AC10" t="str">
        <f t="shared" si="1"/>
        <v>*0.753773411000091</v>
      </c>
      <c r="AD10" t="str">
        <f t="shared" si="1"/>
        <v>*0.872642317322356</v>
      </c>
      <c r="AE10" t="str">
        <f t="shared" si="1"/>
        <v>*0.915091850300005</v>
      </c>
      <c r="AF10" t="str">
        <f t="shared" si="1"/>
        <v>*0.906603397591183</v>
      </c>
      <c r="AG10" t="str">
        <f t="shared" si="1"/>
        <v>*0.753773411000091</v>
      </c>
      <c r="AH10" t="str">
        <f t="shared" si="1"/>
        <v>*0.753773411000091</v>
      </c>
      <c r="AI10" t="str">
        <f t="shared" si="1"/>
        <v>*0.768692227740908</v>
      </c>
      <c r="AJ10" t="str">
        <f t="shared" si="1"/>
        <v>*0.983020136421328</v>
      </c>
      <c r="AK10" t="str">
        <f t="shared" si="1"/>
        <v>*0.915094452005067</v>
      </c>
      <c r="AL10" t="str">
        <f t="shared" si="1"/>
        <v>*0.906603703265176</v>
      </c>
      <c r="AM10" t="str">
        <f t="shared" si="1"/>
        <v>*0.855661126516543</v>
      </c>
      <c r="AN10" t="str">
        <f t="shared" si="1"/>
        <v>*0.893867563595842</v>
      </c>
      <c r="AO10" t="str">
        <f t="shared" si="1"/>
        <v>*0.753773411000091</v>
      </c>
      <c r="AP10" t="str">
        <f t="shared" si="1"/>
        <v>*0.872639506876678</v>
      </c>
      <c r="AQ10" t="str">
        <f t="shared" si="1"/>
        <v>*0.94905683960654</v>
      </c>
      <c r="AR10" t="str">
        <f t="shared" si="1"/>
        <v>*0.889623028548323</v>
      </c>
      <c r="AS10" s="49" t="str">
        <f t="shared" si="1"/>
        <v>*0.915091716306065</v>
      </c>
      <c r="AV10" s="31">
        <f t="shared" si="5"/>
        <v>0.62125807174643299</v>
      </c>
      <c r="AW10" s="32">
        <f>IFERROR(AVERAGEIFS(COM_All!L$2:L$999,COM_All!$B$2:$B$999,"="&amp;$A$4,COM_All!$C$2:$C$999,"="&amp;'INS-UPD Heat'!$A10),"")</f>
        <v>0.53932557282182503</v>
      </c>
      <c r="AX10" s="32">
        <f>IFERROR(AVERAGEIFS(COM_All!M$2:M$999,COM_All!$B$2:$B$999,"="&amp;$A$4,COM_All!$C$2:$C$999,"="&amp;'INS-UPD Heat'!$A10),"")</f>
        <v>0.68512373492146095</v>
      </c>
      <c r="AY10" s="32">
        <f>IFERROR(AVERAGEIFS(COM_All!N$2:N$999,COM_All!$B$2:$B$999,"="&amp;$A$4,COM_All!$C$2:$C$999,"="&amp;'INS-UPD Heat'!$A10),"")</f>
        <v>0.53932557282182503</v>
      </c>
      <c r="AZ10" s="32">
        <f>IFERROR(AVERAGEIFS(COM_All!O$2:O$999,COM_All!$B$2:$B$999,"="&amp;$A$4,COM_All!$C$2:$C$999,"="&amp;'INS-UPD Heat'!$A10),"")</f>
        <v>0.70334956709312502</v>
      </c>
      <c r="BA10" s="32">
        <f>IFERROR(AVERAGEIFS(COM_All!P$2:P$999,COM_All!$B$2:$B$999,"="&amp;$A$4,COM_All!$C$2:$C$999,"="&amp;'INS-UPD Heat'!$A10),"")</f>
        <v>0.57577546106916599</v>
      </c>
      <c r="BB10" s="32">
        <f>IFERROR(AVERAGEIFS(COM_All!Q$2:Q$999,COM_All!$B$2:$B$999,"="&amp;$A$4,COM_All!$C$2:$C$999,"="&amp;'INS-UPD Heat'!$A10),"")</f>
        <v>0.71550092501440099</v>
      </c>
      <c r="BC10" s="32">
        <f>IFERROR(AVERAGEIFS(COM_All!R$2:R$999,COM_All!$B$2:$B$999,"="&amp;$A$4,COM_All!$C$2:$C$999,"="&amp;'INS-UPD Heat'!$A10),"")</f>
        <v>0.53932453821773096</v>
      </c>
      <c r="BD10" s="32">
        <f>IFERROR(AVERAGEIFS(COM_All!S$2:S$999,COM_All!$B$2:$B$999,"="&amp;$A$4,COM_All!$C$2:$C$999,"="&amp;'INS-UPD Heat'!$A10),"")</f>
        <v>0.62437476878480902</v>
      </c>
      <c r="BE10" s="32">
        <f>IFERROR(AVERAGEIFS(COM_All!T$2:T$999,COM_All!$B$2:$B$999,"="&amp;$A$4,COM_All!$C$2:$C$999,"="&amp;'INS-UPD Heat'!$A10),"")</f>
        <v>0.71550092501440099</v>
      </c>
      <c r="BF10" s="32">
        <f>IFERROR(AVERAGEIFS(COM_All!U$2:U$999,COM_All!$B$2:$B$999,"="&amp;$A$4,COM_All!$C$2:$C$999,"="&amp;'INS-UPD Heat'!$A10),"")</f>
        <v>0.654750926885172</v>
      </c>
      <c r="BG10" s="32">
        <f>IFERROR(AVERAGEIFS(COM_All!V$2:V$999,COM_All!$B$2:$B$999,"="&amp;$A$4,COM_All!$C$2:$C$999,"="&amp;'INS-UPD Heat'!$A10),"")</f>
        <v>0.62437371424779398</v>
      </c>
      <c r="BH10" s="32">
        <f>IFERROR(AVERAGEIFS(COM_All!W$2:W$999,COM_All!$B$2:$B$999,"="&amp;$A$4,COM_All!$C$2:$C$999,"="&amp;'INS-UPD Heat'!$A10),"")</f>
        <v>0.53932557282182503</v>
      </c>
      <c r="BI10" s="32">
        <f>IFERROR(AVERAGEIFS(COM_All!X$2:X$999,COM_All!$B$2:$B$999,"="&amp;$A$4,COM_All!$C$2:$C$999,"="&amp;'INS-UPD Heat'!$A10),"")</f>
        <v>0.59400073574969003</v>
      </c>
      <c r="BJ10" s="32">
        <f>IFERROR(AVERAGEIFS(COM_All!Y$2:Y$999,COM_All!$B$2:$B$999,"="&amp;$A$4,COM_All!$C$2:$C$999,"="&amp;'INS-UPD Heat'!$A10),"")</f>
        <v>0.63045121029666296</v>
      </c>
      <c r="BK10" s="32">
        <f>IFERROR(AVERAGEIFS(COM_All!Z$2:Z$999,COM_All!$B$2:$B$999,"="&amp;$A$4,COM_All!$C$2:$C$999,"="&amp;'INS-UPD Heat'!$A10),"")</f>
        <v>0.65475074533242195</v>
      </c>
      <c r="BL10" s="32">
        <f>IFERROR(AVERAGEIFS(COM_All!AA$2:AA$999,COM_All!$B$2:$B$999,"="&amp;$A$4,COM_All!$C$2:$C$999,"="&amp;'INS-UPD Heat'!$A10),"")</f>
        <v>0.63652508929559304</v>
      </c>
      <c r="BM10" s="32">
        <f>IFERROR(AVERAGEIFS(COM_All!AB$2:AB$999,COM_All!$B$2:$B$999,"="&amp;$A$4,COM_All!$C$2:$C$999,"="&amp;'INS-UPD Heat'!$A10),"")</f>
        <v>0.55000000000000004</v>
      </c>
      <c r="BN10" s="32">
        <f>IFERROR(AVERAGEIFS(COM_All!AC$2:AC$999,COM_All!$B$2:$B$999,"="&amp;$A$4,COM_All!$C$2:$C$999,"="&amp;'INS-UPD Heat'!$A10),"")</f>
        <v>0.66689897171121104</v>
      </c>
      <c r="BO10" s="32">
        <f>IFERROR(AVERAGEIFS(COM_All!AD$2:AD$999,COM_All!$B$2:$B$999,"="&amp;$A$4,COM_All!$C$2:$C$999,"="&amp;'INS-UPD Heat'!$A10),"")</f>
        <v>0.654750926885172</v>
      </c>
      <c r="BP10" s="32">
        <f>IFERROR(AVERAGEIFS(COM_All!AE$2:AE$999,COM_All!$B$2:$B$999,"="&amp;$A$4,COM_All!$C$2:$C$999,"="&amp;'INS-UPD Heat'!$A10),"")</f>
        <v>0.65474796557578596</v>
      </c>
      <c r="BQ10" s="32">
        <f>IFERROR(AVERAGEIFS(COM_All!AF$2:AF$999,COM_All!$B$2:$B$999,"="&amp;$A$4,COM_All!$C$2:$C$999,"="&amp;'INS-UPD Heat'!$A10),"")</f>
        <v>0.53932557282182503</v>
      </c>
      <c r="BR10" s="32">
        <f>IFERROR(AVERAGEIFS(COM_All!AG$2:AG$999,COM_All!$B$2:$B$999,"="&amp;$A$4,COM_All!$C$2:$C$999,"="&amp;'INS-UPD Heat'!$A10),"")</f>
        <v>0.62437638525085604</v>
      </c>
      <c r="BS10" s="32">
        <f>IFERROR(AVERAGEIFS(COM_All!AH$2:AH$999,COM_All!$B$2:$B$999,"="&amp;$A$4,COM_All!$C$2:$C$999,"="&amp;'INS-UPD Heat'!$A10),"")</f>
        <v>0.65474906536279298</v>
      </c>
      <c r="BT10" s="32">
        <f>IFERROR(AVERAGEIFS(COM_All!AI$2:AI$999,COM_All!$B$2:$B$999,"="&amp;$A$4,COM_All!$C$2:$C$999,"="&amp;'INS-UPD Heat'!$A10),"")</f>
        <v>0.64867556959769002</v>
      </c>
      <c r="BU10" s="32">
        <f>IFERROR(AVERAGEIFS(COM_All!AJ$2:AJ$999,COM_All!$B$2:$B$999,"="&amp;$A$4,COM_All!$C$2:$C$999,"="&amp;'INS-UPD Heat'!$A10),"")</f>
        <v>0.53932557282182503</v>
      </c>
      <c r="BV10" s="32">
        <f>IFERROR(AVERAGEIFS(COM_All!AK$2:AK$999,COM_All!$B$2:$B$999,"="&amp;$A$4,COM_All!$C$2:$C$999,"="&amp;'INS-UPD Heat'!$A10),"")</f>
        <v>0.53932557282182503</v>
      </c>
      <c r="BW10" s="32">
        <f>IFERROR(AVERAGEIFS(COM_All!AL$2:AL$999,COM_All!$B$2:$B$999,"="&amp;$A$4,COM_All!$C$2:$C$999,"="&amp;'INS-UPD Heat'!$A10),"")</f>
        <v>0.55000000000000004</v>
      </c>
      <c r="BX10" s="32">
        <f>IFERROR(AVERAGEIFS(COM_All!AM$2:AM$999,COM_All!$B$2:$B$999,"="&amp;$A$4,COM_All!$C$2:$C$999,"="&amp;'INS-UPD Heat'!$A10),"")</f>
        <v>0.70335181691724302</v>
      </c>
      <c r="BY10" s="32">
        <f>IFERROR(AVERAGEIFS(COM_All!AN$2:AN$999,COM_All!$B$2:$B$999,"="&amp;$A$4,COM_All!$C$2:$C$999,"="&amp;'INS-UPD Heat'!$A10),"")</f>
        <v>0.654750926885172</v>
      </c>
      <c r="BZ10" s="32">
        <f>IFERROR(AVERAGEIFS(COM_All!AO$2:AO$999,COM_All!$B$2:$B$999,"="&amp;$A$4,COM_All!$C$2:$C$999,"="&amp;'INS-UPD Heat'!$A10),"")</f>
        <v>0.648675788307715</v>
      </c>
      <c r="CA10" s="32">
        <f>IFERROR(AVERAGEIFS(COM_All!AP$2:AP$999,COM_All!$B$2:$B$999,"="&amp;$A$4,COM_All!$C$2:$C$999,"="&amp;'INS-UPD Heat'!$A10),"")</f>
        <v>0.61222632752145101</v>
      </c>
      <c r="CB10" s="32">
        <f>IFERROR(AVERAGEIFS(COM_All!AQ$2:AQ$999,COM_All!$B$2:$B$999,"="&amp;$A$4,COM_All!$C$2:$C$999,"="&amp;'INS-UPD Heat'!$A10),"")</f>
        <v>0.63956306859319401</v>
      </c>
      <c r="CC10" s="32">
        <f>IFERROR(AVERAGEIFS(COM_All!AR$2:AR$999,COM_All!$B$2:$B$999,"="&amp;$A$4,COM_All!$C$2:$C$999,"="&amp;'INS-UPD Heat'!$A10),"")</f>
        <v>0.53932557282182503</v>
      </c>
      <c r="CD10" s="32">
        <f>IFERROR(AVERAGEIFS(COM_All!AS$2:AS$999,COM_All!$B$2:$B$999,"="&amp;$A$4,COM_All!$C$2:$C$999,"="&amp;'INS-UPD Heat'!$A10),"")</f>
        <v>0.62437437437437404</v>
      </c>
      <c r="CE10" s="32">
        <f>IFERROR(AVERAGEIFS(COM_All!AT$2:AT$999,COM_All!$B$2:$B$999,"="&amp;$A$4,COM_All!$C$2:$C$999,"="&amp;'INS-UPD Heat'!$A10),"")</f>
        <v>0.67905104662972304</v>
      </c>
      <c r="CF10" s="32">
        <f>IFERROR(AVERAGEIFS(COM_All!AU$2:AU$999,COM_All!$B$2:$B$999,"="&amp;$A$4,COM_All!$C$2:$C$999,"="&amp;'INS-UPD Heat'!$A10),"")</f>
        <v>0.63652609984043795</v>
      </c>
      <c r="CG10" s="33">
        <f>IFERROR(AVERAGEIFS(COM_All!AV$2:AV$999,COM_All!$B$2:$B$999,"="&amp;$A$4,COM_All!$C$2:$C$999,"="&amp;'INS-UPD Heat'!$A10),"")</f>
        <v>0.65474896949000505</v>
      </c>
    </row>
    <row r="11" spans="1:85" ht="15">
      <c r="A11" t="s">
        <v>127</v>
      </c>
      <c r="C11" t="s">
        <v>29</v>
      </c>
      <c r="D11" t="str">
        <f t="shared" si="2"/>
        <v>C_ES-SH-HO_GE*</v>
      </c>
      <c r="H11" s="54"/>
      <c r="I11" t="str">
        <f t="shared" si="3"/>
        <v>*1</v>
      </c>
      <c r="J11" t="str">
        <f t="shared" si="1"/>
        <v>*1.18071512418715</v>
      </c>
      <c r="K11" t="str">
        <f t="shared" si="1"/>
        <v>*1</v>
      </c>
      <c r="L11" t="str">
        <f t="shared" si="1"/>
        <v>*1</v>
      </c>
      <c r="M11" t="str">
        <f t="shared" si="1"/>
        <v>*0.992265584693816</v>
      </c>
      <c r="N11" t="str">
        <f t="shared" si="1"/>
        <v>*1</v>
      </c>
      <c r="O11" t="str">
        <f t="shared" si="1"/>
        <v>*1</v>
      </c>
      <c r="P11" t="str">
        <f t="shared" si="1"/>
        <v>*1</v>
      </c>
      <c r="Q11" s="48" t="str">
        <f t="shared" si="4"/>
        <v>*0.7</v>
      </c>
      <c r="R11" t="str">
        <f t="shared" si="1"/>
        <v>*1</v>
      </c>
      <c r="S11" t="str">
        <f t="shared" si="1"/>
        <v>*1</v>
      </c>
      <c r="T11" t="str">
        <f t="shared" si="1"/>
        <v>*1</v>
      </c>
      <c r="U11" t="str">
        <f t="shared" si="1"/>
        <v>*1.02367221742178</v>
      </c>
      <c r="V11" t="str">
        <f t="shared" si="1"/>
        <v>*1</v>
      </c>
      <c r="W11" t="str">
        <f t="shared" si="1"/>
        <v>*1.12836642882944</v>
      </c>
      <c r="X11" t="str">
        <f t="shared" si="1"/>
        <v>*1.09695901278096</v>
      </c>
      <c r="Y11" t="str">
        <f t="shared" si="1"/>
        <v>*1.09695874032411</v>
      </c>
      <c r="Z11" t="str">
        <f t="shared" si="1"/>
        <v>*1</v>
      </c>
      <c r="AA11" t="str">
        <f t="shared" si="1"/>
        <v>*1</v>
      </c>
      <c r="AB11" t="str">
        <f t="shared" si="1"/>
        <v>*1.12836780488483</v>
      </c>
      <c r="AC11" t="str">
        <f t="shared" si="1"/>
        <v>*1</v>
      </c>
      <c r="AD11" t="str">
        <f t="shared" si="1"/>
        <v>*1</v>
      </c>
      <c r="AE11" t="str">
        <f t="shared" si="1"/>
        <v>*1</v>
      </c>
      <c r="AF11" t="str">
        <f t="shared" si="1"/>
        <v>*1</v>
      </c>
      <c r="AG11" t="str">
        <f t="shared" si="1"/>
        <v>*1</v>
      </c>
      <c r="AH11" t="str">
        <f t="shared" si="1"/>
        <v>*1</v>
      </c>
      <c r="AI11" t="str">
        <f t="shared" si="1"/>
        <v>*1</v>
      </c>
      <c r="AJ11" t="str">
        <f t="shared" si="1"/>
        <v>*1</v>
      </c>
      <c r="AK11" t="str">
        <f t="shared" si="1"/>
        <v>*1</v>
      </c>
      <c r="AL11" t="str">
        <f t="shared" si="1"/>
        <v>*1.11789847320821</v>
      </c>
      <c r="AM11" t="str">
        <f t="shared" si="1"/>
        <v>*1.05508137432188</v>
      </c>
      <c r="AN11" t="str">
        <f t="shared" si="1"/>
        <v>*1.10219424337653</v>
      </c>
      <c r="AO11" t="str">
        <f t="shared" si="1"/>
        <v>*1</v>
      </c>
      <c r="AP11" t="str">
        <f t="shared" si="1"/>
        <v>*1</v>
      </c>
      <c r="AQ11" t="str">
        <f t="shared" si="1"/>
        <v>*1.17024478027022</v>
      </c>
      <c r="AR11" t="str">
        <f t="shared" si="1"/>
        <v>*1.0969585751785</v>
      </c>
      <c r="AS11" s="49" t="str">
        <f t="shared" si="1"/>
        <v>*1.12836656997825</v>
      </c>
      <c r="AV11" s="31">
        <f t="shared" si="5"/>
        <v>0.72493606082753959</v>
      </c>
      <c r="AW11" s="32">
        <f>IFERROR(AVERAGEIFS(COM_All!L$2:L$999,COM_All!$B$2:$B$999,"="&amp;$A$4,COM_All!$C$2:$C$999,"="&amp;'INS-UPD Heat'!$A11),"")</f>
        <v>0.69999999999999996</v>
      </c>
      <c r="AX11" s="32">
        <f>IFERROR(AVERAGEIFS(COM_All!M$2:M$999,COM_All!$B$2:$B$999,"="&amp;$A$4,COM_All!$C$2:$C$999,"="&amp;'INS-UPD Heat'!$A11),"")</f>
        <v>0.82650058693100303</v>
      </c>
      <c r="AY11" s="32">
        <f>IFERROR(AVERAGEIFS(COM_All!N$2:N$999,COM_All!$B$2:$B$999,"="&amp;$A$4,COM_All!$C$2:$C$999,"="&amp;'INS-UPD Heat'!$A11),"")</f>
        <v>0.69999999999999996</v>
      </c>
      <c r="AZ11" s="32">
        <f>IFERROR(AVERAGEIFS(COM_All!O$2:O$999,COM_All!$B$2:$B$999,"="&amp;$A$4,COM_All!$C$2:$C$999,"="&amp;'INS-UPD Heat'!$A11),"")</f>
        <v>0.69999999999999996</v>
      </c>
      <c r="BA11" s="32">
        <f>IFERROR(AVERAGEIFS(COM_All!P$2:P$999,COM_All!$B$2:$B$999,"="&amp;$A$4,COM_All!$C$2:$C$999,"="&amp;'INS-UPD Heat'!$A11),"")</f>
        <v>0.69458590928567099</v>
      </c>
      <c r="BB11" s="32">
        <f>IFERROR(AVERAGEIFS(COM_All!Q$2:Q$999,COM_All!$B$2:$B$999,"="&amp;$A$4,COM_All!$C$2:$C$999,"="&amp;'INS-UPD Heat'!$A11),"")</f>
        <v>0.69999999999999996</v>
      </c>
      <c r="BC11" s="32">
        <f>IFERROR(AVERAGEIFS(COM_All!R$2:R$999,COM_All!$B$2:$B$999,"="&amp;$A$4,COM_All!$C$2:$C$999,"="&amp;'INS-UPD Heat'!$A11),"")</f>
        <v>0.69999999999999996</v>
      </c>
      <c r="BD11" s="32">
        <f>IFERROR(AVERAGEIFS(COM_All!S$2:S$999,COM_All!$B$2:$B$999,"="&amp;$A$4,COM_All!$C$2:$C$999,"="&amp;'INS-UPD Heat'!$A11),"")</f>
        <v>0.69999999999999996</v>
      </c>
      <c r="BE11" s="32">
        <f>IFERROR(AVERAGEIFS(COM_All!T$2:T$999,COM_All!$B$2:$B$999,"="&amp;$A$4,COM_All!$C$2:$C$999,"="&amp;'INS-UPD Heat'!$A11),"")</f>
        <v>0.69999999999999996</v>
      </c>
      <c r="BF11" s="32">
        <f>IFERROR(AVERAGEIFS(COM_All!U$2:U$999,COM_All!$B$2:$B$999,"="&amp;$A$4,COM_All!$C$2:$C$999,"="&amp;'INS-UPD Heat'!$A11),"")</f>
        <v>0.69999999999999996</v>
      </c>
      <c r="BG11" s="32">
        <f>IFERROR(AVERAGEIFS(COM_All!V$2:V$999,COM_All!$B$2:$B$999,"="&amp;$A$4,COM_All!$C$2:$C$999,"="&amp;'INS-UPD Heat'!$A11),"")</f>
        <v>0.69999999999999996</v>
      </c>
      <c r="BH11" s="32">
        <f>IFERROR(AVERAGEIFS(COM_All!W$2:W$999,COM_All!$B$2:$B$999,"="&amp;$A$4,COM_All!$C$2:$C$999,"="&amp;'INS-UPD Heat'!$A11),"")</f>
        <v>0.69999999999999996</v>
      </c>
      <c r="BI11" s="32">
        <f>IFERROR(AVERAGEIFS(COM_All!X$2:X$999,COM_All!$B$2:$B$999,"="&amp;$A$4,COM_All!$C$2:$C$999,"="&amp;'INS-UPD Heat'!$A11),"")</f>
        <v>0.71657055219524401</v>
      </c>
      <c r="BJ11" s="32">
        <f>IFERROR(AVERAGEIFS(COM_All!Y$2:Y$999,COM_All!$B$2:$B$999,"="&amp;$A$4,COM_All!$C$2:$C$999,"="&amp;'INS-UPD Heat'!$A11),"")</f>
        <v>0.69999999999999996</v>
      </c>
      <c r="BK11" s="32">
        <f>IFERROR(AVERAGEIFS(COM_All!Z$2:Z$999,COM_All!$B$2:$B$999,"="&amp;$A$4,COM_All!$C$2:$C$999,"="&amp;'INS-UPD Heat'!$A11),"")</f>
        <v>0.78985650018060605</v>
      </c>
      <c r="BL11" s="32">
        <f>IFERROR(AVERAGEIFS(COM_All!AA$2:AA$999,COM_All!$B$2:$B$999,"="&amp;$A$4,COM_All!$C$2:$C$999,"="&amp;'INS-UPD Heat'!$A11),"")</f>
        <v>0.76787130894667199</v>
      </c>
      <c r="BM11" s="32">
        <f>IFERROR(AVERAGEIFS(COM_All!AB$2:AB$999,COM_All!$B$2:$B$999,"="&amp;$A$4,COM_All!$C$2:$C$999,"="&amp;'INS-UPD Heat'!$A11),"")</f>
        <v>0.76787111822687804</v>
      </c>
      <c r="BN11" s="32">
        <f>IFERROR(AVERAGEIFS(COM_All!AC$2:AC$999,COM_All!$B$2:$B$999,"="&amp;$A$4,COM_All!$C$2:$C$999,"="&amp;'INS-UPD Heat'!$A11),"")</f>
        <v>0.69999999999999996</v>
      </c>
      <c r="BO11" s="32">
        <f>IFERROR(AVERAGEIFS(COM_All!AD$2:AD$999,COM_All!$B$2:$B$999,"="&amp;$A$4,COM_All!$C$2:$C$999,"="&amp;'INS-UPD Heat'!$A11),"")</f>
        <v>0.69999999999999996</v>
      </c>
      <c r="BP11" s="32">
        <f>IFERROR(AVERAGEIFS(COM_All!AE$2:AE$999,COM_All!$B$2:$B$999,"="&amp;$A$4,COM_All!$C$2:$C$999,"="&amp;'INS-UPD Heat'!$A11),"")</f>
        <v>0.78985746341937901</v>
      </c>
      <c r="BQ11" s="32">
        <f>IFERROR(AVERAGEIFS(COM_All!AF$2:AF$999,COM_All!$B$2:$B$999,"="&amp;$A$4,COM_All!$C$2:$C$999,"="&amp;'INS-UPD Heat'!$A11),"")</f>
        <v>0.69999999999999996</v>
      </c>
      <c r="BR11" s="32">
        <f>IFERROR(AVERAGEIFS(COM_All!AG$2:AG$999,COM_All!$B$2:$B$999,"="&amp;$A$4,COM_All!$C$2:$C$999,"="&amp;'INS-UPD Heat'!$A11),"")</f>
        <v>0.69999999999999996</v>
      </c>
      <c r="BS11" s="32">
        <f>IFERROR(AVERAGEIFS(COM_All!AH$2:AH$999,COM_All!$B$2:$B$999,"="&amp;$A$4,COM_All!$C$2:$C$999,"="&amp;'INS-UPD Heat'!$A11),"")</f>
        <v>0.69999999999999996</v>
      </c>
      <c r="BT11" s="32">
        <f>IFERROR(AVERAGEIFS(COM_All!AI$2:AI$999,COM_All!$B$2:$B$999,"="&amp;$A$4,COM_All!$C$2:$C$999,"="&amp;'INS-UPD Heat'!$A11),"")</f>
        <v>0.69999999999999996</v>
      </c>
      <c r="BU11" s="32">
        <f>IFERROR(AVERAGEIFS(COM_All!AJ$2:AJ$999,COM_All!$B$2:$B$999,"="&amp;$A$4,COM_All!$C$2:$C$999,"="&amp;'INS-UPD Heat'!$A11),"")</f>
        <v>0.69999999999999996</v>
      </c>
      <c r="BV11" s="32">
        <f>IFERROR(AVERAGEIFS(COM_All!AK$2:AK$999,COM_All!$B$2:$B$999,"="&amp;$A$4,COM_All!$C$2:$C$999,"="&amp;'INS-UPD Heat'!$A11),"")</f>
        <v>0.69999999999999996</v>
      </c>
      <c r="BW11" s="32">
        <f>IFERROR(AVERAGEIFS(COM_All!AL$2:AL$999,COM_All!$B$2:$B$999,"="&amp;$A$4,COM_All!$C$2:$C$999,"="&amp;'INS-UPD Heat'!$A11),"")</f>
        <v>0.69999999999999996</v>
      </c>
      <c r="BX11" s="32">
        <f>IFERROR(AVERAGEIFS(COM_All!AM$2:AM$999,COM_All!$B$2:$B$999,"="&amp;$A$4,COM_All!$C$2:$C$999,"="&amp;'INS-UPD Heat'!$A11),"")</f>
        <v>0.69999999999999996</v>
      </c>
      <c r="BY11" s="32">
        <f>IFERROR(AVERAGEIFS(COM_All!AN$2:AN$999,COM_All!$B$2:$B$999,"="&amp;$A$4,COM_All!$C$2:$C$999,"="&amp;'INS-UPD Heat'!$A11),"")</f>
        <v>0.69999999999999996</v>
      </c>
      <c r="BZ11" s="32">
        <f>IFERROR(AVERAGEIFS(COM_All!AO$2:AO$999,COM_All!$B$2:$B$999,"="&amp;$A$4,COM_All!$C$2:$C$999,"="&amp;'INS-UPD Heat'!$A11),"")</f>
        <v>0.78252893124574496</v>
      </c>
      <c r="CA11" s="32">
        <f>IFERROR(AVERAGEIFS(COM_All!AP$2:AP$999,COM_All!$B$2:$B$999,"="&amp;$A$4,COM_All!$C$2:$C$999,"="&amp;'INS-UPD Heat'!$A11),"")</f>
        <v>0.73855696202531596</v>
      </c>
      <c r="CB11" s="32">
        <f>IFERROR(AVERAGEIFS(COM_All!AQ$2:AQ$999,COM_All!$B$2:$B$999,"="&amp;$A$4,COM_All!$C$2:$C$999,"="&amp;'INS-UPD Heat'!$A11),"")</f>
        <v>0.77153597036357202</v>
      </c>
      <c r="CC11" s="32">
        <f>IFERROR(AVERAGEIFS(COM_All!AR$2:AR$999,COM_All!$B$2:$B$999,"="&amp;$A$4,COM_All!$C$2:$C$999,"="&amp;'INS-UPD Heat'!$A11),"")</f>
        <v>0.69999999999999996</v>
      </c>
      <c r="CD11" s="32">
        <f>IFERROR(AVERAGEIFS(COM_All!AS$2:AS$999,COM_All!$B$2:$B$999,"="&amp;$A$4,COM_All!$C$2:$C$999,"="&amp;'INS-UPD Heat'!$A11),"")</f>
        <v>0.69999999999999996</v>
      </c>
      <c r="CE11" s="32">
        <f>IFERROR(AVERAGEIFS(COM_All!AT$2:AT$999,COM_All!$B$2:$B$999,"="&amp;$A$4,COM_All!$C$2:$C$999,"="&amp;'INS-UPD Heat'!$A11),"")</f>
        <v>0.81917134618915699</v>
      </c>
      <c r="CF11" s="32">
        <f>IFERROR(AVERAGEIFS(COM_All!AU$2:AU$999,COM_All!$B$2:$B$999,"="&amp;$A$4,COM_All!$C$2:$C$999,"="&amp;'INS-UPD Heat'!$A11),"")</f>
        <v>0.76787100262494701</v>
      </c>
      <c r="CG11" s="33">
        <f>IFERROR(AVERAGEIFS(COM_All!AV$2:AV$999,COM_All!$B$2:$B$999,"="&amp;$A$4,COM_All!$C$2:$C$999,"="&amp;'INS-UPD Heat'!$A11),"")</f>
        <v>0.78985659898477201</v>
      </c>
    </row>
    <row r="12" spans="1:85" ht="15">
      <c r="A12" t="s">
        <v>128</v>
      </c>
      <c r="C12" t="s">
        <v>29</v>
      </c>
      <c r="D12" t="str">
        <f t="shared" si="2"/>
        <v>C_ES-SH-HO_LP*</v>
      </c>
      <c r="H12" s="54"/>
      <c r="I12" t="str">
        <f t="shared" si="3"/>
        <v>*1</v>
      </c>
      <c r="J12" t="str">
        <f t="shared" si="1"/>
        <v>*1</v>
      </c>
      <c r="K12" t="str">
        <f t="shared" si="1"/>
        <v>*1</v>
      </c>
      <c r="L12" t="str">
        <f t="shared" si="1"/>
        <v>*1</v>
      </c>
      <c r="M12" t="str">
        <f t="shared" si="1"/>
        <v>*1</v>
      </c>
      <c r="N12" t="str">
        <f t="shared" si="1"/>
        <v>*1</v>
      </c>
      <c r="O12" t="str">
        <f t="shared" si="1"/>
        <v>*1</v>
      </c>
      <c r="P12" t="str">
        <f t="shared" si="1"/>
        <v>*1</v>
      </c>
      <c r="Q12" s="48" t="str">
        <f t="shared" si="4"/>
        <v>*0.666666666666667</v>
      </c>
      <c r="R12" t="str">
        <f t="shared" si="1"/>
        <v>*1</v>
      </c>
      <c r="S12" t="str">
        <f t="shared" si="1"/>
        <v>*1</v>
      </c>
      <c r="T12" t="str">
        <f t="shared" si="1"/>
        <v>*1</v>
      </c>
      <c r="U12" t="str">
        <f t="shared" si="1"/>
        <v>*1</v>
      </c>
      <c r="V12" t="str">
        <f t="shared" si="1"/>
        <v>*1</v>
      </c>
      <c r="W12" t="str">
        <f t="shared" si="1"/>
        <v>*1</v>
      </c>
      <c r="X12" t="str">
        <f t="shared" si="1"/>
        <v>*1</v>
      </c>
      <c r="Y12" t="str">
        <f t="shared" si="1"/>
        <v>*1</v>
      </c>
      <c r="Z12" t="str">
        <f t="shared" si="1"/>
        <v>*1</v>
      </c>
      <c r="AA12" t="str">
        <f t="shared" si="1"/>
        <v>*1</v>
      </c>
      <c r="AB12" t="str">
        <f t="shared" si="1"/>
        <v>*1.00831519600226</v>
      </c>
      <c r="AC12" t="str">
        <f t="shared" si="1"/>
        <v>*1</v>
      </c>
      <c r="AD12" t="str">
        <f t="shared" si="1"/>
        <v>*1</v>
      </c>
      <c r="AE12" t="str">
        <f t="shared" si="1"/>
        <v>*1.00831336713657</v>
      </c>
      <c r="AF12" t="str">
        <f t="shared" si="1"/>
        <v>*1</v>
      </c>
      <c r="AG12" t="str">
        <f t="shared" si="1"/>
        <v>*1</v>
      </c>
      <c r="AH12" t="str">
        <f t="shared" si="1"/>
        <v>*1</v>
      </c>
      <c r="AI12" t="str">
        <f t="shared" si="1"/>
        <v>*1</v>
      </c>
      <c r="AJ12" t="str">
        <f t="shared" si="1"/>
        <v>*1</v>
      </c>
      <c r="AK12" t="str">
        <f t="shared" si="1"/>
        <v>*1</v>
      </c>
      <c r="AL12" t="str">
        <f t="shared" si="1"/>
        <v>*1</v>
      </c>
      <c r="AM12" t="str">
        <f t="shared" si="1"/>
        <v>*1</v>
      </c>
      <c r="AN12" t="str">
        <f t="shared" si="1"/>
        <v>*1</v>
      </c>
      <c r="AO12" t="str">
        <f t="shared" si="1"/>
        <v>*1</v>
      </c>
      <c r="AP12" t="str">
        <f t="shared" si="1"/>
        <v>*1</v>
      </c>
      <c r="AQ12" t="str">
        <f t="shared" si="1"/>
        <v>*1.045737981492</v>
      </c>
      <c r="AR12" t="str">
        <f t="shared" si="1"/>
        <v>*1</v>
      </c>
      <c r="AS12" s="49" t="str">
        <f t="shared" si="1"/>
        <v>*1</v>
      </c>
      <c r="AV12" s="31">
        <f t="shared" si="5"/>
        <v>0.66779038819154668</v>
      </c>
      <c r="AW12" s="32">
        <f>IFERROR(AVERAGEIFS(COM_All!L$2:L$999,COM_All!$B$2:$B$999,"="&amp;$A$4,COM_All!$C$2:$C$999,"="&amp;'INS-UPD Heat'!$A12),"")</f>
        <v>0.66666666666666696</v>
      </c>
      <c r="AX12" s="32">
        <f>IFERROR(AVERAGEIFS(COM_All!M$2:M$999,COM_All!$B$2:$B$999,"="&amp;$A$4,COM_All!$C$2:$C$999,"="&amp;'INS-UPD Heat'!$A12),"")</f>
        <v>0.66666666666666696</v>
      </c>
      <c r="AY12" s="32">
        <f>IFERROR(AVERAGEIFS(COM_All!N$2:N$999,COM_All!$B$2:$B$999,"="&amp;$A$4,COM_All!$C$2:$C$999,"="&amp;'INS-UPD Heat'!$A12),"")</f>
        <v>0.66666666666666696</v>
      </c>
      <c r="AZ12" s="32">
        <f>IFERROR(AVERAGEIFS(COM_All!O$2:O$999,COM_All!$B$2:$B$999,"="&amp;$A$4,COM_All!$C$2:$C$999,"="&amp;'INS-UPD Heat'!$A12),"")</f>
        <v>0.66666666666666696</v>
      </c>
      <c r="BA12" s="32">
        <f>IFERROR(AVERAGEIFS(COM_All!P$2:P$999,COM_All!$B$2:$B$999,"="&amp;$A$4,COM_All!$C$2:$C$999,"="&amp;'INS-UPD Heat'!$A12),"")</f>
        <v>0.66666666666666696</v>
      </c>
      <c r="BB12" s="32">
        <f>IFERROR(AVERAGEIFS(COM_All!Q$2:Q$999,COM_All!$B$2:$B$999,"="&amp;$A$4,COM_All!$C$2:$C$999,"="&amp;'INS-UPD Heat'!$A12),"")</f>
        <v>0.66666666666666696</v>
      </c>
      <c r="BC12" s="32">
        <f>IFERROR(AVERAGEIFS(COM_All!R$2:R$999,COM_All!$B$2:$B$999,"="&amp;$A$4,COM_All!$C$2:$C$999,"="&amp;'INS-UPD Heat'!$A12),"")</f>
        <v>0.66666666666666696</v>
      </c>
      <c r="BD12" s="32">
        <f>IFERROR(AVERAGEIFS(COM_All!S$2:S$999,COM_All!$B$2:$B$999,"="&amp;$A$4,COM_All!$C$2:$C$999,"="&amp;'INS-UPD Heat'!$A12),"")</f>
        <v>0.66666666666666696</v>
      </c>
      <c r="BE12" s="32">
        <f>IFERROR(AVERAGEIFS(COM_All!T$2:T$999,COM_All!$B$2:$B$999,"="&amp;$A$4,COM_All!$C$2:$C$999,"="&amp;'INS-UPD Heat'!$A12),"")</f>
        <v>0.66666666666666696</v>
      </c>
      <c r="BF12" s="32">
        <f>IFERROR(AVERAGEIFS(COM_All!U$2:U$999,COM_All!$B$2:$B$999,"="&amp;$A$4,COM_All!$C$2:$C$999,"="&amp;'INS-UPD Heat'!$A12),"")</f>
        <v>0.66666666666666696</v>
      </c>
      <c r="BG12" s="32">
        <f>IFERROR(AVERAGEIFS(COM_All!V$2:V$999,COM_All!$B$2:$B$999,"="&amp;$A$4,COM_All!$C$2:$C$999,"="&amp;'INS-UPD Heat'!$A12),"")</f>
        <v>0.66666666666666696</v>
      </c>
      <c r="BH12" s="32">
        <f>IFERROR(AVERAGEIFS(COM_All!W$2:W$999,COM_All!$B$2:$B$999,"="&amp;$A$4,COM_All!$C$2:$C$999,"="&amp;'INS-UPD Heat'!$A12),"")</f>
        <v>0.66666666666666696</v>
      </c>
      <c r="BI12" s="32">
        <f>IFERROR(AVERAGEIFS(COM_All!X$2:X$999,COM_All!$B$2:$B$999,"="&amp;$A$4,COM_All!$C$2:$C$999,"="&amp;'INS-UPD Heat'!$A12),"")</f>
        <v>0.66666666666666696</v>
      </c>
      <c r="BJ12" s="32">
        <f>IFERROR(AVERAGEIFS(COM_All!Y$2:Y$999,COM_All!$B$2:$B$999,"="&amp;$A$4,COM_All!$C$2:$C$999,"="&amp;'INS-UPD Heat'!$A12),"")</f>
        <v>0.66666666666666696</v>
      </c>
      <c r="BK12" s="32">
        <f>IFERROR(AVERAGEIFS(COM_All!Z$2:Z$999,COM_All!$B$2:$B$999,"="&amp;$A$4,COM_All!$C$2:$C$999,"="&amp;'INS-UPD Heat'!$A12),"")</f>
        <v>0.66666666666666696</v>
      </c>
      <c r="BL12" s="32">
        <f>IFERROR(AVERAGEIFS(COM_All!AA$2:AA$999,COM_All!$B$2:$B$999,"="&amp;$A$4,COM_All!$C$2:$C$999,"="&amp;'INS-UPD Heat'!$A12),"")</f>
        <v>0.66666666666666696</v>
      </c>
      <c r="BM12" s="32">
        <f>IFERROR(AVERAGEIFS(COM_All!AB$2:AB$999,COM_All!$B$2:$B$999,"="&amp;$A$4,COM_All!$C$2:$C$999,"="&amp;'INS-UPD Heat'!$A12),"")</f>
        <v>0.66666666666666696</v>
      </c>
      <c r="BN12" s="32">
        <f>IFERROR(AVERAGEIFS(COM_All!AC$2:AC$999,COM_All!$B$2:$B$999,"="&amp;$A$4,COM_All!$C$2:$C$999,"="&amp;'INS-UPD Heat'!$A12),"")</f>
        <v>0.66666666666666696</v>
      </c>
      <c r="BO12" s="32">
        <f>IFERROR(AVERAGEIFS(COM_All!AD$2:AD$999,COM_All!$B$2:$B$999,"="&amp;$A$4,COM_All!$C$2:$C$999,"="&amp;'INS-UPD Heat'!$A12),"")</f>
        <v>0.66666666666666696</v>
      </c>
      <c r="BP12" s="32">
        <f>IFERROR(AVERAGEIFS(COM_All!AE$2:AE$999,COM_All!$B$2:$B$999,"="&amp;$A$4,COM_All!$C$2:$C$999,"="&amp;'INS-UPD Heat'!$A12),"")</f>
        <v>0.67221013066817603</v>
      </c>
      <c r="BQ12" s="32">
        <f>IFERROR(AVERAGEIFS(COM_All!AF$2:AF$999,COM_All!$B$2:$B$999,"="&amp;$A$4,COM_All!$C$2:$C$999,"="&amp;'INS-UPD Heat'!$A12),"")</f>
        <v>0.66666666666666696</v>
      </c>
      <c r="BR12" s="32">
        <f>IFERROR(AVERAGEIFS(COM_All!AG$2:AG$999,COM_All!$B$2:$B$999,"="&amp;$A$4,COM_All!$C$2:$C$999,"="&amp;'INS-UPD Heat'!$A12),"")</f>
        <v>0.66666666666666696</v>
      </c>
      <c r="BS12" s="32">
        <f>IFERROR(AVERAGEIFS(COM_All!AH$2:AH$999,COM_All!$B$2:$B$999,"="&amp;$A$4,COM_All!$C$2:$C$999,"="&amp;'INS-UPD Heat'!$A12),"")</f>
        <v>0.672208911424379</v>
      </c>
      <c r="BT12" s="32">
        <f>IFERROR(AVERAGEIFS(COM_All!AI$2:AI$999,COM_All!$B$2:$B$999,"="&amp;$A$4,COM_All!$C$2:$C$999,"="&amp;'INS-UPD Heat'!$A12),"")</f>
        <v>0.66666666666666696</v>
      </c>
      <c r="BU12" s="32">
        <f>IFERROR(AVERAGEIFS(COM_All!AJ$2:AJ$999,COM_All!$B$2:$B$999,"="&amp;$A$4,COM_All!$C$2:$C$999,"="&amp;'INS-UPD Heat'!$A12),"")</f>
        <v>0.66666666666666696</v>
      </c>
      <c r="BV12" s="32">
        <f>IFERROR(AVERAGEIFS(COM_All!AK$2:AK$999,COM_All!$B$2:$B$999,"="&amp;$A$4,COM_All!$C$2:$C$999,"="&amp;'INS-UPD Heat'!$A12),"")</f>
        <v>0.66666666666666696</v>
      </c>
      <c r="BW12" s="32">
        <f>IFERROR(AVERAGEIFS(COM_All!AL$2:AL$999,COM_All!$B$2:$B$999,"="&amp;$A$4,COM_All!$C$2:$C$999,"="&amp;'INS-UPD Heat'!$A12),"")</f>
        <v>0.66666666666666696</v>
      </c>
      <c r="BX12" s="32">
        <f>IFERROR(AVERAGEIFS(COM_All!AM$2:AM$999,COM_All!$B$2:$B$999,"="&amp;$A$4,COM_All!$C$2:$C$999,"="&amp;'INS-UPD Heat'!$A12),"")</f>
        <v>0.66666666666666696</v>
      </c>
      <c r="BY12" s="32">
        <f>IFERROR(AVERAGEIFS(COM_All!AN$2:AN$999,COM_All!$B$2:$B$999,"="&amp;$A$4,COM_All!$C$2:$C$999,"="&amp;'INS-UPD Heat'!$A12),"")</f>
        <v>0.66666666666666696</v>
      </c>
      <c r="BZ12" s="32">
        <f>IFERROR(AVERAGEIFS(COM_All!AO$2:AO$999,COM_All!$B$2:$B$999,"="&amp;$A$4,COM_All!$C$2:$C$999,"="&amp;'INS-UPD Heat'!$A12),"")</f>
        <v>0.66666666666666696</v>
      </c>
      <c r="CA12" s="32">
        <f>IFERROR(AVERAGEIFS(COM_All!AP$2:AP$999,COM_All!$B$2:$B$999,"="&amp;$A$4,COM_All!$C$2:$C$999,"="&amp;'INS-UPD Heat'!$A12),"")</f>
        <v>0.66666666666666696</v>
      </c>
      <c r="CB12" s="32">
        <f>IFERROR(AVERAGEIFS(COM_All!AQ$2:AQ$999,COM_All!$B$2:$B$999,"="&amp;$A$4,COM_All!$C$2:$C$999,"="&amp;'INS-UPD Heat'!$A12),"")</f>
        <v>0.66666666666666696</v>
      </c>
      <c r="CC12" s="32">
        <f>IFERROR(AVERAGEIFS(COM_All!AR$2:AR$999,COM_All!$B$2:$B$999,"="&amp;$A$4,COM_All!$C$2:$C$999,"="&amp;'INS-UPD Heat'!$A12),"")</f>
        <v>0.66666666666666696</v>
      </c>
      <c r="CD12" s="32">
        <f>IFERROR(AVERAGEIFS(COM_All!AS$2:AS$999,COM_All!$B$2:$B$999,"="&amp;$A$4,COM_All!$C$2:$C$999,"="&amp;'INS-UPD Heat'!$A12),"")</f>
        <v>0.66666666666666696</v>
      </c>
      <c r="CE12" s="32">
        <f>IFERROR(AVERAGEIFS(COM_All!AT$2:AT$999,COM_All!$B$2:$B$999,"="&amp;$A$4,COM_All!$C$2:$C$999,"="&amp;'INS-UPD Heat'!$A12),"")</f>
        <v>0.69715865432799895</v>
      </c>
      <c r="CF12" s="32">
        <f>IFERROR(AVERAGEIFS(COM_All!AU$2:AU$999,COM_All!$B$2:$B$999,"="&amp;$A$4,COM_All!$C$2:$C$999,"="&amp;'INS-UPD Heat'!$A12),"")</f>
        <v>0.66666666666666696</v>
      </c>
      <c r="CG12" s="33">
        <f>IFERROR(AVERAGEIFS(COM_All!AV$2:AV$999,COM_All!$B$2:$B$999,"="&amp;$A$4,COM_All!$C$2:$C$999,"="&amp;'INS-UPD Heat'!$A12),"")</f>
        <v>0.66666666666666696</v>
      </c>
    </row>
    <row r="13" spans="1:85" ht="15">
      <c r="A13" t="s">
        <v>129</v>
      </c>
      <c r="C13" t="s">
        <v>29</v>
      </c>
      <c r="D13" t="str">
        <f t="shared" si="2"/>
        <v>C_ES-SH-HO_CO*</v>
      </c>
      <c r="H13" s="54"/>
      <c r="I13" t="str">
        <f t="shared" si="3"/>
        <v>*0.806322012647686</v>
      </c>
      <c r="J13" t="str">
        <f t="shared" si="1"/>
        <v>*0.957546566204691</v>
      </c>
      <c r="K13" t="str">
        <f t="shared" si="1"/>
        <v>*0.806322012647686</v>
      </c>
      <c r="L13" t="str">
        <f t="shared" si="1"/>
        <v>*0.806322012647686</v>
      </c>
      <c r="M13" t="str">
        <f t="shared" si="6" ref="M13:M53">IF(BA13&lt;&gt;"","*"&amp;BA13/$BE13,"")</f>
        <v>*0.804719068299585</v>
      </c>
      <c r="N13" t="str">
        <f t="shared" si="7" ref="N13:N53">IF(BB13&lt;&gt;"","*"&amp;BB13/$BE13,"")</f>
        <v>*1</v>
      </c>
      <c r="O13" t="str">
        <f t="shared" si="8" ref="O13:O53">IF(BC13&lt;&gt;"","*"&amp;BC13/$BE13,"")</f>
        <v>*0.806322012647686</v>
      </c>
      <c r="P13" t="str">
        <f t="shared" si="9" ref="P13:P53">IF(BD13&lt;&gt;"","*"&amp;BD13/$BE13,"")</f>
        <v>*0.872641433460454</v>
      </c>
      <c r="Q13" s="48" t="str">
        <f t="shared" si="4"/>
        <v>*0.620099652691077</v>
      </c>
      <c r="R13" t="str">
        <f t="shared" si="10" ref="R13:R53">IF(BF13&lt;&gt;"","*"&amp;BF13/$BE13,"")</f>
        <v>*0.806322012647686</v>
      </c>
      <c r="S13" t="str">
        <f t="shared" si="11" ref="S13:S53">IF(BG13&lt;&gt;"","*"&amp;BG13/$BE13,"")</f>
        <v>*0.872643446827971</v>
      </c>
      <c r="T13" t="str">
        <f t="shared" si="12" ref="T13:T53">IF(BH13&lt;&gt;"","*"&amp;BH13/$BE13,"")</f>
        <v>*0.806322012647686</v>
      </c>
      <c r="U13" t="str">
        <f t="shared" si="13" ref="U13:U53">IF(BI13&lt;&gt;"","*"&amp;BI13/$BE13,"")</f>
        <v>*0.830187692790597</v>
      </c>
      <c r="V13" t="str">
        <f t="shared" si="14" ref="V13:V53">IF(BJ13&lt;&gt;"","*"&amp;BJ13/$BE13,"")</f>
        <v>*0.88113082387544</v>
      </c>
      <c r="W13" t="str">
        <f t="shared" si="15" ref="W13:W53">IF(BK13&lt;&gt;"","*"&amp;BK13/$BE13,"")</f>
        <v>*0.806322012647686</v>
      </c>
      <c r="X13" t="str">
        <f t="shared" si="16" ref="X13:X53">IF(BL13&lt;&gt;"","*"&amp;BL13/$BE13,"")</f>
        <v>*0.889623229961177</v>
      </c>
      <c r="Y13" t="str">
        <f t="shared" si="17" ref="Y13:Y53">IF(BM13&lt;&gt;"","*"&amp;BM13/$BE13,"")</f>
        <v>*0.889620935555759</v>
      </c>
      <c r="Z13" t="str">
        <f t="shared" si="18" ref="Z13:Z53">IF(BN13&lt;&gt;"","*"&amp;BN13/$BE13,"")</f>
        <v>*0.806322012647686</v>
      </c>
      <c r="AA13" t="str">
        <f t="shared" si="19" ref="AA13:AA53">IF(BO13&lt;&gt;"","*"&amp;BO13/$BE13,"")</f>
        <v>*0.806322012647686</v>
      </c>
      <c r="AB13" t="str">
        <f t="shared" si="20" ref="AB13:AB53">IF(BP13&lt;&gt;"","*"&amp;BP13/$BE13,"")</f>
        <v>*0.806322012647686</v>
      </c>
      <c r="AC13" t="str">
        <f t="shared" si="21" ref="AC13:AC53">IF(BQ13&lt;&gt;"","*"&amp;BQ13/$BE13,"")</f>
        <v>*0.806322012647686</v>
      </c>
      <c r="AD13" t="str">
        <f t="shared" si="22" ref="AD13:AD53">IF(BR13&lt;&gt;"","*"&amp;BR13/$BE13,"")</f>
        <v>*0.87264257545149</v>
      </c>
      <c r="AE13" t="str">
        <f t="shared" si="23" ref="AE13:AE53">IF(BS13&lt;&gt;"","*"&amp;BS13/$BE13,"")</f>
        <v>*0.806322012647686</v>
      </c>
      <c r="AF13" t="str">
        <f t="shared" si="24" ref="AF13:AF53">IF(BT13&lt;&gt;"","*"&amp;BT13/$BE13,"")</f>
        <v>*0.906603887155439</v>
      </c>
      <c r="AG13" t="str">
        <f t="shared" si="25" ref="AG13:AG53">IF(BU13&lt;&gt;"","*"&amp;BU13/$BE13,"")</f>
        <v>*0.806322012647686</v>
      </c>
      <c r="AH13" t="str">
        <f t="shared" si="26" ref="AH13:AH53">IF(BV13&lt;&gt;"","*"&amp;BV13/$BE13,"")</f>
        <v>*0.806322012647686</v>
      </c>
      <c r="AI13" t="str">
        <f t="shared" si="27" ref="AI13:AI53">IF(BW13&lt;&gt;"","*"&amp;BW13/$BE13,"")</f>
        <v>*0.806322012647686</v>
      </c>
      <c r="AJ13" t="str">
        <f t="shared" si="28" ref="AJ13:AJ53">IF(BX13&lt;&gt;"","*"&amp;BX13/$BE13,"")</f>
        <v>*0.983019632318116</v>
      </c>
      <c r="AK13" t="str">
        <f t="shared" si="29" ref="AK13:AK53">IF(BY13&lt;&gt;"","*"&amp;BY13/$BE13,"")</f>
        <v>*0.806322012647686</v>
      </c>
      <c r="AL13" t="str">
        <f t="shared" si="30" ref="AL13:AL53">IF(BZ13&lt;&gt;"","*"&amp;BZ13/$BE13,"")</f>
        <v>*0.906604351626599</v>
      </c>
      <c r="AM13" t="str">
        <f t="shared" si="31" ref="AM13:AM53">IF(CA13&lt;&gt;"","*"&amp;CA13/$BE13,"")</f>
        <v>*0.806322012647686</v>
      </c>
      <c r="AN13" t="str">
        <f t="shared" si="32" ref="AN13:AN53">IF(CB13&lt;&gt;"","*"&amp;CB13/$BE13,"")</f>
        <v>*0.89386762861896</v>
      </c>
      <c r="AO13" t="str">
        <f t="shared" si="33" ref="AO13:AO53">IF(CC13&lt;&gt;"","*"&amp;CC13/$BE13,"")</f>
        <v>*0.806322012647686</v>
      </c>
      <c r="AP13" t="str">
        <f t="shared" si="34" ref="AP13:AP53">IF(CD13&lt;&gt;"","*"&amp;CD13/$BE13,"")</f>
        <v>*0.806322012647686</v>
      </c>
      <c r="AQ13" t="str">
        <f t="shared" si="35" ref="AQ13:AQ53">IF(CE13&lt;&gt;"","*"&amp;CE13/$BE13,"")</f>
        <v>*0.806322012647686</v>
      </c>
      <c r="AR13" t="str">
        <f t="shared" si="36" ref="AR13:AR53">IF(CF13&lt;&gt;"","*"&amp;CF13/$BE13,"")</f>
        <v>*0.889622985856844</v>
      </c>
      <c r="AS13" s="49" t="str">
        <f t="shared" si="37" ref="AS13:AS53">IF(CG13&lt;&gt;"","*"&amp;CG13/$BE13,"")</f>
        <v>*0.915091066360072</v>
      </c>
      <c r="AV13" s="31">
        <f t="shared" si="5"/>
        <v>0.52778869516323434</v>
      </c>
      <c r="AW13" s="32">
        <f>IFERROR(AVERAGEIFS(COM_All!L$2:L$999,COM_All!$B$2:$B$999,"="&amp;$A$4,COM_All!$C$2:$C$999,"="&amp;'INS-UPD Heat'!$A13),"")</f>
        <v>0.5</v>
      </c>
      <c r="AX13" s="32">
        <f>IFERROR(AVERAGEIFS(COM_All!M$2:M$999,COM_All!$B$2:$B$999,"="&amp;$A$4,COM_All!$C$2:$C$999,"="&amp;'INS-UPD Heat'!$A13),"")</f>
        <v>0.59377429313906205</v>
      </c>
      <c r="AY13" s="32">
        <f>IFERROR(AVERAGEIFS(COM_All!N$2:N$999,COM_All!$B$2:$B$999,"="&amp;$A$4,COM_All!$C$2:$C$999,"="&amp;'INS-UPD Heat'!$A13),"")</f>
        <v>0.5</v>
      </c>
      <c r="AZ13" s="32">
        <f>IFERROR(AVERAGEIFS(COM_All!O$2:O$999,COM_All!$B$2:$B$999,"="&amp;$A$4,COM_All!$C$2:$C$999,"="&amp;'INS-UPD Heat'!$A13),"")</f>
        <v>0.5</v>
      </c>
      <c r="BA13" s="32">
        <f>IFERROR(AVERAGEIFS(COM_All!P$2:P$999,COM_All!$B$2:$B$999,"="&amp;$A$4,COM_All!$C$2:$C$999,"="&amp;'INS-UPD Heat'!$A13),"")</f>
        <v>0.49900601476646</v>
      </c>
      <c r="BB13" s="32">
        <f>IFERROR(AVERAGEIFS(COM_All!Q$2:Q$999,COM_All!$B$2:$B$999,"="&amp;$A$4,COM_All!$C$2:$C$999,"="&amp;'INS-UPD Heat'!$A13),"")</f>
        <v>0.62009965269107703</v>
      </c>
      <c r="BC13" s="32">
        <f>IFERROR(AVERAGEIFS(COM_All!R$2:R$999,COM_All!$B$2:$B$999,"="&amp;$A$4,COM_All!$C$2:$C$999,"="&amp;'INS-UPD Heat'!$A13),"")</f>
        <v>0.5</v>
      </c>
      <c r="BD13" s="32">
        <f>IFERROR(AVERAGEIFS(COM_All!S$2:S$999,COM_All!$B$2:$B$999,"="&amp;$A$4,COM_All!$C$2:$C$999,"="&amp;'INS-UPD Heat'!$A13),"")</f>
        <v>0.54112464981267105</v>
      </c>
      <c r="BE13" s="32">
        <f>IFERROR(AVERAGEIFS(COM_All!T$2:T$999,COM_All!$B$2:$B$999,"="&amp;$A$4,COM_All!$C$2:$C$999,"="&amp;'INS-UPD Heat'!$A13),"")</f>
        <v>0.62009965269107703</v>
      </c>
      <c r="BF13" s="32">
        <f>IFERROR(AVERAGEIFS(COM_All!U$2:U$999,COM_All!$B$2:$B$999,"="&amp;$A$4,COM_All!$C$2:$C$999,"="&amp;'INS-UPD Heat'!$A13),"")</f>
        <v>0.5</v>
      </c>
      <c r="BG13" s="32">
        <f>IFERROR(AVERAGEIFS(COM_All!V$2:V$999,COM_All!$B$2:$B$999,"="&amp;$A$4,COM_All!$C$2:$C$999,"="&amp;'INS-UPD Heat'!$A13),"")</f>
        <v>0.54112589830116897</v>
      </c>
      <c r="BH13" s="32">
        <f>IFERROR(AVERAGEIFS(COM_All!W$2:W$999,COM_All!$B$2:$B$999,"="&amp;$A$4,COM_All!$C$2:$C$999,"="&amp;'INS-UPD Heat'!$A13),"")</f>
        <v>0.5</v>
      </c>
      <c r="BI13" s="32">
        <f>IFERROR(AVERAGEIFS(COM_All!X$2:X$999,COM_All!$B$2:$B$999,"="&amp;$A$4,COM_All!$C$2:$C$999,"="&amp;'INS-UPD Heat'!$A13),"")</f>
        <v>0.514799099967856</v>
      </c>
      <c r="BJ13" s="32">
        <f>IFERROR(AVERAGEIFS(COM_All!Y$2:Y$999,COM_All!$B$2:$B$999,"="&amp;$A$4,COM_All!$C$2:$C$999,"="&amp;'INS-UPD Heat'!$A13),"")</f>
        <v>0.54638891786056298</v>
      </c>
      <c r="BK13" s="32">
        <f>IFERROR(AVERAGEIFS(COM_All!Z$2:Z$999,COM_All!$B$2:$B$999,"="&amp;$A$4,COM_All!$C$2:$C$999,"="&amp;'INS-UPD Heat'!$A13),"")</f>
        <v>0.5</v>
      </c>
      <c r="BL13" s="32">
        <f>IFERROR(AVERAGEIFS(COM_All!AA$2:AA$999,COM_All!$B$2:$B$999,"="&amp;$A$4,COM_All!$C$2:$C$999,"="&amp;'INS-UPD Heat'!$A13),"")</f>
        <v>0.55165505592483999</v>
      </c>
      <c r="BM13" s="32">
        <f>IFERROR(AVERAGEIFS(COM_All!AB$2:AB$999,COM_All!$B$2:$B$999,"="&amp;$A$4,COM_All!$C$2:$C$999,"="&amp;'INS-UPD Heat'!$A13),"")</f>
        <v>0.55165363316483695</v>
      </c>
      <c r="BN13" s="32">
        <f>IFERROR(AVERAGEIFS(COM_All!AC$2:AC$999,COM_All!$B$2:$B$999,"="&amp;$A$4,COM_All!$C$2:$C$999,"="&amp;'INS-UPD Heat'!$A13),"")</f>
        <v>0.5</v>
      </c>
      <c r="BO13" s="32">
        <f>IFERROR(AVERAGEIFS(COM_All!AD$2:AD$999,COM_All!$B$2:$B$999,"="&amp;$A$4,COM_All!$C$2:$C$999,"="&amp;'INS-UPD Heat'!$A13),"")</f>
        <v>0.5</v>
      </c>
      <c r="BP13" s="32">
        <f>IFERROR(AVERAGEIFS(COM_All!AE$2:AE$999,COM_All!$B$2:$B$999,"="&amp;$A$4,COM_All!$C$2:$C$999,"="&amp;'INS-UPD Heat'!$A13),"")</f>
        <v>0.5</v>
      </c>
      <c r="BQ13" s="32">
        <f>IFERROR(AVERAGEIFS(COM_All!AF$2:AF$999,COM_All!$B$2:$B$999,"="&amp;$A$4,COM_All!$C$2:$C$999,"="&amp;'INS-UPD Heat'!$A13),"")</f>
        <v>0.5</v>
      </c>
      <c r="BR13" s="32">
        <f>IFERROR(AVERAGEIFS(COM_All!AG$2:AG$999,COM_All!$B$2:$B$999,"="&amp;$A$4,COM_All!$C$2:$C$999,"="&amp;'INS-UPD Heat'!$A13),"")</f>
        <v>0.54112535796091599</v>
      </c>
      <c r="BS13" s="32">
        <f>IFERROR(AVERAGEIFS(COM_All!AH$2:AH$999,COM_All!$B$2:$B$999,"="&amp;$A$4,COM_All!$C$2:$C$999,"="&amp;'INS-UPD Heat'!$A13),"")</f>
        <v>0.5</v>
      </c>
      <c r="BT13" s="32">
        <f>IFERROR(AVERAGEIFS(COM_All!AI$2:AI$999,COM_All!$B$2:$B$999,"="&amp;$A$4,COM_All!$C$2:$C$999,"="&amp;'INS-UPD Heat'!$A13),"")</f>
        <v>0.56218475555346803</v>
      </c>
      <c r="BU13" s="32">
        <f>IFERROR(AVERAGEIFS(COM_All!AJ$2:AJ$999,COM_All!$B$2:$B$999,"="&amp;$A$4,COM_All!$C$2:$C$999,"="&amp;'INS-UPD Heat'!$A13),"")</f>
        <v>0.5</v>
      </c>
      <c r="BV13" s="32">
        <f>IFERROR(AVERAGEIFS(COM_All!AK$2:AK$999,COM_All!$B$2:$B$999,"="&amp;$A$4,COM_All!$C$2:$C$999,"="&amp;'INS-UPD Heat'!$A13),"")</f>
        <v>0.5</v>
      </c>
      <c r="BW13" s="32">
        <f>IFERROR(AVERAGEIFS(COM_All!AL$2:AL$999,COM_All!$B$2:$B$999,"="&amp;$A$4,COM_All!$C$2:$C$999,"="&amp;'INS-UPD Heat'!$A13),"")</f>
        <v>0.5</v>
      </c>
      <c r="BX13" s="32">
        <f>IFERROR(AVERAGEIFS(COM_All!AM$2:AM$999,COM_All!$B$2:$B$999,"="&amp;$A$4,COM_All!$C$2:$C$999,"="&amp;'INS-UPD Heat'!$A13),"")</f>
        <v>0.60957013258897397</v>
      </c>
      <c r="BY13" s="32">
        <f>IFERROR(AVERAGEIFS(COM_All!AN$2:AN$999,COM_All!$B$2:$B$999,"="&amp;$A$4,COM_All!$C$2:$C$999,"="&amp;'INS-UPD Heat'!$A13),"")</f>
        <v>0.5</v>
      </c>
      <c r="BZ13" s="32">
        <f>IFERROR(AVERAGEIFS(COM_All!AO$2:AO$999,COM_All!$B$2:$B$999,"="&amp;$A$4,COM_All!$C$2:$C$999,"="&amp;'INS-UPD Heat'!$A13),"")</f>
        <v>0.56218504357187304</v>
      </c>
      <c r="CA13" s="32">
        <f>IFERROR(AVERAGEIFS(COM_All!AP$2:AP$999,COM_All!$B$2:$B$999,"="&amp;$A$4,COM_All!$C$2:$C$999,"="&amp;'INS-UPD Heat'!$A13),"")</f>
        <v>0.5</v>
      </c>
      <c r="CB13" s="32">
        <f>IFERROR(AVERAGEIFS(COM_All!AQ$2:AQ$999,COM_All!$B$2:$B$999,"="&amp;$A$4,COM_All!$C$2:$C$999,"="&amp;'INS-UPD Heat'!$A13),"")</f>
        <v>0.55428700605841397</v>
      </c>
      <c r="CC13" s="32">
        <f>IFERROR(AVERAGEIFS(COM_All!AR$2:AR$999,COM_All!$B$2:$B$999,"="&amp;$A$4,COM_All!$C$2:$C$999,"="&amp;'INS-UPD Heat'!$A13),"")</f>
        <v>0.5</v>
      </c>
      <c r="CD13" s="32">
        <f>IFERROR(AVERAGEIFS(COM_All!AS$2:AS$999,COM_All!$B$2:$B$999,"="&amp;$A$4,COM_All!$C$2:$C$999,"="&amp;'INS-UPD Heat'!$A13),"")</f>
        <v>0.5</v>
      </c>
      <c r="CE13" s="32">
        <f>IFERROR(AVERAGEIFS(COM_All!AT$2:AT$999,COM_All!$B$2:$B$999,"="&amp;$A$4,COM_All!$C$2:$C$999,"="&amp;'INS-UPD Heat'!$A13),"")</f>
        <v>0.5</v>
      </c>
      <c r="CF13" s="32">
        <f>IFERROR(AVERAGEIFS(COM_All!AU$2:AU$999,COM_All!$B$2:$B$999,"="&amp;$A$4,COM_All!$C$2:$C$999,"="&amp;'INS-UPD Heat'!$A13),"")</f>
        <v>0.551654904555828</v>
      </c>
      <c r="CG13" s="33">
        <f>IFERROR(AVERAGEIFS(COM_All!AV$2:AV$999,COM_All!$B$2:$B$999,"="&amp;$A$4,COM_All!$C$2:$C$999,"="&amp;'INS-UPD Heat'!$A13),"")</f>
        <v>0.56744765243058803</v>
      </c>
    </row>
    <row r="14" spans="1:85" ht="15">
      <c r="A14" t="s">
        <v>130</v>
      </c>
      <c r="C14" t="s">
        <v>29</v>
      </c>
      <c r="D14" t="str">
        <f t="shared" si="2"/>
        <v>C_ES-SH-HR_BI*</v>
      </c>
      <c r="H14" s="54"/>
      <c r="I14" t="str">
        <f t="shared" si="3"/>
        <v>*1</v>
      </c>
      <c r="J14" t="str">
        <f t="shared" si="38" ref="J14:J53">IF(AX14&lt;&gt;"","*"&amp;AX14/$BE14,"")</f>
        <v>*1.13273935601115</v>
      </c>
      <c r="K14" t="str">
        <f t="shared" si="39" ref="K14:K53">IF(AY14&lt;&gt;"","*"&amp;AY14/$BE14,"")</f>
        <v>*1</v>
      </c>
      <c r="L14" t="str">
        <f t="shared" si="40" ref="L14:L53">IF(AZ14&lt;&gt;"","*"&amp;AZ14/$BE14,"")</f>
        <v>*1.16287202779621</v>
      </c>
      <c r="M14" t="str">
        <f t="shared" si="6"/>
        <v>*0.951947404871184</v>
      </c>
      <c r="N14" t="str">
        <f t="shared" si="7"/>
        <v>*1</v>
      </c>
      <c r="O14" t="str">
        <f t="shared" si="8"/>
        <v>*0.891684624593808</v>
      </c>
      <c r="P14" t="str">
        <f t="shared" si="9"/>
        <v>*1.03230037990426</v>
      </c>
      <c r="Q14" s="48" t="str">
        <f t="shared" si="4"/>
        <v>*0.5</v>
      </c>
      <c r="R14" t="str">
        <f t="shared" si="10"/>
        <v>*1.0825169264074</v>
      </c>
      <c r="S14" t="str">
        <f t="shared" si="11"/>
        <v>*1.03229644898342</v>
      </c>
      <c r="T14" t="str">
        <f t="shared" si="12"/>
        <v>*1</v>
      </c>
      <c r="U14" t="str">
        <f t="shared" si="13"/>
        <v>*0.982080090991512</v>
      </c>
      <c r="V14" t="str">
        <f t="shared" si="14"/>
        <v>*1.0423429136333</v>
      </c>
      <c r="W14" t="str">
        <f t="shared" si="15"/>
        <v>*1.08252106666226</v>
      </c>
      <c r="X14" t="str">
        <f t="shared" si="16"/>
        <v>*1.05238453545451</v>
      </c>
      <c r="Y14" t="str">
        <f t="shared" si="17"/>
        <v>*1.05238966451752</v>
      </c>
      <c r="Z14" t="str">
        <f t="shared" si="18"/>
        <v>*1.1026073590249</v>
      </c>
      <c r="AA14" t="str">
        <f t="shared" si="19"/>
        <v>*1.0825169264074</v>
      </c>
      <c r="AB14" t="str">
        <f t="shared" si="20"/>
        <v>*1</v>
      </c>
      <c r="AC14" t="str">
        <f t="shared" si="21"/>
        <v>*1</v>
      </c>
      <c r="AD14" t="str">
        <f t="shared" si="22"/>
        <v>*1.03230017588431</v>
      </c>
      <c r="AE14" t="str">
        <f t="shared" si="23"/>
        <v>*1</v>
      </c>
      <c r="AF14" t="str">
        <f t="shared" si="24"/>
        <v>*1.07247594152106</v>
      </c>
      <c r="AG14" t="str">
        <f t="shared" si="25"/>
        <v>*1</v>
      </c>
      <c r="AH14" t="str">
        <f t="shared" si="26"/>
        <v>*1</v>
      </c>
      <c r="AI14" t="str">
        <f t="shared" si="27"/>
        <v>*1</v>
      </c>
      <c r="AJ14" t="str">
        <f t="shared" si="28"/>
        <v>*1.16287284644911</v>
      </c>
      <c r="AK14" t="str">
        <f t="shared" si="29"/>
        <v>*1.0825169264074</v>
      </c>
      <c r="AL14" t="str">
        <f t="shared" si="30"/>
        <v>*1.07247406151033</v>
      </c>
      <c r="AM14" t="str">
        <f t="shared" si="31"/>
        <v>*1</v>
      </c>
      <c r="AN14" t="str">
        <f t="shared" si="32"/>
        <v>*1</v>
      </c>
      <c r="AO14" t="str">
        <f t="shared" si="33"/>
        <v>*1</v>
      </c>
      <c r="AP14" t="str">
        <f t="shared" si="34"/>
        <v>*1.03229798151806</v>
      </c>
      <c r="AQ14" t="str">
        <f t="shared" si="35"/>
        <v>*1</v>
      </c>
      <c r="AR14" t="str">
        <f t="shared" si="36"/>
        <v>*1.05238916181003</v>
      </c>
      <c r="AS14" s="49" t="str">
        <f t="shared" si="37"/>
        <v>*1.08252104532776</v>
      </c>
      <c r="AV14" s="31">
        <f t="shared" si="5"/>
        <v>0.51720334953630942</v>
      </c>
      <c r="AW14" s="32">
        <f>IFERROR(AVERAGEIFS(COM_All!L$2:L$999,COM_All!$B$2:$B$999,"="&amp;$A$4,COM_All!$C$2:$C$999,"="&amp;'INS-UPD Heat'!$A14),"")</f>
        <v>0.5</v>
      </c>
      <c r="AX14" s="32">
        <f>IFERROR(AVERAGEIFS(COM_All!M$2:M$999,COM_All!$B$2:$B$999,"="&amp;$A$4,COM_All!$C$2:$C$999,"="&amp;'INS-UPD Heat'!$A14),"")</f>
        <v>0.56636967800557603</v>
      </c>
      <c r="AY14" s="32">
        <f>IFERROR(AVERAGEIFS(COM_All!N$2:N$999,COM_All!$B$2:$B$999,"="&amp;$A$4,COM_All!$C$2:$C$999,"="&amp;'INS-UPD Heat'!$A14),"")</f>
        <v>0.5</v>
      </c>
      <c r="AZ14" s="32">
        <f>IFERROR(AVERAGEIFS(COM_All!O$2:O$999,COM_All!$B$2:$B$999,"="&amp;$A$4,COM_All!$C$2:$C$999,"="&amp;'INS-UPD Heat'!$A14),"")</f>
        <v>0.58143601389810495</v>
      </c>
      <c r="BA14" s="32">
        <f>IFERROR(AVERAGEIFS(COM_All!P$2:P$999,COM_All!$B$2:$B$999,"="&amp;$A$4,COM_All!$C$2:$C$999,"="&amp;'INS-UPD Heat'!$A14),"")</f>
        <v>0.47597370243559201</v>
      </c>
      <c r="BB14" s="32">
        <f>IFERROR(AVERAGEIFS(COM_All!Q$2:Q$999,COM_All!$B$2:$B$999,"="&amp;$A$4,COM_All!$C$2:$C$999,"="&amp;'INS-UPD Heat'!$A14),"")</f>
        <v>0.5</v>
      </c>
      <c r="BC14" s="32">
        <f>IFERROR(AVERAGEIFS(COM_All!R$2:R$999,COM_All!$B$2:$B$999,"="&amp;$A$4,COM_All!$C$2:$C$999,"="&amp;'INS-UPD Heat'!$A14),"")</f>
        <v>0.44584231229690402</v>
      </c>
      <c r="BD14" s="32">
        <f>IFERROR(AVERAGEIFS(COM_All!S$2:S$999,COM_All!$B$2:$B$999,"="&amp;$A$4,COM_All!$C$2:$C$999,"="&amp;'INS-UPD Heat'!$A14),"")</f>
        <v>0.51615018995212902</v>
      </c>
      <c r="BE14" s="32">
        <f>IFERROR(AVERAGEIFS(COM_All!T$2:T$999,COM_All!$B$2:$B$999,"="&amp;$A$4,COM_All!$C$2:$C$999,"="&amp;'INS-UPD Heat'!$A14),"")</f>
        <v>0.5</v>
      </c>
      <c r="BF14" s="32">
        <f>IFERROR(AVERAGEIFS(COM_All!U$2:U$999,COM_All!$B$2:$B$999,"="&amp;$A$4,COM_All!$C$2:$C$999,"="&amp;'INS-UPD Heat'!$A14),"")</f>
        <v>0.54125846320370197</v>
      </c>
      <c r="BG14" s="32">
        <f>IFERROR(AVERAGEIFS(COM_All!V$2:V$999,COM_All!$B$2:$B$999,"="&amp;$A$4,COM_All!$C$2:$C$999,"="&amp;'INS-UPD Heat'!$A14),"")</f>
        <v>0.51614822449170805</v>
      </c>
      <c r="BH14" s="32">
        <f>IFERROR(AVERAGEIFS(COM_All!W$2:W$999,COM_All!$B$2:$B$999,"="&amp;$A$4,COM_All!$C$2:$C$999,"="&amp;'INS-UPD Heat'!$A14),"")</f>
        <v>0.5</v>
      </c>
      <c r="BI14" s="32">
        <f>IFERROR(AVERAGEIFS(COM_All!X$2:X$999,COM_All!$B$2:$B$999,"="&amp;$A$4,COM_All!$C$2:$C$999,"="&amp;'INS-UPD Heat'!$A14),"")</f>
        <v>0.49104004549575597</v>
      </c>
      <c r="BJ14" s="32">
        <f>IFERROR(AVERAGEIFS(COM_All!Y$2:Y$999,COM_All!$B$2:$B$999,"="&amp;$A$4,COM_All!$C$2:$C$999,"="&amp;'INS-UPD Heat'!$A14),"")</f>
        <v>0.521171456816652</v>
      </c>
      <c r="BK14" s="32">
        <f>IFERROR(AVERAGEIFS(COM_All!Z$2:Z$999,COM_All!$B$2:$B$999,"="&amp;$A$4,COM_All!$C$2:$C$999,"="&amp;'INS-UPD Heat'!$A14),"")</f>
        <v>0.541260533331132</v>
      </c>
      <c r="BL14" s="32">
        <f>IFERROR(AVERAGEIFS(COM_All!AA$2:AA$999,COM_All!$B$2:$B$999,"="&amp;$A$4,COM_All!$C$2:$C$999,"="&amp;'INS-UPD Heat'!$A14),"")</f>
        <v>0.52619226772725602</v>
      </c>
      <c r="BM14" s="32">
        <f>IFERROR(AVERAGEIFS(COM_All!AB$2:AB$999,COM_All!$B$2:$B$999,"="&amp;$A$4,COM_All!$C$2:$C$999,"="&amp;'INS-UPD Heat'!$A14),"")</f>
        <v>0.52619483225875896</v>
      </c>
      <c r="BN14" s="32">
        <f>IFERROR(AVERAGEIFS(COM_All!AC$2:AC$999,COM_All!$B$2:$B$999,"="&amp;$A$4,COM_All!$C$2:$C$999,"="&amp;'INS-UPD Heat'!$A14),"")</f>
        <v>0.55130367951244896</v>
      </c>
      <c r="BO14" s="32">
        <f>IFERROR(AVERAGEIFS(COM_All!AD$2:AD$999,COM_All!$B$2:$B$999,"="&amp;$A$4,COM_All!$C$2:$C$999,"="&amp;'INS-UPD Heat'!$A14),"")</f>
        <v>0.54125846320370197</v>
      </c>
      <c r="BP14" s="32">
        <f>IFERROR(AVERAGEIFS(COM_All!AE$2:AE$999,COM_All!$B$2:$B$999,"="&amp;$A$4,COM_All!$C$2:$C$999,"="&amp;'INS-UPD Heat'!$A14),"")</f>
        <v>0.5</v>
      </c>
      <c r="BQ14" s="32">
        <f>IFERROR(AVERAGEIFS(COM_All!AF$2:AF$999,COM_All!$B$2:$B$999,"="&amp;$A$4,COM_All!$C$2:$C$999,"="&amp;'INS-UPD Heat'!$A14),"")</f>
        <v>0.5</v>
      </c>
      <c r="BR14" s="32">
        <f>IFERROR(AVERAGEIFS(COM_All!AG$2:AG$999,COM_All!$B$2:$B$999,"="&amp;$A$4,COM_All!$C$2:$C$999,"="&amp;'INS-UPD Heat'!$A14),"")</f>
        <v>0.516150087942154</v>
      </c>
      <c r="BS14" s="32">
        <f>IFERROR(AVERAGEIFS(COM_All!AH$2:AH$999,COM_All!$B$2:$B$999,"="&amp;$A$4,COM_All!$C$2:$C$999,"="&amp;'INS-UPD Heat'!$A14),"")</f>
        <v>0.5</v>
      </c>
      <c r="BT14" s="32">
        <f>IFERROR(AVERAGEIFS(COM_All!AI$2:AI$999,COM_All!$B$2:$B$999,"="&amp;$A$4,COM_All!$C$2:$C$999,"="&amp;'INS-UPD Heat'!$A14),"")</f>
        <v>0.53623797076053004</v>
      </c>
      <c r="BU14" s="32">
        <f>IFERROR(AVERAGEIFS(COM_All!AJ$2:AJ$999,COM_All!$B$2:$B$999,"="&amp;$A$4,COM_All!$C$2:$C$999,"="&amp;'INS-UPD Heat'!$A14),"")</f>
        <v>0.5</v>
      </c>
      <c r="BV14" s="32">
        <f>IFERROR(AVERAGEIFS(COM_All!AK$2:AK$999,COM_All!$B$2:$B$999,"="&amp;$A$4,COM_All!$C$2:$C$999,"="&amp;'INS-UPD Heat'!$A14),"")</f>
        <v>0.5</v>
      </c>
      <c r="BW14" s="32">
        <f>IFERROR(AVERAGEIFS(COM_All!AL$2:AL$999,COM_All!$B$2:$B$999,"="&amp;$A$4,COM_All!$C$2:$C$999,"="&amp;'INS-UPD Heat'!$A14),"")</f>
        <v>0.5</v>
      </c>
      <c r="BX14" s="32">
        <f>IFERROR(AVERAGEIFS(COM_All!AM$2:AM$999,COM_All!$B$2:$B$999,"="&amp;$A$4,COM_All!$C$2:$C$999,"="&amp;'INS-UPD Heat'!$A14),"")</f>
        <v>0.58143642322455602</v>
      </c>
      <c r="BY14" s="32">
        <f>IFERROR(AVERAGEIFS(COM_All!AN$2:AN$999,COM_All!$B$2:$B$999,"="&amp;$A$4,COM_All!$C$2:$C$999,"="&amp;'INS-UPD Heat'!$A14),"")</f>
        <v>0.54125846320370197</v>
      </c>
      <c r="BZ14" s="32">
        <f>IFERROR(AVERAGEIFS(COM_All!AO$2:AO$999,COM_All!$B$2:$B$999,"="&amp;$A$4,COM_All!$C$2:$C$999,"="&amp;'INS-UPD Heat'!$A14),"")</f>
        <v>0.53623703075516505</v>
      </c>
      <c r="CA14" s="32">
        <f>IFERROR(AVERAGEIFS(COM_All!AP$2:AP$999,COM_All!$B$2:$B$999,"="&amp;$A$4,COM_All!$C$2:$C$999,"="&amp;'INS-UPD Heat'!$A14),"")</f>
        <v>0.5</v>
      </c>
      <c r="CB14" s="32">
        <f>IFERROR(AVERAGEIFS(COM_All!AQ$2:AQ$999,COM_All!$B$2:$B$999,"="&amp;$A$4,COM_All!$C$2:$C$999,"="&amp;'INS-UPD Heat'!$A14),"")</f>
        <v>0.5</v>
      </c>
      <c r="CC14" s="32">
        <f>IFERROR(AVERAGEIFS(COM_All!AR$2:AR$999,COM_All!$B$2:$B$999,"="&amp;$A$4,COM_All!$C$2:$C$999,"="&amp;'INS-UPD Heat'!$A14),"")</f>
        <v>0.5</v>
      </c>
      <c r="CD14" s="32">
        <f>IFERROR(AVERAGEIFS(COM_All!AS$2:AS$999,COM_All!$B$2:$B$999,"="&amp;$A$4,COM_All!$C$2:$C$999,"="&amp;'INS-UPD Heat'!$A14),"")</f>
        <v>0.51614899075903098</v>
      </c>
      <c r="CE14" s="32">
        <f>IFERROR(AVERAGEIFS(COM_All!AT$2:AT$999,COM_All!$B$2:$B$999,"="&amp;$A$4,COM_All!$C$2:$C$999,"="&amp;'INS-UPD Heat'!$A14),"")</f>
        <v>0.5</v>
      </c>
      <c r="CF14" s="32">
        <f>IFERROR(AVERAGEIFS(COM_All!AU$2:AU$999,COM_All!$B$2:$B$999,"="&amp;$A$4,COM_All!$C$2:$C$999,"="&amp;'INS-UPD Heat'!$A14),"")</f>
        <v>0.52619458090501303</v>
      </c>
      <c r="CG14" s="33">
        <f>IFERROR(AVERAGEIFS(COM_All!AV$2:AV$999,COM_All!$B$2:$B$999,"="&amp;$A$4,COM_All!$C$2:$C$999,"="&amp;'INS-UPD Heat'!$A14),"")</f>
        <v>0.54126052266387803</v>
      </c>
    </row>
    <row r="15" spans="1:85" ht="15">
      <c r="A15" t="s">
        <v>131</v>
      </c>
      <c r="C15" t="s">
        <v>29</v>
      </c>
      <c r="D15" t="str">
        <f t="shared" si="2"/>
        <v>C_ES-SH-HR_HE*</v>
      </c>
      <c r="H15" s="54"/>
      <c r="I15" t="str">
        <f t="shared" si="3"/>
        <v>*0.880504783355962</v>
      </c>
      <c r="J15" t="str">
        <f t="shared" si="38"/>
        <v>*0.957548618872751</v>
      </c>
      <c r="K15" t="str">
        <f t="shared" si="39"/>
        <v>*0.880504783355962</v>
      </c>
      <c r="L15" t="str">
        <f t="shared" si="40"/>
        <v>*0.983020646759874</v>
      </c>
      <c r="M15" t="str">
        <f t="shared" si="6"/>
        <v>*0.804718937699145</v>
      </c>
      <c r="N15" t="str">
        <f t="shared" si="7"/>
        <v>*1</v>
      </c>
      <c r="O15" t="str">
        <f t="shared" si="8"/>
        <v>*0.880504783355962</v>
      </c>
      <c r="P15" t="str">
        <f t="shared" si="9"/>
        <v>*0.872644275983274</v>
      </c>
      <c r="Q15" s="48" t="str">
        <f t="shared" si="4"/>
        <v>*0.908569737634899</v>
      </c>
      <c r="R15" t="str">
        <f t="shared" si="10"/>
        <v>*0.915095212233637</v>
      </c>
      <c r="S15" t="str">
        <f t="shared" si="11"/>
        <v>*0.872642655737943</v>
      </c>
      <c r="T15" t="str">
        <f t="shared" si="12"/>
        <v>*0.880504783355962</v>
      </c>
      <c r="U15" t="str">
        <f t="shared" si="13"/>
        <v>*0.880504783355962</v>
      </c>
      <c r="V15" t="str">
        <f t="shared" si="14"/>
        <v>*0.881131477151944</v>
      </c>
      <c r="W15" t="str">
        <f t="shared" si="15"/>
        <v>*0.915093124359608</v>
      </c>
      <c r="X15" t="str">
        <f t="shared" si="16"/>
        <v>*0.889625250941913</v>
      </c>
      <c r="Y15" t="str">
        <f t="shared" si="17"/>
        <v>*0.889623372740061</v>
      </c>
      <c r="Z15" t="str">
        <f t="shared" si="18"/>
        <v>*0.880504783355962</v>
      </c>
      <c r="AA15" t="str">
        <f t="shared" si="19"/>
        <v>*0.915095212233637</v>
      </c>
      <c r="AB15" t="str">
        <f t="shared" si="20"/>
        <v>*0.915095341838966</v>
      </c>
      <c r="AC15" t="str">
        <f t="shared" si="21"/>
        <v>*0.880504783355962</v>
      </c>
      <c r="AD15" t="str">
        <f t="shared" si="22"/>
        <v>*0.872640325737902</v>
      </c>
      <c r="AE15" t="str">
        <f t="shared" si="23"/>
        <v>*0.915097225102635</v>
      </c>
      <c r="AF15" t="str">
        <f t="shared" si="24"/>
        <v>*0.906602703277204</v>
      </c>
      <c r="AG15" t="str">
        <f t="shared" si="25"/>
        <v>*0.880504783355962</v>
      </c>
      <c r="AH15" t="str">
        <f t="shared" si="26"/>
        <v>*0.880504783355962</v>
      </c>
      <c r="AI15" t="str">
        <f t="shared" si="27"/>
        <v>*0.880504783355962</v>
      </c>
      <c r="AJ15" t="str">
        <f t="shared" si="28"/>
        <v>*0.983021041372418</v>
      </c>
      <c r="AK15" t="str">
        <f t="shared" si="29"/>
        <v>*0.915095212233637</v>
      </c>
      <c r="AL15" t="str">
        <f t="shared" si="30"/>
        <v>*0.906604639952111</v>
      </c>
      <c r="AM15" t="str">
        <f t="shared" si="31"/>
        <v>*0.855664327496265</v>
      </c>
      <c r="AN15" t="str">
        <f t="shared" si="32"/>
        <v>*0.89386936286641</v>
      </c>
      <c r="AO15" t="str">
        <f t="shared" si="33"/>
        <v>*0.880504783355962</v>
      </c>
      <c r="AP15" t="str">
        <f t="shared" si="34"/>
        <v>*0.872640441278991</v>
      </c>
      <c r="AQ15" t="str">
        <f t="shared" si="35"/>
        <v>*0.949060077873277</v>
      </c>
      <c r="AR15" t="str">
        <f t="shared" si="36"/>
        <v>*0.889625648915354</v>
      </c>
      <c r="AS15" s="49" t="str">
        <f t="shared" si="37"/>
        <v>*0.915096287669067</v>
      </c>
      <c r="AV15" s="31">
        <f t="shared" si="5"/>
        <v>0.81947843501339068</v>
      </c>
      <c r="AW15" s="32">
        <f>IFERROR(AVERAGEIFS(COM_All!L$2:L$999,COM_All!$B$2:$B$999,"="&amp;$A$4,COM_All!$C$2:$C$999,"="&amp;'INS-UPD Heat'!$A15),"")</f>
        <v>0.80000000000000004</v>
      </c>
      <c r="AX15" s="32">
        <f>IFERROR(AVERAGEIFS(COM_All!M$2:M$999,COM_All!$B$2:$B$999,"="&amp;$A$4,COM_All!$C$2:$C$999,"="&amp;'INS-UPD Heat'!$A15),"")</f>
        <v>0.869999697421875</v>
      </c>
      <c r="AY15" s="32">
        <f>IFERROR(AVERAGEIFS(COM_All!N$2:N$999,COM_All!$B$2:$B$999,"="&amp;$A$4,COM_All!$C$2:$C$999,"="&amp;'INS-UPD Heat'!$A15),"")</f>
        <v>0.80000000000000004</v>
      </c>
      <c r="AZ15" s="32">
        <f>IFERROR(AVERAGEIFS(COM_All!O$2:O$999,COM_All!$B$2:$B$999,"="&amp;$A$4,COM_All!$C$2:$C$999,"="&amp;'INS-UPD Heat'!$A15),"")</f>
        <v>0.893142811116307</v>
      </c>
      <c r="BA15" s="32">
        <f>IFERROR(AVERAGEIFS(COM_All!P$2:P$999,COM_All!$B$2:$B$999,"="&amp;$A$4,COM_All!$C$2:$C$999,"="&amp;'INS-UPD Heat'!$A15),"")</f>
        <v>0.73114327409514701</v>
      </c>
      <c r="BB15" s="32">
        <f>IFERROR(AVERAGEIFS(COM_All!Q$2:Q$999,COM_All!$B$2:$B$999,"="&amp;$A$4,COM_All!$C$2:$C$999,"="&amp;'INS-UPD Heat'!$A15),"")</f>
        <v>0.90856973763489901</v>
      </c>
      <c r="BC15" s="32">
        <f>IFERROR(AVERAGEIFS(COM_All!R$2:R$999,COM_All!$B$2:$B$999,"="&amp;$A$4,COM_All!$C$2:$C$999,"="&amp;'INS-UPD Heat'!$A15),"")</f>
        <v>0.80000000000000004</v>
      </c>
      <c r="BD15" s="32">
        <f>IFERROR(AVERAGEIFS(COM_All!S$2:S$999,COM_All!$B$2:$B$999,"="&amp;$A$4,COM_All!$C$2:$C$999,"="&amp;'INS-UPD Heat'!$A15),"")</f>
        <v>0.79285818087871995</v>
      </c>
      <c r="BE15" s="32">
        <f>IFERROR(AVERAGEIFS(COM_All!T$2:T$999,COM_All!$B$2:$B$999,"="&amp;$A$4,COM_All!$C$2:$C$999,"="&amp;'INS-UPD Heat'!$A15),"")</f>
        <v>0.90856973763489901</v>
      </c>
      <c r="BF15" s="32">
        <f>IFERROR(AVERAGEIFS(COM_All!U$2:U$999,COM_All!$B$2:$B$999,"="&amp;$A$4,COM_All!$C$2:$C$999,"="&amp;'INS-UPD Heat'!$A15),"")</f>
        <v>0.83142781689006795</v>
      </c>
      <c r="BG15" s="32">
        <f>IFERROR(AVERAGEIFS(COM_All!V$2:V$999,COM_All!$B$2:$B$999,"="&amp;$A$4,COM_All!$C$2:$C$999,"="&amp;'INS-UPD Heat'!$A15),"")</f>
        <v>0.79285670877284398</v>
      </c>
      <c r="BH15" s="32">
        <f>IFERROR(AVERAGEIFS(COM_All!W$2:W$999,COM_All!$B$2:$B$999,"="&amp;$A$4,COM_All!$C$2:$C$999,"="&amp;'INS-UPD Heat'!$A15),"")</f>
        <v>0.80000000000000004</v>
      </c>
      <c r="BI15" s="32">
        <f>IFERROR(AVERAGEIFS(COM_All!X$2:X$999,COM_All!$B$2:$B$999,"="&amp;$A$4,COM_All!$C$2:$C$999,"="&amp;'INS-UPD Heat'!$A15),"")</f>
        <v>0.80000000000000004</v>
      </c>
      <c r="BJ15" s="32">
        <f>IFERROR(AVERAGEIFS(COM_All!Y$2:Y$999,COM_All!$B$2:$B$999,"="&amp;$A$4,COM_All!$C$2:$C$999,"="&amp;'INS-UPD Heat'!$A15),"")</f>
        <v>0.80056939501779301</v>
      </c>
      <c r="BK15" s="32">
        <f>IFERROR(AVERAGEIFS(COM_All!Z$2:Z$999,COM_All!$B$2:$B$999,"="&amp;$A$4,COM_All!$C$2:$C$999,"="&amp;'INS-UPD Heat'!$A15),"")</f>
        <v>0.83142591991090897</v>
      </c>
      <c r="BL15" s="32">
        <f>IFERROR(AVERAGEIFS(COM_All!AA$2:AA$999,COM_All!$B$2:$B$999,"="&amp;$A$4,COM_All!$C$2:$C$999,"="&amp;'INS-UPD Heat'!$A15),"")</f>
        <v>0.80828658084167504</v>
      </c>
      <c r="BM15" s="32">
        <f>IFERROR(AVERAGEIFS(COM_All!AB$2:AB$999,COM_All!$B$2:$B$999,"="&amp;$A$4,COM_All!$C$2:$C$999,"="&amp;'INS-UPD Heat'!$A15),"")</f>
        <v>0.80828487436431096</v>
      </c>
      <c r="BN15" s="32">
        <f>IFERROR(AVERAGEIFS(COM_All!AC$2:AC$999,COM_All!$B$2:$B$999,"="&amp;$A$4,COM_All!$C$2:$C$999,"="&amp;'INS-UPD Heat'!$A15),"")</f>
        <v>0.80000000000000004</v>
      </c>
      <c r="BO15" s="32">
        <f>IFERROR(AVERAGEIFS(COM_All!AD$2:AD$999,COM_All!$B$2:$B$999,"="&amp;$A$4,COM_All!$C$2:$C$999,"="&amp;'INS-UPD Heat'!$A15),"")</f>
        <v>0.83142781689006795</v>
      </c>
      <c r="BP15" s="32">
        <f>IFERROR(AVERAGEIFS(COM_All!AE$2:AE$999,COM_All!$B$2:$B$999,"="&amp;$A$4,COM_All!$C$2:$C$999,"="&amp;'INS-UPD Heat'!$A15),"")</f>
        <v>0.83142793464554798</v>
      </c>
      <c r="BQ15" s="32">
        <f>IFERROR(AVERAGEIFS(COM_All!AF$2:AF$999,COM_All!$B$2:$B$999,"="&amp;$A$4,COM_All!$C$2:$C$999,"="&amp;'INS-UPD Heat'!$A15),"")</f>
        <v>0.80000000000000004</v>
      </c>
      <c r="BR15" s="32">
        <f>IFERROR(AVERAGEIFS(COM_All!AG$2:AG$999,COM_All!$B$2:$B$999,"="&amp;$A$4,COM_All!$C$2:$C$999,"="&amp;'INS-UPD Heat'!$A15),"")</f>
        <v>0.79285459180531803</v>
      </c>
      <c r="BS15" s="32">
        <f>IFERROR(AVERAGEIFS(COM_All!AH$2:AH$999,COM_All!$B$2:$B$999,"="&amp;$A$4,COM_All!$C$2:$C$999,"="&amp;'INS-UPD Heat'!$A15),"")</f>
        <v>0.83142964572192501</v>
      </c>
      <c r="BT15" s="32">
        <f>IFERROR(AVERAGEIFS(COM_All!AI$2:AI$999,COM_All!$B$2:$B$999,"="&amp;$A$4,COM_All!$C$2:$C$999,"="&amp;'INS-UPD Heat'!$A15),"")</f>
        <v>0.82371178025565905</v>
      </c>
      <c r="BU15" s="32">
        <f>IFERROR(AVERAGEIFS(COM_All!AJ$2:AJ$999,COM_All!$B$2:$B$999,"="&amp;$A$4,COM_All!$C$2:$C$999,"="&amp;'INS-UPD Heat'!$A15),"")</f>
        <v>0.80000000000000004</v>
      </c>
      <c r="BV15" s="32">
        <f>IFERROR(AVERAGEIFS(COM_All!AK$2:AK$999,COM_All!$B$2:$B$999,"="&amp;$A$4,COM_All!$C$2:$C$999,"="&amp;'INS-UPD Heat'!$A15),"")</f>
        <v>0.80000000000000004</v>
      </c>
      <c r="BW15" s="32">
        <f>IFERROR(AVERAGEIFS(COM_All!AL$2:AL$999,COM_All!$B$2:$B$999,"="&amp;$A$4,COM_All!$C$2:$C$999,"="&amp;'INS-UPD Heat'!$A15),"")</f>
        <v>0.80000000000000004</v>
      </c>
      <c r="BX15" s="32">
        <f>IFERROR(AVERAGEIFS(COM_All!AM$2:AM$999,COM_All!$B$2:$B$999,"="&amp;$A$4,COM_All!$C$2:$C$999,"="&amp;'INS-UPD Heat'!$A15),"")</f>
        <v>0.89314316964932305</v>
      </c>
      <c r="BY15" s="32">
        <f>IFERROR(AVERAGEIFS(COM_All!AN$2:AN$999,COM_All!$B$2:$B$999,"="&amp;$A$4,COM_All!$C$2:$C$999,"="&amp;'INS-UPD Heat'!$A15),"")</f>
        <v>0.83142781689006795</v>
      </c>
      <c r="BZ15" s="32">
        <f>IFERROR(AVERAGEIFS(COM_All!AO$2:AO$999,COM_All!$B$2:$B$999,"="&amp;$A$4,COM_All!$C$2:$C$999,"="&amp;'INS-UPD Heat'!$A15),"")</f>
        <v>0.82371353985987195</v>
      </c>
      <c r="CA15" s="32">
        <f>IFERROR(AVERAGEIFS(COM_All!AP$2:AP$999,COM_All!$B$2:$B$999,"="&amp;$A$4,COM_All!$C$2:$C$999,"="&amp;'INS-UPD Heat'!$A15),"")</f>
        <v>0.77743071353682403</v>
      </c>
      <c r="CB15" s="32">
        <f>IFERROR(AVERAGEIFS(COM_All!AQ$2:AQ$999,COM_All!$B$2:$B$999,"="&amp;$A$4,COM_All!$C$2:$C$999,"="&amp;'INS-UPD Heat'!$A15),"")</f>
        <v>0.81214265249940798</v>
      </c>
      <c r="CC15" s="32">
        <f>IFERROR(AVERAGEIFS(COM_All!AR$2:AR$999,COM_All!$B$2:$B$999,"="&amp;$A$4,COM_All!$C$2:$C$999,"="&amp;'INS-UPD Heat'!$A15),"")</f>
        <v>0.80000000000000004</v>
      </c>
      <c r="CD15" s="32">
        <f>IFERROR(AVERAGEIFS(COM_All!AS$2:AS$999,COM_All!$B$2:$B$999,"="&amp;$A$4,COM_All!$C$2:$C$999,"="&amp;'INS-UPD Heat'!$A15),"")</f>
        <v>0.79285469678245502</v>
      </c>
      <c r="CE15" s="32">
        <f>IFERROR(AVERAGEIFS(COM_All!AT$2:AT$999,COM_All!$B$2:$B$999,"="&amp;$A$4,COM_All!$C$2:$C$999,"="&amp;'INS-UPD Heat'!$A15),"")</f>
        <v>0.86228726595308003</v>
      </c>
      <c r="CF15" s="32">
        <f>IFERROR(AVERAGEIFS(COM_All!AU$2:AU$999,COM_All!$B$2:$B$999,"="&amp;$A$4,COM_All!$C$2:$C$999,"="&amp;'INS-UPD Heat'!$A15),"")</f>
        <v>0.80828694242830001</v>
      </c>
      <c r="CG15" s="33">
        <f>IFERROR(AVERAGEIFS(COM_All!AV$2:AV$999,COM_All!$B$2:$B$999,"="&amp;$A$4,COM_All!$C$2:$C$999,"="&amp;'INS-UPD Heat'!$A15),"")</f>
        <v>0.83142879399815395</v>
      </c>
    </row>
    <row r="16" spans="1:85" ht="39">
      <c r="A16" t="s">
        <v>132</v>
      </c>
      <c r="C16" t="s">
        <v>29</v>
      </c>
      <c r="D16" s="75" t="s">
        <v>410</v>
      </c>
      <c r="H16" s="54"/>
      <c r="I16" t="str">
        <f t="shared" si="3"/>
        <v>*0.814695640040816</v>
      </c>
      <c r="J16" t="str">
        <f t="shared" si="38"/>
        <v>*0.866863618757606</v>
      </c>
      <c r="K16" t="str">
        <f t="shared" si="39"/>
        <v>*0.814695640040816</v>
      </c>
      <c r="L16" t="str">
        <f t="shared" si="40"/>
        <v>*0.829770066565543</v>
      </c>
      <c r="M16" t="str">
        <f t="shared" si="6"/>
        <v>*0.670139292549879</v>
      </c>
      <c r="N16" t="str">
        <f t="shared" si="7"/>
        <v>*1</v>
      </c>
      <c r="O16" t="str">
        <f t="shared" si="8"/>
        <v>*0.806570689531818</v>
      </c>
      <c r="P16" t="str">
        <f t="shared" si="9"/>
        <v>*0.783236858692403</v>
      </c>
      <c r="Q16" s="48" t="str">
        <f t="shared" si="4"/>
        <v>*1.16338718199139</v>
      </c>
      <c r="R16" t="str">
        <f t="shared" si="10"/>
        <v>*0.964160419172593</v>
      </c>
      <c r="S16" t="str">
        <f t="shared" si="11"/>
        <v>*0.707243659269144</v>
      </c>
      <c r="T16" t="str">
        <f t="shared" si="12"/>
        <v>*0.814695640040816</v>
      </c>
      <c r="U16" t="str">
        <f t="shared" si="13"/>
        <v>*0.880205881297254</v>
      </c>
      <c r="V16" t="str">
        <f t="shared" si="14"/>
        <v>*0.915248470397476</v>
      </c>
      <c r="W16" t="str">
        <f t="shared" si="15"/>
        <v>*0.982636396644647</v>
      </c>
      <c r="X16" t="str">
        <f t="shared" si="16"/>
        <v>*0.731393580117313</v>
      </c>
      <c r="Y16" t="str">
        <f t="shared" si="17"/>
        <v>*0.847123481616257</v>
      </c>
      <c r="Z16" t="str">
        <f t="shared" si="18"/>
        <v>*0.856585176139782</v>
      </c>
      <c r="AA16" t="str">
        <f t="shared" si="19"/>
        <v>*0.964160419172593</v>
      </c>
      <c r="AB16" t="str">
        <f t="shared" si="20"/>
        <v>*0.975703024004163</v>
      </c>
      <c r="AC16" t="str">
        <f t="shared" si="21"/>
        <v>*0.814695640040816</v>
      </c>
      <c r="AD16" t="str">
        <f t="shared" si="22"/>
        <v>*0.801302174406614</v>
      </c>
      <c r="AE16" t="str">
        <f t="shared" si="23"/>
        <v>*1.04929722822849</v>
      </c>
      <c r="AF16" t="str">
        <f t="shared" si="24"/>
        <v>*0.802607320234305</v>
      </c>
      <c r="AG16" t="str">
        <f t="shared" si="25"/>
        <v>*0.814695640040816</v>
      </c>
      <c r="AH16" t="str">
        <f t="shared" si="26"/>
        <v>*0.814695640040816</v>
      </c>
      <c r="AI16" t="str">
        <f t="shared" si="27"/>
        <v>*0.662075744685471</v>
      </c>
      <c r="AJ16" t="str">
        <f t="shared" si="28"/>
        <v>*1.09991267506868</v>
      </c>
      <c r="AK16" t="str">
        <f t="shared" si="29"/>
        <v>*0.964160419172593</v>
      </c>
      <c r="AL16" t="str">
        <f t="shared" si="30"/>
        <v>*0.973806550892689</v>
      </c>
      <c r="AM16" t="str">
        <f t="shared" si="31"/>
        <v>*0.840908698492736</v>
      </c>
      <c r="AN16" t="str">
        <f t="shared" si="32"/>
        <v>*0.752940453106604</v>
      </c>
      <c r="AO16" t="str">
        <f t="shared" si="33"/>
        <v>*0.814695640040816</v>
      </c>
      <c r="AP16" t="str">
        <f t="shared" si="34"/>
        <v>*0.885880097942198</v>
      </c>
      <c r="AQ16" t="str">
        <f t="shared" si="35"/>
        <v>*0.839394722196866</v>
      </c>
      <c r="AR16" t="str">
        <f t="shared" si="36"/>
        <v>*0.812611601321336</v>
      </c>
      <c r="AS16" s="49" t="str">
        <f t="shared" si="37"/>
        <v>*1.05673460932283</v>
      </c>
      <c r="AV16" s="31">
        <f t="shared" si="5"/>
        <v>1.0069758378551188</v>
      </c>
      <c r="AW16" s="32">
        <f>IFERROR(AVERAGEIFS(COM_All!L$2:L$999,COM_All!$B$2:$B$999,"="&amp;$A$4,COM_All!$C$2:$C$999,"="&amp;'INS-UPD Heat'!$A16),"")</f>
        <v>0.94780646484775699</v>
      </c>
      <c r="AX16" s="32">
        <f>IFERROR(AVERAGEIFS(COM_All!M$2:M$999,COM_All!$B$2:$B$999,"="&amp;$A$4,COM_All!$C$2:$C$999,"="&amp;'INS-UPD Heat'!$A16),"")</f>
        <v>1.0084980225972699</v>
      </c>
      <c r="AY16" s="32">
        <f>IFERROR(AVERAGEIFS(COM_All!N$2:N$999,COM_All!$B$2:$B$999,"="&amp;$A$4,COM_All!$C$2:$C$999,"="&amp;'INS-UPD Heat'!$A16),"")</f>
        <v>0.94780646484775699</v>
      </c>
      <c r="AZ16" s="32">
        <f>IFERROR(AVERAGEIFS(COM_All!O$2:O$999,COM_All!$B$2:$B$999,"="&amp;$A$4,COM_All!$C$2:$C$999,"="&amp;'INS-UPD Heat'!$A16),"")</f>
        <v>0.96534385944249501</v>
      </c>
      <c r="BA16" s="32">
        <f>IFERROR(AVERAGEIFS(COM_All!P$2:P$999,COM_All!$B$2:$B$999,"="&amp;$A$4,COM_All!$C$2:$C$999,"="&amp;'INS-UPD Heat'!$A16),"")</f>
        <v>0.77963146310130704</v>
      </c>
      <c r="BB16" s="32">
        <f>IFERROR(AVERAGEIFS(COM_All!Q$2:Q$999,COM_All!$B$2:$B$999,"="&amp;$A$4,COM_All!$C$2:$C$999,"="&amp;'INS-UPD Heat'!$A16),"")</f>
        <v>1.1633871819913899</v>
      </c>
      <c r="BC16" s="32">
        <f>IFERROR(AVERAGEIFS(COM_All!R$2:R$999,COM_All!$B$2:$B$999,"="&amp;$A$4,COM_All!$C$2:$C$999,"="&amp;'INS-UPD Heat'!$A16),"")</f>
        <v>0.93835400157127402</v>
      </c>
      <c r="BD16" s="32">
        <f>IFERROR(AVERAGEIFS(COM_All!S$2:S$999,COM_All!$B$2:$B$999,"="&amp;$A$4,COM_All!$C$2:$C$999,"="&amp;'INS-UPD Heat'!$A16),"")</f>
        <v>0.91120772186594301</v>
      </c>
      <c r="BE16" s="32">
        <f>IFERROR(AVERAGEIFS(COM_All!T$2:T$999,COM_All!$B$2:$B$999,"="&amp;$A$4,COM_All!$C$2:$C$999,"="&amp;'INS-UPD Heat'!$A16),"")</f>
        <v>1.1633871819913899</v>
      </c>
      <c r="BF16" s="32">
        <f>IFERROR(AVERAGEIFS(COM_All!U$2:U$999,COM_All!$B$2:$B$999,"="&amp;$A$4,COM_All!$C$2:$C$999,"="&amp;'INS-UPD Heat'!$A16),"")</f>
        <v>1.1216918730488401</v>
      </c>
      <c r="BG16" s="32">
        <f>IFERROR(AVERAGEIFS(COM_All!V$2:V$999,COM_All!$B$2:$B$999,"="&amp;$A$4,COM_All!$C$2:$C$999,"="&amp;'INS-UPD Heat'!$A16),"")</f>
        <v>0.82279820773840795</v>
      </c>
      <c r="BH16" s="32">
        <f>IFERROR(AVERAGEIFS(COM_All!W$2:W$999,COM_All!$B$2:$B$999,"="&amp;$A$4,COM_All!$C$2:$C$999,"="&amp;'INS-UPD Heat'!$A16),"")</f>
        <v>0.94780646484775699</v>
      </c>
      <c r="BI16" s="32">
        <f>IFERROR(AVERAGEIFS(COM_All!X$2:X$999,COM_All!$B$2:$B$999,"="&amp;$A$4,COM_All!$C$2:$C$999,"="&amp;'INS-UPD Heat'!$A16),"")</f>
        <v>1.0240202398146601</v>
      </c>
      <c r="BJ16" s="32">
        <f>IFERROR(AVERAGEIFS(COM_All!Y$2:Y$999,COM_All!$B$2:$B$999,"="&amp;$A$4,COM_All!$C$2:$C$999,"="&amp;'INS-UPD Heat'!$A16),"")</f>
        <v>1.06478833879765</v>
      </c>
      <c r="BK16" s="32">
        <f>IFERROR(AVERAGEIFS(COM_All!Z$2:Z$999,COM_All!$B$2:$B$999,"="&amp;$A$4,COM_All!$C$2:$C$999,"="&amp;'INS-UPD Heat'!$A16),"")</f>
        <v>1.14318658841459</v>
      </c>
      <c r="BL16" s="32">
        <f>IFERROR(AVERAGEIFS(COM_All!AA$2:AA$999,COM_All!$B$2:$B$999,"="&amp;$A$4,COM_All!$C$2:$C$999,"="&amp;'INS-UPD Heat'!$A16),"")</f>
        <v>0.85089391609927501</v>
      </c>
      <c r="BM16" s="32">
        <f>IFERROR(AVERAGEIFS(COM_All!AB$2:AB$999,COM_All!$B$2:$B$999,"="&amp;$A$4,COM_All!$C$2:$C$999,"="&amp;'INS-UPD Heat'!$A16),"")</f>
        <v>0.98553260007627197</v>
      </c>
      <c r="BN16" s="32">
        <f>IFERROR(AVERAGEIFS(COM_All!AC$2:AC$999,COM_All!$B$2:$B$999,"="&amp;$A$4,COM_All!$C$2:$C$999,"="&amp;'INS-UPD Heat'!$A16),"")</f>
        <v>0.99654021420485905</v>
      </c>
      <c r="BO16" s="32">
        <f>IFERROR(AVERAGEIFS(COM_All!AD$2:AD$999,COM_All!$B$2:$B$999,"="&amp;$A$4,COM_All!$C$2:$C$999,"="&amp;'INS-UPD Heat'!$A16),"")</f>
        <v>1.1216918730488401</v>
      </c>
      <c r="BP16" s="32">
        <f>IFERROR(AVERAGEIFS(COM_All!AE$2:AE$999,COM_All!$B$2:$B$999,"="&amp;$A$4,COM_All!$C$2:$C$999,"="&amp;'INS-UPD Heat'!$A16),"")</f>
        <v>1.1351203915566801</v>
      </c>
      <c r="BQ16" s="32">
        <f>IFERROR(AVERAGEIFS(COM_All!AF$2:AF$999,COM_All!$B$2:$B$999,"="&amp;$A$4,COM_All!$C$2:$C$999,"="&amp;'INS-UPD Heat'!$A16),"")</f>
        <v>0.94780646484775699</v>
      </c>
      <c r="BR16" s="32">
        <f>IFERROR(AVERAGEIFS(COM_All!AG$2:AG$999,COM_All!$B$2:$B$999,"="&amp;$A$4,COM_All!$C$2:$C$999,"="&amp;'INS-UPD Heat'!$A16),"")</f>
        <v>0.93222467860648395</v>
      </c>
      <c r="BS16" s="32">
        <f>IFERROR(AVERAGEIFS(COM_All!AH$2:AH$999,COM_All!$B$2:$B$999,"="&amp;$A$4,COM_All!$C$2:$C$999,"="&amp;'INS-UPD Heat'!$A16),"")</f>
        <v>1.2207389454201201</v>
      </c>
      <c r="BT16" s="32">
        <f>IFERROR(AVERAGEIFS(COM_All!AI$2:AI$999,COM_All!$B$2:$B$999,"="&amp;$A$4,COM_All!$C$2:$C$999,"="&amp;'INS-UPD Heat'!$A16),"")</f>
        <v>0.933743068533049</v>
      </c>
      <c r="BU16" s="32">
        <f>IFERROR(AVERAGEIFS(COM_All!AJ$2:AJ$999,COM_All!$B$2:$B$999,"="&amp;$A$4,COM_All!$C$2:$C$999,"="&amp;'INS-UPD Heat'!$A16),"")</f>
        <v>0.94780646484775699</v>
      </c>
      <c r="BV16" s="32">
        <f>IFERROR(AVERAGEIFS(COM_All!AK$2:AK$999,COM_All!$B$2:$B$999,"="&amp;$A$4,COM_All!$C$2:$C$999,"="&amp;'INS-UPD Heat'!$A16),"")</f>
        <v>0.94780646484775699</v>
      </c>
      <c r="BW16" s="32">
        <f>IFERROR(AVERAGEIFS(COM_All!AL$2:AL$999,COM_All!$B$2:$B$999,"="&amp;$A$4,COM_All!$C$2:$C$999,"="&amp;'INS-UPD Heat'!$A16),"")</f>
        <v>0.77025043487448097</v>
      </c>
      <c r="BX16" s="32">
        <f>IFERROR(AVERAGEIFS(COM_All!AM$2:AM$999,COM_All!$B$2:$B$999,"="&amp;$A$4,COM_All!$C$2:$C$999,"="&amp;'INS-UPD Heat'!$A16),"")</f>
        <v>1.27962430748476</v>
      </c>
      <c r="BY16" s="32">
        <f>IFERROR(AVERAGEIFS(COM_All!AN$2:AN$999,COM_All!$B$2:$B$999,"="&amp;$A$4,COM_All!$C$2:$C$999,"="&amp;'INS-UPD Heat'!$A16),"")</f>
        <v>1.1216918730488401</v>
      </c>
      <c r="BZ16" s="32">
        <f>IFERROR(AVERAGEIFS(COM_All!AO$2:AO$999,COM_All!$B$2:$B$999,"="&amp;$A$4,COM_All!$C$2:$C$999,"="&amp;'INS-UPD Heat'!$A16),"")</f>
        <v>1.1329140590478</v>
      </c>
      <c r="CA16" s="32">
        <f>IFERROR(AVERAGEIFS(COM_All!AP$2:AP$999,COM_All!$B$2:$B$999,"="&amp;$A$4,COM_All!$C$2:$C$999,"="&amp;'INS-UPD Heat'!$A16),"")</f>
        <v>0.97830240105151101</v>
      </c>
      <c r="CB16" s="32">
        <f>IFERROR(AVERAGEIFS(COM_All!AQ$2:AQ$999,COM_All!$B$2:$B$999,"="&amp;$A$4,COM_All!$C$2:$C$999,"="&amp;'INS-UPD Heat'!$A16),"")</f>
        <v>0.87596127194701201</v>
      </c>
      <c r="CC16" s="32">
        <f>IFERROR(AVERAGEIFS(COM_All!AR$2:AR$999,COM_All!$B$2:$B$999,"="&amp;$A$4,COM_All!$C$2:$C$999,"="&amp;'INS-UPD Heat'!$A16),"")</f>
        <v>0.94780646484775699</v>
      </c>
      <c r="CD16" s="32">
        <f>IFERROR(AVERAGEIFS(COM_All!AS$2:AS$999,COM_All!$B$2:$B$999,"="&amp;$A$4,COM_All!$C$2:$C$999,"="&amp;'INS-UPD Heat'!$A16),"")</f>
        <v>1.0306215507272301</v>
      </c>
      <c r="CE16" s="32">
        <f>IFERROR(AVERAGEIFS(COM_All!AT$2:AT$999,COM_All!$B$2:$B$999,"="&amp;$A$4,COM_All!$C$2:$C$999,"="&amp;'INS-UPD Heat'!$A16),"")</f>
        <v>0.97654106043505795</v>
      </c>
      <c r="CF16" s="32">
        <f>IFERROR(AVERAGEIFS(COM_All!AU$2:AU$999,COM_All!$B$2:$B$999,"="&amp;$A$4,COM_All!$C$2:$C$999,"="&amp;'INS-UPD Heat'!$A16),"")</f>
        <v>0.94538192091474005</v>
      </c>
      <c r="CG16" s="33">
        <f>IFERROR(AVERAGEIFS(COM_All!AV$2:AV$999,COM_All!$B$2:$B$999,"="&amp;$A$4,COM_All!$C$2:$C$999,"="&amp;'INS-UPD Heat'!$A16),"")</f>
        <v>1.2293914992528601</v>
      </c>
    </row>
    <row r="17" spans="1:85" ht="15">
      <c r="A17" t="s">
        <v>133</v>
      </c>
      <c r="C17" t="s">
        <v>29</v>
      </c>
      <c r="D17" t="str">
        <f t="shared" si="2"/>
        <v>C_ES-SH-HR_GA*</v>
      </c>
      <c r="H17" s="54"/>
      <c r="I17" t="str">
        <f t="shared" si="3"/>
        <v>*0.751789844164435</v>
      </c>
      <c r="J17" t="str">
        <f t="shared" si="38"/>
        <v>*0.958971368982325</v>
      </c>
      <c r="K17" t="str">
        <f t="shared" si="39"/>
        <v>*0.751789844164435</v>
      </c>
      <c r="L17" t="str">
        <f t="shared" si="40"/>
        <v>*0.98247021598169</v>
      </c>
      <c r="M17" t="str">
        <f t="shared" si="6"/>
        <v>*0.801022925677764</v>
      </c>
      <c r="N17" t="str">
        <f t="shared" si="7"/>
        <v>*1</v>
      </c>
      <c r="O17" t="str">
        <f t="shared" si="8"/>
        <v>*0.750312177594846</v>
      </c>
      <c r="P17" t="str">
        <f t="shared" si="9"/>
        <v>*0.870852828625521</v>
      </c>
      <c r="Q17" s="48" t="str">
        <f t="shared" si="4"/>
        <v>*0.766721004074585</v>
      </c>
      <c r="R17" t="str">
        <f t="shared" si="10"/>
        <v>*0.916481590266539</v>
      </c>
      <c r="S17" t="str">
        <f t="shared" si="11"/>
        <v>*0.868634629976933</v>
      </c>
      <c r="T17" t="str">
        <f t="shared" si="12"/>
        <v>*0.751789844164435</v>
      </c>
      <c r="U17" t="str">
        <f t="shared" si="13"/>
        <v>*0.831402561906822</v>
      </c>
      <c r="V17" t="str">
        <f t="shared" si="14"/>
        <v>*0.877090057188528</v>
      </c>
      <c r="W17" t="str">
        <f t="shared" si="15"/>
        <v>*0.913903595895035</v>
      </c>
      <c r="X17" t="str">
        <f t="shared" si="16"/>
        <v>*0.887582361489164</v>
      </c>
      <c r="Y17" t="str">
        <f t="shared" si="17"/>
        <v>*0.88826694111973</v>
      </c>
      <c r="Z17" t="str">
        <f t="shared" si="18"/>
        <v>*0.932017066676991</v>
      </c>
      <c r="AA17" t="str">
        <f t="shared" si="19"/>
        <v>*0.916481590266539</v>
      </c>
      <c r="AB17" t="str">
        <f t="shared" si="20"/>
        <v>*0.912611573794044</v>
      </c>
      <c r="AC17" t="str">
        <f t="shared" si="21"/>
        <v>*0.751789844164435</v>
      </c>
      <c r="AD17" t="str">
        <f t="shared" si="22"/>
        <v>*0.868636514902445</v>
      </c>
      <c r="AE17" t="str">
        <f t="shared" si="23"/>
        <v>*0.916280573443744</v>
      </c>
      <c r="AF17" t="str">
        <f t="shared" si="24"/>
        <v>*0.902440555603779</v>
      </c>
      <c r="AG17" t="str">
        <f t="shared" si="25"/>
        <v>*0.751789844164435</v>
      </c>
      <c r="AH17" t="str">
        <f t="shared" si="26"/>
        <v>*0.751789844164435</v>
      </c>
      <c r="AI17" t="str">
        <f t="shared" si="27"/>
        <v>*0.782553232285825</v>
      </c>
      <c r="AJ17" t="str">
        <f t="shared" si="28"/>
        <v>*0.983432278118349</v>
      </c>
      <c r="AK17" t="str">
        <f t="shared" si="29"/>
        <v>*0.916481590266539</v>
      </c>
      <c r="AL17" t="str">
        <f t="shared" si="30"/>
        <v>*0.907097458133649</v>
      </c>
      <c r="AM17" t="str">
        <f t="shared" si="31"/>
        <v>*0.858910478986323</v>
      </c>
      <c r="AN17" t="str">
        <f t="shared" si="32"/>
        <v>*0.890676709498201</v>
      </c>
      <c r="AO17" t="str">
        <f t="shared" si="33"/>
        <v>*0.751789844164435</v>
      </c>
      <c r="AP17" t="str">
        <f t="shared" si="34"/>
        <v>*0.868634823876442</v>
      </c>
      <c r="AQ17" t="str">
        <f t="shared" si="35"/>
        <v>*0.944703220399034</v>
      </c>
      <c r="AR17" t="str">
        <f t="shared" si="36"/>
        <v>*0.887897908847503</v>
      </c>
      <c r="AS17" s="49" t="str">
        <f t="shared" si="37"/>
        <v>*0.915420971135312</v>
      </c>
      <c r="AV17" s="31">
        <f t="shared" si="5"/>
        <v>0.66754039347608862</v>
      </c>
      <c r="AW17" s="32">
        <f>IFERROR(AVERAGEIFS(COM_All!L$2:L$999,COM_All!$B$2:$B$999,"="&amp;$A$4,COM_All!$C$2:$C$999,"="&amp;'INS-UPD Heat'!$A17),"")</f>
        <v>0.57641306417083105</v>
      </c>
      <c r="AX17" s="32">
        <f>IFERROR(AVERAGEIFS(COM_All!M$2:M$999,COM_All!$B$2:$B$999,"="&amp;$A$4,COM_All!$C$2:$C$999,"="&amp;'INS-UPD Heat'!$A17),"")</f>
        <v>0.73526349090490795</v>
      </c>
      <c r="AY17" s="32">
        <f>IFERROR(AVERAGEIFS(COM_All!N$2:N$999,COM_All!$B$2:$B$999,"="&amp;$A$4,COM_All!$C$2:$C$999,"="&amp;'INS-UPD Heat'!$A17),"")</f>
        <v>0.57641306417083105</v>
      </c>
      <c r="AZ17" s="32">
        <f>IFERROR(AVERAGEIFS(COM_All!O$2:O$999,COM_All!$B$2:$B$999,"="&amp;$A$4,COM_All!$C$2:$C$999,"="&amp;'INS-UPD Heat'!$A17),"")</f>
        <v>0.75328055047085596</v>
      </c>
      <c r="BA17" s="32">
        <f>IFERROR(AVERAGEIFS(COM_All!P$2:P$999,COM_All!$B$2:$B$999,"="&amp;$A$4,COM_All!$C$2:$C$999,"="&amp;'INS-UPD Heat'!$A17),"")</f>
        <v>0.61416110186241701</v>
      </c>
      <c r="BB17" s="32">
        <f>IFERROR(AVERAGEIFS(COM_All!Q$2:Q$999,COM_All!$B$2:$B$999,"="&amp;$A$4,COM_All!$C$2:$C$999,"="&amp;'INS-UPD Heat'!$A17),"")</f>
        <v>0.76672100407458499</v>
      </c>
      <c r="BC17" s="32">
        <f>IFERROR(AVERAGEIFS(COM_All!R$2:R$999,COM_All!$B$2:$B$999,"="&amp;$A$4,COM_All!$C$2:$C$999,"="&amp;'INS-UPD Heat'!$A17),"")</f>
        <v>0.57528010617490899</v>
      </c>
      <c r="BD17" s="32">
        <f>IFERROR(AVERAGEIFS(COM_All!S$2:S$999,COM_All!$B$2:$B$999,"="&amp;$A$4,COM_All!$C$2:$C$999,"="&amp;'INS-UPD Heat'!$A17),"")</f>
        <v>0.66770115516495199</v>
      </c>
      <c r="BE17" s="32">
        <f>IFERROR(AVERAGEIFS(COM_All!T$2:T$999,COM_All!$B$2:$B$999,"="&amp;$A$4,COM_All!$C$2:$C$999,"="&amp;'INS-UPD Heat'!$A17),"")</f>
        <v>0.76672100407458499</v>
      </c>
      <c r="BF17" s="32">
        <f>IFERROR(AVERAGEIFS(COM_All!U$2:U$999,COM_All!$B$2:$B$999,"="&amp;$A$4,COM_All!$C$2:$C$999,"="&amp;'INS-UPD Heat'!$A17),"")</f>
        <v>0.70268568510503304</v>
      </c>
      <c r="BG17" s="32">
        <f>IFERROR(AVERAGEIFS(COM_All!V$2:V$999,COM_All!$B$2:$B$999,"="&amp;$A$4,COM_All!$C$2:$C$999,"="&amp;'INS-UPD Heat'!$A17),"")</f>
        <v>0.66600041566987001</v>
      </c>
      <c r="BH17" s="32">
        <f>IFERROR(AVERAGEIFS(COM_All!W$2:W$999,COM_All!$B$2:$B$999,"="&amp;$A$4,COM_All!$C$2:$C$999,"="&amp;'INS-UPD Heat'!$A17),"")</f>
        <v>0.57641306417083105</v>
      </c>
      <c r="BI17" s="32">
        <f>IFERROR(AVERAGEIFS(COM_All!X$2:X$999,COM_All!$B$2:$B$999,"="&amp;$A$4,COM_All!$C$2:$C$999,"="&amp;'INS-UPD Heat'!$A17),"")</f>
        <v>0.63745380705538102</v>
      </c>
      <c r="BJ17" s="32">
        <f>IFERROR(AVERAGEIFS(COM_All!Y$2:Y$999,COM_All!$B$2:$B$999,"="&amp;$A$4,COM_All!$C$2:$C$999,"="&amp;'INS-UPD Heat'!$A17),"")</f>
        <v>0.67248336931142305</v>
      </c>
      <c r="BK17" s="32">
        <f>IFERROR(AVERAGEIFS(COM_All!Z$2:Z$999,COM_All!$B$2:$B$999,"="&amp;$A$4,COM_All!$C$2:$C$999,"="&amp;'INS-UPD Heat'!$A17),"")</f>
        <v>0.70070908267201504</v>
      </c>
      <c r="BL17" s="32">
        <f>IFERROR(AVERAGEIFS(COM_All!AA$2:AA$999,COM_All!$B$2:$B$999,"="&amp;$A$4,COM_All!$C$2:$C$999,"="&amp;'INS-UPD Heat'!$A17),"")</f>
        <v>0.68052803939986295</v>
      </c>
      <c r="BM17" s="32">
        <f>IFERROR(AVERAGEIFS(COM_All!AB$2:AB$999,COM_All!$B$2:$B$999,"="&amp;$A$4,COM_All!$C$2:$C$999,"="&amp;'INS-UPD Heat'!$A17),"")</f>
        <v>0.68105292098157999</v>
      </c>
      <c r="BN17" s="32">
        <f>IFERROR(AVERAGEIFS(COM_All!AC$2:AC$999,COM_All!$B$2:$B$999,"="&amp;$A$4,COM_All!$C$2:$C$999,"="&amp;'INS-UPD Heat'!$A17),"")</f>
        <v>0.71459706117723198</v>
      </c>
      <c r="BO17" s="32">
        <f>IFERROR(AVERAGEIFS(COM_All!AD$2:AD$999,COM_All!$B$2:$B$999,"="&amp;$A$4,COM_All!$C$2:$C$999,"="&amp;'INS-UPD Heat'!$A17),"")</f>
        <v>0.70268568510503304</v>
      </c>
      <c r="BP17" s="32">
        <f>IFERROR(AVERAGEIFS(COM_All!AE$2:AE$999,COM_All!$B$2:$B$999,"="&amp;$A$4,COM_All!$C$2:$C$999,"="&amp;'INS-UPD Heat'!$A17),"")</f>
        <v>0.69971846218945699</v>
      </c>
      <c r="BQ17" s="32">
        <f>IFERROR(AVERAGEIFS(COM_All!AF$2:AF$999,COM_All!$B$2:$B$999,"="&amp;$A$4,COM_All!$C$2:$C$999,"="&amp;'INS-UPD Heat'!$A17),"")</f>
        <v>0.57641306417083105</v>
      </c>
      <c r="BR17" s="32">
        <f>IFERROR(AVERAGEIFS(COM_All!AG$2:AG$999,COM_All!$B$2:$B$999,"="&amp;$A$4,COM_All!$C$2:$C$999,"="&amp;'INS-UPD Heat'!$A17),"")</f>
        <v>0.66600186088185098</v>
      </c>
      <c r="BS17" s="32">
        <f>IFERROR(AVERAGEIFS(COM_All!AH$2:AH$999,COM_All!$B$2:$B$999,"="&amp;$A$4,COM_All!$C$2:$C$999,"="&amp;'INS-UPD Heat'!$A17),"")</f>
        <v>0.70253156128482397</v>
      </c>
      <c r="BT17" s="32">
        <f>IFERROR(AVERAGEIFS(COM_All!AI$2:AI$999,COM_All!$B$2:$B$999,"="&amp;$A$4,COM_All!$C$2:$C$999,"="&amp;'INS-UPD Heat'!$A17),"")</f>
        <v>0.69192012891015597</v>
      </c>
      <c r="BU17" s="32">
        <f>IFERROR(AVERAGEIFS(COM_All!AJ$2:AJ$999,COM_All!$B$2:$B$999,"="&amp;$A$4,COM_All!$C$2:$C$999,"="&amp;'INS-UPD Heat'!$A17),"")</f>
        <v>0.57641306417083105</v>
      </c>
      <c r="BV17" s="32">
        <f>IFERROR(AVERAGEIFS(COM_All!AK$2:AK$999,COM_All!$B$2:$B$999,"="&amp;$A$4,COM_All!$C$2:$C$999,"="&amp;'INS-UPD Heat'!$A17),"")</f>
        <v>0.57641306417083105</v>
      </c>
      <c r="BW17" s="32">
        <f>IFERROR(AVERAGEIFS(COM_All!AL$2:AL$999,COM_All!$B$2:$B$999,"="&amp;$A$4,COM_All!$C$2:$C$999,"="&amp;'INS-UPD Heat'!$A17),"")</f>
        <v>0.59999999999999998</v>
      </c>
      <c r="BX17" s="32">
        <f>IFERROR(AVERAGEIFS(COM_All!AM$2:AM$999,COM_All!$B$2:$B$999,"="&amp;$A$4,COM_All!$C$2:$C$999,"="&amp;'INS-UPD Heat'!$A17),"")</f>
        <v>0.75401818371825702</v>
      </c>
      <c r="BY17" s="32">
        <f>IFERROR(AVERAGEIFS(COM_All!AN$2:AN$999,COM_All!$B$2:$B$999,"="&amp;$A$4,COM_All!$C$2:$C$999,"="&amp;'INS-UPD Heat'!$A17),"")</f>
        <v>0.70268568510503304</v>
      </c>
      <c r="BZ17" s="32">
        <f>IFERROR(AVERAGEIFS(COM_All!AO$2:AO$999,COM_All!$B$2:$B$999,"="&amp;$A$4,COM_All!$C$2:$C$999,"="&amp;'INS-UPD Heat'!$A17),"")</f>
        <v>0.69549067389373498</v>
      </c>
      <c r="CA17" s="32">
        <f>IFERROR(AVERAGEIFS(COM_All!AP$2:AP$999,COM_All!$B$2:$B$999,"="&amp;$A$4,COM_All!$C$2:$C$999,"="&amp;'INS-UPD Heat'!$A17),"")</f>
        <v>0.65854470485857597</v>
      </c>
      <c r="CB17" s="32">
        <f>IFERROR(AVERAGEIFS(COM_All!AQ$2:AQ$999,COM_All!$B$2:$B$999,"="&amp;$A$4,COM_All!$C$2:$C$999,"="&amp;'INS-UPD Heat'!$A17),"")</f>
        <v>0.68290054101230802</v>
      </c>
      <c r="CC17" s="32">
        <f>IFERROR(AVERAGEIFS(COM_All!AR$2:AR$999,COM_All!$B$2:$B$999,"="&amp;$A$4,COM_All!$C$2:$C$999,"="&amp;'INS-UPD Heat'!$A17),"")</f>
        <v>0.57641306417083105</v>
      </c>
      <c r="CD17" s="32">
        <f>IFERROR(AVERAGEIFS(COM_All!AS$2:AS$999,COM_All!$B$2:$B$999,"="&amp;$A$4,COM_All!$C$2:$C$999,"="&amp;'INS-UPD Heat'!$A17),"")</f>
        <v>0.66600056433669597</v>
      </c>
      <c r="CE17" s="32">
        <f>IFERROR(AVERAGEIFS(COM_All!AT$2:AT$999,COM_All!$B$2:$B$999,"="&amp;$A$4,COM_All!$C$2:$C$999,"="&amp;'INS-UPD Heat'!$A17),"")</f>
        <v>0.72432380169684096</v>
      </c>
      <c r="CF17" s="32">
        <f>IFERROR(AVERAGEIFS(COM_All!AU$2:AU$999,COM_All!$B$2:$B$999,"="&amp;$A$4,COM_All!$C$2:$C$999,"="&amp;'INS-UPD Heat'!$A17),"")</f>
        <v>0.68076997618728197</v>
      </c>
      <c r="CG17" s="33">
        <f>IFERROR(AVERAGEIFS(COM_All!AV$2:AV$999,COM_All!$B$2:$B$999,"="&amp;$A$4,COM_All!$C$2:$C$999,"="&amp;'INS-UPD Heat'!$A17),"")</f>
        <v>0.70187248613979802</v>
      </c>
    </row>
    <row r="18" spans="1:85" ht="15">
      <c r="A18" t="s">
        <v>134</v>
      </c>
      <c r="C18" t="s">
        <v>29</v>
      </c>
      <c r="D18" t="str">
        <f t="shared" si="2"/>
        <v>C_ES-SH-HR_OI*</v>
      </c>
      <c r="H18" s="54"/>
      <c r="I18" t="str">
        <f t="shared" si="3"/>
        <v>*0.753773411000091</v>
      </c>
      <c r="J18" t="str">
        <f t="shared" si="38"/>
        <v>*0.957544163772634</v>
      </c>
      <c r="K18" t="str">
        <f t="shared" si="39"/>
        <v>*0.753773411000091</v>
      </c>
      <c r="L18" t="str">
        <f t="shared" si="40"/>
        <v>*0.983016992017122</v>
      </c>
      <c r="M18" t="str">
        <f t="shared" si="6"/>
        <v>*0.804716585177828</v>
      </c>
      <c r="N18" t="str">
        <f t="shared" si="7"/>
        <v>*1</v>
      </c>
      <c r="O18" t="str">
        <f t="shared" si="8"/>
        <v>*0.753771965014407</v>
      </c>
      <c r="P18" t="str">
        <f t="shared" si="9"/>
        <v>*0.872640058113471</v>
      </c>
      <c r="Q18" s="48" t="str">
        <f t="shared" si="4"/>
        <v>*0.715500925014401</v>
      </c>
      <c r="R18" t="str">
        <f t="shared" si="10"/>
        <v>*0.915094452005067</v>
      </c>
      <c r="S18" t="str">
        <f t="shared" si="11"/>
        <v>*0.872638584269094</v>
      </c>
      <c r="T18" t="str">
        <f t="shared" si="12"/>
        <v>*0.753773411000091</v>
      </c>
      <c r="U18" t="str">
        <f t="shared" si="13"/>
        <v>*0.830188634260304</v>
      </c>
      <c r="V18" t="str">
        <f t="shared" si="14"/>
        <v>*0.881132627863442</v>
      </c>
      <c r="W18" t="str">
        <f t="shared" si="15"/>
        <v>*0.915094198262907</v>
      </c>
      <c r="X18" t="str">
        <f t="shared" si="16"/>
        <v>*0.889621616188381</v>
      </c>
      <c r="Y18" t="str">
        <f t="shared" si="17"/>
        <v>*0.768692227740908</v>
      </c>
      <c r="Z18" t="str">
        <f t="shared" si="18"/>
        <v>*0.932072829532384</v>
      </c>
      <c r="AA18" t="str">
        <f t="shared" si="19"/>
        <v>*0.915094452005067</v>
      </c>
      <c r="AB18" t="str">
        <f t="shared" si="20"/>
        <v>*0.915090313213233</v>
      </c>
      <c r="AC18" t="str">
        <f t="shared" si="21"/>
        <v>*0.753773411000091</v>
      </c>
      <c r="AD18" t="str">
        <f t="shared" si="22"/>
        <v>*0.872642317322356</v>
      </c>
      <c r="AE18" t="str">
        <f t="shared" si="23"/>
        <v>*0.915091850300005</v>
      </c>
      <c r="AF18" t="str">
        <f t="shared" si="24"/>
        <v>*0.906603397591183</v>
      </c>
      <c r="AG18" t="str">
        <f t="shared" si="25"/>
        <v>*0.753773411000091</v>
      </c>
      <c r="AH18" t="str">
        <f t="shared" si="26"/>
        <v>*0.753773411000091</v>
      </c>
      <c r="AI18" t="str">
        <f t="shared" si="27"/>
        <v>*0.768692227740908</v>
      </c>
      <c r="AJ18" t="str">
        <f t="shared" si="28"/>
        <v>*0.983020136421328</v>
      </c>
      <c r="AK18" t="str">
        <f t="shared" si="29"/>
        <v>*0.915094452005067</v>
      </c>
      <c r="AL18" t="str">
        <f t="shared" si="30"/>
        <v>*0.906603703265176</v>
      </c>
      <c r="AM18" t="str">
        <f t="shared" si="31"/>
        <v>*0.855661126516543</v>
      </c>
      <c r="AN18" t="str">
        <f t="shared" si="32"/>
        <v>*0.893867563595842</v>
      </c>
      <c r="AO18" t="str">
        <f t="shared" si="33"/>
        <v>*0.753773411000091</v>
      </c>
      <c r="AP18" t="str">
        <f t="shared" si="34"/>
        <v>*0.872639506876678</v>
      </c>
      <c r="AQ18" t="str">
        <f t="shared" si="35"/>
        <v>*0.94905683960654</v>
      </c>
      <c r="AR18" t="str">
        <f t="shared" si="36"/>
        <v>*0.889623028548323</v>
      </c>
      <c r="AS18" s="49" t="str">
        <f t="shared" si="37"/>
        <v>*0.915091716306065</v>
      </c>
      <c r="AV18" s="31">
        <f t="shared" si="5"/>
        <v>0.62125807174643299</v>
      </c>
      <c r="AW18" s="32">
        <f>IFERROR(AVERAGEIFS(COM_All!L$2:L$999,COM_All!$B$2:$B$999,"="&amp;$A$4,COM_All!$C$2:$C$999,"="&amp;'INS-UPD Heat'!$A18),"")</f>
        <v>0.53932557282182503</v>
      </c>
      <c r="AX18" s="32">
        <f>IFERROR(AVERAGEIFS(COM_All!M$2:M$999,COM_All!$B$2:$B$999,"="&amp;$A$4,COM_All!$C$2:$C$999,"="&amp;'INS-UPD Heat'!$A18),"")</f>
        <v>0.68512373492146095</v>
      </c>
      <c r="AY18" s="32">
        <f>IFERROR(AVERAGEIFS(COM_All!N$2:N$999,COM_All!$B$2:$B$999,"="&amp;$A$4,COM_All!$C$2:$C$999,"="&amp;'INS-UPD Heat'!$A18),"")</f>
        <v>0.53932557282182503</v>
      </c>
      <c r="AZ18" s="32">
        <f>IFERROR(AVERAGEIFS(COM_All!O$2:O$999,COM_All!$B$2:$B$999,"="&amp;$A$4,COM_All!$C$2:$C$999,"="&amp;'INS-UPD Heat'!$A18),"")</f>
        <v>0.70334956709312502</v>
      </c>
      <c r="BA18" s="32">
        <f>IFERROR(AVERAGEIFS(COM_All!P$2:P$999,COM_All!$B$2:$B$999,"="&amp;$A$4,COM_All!$C$2:$C$999,"="&amp;'INS-UPD Heat'!$A18),"")</f>
        <v>0.57577546106916599</v>
      </c>
      <c r="BB18" s="32">
        <f>IFERROR(AVERAGEIFS(COM_All!Q$2:Q$999,COM_All!$B$2:$B$999,"="&amp;$A$4,COM_All!$C$2:$C$999,"="&amp;'INS-UPD Heat'!$A18),"")</f>
        <v>0.71550092501440099</v>
      </c>
      <c r="BC18" s="32">
        <f>IFERROR(AVERAGEIFS(COM_All!R$2:R$999,COM_All!$B$2:$B$999,"="&amp;$A$4,COM_All!$C$2:$C$999,"="&amp;'INS-UPD Heat'!$A18),"")</f>
        <v>0.53932453821773096</v>
      </c>
      <c r="BD18" s="32">
        <f>IFERROR(AVERAGEIFS(COM_All!S$2:S$999,COM_All!$B$2:$B$999,"="&amp;$A$4,COM_All!$C$2:$C$999,"="&amp;'INS-UPD Heat'!$A18),"")</f>
        <v>0.62437476878480902</v>
      </c>
      <c r="BE18" s="32">
        <f>IFERROR(AVERAGEIFS(COM_All!T$2:T$999,COM_All!$B$2:$B$999,"="&amp;$A$4,COM_All!$C$2:$C$999,"="&amp;'INS-UPD Heat'!$A18),"")</f>
        <v>0.71550092501440099</v>
      </c>
      <c r="BF18" s="32">
        <f>IFERROR(AVERAGEIFS(COM_All!U$2:U$999,COM_All!$B$2:$B$999,"="&amp;$A$4,COM_All!$C$2:$C$999,"="&amp;'INS-UPD Heat'!$A18),"")</f>
        <v>0.654750926885172</v>
      </c>
      <c r="BG18" s="32">
        <f>IFERROR(AVERAGEIFS(COM_All!V$2:V$999,COM_All!$B$2:$B$999,"="&amp;$A$4,COM_All!$C$2:$C$999,"="&amp;'INS-UPD Heat'!$A18),"")</f>
        <v>0.62437371424779398</v>
      </c>
      <c r="BH18" s="32">
        <f>IFERROR(AVERAGEIFS(COM_All!W$2:W$999,COM_All!$B$2:$B$999,"="&amp;$A$4,COM_All!$C$2:$C$999,"="&amp;'INS-UPD Heat'!$A18),"")</f>
        <v>0.53932557282182503</v>
      </c>
      <c r="BI18" s="32">
        <f>IFERROR(AVERAGEIFS(COM_All!X$2:X$999,COM_All!$B$2:$B$999,"="&amp;$A$4,COM_All!$C$2:$C$999,"="&amp;'INS-UPD Heat'!$A18),"")</f>
        <v>0.59400073574969003</v>
      </c>
      <c r="BJ18" s="32">
        <f>IFERROR(AVERAGEIFS(COM_All!Y$2:Y$999,COM_All!$B$2:$B$999,"="&amp;$A$4,COM_All!$C$2:$C$999,"="&amp;'INS-UPD Heat'!$A18),"")</f>
        <v>0.63045121029666296</v>
      </c>
      <c r="BK18" s="32">
        <f>IFERROR(AVERAGEIFS(COM_All!Z$2:Z$999,COM_All!$B$2:$B$999,"="&amp;$A$4,COM_All!$C$2:$C$999,"="&amp;'INS-UPD Heat'!$A18),"")</f>
        <v>0.65475074533242195</v>
      </c>
      <c r="BL18" s="32">
        <f>IFERROR(AVERAGEIFS(COM_All!AA$2:AA$999,COM_All!$B$2:$B$999,"="&amp;$A$4,COM_All!$C$2:$C$999,"="&amp;'INS-UPD Heat'!$A18),"")</f>
        <v>0.63652508929559304</v>
      </c>
      <c r="BM18" s="32">
        <f>IFERROR(AVERAGEIFS(COM_All!AB$2:AB$999,COM_All!$B$2:$B$999,"="&amp;$A$4,COM_All!$C$2:$C$999,"="&amp;'INS-UPD Heat'!$A18),"")</f>
        <v>0.55000000000000004</v>
      </c>
      <c r="BN18" s="32">
        <f>IFERROR(AVERAGEIFS(COM_All!AC$2:AC$999,COM_All!$B$2:$B$999,"="&amp;$A$4,COM_All!$C$2:$C$999,"="&amp;'INS-UPD Heat'!$A18),"")</f>
        <v>0.66689897171121104</v>
      </c>
      <c r="BO18" s="32">
        <f>IFERROR(AVERAGEIFS(COM_All!AD$2:AD$999,COM_All!$B$2:$B$999,"="&amp;$A$4,COM_All!$C$2:$C$999,"="&amp;'INS-UPD Heat'!$A18),"")</f>
        <v>0.654750926885172</v>
      </c>
      <c r="BP18" s="32">
        <f>IFERROR(AVERAGEIFS(COM_All!AE$2:AE$999,COM_All!$B$2:$B$999,"="&amp;$A$4,COM_All!$C$2:$C$999,"="&amp;'INS-UPD Heat'!$A18),"")</f>
        <v>0.65474796557578596</v>
      </c>
      <c r="BQ18" s="32">
        <f>IFERROR(AVERAGEIFS(COM_All!AF$2:AF$999,COM_All!$B$2:$B$999,"="&amp;$A$4,COM_All!$C$2:$C$999,"="&amp;'INS-UPD Heat'!$A18),"")</f>
        <v>0.53932557282182503</v>
      </c>
      <c r="BR18" s="32">
        <f>IFERROR(AVERAGEIFS(COM_All!AG$2:AG$999,COM_All!$B$2:$B$999,"="&amp;$A$4,COM_All!$C$2:$C$999,"="&amp;'INS-UPD Heat'!$A18),"")</f>
        <v>0.62437638525085604</v>
      </c>
      <c r="BS18" s="32">
        <f>IFERROR(AVERAGEIFS(COM_All!AH$2:AH$999,COM_All!$B$2:$B$999,"="&amp;$A$4,COM_All!$C$2:$C$999,"="&amp;'INS-UPD Heat'!$A18),"")</f>
        <v>0.65474906536279298</v>
      </c>
      <c r="BT18" s="32">
        <f>IFERROR(AVERAGEIFS(COM_All!AI$2:AI$999,COM_All!$B$2:$B$999,"="&amp;$A$4,COM_All!$C$2:$C$999,"="&amp;'INS-UPD Heat'!$A18),"")</f>
        <v>0.64867556959769002</v>
      </c>
      <c r="BU18" s="32">
        <f>IFERROR(AVERAGEIFS(COM_All!AJ$2:AJ$999,COM_All!$B$2:$B$999,"="&amp;$A$4,COM_All!$C$2:$C$999,"="&amp;'INS-UPD Heat'!$A18),"")</f>
        <v>0.53932557282182503</v>
      </c>
      <c r="BV18" s="32">
        <f>IFERROR(AVERAGEIFS(COM_All!AK$2:AK$999,COM_All!$B$2:$B$999,"="&amp;$A$4,COM_All!$C$2:$C$999,"="&amp;'INS-UPD Heat'!$A18),"")</f>
        <v>0.53932557282182503</v>
      </c>
      <c r="BW18" s="32">
        <f>IFERROR(AVERAGEIFS(COM_All!AL$2:AL$999,COM_All!$B$2:$B$999,"="&amp;$A$4,COM_All!$C$2:$C$999,"="&amp;'INS-UPD Heat'!$A18),"")</f>
        <v>0.55000000000000004</v>
      </c>
      <c r="BX18" s="32">
        <f>IFERROR(AVERAGEIFS(COM_All!AM$2:AM$999,COM_All!$B$2:$B$999,"="&amp;$A$4,COM_All!$C$2:$C$999,"="&amp;'INS-UPD Heat'!$A18),"")</f>
        <v>0.70335181691724302</v>
      </c>
      <c r="BY18" s="32">
        <f>IFERROR(AVERAGEIFS(COM_All!AN$2:AN$999,COM_All!$B$2:$B$999,"="&amp;$A$4,COM_All!$C$2:$C$999,"="&amp;'INS-UPD Heat'!$A18),"")</f>
        <v>0.654750926885172</v>
      </c>
      <c r="BZ18" s="32">
        <f>IFERROR(AVERAGEIFS(COM_All!AO$2:AO$999,COM_All!$B$2:$B$999,"="&amp;$A$4,COM_All!$C$2:$C$999,"="&amp;'INS-UPD Heat'!$A18),"")</f>
        <v>0.648675788307715</v>
      </c>
      <c r="CA18" s="32">
        <f>IFERROR(AVERAGEIFS(COM_All!AP$2:AP$999,COM_All!$B$2:$B$999,"="&amp;$A$4,COM_All!$C$2:$C$999,"="&amp;'INS-UPD Heat'!$A18),"")</f>
        <v>0.61222632752145101</v>
      </c>
      <c r="CB18" s="32">
        <f>IFERROR(AVERAGEIFS(COM_All!AQ$2:AQ$999,COM_All!$B$2:$B$999,"="&amp;$A$4,COM_All!$C$2:$C$999,"="&amp;'INS-UPD Heat'!$A18),"")</f>
        <v>0.63956306859319401</v>
      </c>
      <c r="CC18" s="32">
        <f>IFERROR(AVERAGEIFS(COM_All!AR$2:AR$999,COM_All!$B$2:$B$999,"="&amp;$A$4,COM_All!$C$2:$C$999,"="&amp;'INS-UPD Heat'!$A18),"")</f>
        <v>0.53932557282182503</v>
      </c>
      <c r="CD18" s="32">
        <f>IFERROR(AVERAGEIFS(COM_All!AS$2:AS$999,COM_All!$B$2:$B$999,"="&amp;$A$4,COM_All!$C$2:$C$999,"="&amp;'INS-UPD Heat'!$A18),"")</f>
        <v>0.62437437437437404</v>
      </c>
      <c r="CE18" s="32">
        <f>IFERROR(AVERAGEIFS(COM_All!AT$2:AT$999,COM_All!$B$2:$B$999,"="&amp;$A$4,COM_All!$C$2:$C$999,"="&amp;'INS-UPD Heat'!$A18),"")</f>
        <v>0.67905104662972304</v>
      </c>
      <c r="CF18" s="32">
        <f>IFERROR(AVERAGEIFS(COM_All!AU$2:AU$999,COM_All!$B$2:$B$999,"="&amp;$A$4,COM_All!$C$2:$C$999,"="&amp;'INS-UPD Heat'!$A18),"")</f>
        <v>0.63652609984043795</v>
      </c>
      <c r="CG18" s="33">
        <f>IFERROR(AVERAGEIFS(COM_All!AV$2:AV$999,COM_All!$B$2:$B$999,"="&amp;$A$4,COM_All!$C$2:$C$999,"="&amp;'INS-UPD Heat'!$A18),"")</f>
        <v>0.65474896949000505</v>
      </c>
    </row>
    <row r="19" spans="1:85" ht="15">
      <c r="A19" t="s">
        <v>135</v>
      </c>
      <c r="C19" t="s">
        <v>29</v>
      </c>
      <c r="D19" t="str">
        <f t="shared" si="2"/>
        <v>C_ES-SH-HR_GE*</v>
      </c>
      <c r="H19" s="54"/>
      <c r="I19" t="str">
        <f t="shared" si="3"/>
        <v>*1</v>
      </c>
      <c r="J19" t="str">
        <f t="shared" si="38"/>
        <v>*1.18071512418715</v>
      </c>
      <c r="K19" t="str">
        <f t="shared" si="39"/>
        <v>*1</v>
      </c>
      <c r="L19" t="str">
        <f t="shared" si="40"/>
        <v>*1</v>
      </c>
      <c r="M19" t="str">
        <f t="shared" si="6"/>
        <v>*0.992265584693816</v>
      </c>
      <c r="N19" t="str">
        <f t="shared" si="7"/>
        <v>*1</v>
      </c>
      <c r="O19" t="str">
        <f t="shared" si="8"/>
        <v>*1</v>
      </c>
      <c r="P19" t="str">
        <f t="shared" si="9"/>
        <v>*1</v>
      </c>
      <c r="Q19" s="48" t="str">
        <f t="shared" si="4"/>
        <v>*0.7</v>
      </c>
      <c r="R19" t="str">
        <f t="shared" si="10"/>
        <v>*1</v>
      </c>
      <c r="S19" t="str">
        <f t="shared" si="11"/>
        <v>*1</v>
      </c>
      <c r="T19" t="str">
        <f t="shared" si="12"/>
        <v>*1</v>
      </c>
      <c r="U19" t="str">
        <f t="shared" si="13"/>
        <v>*1.02367221742178</v>
      </c>
      <c r="V19" t="str">
        <f t="shared" si="14"/>
        <v>*1</v>
      </c>
      <c r="W19" t="str">
        <f t="shared" si="15"/>
        <v>*1.12836642882944</v>
      </c>
      <c r="X19" t="str">
        <f t="shared" si="16"/>
        <v>*1.09695901278096</v>
      </c>
      <c r="Y19" t="str">
        <f t="shared" si="17"/>
        <v>*1.09695874032411</v>
      </c>
      <c r="Z19" t="str">
        <f t="shared" si="18"/>
        <v>*1</v>
      </c>
      <c r="AA19" t="str">
        <f t="shared" si="19"/>
        <v>*1</v>
      </c>
      <c r="AB19" t="str">
        <f t="shared" si="20"/>
        <v>*1.12836780488483</v>
      </c>
      <c r="AC19" t="str">
        <f t="shared" si="21"/>
        <v>*1</v>
      </c>
      <c r="AD19" t="str">
        <f t="shared" si="22"/>
        <v>*1</v>
      </c>
      <c r="AE19" t="str">
        <f t="shared" si="23"/>
        <v>*1</v>
      </c>
      <c r="AF19" t="str">
        <f t="shared" si="24"/>
        <v>*1</v>
      </c>
      <c r="AG19" t="str">
        <f t="shared" si="25"/>
        <v>*1</v>
      </c>
      <c r="AH19" t="str">
        <f t="shared" si="26"/>
        <v>*1</v>
      </c>
      <c r="AI19" t="str">
        <f t="shared" si="27"/>
        <v>*1</v>
      </c>
      <c r="AJ19" t="str">
        <f t="shared" si="28"/>
        <v>*1</v>
      </c>
      <c r="AK19" t="str">
        <f t="shared" si="29"/>
        <v>*1</v>
      </c>
      <c r="AL19" t="str">
        <f t="shared" si="30"/>
        <v>*1.11789847320821</v>
      </c>
      <c r="AM19" t="str">
        <f t="shared" si="31"/>
        <v>*1.05508137432188</v>
      </c>
      <c r="AN19" t="str">
        <f t="shared" si="32"/>
        <v>*1.10219424337653</v>
      </c>
      <c r="AO19" t="str">
        <f t="shared" si="33"/>
        <v>*1</v>
      </c>
      <c r="AP19" t="str">
        <f t="shared" si="34"/>
        <v>*1</v>
      </c>
      <c r="AQ19" t="str">
        <f t="shared" si="35"/>
        <v>*1.17024478027022</v>
      </c>
      <c r="AR19" t="str">
        <f t="shared" si="36"/>
        <v>*1.0969585751785</v>
      </c>
      <c r="AS19" s="49" t="str">
        <f t="shared" si="37"/>
        <v>*1.12836656997825</v>
      </c>
      <c r="AV19" s="31">
        <f t="shared" si="5"/>
        <v>0.72493606082753959</v>
      </c>
      <c r="AW19" s="32">
        <f>IFERROR(AVERAGEIFS(COM_All!L$2:L$999,COM_All!$B$2:$B$999,"="&amp;$A$4,COM_All!$C$2:$C$999,"="&amp;'INS-UPD Heat'!$A19),"")</f>
        <v>0.69999999999999996</v>
      </c>
      <c r="AX19" s="32">
        <f>IFERROR(AVERAGEIFS(COM_All!M$2:M$999,COM_All!$B$2:$B$999,"="&amp;$A$4,COM_All!$C$2:$C$999,"="&amp;'INS-UPD Heat'!$A19),"")</f>
        <v>0.82650058693100303</v>
      </c>
      <c r="AY19" s="32">
        <f>IFERROR(AVERAGEIFS(COM_All!N$2:N$999,COM_All!$B$2:$B$999,"="&amp;$A$4,COM_All!$C$2:$C$999,"="&amp;'INS-UPD Heat'!$A19),"")</f>
        <v>0.69999999999999996</v>
      </c>
      <c r="AZ19" s="32">
        <f>IFERROR(AVERAGEIFS(COM_All!O$2:O$999,COM_All!$B$2:$B$999,"="&amp;$A$4,COM_All!$C$2:$C$999,"="&amp;'INS-UPD Heat'!$A19),"")</f>
        <v>0.69999999999999996</v>
      </c>
      <c r="BA19" s="32">
        <f>IFERROR(AVERAGEIFS(COM_All!P$2:P$999,COM_All!$B$2:$B$999,"="&amp;$A$4,COM_All!$C$2:$C$999,"="&amp;'INS-UPD Heat'!$A19),"")</f>
        <v>0.69458590928567099</v>
      </c>
      <c r="BB19" s="32">
        <f>IFERROR(AVERAGEIFS(COM_All!Q$2:Q$999,COM_All!$B$2:$B$999,"="&amp;$A$4,COM_All!$C$2:$C$999,"="&amp;'INS-UPD Heat'!$A19),"")</f>
        <v>0.69999999999999996</v>
      </c>
      <c r="BC19" s="32">
        <f>IFERROR(AVERAGEIFS(COM_All!R$2:R$999,COM_All!$B$2:$B$999,"="&amp;$A$4,COM_All!$C$2:$C$999,"="&amp;'INS-UPD Heat'!$A19),"")</f>
        <v>0.69999999999999996</v>
      </c>
      <c r="BD19" s="32">
        <f>IFERROR(AVERAGEIFS(COM_All!S$2:S$999,COM_All!$B$2:$B$999,"="&amp;$A$4,COM_All!$C$2:$C$999,"="&amp;'INS-UPD Heat'!$A19),"")</f>
        <v>0.69999999999999996</v>
      </c>
      <c r="BE19" s="32">
        <f>IFERROR(AVERAGEIFS(COM_All!T$2:T$999,COM_All!$B$2:$B$999,"="&amp;$A$4,COM_All!$C$2:$C$999,"="&amp;'INS-UPD Heat'!$A19),"")</f>
        <v>0.69999999999999996</v>
      </c>
      <c r="BF19" s="32">
        <f>IFERROR(AVERAGEIFS(COM_All!U$2:U$999,COM_All!$B$2:$B$999,"="&amp;$A$4,COM_All!$C$2:$C$999,"="&amp;'INS-UPD Heat'!$A19),"")</f>
        <v>0.69999999999999996</v>
      </c>
      <c r="BG19" s="32">
        <f>IFERROR(AVERAGEIFS(COM_All!V$2:V$999,COM_All!$B$2:$B$999,"="&amp;$A$4,COM_All!$C$2:$C$999,"="&amp;'INS-UPD Heat'!$A19),"")</f>
        <v>0.69999999999999996</v>
      </c>
      <c r="BH19" s="32">
        <f>IFERROR(AVERAGEIFS(COM_All!W$2:W$999,COM_All!$B$2:$B$999,"="&amp;$A$4,COM_All!$C$2:$C$999,"="&amp;'INS-UPD Heat'!$A19),"")</f>
        <v>0.69999999999999996</v>
      </c>
      <c r="BI19" s="32">
        <f>IFERROR(AVERAGEIFS(COM_All!X$2:X$999,COM_All!$B$2:$B$999,"="&amp;$A$4,COM_All!$C$2:$C$999,"="&amp;'INS-UPD Heat'!$A19),"")</f>
        <v>0.71657055219524401</v>
      </c>
      <c r="BJ19" s="32">
        <f>IFERROR(AVERAGEIFS(COM_All!Y$2:Y$999,COM_All!$B$2:$B$999,"="&amp;$A$4,COM_All!$C$2:$C$999,"="&amp;'INS-UPD Heat'!$A19),"")</f>
        <v>0.69999999999999996</v>
      </c>
      <c r="BK19" s="32">
        <f>IFERROR(AVERAGEIFS(COM_All!Z$2:Z$999,COM_All!$B$2:$B$999,"="&amp;$A$4,COM_All!$C$2:$C$999,"="&amp;'INS-UPD Heat'!$A19),"")</f>
        <v>0.78985650018060605</v>
      </c>
      <c r="BL19" s="32">
        <f>IFERROR(AVERAGEIFS(COM_All!AA$2:AA$999,COM_All!$B$2:$B$999,"="&amp;$A$4,COM_All!$C$2:$C$999,"="&amp;'INS-UPD Heat'!$A19),"")</f>
        <v>0.76787130894667199</v>
      </c>
      <c r="BM19" s="32">
        <f>IFERROR(AVERAGEIFS(COM_All!AB$2:AB$999,COM_All!$B$2:$B$999,"="&amp;$A$4,COM_All!$C$2:$C$999,"="&amp;'INS-UPD Heat'!$A19),"")</f>
        <v>0.76787111822687804</v>
      </c>
      <c r="BN19" s="32">
        <f>IFERROR(AVERAGEIFS(COM_All!AC$2:AC$999,COM_All!$B$2:$B$999,"="&amp;$A$4,COM_All!$C$2:$C$999,"="&amp;'INS-UPD Heat'!$A19),"")</f>
        <v>0.69999999999999996</v>
      </c>
      <c r="BO19" s="32">
        <f>IFERROR(AVERAGEIFS(COM_All!AD$2:AD$999,COM_All!$B$2:$B$999,"="&amp;$A$4,COM_All!$C$2:$C$999,"="&amp;'INS-UPD Heat'!$A19),"")</f>
        <v>0.69999999999999996</v>
      </c>
      <c r="BP19" s="32">
        <f>IFERROR(AVERAGEIFS(COM_All!AE$2:AE$999,COM_All!$B$2:$B$999,"="&amp;$A$4,COM_All!$C$2:$C$999,"="&amp;'INS-UPD Heat'!$A19),"")</f>
        <v>0.78985746341937901</v>
      </c>
      <c r="BQ19" s="32">
        <f>IFERROR(AVERAGEIFS(COM_All!AF$2:AF$999,COM_All!$B$2:$B$999,"="&amp;$A$4,COM_All!$C$2:$C$999,"="&amp;'INS-UPD Heat'!$A19),"")</f>
        <v>0.69999999999999996</v>
      </c>
      <c r="BR19" s="32">
        <f>IFERROR(AVERAGEIFS(COM_All!AG$2:AG$999,COM_All!$B$2:$B$999,"="&amp;$A$4,COM_All!$C$2:$C$999,"="&amp;'INS-UPD Heat'!$A19),"")</f>
        <v>0.69999999999999996</v>
      </c>
      <c r="BS19" s="32">
        <f>IFERROR(AVERAGEIFS(COM_All!AH$2:AH$999,COM_All!$B$2:$B$999,"="&amp;$A$4,COM_All!$C$2:$C$999,"="&amp;'INS-UPD Heat'!$A19),"")</f>
        <v>0.69999999999999996</v>
      </c>
      <c r="BT19" s="32">
        <f>IFERROR(AVERAGEIFS(COM_All!AI$2:AI$999,COM_All!$B$2:$B$999,"="&amp;$A$4,COM_All!$C$2:$C$999,"="&amp;'INS-UPD Heat'!$A19),"")</f>
        <v>0.69999999999999996</v>
      </c>
      <c r="BU19" s="32">
        <f>IFERROR(AVERAGEIFS(COM_All!AJ$2:AJ$999,COM_All!$B$2:$B$999,"="&amp;$A$4,COM_All!$C$2:$C$999,"="&amp;'INS-UPD Heat'!$A19),"")</f>
        <v>0.69999999999999996</v>
      </c>
      <c r="BV19" s="32">
        <f>IFERROR(AVERAGEIFS(COM_All!AK$2:AK$999,COM_All!$B$2:$B$999,"="&amp;$A$4,COM_All!$C$2:$C$999,"="&amp;'INS-UPD Heat'!$A19),"")</f>
        <v>0.69999999999999996</v>
      </c>
      <c r="BW19" s="32">
        <f>IFERROR(AVERAGEIFS(COM_All!AL$2:AL$999,COM_All!$B$2:$B$999,"="&amp;$A$4,COM_All!$C$2:$C$999,"="&amp;'INS-UPD Heat'!$A19),"")</f>
        <v>0.69999999999999996</v>
      </c>
      <c r="BX19" s="32">
        <f>IFERROR(AVERAGEIFS(COM_All!AM$2:AM$999,COM_All!$B$2:$B$999,"="&amp;$A$4,COM_All!$C$2:$C$999,"="&amp;'INS-UPD Heat'!$A19),"")</f>
        <v>0.69999999999999996</v>
      </c>
      <c r="BY19" s="32">
        <f>IFERROR(AVERAGEIFS(COM_All!AN$2:AN$999,COM_All!$B$2:$B$999,"="&amp;$A$4,COM_All!$C$2:$C$999,"="&amp;'INS-UPD Heat'!$A19),"")</f>
        <v>0.69999999999999996</v>
      </c>
      <c r="BZ19" s="32">
        <f>IFERROR(AVERAGEIFS(COM_All!AO$2:AO$999,COM_All!$B$2:$B$999,"="&amp;$A$4,COM_All!$C$2:$C$999,"="&amp;'INS-UPD Heat'!$A19),"")</f>
        <v>0.78252893124574496</v>
      </c>
      <c r="CA19" s="32">
        <f>IFERROR(AVERAGEIFS(COM_All!AP$2:AP$999,COM_All!$B$2:$B$999,"="&amp;$A$4,COM_All!$C$2:$C$999,"="&amp;'INS-UPD Heat'!$A19),"")</f>
        <v>0.73855696202531596</v>
      </c>
      <c r="CB19" s="32">
        <f>IFERROR(AVERAGEIFS(COM_All!AQ$2:AQ$999,COM_All!$B$2:$B$999,"="&amp;$A$4,COM_All!$C$2:$C$999,"="&amp;'INS-UPD Heat'!$A19),"")</f>
        <v>0.77153597036357202</v>
      </c>
      <c r="CC19" s="32">
        <f>IFERROR(AVERAGEIFS(COM_All!AR$2:AR$999,COM_All!$B$2:$B$999,"="&amp;$A$4,COM_All!$C$2:$C$999,"="&amp;'INS-UPD Heat'!$A19),"")</f>
        <v>0.69999999999999996</v>
      </c>
      <c r="CD19" s="32">
        <f>IFERROR(AVERAGEIFS(COM_All!AS$2:AS$999,COM_All!$B$2:$B$999,"="&amp;$A$4,COM_All!$C$2:$C$999,"="&amp;'INS-UPD Heat'!$A19),"")</f>
        <v>0.69999999999999996</v>
      </c>
      <c r="CE19" s="32">
        <f>IFERROR(AVERAGEIFS(COM_All!AT$2:AT$999,COM_All!$B$2:$B$999,"="&amp;$A$4,COM_All!$C$2:$C$999,"="&amp;'INS-UPD Heat'!$A19),"")</f>
        <v>0.81917134618915699</v>
      </c>
      <c r="CF19" s="32">
        <f>IFERROR(AVERAGEIFS(COM_All!AU$2:AU$999,COM_All!$B$2:$B$999,"="&amp;$A$4,COM_All!$C$2:$C$999,"="&amp;'INS-UPD Heat'!$A19),"")</f>
        <v>0.76787100262494701</v>
      </c>
      <c r="CG19" s="33">
        <f>IFERROR(AVERAGEIFS(COM_All!AV$2:AV$999,COM_All!$B$2:$B$999,"="&amp;$A$4,COM_All!$C$2:$C$999,"="&amp;'INS-UPD Heat'!$A19),"")</f>
        <v>0.78985659898477201</v>
      </c>
    </row>
    <row r="20" spans="1:85" ht="15">
      <c r="A20" t="s">
        <v>136</v>
      </c>
      <c r="C20" t="s">
        <v>29</v>
      </c>
      <c r="D20" t="str">
        <f t="shared" si="2"/>
        <v>C_ES-SH-HR_LP*</v>
      </c>
      <c r="H20" s="54"/>
      <c r="I20" t="str">
        <f t="shared" si="3"/>
        <v>*1</v>
      </c>
      <c r="J20" t="str">
        <f t="shared" si="38"/>
        <v>*1</v>
      </c>
      <c r="K20" t="str">
        <f t="shared" si="39"/>
        <v>*1</v>
      </c>
      <c r="L20" t="str">
        <f t="shared" si="40"/>
        <v>*1</v>
      </c>
      <c r="M20" t="str">
        <f t="shared" si="6"/>
        <v>*1</v>
      </c>
      <c r="N20" t="str">
        <f t="shared" si="7"/>
        <v>*1</v>
      </c>
      <c r="O20" t="str">
        <f t="shared" si="8"/>
        <v>*1</v>
      </c>
      <c r="P20" t="str">
        <f t="shared" si="9"/>
        <v>*1</v>
      </c>
      <c r="Q20" s="48" t="str">
        <f t="shared" si="4"/>
        <v>*0.666666666666667</v>
      </c>
      <c r="R20" t="str">
        <f t="shared" si="10"/>
        <v>*1</v>
      </c>
      <c r="S20" t="str">
        <f t="shared" si="11"/>
        <v>*1</v>
      </c>
      <c r="T20" t="str">
        <f t="shared" si="12"/>
        <v>*1</v>
      </c>
      <c r="U20" t="str">
        <f t="shared" si="13"/>
        <v>*1</v>
      </c>
      <c r="V20" t="str">
        <f t="shared" si="14"/>
        <v>*1</v>
      </c>
      <c r="W20" t="str">
        <f t="shared" si="15"/>
        <v>*1</v>
      </c>
      <c r="X20" t="str">
        <f t="shared" si="16"/>
        <v>*1</v>
      </c>
      <c r="Y20" t="str">
        <f t="shared" si="17"/>
        <v>*1</v>
      </c>
      <c r="Z20" t="str">
        <f t="shared" si="18"/>
        <v>*1</v>
      </c>
      <c r="AA20" t="str">
        <f t="shared" si="19"/>
        <v>*1</v>
      </c>
      <c r="AB20" t="str">
        <f t="shared" si="20"/>
        <v>*1.00831519600226</v>
      </c>
      <c r="AC20" t="str">
        <f t="shared" si="21"/>
        <v>*1</v>
      </c>
      <c r="AD20" t="str">
        <f t="shared" si="22"/>
        <v>*1</v>
      </c>
      <c r="AE20" t="str">
        <f t="shared" si="23"/>
        <v>*1.00831336713657</v>
      </c>
      <c r="AF20" t="str">
        <f t="shared" si="24"/>
        <v>*1</v>
      </c>
      <c r="AG20" t="str">
        <f t="shared" si="25"/>
        <v>*1</v>
      </c>
      <c r="AH20" t="str">
        <f t="shared" si="26"/>
        <v>*1</v>
      </c>
      <c r="AI20" t="str">
        <f t="shared" si="27"/>
        <v>*1</v>
      </c>
      <c r="AJ20" t="str">
        <f t="shared" si="28"/>
        <v>*1</v>
      </c>
      <c r="AK20" t="str">
        <f t="shared" si="29"/>
        <v>*1</v>
      </c>
      <c r="AL20" t="str">
        <f t="shared" si="30"/>
        <v>*1</v>
      </c>
      <c r="AM20" t="str">
        <f t="shared" si="31"/>
        <v>*1</v>
      </c>
      <c r="AN20" t="str">
        <f t="shared" si="32"/>
        <v>*1</v>
      </c>
      <c r="AO20" t="str">
        <f t="shared" si="33"/>
        <v>*1</v>
      </c>
      <c r="AP20" t="str">
        <f t="shared" si="34"/>
        <v>*1</v>
      </c>
      <c r="AQ20" t="str">
        <f t="shared" si="35"/>
        <v>*1.045737981492</v>
      </c>
      <c r="AR20" t="str">
        <f t="shared" si="36"/>
        <v>*1</v>
      </c>
      <c r="AS20" s="49" t="str">
        <f t="shared" si="37"/>
        <v>*1</v>
      </c>
      <c r="AV20" s="31">
        <f t="shared" si="5"/>
        <v>0.66779038819154668</v>
      </c>
      <c r="AW20" s="32">
        <f>IFERROR(AVERAGEIFS(COM_All!L$2:L$999,COM_All!$B$2:$B$999,"="&amp;$A$4,COM_All!$C$2:$C$999,"="&amp;'INS-UPD Heat'!$A20),"")</f>
        <v>0.66666666666666696</v>
      </c>
      <c r="AX20" s="32">
        <f>IFERROR(AVERAGEIFS(COM_All!M$2:M$999,COM_All!$B$2:$B$999,"="&amp;$A$4,COM_All!$C$2:$C$999,"="&amp;'INS-UPD Heat'!$A20),"")</f>
        <v>0.66666666666666696</v>
      </c>
      <c r="AY20" s="32">
        <f>IFERROR(AVERAGEIFS(COM_All!N$2:N$999,COM_All!$B$2:$B$999,"="&amp;$A$4,COM_All!$C$2:$C$999,"="&amp;'INS-UPD Heat'!$A20),"")</f>
        <v>0.66666666666666696</v>
      </c>
      <c r="AZ20" s="32">
        <f>IFERROR(AVERAGEIFS(COM_All!O$2:O$999,COM_All!$B$2:$B$999,"="&amp;$A$4,COM_All!$C$2:$C$999,"="&amp;'INS-UPD Heat'!$A20),"")</f>
        <v>0.66666666666666696</v>
      </c>
      <c r="BA20" s="32">
        <f>IFERROR(AVERAGEIFS(COM_All!P$2:P$999,COM_All!$B$2:$B$999,"="&amp;$A$4,COM_All!$C$2:$C$999,"="&amp;'INS-UPD Heat'!$A20),"")</f>
        <v>0.66666666666666696</v>
      </c>
      <c r="BB20" s="32">
        <f>IFERROR(AVERAGEIFS(COM_All!Q$2:Q$999,COM_All!$B$2:$B$999,"="&amp;$A$4,COM_All!$C$2:$C$999,"="&amp;'INS-UPD Heat'!$A20),"")</f>
        <v>0.66666666666666696</v>
      </c>
      <c r="BC20" s="32">
        <f>IFERROR(AVERAGEIFS(COM_All!R$2:R$999,COM_All!$B$2:$B$999,"="&amp;$A$4,COM_All!$C$2:$C$999,"="&amp;'INS-UPD Heat'!$A20),"")</f>
        <v>0.66666666666666696</v>
      </c>
      <c r="BD20" s="32">
        <f>IFERROR(AVERAGEIFS(COM_All!S$2:S$999,COM_All!$B$2:$B$999,"="&amp;$A$4,COM_All!$C$2:$C$999,"="&amp;'INS-UPD Heat'!$A20),"")</f>
        <v>0.66666666666666696</v>
      </c>
      <c r="BE20" s="32">
        <f>IFERROR(AVERAGEIFS(COM_All!T$2:T$999,COM_All!$B$2:$B$999,"="&amp;$A$4,COM_All!$C$2:$C$999,"="&amp;'INS-UPD Heat'!$A20),"")</f>
        <v>0.66666666666666696</v>
      </c>
      <c r="BF20" s="32">
        <f>IFERROR(AVERAGEIFS(COM_All!U$2:U$999,COM_All!$B$2:$B$999,"="&amp;$A$4,COM_All!$C$2:$C$999,"="&amp;'INS-UPD Heat'!$A20),"")</f>
        <v>0.66666666666666696</v>
      </c>
      <c r="BG20" s="32">
        <f>IFERROR(AVERAGEIFS(COM_All!V$2:V$999,COM_All!$B$2:$B$999,"="&amp;$A$4,COM_All!$C$2:$C$999,"="&amp;'INS-UPD Heat'!$A20),"")</f>
        <v>0.66666666666666696</v>
      </c>
      <c r="BH20" s="32">
        <f>IFERROR(AVERAGEIFS(COM_All!W$2:W$999,COM_All!$B$2:$B$999,"="&amp;$A$4,COM_All!$C$2:$C$999,"="&amp;'INS-UPD Heat'!$A20),"")</f>
        <v>0.66666666666666696</v>
      </c>
      <c r="BI20" s="32">
        <f>IFERROR(AVERAGEIFS(COM_All!X$2:X$999,COM_All!$B$2:$B$999,"="&amp;$A$4,COM_All!$C$2:$C$999,"="&amp;'INS-UPD Heat'!$A20),"")</f>
        <v>0.66666666666666696</v>
      </c>
      <c r="BJ20" s="32">
        <f>IFERROR(AVERAGEIFS(COM_All!Y$2:Y$999,COM_All!$B$2:$B$999,"="&amp;$A$4,COM_All!$C$2:$C$999,"="&amp;'INS-UPD Heat'!$A20),"")</f>
        <v>0.66666666666666696</v>
      </c>
      <c r="BK20" s="32">
        <f>IFERROR(AVERAGEIFS(COM_All!Z$2:Z$999,COM_All!$B$2:$B$999,"="&amp;$A$4,COM_All!$C$2:$C$999,"="&amp;'INS-UPD Heat'!$A20),"")</f>
        <v>0.66666666666666696</v>
      </c>
      <c r="BL20" s="32">
        <f>IFERROR(AVERAGEIFS(COM_All!AA$2:AA$999,COM_All!$B$2:$B$999,"="&amp;$A$4,COM_All!$C$2:$C$999,"="&amp;'INS-UPD Heat'!$A20),"")</f>
        <v>0.66666666666666696</v>
      </c>
      <c r="BM20" s="32">
        <f>IFERROR(AVERAGEIFS(COM_All!AB$2:AB$999,COM_All!$B$2:$B$999,"="&amp;$A$4,COM_All!$C$2:$C$999,"="&amp;'INS-UPD Heat'!$A20),"")</f>
        <v>0.66666666666666696</v>
      </c>
      <c r="BN20" s="32">
        <f>IFERROR(AVERAGEIFS(COM_All!AC$2:AC$999,COM_All!$B$2:$B$999,"="&amp;$A$4,COM_All!$C$2:$C$999,"="&amp;'INS-UPD Heat'!$A20),"")</f>
        <v>0.66666666666666696</v>
      </c>
      <c r="BO20" s="32">
        <f>IFERROR(AVERAGEIFS(COM_All!AD$2:AD$999,COM_All!$B$2:$B$999,"="&amp;$A$4,COM_All!$C$2:$C$999,"="&amp;'INS-UPD Heat'!$A20),"")</f>
        <v>0.66666666666666696</v>
      </c>
      <c r="BP20" s="32">
        <f>IFERROR(AVERAGEIFS(COM_All!AE$2:AE$999,COM_All!$B$2:$B$999,"="&amp;$A$4,COM_All!$C$2:$C$999,"="&amp;'INS-UPD Heat'!$A20),"")</f>
        <v>0.67221013066817603</v>
      </c>
      <c r="BQ20" s="32">
        <f>IFERROR(AVERAGEIFS(COM_All!AF$2:AF$999,COM_All!$B$2:$B$999,"="&amp;$A$4,COM_All!$C$2:$C$999,"="&amp;'INS-UPD Heat'!$A20),"")</f>
        <v>0.66666666666666696</v>
      </c>
      <c r="BR20" s="32">
        <f>IFERROR(AVERAGEIFS(COM_All!AG$2:AG$999,COM_All!$B$2:$B$999,"="&amp;$A$4,COM_All!$C$2:$C$999,"="&amp;'INS-UPD Heat'!$A20),"")</f>
        <v>0.66666666666666696</v>
      </c>
      <c r="BS20" s="32">
        <f>IFERROR(AVERAGEIFS(COM_All!AH$2:AH$999,COM_All!$B$2:$B$999,"="&amp;$A$4,COM_All!$C$2:$C$999,"="&amp;'INS-UPD Heat'!$A20),"")</f>
        <v>0.672208911424379</v>
      </c>
      <c r="BT20" s="32">
        <f>IFERROR(AVERAGEIFS(COM_All!AI$2:AI$999,COM_All!$B$2:$B$999,"="&amp;$A$4,COM_All!$C$2:$C$999,"="&amp;'INS-UPD Heat'!$A20),"")</f>
        <v>0.66666666666666696</v>
      </c>
      <c r="BU20" s="32">
        <f>IFERROR(AVERAGEIFS(COM_All!AJ$2:AJ$999,COM_All!$B$2:$B$999,"="&amp;$A$4,COM_All!$C$2:$C$999,"="&amp;'INS-UPD Heat'!$A20),"")</f>
        <v>0.66666666666666696</v>
      </c>
      <c r="BV20" s="32">
        <f>IFERROR(AVERAGEIFS(COM_All!AK$2:AK$999,COM_All!$B$2:$B$999,"="&amp;$A$4,COM_All!$C$2:$C$999,"="&amp;'INS-UPD Heat'!$A20),"")</f>
        <v>0.66666666666666696</v>
      </c>
      <c r="BW20" s="32">
        <f>IFERROR(AVERAGEIFS(COM_All!AL$2:AL$999,COM_All!$B$2:$B$999,"="&amp;$A$4,COM_All!$C$2:$C$999,"="&amp;'INS-UPD Heat'!$A20),"")</f>
        <v>0.66666666666666696</v>
      </c>
      <c r="BX20" s="32">
        <f>IFERROR(AVERAGEIFS(COM_All!AM$2:AM$999,COM_All!$B$2:$B$999,"="&amp;$A$4,COM_All!$C$2:$C$999,"="&amp;'INS-UPD Heat'!$A20),"")</f>
        <v>0.66666666666666696</v>
      </c>
      <c r="BY20" s="32">
        <f>IFERROR(AVERAGEIFS(COM_All!AN$2:AN$999,COM_All!$B$2:$B$999,"="&amp;$A$4,COM_All!$C$2:$C$999,"="&amp;'INS-UPD Heat'!$A20),"")</f>
        <v>0.66666666666666696</v>
      </c>
      <c r="BZ20" s="32">
        <f>IFERROR(AVERAGEIFS(COM_All!AO$2:AO$999,COM_All!$B$2:$B$999,"="&amp;$A$4,COM_All!$C$2:$C$999,"="&amp;'INS-UPD Heat'!$A20),"")</f>
        <v>0.66666666666666696</v>
      </c>
      <c r="CA20" s="32">
        <f>IFERROR(AVERAGEIFS(COM_All!AP$2:AP$999,COM_All!$B$2:$B$999,"="&amp;$A$4,COM_All!$C$2:$C$999,"="&amp;'INS-UPD Heat'!$A20),"")</f>
        <v>0.66666666666666696</v>
      </c>
      <c r="CB20" s="32">
        <f>IFERROR(AVERAGEIFS(COM_All!AQ$2:AQ$999,COM_All!$B$2:$B$999,"="&amp;$A$4,COM_All!$C$2:$C$999,"="&amp;'INS-UPD Heat'!$A20),"")</f>
        <v>0.66666666666666696</v>
      </c>
      <c r="CC20" s="32">
        <f>IFERROR(AVERAGEIFS(COM_All!AR$2:AR$999,COM_All!$B$2:$B$999,"="&amp;$A$4,COM_All!$C$2:$C$999,"="&amp;'INS-UPD Heat'!$A20),"")</f>
        <v>0.66666666666666696</v>
      </c>
      <c r="CD20" s="32">
        <f>IFERROR(AVERAGEIFS(COM_All!AS$2:AS$999,COM_All!$B$2:$B$999,"="&amp;$A$4,COM_All!$C$2:$C$999,"="&amp;'INS-UPD Heat'!$A20),"")</f>
        <v>0.66666666666666696</v>
      </c>
      <c r="CE20" s="32">
        <f>IFERROR(AVERAGEIFS(COM_All!AT$2:AT$999,COM_All!$B$2:$B$999,"="&amp;$A$4,COM_All!$C$2:$C$999,"="&amp;'INS-UPD Heat'!$A20),"")</f>
        <v>0.69715865432799895</v>
      </c>
      <c r="CF20" s="32">
        <f>IFERROR(AVERAGEIFS(COM_All!AU$2:AU$999,COM_All!$B$2:$B$999,"="&amp;$A$4,COM_All!$C$2:$C$999,"="&amp;'INS-UPD Heat'!$A20),"")</f>
        <v>0.66666666666666696</v>
      </c>
      <c r="CG20" s="33">
        <f>IFERROR(AVERAGEIFS(COM_All!AV$2:AV$999,COM_All!$B$2:$B$999,"="&amp;$A$4,COM_All!$C$2:$C$999,"="&amp;'INS-UPD Heat'!$A20),"")</f>
        <v>0.66666666666666696</v>
      </c>
    </row>
    <row r="21" spans="1:85" ht="15">
      <c r="A21" t="s">
        <v>137</v>
      </c>
      <c r="C21" t="s">
        <v>29</v>
      </c>
      <c r="D21" t="str">
        <f t="shared" si="2"/>
        <v>C_ES-SH-HR_CO*</v>
      </c>
      <c r="H21" s="54"/>
      <c r="I21" t="str">
        <f t="shared" si="3"/>
        <v>*0.806322012647686</v>
      </c>
      <c r="J21" t="str">
        <f t="shared" si="38"/>
        <v>*0.957546566204691</v>
      </c>
      <c r="K21" t="str">
        <f t="shared" si="39"/>
        <v>*0.806322012647686</v>
      </c>
      <c r="L21" t="str">
        <f t="shared" si="40"/>
        <v>*0.806322012647686</v>
      </c>
      <c r="M21" t="str">
        <f t="shared" si="6"/>
        <v>*0.804719068299585</v>
      </c>
      <c r="N21" t="str">
        <f t="shared" si="7"/>
        <v>*1</v>
      </c>
      <c r="O21" t="str">
        <f t="shared" si="8"/>
        <v>*0.806322012647686</v>
      </c>
      <c r="P21" t="str">
        <f t="shared" si="9"/>
        <v>*0.872641433460454</v>
      </c>
      <c r="Q21" s="48" t="str">
        <f t="shared" si="4"/>
        <v>*0.620099652691077</v>
      </c>
      <c r="R21" t="str">
        <f t="shared" si="10"/>
        <v>*0.806322012647686</v>
      </c>
      <c r="S21" t="str">
        <f t="shared" si="11"/>
        <v>*0.872643446827971</v>
      </c>
      <c r="T21" t="str">
        <f t="shared" si="12"/>
        <v>*0.806322012647686</v>
      </c>
      <c r="U21" t="str">
        <f t="shared" si="13"/>
        <v>*0.830187692790597</v>
      </c>
      <c r="V21" t="str">
        <f t="shared" si="14"/>
        <v>*0.88113082387544</v>
      </c>
      <c r="W21" t="str">
        <f t="shared" si="15"/>
        <v>*0.806322012647686</v>
      </c>
      <c r="X21" t="str">
        <f t="shared" si="16"/>
        <v>*0.889623229961177</v>
      </c>
      <c r="Y21" t="str">
        <f t="shared" si="17"/>
        <v>*0.889620935555759</v>
      </c>
      <c r="Z21" t="str">
        <f t="shared" si="18"/>
        <v>*0.806322012647686</v>
      </c>
      <c r="AA21" t="str">
        <f t="shared" si="19"/>
        <v>*0.806322012647686</v>
      </c>
      <c r="AB21" t="str">
        <f t="shared" si="20"/>
        <v>*0.806322012647686</v>
      </c>
      <c r="AC21" t="str">
        <f t="shared" si="21"/>
        <v>*0.806322012647686</v>
      </c>
      <c r="AD21" t="str">
        <f t="shared" si="22"/>
        <v>*0.87264257545149</v>
      </c>
      <c r="AE21" t="str">
        <f t="shared" si="23"/>
        <v>*0.806322012647686</v>
      </c>
      <c r="AF21" t="str">
        <f t="shared" si="24"/>
        <v>*0.906603887155439</v>
      </c>
      <c r="AG21" t="str">
        <f t="shared" si="25"/>
        <v>*0.806322012647686</v>
      </c>
      <c r="AH21" t="str">
        <f t="shared" si="26"/>
        <v>*0.806322012647686</v>
      </c>
      <c r="AI21" t="str">
        <f t="shared" si="27"/>
        <v>*0.806322012647686</v>
      </c>
      <c r="AJ21" t="str">
        <f t="shared" si="28"/>
        <v>*0.983019632318116</v>
      </c>
      <c r="AK21" t="str">
        <f t="shared" si="29"/>
        <v>*0.806322012647686</v>
      </c>
      <c r="AL21" t="str">
        <f t="shared" si="30"/>
        <v>*0.906604351626599</v>
      </c>
      <c r="AM21" t="str">
        <f t="shared" si="31"/>
        <v>*0.806322012647686</v>
      </c>
      <c r="AN21" t="str">
        <f t="shared" si="32"/>
        <v>*0.89386762861896</v>
      </c>
      <c r="AO21" t="str">
        <f t="shared" si="33"/>
        <v>*0.806322012647686</v>
      </c>
      <c r="AP21" t="str">
        <f t="shared" si="34"/>
        <v>*0.806322012647686</v>
      </c>
      <c r="AQ21" t="str">
        <f t="shared" si="35"/>
        <v>*0.806322012647686</v>
      </c>
      <c r="AR21" t="str">
        <f t="shared" si="36"/>
        <v>*0.889622985856844</v>
      </c>
      <c r="AS21" s="49" t="str">
        <f t="shared" si="37"/>
        <v>*0.915091066360072</v>
      </c>
      <c r="AV21" s="31">
        <f t="shared" si="5"/>
        <v>0.52778869516323434</v>
      </c>
      <c r="AW21" s="32">
        <f>IFERROR(AVERAGEIFS(COM_All!L$2:L$999,COM_All!$B$2:$B$999,"="&amp;$A$4,COM_All!$C$2:$C$999,"="&amp;'INS-UPD Heat'!$A21),"")</f>
        <v>0.5</v>
      </c>
      <c r="AX21" s="32">
        <f>IFERROR(AVERAGEIFS(COM_All!M$2:M$999,COM_All!$B$2:$B$999,"="&amp;$A$4,COM_All!$C$2:$C$999,"="&amp;'INS-UPD Heat'!$A21),"")</f>
        <v>0.59377429313906205</v>
      </c>
      <c r="AY21" s="32">
        <f>IFERROR(AVERAGEIFS(COM_All!N$2:N$999,COM_All!$B$2:$B$999,"="&amp;$A$4,COM_All!$C$2:$C$999,"="&amp;'INS-UPD Heat'!$A21),"")</f>
        <v>0.5</v>
      </c>
      <c r="AZ21" s="32">
        <f>IFERROR(AVERAGEIFS(COM_All!O$2:O$999,COM_All!$B$2:$B$999,"="&amp;$A$4,COM_All!$C$2:$C$999,"="&amp;'INS-UPD Heat'!$A21),"")</f>
        <v>0.5</v>
      </c>
      <c r="BA21" s="32">
        <f>IFERROR(AVERAGEIFS(COM_All!P$2:P$999,COM_All!$B$2:$B$999,"="&amp;$A$4,COM_All!$C$2:$C$999,"="&amp;'INS-UPD Heat'!$A21),"")</f>
        <v>0.49900601476646</v>
      </c>
      <c r="BB21" s="32">
        <f>IFERROR(AVERAGEIFS(COM_All!Q$2:Q$999,COM_All!$B$2:$B$999,"="&amp;$A$4,COM_All!$C$2:$C$999,"="&amp;'INS-UPD Heat'!$A21),"")</f>
        <v>0.62009965269107703</v>
      </c>
      <c r="BC21" s="32">
        <f>IFERROR(AVERAGEIFS(COM_All!R$2:R$999,COM_All!$B$2:$B$999,"="&amp;$A$4,COM_All!$C$2:$C$999,"="&amp;'INS-UPD Heat'!$A21),"")</f>
        <v>0.5</v>
      </c>
      <c r="BD21" s="32">
        <f>IFERROR(AVERAGEIFS(COM_All!S$2:S$999,COM_All!$B$2:$B$999,"="&amp;$A$4,COM_All!$C$2:$C$999,"="&amp;'INS-UPD Heat'!$A21),"")</f>
        <v>0.54112464981267105</v>
      </c>
      <c r="BE21" s="32">
        <f>IFERROR(AVERAGEIFS(COM_All!T$2:T$999,COM_All!$B$2:$B$999,"="&amp;$A$4,COM_All!$C$2:$C$999,"="&amp;'INS-UPD Heat'!$A21),"")</f>
        <v>0.62009965269107703</v>
      </c>
      <c r="BF21" s="32">
        <f>IFERROR(AVERAGEIFS(COM_All!U$2:U$999,COM_All!$B$2:$B$999,"="&amp;$A$4,COM_All!$C$2:$C$999,"="&amp;'INS-UPD Heat'!$A21),"")</f>
        <v>0.5</v>
      </c>
      <c r="BG21" s="32">
        <f>IFERROR(AVERAGEIFS(COM_All!V$2:V$999,COM_All!$B$2:$B$999,"="&amp;$A$4,COM_All!$C$2:$C$999,"="&amp;'INS-UPD Heat'!$A21),"")</f>
        <v>0.54112589830116897</v>
      </c>
      <c r="BH21" s="32">
        <f>IFERROR(AVERAGEIFS(COM_All!W$2:W$999,COM_All!$B$2:$B$999,"="&amp;$A$4,COM_All!$C$2:$C$999,"="&amp;'INS-UPD Heat'!$A21),"")</f>
        <v>0.5</v>
      </c>
      <c r="BI21" s="32">
        <f>IFERROR(AVERAGEIFS(COM_All!X$2:X$999,COM_All!$B$2:$B$999,"="&amp;$A$4,COM_All!$C$2:$C$999,"="&amp;'INS-UPD Heat'!$A21),"")</f>
        <v>0.514799099967856</v>
      </c>
      <c r="BJ21" s="32">
        <f>IFERROR(AVERAGEIFS(COM_All!Y$2:Y$999,COM_All!$B$2:$B$999,"="&amp;$A$4,COM_All!$C$2:$C$999,"="&amp;'INS-UPD Heat'!$A21),"")</f>
        <v>0.54638891786056298</v>
      </c>
      <c r="BK21" s="32">
        <f>IFERROR(AVERAGEIFS(COM_All!Z$2:Z$999,COM_All!$B$2:$B$999,"="&amp;$A$4,COM_All!$C$2:$C$999,"="&amp;'INS-UPD Heat'!$A21),"")</f>
        <v>0.5</v>
      </c>
      <c r="BL21" s="32">
        <f>IFERROR(AVERAGEIFS(COM_All!AA$2:AA$999,COM_All!$B$2:$B$999,"="&amp;$A$4,COM_All!$C$2:$C$999,"="&amp;'INS-UPD Heat'!$A21),"")</f>
        <v>0.55165505592483999</v>
      </c>
      <c r="BM21" s="32">
        <f>IFERROR(AVERAGEIFS(COM_All!AB$2:AB$999,COM_All!$B$2:$B$999,"="&amp;$A$4,COM_All!$C$2:$C$999,"="&amp;'INS-UPD Heat'!$A21),"")</f>
        <v>0.55165363316483695</v>
      </c>
      <c r="BN21" s="32">
        <f>IFERROR(AVERAGEIFS(COM_All!AC$2:AC$999,COM_All!$B$2:$B$999,"="&amp;$A$4,COM_All!$C$2:$C$999,"="&amp;'INS-UPD Heat'!$A21),"")</f>
        <v>0.5</v>
      </c>
      <c r="BO21" s="32">
        <f>IFERROR(AVERAGEIFS(COM_All!AD$2:AD$999,COM_All!$B$2:$B$999,"="&amp;$A$4,COM_All!$C$2:$C$999,"="&amp;'INS-UPD Heat'!$A21),"")</f>
        <v>0.5</v>
      </c>
      <c r="BP21" s="32">
        <f>IFERROR(AVERAGEIFS(COM_All!AE$2:AE$999,COM_All!$B$2:$B$999,"="&amp;$A$4,COM_All!$C$2:$C$999,"="&amp;'INS-UPD Heat'!$A21),"")</f>
        <v>0.5</v>
      </c>
      <c r="BQ21" s="32">
        <f>IFERROR(AVERAGEIFS(COM_All!AF$2:AF$999,COM_All!$B$2:$B$999,"="&amp;$A$4,COM_All!$C$2:$C$999,"="&amp;'INS-UPD Heat'!$A21),"")</f>
        <v>0.5</v>
      </c>
      <c r="BR21" s="32">
        <f>IFERROR(AVERAGEIFS(COM_All!AG$2:AG$999,COM_All!$B$2:$B$999,"="&amp;$A$4,COM_All!$C$2:$C$999,"="&amp;'INS-UPD Heat'!$A21),"")</f>
        <v>0.54112535796091599</v>
      </c>
      <c r="BS21" s="32">
        <f>IFERROR(AVERAGEIFS(COM_All!AH$2:AH$999,COM_All!$B$2:$B$999,"="&amp;$A$4,COM_All!$C$2:$C$999,"="&amp;'INS-UPD Heat'!$A21),"")</f>
        <v>0.5</v>
      </c>
      <c r="BT21" s="32">
        <f>IFERROR(AVERAGEIFS(COM_All!AI$2:AI$999,COM_All!$B$2:$B$999,"="&amp;$A$4,COM_All!$C$2:$C$999,"="&amp;'INS-UPD Heat'!$A21),"")</f>
        <v>0.56218475555346803</v>
      </c>
      <c r="BU21" s="32">
        <f>IFERROR(AVERAGEIFS(COM_All!AJ$2:AJ$999,COM_All!$B$2:$B$999,"="&amp;$A$4,COM_All!$C$2:$C$999,"="&amp;'INS-UPD Heat'!$A21),"")</f>
        <v>0.5</v>
      </c>
      <c r="BV21" s="32">
        <f>IFERROR(AVERAGEIFS(COM_All!AK$2:AK$999,COM_All!$B$2:$B$999,"="&amp;$A$4,COM_All!$C$2:$C$999,"="&amp;'INS-UPD Heat'!$A21),"")</f>
        <v>0.5</v>
      </c>
      <c r="BW21" s="32">
        <f>IFERROR(AVERAGEIFS(COM_All!AL$2:AL$999,COM_All!$B$2:$B$999,"="&amp;$A$4,COM_All!$C$2:$C$999,"="&amp;'INS-UPD Heat'!$A21),"")</f>
        <v>0.5</v>
      </c>
      <c r="BX21" s="32">
        <f>IFERROR(AVERAGEIFS(COM_All!AM$2:AM$999,COM_All!$B$2:$B$999,"="&amp;$A$4,COM_All!$C$2:$C$999,"="&amp;'INS-UPD Heat'!$A21),"")</f>
        <v>0.60957013258897397</v>
      </c>
      <c r="BY21" s="32">
        <f>IFERROR(AVERAGEIFS(COM_All!AN$2:AN$999,COM_All!$B$2:$B$999,"="&amp;$A$4,COM_All!$C$2:$C$999,"="&amp;'INS-UPD Heat'!$A21),"")</f>
        <v>0.5</v>
      </c>
      <c r="BZ21" s="32">
        <f>IFERROR(AVERAGEIFS(COM_All!AO$2:AO$999,COM_All!$B$2:$B$999,"="&amp;$A$4,COM_All!$C$2:$C$999,"="&amp;'INS-UPD Heat'!$A21),"")</f>
        <v>0.56218504357187304</v>
      </c>
      <c r="CA21" s="32">
        <f>IFERROR(AVERAGEIFS(COM_All!AP$2:AP$999,COM_All!$B$2:$B$999,"="&amp;$A$4,COM_All!$C$2:$C$999,"="&amp;'INS-UPD Heat'!$A21),"")</f>
        <v>0.5</v>
      </c>
      <c r="CB21" s="32">
        <f>IFERROR(AVERAGEIFS(COM_All!AQ$2:AQ$999,COM_All!$B$2:$B$999,"="&amp;$A$4,COM_All!$C$2:$C$999,"="&amp;'INS-UPD Heat'!$A21),"")</f>
        <v>0.55428700605841397</v>
      </c>
      <c r="CC21" s="32">
        <f>IFERROR(AVERAGEIFS(COM_All!AR$2:AR$999,COM_All!$B$2:$B$999,"="&amp;$A$4,COM_All!$C$2:$C$999,"="&amp;'INS-UPD Heat'!$A21),"")</f>
        <v>0.5</v>
      </c>
      <c r="CD21" s="32">
        <f>IFERROR(AVERAGEIFS(COM_All!AS$2:AS$999,COM_All!$B$2:$B$999,"="&amp;$A$4,COM_All!$C$2:$C$999,"="&amp;'INS-UPD Heat'!$A21),"")</f>
        <v>0.5</v>
      </c>
      <c r="CE21" s="32">
        <f>IFERROR(AVERAGEIFS(COM_All!AT$2:AT$999,COM_All!$B$2:$B$999,"="&amp;$A$4,COM_All!$C$2:$C$999,"="&amp;'INS-UPD Heat'!$A21),"")</f>
        <v>0.5</v>
      </c>
      <c r="CF21" s="32">
        <f>IFERROR(AVERAGEIFS(COM_All!AU$2:AU$999,COM_All!$B$2:$B$999,"="&amp;$A$4,COM_All!$C$2:$C$999,"="&amp;'INS-UPD Heat'!$A21),"")</f>
        <v>0.551654904555828</v>
      </c>
      <c r="CG21" s="33">
        <f>IFERROR(AVERAGEIFS(COM_All!AV$2:AV$999,COM_All!$B$2:$B$999,"="&amp;$A$4,COM_All!$C$2:$C$999,"="&amp;'INS-UPD Heat'!$A21),"")</f>
        <v>0.56744765243058803</v>
      </c>
    </row>
    <row r="22" spans="1:85" ht="15">
      <c r="A22" t="s">
        <v>138</v>
      </c>
      <c r="C22" t="s">
        <v>29</v>
      </c>
      <c r="D22" t="str">
        <f t="shared" si="2"/>
        <v>C_ES-SH-SR_BI*</v>
      </c>
      <c r="H22" s="54"/>
      <c r="I22" t="str">
        <f t="shared" si="3"/>
        <v>*1</v>
      </c>
      <c r="J22" t="str">
        <f t="shared" si="38"/>
        <v>*1.13273935601115</v>
      </c>
      <c r="K22" t="str">
        <f t="shared" si="39"/>
        <v>*1</v>
      </c>
      <c r="L22" t="str">
        <f t="shared" si="40"/>
        <v>*1.16287202779621</v>
      </c>
      <c r="M22" t="str">
        <f t="shared" si="6"/>
        <v>*0.951947404871184</v>
      </c>
      <c r="N22" t="str">
        <f t="shared" si="7"/>
        <v>*1</v>
      </c>
      <c r="O22" t="str">
        <f t="shared" si="8"/>
        <v>*0.891684624593808</v>
      </c>
      <c r="P22" t="str">
        <f t="shared" si="9"/>
        <v>*1.03230037990426</v>
      </c>
      <c r="Q22" s="48" t="str">
        <f t="shared" si="4"/>
        <v>*0.5</v>
      </c>
      <c r="R22" t="str">
        <f t="shared" si="10"/>
        <v>*1.0825169264074</v>
      </c>
      <c r="S22" t="str">
        <f t="shared" si="11"/>
        <v>*1.03229644898342</v>
      </c>
      <c r="T22" t="str">
        <f t="shared" si="12"/>
        <v>*1</v>
      </c>
      <c r="U22" t="str">
        <f t="shared" si="13"/>
        <v>*0.982080090991512</v>
      </c>
      <c r="V22" t="str">
        <f t="shared" si="14"/>
        <v>*1.0423429136333</v>
      </c>
      <c r="W22" t="str">
        <f t="shared" si="15"/>
        <v>*1.08252106666226</v>
      </c>
      <c r="X22" t="str">
        <f t="shared" si="16"/>
        <v>*1.05238453545451</v>
      </c>
      <c r="Y22" t="str">
        <f t="shared" si="17"/>
        <v>*1.05238966451752</v>
      </c>
      <c r="Z22" t="str">
        <f t="shared" si="18"/>
        <v>*1.1026073590249</v>
      </c>
      <c r="AA22" t="str">
        <f t="shared" si="19"/>
        <v>*1.0825169264074</v>
      </c>
      <c r="AB22" t="str">
        <f t="shared" si="20"/>
        <v>*1</v>
      </c>
      <c r="AC22" t="str">
        <f t="shared" si="21"/>
        <v>*1</v>
      </c>
      <c r="AD22" t="str">
        <f t="shared" si="22"/>
        <v>*1.03230017588431</v>
      </c>
      <c r="AE22" t="str">
        <f t="shared" si="23"/>
        <v>*1</v>
      </c>
      <c r="AF22" t="str">
        <f t="shared" si="24"/>
        <v>*1.07247594152106</v>
      </c>
      <c r="AG22" t="str">
        <f t="shared" si="25"/>
        <v>*1</v>
      </c>
      <c r="AH22" t="str">
        <f t="shared" si="26"/>
        <v>*1</v>
      </c>
      <c r="AI22" t="str">
        <f t="shared" si="27"/>
        <v>*1</v>
      </c>
      <c r="AJ22" t="str">
        <f t="shared" si="28"/>
        <v>*1.16287284644911</v>
      </c>
      <c r="AK22" t="str">
        <f t="shared" si="29"/>
        <v>*1.0825169264074</v>
      </c>
      <c r="AL22" t="str">
        <f t="shared" si="30"/>
        <v>*1.07247406151033</v>
      </c>
      <c r="AM22" t="str">
        <f t="shared" si="31"/>
        <v>*1</v>
      </c>
      <c r="AN22" t="str">
        <f t="shared" si="32"/>
        <v>*1</v>
      </c>
      <c r="AO22" t="str">
        <f t="shared" si="33"/>
        <v>*1</v>
      </c>
      <c r="AP22" t="str">
        <f t="shared" si="34"/>
        <v>*1.03229798151806</v>
      </c>
      <c r="AQ22" t="str">
        <f t="shared" si="35"/>
        <v>*1</v>
      </c>
      <c r="AR22" t="str">
        <f t="shared" si="36"/>
        <v>*1.05238916181003</v>
      </c>
      <c r="AS22" s="49" t="str">
        <f t="shared" si="37"/>
        <v>*1.08252104532776</v>
      </c>
      <c r="AV22" s="31">
        <f t="shared" si="5"/>
        <v>0.51720334953630942</v>
      </c>
      <c r="AW22" s="32">
        <f>IFERROR(AVERAGEIFS(COM_All!L$2:L$999,COM_All!$B$2:$B$999,"="&amp;$A$4,COM_All!$C$2:$C$999,"="&amp;'INS-UPD Heat'!$A22),"")</f>
        <v>0.5</v>
      </c>
      <c r="AX22" s="32">
        <f>IFERROR(AVERAGEIFS(COM_All!M$2:M$999,COM_All!$B$2:$B$999,"="&amp;$A$4,COM_All!$C$2:$C$999,"="&amp;'INS-UPD Heat'!$A22),"")</f>
        <v>0.56636967800557603</v>
      </c>
      <c r="AY22" s="32">
        <f>IFERROR(AVERAGEIFS(COM_All!N$2:N$999,COM_All!$B$2:$B$999,"="&amp;$A$4,COM_All!$C$2:$C$999,"="&amp;'INS-UPD Heat'!$A22),"")</f>
        <v>0.5</v>
      </c>
      <c r="AZ22" s="32">
        <f>IFERROR(AVERAGEIFS(COM_All!O$2:O$999,COM_All!$B$2:$B$999,"="&amp;$A$4,COM_All!$C$2:$C$999,"="&amp;'INS-UPD Heat'!$A22),"")</f>
        <v>0.58143601389810495</v>
      </c>
      <c r="BA22" s="32">
        <f>IFERROR(AVERAGEIFS(COM_All!P$2:P$999,COM_All!$B$2:$B$999,"="&amp;$A$4,COM_All!$C$2:$C$999,"="&amp;'INS-UPD Heat'!$A22),"")</f>
        <v>0.47597370243559201</v>
      </c>
      <c r="BB22" s="32">
        <f>IFERROR(AVERAGEIFS(COM_All!Q$2:Q$999,COM_All!$B$2:$B$999,"="&amp;$A$4,COM_All!$C$2:$C$999,"="&amp;'INS-UPD Heat'!$A22),"")</f>
        <v>0.5</v>
      </c>
      <c r="BC22" s="32">
        <f>IFERROR(AVERAGEIFS(COM_All!R$2:R$999,COM_All!$B$2:$B$999,"="&amp;$A$4,COM_All!$C$2:$C$999,"="&amp;'INS-UPD Heat'!$A22),"")</f>
        <v>0.44584231229690402</v>
      </c>
      <c r="BD22" s="32">
        <f>IFERROR(AVERAGEIFS(COM_All!S$2:S$999,COM_All!$B$2:$B$999,"="&amp;$A$4,COM_All!$C$2:$C$999,"="&amp;'INS-UPD Heat'!$A22),"")</f>
        <v>0.51615018995212902</v>
      </c>
      <c r="BE22" s="32">
        <f>IFERROR(AVERAGEIFS(COM_All!T$2:T$999,COM_All!$B$2:$B$999,"="&amp;$A$4,COM_All!$C$2:$C$999,"="&amp;'INS-UPD Heat'!$A22),"")</f>
        <v>0.5</v>
      </c>
      <c r="BF22" s="32">
        <f>IFERROR(AVERAGEIFS(COM_All!U$2:U$999,COM_All!$B$2:$B$999,"="&amp;$A$4,COM_All!$C$2:$C$999,"="&amp;'INS-UPD Heat'!$A22),"")</f>
        <v>0.54125846320370197</v>
      </c>
      <c r="BG22" s="32">
        <f>IFERROR(AVERAGEIFS(COM_All!V$2:V$999,COM_All!$B$2:$B$999,"="&amp;$A$4,COM_All!$C$2:$C$999,"="&amp;'INS-UPD Heat'!$A22),"")</f>
        <v>0.51614822449170805</v>
      </c>
      <c r="BH22" s="32">
        <f>IFERROR(AVERAGEIFS(COM_All!W$2:W$999,COM_All!$B$2:$B$999,"="&amp;$A$4,COM_All!$C$2:$C$999,"="&amp;'INS-UPD Heat'!$A22),"")</f>
        <v>0.5</v>
      </c>
      <c r="BI22" s="32">
        <f>IFERROR(AVERAGEIFS(COM_All!X$2:X$999,COM_All!$B$2:$B$999,"="&amp;$A$4,COM_All!$C$2:$C$999,"="&amp;'INS-UPD Heat'!$A22),"")</f>
        <v>0.49104004549575597</v>
      </c>
      <c r="BJ22" s="32">
        <f>IFERROR(AVERAGEIFS(COM_All!Y$2:Y$999,COM_All!$B$2:$B$999,"="&amp;$A$4,COM_All!$C$2:$C$999,"="&amp;'INS-UPD Heat'!$A22),"")</f>
        <v>0.521171456816652</v>
      </c>
      <c r="BK22" s="32">
        <f>IFERROR(AVERAGEIFS(COM_All!Z$2:Z$999,COM_All!$B$2:$B$999,"="&amp;$A$4,COM_All!$C$2:$C$999,"="&amp;'INS-UPD Heat'!$A22),"")</f>
        <v>0.541260533331132</v>
      </c>
      <c r="BL22" s="32">
        <f>IFERROR(AVERAGEIFS(COM_All!AA$2:AA$999,COM_All!$B$2:$B$999,"="&amp;$A$4,COM_All!$C$2:$C$999,"="&amp;'INS-UPD Heat'!$A22),"")</f>
        <v>0.52619226772725602</v>
      </c>
      <c r="BM22" s="32">
        <f>IFERROR(AVERAGEIFS(COM_All!AB$2:AB$999,COM_All!$B$2:$B$999,"="&amp;$A$4,COM_All!$C$2:$C$999,"="&amp;'INS-UPD Heat'!$A22),"")</f>
        <v>0.52619483225875896</v>
      </c>
      <c r="BN22" s="32">
        <f>IFERROR(AVERAGEIFS(COM_All!AC$2:AC$999,COM_All!$B$2:$B$999,"="&amp;$A$4,COM_All!$C$2:$C$999,"="&amp;'INS-UPD Heat'!$A22),"")</f>
        <v>0.55130367951244896</v>
      </c>
      <c r="BO22" s="32">
        <f>IFERROR(AVERAGEIFS(COM_All!AD$2:AD$999,COM_All!$B$2:$B$999,"="&amp;$A$4,COM_All!$C$2:$C$999,"="&amp;'INS-UPD Heat'!$A22),"")</f>
        <v>0.54125846320370197</v>
      </c>
      <c r="BP22" s="32">
        <f>IFERROR(AVERAGEIFS(COM_All!AE$2:AE$999,COM_All!$B$2:$B$999,"="&amp;$A$4,COM_All!$C$2:$C$999,"="&amp;'INS-UPD Heat'!$A22),"")</f>
        <v>0.5</v>
      </c>
      <c r="BQ22" s="32">
        <f>IFERROR(AVERAGEIFS(COM_All!AF$2:AF$999,COM_All!$B$2:$B$999,"="&amp;$A$4,COM_All!$C$2:$C$999,"="&amp;'INS-UPD Heat'!$A22),"")</f>
        <v>0.5</v>
      </c>
      <c r="BR22" s="32">
        <f>IFERROR(AVERAGEIFS(COM_All!AG$2:AG$999,COM_All!$B$2:$B$999,"="&amp;$A$4,COM_All!$C$2:$C$999,"="&amp;'INS-UPD Heat'!$A22),"")</f>
        <v>0.516150087942154</v>
      </c>
      <c r="BS22" s="32">
        <f>IFERROR(AVERAGEIFS(COM_All!AH$2:AH$999,COM_All!$B$2:$B$999,"="&amp;$A$4,COM_All!$C$2:$C$999,"="&amp;'INS-UPD Heat'!$A22),"")</f>
        <v>0.5</v>
      </c>
      <c r="BT22" s="32">
        <f>IFERROR(AVERAGEIFS(COM_All!AI$2:AI$999,COM_All!$B$2:$B$999,"="&amp;$A$4,COM_All!$C$2:$C$999,"="&amp;'INS-UPD Heat'!$A22),"")</f>
        <v>0.53623797076053004</v>
      </c>
      <c r="BU22" s="32">
        <f>IFERROR(AVERAGEIFS(COM_All!AJ$2:AJ$999,COM_All!$B$2:$B$999,"="&amp;$A$4,COM_All!$C$2:$C$999,"="&amp;'INS-UPD Heat'!$A22),"")</f>
        <v>0.5</v>
      </c>
      <c r="BV22" s="32">
        <f>IFERROR(AVERAGEIFS(COM_All!AK$2:AK$999,COM_All!$B$2:$B$999,"="&amp;$A$4,COM_All!$C$2:$C$999,"="&amp;'INS-UPD Heat'!$A22),"")</f>
        <v>0.5</v>
      </c>
      <c r="BW22" s="32">
        <f>IFERROR(AVERAGEIFS(COM_All!AL$2:AL$999,COM_All!$B$2:$B$999,"="&amp;$A$4,COM_All!$C$2:$C$999,"="&amp;'INS-UPD Heat'!$A22),"")</f>
        <v>0.5</v>
      </c>
      <c r="BX22" s="32">
        <f>IFERROR(AVERAGEIFS(COM_All!AM$2:AM$999,COM_All!$B$2:$B$999,"="&amp;$A$4,COM_All!$C$2:$C$999,"="&amp;'INS-UPD Heat'!$A22),"")</f>
        <v>0.58143642322455602</v>
      </c>
      <c r="BY22" s="32">
        <f>IFERROR(AVERAGEIFS(COM_All!AN$2:AN$999,COM_All!$B$2:$B$999,"="&amp;$A$4,COM_All!$C$2:$C$999,"="&amp;'INS-UPD Heat'!$A22),"")</f>
        <v>0.54125846320370197</v>
      </c>
      <c r="BZ22" s="32">
        <f>IFERROR(AVERAGEIFS(COM_All!AO$2:AO$999,COM_All!$B$2:$B$999,"="&amp;$A$4,COM_All!$C$2:$C$999,"="&amp;'INS-UPD Heat'!$A22),"")</f>
        <v>0.53623703075516505</v>
      </c>
      <c r="CA22" s="32">
        <f>IFERROR(AVERAGEIFS(COM_All!AP$2:AP$999,COM_All!$B$2:$B$999,"="&amp;$A$4,COM_All!$C$2:$C$999,"="&amp;'INS-UPD Heat'!$A22),"")</f>
        <v>0.5</v>
      </c>
      <c r="CB22" s="32">
        <f>IFERROR(AVERAGEIFS(COM_All!AQ$2:AQ$999,COM_All!$B$2:$B$999,"="&amp;$A$4,COM_All!$C$2:$C$999,"="&amp;'INS-UPD Heat'!$A22),"")</f>
        <v>0.5</v>
      </c>
      <c r="CC22" s="32">
        <f>IFERROR(AVERAGEIFS(COM_All!AR$2:AR$999,COM_All!$B$2:$B$999,"="&amp;$A$4,COM_All!$C$2:$C$999,"="&amp;'INS-UPD Heat'!$A22),"")</f>
        <v>0.5</v>
      </c>
      <c r="CD22" s="32">
        <f>IFERROR(AVERAGEIFS(COM_All!AS$2:AS$999,COM_All!$B$2:$B$999,"="&amp;$A$4,COM_All!$C$2:$C$999,"="&amp;'INS-UPD Heat'!$A22),"")</f>
        <v>0.51614899075903098</v>
      </c>
      <c r="CE22" s="32">
        <f>IFERROR(AVERAGEIFS(COM_All!AT$2:AT$999,COM_All!$B$2:$B$999,"="&amp;$A$4,COM_All!$C$2:$C$999,"="&amp;'INS-UPD Heat'!$A22),"")</f>
        <v>0.5</v>
      </c>
      <c r="CF22" s="32">
        <f>IFERROR(AVERAGEIFS(COM_All!AU$2:AU$999,COM_All!$B$2:$B$999,"="&amp;$A$4,COM_All!$C$2:$C$999,"="&amp;'INS-UPD Heat'!$A22),"")</f>
        <v>0.52619458090501303</v>
      </c>
      <c r="CG22" s="33">
        <f>IFERROR(AVERAGEIFS(COM_All!AV$2:AV$999,COM_All!$B$2:$B$999,"="&amp;$A$4,COM_All!$C$2:$C$999,"="&amp;'INS-UPD Heat'!$A22),"")</f>
        <v>0.54126052266387803</v>
      </c>
    </row>
    <row r="23" spans="1:85" ht="15">
      <c r="A23" t="s">
        <v>139</v>
      </c>
      <c r="C23" t="s">
        <v>29</v>
      </c>
      <c r="D23" t="str">
        <f t="shared" si="2"/>
        <v>C_ES-SH-SR_HE*</v>
      </c>
      <c r="H23" s="54"/>
      <c r="I23" t="str">
        <f t="shared" si="3"/>
        <v>*0.880504783355962</v>
      </c>
      <c r="J23" t="str">
        <f t="shared" si="38"/>
        <v>*0.957548618872751</v>
      </c>
      <c r="K23" t="str">
        <f t="shared" si="39"/>
        <v>*0.880504783355962</v>
      </c>
      <c r="L23" t="str">
        <f t="shared" si="40"/>
        <v>*0.983020646759874</v>
      </c>
      <c r="M23" t="str">
        <f t="shared" si="6"/>
        <v>*0.804718937699145</v>
      </c>
      <c r="N23" t="str">
        <f t="shared" si="7"/>
        <v>*1</v>
      </c>
      <c r="O23" t="str">
        <f t="shared" si="8"/>
        <v>*0.880504783355962</v>
      </c>
      <c r="P23" t="str">
        <f t="shared" si="9"/>
        <v>*0.872644275983274</v>
      </c>
      <c r="Q23" s="48" t="str">
        <f t="shared" si="4"/>
        <v>*0.908569737634899</v>
      </c>
      <c r="R23" t="str">
        <f t="shared" si="10"/>
        <v>*0.915095212233637</v>
      </c>
      <c r="S23" t="str">
        <f t="shared" si="11"/>
        <v>*0.872642655737943</v>
      </c>
      <c r="T23" t="str">
        <f t="shared" si="12"/>
        <v>*0.880504783355962</v>
      </c>
      <c r="U23" t="str">
        <f t="shared" si="13"/>
        <v>*0.880504783355962</v>
      </c>
      <c r="V23" t="str">
        <f t="shared" si="14"/>
        <v>*0.881131477151944</v>
      </c>
      <c r="W23" t="str">
        <f t="shared" si="15"/>
        <v>*0.915093124359608</v>
      </c>
      <c r="X23" t="str">
        <f t="shared" si="16"/>
        <v>*0.889625250941913</v>
      </c>
      <c r="Y23" t="str">
        <f t="shared" si="17"/>
        <v>*0.889623372740061</v>
      </c>
      <c r="Z23" t="str">
        <f t="shared" si="18"/>
        <v>*0.880504783355962</v>
      </c>
      <c r="AA23" t="str">
        <f t="shared" si="19"/>
        <v>*0.915095212233637</v>
      </c>
      <c r="AB23" t="str">
        <f t="shared" si="20"/>
        <v>*0.915095341838966</v>
      </c>
      <c r="AC23" t="str">
        <f t="shared" si="21"/>
        <v>*0.880504783355962</v>
      </c>
      <c r="AD23" t="str">
        <f t="shared" si="22"/>
        <v>*0.872640325737902</v>
      </c>
      <c r="AE23" t="str">
        <f t="shared" si="23"/>
        <v>*0.915097225102635</v>
      </c>
      <c r="AF23" t="str">
        <f t="shared" si="24"/>
        <v>*0.906602703277204</v>
      </c>
      <c r="AG23" t="str">
        <f t="shared" si="25"/>
        <v>*0.880504783355962</v>
      </c>
      <c r="AH23" t="str">
        <f t="shared" si="26"/>
        <v>*0.880504783355962</v>
      </c>
      <c r="AI23" t="str">
        <f t="shared" si="27"/>
        <v>*0.880504783355962</v>
      </c>
      <c r="AJ23" t="str">
        <f t="shared" si="28"/>
        <v>*0.983021041372418</v>
      </c>
      <c r="AK23" t="str">
        <f t="shared" si="29"/>
        <v>*0.915095212233637</v>
      </c>
      <c r="AL23" t="str">
        <f t="shared" si="30"/>
        <v>*0.906604639952111</v>
      </c>
      <c r="AM23" t="str">
        <f t="shared" si="31"/>
        <v>*0.855664327496265</v>
      </c>
      <c r="AN23" t="str">
        <f t="shared" si="32"/>
        <v>*0.89386936286641</v>
      </c>
      <c r="AO23" t="str">
        <f t="shared" si="33"/>
        <v>*0.880504783355962</v>
      </c>
      <c r="AP23" t="str">
        <f t="shared" si="34"/>
        <v>*0.872640441278991</v>
      </c>
      <c r="AQ23" t="str">
        <f t="shared" si="35"/>
        <v>*0.949060077873277</v>
      </c>
      <c r="AR23" t="str">
        <f t="shared" si="36"/>
        <v>*0.889625648915354</v>
      </c>
      <c r="AS23" s="49" t="str">
        <f t="shared" si="37"/>
        <v>*0.915096287669067</v>
      </c>
      <c r="AV23" s="31">
        <f t="shared" si="5"/>
        <v>0.81947843501339068</v>
      </c>
      <c r="AW23" s="32">
        <f>IFERROR(AVERAGEIFS(COM_All!L$2:L$999,COM_All!$B$2:$B$999,"="&amp;$A$4,COM_All!$C$2:$C$999,"="&amp;'INS-UPD Heat'!$A23),"")</f>
        <v>0.80000000000000004</v>
      </c>
      <c r="AX23" s="32">
        <f>IFERROR(AVERAGEIFS(COM_All!M$2:M$999,COM_All!$B$2:$B$999,"="&amp;$A$4,COM_All!$C$2:$C$999,"="&amp;'INS-UPD Heat'!$A23),"")</f>
        <v>0.869999697421875</v>
      </c>
      <c r="AY23" s="32">
        <f>IFERROR(AVERAGEIFS(COM_All!N$2:N$999,COM_All!$B$2:$B$999,"="&amp;$A$4,COM_All!$C$2:$C$999,"="&amp;'INS-UPD Heat'!$A23),"")</f>
        <v>0.80000000000000004</v>
      </c>
      <c r="AZ23" s="32">
        <f>IFERROR(AVERAGEIFS(COM_All!O$2:O$999,COM_All!$B$2:$B$999,"="&amp;$A$4,COM_All!$C$2:$C$999,"="&amp;'INS-UPD Heat'!$A23),"")</f>
        <v>0.893142811116307</v>
      </c>
      <c r="BA23" s="32">
        <f>IFERROR(AVERAGEIFS(COM_All!P$2:P$999,COM_All!$B$2:$B$999,"="&amp;$A$4,COM_All!$C$2:$C$999,"="&amp;'INS-UPD Heat'!$A23),"")</f>
        <v>0.73114327409514701</v>
      </c>
      <c r="BB23" s="32">
        <f>IFERROR(AVERAGEIFS(COM_All!Q$2:Q$999,COM_All!$B$2:$B$999,"="&amp;$A$4,COM_All!$C$2:$C$999,"="&amp;'INS-UPD Heat'!$A23),"")</f>
        <v>0.90856973763489901</v>
      </c>
      <c r="BC23" s="32">
        <f>IFERROR(AVERAGEIFS(COM_All!R$2:R$999,COM_All!$B$2:$B$999,"="&amp;$A$4,COM_All!$C$2:$C$999,"="&amp;'INS-UPD Heat'!$A23),"")</f>
        <v>0.80000000000000004</v>
      </c>
      <c r="BD23" s="32">
        <f>IFERROR(AVERAGEIFS(COM_All!S$2:S$999,COM_All!$B$2:$B$999,"="&amp;$A$4,COM_All!$C$2:$C$999,"="&amp;'INS-UPD Heat'!$A23),"")</f>
        <v>0.79285818087871995</v>
      </c>
      <c r="BE23" s="32">
        <f>IFERROR(AVERAGEIFS(COM_All!T$2:T$999,COM_All!$B$2:$B$999,"="&amp;$A$4,COM_All!$C$2:$C$999,"="&amp;'INS-UPD Heat'!$A23),"")</f>
        <v>0.90856973763489901</v>
      </c>
      <c r="BF23" s="32">
        <f>IFERROR(AVERAGEIFS(COM_All!U$2:U$999,COM_All!$B$2:$B$999,"="&amp;$A$4,COM_All!$C$2:$C$999,"="&amp;'INS-UPD Heat'!$A23),"")</f>
        <v>0.83142781689006795</v>
      </c>
      <c r="BG23" s="32">
        <f>IFERROR(AVERAGEIFS(COM_All!V$2:V$999,COM_All!$B$2:$B$999,"="&amp;$A$4,COM_All!$C$2:$C$999,"="&amp;'INS-UPD Heat'!$A23),"")</f>
        <v>0.79285670877284398</v>
      </c>
      <c r="BH23" s="32">
        <f>IFERROR(AVERAGEIFS(COM_All!W$2:W$999,COM_All!$B$2:$B$999,"="&amp;$A$4,COM_All!$C$2:$C$999,"="&amp;'INS-UPD Heat'!$A23),"")</f>
        <v>0.80000000000000004</v>
      </c>
      <c r="BI23" s="32">
        <f>IFERROR(AVERAGEIFS(COM_All!X$2:X$999,COM_All!$B$2:$B$999,"="&amp;$A$4,COM_All!$C$2:$C$999,"="&amp;'INS-UPD Heat'!$A23),"")</f>
        <v>0.80000000000000004</v>
      </c>
      <c r="BJ23" s="32">
        <f>IFERROR(AVERAGEIFS(COM_All!Y$2:Y$999,COM_All!$B$2:$B$999,"="&amp;$A$4,COM_All!$C$2:$C$999,"="&amp;'INS-UPD Heat'!$A23),"")</f>
        <v>0.80056939501779301</v>
      </c>
      <c r="BK23" s="32">
        <f>IFERROR(AVERAGEIFS(COM_All!Z$2:Z$999,COM_All!$B$2:$B$999,"="&amp;$A$4,COM_All!$C$2:$C$999,"="&amp;'INS-UPD Heat'!$A23),"")</f>
        <v>0.83142591991090897</v>
      </c>
      <c r="BL23" s="32">
        <f>IFERROR(AVERAGEIFS(COM_All!AA$2:AA$999,COM_All!$B$2:$B$999,"="&amp;$A$4,COM_All!$C$2:$C$999,"="&amp;'INS-UPD Heat'!$A23),"")</f>
        <v>0.80828658084167504</v>
      </c>
      <c r="BM23" s="32">
        <f>IFERROR(AVERAGEIFS(COM_All!AB$2:AB$999,COM_All!$B$2:$B$999,"="&amp;$A$4,COM_All!$C$2:$C$999,"="&amp;'INS-UPD Heat'!$A23),"")</f>
        <v>0.80828487436431096</v>
      </c>
      <c r="BN23" s="32">
        <f>IFERROR(AVERAGEIFS(COM_All!AC$2:AC$999,COM_All!$B$2:$B$999,"="&amp;$A$4,COM_All!$C$2:$C$999,"="&amp;'INS-UPD Heat'!$A23),"")</f>
        <v>0.80000000000000004</v>
      </c>
      <c r="BO23" s="32">
        <f>IFERROR(AVERAGEIFS(COM_All!AD$2:AD$999,COM_All!$B$2:$B$999,"="&amp;$A$4,COM_All!$C$2:$C$999,"="&amp;'INS-UPD Heat'!$A23),"")</f>
        <v>0.83142781689006795</v>
      </c>
      <c r="BP23" s="32">
        <f>IFERROR(AVERAGEIFS(COM_All!AE$2:AE$999,COM_All!$B$2:$B$999,"="&amp;$A$4,COM_All!$C$2:$C$999,"="&amp;'INS-UPD Heat'!$A23),"")</f>
        <v>0.83142793464554798</v>
      </c>
      <c r="BQ23" s="32">
        <f>IFERROR(AVERAGEIFS(COM_All!AF$2:AF$999,COM_All!$B$2:$B$999,"="&amp;$A$4,COM_All!$C$2:$C$999,"="&amp;'INS-UPD Heat'!$A23),"")</f>
        <v>0.80000000000000004</v>
      </c>
      <c r="BR23" s="32">
        <f>IFERROR(AVERAGEIFS(COM_All!AG$2:AG$999,COM_All!$B$2:$B$999,"="&amp;$A$4,COM_All!$C$2:$C$999,"="&amp;'INS-UPD Heat'!$A23),"")</f>
        <v>0.79285459180531803</v>
      </c>
      <c r="BS23" s="32">
        <f>IFERROR(AVERAGEIFS(COM_All!AH$2:AH$999,COM_All!$B$2:$B$999,"="&amp;$A$4,COM_All!$C$2:$C$999,"="&amp;'INS-UPD Heat'!$A23),"")</f>
        <v>0.83142964572192501</v>
      </c>
      <c r="BT23" s="32">
        <f>IFERROR(AVERAGEIFS(COM_All!AI$2:AI$999,COM_All!$B$2:$B$999,"="&amp;$A$4,COM_All!$C$2:$C$999,"="&amp;'INS-UPD Heat'!$A23),"")</f>
        <v>0.82371178025565905</v>
      </c>
      <c r="BU23" s="32">
        <f>IFERROR(AVERAGEIFS(COM_All!AJ$2:AJ$999,COM_All!$B$2:$B$999,"="&amp;$A$4,COM_All!$C$2:$C$999,"="&amp;'INS-UPD Heat'!$A23),"")</f>
        <v>0.80000000000000004</v>
      </c>
      <c r="BV23" s="32">
        <f>IFERROR(AVERAGEIFS(COM_All!AK$2:AK$999,COM_All!$B$2:$B$999,"="&amp;$A$4,COM_All!$C$2:$C$999,"="&amp;'INS-UPD Heat'!$A23),"")</f>
        <v>0.80000000000000004</v>
      </c>
      <c r="BW23" s="32">
        <f>IFERROR(AVERAGEIFS(COM_All!AL$2:AL$999,COM_All!$B$2:$B$999,"="&amp;$A$4,COM_All!$C$2:$C$999,"="&amp;'INS-UPD Heat'!$A23),"")</f>
        <v>0.80000000000000004</v>
      </c>
      <c r="BX23" s="32">
        <f>IFERROR(AVERAGEIFS(COM_All!AM$2:AM$999,COM_All!$B$2:$B$999,"="&amp;$A$4,COM_All!$C$2:$C$999,"="&amp;'INS-UPD Heat'!$A23),"")</f>
        <v>0.89314316964932305</v>
      </c>
      <c r="BY23" s="32">
        <f>IFERROR(AVERAGEIFS(COM_All!AN$2:AN$999,COM_All!$B$2:$B$999,"="&amp;$A$4,COM_All!$C$2:$C$999,"="&amp;'INS-UPD Heat'!$A23),"")</f>
        <v>0.83142781689006795</v>
      </c>
      <c r="BZ23" s="32">
        <f>IFERROR(AVERAGEIFS(COM_All!AO$2:AO$999,COM_All!$B$2:$B$999,"="&amp;$A$4,COM_All!$C$2:$C$999,"="&amp;'INS-UPD Heat'!$A23),"")</f>
        <v>0.82371353985987195</v>
      </c>
      <c r="CA23" s="32">
        <f>IFERROR(AVERAGEIFS(COM_All!AP$2:AP$999,COM_All!$B$2:$B$999,"="&amp;$A$4,COM_All!$C$2:$C$999,"="&amp;'INS-UPD Heat'!$A23),"")</f>
        <v>0.77743071353682403</v>
      </c>
      <c r="CB23" s="32">
        <f>IFERROR(AVERAGEIFS(COM_All!AQ$2:AQ$999,COM_All!$B$2:$B$999,"="&amp;$A$4,COM_All!$C$2:$C$999,"="&amp;'INS-UPD Heat'!$A23),"")</f>
        <v>0.81214265249940798</v>
      </c>
      <c r="CC23" s="32">
        <f>IFERROR(AVERAGEIFS(COM_All!AR$2:AR$999,COM_All!$B$2:$B$999,"="&amp;$A$4,COM_All!$C$2:$C$999,"="&amp;'INS-UPD Heat'!$A23),"")</f>
        <v>0.80000000000000004</v>
      </c>
      <c r="CD23" s="32">
        <f>IFERROR(AVERAGEIFS(COM_All!AS$2:AS$999,COM_All!$B$2:$B$999,"="&amp;$A$4,COM_All!$C$2:$C$999,"="&amp;'INS-UPD Heat'!$A23),"")</f>
        <v>0.79285469678245502</v>
      </c>
      <c r="CE23" s="32">
        <f>IFERROR(AVERAGEIFS(COM_All!AT$2:AT$999,COM_All!$B$2:$B$999,"="&amp;$A$4,COM_All!$C$2:$C$999,"="&amp;'INS-UPD Heat'!$A23),"")</f>
        <v>0.86228726595308003</v>
      </c>
      <c r="CF23" s="32">
        <f>IFERROR(AVERAGEIFS(COM_All!AU$2:AU$999,COM_All!$B$2:$B$999,"="&amp;$A$4,COM_All!$C$2:$C$999,"="&amp;'INS-UPD Heat'!$A23),"")</f>
        <v>0.80828694242830001</v>
      </c>
      <c r="CG23" s="33">
        <f>IFERROR(AVERAGEIFS(COM_All!AV$2:AV$999,COM_All!$B$2:$B$999,"="&amp;$A$4,COM_All!$C$2:$C$999,"="&amp;'INS-UPD Heat'!$A23),"")</f>
        <v>0.83142879399815395</v>
      </c>
    </row>
    <row r="24" spans="1:85" ht="39">
      <c r="A24" t="s">
        <v>140</v>
      </c>
      <c r="C24" t="s">
        <v>29</v>
      </c>
      <c r="D24" s="75" t="s">
        <v>411</v>
      </c>
      <c r="H24" s="54"/>
      <c r="I24" t="str">
        <f t="shared" si="3"/>
        <v>*0.814695640040816</v>
      </c>
      <c r="J24" t="str">
        <f t="shared" si="38"/>
        <v>*0.866863618757606</v>
      </c>
      <c r="K24" t="str">
        <f t="shared" si="39"/>
        <v>*0.814695640040816</v>
      </c>
      <c r="L24" t="str">
        <f t="shared" si="40"/>
        <v>*0.829770066565543</v>
      </c>
      <c r="M24" t="str">
        <f t="shared" si="6"/>
        <v>*0.670139292549879</v>
      </c>
      <c r="N24" t="str">
        <f t="shared" si="7"/>
        <v>*1</v>
      </c>
      <c r="O24" t="str">
        <f t="shared" si="8"/>
        <v>*0.806570689531818</v>
      </c>
      <c r="P24" t="str">
        <f t="shared" si="9"/>
        <v>*0.783236858692403</v>
      </c>
      <c r="Q24" s="48" t="str">
        <f t="shared" si="4"/>
        <v>*1.16338718199139</v>
      </c>
      <c r="R24" t="str">
        <f t="shared" si="10"/>
        <v>*0.964160419172593</v>
      </c>
      <c r="S24" t="str">
        <f t="shared" si="11"/>
        <v>*0.707243659269144</v>
      </c>
      <c r="T24" t="str">
        <f t="shared" si="12"/>
        <v>*0.814695640040816</v>
      </c>
      <c r="U24" t="str">
        <f t="shared" si="13"/>
        <v>*0.880205881297254</v>
      </c>
      <c r="V24" t="str">
        <f t="shared" si="14"/>
        <v>*0.915248470397476</v>
      </c>
      <c r="W24" t="str">
        <f t="shared" si="15"/>
        <v>*0.982636396644647</v>
      </c>
      <c r="X24" t="str">
        <f t="shared" si="16"/>
        <v>*0.731393580117313</v>
      </c>
      <c r="Y24" t="str">
        <f t="shared" si="17"/>
        <v>*0.847123481616257</v>
      </c>
      <c r="Z24" t="str">
        <f t="shared" si="18"/>
        <v>*0.856585176139782</v>
      </c>
      <c r="AA24" t="str">
        <f t="shared" si="19"/>
        <v>*0.964160419172593</v>
      </c>
      <c r="AB24" t="str">
        <f t="shared" si="20"/>
        <v>*0.975703024004163</v>
      </c>
      <c r="AC24" t="str">
        <f t="shared" si="21"/>
        <v>*0.814695640040816</v>
      </c>
      <c r="AD24" t="str">
        <f t="shared" si="22"/>
        <v>*0.801302174406614</v>
      </c>
      <c r="AE24" t="str">
        <f t="shared" si="23"/>
        <v>*1.04929722822849</v>
      </c>
      <c r="AF24" t="str">
        <f t="shared" si="24"/>
        <v>*0.802607320234305</v>
      </c>
      <c r="AG24" t="str">
        <f t="shared" si="25"/>
        <v>*0.814695640040816</v>
      </c>
      <c r="AH24" t="str">
        <f t="shared" si="26"/>
        <v>*0.814695640040816</v>
      </c>
      <c r="AI24" t="str">
        <f t="shared" si="27"/>
        <v>*0.662075744685471</v>
      </c>
      <c r="AJ24" t="str">
        <f t="shared" si="28"/>
        <v>*1.09991267506868</v>
      </c>
      <c r="AK24" t="str">
        <f t="shared" si="29"/>
        <v>*0.964160419172593</v>
      </c>
      <c r="AL24" t="str">
        <f t="shared" si="30"/>
        <v>*0.973806550892689</v>
      </c>
      <c r="AM24" t="str">
        <f t="shared" si="31"/>
        <v>*0.840908698492736</v>
      </c>
      <c r="AN24" t="str">
        <f t="shared" si="32"/>
        <v>*0.752940453106604</v>
      </c>
      <c r="AO24" t="str">
        <f t="shared" si="33"/>
        <v>*0.814695640040816</v>
      </c>
      <c r="AP24" t="str">
        <f t="shared" si="34"/>
        <v>*0.885880097942198</v>
      </c>
      <c r="AQ24" t="str">
        <f t="shared" si="35"/>
        <v>*0.839394722196866</v>
      </c>
      <c r="AR24" t="str">
        <f t="shared" si="36"/>
        <v>*0.812611601321336</v>
      </c>
      <c r="AS24" s="49" t="str">
        <f t="shared" si="37"/>
        <v>*1.05673460932283</v>
      </c>
      <c r="AV24" s="31">
        <f t="shared" si="5"/>
        <v>1.0069758378551188</v>
      </c>
      <c r="AW24" s="32">
        <f>IFERROR(AVERAGEIFS(COM_All!L$2:L$999,COM_All!$B$2:$B$999,"="&amp;$A$4,COM_All!$C$2:$C$999,"="&amp;'INS-UPD Heat'!$A24),"")</f>
        <v>0.94780646484775699</v>
      </c>
      <c r="AX24" s="32">
        <f>IFERROR(AVERAGEIFS(COM_All!M$2:M$999,COM_All!$B$2:$B$999,"="&amp;$A$4,COM_All!$C$2:$C$999,"="&amp;'INS-UPD Heat'!$A24),"")</f>
        <v>1.0084980225972699</v>
      </c>
      <c r="AY24" s="32">
        <f>IFERROR(AVERAGEIFS(COM_All!N$2:N$999,COM_All!$B$2:$B$999,"="&amp;$A$4,COM_All!$C$2:$C$999,"="&amp;'INS-UPD Heat'!$A24),"")</f>
        <v>0.94780646484775699</v>
      </c>
      <c r="AZ24" s="32">
        <f>IFERROR(AVERAGEIFS(COM_All!O$2:O$999,COM_All!$B$2:$B$999,"="&amp;$A$4,COM_All!$C$2:$C$999,"="&amp;'INS-UPD Heat'!$A24),"")</f>
        <v>0.96534385944249501</v>
      </c>
      <c r="BA24" s="32">
        <f>IFERROR(AVERAGEIFS(COM_All!P$2:P$999,COM_All!$B$2:$B$999,"="&amp;$A$4,COM_All!$C$2:$C$999,"="&amp;'INS-UPD Heat'!$A24),"")</f>
        <v>0.77963146310130704</v>
      </c>
      <c r="BB24" s="32">
        <f>IFERROR(AVERAGEIFS(COM_All!Q$2:Q$999,COM_All!$B$2:$B$999,"="&amp;$A$4,COM_All!$C$2:$C$999,"="&amp;'INS-UPD Heat'!$A24),"")</f>
        <v>1.1633871819913899</v>
      </c>
      <c r="BC24" s="32">
        <f>IFERROR(AVERAGEIFS(COM_All!R$2:R$999,COM_All!$B$2:$B$999,"="&amp;$A$4,COM_All!$C$2:$C$999,"="&amp;'INS-UPD Heat'!$A24),"")</f>
        <v>0.93835400157127402</v>
      </c>
      <c r="BD24" s="32">
        <f>IFERROR(AVERAGEIFS(COM_All!S$2:S$999,COM_All!$B$2:$B$999,"="&amp;$A$4,COM_All!$C$2:$C$999,"="&amp;'INS-UPD Heat'!$A24),"")</f>
        <v>0.91120772186594301</v>
      </c>
      <c r="BE24" s="32">
        <f>IFERROR(AVERAGEIFS(COM_All!T$2:T$999,COM_All!$B$2:$B$999,"="&amp;$A$4,COM_All!$C$2:$C$999,"="&amp;'INS-UPD Heat'!$A24),"")</f>
        <v>1.1633871819913899</v>
      </c>
      <c r="BF24" s="32">
        <f>IFERROR(AVERAGEIFS(COM_All!U$2:U$999,COM_All!$B$2:$B$999,"="&amp;$A$4,COM_All!$C$2:$C$999,"="&amp;'INS-UPD Heat'!$A24),"")</f>
        <v>1.1216918730488401</v>
      </c>
      <c r="BG24" s="32">
        <f>IFERROR(AVERAGEIFS(COM_All!V$2:V$999,COM_All!$B$2:$B$999,"="&amp;$A$4,COM_All!$C$2:$C$999,"="&amp;'INS-UPD Heat'!$A24),"")</f>
        <v>0.82279820773840795</v>
      </c>
      <c r="BH24" s="32">
        <f>IFERROR(AVERAGEIFS(COM_All!W$2:W$999,COM_All!$B$2:$B$999,"="&amp;$A$4,COM_All!$C$2:$C$999,"="&amp;'INS-UPD Heat'!$A24),"")</f>
        <v>0.94780646484775699</v>
      </c>
      <c r="BI24" s="32">
        <f>IFERROR(AVERAGEIFS(COM_All!X$2:X$999,COM_All!$B$2:$B$999,"="&amp;$A$4,COM_All!$C$2:$C$999,"="&amp;'INS-UPD Heat'!$A24),"")</f>
        <v>1.0240202398146601</v>
      </c>
      <c r="BJ24" s="32">
        <f>IFERROR(AVERAGEIFS(COM_All!Y$2:Y$999,COM_All!$B$2:$B$999,"="&amp;$A$4,COM_All!$C$2:$C$999,"="&amp;'INS-UPD Heat'!$A24),"")</f>
        <v>1.06478833879765</v>
      </c>
      <c r="BK24" s="32">
        <f>IFERROR(AVERAGEIFS(COM_All!Z$2:Z$999,COM_All!$B$2:$B$999,"="&amp;$A$4,COM_All!$C$2:$C$999,"="&amp;'INS-UPD Heat'!$A24),"")</f>
        <v>1.14318658841459</v>
      </c>
      <c r="BL24" s="32">
        <f>IFERROR(AVERAGEIFS(COM_All!AA$2:AA$999,COM_All!$B$2:$B$999,"="&amp;$A$4,COM_All!$C$2:$C$999,"="&amp;'INS-UPD Heat'!$A24),"")</f>
        <v>0.85089391609927501</v>
      </c>
      <c r="BM24" s="32">
        <f>IFERROR(AVERAGEIFS(COM_All!AB$2:AB$999,COM_All!$B$2:$B$999,"="&amp;$A$4,COM_All!$C$2:$C$999,"="&amp;'INS-UPD Heat'!$A24),"")</f>
        <v>0.98553260007627197</v>
      </c>
      <c r="BN24" s="32">
        <f>IFERROR(AVERAGEIFS(COM_All!AC$2:AC$999,COM_All!$B$2:$B$999,"="&amp;$A$4,COM_All!$C$2:$C$999,"="&amp;'INS-UPD Heat'!$A24),"")</f>
        <v>0.99654021420485905</v>
      </c>
      <c r="BO24" s="32">
        <f>IFERROR(AVERAGEIFS(COM_All!AD$2:AD$999,COM_All!$B$2:$B$999,"="&amp;$A$4,COM_All!$C$2:$C$999,"="&amp;'INS-UPD Heat'!$A24),"")</f>
        <v>1.1216918730488401</v>
      </c>
      <c r="BP24" s="32">
        <f>IFERROR(AVERAGEIFS(COM_All!AE$2:AE$999,COM_All!$B$2:$B$999,"="&amp;$A$4,COM_All!$C$2:$C$999,"="&amp;'INS-UPD Heat'!$A24),"")</f>
        <v>1.1351203915566801</v>
      </c>
      <c r="BQ24" s="32">
        <f>IFERROR(AVERAGEIFS(COM_All!AF$2:AF$999,COM_All!$B$2:$B$999,"="&amp;$A$4,COM_All!$C$2:$C$999,"="&amp;'INS-UPD Heat'!$A24),"")</f>
        <v>0.94780646484775699</v>
      </c>
      <c r="BR24" s="32">
        <f>IFERROR(AVERAGEIFS(COM_All!AG$2:AG$999,COM_All!$B$2:$B$999,"="&amp;$A$4,COM_All!$C$2:$C$999,"="&amp;'INS-UPD Heat'!$A24),"")</f>
        <v>0.93222467860648395</v>
      </c>
      <c r="BS24" s="32">
        <f>IFERROR(AVERAGEIFS(COM_All!AH$2:AH$999,COM_All!$B$2:$B$999,"="&amp;$A$4,COM_All!$C$2:$C$999,"="&amp;'INS-UPD Heat'!$A24),"")</f>
        <v>1.2207389454201201</v>
      </c>
      <c r="BT24" s="32">
        <f>IFERROR(AVERAGEIFS(COM_All!AI$2:AI$999,COM_All!$B$2:$B$999,"="&amp;$A$4,COM_All!$C$2:$C$999,"="&amp;'INS-UPD Heat'!$A24),"")</f>
        <v>0.933743068533049</v>
      </c>
      <c r="BU24" s="32">
        <f>IFERROR(AVERAGEIFS(COM_All!AJ$2:AJ$999,COM_All!$B$2:$B$999,"="&amp;$A$4,COM_All!$C$2:$C$999,"="&amp;'INS-UPD Heat'!$A24),"")</f>
        <v>0.94780646484775699</v>
      </c>
      <c r="BV24" s="32">
        <f>IFERROR(AVERAGEIFS(COM_All!AK$2:AK$999,COM_All!$B$2:$B$999,"="&amp;$A$4,COM_All!$C$2:$C$999,"="&amp;'INS-UPD Heat'!$A24),"")</f>
        <v>0.94780646484775699</v>
      </c>
      <c r="BW24" s="32">
        <f>IFERROR(AVERAGEIFS(COM_All!AL$2:AL$999,COM_All!$B$2:$B$999,"="&amp;$A$4,COM_All!$C$2:$C$999,"="&amp;'INS-UPD Heat'!$A24),"")</f>
        <v>0.77025043487448097</v>
      </c>
      <c r="BX24" s="32">
        <f>IFERROR(AVERAGEIFS(COM_All!AM$2:AM$999,COM_All!$B$2:$B$999,"="&amp;$A$4,COM_All!$C$2:$C$999,"="&amp;'INS-UPD Heat'!$A24),"")</f>
        <v>1.27962430748476</v>
      </c>
      <c r="BY24" s="32">
        <f>IFERROR(AVERAGEIFS(COM_All!AN$2:AN$999,COM_All!$B$2:$B$999,"="&amp;$A$4,COM_All!$C$2:$C$999,"="&amp;'INS-UPD Heat'!$A24),"")</f>
        <v>1.1216918730488401</v>
      </c>
      <c r="BZ24" s="32">
        <f>IFERROR(AVERAGEIFS(COM_All!AO$2:AO$999,COM_All!$B$2:$B$999,"="&amp;$A$4,COM_All!$C$2:$C$999,"="&amp;'INS-UPD Heat'!$A24),"")</f>
        <v>1.1329140590478</v>
      </c>
      <c r="CA24" s="32">
        <f>IFERROR(AVERAGEIFS(COM_All!AP$2:AP$999,COM_All!$B$2:$B$999,"="&amp;$A$4,COM_All!$C$2:$C$999,"="&amp;'INS-UPD Heat'!$A24),"")</f>
        <v>0.97830240105151101</v>
      </c>
      <c r="CB24" s="32">
        <f>IFERROR(AVERAGEIFS(COM_All!AQ$2:AQ$999,COM_All!$B$2:$B$999,"="&amp;$A$4,COM_All!$C$2:$C$999,"="&amp;'INS-UPD Heat'!$A24),"")</f>
        <v>0.87596127194701201</v>
      </c>
      <c r="CC24" s="32">
        <f>IFERROR(AVERAGEIFS(COM_All!AR$2:AR$999,COM_All!$B$2:$B$999,"="&amp;$A$4,COM_All!$C$2:$C$999,"="&amp;'INS-UPD Heat'!$A24),"")</f>
        <v>0.94780646484775699</v>
      </c>
      <c r="CD24" s="32">
        <f>IFERROR(AVERAGEIFS(COM_All!AS$2:AS$999,COM_All!$B$2:$B$999,"="&amp;$A$4,COM_All!$C$2:$C$999,"="&amp;'INS-UPD Heat'!$A24),"")</f>
        <v>1.0306215507272301</v>
      </c>
      <c r="CE24" s="32">
        <f>IFERROR(AVERAGEIFS(COM_All!AT$2:AT$999,COM_All!$B$2:$B$999,"="&amp;$A$4,COM_All!$C$2:$C$999,"="&amp;'INS-UPD Heat'!$A24),"")</f>
        <v>0.97654106043505795</v>
      </c>
      <c r="CF24" s="32">
        <f>IFERROR(AVERAGEIFS(COM_All!AU$2:AU$999,COM_All!$B$2:$B$999,"="&amp;$A$4,COM_All!$C$2:$C$999,"="&amp;'INS-UPD Heat'!$A24),"")</f>
        <v>0.94538192091474005</v>
      </c>
      <c r="CG24" s="33">
        <f>IFERROR(AVERAGEIFS(COM_All!AV$2:AV$999,COM_All!$B$2:$B$999,"="&amp;$A$4,COM_All!$C$2:$C$999,"="&amp;'INS-UPD Heat'!$A24),"")</f>
        <v>1.2293914992528601</v>
      </c>
    </row>
    <row r="25" spans="1:85" ht="15">
      <c r="A25" t="s">
        <v>141</v>
      </c>
      <c r="C25" t="s">
        <v>29</v>
      </c>
      <c r="D25" t="str">
        <f t="shared" si="2"/>
        <v>C_ES-SH-SR_GA*</v>
      </c>
      <c r="H25" s="54"/>
      <c r="I25" t="str">
        <f t="shared" si="3"/>
        <v>*0.751789844164435</v>
      </c>
      <c r="J25" t="str">
        <f t="shared" si="38"/>
        <v>*0.958971368982325</v>
      </c>
      <c r="K25" t="str">
        <f t="shared" si="39"/>
        <v>*0.751789844164435</v>
      </c>
      <c r="L25" t="str">
        <f t="shared" si="40"/>
        <v>*0.98247021598169</v>
      </c>
      <c r="M25" t="str">
        <f t="shared" si="6"/>
        <v>*0.801022925677764</v>
      </c>
      <c r="N25" t="str">
        <f t="shared" si="7"/>
        <v>*1</v>
      </c>
      <c r="O25" t="str">
        <f t="shared" si="8"/>
        <v>*0.750312177594846</v>
      </c>
      <c r="P25" t="str">
        <f t="shared" si="9"/>
        <v>*0.870852828625521</v>
      </c>
      <c r="Q25" s="48" t="str">
        <f t="shared" si="4"/>
        <v>*0.766721004074585</v>
      </c>
      <c r="R25" t="str">
        <f t="shared" si="10"/>
        <v>*0.916481590266539</v>
      </c>
      <c r="S25" t="str">
        <f t="shared" si="11"/>
        <v>*0.868634629976933</v>
      </c>
      <c r="T25" t="str">
        <f t="shared" si="12"/>
        <v>*0.751789844164435</v>
      </c>
      <c r="U25" t="str">
        <f t="shared" si="13"/>
        <v>*0.831402561906822</v>
      </c>
      <c r="V25" t="str">
        <f t="shared" si="14"/>
        <v>*0.877090057188528</v>
      </c>
      <c r="W25" t="str">
        <f t="shared" si="15"/>
        <v>*0.913903595895035</v>
      </c>
      <c r="X25" t="str">
        <f t="shared" si="16"/>
        <v>*0.887582361489164</v>
      </c>
      <c r="Y25" t="str">
        <f t="shared" si="17"/>
        <v>*0.88826694111973</v>
      </c>
      <c r="Z25" t="str">
        <f t="shared" si="18"/>
        <v>*0.932017066676991</v>
      </c>
      <c r="AA25" t="str">
        <f t="shared" si="19"/>
        <v>*0.916481590266539</v>
      </c>
      <c r="AB25" t="str">
        <f t="shared" si="20"/>
        <v>*0.912611573794044</v>
      </c>
      <c r="AC25" t="str">
        <f t="shared" si="21"/>
        <v>*0.751789844164435</v>
      </c>
      <c r="AD25" t="str">
        <f t="shared" si="22"/>
        <v>*0.868636514902445</v>
      </c>
      <c r="AE25" t="str">
        <f t="shared" si="23"/>
        <v>*0.916280573443744</v>
      </c>
      <c r="AF25" t="str">
        <f t="shared" si="24"/>
        <v>*0.902440555603779</v>
      </c>
      <c r="AG25" t="str">
        <f t="shared" si="25"/>
        <v>*0.751789844164435</v>
      </c>
      <c r="AH25" t="str">
        <f t="shared" si="26"/>
        <v>*0.751789844164435</v>
      </c>
      <c r="AI25" t="str">
        <f t="shared" si="27"/>
        <v>*0.782553232285825</v>
      </c>
      <c r="AJ25" t="str">
        <f t="shared" si="28"/>
        <v>*0.983432278118349</v>
      </c>
      <c r="AK25" t="str">
        <f t="shared" si="29"/>
        <v>*0.916481590266539</v>
      </c>
      <c r="AL25" t="str">
        <f t="shared" si="30"/>
        <v>*0.907097458133649</v>
      </c>
      <c r="AM25" t="str">
        <f t="shared" si="31"/>
        <v>*0.858910478986323</v>
      </c>
      <c r="AN25" t="str">
        <f t="shared" si="32"/>
        <v>*0.890676709498201</v>
      </c>
      <c r="AO25" t="str">
        <f t="shared" si="33"/>
        <v>*0.751789844164435</v>
      </c>
      <c r="AP25" t="str">
        <f t="shared" si="34"/>
        <v>*0.868634823876442</v>
      </c>
      <c r="AQ25" t="str">
        <f t="shared" si="35"/>
        <v>*0.944703220399034</v>
      </c>
      <c r="AR25" t="str">
        <f t="shared" si="36"/>
        <v>*0.887897908847503</v>
      </c>
      <c r="AS25" s="49" t="str">
        <f t="shared" si="37"/>
        <v>*0.915420971135312</v>
      </c>
      <c r="AV25" s="31">
        <f t="shared" si="5"/>
        <v>0.66754039347608862</v>
      </c>
      <c r="AW25" s="32">
        <f>IFERROR(AVERAGEIFS(COM_All!L$2:L$999,COM_All!$B$2:$B$999,"="&amp;$A$4,COM_All!$C$2:$C$999,"="&amp;'INS-UPD Heat'!$A25),"")</f>
        <v>0.57641306417083105</v>
      </c>
      <c r="AX25" s="32">
        <f>IFERROR(AVERAGEIFS(COM_All!M$2:M$999,COM_All!$B$2:$B$999,"="&amp;$A$4,COM_All!$C$2:$C$999,"="&amp;'INS-UPD Heat'!$A25),"")</f>
        <v>0.73526349090490795</v>
      </c>
      <c r="AY25" s="32">
        <f>IFERROR(AVERAGEIFS(COM_All!N$2:N$999,COM_All!$B$2:$B$999,"="&amp;$A$4,COM_All!$C$2:$C$999,"="&amp;'INS-UPD Heat'!$A25),"")</f>
        <v>0.57641306417083105</v>
      </c>
      <c r="AZ25" s="32">
        <f>IFERROR(AVERAGEIFS(COM_All!O$2:O$999,COM_All!$B$2:$B$999,"="&amp;$A$4,COM_All!$C$2:$C$999,"="&amp;'INS-UPD Heat'!$A25),"")</f>
        <v>0.75328055047085596</v>
      </c>
      <c r="BA25" s="32">
        <f>IFERROR(AVERAGEIFS(COM_All!P$2:P$999,COM_All!$B$2:$B$999,"="&amp;$A$4,COM_All!$C$2:$C$999,"="&amp;'INS-UPD Heat'!$A25),"")</f>
        <v>0.61416110186241701</v>
      </c>
      <c r="BB25" s="32">
        <f>IFERROR(AVERAGEIFS(COM_All!Q$2:Q$999,COM_All!$B$2:$B$999,"="&amp;$A$4,COM_All!$C$2:$C$999,"="&amp;'INS-UPD Heat'!$A25),"")</f>
        <v>0.76672100407458499</v>
      </c>
      <c r="BC25" s="32">
        <f>IFERROR(AVERAGEIFS(COM_All!R$2:R$999,COM_All!$B$2:$B$999,"="&amp;$A$4,COM_All!$C$2:$C$999,"="&amp;'INS-UPD Heat'!$A25),"")</f>
        <v>0.57528010617490899</v>
      </c>
      <c r="BD25" s="32">
        <f>IFERROR(AVERAGEIFS(COM_All!S$2:S$999,COM_All!$B$2:$B$999,"="&amp;$A$4,COM_All!$C$2:$C$999,"="&amp;'INS-UPD Heat'!$A25),"")</f>
        <v>0.66770115516495199</v>
      </c>
      <c r="BE25" s="32">
        <f>IFERROR(AVERAGEIFS(COM_All!T$2:T$999,COM_All!$B$2:$B$999,"="&amp;$A$4,COM_All!$C$2:$C$999,"="&amp;'INS-UPD Heat'!$A25),"")</f>
        <v>0.76672100407458499</v>
      </c>
      <c r="BF25" s="32">
        <f>IFERROR(AVERAGEIFS(COM_All!U$2:U$999,COM_All!$B$2:$B$999,"="&amp;$A$4,COM_All!$C$2:$C$999,"="&amp;'INS-UPD Heat'!$A25),"")</f>
        <v>0.70268568510503304</v>
      </c>
      <c r="BG25" s="32">
        <f>IFERROR(AVERAGEIFS(COM_All!V$2:V$999,COM_All!$B$2:$B$999,"="&amp;$A$4,COM_All!$C$2:$C$999,"="&amp;'INS-UPD Heat'!$A25),"")</f>
        <v>0.66600041566987001</v>
      </c>
      <c r="BH25" s="32">
        <f>IFERROR(AVERAGEIFS(COM_All!W$2:W$999,COM_All!$B$2:$B$999,"="&amp;$A$4,COM_All!$C$2:$C$999,"="&amp;'INS-UPD Heat'!$A25),"")</f>
        <v>0.57641306417083105</v>
      </c>
      <c r="BI25" s="32">
        <f>IFERROR(AVERAGEIFS(COM_All!X$2:X$999,COM_All!$B$2:$B$999,"="&amp;$A$4,COM_All!$C$2:$C$999,"="&amp;'INS-UPD Heat'!$A25),"")</f>
        <v>0.63745380705538102</v>
      </c>
      <c r="BJ25" s="32">
        <f>IFERROR(AVERAGEIFS(COM_All!Y$2:Y$999,COM_All!$B$2:$B$999,"="&amp;$A$4,COM_All!$C$2:$C$999,"="&amp;'INS-UPD Heat'!$A25),"")</f>
        <v>0.67248336931142305</v>
      </c>
      <c r="BK25" s="32">
        <f>IFERROR(AVERAGEIFS(COM_All!Z$2:Z$999,COM_All!$B$2:$B$999,"="&amp;$A$4,COM_All!$C$2:$C$999,"="&amp;'INS-UPD Heat'!$A25),"")</f>
        <v>0.70070908267201504</v>
      </c>
      <c r="BL25" s="32">
        <f>IFERROR(AVERAGEIFS(COM_All!AA$2:AA$999,COM_All!$B$2:$B$999,"="&amp;$A$4,COM_All!$C$2:$C$999,"="&amp;'INS-UPD Heat'!$A25),"")</f>
        <v>0.68052803939986295</v>
      </c>
      <c r="BM25" s="32">
        <f>IFERROR(AVERAGEIFS(COM_All!AB$2:AB$999,COM_All!$B$2:$B$999,"="&amp;$A$4,COM_All!$C$2:$C$999,"="&amp;'INS-UPD Heat'!$A25),"")</f>
        <v>0.68105292098157999</v>
      </c>
      <c r="BN25" s="32">
        <f>IFERROR(AVERAGEIFS(COM_All!AC$2:AC$999,COM_All!$B$2:$B$999,"="&amp;$A$4,COM_All!$C$2:$C$999,"="&amp;'INS-UPD Heat'!$A25),"")</f>
        <v>0.71459706117723198</v>
      </c>
      <c r="BO25" s="32">
        <f>IFERROR(AVERAGEIFS(COM_All!AD$2:AD$999,COM_All!$B$2:$B$999,"="&amp;$A$4,COM_All!$C$2:$C$999,"="&amp;'INS-UPD Heat'!$A25),"")</f>
        <v>0.70268568510503304</v>
      </c>
      <c r="BP25" s="32">
        <f>IFERROR(AVERAGEIFS(COM_All!AE$2:AE$999,COM_All!$B$2:$B$999,"="&amp;$A$4,COM_All!$C$2:$C$999,"="&amp;'INS-UPD Heat'!$A25),"")</f>
        <v>0.69971846218945699</v>
      </c>
      <c r="BQ25" s="32">
        <f>IFERROR(AVERAGEIFS(COM_All!AF$2:AF$999,COM_All!$B$2:$B$999,"="&amp;$A$4,COM_All!$C$2:$C$999,"="&amp;'INS-UPD Heat'!$A25),"")</f>
        <v>0.57641306417083105</v>
      </c>
      <c r="BR25" s="32">
        <f>IFERROR(AVERAGEIFS(COM_All!AG$2:AG$999,COM_All!$B$2:$B$999,"="&amp;$A$4,COM_All!$C$2:$C$999,"="&amp;'INS-UPD Heat'!$A25),"")</f>
        <v>0.66600186088185098</v>
      </c>
      <c r="BS25" s="32">
        <f>IFERROR(AVERAGEIFS(COM_All!AH$2:AH$999,COM_All!$B$2:$B$999,"="&amp;$A$4,COM_All!$C$2:$C$999,"="&amp;'INS-UPD Heat'!$A25),"")</f>
        <v>0.70253156128482397</v>
      </c>
      <c r="BT25" s="32">
        <f>IFERROR(AVERAGEIFS(COM_All!AI$2:AI$999,COM_All!$B$2:$B$999,"="&amp;$A$4,COM_All!$C$2:$C$999,"="&amp;'INS-UPD Heat'!$A25),"")</f>
        <v>0.69192012891015597</v>
      </c>
      <c r="BU25" s="32">
        <f>IFERROR(AVERAGEIFS(COM_All!AJ$2:AJ$999,COM_All!$B$2:$B$999,"="&amp;$A$4,COM_All!$C$2:$C$999,"="&amp;'INS-UPD Heat'!$A25),"")</f>
        <v>0.57641306417083105</v>
      </c>
      <c r="BV25" s="32">
        <f>IFERROR(AVERAGEIFS(COM_All!AK$2:AK$999,COM_All!$B$2:$B$999,"="&amp;$A$4,COM_All!$C$2:$C$999,"="&amp;'INS-UPD Heat'!$A25),"")</f>
        <v>0.57641306417083105</v>
      </c>
      <c r="BW25" s="32">
        <f>IFERROR(AVERAGEIFS(COM_All!AL$2:AL$999,COM_All!$B$2:$B$999,"="&amp;$A$4,COM_All!$C$2:$C$999,"="&amp;'INS-UPD Heat'!$A25),"")</f>
        <v>0.59999999999999998</v>
      </c>
      <c r="BX25" s="32">
        <f>IFERROR(AVERAGEIFS(COM_All!AM$2:AM$999,COM_All!$B$2:$B$999,"="&amp;$A$4,COM_All!$C$2:$C$999,"="&amp;'INS-UPD Heat'!$A25),"")</f>
        <v>0.75401818371825702</v>
      </c>
      <c r="BY25" s="32">
        <f>IFERROR(AVERAGEIFS(COM_All!AN$2:AN$999,COM_All!$B$2:$B$999,"="&amp;$A$4,COM_All!$C$2:$C$999,"="&amp;'INS-UPD Heat'!$A25),"")</f>
        <v>0.70268568510503304</v>
      </c>
      <c r="BZ25" s="32">
        <f>IFERROR(AVERAGEIFS(COM_All!AO$2:AO$999,COM_All!$B$2:$B$999,"="&amp;$A$4,COM_All!$C$2:$C$999,"="&amp;'INS-UPD Heat'!$A25),"")</f>
        <v>0.69549067389373498</v>
      </c>
      <c r="CA25" s="32">
        <f>IFERROR(AVERAGEIFS(COM_All!AP$2:AP$999,COM_All!$B$2:$B$999,"="&amp;$A$4,COM_All!$C$2:$C$999,"="&amp;'INS-UPD Heat'!$A25),"")</f>
        <v>0.65854470485857597</v>
      </c>
      <c r="CB25" s="32">
        <f>IFERROR(AVERAGEIFS(COM_All!AQ$2:AQ$999,COM_All!$B$2:$B$999,"="&amp;$A$4,COM_All!$C$2:$C$999,"="&amp;'INS-UPD Heat'!$A25),"")</f>
        <v>0.68290054101230802</v>
      </c>
      <c r="CC25" s="32">
        <f>IFERROR(AVERAGEIFS(COM_All!AR$2:AR$999,COM_All!$B$2:$B$999,"="&amp;$A$4,COM_All!$C$2:$C$999,"="&amp;'INS-UPD Heat'!$A25),"")</f>
        <v>0.57641306417083105</v>
      </c>
      <c r="CD25" s="32">
        <f>IFERROR(AVERAGEIFS(COM_All!AS$2:AS$999,COM_All!$B$2:$B$999,"="&amp;$A$4,COM_All!$C$2:$C$999,"="&amp;'INS-UPD Heat'!$A25),"")</f>
        <v>0.66600056433669597</v>
      </c>
      <c r="CE25" s="32">
        <f>IFERROR(AVERAGEIFS(COM_All!AT$2:AT$999,COM_All!$B$2:$B$999,"="&amp;$A$4,COM_All!$C$2:$C$999,"="&amp;'INS-UPD Heat'!$A25),"")</f>
        <v>0.72432380169684096</v>
      </c>
      <c r="CF25" s="32">
        <f>IFERROR(AVERAGEIFS(COM_All!AU$2:AU$999,COM_All!$B$2:$B$999,"="&amp;$A$4,COM_All!$C$2:$C$999,"="&amp;'INS-UPD Heat'!$A25),"")</f>
        <v>0.68076997618728197</v>
      </c>
      <c r="CG25" s="33">
        <f>IFERROR(AVERAGEIFS(COM_All!AV$2:AV$999,COM_All!$B$2:$B$999,"="&amp;$A$4,COM_All!$C$2:$C$999,"="&amp;'INS-UPD Heat'!$A25),"")</f>
        <v>0.70187248613979802</v>
      </c>
    </row>
    <row r="26" spans="1:85" ht="15">
      <c r="A26" t="s">
        <v>142</v>
      </c>
      <c r="C26" t="s">
        <v>29</v>
      </c>
      <c r="D26" t="str">
        <f t="shared" si="2"/>
        <v>C_ES-SH-SR_OI*</v>
      </c>
      <c r="H26" s="54"/>
      <c r="I26" t="str">
        <f t="shared" si="3"/>
        <v>*0.753773411000091</v>
      </c>
      <c r="J26" t="str">
        <f t="shared" si="38"/>
        <v>*0.957544163772634</v>
      </c>
      <c r="K26" t="str">
        <f t="shared" si="39"/>
        <v>*0.753773411000091</v>
      </c>
      <c r="L26" t="str">
        <f t="shared" si="40"/>
        <v>*0.983016992017122</v>
      </c>
      <c r="M26" t="str">
        <f t="shared" si="6"/>
        <v>*0.804716585177828</v>
      </c>
      <c r="N26" t="str">
        <f t="shared" si="7"/>
        <v>*1</v>
      </c>
      <c r="O26" t="str">
        <f t="shared" si="8"/>
        <v>*0.753771965014407</v>
      </c>
      <c r="P26" t="str">
        <f t="shared" si="9"/>
        <v>*0.872640058113471</v>
      </c>
      <c r="Q26" s="48" t="str">
        <f t="shared" si="4"/>
        <v>*0.715500925014401</v>
      </c>
      <c r="R26" t="str">
        <f t="shared" si="10"/>
        <v>*0.915094452005067</v>
      </c>
      <c r="S26" t="str">
        <f t="shared" si="11"/>
        <v>*0.872638584269094</v>
      </c>
      <c r="T26" t="str">
        <f t="shared" si="12"/>
        <v>*0.753773411000091</v>
      </c>
      <c r="U26" t="str">
        <f t="shared" si="13"/>
        <v>*0.830188634260304</v>
      </c>
      <c r="V26" t="str">
        <f t="shared" si="14"/>
        <v>*0.881132627863442</v>
      </c>
      <c r="W26" t="str">
        <f t="shared" si="15"/>
        <v>*0.915094198262907</v>
      </c>
      <c r="X26" t="str">
        <f t="shared" si="16"/>
        <v>*0.889621616188381</v>
      </c>
      <c r="Y26" t="str">
        <f t="shared" si="17"/>
        <v>*0.768692227740908</v>
      </c>
      <c r="Z26" t="str">
        <f t="shared" si="18"/>
        <v>*0.932072829532384</v>
      </c>
      <c r="AA26" t="str">
        <f t="shared" si="19"/>
        <v>*0.915094452005067</v>
      </c>
      <c r="AB26" t="str">
        <f t="shared" si="20"/>
        <v>*0.915090313213233</v>
      </c>
      <c r="AC26" t="str">
        <f t="shared" si="21"/>
        <v>*0.753773411000091</v>
      </c>
      <c r="AD26" t="str">
        <f t="shared" si="22"/>
        <v>*0.872642317322356</v>
      </c>
      <c r="AE26" t="str">
        <f t="shared" si="23"/>
        <v>*0.915091850300005</v>
      </c>
      <c r="AF26" t="str">
        <f t="shared" si="24"/>
        <v>*0.906603397591183</v>
      </c>
      <c r="AG26" t="str">
        <f t="shared" si="25"/>
        <v>*0.753773411000091</v>
      </c>
      <c r="AH26" t="str">
        <f t="shared" si="26"/>
        <v>*0.753773411000091</v>
      </c>
      <c r="AI26" t="str">
        <f t="shared" si="27"/>
        <v>*0.768692227740908</v>
      </c>
      <c r="AJ26" t="str">
        <f t="shared" si="28"/>
        <v>*0.983020136421328</v>
      </c>
      <c r="AK26" t="str">
        <f t="shared" si="29"/>
        <v>*0.915094452005067</v>
      </c>
      <c r="AL26" t="str">
        <f t="shared" si="30"/>
        <v>*0.906603703265176</v>
      </c>
      <c r="AM26" t="str">
        <f t="shared" si="31"/>
        <v>*0.855661126516543</v>
      </c>
      <c r="AN26" t="str">
        <f t="shared" si="32"/>
        <v>*0.893867563595842</v>
      </c>
      <c r="AO26" t="str">
        <f t="shared" si="33"/>
        <v>*0.753773411000091</v>
      </c>
      <c r="AP26" t="str">
        <f t="shared" si="34"/>
        <v>*0.872639506876678</v>
      </c>
      <c r="AQ26" t="str">
        <f t="shared" si="35"/>
        <v>*0.94905683960654</v>
      </c>
      <c r="AR26" t="str">
        <f t="shared" si="36"/>
        <v>*0.889623028548323</v>
      </c>
      <c r="AS26" s="49" t="str">
        <f t="shared" si="37"/>
        <v>*0.915091716306065</v>
      </c>
      <c r="AV26" s="31">
        <f t="shared" si="5"/>
        <v>0.62125807174643299</v>
      </c>
      <c r="AW26" s="32">
        <f>IFERROR(AVERAGEIFS(COM_All!L$2:L$999,COM_All!$B$2:$B$999,"="&amp;$A$4,COM_All!$C$2:$C$999,"="&amp;'INS-UPD Heat'!$A26),"")</f>
        <v>0.53932557282182503</v>
      </c>
      <c r="AX26" s="32">
        <f>IFERROR(AVERAGEIFS(COM_All!M$2:M$999,COM_All!$B$2:$B$999,"="&amp;$A$4,COM_All!$C$2:$C$999,"="&amp;'INS-UPD Heat'!$A26),"")</f>
        <v>0.68512373492146095</v>
      </c>
      <c r="AY26" s="32">
        <f>IFERROR(AVERAGEIFS(COM_All!N$2:N$999,COM_All!$B$2:$B$999,"="&amp;$A$4,COM_All!$C$2:$C$999,"="&amp;'INS-UPD Heat'!$A26),"")</f>
        <v>0.53932557282182503</v>
      </c>
      <c r="AZ26" s="32">
        <f>IFERROR(AVERAGEIFS(COM_All!O$2:O$999,COM_All!$B$2:$B$999,"="&amp;$A$4,COM_All!$C$2:$C$999,"="&amp;'INS-UPD Heat'!$A26),"")</f>
        <v>0.70334956709312502</v>
      </c>
      <c r="BA26" s="32">
        <f>IFERROR(AVERAGEIFS(COM_All!P$2:P$999,COM_All!$B$2:$B$999,"="&amp;$A$4,COM_All!$C$2:$C$999,"="&amp;'INS-UPD Heat'!$A26),"")</f>
        <v>0.57577546106916599</v>
      </c>
      <c r="BB26" s="32">
        <f>IFERROR(AVERAGEIFS(COM_All!Q$2:Q$999,COM_All!$B$2:$B$999,"="&amp;$A$4,COM_All!$C$2:$C$999,"="&amp;'INS-UPD Heat'!$A26),"")</f>
        <v>0.71550092501440099</v>
      </c>
      <c r="BC26" s="32">
        <f>IFERROR(AVERAGEIFS(COM_All!R$2:R$999,COM_All!$B$2:$B$999,"="&amp;$A$4,COM_All!$C$2:$C$999,"="&amp;'INS-UPD Heat'!$A26),"")</f>
        <v>0.53932453821773096</v>
      </c>
      <c r="BD26" s="32">
        <f>IFERROR(AVERAGEIFS(COM_All!S$2:S$999,COM_All!$B$2:$B$999,"="&amp;$A$4,COM_All!$C$2:$C$999,"="&amp;'INS-UPD Heat'!$A26),"")</f>
        <v>0.62437476878480902</v>
      </c>
      <c r="BE26" s="32">
        <f>IFERROR(AVERAGEIFS(COM_All!T$2:T$999,COM_All!$B$2:$B$999,"="&amp;$A$4,COM_All!$C$2:$C$999,"="&amp;'INS-UPD Heat'!$A26),"")</f>
        <v>0.71550092501440099</v>
      </c>
      <c r="BF26" s="32">
        <f>IFERROR(AVERAGEIFS(COM_All!U$2:U$999,COM_All!$B$2:$B$999,"="&amp;$A$4,COM_All!$C$2:$C$999,"="&amp;'INS-UPD Heat'!$A26),"")</f>
        <v>0.654750926885172</v>
      </c>
      <c r="BG26" s="32">
        <f>IFERROR(AVERAGEIFS(COM_All!V$2:V$999,COM_All!$B$2:$B$999,"="&amp;$A$4,COM_All!$C$2:$C$999,"="&amp;'INS-UPD Heat'!$A26),"")</f>
        <v>0.62437371424779398</v>
      </c>
      <c r="BH26" s="32">
        <f>IFERROR(AVERAGEIFS(COM_All!W$2:W$999,COM_All!$B$2:$B$999,"="&amp;$A$4,COM_All!$C$2:$C$999,"="&amp;'INS-UPD Heat'!$A26),"")</f>
        <v>0.53932557282182503</v>
      </c>
      <c r="BI26" s="32">
        <f>IFERROR(AVERAGEIFS(COM_All!X$2:X$999,COM_All!$B$2:$B$999,"="&amp;$A$4,COM_All!$C$2:$C$999,"="&amp;'INS-UPD Heat'!$A26),"")</f>
        <v>0.59400073574969003</v>
      </c>
      <c r="BJ26" s="32">
        <f>IFERROR(AVERAGEIFS(COM_All!Y$2:Y$999,COM_All!$B$2:$B$999,"="&amp;$A$4,COM_All!$C$2:$C$999,"="&amp;'INS-UPD Heat'!$A26),"")</f>
        <v>0.63045121029666296</v>
      </c>
      <c r="BK26" s="32">
        <f>IFERROR(AVERAGEIFS(COM_All!Z$2:Z$999,COM_All!$B$2:$B$999,"="&amp;$A$4,COM_All!$C$2:$C$999,"="&amp;'INS-UPD Heat'!$A26),"")</f>
        <v>0.65475074533242195</v>
      </c>
      <c r="BL26" s="32">
        <f>IFERROR(AVERAGEIFS(COM_All!AA$2:AA$999,COM_All!$B$2:$B$999,"="&amp;$A$4,COM_All!$C$2:$C$999,"="&amp;'INS-UPD Heat'!$A26),"")</f>
        <v>0.63652508929559304</v>
      </c>
      <c r="BM26" s="32">
        <f>IFERROR(AVERAGEIFS(COM_All!AB$2:AB$999,COM_All!$B$2:$B$999,"="&amp;$A$4,COM_All!$C$2:$C$999,"="&amp;'INS-UPD Heat'!$A26),"")</f>
        <v>0.55000000000000004</v>
      </c>
      <c r="BN26" s="32">
        <f>IFERROR(AVERAGEIFS(COM_All!AC$2:AC$999,COM_All!$B$2:$B$999,"="&amp;$A$4,COM_All!$C$2:$C$999,"="&amp;'INS-UPD Heat'!$A26),"")</f>
        <v>0.66689897171121104</v>
      </c>
      <c r="BO26" s="32">
        <f>IFERROR(AVERAGEIFS(COM_All!AD$2:AD$999,COM_All!$B$2:$B$999,"="&amp;$A$4,COM_All!$C$2:$C$999,"="&amp;'INS-UPD Heat'!$A26),"")</f>
        <v>0.654750926885172</v>
      </c>
      <c r="BP26" s="32">
        <f>IFERROR(AVERAGEIFS(COM_All!AE$2:AE$999,COM_All!$B$2:$B$999,"="&amp;$A$4,COM_All!$C$2:$C$999,"="&amp;'INS-UPD Heat'!$A26),"")</f>
        <v>0.65474796557578596</v>
      </c>
      <c r="BQ26" s="32">
        <f>IFERROR(AVERAGEIFS(COM_All!AF$2:AF$999,COM_All!$B$2:$B$999,"="&amp;$A$4,COM_All!$C$2:$C$999,"="&amp;'INS-UPD Heat'!$A26),"")</f>
        <v>0.53932557282182503</v>
      </c>
      <c r="BR26" s="32">
        <f>IFERROR(AVERAGEIFS(COM_All!AG$2:AG$999,COM_All!$B$2:$B$999,"="&amp;$A$4,COM_All!$C$2:$C$999,"="&amp;'INS-UPD Heat'!$A26),"")</f>
        <v>0.62437638525085604</v>
      </c>
      <c r="BS26" s="32">
        <f>IFERROR(AVERAGEIFS(COM_All!AH$2:AH$999,COM_All!$B$2:$B$999,"="&amp;$A$4,COM_All!$C$2:$C$999,"="&amp;'INS-UPD Heat'!$A26),"")</f>
        <v>0.65474906536279298</v>
      </c>
      <c r="BT26" s="32">
        <f>IFERROR(AVERAGEIFS(COM_All!AI$2:AI$999,COM_All!$B$2:$B$999,"="&amp;$A$4,COM_All!$C$2:$C$999,"="&amp;'INS-UPD Heat'!$A26),"")</f>
        <v>0.64867556959769002</v>
      </c>
      <c r="BU26" s="32">
        <f>IFERROR(AVERAGEIFS(COM_All!AJ$2:AJ$999,COM_All!$B$2:$B$999,"="&amp;$A$4,COM_All!$C$2:$C$999,"="&amp;'INS-UPD Heat'!$A26),"")</f>
        <v>0.53932557282182503</v>
      </c>
      <c r="BV26" s="32">
        <f>IFERROR(AVERAGEIFS(COM_All!AK$2:AK$999,COM_All!$B$2:$B$999,"="&amp;$A$4,COM_All!$C$2:$C$999,"="&amp;'INS-UPD Heat'!$A26),"")</f>
        <v>0.53932557282182503</v>
      </c>
      <c r="BW26" s="32">
        <f>IFERROR(AVERAGEIFS(COM_All!AL$2:AL$999,COM_All!$B$2:$B$999,"="&amp;$A$4,COM_All!$C$2:$C$999,"="&amp;'INS-UPD Heat'!$A26),"")</f>
        <v>0.55000000000000004</v>
      </c>
      <c r="BX26" s="32">
        <f>IFERROR(AVERAGEIFS(COM_All!AM$2:AM$999,COM_All!$B$2:$B$999,"="&amp;$A$4,COM_All!$C$2:$C$999,"="&amp;'INS-UPD Heat'!$A26),"")</f>
        <v>0.70335181691724302</v>
      </c>
      <c r="BY26" s="32">
        <f>IFERROR(AVERAGEIFS(COM_All!AN$2:AN$999,COM_All!$B$2:$B$999,"="&amp;$A$4,COM_All!$C$2:$C$999,"="&amp;'INS-UPD Heat'!$A26),"")</f>
        <v>0.654750926885172</v>
      </c>
      <c r="BZ26" s="32">
        <f>IFERROR(AVERAGEIFS(COM_All!AO$2:AO$999,COM_All!$B$2:$B$999,"="&amp;$A$4,COM_All!$C$2:$C$999,"="&amp;'INS-UPD Heat'!$A26),"")</f>
        <v>0.648675788307715</v>
      </c>
      <c r="CA26" s="32">
        <f>IFERROR(AVERAGEIFS(COM_All!AP$2:AP$999,COM_All!$B$2:$B$999,"="&amp;$A$4,COM_All!$C$2:$C$999,"="&amp;'INS-UPD Heat'!$A26),"")</f>
        <v>0.61222632752145101</v>
      </c>
      <c r="CB26" s="32">
        <f>IFERROR(AVERAGEIFS(COM_All!AQ$2:AQ$999,COM_All!$B$2:$B$999,"="&amp;$A$4,COM_All!$C$2:$C$999,"="&amp;'INS-UPD Heat'!$A26),"")</f>
        <v>0.63956306859319401</v>
      </c>
      <c r="CC26" s="32">
        <f>IFERROR(AVERAGEIFS(COM_All!AR$2:AR$999,COM_All!$B$2:$B$999,"="&amp;$A$4,COM_All!$C$2:$C$999,"="&amp;'INS-UPD Heat'!$A26),"")</f>
        <v>0.53932557282182503</v>
      </c>
      <c r="CD26" s="32">
        <f>IFERROR(AVERAGEIFS(COM_All!AS$2:AS$999,COM_All!$B$2:$B$999,"="&amp;$A$4,COM_All!$C$2:$C$999,"="&amp;'INS-UPD Heat'!$A26),"")</f>
        <v>0.62437437437437404</v>
      </c>
      <c r="CE26" s="32">
        <f>IFERROR(AVERAGEIFS(COM_All!AT$2:AT$999,COM_All!$B$2:$B$999,"="&amp;$A$4,COM_All!$C$2:$C$999,"="&amp;'INS-UPD Heat'!$A26),"")</f>
        <v>0.67905104662972304</v>
      </c>
      <c r="CF26" s="32">
        <f>IFERROR(AVERAGEIFS(COM_All!AU$2:AU$999,COM_All!$B$2:$B$999,"="&amp;$A$4,COM_All!$C$2:$C$999,"="&amp;'INS-UPD Heat'!$A26),"")</f>
        <v>0.63652609984043795</v>
      </c>
      <c r="CG26" s="33">
        <f>IFERROR(AVERAGEIFS(COM_All!AV$2:AV$999,COM_All!$B$2:$B$999,"="&amp;$A$4,COM_All!$C$2:$C$999,"="&amp;'INS-UPD Heat'!$A26),"")</f>
        <v>0.65474896949000505</v>
      </c>
    </row>
    <row r="27" spans="1:85" ht="15">
      <c r="A27" t="s">
        <v>143</v>
      </c>
      <c r="C27" t="s">
        <v>29</v>
      </c>
      <c r="D27" t="str">
        <f t="shared" si="2"/>
        <v>C_ES-SH-SR_GE*</v>
      </c>
      <c r="H27" s="54"/>
      <c r="I27" t="str">
        <f t="shared" si="3"/>
        <v>*1</v>
      </c>
      <c r="J27" t="str">
        <f t="shared" si="38"/>
        <v>*1.18071512418715</v>
      </c>
      <c r="K27" t="str">
        <f t="shared" si="39"/>
        <v>*1</v>
      </c>
      <c r="L27" t="str">
        <f t="shared" si="40"/>
        <v>*1</v>
      </c>
      <c r="M27" t="str">
        <f t="shared" si="6"/>
        <v>*0.992265584693816</v>
      </c>
      <c r="N27" t="str">
        <f t="shared" si="7"/>
        <v>*1</v>
      </c>
      <c r="O27" t="str">
        <f t="shared" si="8"/>
        <v>*1</v>
      </c>
      <c r="P27" t="str">
        <f t="shared" si="9"/>
        <v>*1</v>
      </c>
      <c r="Q27" s="48" t="str">
        <f t="shared" si="4"/>
        <v>*0.7</v>
      </c>
      <c r="R27" t="str">
        <f t="shared" si="10"/>
        <v>*1</v>
      </c>
      <c r="S27" t="str">
        <f t="shared" si="11"/>
        <v>*1</v>
      </c>
      <c r="T27" t="str">
        <f t="shared" si="12"/>
        <v>*1</v>
      </c>
      <c r="U27" t="str">
        <f t="shared" si="13"/>
        <v>*1.02367221742178</v>
      </c>
      <c r="V27" t="str">
        <f t="shared" si="14"/>
        <v>*1</v>
      </c>
      <c r="W27" t="str">
        <f t="shared" si="15"/>
        <v>*1.12836642882944</v>
      </c>
      <c r="X27" t="str">
        <f t="shared" si="16"/>
        <v>*1.09695901278096</v>
      </c>
      <c r="Y27" t="str">
        <f t="shared" si="17"/>
        <v>*1.09695874032411</v>
      </c>
      <c r="Z27" t="str">
        <f t="shared" si="18"/>
        <v>*1</v>
      </c>
      <c r="AA27" t="str">
        <f t="shared" si="19"/>
        <v>*1</v>
      </c>
      <c r="AB27" t="str">
        <f t="shared" si="20"/>
        <v>*1.12836780488483</v>
      </c>
      <c r="AC27" t="str">
        <f t="shared" si="21"/>
        <v>*1</v>
      </c>
      <c r="AD27" t="str">
        <f t="shared" si="22"/>
        <v>*1</v>
      </c>
      <c r="AE27" t="str">
        <f t="shared" si="23"/>
        <v>*1</v>
      </c>
      <c r="AF27" t="str">
        <f t="shared" si="24"/>
        <v>*1</v>
      </c>
      <c r="AG27" t="str">
        <f t="shared" si="25"/>
        <v>*1</v>
      </c>
      <c r="AH27" t="str">
        <f t="shared" si="26"/>
        <v>*1</v>
      </c>
      <c r="AI27" t="str">
        <f t="shared" si="27"/>
        <v>*1</v>
      </c>
      <c r="AJ27" t="str">
        <f t="shared" si="28"/>
        <v>*1</v>
      </c>
      <c r="AK27" t="str">
        <f t="shared" si="29"/>
        <v>*1</v>
      </c>
      <c r="AL27" t="str">
        <f t="shared" si="30"/>
        <v>*1.11789847320821</v>
      </c>
      <c r="AM27" t="str">
        <f t="shared" si="31"/>
        <v>*1.05508137432188</v>
      </c>
      <c r="AN27" t="str">
        <f t="shared" si="32"/>
        <v>*1.10219424337653</v>
      </c>
      <c r="AO27" t="str">
        <f t="shared" si="33"/>
        <v>*1</v>
      </c>
      <c r="AP27" t="str">
        <f t="shared" si="34"/>
        <v>*1</v>
      </c>
      <c r="AQ27" t="str">
        <f t="shared" si="35"/>
        <v>*1.17024478027022</v>
      </c>
      <c r="AR27" t="str">
        <f t="shared" si="36"/>
        <v>*1.0969585751785</v>
      </c>
      <c r="AS27" s="49" t="str">
        <f t="shared" si="37"/>
        <v>*1.12836656997825</v>
      </c>
      <c r="AV27" s="31">
        <f t="shared" si="5"/>
        <v>0.72493606082753959</v>
      </c>
      <c r="AW27" s="32">
        <f>IFERROR(AVERAGEIFS(COM_All!L$2:L$999,COM_All!$B$2:$B$999,"="&amp;$A$4,COM_All!$C$2:$C$999,"="&amp;'INS-UPD Heat'!$A27),"")</f>
        <v>0.69999999999999996</v>
      </c>
      <c r="AX27" s="32">
        <f>IFERROR(AVERAGEIFS(COM_All!M$2:M$999,COM_All!$B$2:$B$999,"="&amp;$A$4,COM_All!$C$2:$C$999,"="&amp;'INS-UPD Heat'!$A27),"")</f>
        <v>0.82650058693100303</v>
      </c>
      <c r="AY27" s="32">
        <f>IFERROR(AVERAGEIFS(COM_All!N$2:N$999,COM_All!$B$2:$B$999,"="&amp;$A$4,COM_All!$C$2:$C$999,"="&amp;'INS-UPD Heat'!$A27),"")</f>
        <v>0.69999999999999996</v>
      </c>
      <c r="AZ27" s="32">
        <f>IFERROR(AVERAGEIFS(COM_All!O$2:O$999,COM_All!$B$2:$B$999,"="&amp;$A$4,COM_All!$C$2:$C$999,"="&amp;'INS-UPD Heat'!$A27),"")</f>
        <v>0.69999999999999996</v>
      </c>
      <c r="BA27" s="32">
        <f>IFERROR(AVERAGEIFS(COM_All!P$2:P$999,COM_All!$B$2:$B$999,"="&amp;$A$4,COM_All!$C$2:$C$999,"="&amp;'INS-UPD Heat'!$A27),"")</f>
        <v>0.69458590928567099</v>
      </c>
      <c r="BB27" s="32">
        <f>IFERROR(AVERAGEIFS(COM_All!Q$2:Q$999,COM_All!$B$2:$B$999,"="&amp;$A$4,COM_All!$C$2:$C$999,"="&amp;'INS-UPD Heat'!$A27),"")</f>
        <v>0.69999999999999996</v>
      </c>
      <c r="BC27" s="32">
        <f>IFERROR(AVERAGEIFS(COM_All!R$2:R$999,COM_All!$B$2:$B$999,"="&amp;$A$4,COM_All!$C$2:$C$999,"="&amp;'INS-UPD Heat'!$A27),"")</f>
        <v>0.69999999999999996</v>
      </c>
      <c r="BD27" s="32">
        <f>IFERROR(AVERAGEIFS(COM_All!S$2:S$999,COM_All!$B$2:$B$999,"="&amp;$A$4,COM_All!$C$2:$C$999,"="&amp;'INS-UPD Heat'!$A27),"")</f>
        <v>0.69999999999999996</v>
      </c>
      <c r="BE27" s="32">
        <f>IFERROR(AVERAGEIFS(COM_All!T$2:T$999,COM_All!$B$2:$B$999,"="&amp;$A$4,COM_All!$C$2:$C$999,"="&amp;'INS-UPD Heat'!$A27),"")</f>
        <v>0.69999999999999996</v>
      </c>
      <c r="BF27" s="32">
        <f>IFERROR(AVERAGEIFS(COM_All!U$2:U$999,COM_All!$B$2:$B$999,"="&amp;$A$4,COM_All!$C$2:$C$999,"="&amp;'INS-UPD Heat'!$A27),"")</f>
        <v>0.69999999999999996</v>
      </c>
      <c r="BG27" s="32">
        <f>IFERROR(AVERAGEIFS(COM_All!V$2:V$999,COM_All!$B$2:$B$999,"="&amp;$A$4,COM_All!$C$2:$C$999,"="&amp;'INS-UPD Heat'!$A27),"")</f>
        <v>0.69999999999999996</v>
      </c>
      <c r="BH27" s="32">
        <f>IFERROR(AVERAGEIFS(COM_All!W$2:W$999,COM_All!$B$2:$B$999,"="&amp;$A$4,COM_All!$C$2:$C$999,"="&amp;'INS-UPD Heat'!$A27),"")</f>
        <v>0.69999999999999996</v>
      </c>
      <c r="BI27" s="32">
        <f>IFERROR(AVERAGEIFS(COM_All!X$2:X$999,COM_All!$B$2:$B$999,"="&amp;$A$4,COM_All!$C$2:$C$999,"="&amp;'INS-UPD Heat'!$A27),"")</f>
        <v>0.71657055219524401</v>
      </c>
      <c r="BJ27" s="32">
        <f>IFERROR(AVERAGEIFS(COM_All!Y$2:Y$999,COM_All!$B$2:$B$999,"="&amp;$A$4,COM_All!$C$2:$C$999,"="&amp;'INS-UPD Heat'!$A27),"")</f>
        <v>0.69999999999999996</v>
      </c>
      <c r="BK27" s="32">
        <f>IFERROR(AVERAGEIFS(COM_All!Z$2:Z$999,COM_All!$B$2:$B$999,"="&amp;$A$4,COM_All!$C$2:$C$999,"="&amp;'INS-UPD Heat'!$A27),"")</f>
        <v>0.78985650018060605</v>
      </c>
      <c r="BL27" s="32">
        <f>IFERROR(AVERAGEIFS(COM_All!AA$2:AA$999,COM_All!$B$2:$B$999,"="&amp;$A$4,COM_All!$C$2:$C$999,"="&amp;'INS-UPD Heat'!$A27),"")</f>
        <v>0.76787130894667199</v>
      </c>
      <c r="BM27" s="32">
        <f>IFERROR(AVERAGEIFS(COM_All!AB$2:AB$999,COM_All!$B$2:$B$999,"="&amp;$A$4,COM_All!$C$2:$C$999,"="&amp;'INS-UPD Heat'!$A27),"")</f>
        <v>0.76787111822687804</v>
      </c>
      <c r="BN27" s="32">
        <f>IFERROR(AVERAGEIFS(COM_All!AC$2:AC$999,COM_All!$B$2:$B$999,"="&amp;$A$4,COM_All!$C$2:$C$999,"="&amp;'INS-UPD Heat'!$A27),"")</f>
        <v>0.69999999999999996</v>
      </c>
      <c r="BO27" s="32">
        <f>IFERROR(AVERAGEIFS(COM_All!AD$2:AD$999,COM_All!$B$2:$B$999,"="&amp;$A$4,COM_All!$C$2:$C$999,"="&amp;'INS-UPD Heat'!$A27),"")</f>
        <v>0.69999999999999996</v>
      </c>
      <c r="BP27" s="32">
        <f>IFERROR(AVERAGEIFS(COM_All!AE$2:AE$999,COM_All!$B$2:$B$999,"="&amp;$A$4,COM_All!$C$2:$C$999,"="&amp;'INS-UPD Heat'!$A27),"")</f>
        <v>0.78985746341937901</v>
      </c>
      <c r="BQ27" s="32">
        <f>IFERROR(AVERAGEIFS(COM_All!AF$2:AF$999,COM_All!$B$2:$B$999,"="&amp;$A$4,COM_All!$C$2:$C$999,"="&amp;'INS-UPD Heat'!$A27),"")</f>
        <v>0.69999999999999996</v>
      </c>
      <c r="BR27" s="32">
        <f>IFERROR(AVERAGEIFS(COM_All!AG$2:AG$999,COM_All!$B$2:$B$999,"="&amp;$A$4,COM_All!$C$2:$C$999,"="&amp;'INS-UPD Heat'!$A27),"")</f>
        <v>0.69999999999999996</v>
      </c>
      <c r="BS27" s="32">
        <f>IFERROR(AVERAGEIFS(COM_All!AH$2:AH$999,COM_All!$B$2:$B$999,"="&amp;$A$4,COM_All!$C$2:$C$999,"="&amp;'INS-UPD Heat'!$A27),"")</f>
        <v>0.69999999999999996</v>
      </c>
      <c r="BT27" s="32">
        <f>IFERROR(AVERAGEIFS(COM_All!AI$2:AI$999,COM_All!$B$2:$B$999,"="&amp;$A$4,COM_All!$C$2:$C$999,"="&amp;'INS-UPD Heat'!$A27),"")</f>
        <v>0.69999999999999996</v>
      </c>
      <c r="BU27" s="32">
        <f>IFERROR(AVERAGEIFS(COM_All!AJ$2:AJ$999,COM_All!$B$2:$B$999,"="&amp;$A$4,COM_All!$C$2:$C$999,"="&amp;'INS-UPD Heat'!$A27),"")</f>
        <v>0.69999999999999996</v>
      </c>
      <c r="BV27" s="32">
        <f>IFERROR(AVERAGEIFS(COM_All!AK$2:AK$999,COM_All!$B$2:$B$999,"="&amp;$A$4,COM_All!$C$2:$C$999,"="&amp;'INS-UPD Heat'!$A27),"")</f>
        <v>0.69999999999999996</v>
      </c>
      <c r="BW27" s="32">
        <f>IFERROR(AVERAGEIFS(COM_All!AL$2:AL$999,COM_All!$B$2:$B$999,"="&amp;$A$4,COM_All!$C$2:$C$999,"="&amp;'INS-UPD Heat'!$A27),"")</f>
        <v>0.69999999999999996</v>
      </c>
      <c r="BX27" s="32">
        <f>IFERROR(AVERAGEIFS(COM_All!AM$2:AM$999,COM_All!$B$2:$B$999,"="&amp;$A$4,COM_All!$C$2:$C$999,"="&amp;'INS-UPD Heat'!$A27),"")</f>
        <v>0.69999999999999996</v>
      </c>
      <c r="BY27" s="32">
        <f>IFERROR(AVERAGEIFS(COM_All!AN$2:AN$999,COM_All!$B$2:$B$999,"="&amp;$A$4,COM_All!$C$2:$C$999,"="&amp;'INS-UPD Heat'!$A27),"")</f>
        <v>0.69999999999999996</v>
      </c>
      <c r="BZ27" s="32">
        <f>IFERROR(AVERAGEIFS(COM_All!AO$2:AO$999,COM_All!$B$2:$B$999,"="&amp;$A$4,COM_All!$C$2:$C$999,"="&amp;'INS-UPD Heat'!$A27),"")</f>
        <v>0.78252893124574496</v>
      </c>
      <c r="CA27" s="32">
        <f>IFERROR(AVERAGEIFS(COM_All!AP$2:AP$999,COM_All!$B$2:$B$999,"="&amp;$A$4,COM_All!$C$2:$C$999,"="&amp;'INS-UPD Heat'!$A27),"")</f>
        <v>0.73855696202531596</v>
      </c>
      <c r="CB27" s="32">
        <f>IFERROR(AVERAGEIFS(COM_All!AQ$2:AQ$999,COM_All!$B$2:$B$999,"="&amp;$A$4,COM_All!$C$2:$C$999,"="&amp;'INS-UPD Heat'!$A27),"")</f>
        <v>0.77153597036357202</v>
      </c>
      <c r="CC27" s="32">
        <f>IFERROR(AVERAGEIFS(COM_All!AR$2:AR$999,COM_All!$B$2:$B$999,"="&amp;$A$4,COM_All!$C$2:$C$999,"="&amp;'INS-UPD Heat'!$A27),"")</f>
        <v>0.69999999999999996</v>
      </c>
      <c r="CD27" s="32">
        <f>IFERROR(AVERAGEIFS(COM_All!AS$2:AS$999,COM_All!$B$2:$B$999,"="&amp;$A$4,COM_All!$C$2:$C$999,"="&amp;'INS-UPD Heat'!$A27),"")</f>
        <v>0.69999999999999996</v>
      </c>
      <c r="CE27" s="32">
        <f>IFERROR(AVERAGEIFS(COM_All!AT$2:AT$999,COM_All!$B$2:$B$999,"="&amp;$A$4,COM_All!$C$2:$C$999,"="&amp;'INS-UPD Heat'!$A27),"")</f>
        <v>0.81917134618915699</v>
      </c>
      <c r="CF27" s="32">
        <f>IFERROR(AVERAGEIFS(COM_All!AU$2:AU$999,COM_All!$B$2:$B$999,"="&amp;$A$4,COM_All!$C$2:$C$999,"="&amp;'INS-UPD Heat'!$A27),"")</f>
        <v>0.76787100262494701</v>
      </c>
      <c r="CG27" s="33">
        <f>IFERROR(AVERAGEIFS(COM_All!AV$2:AV$999,COM_All!$B$2:$B$999,"="&amp;$A$4,COM_All!$C$2:$C$999,"="&amp;'INS-UPD Heat'!$A27),"")</f>
        <v>0.78985659898477201</v>
      </c>
    </row>
    <row r="28" spans="1:85" ht="15">
      <c r="A28" t="s">
        <v>144</v>
      </c>
      <c r="C28" t="s">
        <v>29</v>
      </c>
      <c r="D28" t="str">
        <f t="shared" si="2"/>
        <v>C_ES-SH-SR_LP*</v>
      </c>
      <c r="H28" s="54"/>
      <c r="I28" t="str">
        <f t="shared" si="3"/>
        <v>*1</v>
      </c>
      <c r="J28" t="str">
        <f t="shared" si="38"/>
        <v>*1</v>
      </c>
      <c r="K28" t="str">
        <f t="shared" si="39"/>
        <v>*1</v>
      </c>
      <c r="L28" t="str">
        <f t="shared" si="40"/>
        <v>*1</v>
      </c>
      <c r="M28" t="str">
        <f t="shared" si="6"/>
        <v>*1</v>
      </c>
      <c r="N28" t="str">
        <f t="shared" si="7"/>
        <v>*1</v>
      </c>
      <c r="O28" t="str">
        <f t="shared" si="8"/>
        <v>*1</v>
      </c>
      <c r="P28" t="str">
        <f t="shared" si="9"/>
        <v>*1</v>
      </c>
      <c r="Q28" s="48" t="str">
        <f t="shared" si="4"/>
        <v>*0.666666666666667</v>
      </c>
      <c r="R28" t="str">
        <f t="shared" si="10"/>
        <v>*1</v>
      </c>
      <c r="S28" t="str">
        <f t="shared" si="11"/>
        <v>*1</v>
      </c>
      <c r="T28" t="str">
        <f t="shared" si="12"/>
        <v>*1</v>
      </c>
      <c r="U28" t="str">
        <f t="shared" si="13"/>
        <v>*1</v>
      </c>
      <c r="V28" t="str">
        <f t="shared" si="14"/>
        <v>*1</v>
      </c>
      <c r="W28" t="str">
        <f t="shared" si="15"/>
        <v>*1</v>
      </c>
      <c r="X28" t="str">
        <f t="shared" si="16"/>
        <v>*1</v>
      </c>
      <c r="Y28" t="str">
        <f t="shared" si="17"/>
        <v>*1</v>
      </c>
      <c r="Z28" t="str">
        <f t="shared" si="18"/>
        <v>*1</v>
      </c>
      <c r="AA28" t="str">
        <f t="shared" si="19"/>
        <v>*1</v>
      </c>
      <c r="AB28" t="str">
        <f t="shared" si="20"/>
        <v>*1.00831519600226</v>
      </c>
      <c r="AC28" t="str">
        <f t="shared" si="21"/>
        <v>*1</v>
      </c>
      <c r="AD28" t="str">
        <f t="shared" si="22"/>
        <v>*1</v>
      </c>
      <c r="AE28" t="str">
        <f t="shared" si="23"/>
        <v>*1.00831336713657</v>
      </c>
      <c r="AF28" t="str">
        <f t="shared" si="24"/>
        <v>*1</v>
      </c>
      <c r="AG28" t="str">
        <f t="shared" si="25"/>
        <v>*1</v>
      </c>
      <c r="AH28" t="str">
        <f t="shared" si="26"/>
        <v>*1</v>
      </c>
      <c r="AI28" t="str">
        <f t="shared" si="27"/>
        <v>*1</v>
      </c>
      <c r="AJ28" t="str">
        <f t="shared" si="28"/>
        <v>*1</v>
      </c>
      <c r="AK28" t="str">
        <f t="shared" si="29"/>
        <v>*1</v>
      </c>
      <c r="AL28" t="str">
        <f t="shared" si="30"/>
        <v>*1</v>
      </c>
      <c r="AM28" t="str">
        <f t="shared" si="31"/>
        <v>*1</v>
      </c>
      <c r="AN28" t="str">
        <f t="shared" si="32"/>
        <v>*1</v>
      </c>
      <c r="AO28" t="str">
        <f t="shared" si="33"/>
        <v>*1</v>
      </c>
      <c r="AP28" t="str">
        <f t="shared" si="34"/>
        <v>*1</v>
      </c>
      <c r="AQ28" t="str">
        <f t="shared" si="35"/>
        <v>*1.045737981492</v>
      </c>
      <c r="AR28" t="str">
        <f t="shared" si="36"/>
        <v>*1</v>
      </c>
      <c r="AS28" s="49" t="str">
        <f t="shared" si="37"/>
        <v>*1</v>
      </c>
      <c r="AV28" s="31">
        <f t="shared" si="5"/>
        <v>0.66779038819154668</v>
      </c>
      <c r="AW28" s="32">
        <f>IFERROR(AVERAGEIFS(COM_All!L$2:L$999,COM_All!$B$2:$B$999,"="&amp;$A$4,COM_All!$C$2:$C$999,"="&amp;'INS-UPD Heat'!$A28),"")</f>
        <v>0.66666666666666696</v>
      </c>
      <c r="AX28" s="32">
        <f>IFERROR(AVERAGEIFS(COM_All!M$2:M$999,COM_All!$B$2:$B$999,"="&amp;$A$4,COM_All!$C$2:$C$999,"="&amp;'INS-UPD Heat'!$A28),"")</f>
        <v>0.66666666666666696</v>
      </c>
      <c r="AY28" s="32">
        <f>IFERROR(AVERAGEIFS(COM_All!N$2:N$999,COM_All!$B$2:$B$999,"="&amp;$A$4,COM_All!$C$2:$C$999,"="&amp;'INS-UPD Heat'!$A28),"")</f>
        <v>0.66666666666666696</v>
      </c>
      <c r="AZ28" s="32">
        <f>IFERROR(AVERAGEIFS(COM_All!O$2:O$999,COM_All!$B$2:$B$999,"="&amp;$A$4,COM_All!$C$2:$C$999,"="&amp;'INS-UPD Heat'!$A28),"")</f>
        <v>0.66666666666666696</v>
      </c>
      <c r="BA28" s="32">
        <f>IFERROR(AVERAGEIFS(COM_All!P$2:P$999,COM_All!$B$2:$B$999,"="&amp;$A$4,COM_All!$C$2:$C$999,"="&amp;'INS-UPD Heat'!$A28),"")</f>
        <v>0.66666666666666696</v>
      </c>
      <c r="BB28" s="32">
        <f>IFERROR(AVERAGEIFS(COM_All!Q$2:Q$999,COM_All!$B$2:$B$999,"="&amp;$A$4,COM_All!$C$2:$C$999,"="&amp;'INS-UPD Heat'!$A28),"")</f>
        <v>0.66666666666666696</v>
      </c>
      <c r="BC28" s="32">
        <f>IFERROR(AVERAGEIFS(COM_All!R$2:R$999,COM_All!$B$2:$B$999,"="&amp;$A$4,COM_All!$C$2:$C$999,"="&amp;'INS-UPD Heat'!$A28),"")</f>
        <v>0.66666666666666696</v>
      </c>
      <c r="BD28" s="32">
        <f>IFERROR(AVERAGEIFS(COM_All!S$2:S$999,COM_All!$B$2:$B$999,"="&amp;$A$4,COM_All!$C$2:$C$999,"="&amp;'INS-UPD Heat'!$A28),"")</f>
        <v>0.66666666666666696</v>
      </c>
      <c r="BE28" s="32">
        <f>IFERROR(AVERAGEIFS(COM_All!T$2:T$999,COM_All!$B$2:$B$999,"="&amp;$A$4,COM_All!$C$2:$C$999,"="&amp;'INS-UPD Heat'!$A28),"")</f>
        <v>0.66666666666666696</v>
      </c>
      <c r="BF28" s="32">
        <f>IFERROR(AVERAGEIFS(COM_All!U$2:U$999,COM_All!$B$2:$B$999,"="&amp;$A$4,COM_All!$C$2:$C$999,"="&amp;'INS-UPD Heat'!$A28),"")</f>
        <v>0.66666666666666696</v>
      </c>
      <c r="BG28" s="32">
        <f>IFERROR(AVERAGEIFS(COM_All!V$2:V$999,COM_All!$B$2:$B$999,"="&amp;$A$4,COM_All!$C$2:$C$999,"="&amp;'INS-UPD Heat'!$A28),"")</f>
        <v>0.66666666666666696</v>
      </c>
      <c r="BH28" s="32">
        <f>IFERROR(AVERAGEIFS(COM_All!W$2:W$999,COM_All!$B$2:$B$999,"="&amp;$A$4,COM_All!$C$2:$C$999,"="&amp;'INS-UPD Heat'!$A28),"")</f>
        <v>0.66666666666666696</v>
      </c>
      <c r="BI28" s="32">
        <f>IFERROR(AVERAGEIFS(COM_All!X$2:X$999,COM_All!$B$2:$B$999,"="&amp;$A$4,COM_All!$C$2:$C$999,"="&amp;'INS-UPD Heat'!$A28),"")</f>
        <v>0.66666666666666696</v>
      </c>
      <c r="BJ28" s="32">
        <f>IFERROR(AVERAGEIFS(COM_All!Y$2:Y$999,COM_All!$B$2:$B$999,"="&amp;$A$4,COM_All!$C$2:$C$999,"="&amp;'INS-UPD Heat'!$A28),"")</f>
        <v>0.66666666666666696</v>
      </c>
      <c r="BK28" s="32">
        <f>IFERROR(AVERAGEIFS(COM_All!Z$2:Z$999,COM_All!$B$2:$B$999,"="&amp;$A$4,COM_All!$C$2:$C$999,"="&amp;'INS-UPD Heat'!$A28),"")</f>
        <v>0.66666666666666696</v>
      </c>
      <c r="BL28" s="32">
        <f>IFERROR(AVERAGEIFS(COM_All!AA$2:AA$999,COM_All!$B$2:$B$999,"="&amp;$A$4,COM_All!$C$2:$C$999,"="&amp;'INS-UPD Heat'!$A28),"")</f>
        <v>0.66666666666666696</v>
      </c>
      <c r="BM28" s="32">
        <f>IFERROR(AVERAGEIFS(COM_All!AB$2:AB$999,COM_All!$B$2:$B$999,"="&amp;$A$4,COM_All!$C$2:$C$999,"="&amp;'INS-UPD Heat'!$A28),"")</f>
        <v>0.66666666666666696</v>
      </c>
      <c r="BN28" s="32">
        <f>IFERROR(AVERAGEIFS(COM_All!AC$2:AC$999,COM_All!$B$2:$B$999,"="&amp;$A$4,COM_All!$C$2:$C$999,"="&amp;'INS-UPD Heat'!$A28),"")</f>
        <v>0.66666666666666696</v>
      </c>
      <c r="BO28" s="32">
        <f>IFERROR(AVERAGEIFS(COM_All!AD$2:AD$999,COM_All!$B$2:$B$999,"="&amp;$A$4,COM_All!$C$2:$C$999,"="&amp;'INS-UPD Heat'!$A28),"")</f>
        <v>0.66666666666666696</v>
      </c>
      <c r="BP28" s="32">
        <f>IFERROR(AVERAGEIFS(COM_All!AE$2:AE$999,COM_All!$B$2:$B$999,"="&amp;$A$4,COM_All!$C$2:$C$999,"="&amp;'INS-UPD Heat'!$A28),"")</f>
        <v>0.67221013066817603</v>
      </c>
      <c r="BQ28" s="32">
        <f>IFERROR(AVERAGEIFS(COM_All!AF$2:AF$999,COM_All!$B$2:$B$999,"="&amp;$A$4,COM_All!$C$2:$C$999,"="&amp;'INS-UPD Heat'!$A28),"")</f>
        <v>0.66666666666666696</v>
      </c>
      <c r="BR28" s="32">
        <f>IFERROR(AVERAGEIFS(COM_All!AG$2:AG$999,COM_All!$B$2:$B$999,"="&amp;$A$4,COM_All!$C$2:$C$999,"="&amp;'INS-UPD Heat'!$A28),"")</f>
        <v>0.66666666666666696</v>
      </c>
      <c r="BS28" s="32">
        <f>IFERROR(AVERAGEIFS(COM_All!AH$2:AH$999,COM_All!$B$2:$B$999,"="&amp;$A$4,COM_All!$C$2:$C$999,"="&amp;'INS-UPD Heat'!$A28),"")</f>
        <v>0.672208911424379</v>
      </c>
      <c r="BT28" s="32">
        <f>IFERROR(AVERAGEIFS(COM_All!AI$2:AI$999,COM_All!$B$2:$B$999,"="&amp;$A$4,COM_All!$C$2:$C$999,"="&amp;'INS-UPD Heat'!$A28),"")</f>
        <v>0.66666666666666696</v>
      </c>
      <c r="BU28" s="32">
        <f>IFERROR(AVERAGEIFS(COM_All!AJ$2:AJ$999,COM_All!$B$2:$B$999,"="&amp;$A$4,COM_All!$C$2:$C$999,"="&amp;'INS-UPD Heat'!$A28),"")</f>
        <v>0.66666666666666696</v>
      </c>
      <c r="BV28" s="32">
        <f>IFERROR(AVERAGEIFS(COM_All!AK$2:AK$999,COM_All!$B$2:$B$999,"="&amp;$A$4,COM_All!$C$2:$C$999,"="&amp;'INS-UPD Heat'!$A28),"")</f>
        <v>0.66666666666666696</v>
      </c>
      <c r="BW28" s="32">
        <f>IFERROR(AVERAGEIFS(COM_All!AL$2:AL$999,COM_All!$B$2:$B$999,"="&amp;$A$4,COM_All!$C$2:$C$999,"="&amp;'INS-UPD Heat'!$A28),"")</f>
        <v>0.66666666666666696</v>
      </c>
      <c r="BX28" s="32">
        <f>IFERROR(AVERAGEIFS(COM_All!AM$2:AM$999,COM_All!$B$2:$B$999,"="&amp;$A$4,COM_All!$C$2:$C$999,"="&amp;'INS-UPD Heat'!$A28),"")</f>
        <v>0.66666666666666696</v>
      </c>
      <c r="BY28" s="32">
        <f>IFERROR(AVERAGEIFS(COM_All!AN$2:AN$999,COM_All!$B$2:$B$999,"="&amp;$A$4,COM_All!$C$2:$C$999,"="&amp;'INS-UPD Heat'!$A28),"")</f>
        <v>0.66666666666666696</v>
      </c>
      <c r="BZ28" s="32">
        <f>IFERROR(AVERAGEIFS(COM_All!AO$2:AO$999,COM_All!$B$2:$B$999,"="&amp;$A$4,COM_All!$C$2:$C$999,"="&amp;'INS-UPD Heat'!$A28),"")</f>
        <v>0.66666666666666696</v>
      </c>
      <c r="CA28" s="32">
        <f>IFERROR(AVERAGEIFS(COM_All!AP$2:AP$999,COM_All!$B$2:$B$999,"="&amp;$A$4,COM_All!$C$2:$C$999,"="&amp;'INS-UPD Heat'!$A28),"")</f>
        <v>0.66666666666666696</v>
      </c>
      <c r="CB28" s="32">
        <f>IFERROR(AVERAGEIFS(COM_All!AQ$2:AQ$999,COM_All!$B$2:$B$999,"="&amp;$A$4,COM_All!$C$2:$C$999,"="&amp;'INS-UPD Heat'!$A28),"")</f>
        <v>0.66666666666666696</v>
      </c>
      <c r="CC28" s="32">
        <f>IFERROR(AVERAGEIFS(COM_All!AR$2:AR$999,COM_All!$B$2:$B$999,"="&amp;$A$4,COM_All!$C$2:$C$999,"="&amp;'INS-UPD Heat'!$A28),"")</f>
        <v>0.66666666666666696</v>
      </c>
      <c r="CD28" s="32">
        <f>IFERROR(AVERAGEIFS(COM_All!AS$2:AS$999,COM_All!$B$2:$B$999,"="&amp;$A$4,COM_All!$C$2:$C$999,"="&amp;'INS-UPD Heat'!$A28),"")</f>
        <v>0.66666666666666696</v>
      </c>
      <c r="CE28" s="32">
        <f>IFERROR(AVERAGEIFS(COM_All!AT$2:AT$999,COM_All!$B$2:$B$999,"="&amp;$A$4,COM_All!$C$2:$C$999,"="&amp;'INS-UPD Heat'!$A28),"")</f>
        <v>0.69715865432799895</v>
      </c>
      <c r="CF28" s="32">
        <f>IFERROR(AVERAGEIFS(COM_All!AU$2:AU$999,COM_All!$B$2:$B$999,"="&amp;$A$4,COM_All!$C$2:$C$999,"="&amp;'INS-UPD Heat'!$A28),"")</f>
        <v>0.66666666666666696</v>
      </c>
      <c r="CG28" s="33">
        <f>IFERROR(AVERAGEIFS(COM_All!AV$2:AV$999,COM_All!$B$2:$B$999,"="&amp;$A$4,COM_All!$C$2:$C$999,"="&amp;'INS-UPD Heat'!$A28),"")</f>
        <v>0.66666666666666696</v>
      </c>
    </row>
    <row r="29" spans="1:85" ht="15">
      <c r="A29" t="s">
        <v>145</v>
      </c>
      <c r="C29" t="s">
        <v>29</v>
      </c>
      <c r="D29" t="str">
        <f t="shared" si="2"/>
        <v>C_ES-SH-SR_CO*</v>
      </c>
      <c r="H29" s="54"/>
      <c r="I29" t="str">
        <f t="shared" si="3"/>
        <v>*0.806322012647686</v>
      </c>
      <c r="J29" t="str">
        <f t="shared" si="38"/>
        <v>*0.957546566204691</v>
      </c>
      <c r="K29" t="str">
        <f t="shared" si="39"/>
        <v>*0.806322012647686</v>
      </c>
      <c r="L29" t="str">
        <f t="shared" si="40"/>
        <v>*0.806322012647686</v>
      </c>
      <c r="M29" t="str">
        <f t="shared" si="6"/>
        <v>*0.804719068299585</v>
      </c>
      <c r="N29" t="str">
        <f t="shared" si="7"/>
        <v>*1</v>
      </c>
      <c r="O29" t="str">
        <f t="shared" si="8"/>
        <v>*0.806322012647686</v>
      </c>
      <c r="P29" t="str">
        <f t="shared" si="9"/>
        <v>*0.872641433460454</v>
      </c>
      <c r="Q29" s="48" t="str">
        <f t="shared" si="4"/>
        <v>*0.620099652691077</v>
      </c>
      <c r="R29" t="str">
        <f t="shared" si="10"/>
        <v>*0.806322012647686</v>
      </c>
      <c r="S29" t="str">
        <f t="shared" si="11"/>
        <v>*0.872643446827971</v>
      </c>
      <c r="T29" t="str">
        <f t="shared" si="12"/>
        <v>*0.806322012647686</v>
      </c>
      <c r="U29" t="str">
        <f t="shared" si="13"/>
        <v>*0.830187692790597</v>
      </c>
      <c r="V29" t="str">
        <f t="shared" si="14"/>
        <v>*0.88113082387544</v>
      </c>
      <c r="W29" t="str">
        <f t="shared" si="15"/>
        <v>*0.806322012647686</v>
      </c>
      <c r="X29" t="str">
        <f t="shared" si="16"/>
        <v>*0.889623229961177</v>
      </c>
      <c r="Y29" t="str">
        <f t="shared" si="17"/>
        <v>*0.889620935555759</v>
      </c>
      <c r="Z29" t="str">
        <f t="shared" si="18"/>
        <v>*0.806322012647686</v>
      </c>
      <c r="AA29" t="str">
        <f t="shared" si="19"/>
        <v>*0.806322012647686</v>
      </c>
      <c r="AB29" t="str">
        <f t="shared" si="20"/>
        <v>*0.806322012647686</v>
      </c>
      <c r="AC29" t="str">
        <f t="shared" si="21"/>
        <v>*0.806322012647686</v>
      </c>
      <c r="AD29" t="str">
        <f t="shared" si="22"/>
        <v>*0.87264257545149</v>
      </c>
      <c r="AE29" t="str">
        <f t="shared" si="23"/>
        <v>*0.806322012647686</v>
      </c>
      <c r="AF29" t="str">
        <f t="shared" si="24"/>
        <v>*0.906603887155439</v>
      </c>
      <c r="AG29" t="str">
        <f t="shared" si="25"/>
        <v>*0.806322012647686</v>
      </c>
      <c r="AH29" t="str">
        <f t="shared" si="26"/>
        <v>*0.806322012647686</v>
      </c>
      <c r="AI29" t="str">
        <f t="shared" si="27"/>
        <v>*0.806322012647686</v>
      </c>
      <c r="AJ29" t="str">
        <f t="shared" si="28"/>
        <v>*0.983019632318116</v>
      </c>
      <c r="AK29" t="str">
        <f t="shared" si="29"/>
        <v>*0.806322012647686</v>
      </c>
      <c r="AL29" t="str">
        <f t="shared" si="30"/>
        <v>*0.906604351626599</v>
      </c>
      <c r="AM29" t="str">
        <f t="shared" si="31"/>
        <v>*0.806322012647686</v>
      </c>
      <c r="AN29" t="str">
        <f t="shared" si="32"/>
        <v>*0.89386762861896</v>
      </c>
      <c r="AO29" t="str">
        <f t="shared" si="33"/>
        <v>*0.806322012647686</v>
      </c>
      <c r="AP29" t="str">
        <f t="shared" si="34"/>
        <v>*0.806322012647686</v>
      </c>
      <c r="AQ29" t="str">
        <f t="shared" si="35"/>
        <v>*0.806322012647686</v>
      </c>
      <c r="AR29" t="str">
        <f t="shared" si="36"/>
        <v>*0.889622985856844</v>
      </c>
      <c r="AS29" s="49" t="str">
        <f t="shared" si="37"/>
        <v>*0.915091066360072</v>
      </c>
      <c r="AV29" s="31">
        <f t="shared" si="5"/>
        <v>0.52778869516323434</v>
      </c>
      <c r="AW29" s="32">
        <f>IFERROR(AVERAGEIFS(COM_All!L$2:L$999,COM_All!$B$2:$B$999,"="&amp;$A$4,COM_All!$C$2:$C$999,"="&amp;'INS-UPD Heat'!$A29),"")</f>
        <v>0.5</v>
      </c>
      <c r="AX29" s="32">
        <f>IFERROR(AVERAGEIFS(COM_All!M$2:M$999,COM_All!$B$2:$B$999,"="&amp;$A$4,COM_All!$C$2:$C$999,"="&amp;'INS-UPD Heat'!$A29),"")</f>
        <v>0.59377429313906205</v>
      </c>
      <c r="AY29" s="32">
        <f>IFERROR(AVERAGEIFS(COM_All!N$2:N$999,COM_All!$B$2:$B$999,"="&amp;$A$4,COM_All!$C$2:$C$999,"="&amp;'INS-UPD Heat'!$A29),"")</f>
        <v>0.5</v>
      </c>
      <c r="AZ29" s="32">
        <f>IFERROR(AVERAGEIFS(COM_All!O$2:O$999,COM_All!$B$2:$B$999,"="&amp;$A$4,COM_All!$C$2:$C$999,"="&amp;'INS-UPD Heat'!$A29),"")</f>
        <v>0.5</v>
      </c>
      <c r="BA29" s="32">
        <f>IFERROR(AVERAGEIFS(COM_All!P$2:P$999,COM_All!$B$2:$B$999,"="&amp;$A$4,COM_All!$C$2:$C$999,"="&amp;'INS-UPD Heat'!$A29),"")</f>
        <v>0.49900601476646</v>
      </c>
      <c r="BB29" s="32">
        <f>IFERROR(AVERAGEIFS(COM_All!Q$2:Q$999,COM_All!$B$2:$B$999,"="&amp;$A$4,COM_All!$C$2:$C$999,"="&amp;'INS-UPD Heat'!$A29),"")</f>
        <v>0.62009965269107703</v>
      </c>
      <c r="BC29" s="32">
        <f>IFERROR(AVERAGEIFS(COM_All!R$2:R$999,COM_All!$B$2:$B$999,"="&amp;$A$4,COM_All!$C$2:$C$999,"="&amp;'INS-UPD Heat'!$A29),"")</f>
        <v>0.5</v>
      </c>
      <c r="BD29" s="32">
        <f>IFERROR(AVERAGEIFS(COM_All!S$2:S$999,COM_All!$B$2:$B$999,"="&amp;$A$4,COM_All!$C$2:$C$999,"="&amp;'INS-UPD Heat'!$A29),"")</f>
        <v>0.54112464981267105</v>
      </c>
      <c r="BE29" s="32">
        <f>IFERROR(AVERAGEIFS(COM_All!T$2:T$999,COM_All!$B$2:$B$999,"="&amp;$A$4,COM_All!$C$2:$C$999,"="&amp;'INS-UPD Heat'!$A29),"")</f>
        <v>0.62009965269107703</v>
      </c>
      <c r="BF29" s="32">
        <f>IFERROR(AVERAGEIFS(COM_All!U$2:U$999,COM_All!$B$2:$B$999,"="&amp;$A$4,COM_All!$C$2:$C$999,"="&amp;'INS-UPD Heat'!$A29),"")</f>
        <v>0.5</v>
      </c>
      <c r="BG29" s="32">
        <f>IFERROR(AVERAGEIFS(COM_All!V$2:V$999,COM_All!$B$2:$B$999,"="&amp;$A$4,COM_All!$C$2:$C$999,"="&amp;'INS-UPD Heat'!$A29),"")</f>
        <v>0.54112589830116897</v>
      </c>
      <c r="BH29" s="32">
        <f>IFERROR(AVERAGEIFS(COM_All!W$2:W$999,COM_All!$B$2:$B$999,"="&amp;$A$4,COM_All!$C$2:$C$999,"="&amp;'INS-UPD Heat'!$A29),"")</f>
        <v>0.5</v>
      </c>
      <c r="BI29" s="32">
        <f>IFERROR(AVERAGEIFS(COM_All!X$2:X$999,COM_All!$B$2:$B$999,"="&amp;$A$4,COM_All!$C$2:$C$999,"="&amp;'INS-UPD Heat'!$A29),"")</f>
        <v>0.514799099967856</v>
      </c>
      <c r="BJ29" s="32">
        <f>IFERROR(AVERAGEIFS(COM_All!Y$2:Y$999,COM_All!$B$2:$B$999,"="&amp;$A$4,COM_All!$C$2:$C$999,"="&amp;'INS-UPD Heat'!$A29),"")</f>
        <v>0.54638891786056298</v>
      </c>
      <c r="BK29" s="32">
        <f>IFERROR(AVERAGEIFS(COM_All!Z$2:Z$999,COM_All!$B$2:$B$999,"="&amp;$A$4,COM_All!$C$2:$C$999,"="&amp;'INS-UPD Heat'!$A29),"")</f>
        <v>0.5</v>
      </c>
      <c r="BL29" s="32">
        <f>IFERROR(AVERAGEIFS(COM_All!AA$2:AA$999,COM_All!$B$2:$B$999,"="&amp;$A$4,COM_All!$C$2:$C$999,"="&amp;'INS-UPD Heat'!$A29),"")</f>
        <v>0.55165505592483999</v>
      </c>
      <c r="BM29" s="32">
        <f>IFERROR(AVERAGEIFS(COM_All!AB$2:AB$999,COM_All!$B$2:$B$999,"="&amp;$A$4,COM_All!$C$2:$C$999,"="&amp;'INS-UPD Heat'!$A29),"")</f>
        <v>0.55165363316483695</v>
      </c>
      <c r="BN29" s="32">
        <f>IFERROR(AVERAGEIFS(COM_All!AC$2:AC$999,COM_All!$B$2:$B$999,"="&amp;$A$4,COM_All!$C$2:$C$999,"="&amp;'INS-UPD Heat'!$A29),"")</f>
        <v>0.5</v>
      </c>
      <c r="BO29" s="32">
        <f>IFERROR(AVERAGEIFS(COM_All!AD$2:AD$999,COM_All!$B$2:$B$999,"="&amp;$A$4,COM_All!$C$2:$C$999,"="&amp;'INS-UPD Heat'!$A29),"")</f>
        <v>0.5</v>
      </c>
      <c r="BP29" s="32">
        <f>IFERROR(AVERAGEIFS(COM_All!AE$2:AE$999,COM_All!$B$2:$B$999,"="&amp;$A$4,COM_All!$C$2:$C$999,"="&amp;'INS-UPD Heat'!$A29),"")</f>
        <v>0.5</v>
      </c>
      <c r="BQ29" s="32">
        <f>IFERROR(AVERAGEIFS(COM_All!AF$2:AF$999,COM_All!$B$2:$B$999,"="&amp;$A$4,COM_All!$C$2:$C$999,"="&amp;'INS-UPD Heat'!$A29),"")</f>
        <v>0.5</v>
      </c>
      <c r="BR29" s="32">
        <f>IFERROR(AVERAGEIFS(COM_All!AG$2:AG$999,COM_All!$B$2:$B$999,"="&amp;$A$4,COM_All!$C$2:$C$999,"="&amp;'INS-UPD Heat'!$A29),"")</f>
        <v>0.54112535796091599</v>
      </c>
      <c r="BS29" s="32">
        <f>IFERROR(AVERAGEIFS(COM_All!AH$2:AH$999,COM_All!$B$2:$B$999,"="&amp;$A$4,COM_All!$C$2:$C$999,"="&amp;'INS-UPD Heat'!$A29),"")</f>
        <v>0.5</v>
      </c>
      <c r="BT29" s="32">
        <f>IFERROR(AVERAGEIFS(COM_All!AI$2:AI$999,COM_All!$B$2:$B$999,"="&amp;$A$4,COM_All!$C$2:$C$999,"="&amp;'INS-UPD Heat'!$A29),"")</f>
        <v>0.56218475555346803</v>
      </c>
      <c r="BU29" s="32">
        <f>IFERROR(AVERAGEIFS(COM_All!AJ$2:AJ$999,COM_All!$B$2:$B$999,"="&amp;$A$4,COM_All!$C$2:$C$999,"="&amp;'INS-UPD Heat'!$A29),"")</f>
        <v>0.5</v>
      </c>
      <c r="BV29" s="32">
        <f>IFERROR(AVERAGEIFS(COM_All!AK$2:AK$999,COM_All!$B$2:$B$999,"="&amp;$A$4,COM_All!$C$2:$C$999,"="&amp;'INS-UPD Heat'!$A29),"")</f>
        <v>0.5</v>
      </c>
      <c r="BW29" s="32">
        <f>IFERROR(AVERAGEIFS(COM_All!AL$2:AL$999,COM_All!$B$2:$B$999,"="&amp;$A$4,COM_All!$C$2:$C$999,"="&amp;'INS-UPD Heat'!$A29),"")</f>
        <v>0.5</v>
      </c>
      <c r="BX29" s="32">
        <f>IFERROR(AVERAGEIFS(COM_All!AM$2:AM$999,COM_All!$B$2:$B$999,"="&amp;$A$4,COM_All!$C$2:$C$999,"="&amp;'INS-UPD Heat'!$A29),"")</f>
        <v>0.60957013258897397</v>
      </c>
      <c r="BY29" s="32">
        <f>IFERROR(AVERAGEIFS(COM_All!AN$2:AN$999,COM_All!$B$2:$B$999,"="&amp;$A$4,COM_All!$C$2:$C$999,"="&amp;'INS-UPD Heat'!$A29),"")</f>
        <v>0.5</v>
      </c>
      <c r="BZ29" s="32">
        <f>IFERROR(AVERAGEIFS(COM_All!AO$2:AO$999,COM_All!$B$2:$B$999,"="&amp;$A$4,COM_All!$C$2:$C$999,"="&amp;'INS-UPD Heat'!$A29),"")</f>
        <v>0.56218504357187304</v>
      </c>
      <c r="CA29" s="32">
        <f>IFERROR(AVERAGEIFS(COM_All!AP$2:AP$999,COM_All!$B$2:$B$999,"="&amp;$A$4,COM_All!$C$2:$C$999,"="&amp;'INS-UPD Heat'!$A29),"")</f>
        <v>0.5</v>
      </c>
      <c r="CB29" s="32">
        <f>IFERROR(AVERAGEIFS(COM_All!AQ$2:AQ$999,COM_All!$B$2:$B$999,"="&amp;$A$4,COM_All!$C$2:$C$999,"="&amp;'INS-UPD Heat'!$A29),"")</f>
        <v>0.55428700605841397</v>
      </c>
      <c r="CC29" s="32">
        <f>IFERROR(AVERAGEIFS(COM_All!AR$2:AR$999,COM_All!$B$2:$B$999,"="&amp;$A$4,COM_All!$C$2:$C$999,"="&amp;'INS-UPD Heat'!$A29),"")</f>
        <v>0.5</v>
      </c>
      <c r="CD29" s="32">
        <f>IFERROR(AVERAGEIFS(COM_All!AS$2:AS$999,COM_All!$B$2:$B$999,"="&amp;$A$4,COM_All!$C$2:$C$999,"="&amp;'INS-UPD Heat'!$A29),"")</f>
        <v>0.5</v>
      </c>
      <c r="CE29" s="32">
        <f>IFERROR(AVERAGEIFS(COM_All!AT$2:AT$999,COM_All!$B$2:$B$999,"="&amp;$A$4,COM_All!$C$2:$C$999,"="&amp;'INS-UPD Heat'!$A29),"")</f>
        <v>0.5</v>
      </c>
      <c r="CF29" s="32">
        <f>IFERROR(AVERAGEIFS(COM_All!AU$2:AU$999,COM_All!$B$2:$B$999,"="&amp;$A$4,COM_All!$C$2:$C$999,"="&amp;'INS-UPD Heat'!$A29),"")</f>
        <v>0.551654904555828</v>
      </c>
      <c r="CG29" s="33">
        <f>IFERROR(AVERAGEIFS(COM_All!AV$2:AV$999,COM_All!$B$2:$B$999,"="&amp;$A$4,COM_All!$C$2:$C$999,"="&amp;'INS-UPD Heat'!$A29),"")</f>
        <v>0.56744765243058803</v>
      </c>
    </row>
    <row r="30" spans="1:85" ht="15">
      <c r="A30" t="s">
        <v>146</v>
      </c>
      <c r="C30" t="s">
        <v>29</v>
      </c>
      <c r="D30" t="str">
        <f t="shared" si="2"/>
        <v>C_ES-SH-SL_BI*</v>
      </c>
      <c r="H30" s="54"/>
      <c r="I30" t="str">
        <f t="shared" si="3"/>
        <v>*1</v>
      </c>
      <c r="J30" t="str">
        <f t="shared" si="38"/>
        <v>*1.13273935601115</v>
      </c>
      <c r="K30" t="str">
        <f t="shared" si="39"/>
        <v>*1</v>
      </c>
      <c r="L30" t="str">
        <f t="shared" si="40"/>
        <v>*1.16287202779621</v>
      </c>
      <c r="M30" t="str">
        <f t="shared" si="6"/>
        <v>*0.951947404871184</v>
      </c>
      <c r="N30" t="str">
        <f t="shared" si="7"/>
        <v>*1</v>
      </c>
      <c r="O30" t="str">
        <f t="shared" si="8"/>
        <v>*0.891684624593808</v>
      </c>
      <c r="P30" t="str">
        <f t="shared" si="9"/>
        <v>*1.03230037990426</v>
      </c>
      <c r="Q30" s="48" t="str">
        <f t="shared" si="4"/>
        <v>*0.5</v>
      </c>
      <c r="R30" t="str">
        <f t="shared" si="10"/>
        <v>*1.0825169264074</v>
      </c>
      <c r="S30" t="str">
        <f t="shared" si="11"/>
        <v>*1.03229644898342</v>
      </c>
      <c r="T30" t="str">
        <f t="shared" si="12"/>
        <v>*1</v>
      </c>
      <c r="U30" t="str">
        <f t="shared" si="13"/>
        <v>*0.982080090991512</v>
      </c>
      <c r="V30" t="str">
        <f t="shared" si="14"/>
        <v>*1.0423429136333</v>
      </c>
      <c r="W30" t="str">
        <f t="shared" si="15"/>
        <v>*1.08252106666226</v>
      </c>
      <c r="X30" t="str">
        <f t="shared" si="16"/>
        <v>*1.05238453545451</v>
      </c>
      <c r="Y30" t="str">
        <f t="shared" si="17"/>
        <v>*1.05238966451752</v>
      </c>
      <c r="Z30" t="str">
        <f t="shared" si="18"/>
        <v>*1.1026073590249</v>
      </c>
      <c r="AA30" t="str">
        <f t="shared" si="19"/>
        <v>*1.0825169264074</v>
      </c>
      <c r="AB30" t="str">
        <f t="shared" si="20"/>
        <v>*1</v>
      </c>
      <c r="AC30" t="str">
        <f t="shared" si="21"/>
        <v>*1</v>
      </c>
      <c r="AD30" t="str">
        <f t="shared" si="22"/>
        <v>*1.03230017588431</v>
      </c>
      <c r="AE30" t="str">
        <f t="shared" si="23"/>
        <v>*1</v>
      </c>
      <c r="AF30" t="str">
        <f t="shared" si="24"/>
        <v>*1.07247594152106</v>
      </c>
      <c r="AG30" t="str">
        <f t="shared" si="25"/>
        <v>*1</v>
      </c>
      <c r="AH30" t="str">
        <f t="shared" si="26"/>
        <v>*1</v>
      </c>
      <c r="AI30" t="str">
        <f t="shared" si="27"/>
        <v>*1</v>
      </c>
      <c r="AJ30" t="str">
        <f t="shared" si="28"/>
        <v>*1.16287284644911</v>
      </c>
      <c r="AK30" t="str">
        <f t="shared" si="29"/>
        <v>*1.0825169264074</v>
      </c>
      <c r="AL30" t="str">
        <f t="shared" si="30"/>
        <v>*1.07247406151033</v>
      </c>
      <c r="AM30" t="str">
        <f t="shared" si="31"/>
        <v>*1</v>
      </c>
      <c r="AN30" t="str">
        <f t="shared" si="32"/>
        <v>*1</v>
      </c>
      <c r="AO30" t="str">
        <f t="shared" si="33"/>
        <v>*1</v>
      </c>
      <c r="AP30" t="str">
        <f t="shared" si="34"/>
        <v>*1.03229798151806</v>
      </c>
      <c r="AQ30" t="str">
        <f t="shared" si="35"/>
        <v>*1</v>
      </c>
      <c r="AR30" t="str">
        <f t="shared" si="36"/>
        <v>*1.05238916181003</v>
      </c>
      <c r="AS30" s="49" t="str">
        <f t="shared" si="37"/>
        <v>*1.08252104532776</v>
      </c>
      <c r="AV30" s="31">
        <f t="shared" si="5"/>
        <v>0.51720334953630942</v>
      </c>
      <c r="AW30" s="32">
        <f>IFERROR(AVERAGEIFS(COM_All!L$2:L$999,COM_All!$B$2:$B$999,"="&amp;$A$4,COM_All!$C$2:$C$999,"="&amp;'INS-UPD Heat'!$A30),"")</f>
        <v>0.5</v>
      </c>
      <c r="AX30" s="32">
        <f>IFERROR(AVERAGEIFS(COM_All!M$2:M$999,COM_All!$B$2:$B$999,"="&amp;$A$4,COM_All!$C$2:$C$999,"="&amp;'INS-UPD Heat'!$A30),"")</f>
        <v>0.56636967800557603</v>
      </c>
      <c r="AY30" s="32">
        <f>IFERROR(AVERAGEIFS(COM_All!N$2:N$999,COM_All!$B$2:$B$999,"="&amp;$A$4,COM_All!$C$2:$C$999,"="&amp;'INS-UPD Heat'!$A30),"")</f>
        <v>0.5</v>
      </c>
      <c r="AZ30" s="32">
        <f>IFERROR(AVERAGEIFS(COM_All!O$2:O$999,COM_All!$B$2:$B$999,"="&amp;$A$4,COM_All!$C$2:$C$999,"="&amp;'INS-UPD Heat'!$A30),"")</f>
        <v>0.58143601389810495</v>
      </c>
      <c r="BA30" s="32">
        <f>IFERROR(AVERAGEIFS(COM_All!P$2:P$999,COM_All!$B$2:$B$999,"="&amp;$A$4,COM_All!$C$2:$C$999,"="&amp;'INS-UPD Heat'!$A30),"")</f>
        <v>0.47597370243559201</v>
      </c>
      <c r="BB30" s="32">
        <f>IFERROR(AVERAGEIFS(COM_All!Q$2:Q$999,COM_All!$B$2:$B$999,"="&amp;$A$4,COM_All!$C$2:$C$999,"="&amp;'INS-UPD Heat'!$A30),"")</f>
        <v>0.5</v>
      </c>
      <c r="BC30" s="32">
        <f>IFERROR(AVERAGEIFS(COM_All!R$2:R$999,COM_All!$B$2:$B$999,"="&amp;$A$4,COM_All!$C$2:$C$999,"="&amp;'INS-UPD Heat'!$A30),"")</f>
        <v>0.44584231229690402</v>
      </c>
      <c r="BD30" s="32">
        <f>IFERROR(AVERAGEIFS(COM_All!S$2:S$999,COM_All!$B$2:$B$999,"="&amp;$A$4,COM_All!$C$2:$C$999,"="&amp;'INS-UPD Heat'!$A30),"")</f>
        <v>0.51615018995212902</v>
      </c>
      <c r="BE30" s="32">
        <f>IFERROR(AVERAGEIFS(COM_All!T$2:T$999,COM_All!$B$2:$B$999,"="&amp;$A$4,COM_All!$C$2:$C$999,"="&amp;'INS-UPD Heat'!$A30),"")</f>
        <v>0.5</v>
      </c>
      <c r="BF30" s="32">
        <f>IFERROR(AVERAGEIFS(COM_All!U$2:U$999,COM_All!$B$2:$B$999,"="&amp;$A$4,COM_All!$C$2:$C$999,"="&amp;'INS-UPD Heat'!$A30),"")</f>
        <v>0.54125846320370197</v>
      </c>
      <c r="BG30" s="32">
        <f>IFERROR(AVERAGEIFS(COM_All!V$2:V$999,COM_All!$B$2:$B$999,"="&amp;$A$4,COM_All!$C$2:$C$999,"="&amp;'INS-UPD Heat'!$A30),"")</f>
        <v>0.51614822449170805</v>
      </c>
      <c r="BH30" s="32">
        <f>IFERROR(AVERAGEIFS(COM_All!W$2:W$999,COM_All!$B$2:$B$999,"="&amp;$A$4,COM_All!$C$2:$C$999,"="&amp;'INS-UPD Heat'!$A30),"")</f>
        <v>0.5</v>
      </c>
      <c r="BI30" s="32">
        <f>IFERROR(AVERAGEIFS(COM_All!X$2:X$999,COM_All!$B$2:$B$999,"="&amp;$A$4,COM_All!$C$2:$C$999,"="&amp;'INS-UPD Heat'!$A30),"")</f>
        <v>0.49104004549575597</v>
      </c>
      <c r="BJ30" s="32">
        <f>IFERROR(AVERAGEIFS(COM_All!Y$2:Y$999,COM_All!$B$2:$B$999,"="&amp;$A$4,COM_All!$C$2:$C$999,"="&amp;'INS-UPD Heat'!$A30),"")</f>
        <v>0.521171456816652</v>
      </c>
      <c r="BK30" s="32">
        <f>IFERROR(AVERAGEIFS(COM_All!Z$2:Z$999,COM_All!$B$2:$B$999,"="&amp;$A$4,COM_All!$C$2:$C$999,"="&amp;'INS-UPD Heat'!$A30),"")</f>
        <v>0.541260533331132</v>
      </c>
      <c r="BL30" s="32">
        <f>IFERROR(AVERAGEIFS(COM_All!AA$2:AA$999,COM_All!$B$2:$B$999,"="&amp;$A$4,COM_All!$C$2:$C$999,"="&amp;'INS-UPD Heat'!$A30),"")</f>
        <v>0.52619226772725602</v>
      </c>
      <c r="BM30" s="32">
        <f>IFERROR(AVERAGEIFS(COM_All!AB$2:AB$999,COM_All!$B$2:$B$999,"="&amp;$A$4,COM_All!$C$2:$C$999,"="&amp;'INS-UPD Heat'!$A30),"")</f>
        <v>0.52619483225875896</v>
      </c>
      <c r="BN30" s="32">
        <f>IFERROR(AVERAGEIFS(COM_All!AC$2:AC$999,COM_All!$B$2:$B$999,"="&amp;$A$4,COM_All!$C$2:$C$999,"="&amp;'INS-UPD Heat'!$A30),"")</f>
        <v>0.55130367951244896</v>
      </c>
      <c r="BO30" s="32">
        <f>IFERROR(AVERAGEIFS(COM_All!AD$2:AD$999,COM_All!$B$2:$B$999,"="&amp;$A$4,COM_All!$C$2:$C$999,"="&amp;'INS-UPD Heat'!$A30),"")</f>
        <v>0.54125846320370197</v>
      </c>
      <c r="BP30" s="32">
        <f>IFERROR(AVERAGEIFS(COM_All!AE$2:AE$999,COM_All!$B$2:$B$999,"="&amp;$A$4,COM_All!$C$2:$C$999,"="&amp;'INS-UPD Heat'!$A30),"")</f>
        <v>0.5</v>
      </c>
      <c r="BQ30" s="32">
        <f>IFERROR(AVERAGEIFS(COM_All!AF$2:AF$999,COM_All!$B$2:$B$999,"="&amp;$A$4,COM_All!$C$2:$C$999,"="&amp;'INS-UPD Heat'!$A30),"")</f>
        <v>0.5</v>
      </c>
      <c r="BR30" s="32">
        <f>IFERROR(AVERAGEIFS(COM_All!AG$2:AG$999,COM_All!$B$2:$B$999,"="&amp;$A$4,COM_All!$C$2:$C$999,"="&amp;'INS-UPD Heat'!$A30),"")</f>
        <v>0.516150087942154</v>
      </c>
      <c r="BS30" s="32">
        <f>IFERROR(AVERAGEIFS(COM_All!AH$2:AH$999,COM_All!$B$2:$B$999,"="&amp;$A$4,COM_All!$C$2:$C$999,"="&amp;'INS-UPD Heat'!$A30),"")</f>
        <v>0.5</v>
      </c>
      <c r="BT30" s="32">
        <f>IFERROR(AVERAGEIFS(COM_All!AI$2:AI$999,COM_All!$B$2:$B$999,"="&amp;$A$4,COM_All!$C$2:$C$999,"="&amp;'INS-UPD Heat'!$A30),"")</f>
        <v>0.53623797076053004</v>
      </c>
      <c r="BU30" s="32">
        <f>IFERROR(AVERAGEIFS(COM_All!AJ$2:AJ$999,COM_All!$B$2:$B$999,"="&amp;$A$4,COM_All!$C$2:$C$999,"="&amp;'INS-UPD Heat'!$A30),"")</f>
        <v>0.5</v>
      </c>
      <c r="BV30" s="32">
        <f>IFERROR(AVERAGEIFS(COM_All!AK$2:AK$999,COM_All!$B$2:$B$999,"="&amp;$A$4,COM_All!$C$2:$C$999,"="&amp;'INS-UPD Heat'!$A30),"")</f>
        <v>0.5</v>
      </c>
      <c r="BW30" s="32">
        <f>IFERROR(AVERAGEIFS(COM_All!AL$2:AL$999,COM_All!$B$2:$B$999,"="&amp;$A$4,COM_All!$C$2:$C$999,"="&amp;'INS-UPD Heat'!$A30),"")</f>
        <v>0.5</v>
      </c>
      <c r="BX30" s="32">
        <f>IFERROR(AVERAGEIFS(COM_All!AM$2:AM$999,COM_All!$B$2:$B$999,"="&amp;$A$4,COM_All!$C$2:$C$999,"="&amp;'INS-UPD Heat'!$A30),"")</f>
        <v>0.58143642322455602</v>
      </c>
      <c r="BY30" s="32">
        <f>IFERROR(AVERAGEIFS(COM_All!AN$2:AN$999,COM_All!$B$2:$B$999,"="&amp;$A$4,COM_All!$C$2:$C$999,"="&amp;'INS-UPD Heat'!$A30),"")</f>
        <v>0.54125846320370197</v>
      </c>
      <c r="BZ30" s="32">
        <f>IFERROR(AVERAGEIFS(COM_All!AO$2:AO$999,COM_All!$B$2:$B$999,"="&amp;$A$4,COM_All!$C$2:$C$999,"="&amp;'INS-UPD Heat'!$A30),"")</f>
        <v>0.53623703075516505</v>
      </c>
      <c r="CA30" s="32">
        <f>IFERROR(AVERAGEIFS(COM_All!AP$2:AP$999,COM_All!$B$2:$B$999,"="&amp;$A$4,COM_All!$C$2:$C$999,"="&amp;'INS-UPD Heat'!$A30),"")</f>
        <v>0.5</v>
      </c>
      <c r="CB30" s="32">
        <f>IFERROR(AVERAGEIFS(COM_All!AQ$2:AQ$999,COM_All!$B$2:$B$999,"="&amp;$A$4,COM_All!$C$2:$C$999,"="&amp;'INS-UPD Heat'!$A30),"")</f>
        <v>0.5</v>
      </c>
      <c r="CC30" s="32">
        <f>IFERROR(AVERAGEIFS(COM_All!AR$2:AR$999,COM_All!$B$2:$B$999,"="&amp;$A$4,COM_All!$C$2:$C$999,"="&amp;'INS-UPD Heat'!$A30),"")</f>
        <v>0.5</v>
      </c>
      <c r="CD30" s="32">
        <f>IFERROR(AVERAGEIFS(COM_All!AS$2:AS$999,COM_All!$B$2:$B$999,"="&amp;$A$4,COM_All!$C$2:$C$999,"="&amp;'INS-UPD Heat'!$A30),"")</f>
        <v>0.51614899075903098</v>
      </c>
      <c r="CE30" s="32">
        <f>IFERROR(AVERAGEIFS(COM_All!AT$2:AT$999,COM_All!$B$2:$B$999,"="&amp;$A$4,COM_All!$C$2:$C$999,"="&amp;'INS-UPD Heat'!$A30),"")</f>
        <v>0.5</v>
      </c>
      <c r="CF30" s="32">
        <f>IFERROR(AVERAGEIFS(COM_All!AU$2:AU$999,COM_All!$B$2:$B$999,"="&amp;$A$4,COM_All!$C$2:$C$999,"="&amp;'INS-UPD Heat'!$A30),"")</f>
        <v>0.52619458090501303</v>
      </c>
      <c r="CG30" s="33">
        <f>IFERROR(AVERAGEIFS(COM_All!AV$2:AV$999,COM_All!$B$2:$B$999,"="&amp;$A$4,COM_All!$C$2:$C$999,"="&amp;'INS-UPD Heat'!$A30),"")</f>
        <v>0.54126052266387803</v>
      </c>
    </row>
    <row r="31" spans="1:85" ht="15">
      <c r="A31" t="s">
        <v>147</v>
      </c>
      <c r="C31" t="s">
        <v>29</v>
      </c>
      <c r="D31" t="str">
        <f t="shared" si="2"/>
        <v>C_ES-SH-SL_HE*</v>
      </c>
      <c r="H31" s="54"/>
      <c r="I31" t="str">
        <f t="shared" si="3"/>
        <v>*0.880504783355962</v>
      </c>
      <c r="J31" t="str">
        <f t="shared" si="38"/>
        <v>*0.957548618872751</v>
      </c>
      <c r="K31" t="str">
        <f t="shared" si="39"/>
        <v>*0.880504783355962</v>
      </c>
      <c r="L31" t="str">
        <f t="shared" si="40"/>
        <v>*0.983020646759874</v>
      </c>
      <c r="M31" t="str">
        <f t="shared" si="6"/>
        <v>*0.804718937699145</v>
      </c>
      <c r="N31" t="str">
        <f t="shared" si="7"/>
        <v>*1</v>
      </c>
      <c r="O31" t="str">
        <f t="shared" si="8"/>
        <v>*0.880504783355962</v>
      </c>
      <c r="P31" t="str">
        <f t="shared" si="9"/>
        <v>*0.872644275983274</v>
      </c>
      <c r="Q31" s="48" t="str">
        <f t="shared" si="4"/>
        <v>*0.908569737634899</v>
      </c>
      <c r="R31" t="str">
        <f t="shared" si="10"/>
        <v>*0.915095212233637</v>
      </c>
      <c r="S31" t="str">
        <f t="shared" si="11"/>
        <v>*0.872642655737943</v>
      </c>
      <c r="T31" t="str">
        <f t="shared" si="12"/>
        <v>*0.880504783355962</v>
      </c>
      <c r="U31" t="str">
        <f t="shared" si="13"/>
        <v>*0.880504783355962</v>
      </c>
      <c r="V31" t="str">
        <f t="shared" si="14"/>
        <v>*0.881131477151944</v>
      </c>
      <c r="W31" t="str">
        <f t="shared" si="15"/>
        <v>*0.915093124359608</v>
      </c>
      <c r="X31" t="str">
        <f t="shared" si="16"/>
        <v>*0.889625250941913</v>
      </c>
      <c r="Y31" t="str">
        <f t="shared" si="17"/>
        <v>*0.889623372740061</v>
      </c>
      <c r="Z31" t="str">
        <f t="shared" si="18"/>
        <v>*0.880504783355962</v>
      </c>
      <c r="AA31" t="str">
        <f t="shared" si="19"/>
        <v>*0.915095212233637</v>
      </c>
      <c r="AB31" t="str">
        <f t="shared" si="20"/>
        <v>*0.915095341838966</v>
      </c>
      <c r="AC31" t="str">
        <f t="shared" si="21"/>
        <v>*0.880504783355962</v>
      </c>
      <c r="AD31" t="str">
        <f t="shared" si="22"/>
        <v>*0.872640325737902</v>
      </c>
      <c r="AE31" t="str">
        <f t="shared" si="23"/>
        <v>*0.915097225102635</v>
      </c>
      <c r="AF31" t="str">
        <f t="shared" si="24"/>
        <v>*0.906602703277204</v>
      </c>
      <c r="AG31" t="str">
        <f t="shared" si="25"/>
        <v>*0.880504783355962</v>
      </c>
      <c r="AH31" t="str">
        <f t="shared" si="26"/>
        <v>*0.880504783355962</v>
      </c>
      <c r="AI31" t="str">
        <f t="shared" si="27"/>
        <v>*0.880504783355962</v>
      </c>
      <c r="AJ31" t="str">
        <f t="shared" si="28"/>
        <v>*0.983021041372418</v>
      </c>
      <c r="AK31" t="str">
        <f t="shared" si="29"/>
        <v>*0.915095212233637</v>
      </c>
      <c r="AL31" t="str">
        <f t="shared" si="30"/>
        <v>*0.906604639952111</v>
      </c>
      <c r="AM31" t="str">
        <f t="shared" si="31"/>
        <v>*0.855664327496265</v>
      </c>
      <c r="AN31" t="str">
        <f t="shared" si="32"/>
        <v>*0.89386936286641</v>
      </c>
      <c r="AO31" t="str">
        <f t="shared" si="33"/>
        <v>*0.880504783355962</v>
      </c>
      <c r="AP31" t="str">
        <f t="shared" si="34"/>
        <v>*0.872640441278991</v>
      </c>
      <c r="AQ31" t="str">
        <f t="shared" si="35"/>
        <v>*0.949060077873277</v>
      </c>
      <c r="AR31" t="str">
        <f t="shared" si="36"/>
        <v>*0.889625648915354</v>
      </c>
      <c r="AS31" s="49" t="str">
        <f t="shared" si="37"/>
        <v>*0.915096287669067</v>
      </c>
      <c r="AV31" s="31">
        <f t="shared" si="5"/>
        <v>0.81947843501339068</v>
      </c>
      <c r="AW31" s="32">
        <f>IFERROR(AVERAGEIFS(COM_All!L$2:L$999,COM_All!$B$2:$B$999,"="&amp;$A$4,COM_All!$C$2:$C$999,"="&amp;'INS-UPD Heat'!$A31),"")</f>
        <v>0.80000000000000004</v>
      </c>
      <c r="AX31" s="32">
        <f>IFERROR(AVERAGEIFS(COM_All!M$2:M$999,COM_All!$B$2:$B$999,"="&amp;$A$4,COM_All!$C$2:$C$999,"="&amp;'INS-UPD Heat'!$A31),"")</f>
        <v>0.869999697421875</v>
      </c>
      <c r="AY31" s="32">
        <f>IFERROR(AVERAGEIFS(COM_All!N$2:N$999,COM_All!$B$2:$B$999,"="&amp;$A$4,COM_All!$C$2:$C$999,"="&amp;'INS-UPD Heat'!$A31),"")</f>
        <v>0.80000000000000004</v>
      </c>
      <c r="AZ31" s="32">
        <f>IFERROR(AVERAGEIFS(COM_All!O$2:O$999,COM_All!$B$2:$B$999,"="&amp;$A$4,COM_All!$C$2:$C$999,"="&amp;'INS-UPD Heat'!$A31),"")</f>
        <v>0.893142811116307</v>
      </c>
      <c r="BA31" s="32">
        <f>IFERROR(AVERAGEIFS(COM_All!P$2:P$999,COM_All!$B$2:$B$999,"="&amp;$A$4,COM_All!$C$2:$C$999,"="&amp;'INS-UPD Heat'!$A31),"")</f>
        <v>0.73114327409514701</v>
      </c>
      <c r="BB31" s="32">
        <f>IFERROR(AVERAGEIFS(COM_All!Q$2:Q$999,COM_All!$B$2:$B$999,"="&amp;$A$4,COM_All!$C$2:$C$999,"="&amp;'INS-UPD Heat'!$A31),"")</f>
        <v>0.90856973763489901</v>
      </c>
      <c r="BC31" s="32">
        <f>IFERROR(AVERAGEIFS(COM_All!R$2:R$999,COM_All!$B$2:$B$999,"="&amp;$A$4,COM_All!$C$2:$C$999,"="&amp;'INS-UPD Heat'!$A31),"")</f>
        <v>0.80000000000000004</v>
      </c>
      <c r="BD31" s="32">
        <f>IFERROR(AVERAGEIFS(COM_All!S$2:S$999,COM_All!$B$2:$B$999,"="&amp;$A$4,COM_All!$C$2:$C$999,"="&amp;'INS-UPD Heat'!$A31),"")</f>
        <v>0.79285818087871995</v>
      </c>
      <c r="BE31" s="32">
        <f>IFERROR(AVERAGEIFS(COM_All!T$2:T$999,COM_All!$B$2:$B$999,"="&amp;$A$4,COM_All!$C$2:$C$999,"="&amp;'INS-UPD Heat'!$A31),"")</f>
        <v>0.90856973763489901</v>
      </c>
      <c r="BF31" s="32">
        <f>IFERROR(AVERAGEIFS(COM_All!U$2:U$999,COM_All!$B$2:$B$999,"="&amp;$A$4,COM_All!$C$2:$C$999,"="&amp;'INS-UPD Heat'!$A31),"")</f>
        <v>0.83142781689006795</v>
      </c>
      <c r="BG31" s="32">
        <f>IFERROR(AVERAGEIFS(COM_All!V$2:V$999,COM_All!$B$2:$B$999,"="&amp;$A$4,COM_All!$C$2:$C$999,"="&amp;'INS-UPD Heat'!$A31),"")</f>
        <v>0.79285670877284398</v>
      </c>
      <c r="BH31" s="32">
        <f>IFERROR(AVERAGEIFS(COM_All!W$2:W$999,COM_All!$B$2:$B$999,"="&amp;$A$4,COM_All!$C$2:$C$999,"="&amp;'INS-UPD Heat'!$A31),"")</f>
        <v>0.80000000000000004</v>
      </c>
      <c r="BI31" s="32">
        <f>IFERROR(AVERAGEIFS(COM_All!X$2:X$999,COM_All!$B$2:$B$999,"="&amp;$A$4,COM_All!$C$2:$C$999,"="&amp;'INS-UPD Heat'!$A31),"")</f>
        <v>0.80000000000000004</v>
      </c>
      <c r="BJ31" s="32">
        <f>IFERROR(AVERAGEIFS(COM_All!Y$2:Y$999,COM_All!$B$2:$B$999,"="&amp;$A$4,COM_All!$C$2:$C$999,"="&amp;'INS-UPD Heat'!$A31),"")</f>
        <v>0.80056939501779301</v>
      </c>
      <c r="BK31" s="32">
        <f>IFERROR(AVERAGEIFS(COM_All!Z$2:Z$999,COM_All!$B$2:$B$999,"="&amp;$A$4,COM_All!$C$2:$C$999,"="&amp;'INS-UPD Heat'!$A31),"")</f>
        <v>0.83142591991090897</v>
      </c>
      <c r="BL31" s="32">
        <f>IFERROR(AVERAGEIFS(COM_All!AA$2:AA$999,COM_All!$B$2:$B$999,"="&amp;$A$4,COM_All!$C$2:$C$999,"="&amp;'INS-UPD Heat'!$A31),"")</f>
        <v>0.80828658084167504</v>
      </c>
      <c r="BM31" s="32">
        <f>IFERROR(AVERAGEIFS(COM_All!AB$2:AB$999,COM_All!$B$2:$B$999,"="&amp;$A$4,COM_All!$C$2:$C$999,"="&amp;'INS-UPD Heat'!$A31),"")</f>
        <v>0.80828487436431096</v>
      </c>
      <c r="BN31" s="32">
        <f>IFERROR(AVERAGEIFS(COM_All!AC$2:AC$999,COM_All!$B$2:$B$999,"="&amp;$A$4,COM_All!$C$2:$C$999,"="&amp;'INS-UPD Heat'!$A31),"")</f>
        <v>0.80000000000000004</v>
      </c>
      <c r="BO31" s="32">
        <f>IFERROR(AVERAGEIFS(COM_All!AD$2:AD$999,COM_All!$B$2:$B$999,"="&amp;$A$4,COM_All!$C$2:$C$999,"="&amp;'INS-UPD Heat'!$A31),"")</f>
        <v>0.83142781689006795</v>
      </c>
      <c r="BP31" s="32">
        <f>IFERROR(AVERAGEIFS(COM_All!AE$2:AE$999,COM_All!$B$2:$B$999,"="&amp;$A$4,COM_All!$C$2:$C$999,"="&amp;'INS-UPD Heat'!$A31),"")</f>
        <v>0.83142793464554798</v>
      </c>
      <c r="BQ31" s="32">
        <f>IFERROR(AVERAGEIFS(COM_All!AF$2:AF$999,COM_All!$B$2:$B$999,"="&amp;$A$4,COM_All!$C$2:$C$999,"="&amp;'INS-UPD Heat'!$A31),"")</f>
        <v>0.80000000000000004</v>
      </c>
      <c r="BR31" s="32">
        <f>IFERROR(AVERAGEIFS(COM_All!AG$2:AG$999,COM_All!$B$2:$B$999,"="&amp;$A$4,COM_All!$C$2:$C$999,"="&amp;'INS-UPD Heat'!$A31),"")</f>
        <v>0.79285459180531803</v>
      </c>
      <c r="BS31" s="32">
        <f>IFERROR(AVERAGEIFS(COM_All!AH$2:AH$999,COM_All!$B$2:$B$999,"="&amp;$A$4,COM_All!$C$2:$C$999,"="&amp;'INS-UPD Heat'!$A31),"")</f>
        <v>0.83142964572192501</v>
      </c>
      <c r="BT31" s="32">
        <f>IFERROR(AVERAGEIFS(COM_All!AI$2:AI$999,COM_All!$B$2:$B$999,"="&amp;$A$4,COM_All!$C$2:$C$999,"="&amp;'INS-UPD Heat'!$A31),"")</f>
        <v>0.82371178025565905</v>
      </c>
      <c r="BU31" s="32">
        <f>IFERROR(AVERAGEIFS(COM_All!AJ$2:AJ$999,COM_All!$B$2:$B$999,"="&amp;$A$4,COM_All!$C$2:$C$999,"="&amp;'INS-UPD Heat'!$A31),"")</f>
        <v>0.80000000000000004</v>
      </c>
      <c r="BV31" s="32">
        <f>IFERROR(AVERAGEIFS(COM_All!AK$2:AK$999,COM_All!$B$2:$B$999,"="&amp;$A$4,COM_All!$C$2:$C$999,"="&amp;'INS-UPD Heat'!$A31),"")</f>
        <v>0.80000000000000004</v>
      </c>
      <c r="BW31" s="32">
        <f>IFERROR(AVERAGEIFS(COM_All!AL$2:AL$999,COM_All!$B$2:$B$999,"="&amp;$A$4,COM_All!$C$2:$C$999,"="&amp;'INS-UPD Heat'!$A31),"")</f>
        <v>0.80000000000000004</v>
      </c>
      <c r="BX31" s="32">
        <f>IFERROR(AVERAGEIFS(COM_All!AM$2:AM$999,COM_All!$B$2:$B$999,"="&amp;$A$4,COM_All!$C$2:$C$999,"="&amp;'INS-UPD Heat'!$A31),"")</f>
        <v>0.89314316964932305</v>
      </c>
      <c r="BY31" s="32">
        <f>IFERROR(AVERAGEIFS(COM_All!AN$2:AN$999,COM_All!$B$2:$B$999,"="&amp;$A$4,COM_All!$C$2:$C$999,"="&amp;'INS-UPD Heat'!$A31),"")</f>
        <v>0.83142781689006795</v>
      </c>
      <c r="BZ31" s="32">
        <f>IFERROR(AVERAGEIFS(COM_All!AO$2:AO$999,COM_All!$B$2:$B$999,"="&amp;$A$4,COM_All!$C$2:$C$999,"="&amp;'INS-UPD Heat'!$A31),"")</f>
        <v>0.82371353985987195</v>
      </c>
      <c r="CA31" s="32">
        <f>IFERROR(AVERAGEIFS(COM_All!AP$2:AP$999,COM_All!$B$2:$B$999,"="&amp;$A$4,COM_All!$C$2:$C$999,"="&amp;'INS-UPD Heat'!$A31),"")</f>
        <v>0.77743071353682403</v>
      </c>
      <c r="CB31" s="32">
        <f>IFERROR(AVERAGEIFS(COM_All!AQ$2:AQ$999,COM_All!$B$2:$B$999,"="&amp;$A$4,COM_All!$C$2:$C$999,"="&amp;'INS-UPD Heat'!$A31),"")</f>
        <v>0.81214265249940798</v>
      </c>
      <c r="CC31" s="32">
        <f>IFERROR(AVERAGEIFS(COM_All!AR$2:AR$999,COM_All!$B$2:$B$999,"="&amp;$A$4,COM_All!$C$2:$C$999,"="&amp;'INS-UPD Heat'!$A31),"")</f>
        <v>0.80000000000000004</v>
      </c>
      <c r="CD31" s="32">
        <f>IFERROR(AVERAGEIFS(COM_All!AS$2:AS$999,COM_All!$B$2:$B$999,"="&amp;$A$4,COM_All!$C$2:$C$999,"="&amp;'INS-UPD Heat'!$A31),"")</f>
        <v>0.79285469678245502</v>
      </c>
      <c r="CE31" s="32">
        <f>IFERROR(AVERAGEIFS(COM_All!AT$2:AT$999,COM_All!$B$2:$B$999,"="&amp;$A$4,COM_All!$C$2:$C$999,"="&amp;'INS-UPD Heat'!$A31),"")</f>
        <v>0.86228726595308003</v>
      </c>
      <c r="CF31" s="32">
        <f>IFERROR(AVERAGEIFS(COM_All!AU$2:AU$999,COM_All!$B$2:$B$999,"="&amp;$A$4,COM_All!$C$2:$C$999,"="&amp;'INS-UPD Heat'!$A31),"")</f>
        <v>0.80828694242830001</v>
      </c>
      <c r="CG31" s="33">
        <f>IFERROR(AVERAGEIFS(COM_All!AV$2:AV$999,COM_All!$B$2:$B$999,"="&amp;$A$4,COM_All!$C$2:$C$999,"="&amp;'INS-UPD Heat'!$A31),"")</f>
        <v>0.83142879399815395</v>
      </c>
    </row>
    <row r="32" spans="1:85" ht="39">
      <c r="A32" t="s">
        <v>148</v>
      </c>
      <c r="C32" t="s">
        <v>29</v>
      </c>
      <c r="D32" s="75" t="s">
        <v>412</v>
      </c>
      <c r="H32" s="54"/>
      <c r="I32" t="str">
        <f t="shared" si="3"/>
        <v>*0.814695640040816</v>
      </c>
      <c r="J32" t="str">
        <f t="shared" si="38"/>
        <v>*0.866863618757606</v>
      </c>
      <c r="K32" t="str">
        <f t="shared" si="39"/>
        <v>*0.814695640040816</v>
      </c>
      <c r="L32" t="str">
        <f t="shared" si="40"/>
        <v>*0.829770066565543</v>
      </c>
      <c r="M32" t="str">
        <f t="shared" si="6"/>
        <v>*0.670139292549879</v>
      </c>
      <c r="N32" t="str">
        <f t="shared" si="7"/>
        <v>*1</v>
      </c>
      <c r="O32" t="str">
        <f t="shared" si="8"/>
        <v>*0.806570689531818</v>
      </c>
      <c r="P32" t="str">
        <f t="shared" si="9"/>
        <v>*0.783236858692403</v>
      </c>
      <c r="Q32" s="48" t="str">
        <f t="shared" si="4"/>
        <v>*1.16338718199139</v>
      </c>
      <c r="R32" t="str">
        <f t="shared" si="10"/>
        <v>*0.964160419172593</v>
      </c>
      <c r="S32" t="str">
        <f t="shared" si="11"/>
        <v>*0.707243659269144</v>
      </c>
      <c r="T32" t="str">
        <f t="shared" si="12"/>
        <v>*0.814695640040816</v>
      </c>
      <c r="U32" t="str">
        <f t="shared" si="13"/>
        <v>*0.880205881297254</v>
      </c>
      <c r="V32" t="str">
        <f t="shared" si="14"/>
        <v>*0.915248470397476</v>
      </c>
      <c r="W32" t="str">
        <f t="shared" si="15"/>
        <v>*0.982636396644647</v>
      </c>
      <c r="X32" t="str">
        <f t="shared" si="16"/>
        <v>*0.731393580117313</v>
      </c>
      <c r="Y32" t="str">
        <f t="shared" si="17"/>
        <v>*0.847123481616257</v>
      </c>
      <c r="Z32" t="str">
        <f t="shared" si="18"/>
        <v>*0.856585176139782</v>
      </c>
      <c r="AA32" t="str">
        <f t="shared" si="19"/>
        <v>*0.964160419172593</v>
      </c>
      <c r="AB32" t="str">
        <f t="shared" si="20"/>
        <v>*0.975703024004163</v>
      </c>
      <c r="AC32" t="str">
        <f t="shared" si="21"/>
        <v>*0.814695640040816</v>
      </c>
      <c r="AD32" t="str">
        <f t="shared" si="22"/>
        <v>*0.801302174406614</v>
      </c>
      <c r="AE32" t="str">
        <f t="shared" si="23"/>
        <v>*1.04929722822849</v>
      </c>
      <c r="AF32" t="str">
        <f t="shared" si="24"/>
        <v>*0.802607320234305</v>
      </c>
      <c r="AG32" t="str">
        <f t="shared" si="25"/>
        <v>*0.814695640040816</v>
      </c>
      <c r="AH32" t="str">
        <f t="shared" si="26"/>
        <v>*0.814695640040816</v>
      </c>
      <c r="AI32" t="str">
        <f t="shared" si="27"/>
        <v>*0.662075744685471</v>
      </c>
      <c r="AJ32" t="str">
        <f t="shared" si="28"/>
        <v>*1.09991267506868</v>
      </c>
      <c r="AK32" t="str">
        <f t="shared" si="29"/>
        <v>*0.964160419172593</v>
      </c>
      <c r="AL32" t="str">
        <f t="shared" si="30"/>
        <v>*0.973806550892689</v>
      </c>
      <c r="AM32" t="str">
        <f t="shared" si="31"/>
        <v>*0.840908698492736</v>
      </c>
      <c r="AN32" t="str">
        <f t="shared" si="32"/>
        <v>*0.752940453106604</v>
      </c>
      <c r="AO32" t="str">
        <f t="shared" si="33"/>
        <v>*0.814695640040816</v>
      </c>
      <c r="AP32" t="str">
        <f t="shared" si="34"/>
        <v>*0.885880097942198</v>
      </c>
      <c r="AQ32" t="str">
        <f t="shared" si="35"/>
        <v>*0.839394722196866</v>
      </c>
      <c r="AR32" t="str">
        <f t="shared" si="36"/>
        <v>*0.812611601321336</v>
      </c>
      <c r="AS32" s="49" t="str">
        <f t="shared" si="37"/>
        <v>*1.05673460932283</v>
      </c>
      <c r="AV32" s="31">
        <f t="shared" si="5"/>
        <v>1.0069758378551188</v>
      </c>
      <c r="AW32" s="32">
        <f>IFERROR(AVERAGEIFS(COM_All!L$2:L$999,COM_All!$B$2:$B$999,"="&amp;$A$4,COM_All!$C$2:$C$999,"="&amp;'INS-UPD Heat'!$A32),"")</f>
        <v>0.94780646484775699</v>
      </c>
      <c r="AX32" s="32">
        <f>IFERROR(AVERAGEIFS(COM_All!M$2:M$999,COM_All!$B$2:$B$999,"="&amp;$A$4,COM_All!$C$2:$C$999,"="&amp;'INS-UPD Heat'!$A32),"")</f>
        <v>1.0084980225972699</v>
      </c>
      <c r="AY32" s="32">
        <f>IFERROR(AVERAGEIFS(COM_All!N$2:N$999,COM_All!$B$2:$B$999,"="&amp;$A$4,COM_All!$C$2:$C$999,"="&amp;'INS-UPD Heat'!$A32),"")</f>
        <v>0.94780646484775699</v>
      </c>
      <c r="AZ32" s="32">
        <f>IFERROR(AVERAGEIFS(COM_All!O$2:O$999,COM_All!$B$2:$B$999,"="&amp;$A$4,COM_All!$C$2:$C$999,"="&amp;'INS-UPD Heat'!$A32),"")</f>
        <v>0.96534385944249501</v>
      </c>
      <c r="BA32" s="32">
        <f>IFERROR(AVERAGEIFS(COM_All!P$2:P$999,COM_All!$B$2:$B$999,"="&amp;$A$4,COM_All!$C$2:$C$999,"="&amp;'INS-UPD Heat'!$A32),"")</f>
        <v>0.77963146310130704</v>
      </c>
      <c r="BB32" s="32">
        <f>IFERROR(AVERAGEIFS(COM_All!Q$2:Q$999,COM_All!$B$2:$B$999,"="&amp;$A$4,COM_All!$C$2:$C$999,"="&amp;'INS-UPD Heat'!$A32),"")</f>
        <v>1.1633871819913899</v>
      </c>
      <c r="BC32" s="32">
        <f>IFERROR(AVERAGEIFS(COM_All!R$2:R$999,COM_All!$B$2:$B$999,"="&amp;$A$4,COM_All!$C$2:$C$999,"="&amp;'INS-UPD Heat'!$A32),"")</f>
        <v>0.93835400157127402</v>
      </c>
      <c r="BD32" s="32">
        <f>IFERROR(AVERAGEIFS(COM_All!S$2:S$999,COM_All!$B$2:$B$999,"="&amp;$A$4,COM_All!$C$2:$C$999,"="&amp;'INS-UPD Heat'!$A32),"")</f>
        <v>0.91120772186594301</v>
      </c>
      <c r="BE32" s="32">
        <f>IFERROR(AVERAGEIFS(COM_All!T$2:T$999,COM_All!$B$2:$B$999,"="&amp;$A$4,COM_All!$C$2:$C$999,"="&amp;'INS-UPD Heat'!$A32),"")</f>
        <v>1.1633871819913899</v>
      </c>
      <c r="BF32" s="32">
        <f>IFERROR(AVERAGEIFS(COM_All!U$2:U$999,COM_All!$B$2:$B$999,"="&amp;$A$4,COM_All!$C$2:$C$999,"="&amp;'INS-UPD Heat'!$A32),"")</f>
        <v>1.1216918730488401</v>
      </c>
      <c r="BG32" s="32">
        <f>IFERROR(AVERAGEIFS(COM_All!V$2:V$999,COM_All!$B$2:$B$999,"="&amp;$A$4,COM_All!$C$2:$C$999,"="&amp;'INS-UPD Heat'!$A32),"")</f>
        <v>0.82279820773840795</v>
      </c>
      <c r="BH32" s="32">
        <f>IFERROR(AVERAGEIFS(COM_All!W$2:W$999,COM_All!$B$2:$B$999,"="&amp;$A$4,COM_All!$C$2:$C$999,"="&amp;'INS-UPD Heat'!$A32),"")</f>
        <v>0.94780646484775699</v>
      </c>
      <c r="BI32" s="32">
        <f>IFERROR(AVERAGEIFS(COM_All!X$2:X$999,COM_All!$B$2:$B$999,"="&amp;$A$4,COM_All!$C$2:$C$999,"="&amp;'INS-UPD Heat'!$A32),"")</f>
        <v>1.0240202398146601</v>
      </c>
      <c r="BJ32" s="32">
        <f>IFERROR(AVERAGEIFS(COM_All!Y$2:Y$999,COM_All!$B$2:$B$999,"="&amp;$A$4,COM_All!$C$2:$C$999,"="&amp;'INS-UPD Heat'!$A32),"")</f>
        <v>1.06478833879765</v>
      </c>
      <c r="BK32" s="32">
        <f>IFERROR(AVERAGEIFS(COM_All!Z$2:Z$999,COM_All!$B$2:$B$999,"="&amp;$A$4,COM_All!$C$2:$C$999,"="&amp;'INS-UPD Heat'!$A32),"")</f>
        <v>1.14318658841459</v>
      </c>
      <c r="BL32" s="32">
        <f>IFERROR(AVERAGEIFS(COM_All!AA$2:AA$999,COM_All!$B$2:$B$999,"="&amp;$A$4,COM_All!$C$2:$C$999,"="&amp;'INS-UPD Heat'!$A32),"")</f>
        <v>0.85089391609927501</v>
      </c>
      <c r="BM32" s="32">
        <f>IFERROR(AVERAGEIFS(COM_All!AB$2:AB$999,COM_All!$B$2:$B$999,"="&amp;$A$4,COM_All!$C$2:$C$999,"="&amp;'INS-UPD Heat'!$A32),"")</f>
        <v>0.98553260007627197</v>
      </c>
      <c r="BN32" s="32">
        <f>IFERROR(AVERAGEIFS(COM_All!AC$2:AC$999,COM_All!$B$2:$B$999,"="&amp;$A$4,COM_All!$C$2:$C$999,"="&amp;'INS-UPD Heat'!$A32),"")</f>
        <v>0.99654021420485905</v>
      </c>
      <c r="BO32" s="32">
        <f>IFERROR(AVERAGEIFS(COM_All!AD$2:AD$999,COM_All!$B$2:$B$999,"="&amp;$A$4,COM_All!$C$2:$C$999,"="&amp;'INS-UPD Heat'!$A32),"")</f>
        <v>1.1216918730488401</v>
      </c>
      <c r="BP32" s="32">
        <f>IFERROR(AVERAGEIFS(COM_All!AE$2:AE$999,COM_All!$B$2:$B$999,"="&amp;$A$4,COM_All!$C$2:$C$999,"="&amp;'INS-UPD Heat'!$A32),"")</f>
        <v>1.1351203915566801</v>
      </c>
      <c r="BQ32" s="32">
        <f>IFERROR(AVERAGEIFS(COM_All!AF$2:AF$999,COM_All!$B$2:$B$999,"="&amp;$A$4,COM_All!$C$2:$C$999,"="&amp;'INS-UPD Heat'!$A32),"")</f>
        <v>0.94780646484775699</v>
      </c>
      <c r="BR32" s="32">
        <f>IFERROR(AVERAGEIFS(COM_All!AG$2:AG$999,COM_All!$B$2:$B$999,"="&amp;$A$4,COM_All!$C$2:$C$999,"="&amp;'INS-UPD Heat'!$A32),"")</f>
        <v>0.93222467860648395</v>
      </c>
      <c r="BS32" s="32">
        <f>IFERROR(AVERAGEIFS(COM_All!AH$2:AH$999,COM_All!$B$2:$B$999,"="&amp;$A$4,COM_All!$C$2:$C$999,"="&amp;'INS-UPD Heat'!$A32),"")</f>
        <v>1.2207389454201201</v>
      </c>
      <c r="BT32" s="32">
        <f>IFERROR(AVERAGEIFS(COM_All!AI$2:AI$999,COM_All!$B$2:$B$999,"="&amp;$A$4,COM_All!$C$2:$C$999,"="&amp;'INS-UPD Heat'!$A32),"")</f>
        <v>0.933743068533049</v>
      </c>
      <c r="BU32" s="32">
        <f>IFERROR(AVERAGEIFS(COM_All!AJ$2:AJ$999,COM_All!$B$2:$B$999,"="&amp;$A$4,COM_All!$C$2:$C$999,"="&amp;'INS-UPD Heat'!$A32),"")</f>
        <v>0.94780646484775699</v>
      </c>
      <c r="BV32" s="32">
        <f>IFERROR(AVERAGEIFS(COM_All!AK$2:AK$999,COM_All!$B$2:$B$999,"="&amp;$A$4,COM_All!$C$2:$C$999,"="&amp;'INS-UPD Heat'!$A32),"")</f>
        <v>0.94780646484775699</v>
      </c>
      <c r="BW32" s="32">
        <f>IFERROR(AVERAGEIFS(COM_All!AL$2:AL$999,COM_All!$B$2:$B$999,"="&amp;$A$4,COM_All!$C$2:$C$999,"="&amp;'INS-UPD Heat'!$A32),"")</f>
        <v>0.77025043487448097</v>
      </c>
      <c r="BX32" s="32">
        <f>IFERROR(AVERAGEIFS(COM_All!AM$2:AM$999,COM_All!$B$2:$B$999,"="&amp;$A$4,COM_All!$C$2:$C$999,"="&amp;'INS-UPD Heat'!$A32),"")</f>
        <v>1.27962430748476</v>
      </c>
      <c r="BY32" s="32">
        <f>IFERROR(AVERAGEIFS(COM_All!AN$2:AN$999,COM_All!$B$2:$B$999,"="&amp;$A$4,COM_All!$C$2:$C$999,"="&amp;'INS-UPD Heat'!$A32),"")</f>
        <v>1.1216918730488401</v>
      </c>
      <c r="BZ32" s="32">
        <f>IFERROR(AVERAGEIFS(COM_All!AO$2:AO$999,COM_All!$B$2:$B$999,"="&amp;$A$4,COM_All!$C$2:$C$999,"="&amp;'INS-UPD Heat'!$A32),"")</f>
        <v>1.1329140590478</v>
      </c>
      <c r="CA32" s="32">
        <f>IFERROR(AVERAGEIFS(COM_All!AP$2:AP$999,COM_All!$B$2:$B$999,"="&amp;$A$4,COM_All!$C$2:$C$999,"="&amp;'INS-UPD Heat'!$A32),"")</f>
        <v>0.97830240105151101</v>
      </c>
      <c r="CB32" s="32">
        <f>IFERROR(AVERAGEIFS(COM_All!AQ$2:AQ$999,COM_All!$B$2:$B$999,"="&amp;$A$4,COM_All!$C$2:$C$999,"="&amp;'INS-UPD Heat'!$A32),"")</f>
        <v>0.87596127194701201</v>
      </c>
      <c r="CC32" s="32">
        <f>IFERROR(AVERAGEIFS(COM_All!AR$2:AR$999,COM_All!$B$2:$B$999,"="&amp;$A$4,COM_All!$C$2:$C$999,"="&amp;'INS-UPD Heat'!$A32),"")</f>
        <v>0.94780646484775699</v>
      </c>
      <c r="CD32" s="32">
        <f>IFERROR(AVERAGEIFS(COM_All!AS$2:AS$999,COM_All!$B$2:$B$999,"="&amp;$A$4,COM_All!$C$2:$C$999,"="&amp;'INS-UPD Heat'!$A32),"")</f>
        <v>1.0306215507272301</v>
      </c>
      <c r="CE32" s="32">
        <f>IFERROR(AVERAGEIFS(COM_All!AT$2:AT$999,COM_All!$B$2:$B$999,"="&amp;$A$4,COM_All!$C$2:$C$999,"="&amp;'INS-UPD Heat'!$A32),"")</f>
        <v>0.97654106043505795</v>
      </c>
      <c r="CF32" s="32">
        <f>IFERROR(AVERAGEIFS(COM_All!AU$2:AU$999,COM_All!$B$2:$B$999,"="&amp;$A$4,COM_All!$C$2:$C$999,"="&amp;'INS-UPD Heat'!$A32),"")</f>
        <v>0.94538192091474005</v>
      </c>
      <c r="CG32" s="33">
        <f>IFERROR(AVERAGEIFS(COM_All!AV$2:AV$999,COM_All!$B$2:$B$999,"="&amp;$A$4,COM_All!$C$2:$C$999,"="&amp;'INS-UPD Heat'!$A32),"")</f>
        <v>1.2293914992528601</v>
      </c>
    </row>
    <row r="33" spans="1:85" ht="15">
      <c r="A33" t="s">
        <v>149</v>
      </c>
      <c r="C33" t="s">
        <v>29</v>
      </c>
      <c r="D33" t="str">
        <f t="shared" si="41" ref="D33:D53">A33</f>
        <v>C_ES-SH-SL_GA*</v>
      </c>
      <c r="H33" s="54"/>
      <c r="I33" t="str">
        <f t="shared" si="3"/>
        <v>*0.751789844164435</v>
      </c>
      <c r="J33" t="str">
        <f t="shared" si="38"/>
        <v>*0.958971368982325</v>
      </c>
      <c r="K33" t="str">
        <f t="shared" si="39"/>
        <v>*0.751789844164435</v>
      </c>
      <c r="L33" t="str">
        <f t="shared" si="40"/>
        <v>*0.98247021598169</v>
      </c>
      <c r="M33" t="str">
        <f t="shared" si="6"/>
        <v>*0.801022925677764</v>
      </c>
      <c r="N33" t="str">
        <f t="shared" si="7"/>
        <v>*1</v>
      </c>
      <c r="O33" t="str">
        <f t="shared" si="8"/>
        <v>*0.750312177594846</v>
      </c>
      <c r="P33" t="str">
        <f t="shared" si="9"/>
        <v>*0.870852828625521</v>
      </c>
      <c r="Q33" s="48" t="str">
        <f t="shared" si="4"/>
        <v>*0.766721004074585</v>
      </c>
      <c r="R33" t="str">
        <f t="shared" si="10"/>
        <v>*0.916481590266539</v>
      </c>
      <c r="S33" t="str">
        <f t="shared" si="11"/>
        <v>*0.868634629976933</v>
      </c>
      <c r="T33" t="str">
        <f t="shared" si="12"/>
        <v>*0.751789844164435</v>
      </c>
      <c r="U33" t="str">
        <f t="shared" si="13"/>
        <v>*0.831402561906822</v>
      </c>
      <c r="V33" t="str">
        <f t="shared" si="14"/>
        <v>*0.877090057188528</v>
      </c>
      <c r="W33" t="str">
        <f t="shared" si="15"/>
        <v>*0.913903595895035</v>
      </c>
      <c r="X33" t="str">
        <f t="shared" si="16"/>
        <v>*0.887582361489164</v>
      </c>
      <c r="Y33" t="str">
        <f t="shared" si="17"/>
        <v>*0.88826694111973</v>
      </c>
      <c r="Z33" t="str">
        <f t="shared" si="18"/>
        <v>*0.932017066676991</v>
      </c>
      <c r="AA33" t="str">
        <f t="shared" si="19"/>
        <v>*0.916481590266539</v>
      </c>
      <c r="AB33" t="str">
        <f t="shared" si="20"/>
        <v>*0.912611573794044</v>
      </c>
      <c r="AC33" t="str">
        <f t="shared" si="21"/>
        <v>*0.751789844164435</v>
      </c>
      <c r="AD33" t="str">
        <f t="shared" si="22"/>
        <v>*0.868636514902445</v>
      </c>
      <c r="AE33" t="str">
        <f t="shared" si="23"/>
        <v>*0.916280573443744</v>
      </c>
      <c r="AF33" t="str">
        <f t="shared" si="24"/>
        <v>*0.902440555603779</v>
      </c>
      <c r="AG33" t="str">
        <f t="shared" si="25"/>
        <v>*0.751789844164435</v>
      </c>
      <c r="AH33" t="str">
        <f t="shared" si="26"/>
        <v>*0.751789844164435</v>
      </c>
      <c r="AI33" t="str">
        <f t="shared" si="27"/>
        <v>*0.782553232285825</v>
      </c>
      <c r="AJ33" t="str">
        <f t="shared" si="28"/>
        <v>*0.983432278118349</v>
      </c>
      <c r="AK33" t="str">
        <f t="shared" si="29"/>
        <v>*0.916481590266539</v>
      </c>
      <c r="AL33" t="str">
        <f t="shared" si="30"/>
        <v>*0.907097458133649</v>
      </c>
      <c r="AM33" t="str">
        <f t="shared" si="31"/>
        <v>*0.858910478986323</v>
      </c>
      <c r="AN33" t="str">
        <f t="shared" si="32"/>
        <v>*0.890676709498201</v>
      </c>
      <c r="AO33" t="str">
        <f t="shared" si="33"/>
        <v>*0.751789844164435</v>
      </c>
      <c r="AP33" t="str">
        <f t="shared" si="34"/>
        <v>*0.868634823876442</v>
      </c>
      <c r="AQ33" t="str">
        <f t="shared" si="35"/>
        <v>*0.944703220399034</v>
      </c>
      <c r="AR33" t="str">
        <f t="shared" si="36"/>
        <v>*0.887897908847503</v>
      </c>
      <c r="AS33" s="49" t="str">
        <f t="shared" si="37"/>
        <v>*0.915420971135312</v>
      </c>
      <c r="AV33" s="31">
        <f t="shared" si="5"/>
        <v>0.66754039347608862</v>
      </c>
      <c r="AW33" s="32">
        <f>IFERROR(AVERAGEIFS(COM_All!L$2:L$999,COM_All!$B$2:$B$999,"="&amp;$A$4,COM_All!$C$2:$C$999,"="&amp;'INS-UPD Heat'!$A33),"")</f>
        <v>0.57641306417083105</v>
      </c>
      <c r="AX33" s="32">
        <f>IFERROR(AVERAGEIFS(COM_All!M$2:M$999,COM_All!$B$2:$B$999,"="&amp;$A$4,COM_All!$C$2:$C$999,"="&amp;'INS-UPD Heat'!$A33),"")</f>
        <v>0.73526349090490795</v>
      </c>
      <c r="AY33" s="32">
        <f>IFERROR(AVERAGEIFS(COM_All!N$2:N$999,COM_All!$B$2:$B$999,"="&amp;$A$4,COM_All!$C$2:$C$999,"="&amp;'INS-UPD Heat'!$A33),"")</f>
        <v>0.57641306417083105</v>
      </c>
      <c r="AZ33" s="32">
        <f>IFERROR(AVERAGEIFS(COM_All!O$2:O$999,COM_All!$B$2:$B$999,"="&amp;$A$4,COM_All!$C$2:$C$999,"="&amp;'INS-UPD Heat'!$A33),"")</f>
        <v>0.75328055047085596</v>
      </c>
      <c r="BA33" s="32">
        <f>IFERROR(AVERAGEIFS(COM_All!P$2:P$999,COM_All!$B$2:$B$999,"="&amp;$A$4,COM_All!$C$2:$C$999,"="&amp;'INS-UPD Heat'!$A33),"")</f>
        <v>0.61416110186241701</v>
      </c>
      <c r="BB33" s="32">
        <f>IFERROR(AVERAGEIFS(COM_All!Q$2:Q$999,COM_All!$B$2:$B$999,"="&amp;$A$4,COM_All!$C$2:$C$999,"="&amp;'INS-UPD Heat'!$A33),"")</f>
        <v>0.76672100407458499</v>
      </c>
      <c r="BC33" s="32">
        <f>IFERROR(AVERAGEIFS(COM_All!R$2:R$999,COM_All!$B$2:$B$999,"="&amp;$A$4,COM_All!$C$2:$C$999,"="&amp;'INS-UPD Heat'!$A33),"")</f>
        <v>0.57528010617490899</v>
      </c>
      <c r="BD33" s="32">
        <f>IFERROR(AVERAGEIFS(COM_All!S$2:S$999,COM_All!$B$2:$B$999,"="&amp;$A$4,COM_All!$C$2:$C$999,"="&amp;'INS-UPD Heat'!$A33),"")</f>
        <v>0.66770115516495199</v>
      </c>
      <c r="BE33" s="32">
        <f>IFERROR(AVERAGEIFS(COM_All!T$2:T$999,COM_All!$B$2:$B$999,"="&amp;$A$4,COM_All!$C$2:$C$999,"="&amp;'INS-UPD Heat'!$A33),"")</f>
        <v>0.76672100407458499</v>
      </c>
      <c r="BF33" s="32">
        <f>IFERROR(AVERAGEIFS(COM_All!U$2:U$999,COM_All!$B$2:$B$999,"="&amp;$A$4,COM_All!$C$2:$C$999,"="&amp;'INS-UPD Heat'!$A33),"")</f>
        <v>0.70268568510503304</v>
      </c>
      <c r="BG33" s="32">
        <f>IFERROR(AVERAGEIFS(COM_All!V$2:V$999,COM_All!$B$2:$B$999,"="&amp;$A$4,COM_All!$C$2:$C$999,"="&amp;'INS-UPD Heat'!$A33),"")</f>
        <v>0.66600041566987001</v>
      </c>
      <c r="BH33" s="32">
        <f>IFERROR(AVERAGEIFS(COM_All!W$2:W$999,COM_All!$B$2:$B$999,"="&amp;$A$4,COM_All!$C$2:$C$999,"="&amp;'INS-UPD Heat'!$A33),"")</f>
        <v>0.57641306417083105</v>
      </c>
      <c r="BI33" s="32">
        <f>IFERROR(AVERAGEIFS(COM_All!X$2:X$999,COM_All!$B$2:$B$999,"="&amp;$A$4,COM_All!$C$2:$C$999,"="&amp;'INS-UPD Heat'!$A33),"")</f>
        <v>0.63745380705538102</v>
      </c>
      <c r="BJ33" s="32">
        <f>IFERROR(AVERAGEIFS(COM_All!Y$2:Y$999,COM_All!$B$2:$B$999,"="&amp;$A$4,COM_All!$C$2:$C$999,"="&amp;'INS-UPD Heat'!$A33),"")</f>
        <v>0.67248336931142305</v>
      </c>
      <c r="BK33" s="32">
        <f>IFERROR(AVERAGEIFS(COM_All!Z$2:Z$999,COM_All!$B$2:$B$999,"="&amp;$A$4,COM_All!$C$2:$C$999,"="&amp;'INS-UPD Heat'!$A33),"")</f>
        <v>0.70070908267201504</v>
      </c>
      <c r="BL33" s="32">
        <f>IFERROR(AVERAGEIFS(COM_All!AA$2:AA$999,COM_All!$B$2:$B$999,"="&amp;$A$4,COM_All!$C$2:$C$999,"="&amp;'INS-UPD Heat'!$A33),"")</f>
        <v>0.68052803939986295</v>
      </c>
      <c r="BM33" s="32">
        <f>IFERROR(AVERAGEIFS(COM_All!AB$2:AB$999,COM_All!$B$2:$B$999,"="&amp;$A$4,COM_All!$C$2:$C$999,"="&amp;'INS-UPD Heat'!$A33),"")</f>
        <v>0.68105292098157999</v>
      </c>
      <c r="BN33" s="32">
        <f>IFERROR(AVERAGEIFS(COM_All!AC$2:AC$999,COM_All!$B$2:$B$999,"="&amp;$A$4,COM_All!$C$2:$C$999,"="&amp;'INS-UPD Heat'!$A33),"")</f>
        <v>0.71459706117723198</v>
      </c>
      <c r="BO33" s="32">
        <f>IFERROR(AVERAGEIFS(COM_All!AD$2:AD$999,COM_All!$B$2:$B$999,"="&amp;$A$4,COM_All!$C$2:$C$999,"="&amp;'INS-UPD Heat'!$A33),"")</f>
        <v>0.70268568510503304</v>
      </c>
      <c r="BP33" s="32">
        <f>IFERROR(AVERAGEIFS(COM_All!AE$2:AE$999,COM_All!$B$2:$B$999,"="&amp;$A$4,COM_All!$C$2:$C$999,"="&amp;'INS-UPD Heat'!$A33),"")</f>
        <v>0.69971846218945699</v>
      </c>
      <c r="BQ33" s="32">
        <f>IFERROR(AVERAGEIFS(COM_All!AF$2:AF$999,COM_All!$B$2:$B$999,"="&amp;$A$4,COM_All!$C$2:$C$999,"="&amp;'INS-UPD Heat'!$A33),"")</f>
        <v>0.57641306417083105</v>
      </c>
      <c r="BR33" s="32">
        <f>IFERROR(AVERAGEIFS(COM_All!AG$2:AG$999,COM_All!$B$2:$B$999,"="&amp;$A$4,COM_All!$C$2:$C$999,"="&amp;'INS-UPD Heat'!$A33),"")</f>
        <v>0.66600186088185098</v>
      </c>
      <c r="BS33" s="32">
        <f>IFERROR(AVERAGEIFS(COM_All!AH$2:AH$999,COM_All!$B$2:$B$999,"="&amp;$A$4,COM_All!$C$2:$C$999,"="&amp;'INS-UPD Heat'!$A33),"")</f>
        <v>0.70253156128482397</v>
      </c>
      <c r="BT33" s="32">
        <f>IFERROR(AVERAGEIFS(COM_All!AI$2:AI$999,COM_All!$B$2:$B$999,"="&amp;$A$4,COM_All!$C$2:$C$999,"="&amp;'INS-UPD Heat'!$A33),"")</f>
        <v>0.69192012891015597</v>
      </c>
      <c r="BU33" s="32">
        <f>IFERROR(AVERAGEIFS(COM_All!AJ$2:AJ$999,COM_All!$B$2:$B$999,"="&amp;$A$4,COM_All!$C$2:$C$999,"="&amp;'INS-UPD Heat'!$A33),"")</f>
        <v>0.57641306417083105</v>
      </c>
      <c r="BV33" s="32">
        <f>IFERROR(AVERAGEIFS(COM_All!AK$2:AK$999,COM_All!$B$2:$B$999,"="&amp;$A$4,COM_All!$C$2:$C$999,"="&amp;'INS-UPD Heat'!$A33),"")</f>
        <v>0.57641306417083105</v>
      </c>
      <c r="BW33" s="32">
        <f>IFERROR(AVERAGEIFS(COM_All!AL$2:AL$999,COM_All!$B$2:$B$999,"="&amp;$A$4,COM_All!$C$2:$C$999,"="&amp;'INS-UPD Heat'!$A33),"")</f>
        <v>0.59999999999999998</v>
      </c>
      <c r="BX33" s="32">
        <f>IFERROR(AVERAGEIFS(COM_All!AM$2:AM$999,COM_All!$B$2:$B$999,"="&amp;$A$4,COM_All!$C$2:$C$999,"="&amp;'INS-UPD Heat'!$A33),"")</f>
        <v>0.75401818371825702</v>
      </c>
      <c r="BY33" s="32">
        <f>IFERROR(AVERAGEIFS(COM_All!AN$2:AN$999,COM_All!$B$2:$B$999,"="&amp;$A$4,COM_All!$C$2:$C$999,"="&amp;'INS-UPD Heat'!$A33),"")</f>
        <v>0.70268568510503304</v>
      </c>
      <c r="BZ33" s="32">
        <f>IFERROR(AVERAGEIFS(COM_All!AO$2:AO$999,COM_All!$B$2:$B$999,"="&amp;$A$4,COM_All!$C$2:$C$999,"="&amp;'INS-UPD Heat'!$A33),"")</f>
        <v>0.69549067389373498</v>
      </c>
      <c r="CA33" s="32">
        <f>IFERROR(AVERAGEIFS(COM_All!AP$2:AP$999,COM_All!$B$2:$B$999,"="&amp;$A$4,COM_All!$C$2:$C$999,"="&amp;'INS-UPD Heat'!$A33),"")</f>
        <v>0.65854470485857597</v>
      </c>
      <c r="CB33" s="32">
        <f>IFERROR(AVERAGEIFS(COM_All!AQ$2:AQ$999,COM_All!$B$2:$B$999,"="&amp;$A$4,COM_All!$C$2:$C$999,"="&amp;'INS-UPD Heat'!$A33),"")</f>
        <v>0.68290054101230802</v>
      </c>
      <c r="CC33" s="32">
        <f>IFERROR(AVERAGEIFS(COM_All!AR$2:AR$999,COM_All!$B$2:$B$999,"="&amp;$A$4,COM_All!$C$2:$C$999,"="&amp;'INS-UPD Heat'!$A33),"")</f>
        <v>0.57641306417083105</v>
      </c>
      <c r="CD33" s="32">
        <f>IFERROR(AVERAGEIFS(COM_All!AS$2:AS$999,COM_All!$B$2:$B$999,"="&amp;$A$4,COM_All!$C$2:$C$999,"="&amp;'INS-UPD Heat'!$A33),"")</f>
        <v>0.66600056433669597</v>
      </c>
      <c r="CE33" s="32">
        <f>IFERROR(AVERAGEIFS(COM_All!AT$2:AT$999,COM_All!$B$2:$B$999,"="&amp;$A$4,COM_All!$C$2:$C$999,"="&amp;'INS-UPD Heat'!$A33),"")</f>
        <v>0.72432380169684096</v>
      </c>
      <c r="CF33" s="32">
        <f>IFERROR(AVERAGEIFS(COM_All!AU$2:AU$999,COM_All!$B$2:$B$999,"="&amp;$A$4,COM_All!$C$2:$C$999,"="&amp;'INS-UPD Heat'!$A33),"")</f>
        <v>0.68076997618728197</v>
      </c>
      <c r="CG33" s="33">
        <f>IFERROR(AVERAGEIFS(COM_All!AV$2:AV$999,COM_All!$B$2:$B$999,"="&amp;$A$4,COM_All!$C$2:$C$999,"="&amp;'INS-UPD Heat'!$A33),"")</f>
        <v>0.70187248613979802</v>
      </c>
    </row>
    <row r="34" spans="1:85" ht="15">
      <c r="A34" t="s">
        <v>150</v>
      </c>
      <c r="C34" t="s">
        <v>29</v>
      </c>
      <c r="D34" t="str">
        <f t="shared" si="41"/>
        <v>C_ES-SH-SL_OI*</v>
      </c>
      <c r="H34" s="54"/>
      <c r="I34" t="str">
        <f t="shared" si="3"/>
        <v>*0.753773411000091</v>
      </c>
      <c r="J34" t="str">
        <f t="shared" si="38"/>
        <v>*0.957544163772634</v>
      </c>
      <c r="K34" t="str">
        <f t="shared" si="39"/>
        <v>*0.753773411000091</v>
      </c>
      <c r="L34" t="str">
        <f t="shared" si="40"/>
        <v>*0.983016992017122</v>
      </c>
      <c r="M34" t="str">
        <f t="shared" si="6"/>
        <v>*0.804716585177828</v>
      </c>
      <c r="N34" t="str">
        <f t="shared" si="7"/>
        <v>*1</v>
      </c>
      <c r="O34" t="str">
        <f t="shared" si="8"/>
        <v>*0.753771965014407</v>
      </c>
      <c r="P34" t="str">
        <f t="shared" si="9"/>
        <v>*0.872640058113471</v>
      </c>
      <c r="Q34" s="48" t="str">
        <f t="shared" si="4"/>
        <v>*0.715500925014401</v>
      </c>
      <c r="R34" t="str">
        <f t="shared" si="10"/>
        <v>*0.915094452005067</v>
      </c>
      <c r="S34" t="str">
        <f t="shared" si="11"/>
        <v>*0.872638584269094</v>
      </c>
      <c r="T34" t="str">
        <f t="shared" si="12"/>
        <v>*0.753773411000091</v>
      </c>
      <c r="U34" t="str">
        <f t="shared" si="13"/>
        <v>*0.830188634260304</v>
      </c>
      <c r="V34" t="str">
        <f t="shared" si="14"/>
        <v>*0.881132627863442</v>
      </c>
      <c r="W34" t="str">
        <f t="shared" si="15"/>
        <v>*0.915094198262907</v>
      </c>
      <c r="X34" t="str">
        <f t="shared" si="16"/>
        <v>*0.889621616188381</v>
      </c>
      <c r="Y34" t="str">
        <f t="shared" si="17"/>
        <v>*0.768692227740908</v>
      </c>
      <c r="Z34" t="str">
        <f t="shared" si="18"/>
        <v>*0.932072829532384</v>
      </c>
      <c r="AA34" t="str">
        <f t="shared" si="19"/>
        <v>*0.915094452005067</v>
      </c>
      <c r="AB34" t="str">
        <f t="shared" si="20"/>
        <v>*0.915090313213233</v>
      </c>
      <c r="AC34" t="str">
        <f t="shared" si="21"/>
        <v>*0.753773411000091</v>
      </c>
      <c r="AD34" t="str">
        <f t="shared" si="22"/>
        <v>*0.872642317322356</v>
      </c>
      <c r="AE34" t="str">
        <f t="shared" si="23"/>
        <v>*0.915091850300005</v>
      </c>
      <c r="AF34" t="str">
        <f t="shared" si="24"/>
        <v>*0.906603397591183</v>
      </c>
      <c r="AG34" t="str">
        <f t="shared" si="25"/>
        <v>*0.753773411000091</v>
      </c>
      <c r="AH34" t="str">
        <f t="shared" si="26"/>
        <v>*0.753773411000091</v>
      </c>
      <c r="AI34" t="str">
        <f t="shared" si="27"/>
        <v>*0.768692227740908</v>
      </c>
      <c r="AJ34" t="str">
        <f t="shared" si="28"/>
        <v>*0.983020136421328</v>
      </c>
      <c r="AK34" t="str">
        <f t="shared" si="29"/>
        <v>*0.915094452005067</v>
      </c>
      <c r="AL34" t="str">
        <f t="shared" si="30"/>
        <v>*0.906603703265176</v>
      </c>
      <c r="AM34" t="str">
        <f t="shared" si="31"/>
        <v>*0.855661126516543</v>
      </c>
      <c r="AN34" t="str">
        <f t="shared" si="32"/>
        <v>*0.893867563595842</v>
      </c>
      <c r="AO34" t="str">
        <f t="shared" si="33"/>
        <v>*0.753773411000091</v>
      </c>
      <c r="AP34" t="str">
        <f t="shared" si="34"/>
        <v>*0.872639506876678</v>
      </c>
      <c r="AQ34" t="str">
        <f t="shared" si="35"/>
        <v>*0.94905683960654</v>
      </c>
      <c r="AR34" t="str">
        <f t="shared" si="36"/>
        <v>*0.889623028548323</v>
      </c>
      <c r="AS34" s="49" t="str">
        <f t="shared" si="37"/>
        <v>*0.915091716306065</v>
      </c>
      <c r="AV34" s="31">
        <f t="shared" si="5"/>
        <v>0.62125807174643299</v>
      </c>
      <c r="AW34" s="32">
        <f>IFERROR(AVERAGEIFS(COM_All!L$2:L$999,COM_All!$B$2:$B$999,"="&amp;$A$4,COM_All!$C$2:$C$999,"="&amp;'INS-UPD Heat'!$A34),"")</f>
        <v>0.53932557282182503</v>
      </c>
      <c r="AX34" s="32">
        <f>IFERROR(AVERAGEIFS(COM_All!M$2:M$999,COM_All!$B$2:$B$999,"="&amp;$A$4,COM_All!$C$2:$C$999,"="&amp;'INS-UPD Heat'!$A34),"")</f>
        <v>0.68512373492146095</v>
      </c>
      <c r="AY34" s="32">
        <f>IFERROR(AVERAGEIFS(COM_All!N$2:N$999,COM_All!$B$2:$B$999,"="&amp;$A$4,COM_All!$C$2:$C$999,"="&amp;'INS-UPD Heat'!$A34),"")</f>
        <v>0.53932557282182503</v>
      </c>
      <c r="AZ34" s="32">
        <f>IFERROR(AVERAGEIFS(COM_All!O$2:O$999,COM_All!$B$2:$B$999,"="&amp;$A$4,COM_All!$C$2:$C$999,"="&amp;'INS-UPD Heat'!$A34),"")</f>
        <v>0.70334956709312502</v>
      </c>
      <c r="BA34" s="32">
        <f>IFERROR(AVERAGEIFS(COM_All!P$2:P$999,COM_All!$B$2:$B$999,"="&amp;$A$4,COM_All!$C$2:$C$999,"="&amp;'INS-UPD Heat'!$A34),"")</f>
        <v>0.57577546106916599</v>
      </c>
      <c r="BB34" s="32">
        <f>IFERROR(AVERAGEIFS(COM_All!Q$2:Q$999,COM_All!$B$2:$B$999,"="&amp;$A$4,COM_All!$C$2:$C$999,"="&amp;'INS-UPD Heat'!$A34),"")</f>
        <v>0.71550092501440099</v>
      </c>
      <c r="BC34" s="32">
        <f>IFERROR(AVERAGEIFS(COM_All!R$2:R$999,COM_All!$B$2:$B$999,"="&amp;$A$4,COM_All!$C$2:$C$999,"="&amp;'INS-UPD Heat'!$A34),"")</f>
        <v>0.53932453821773096</v>
      </c>
      <c r="BD34" s="32">
        <f>IFERROR(AVERAGEIFS(COM_All!S$2:S$999,COM_All!$B$2:$B$999,"="&amp;$A$4,COM_All!$C$2:$C$999,"="&amp;'INS-UPD Heat'!$A34),"")</f>
        <v>0.62437476878480902</v>
      </c>
      <c r="BE34" s="32">
        <f>IFERROR(AVERAGEIFS(COM_All!T$2:T$999,COM_All!$B$2:$B$999,"="&amp;$A$4,COM_All!$C$2:$C$999,"="&amp;'INS-UPD Heat'!$A34),"")</f>
        <v>0.71550092501440099</v>
      </c>
      <c r="BF34" s="32">
        <f>IFERROR(AVERAGEIFS(COM_All!U$2:U$999,COM_All!$B$2:$B$999,"="&amp;$A$4,COM_All!$C$2:$C$999,"="&amp;'INS-UPD Heat'!$A34),"")</f>
        <v>0.654750926885172</v>
      </c>
      <c r="BG34" s="32">
        <f>IFERROR(AVERAGEIFS(COM_All!V$2:V$999,COM_All!$B$2:$B$999,"="&amp;$A$4,COM_All!$C$2:$C$999,"="&amp;'INS-UPD Heat'!$A34),"")</f>
        <v>0.62437371424779398</v>
      </c>
      <c r="BH34" s="32">
        <f>IFERROR(AVERAGEIFS(COM_All!W$2:W$999,COM_All!$B$2:$B$999,"="&amp;$A$4,COM_All!$C$2:$C$999,"="&amp;'INS-UPD Heat'!$A34),"")</f>
        <v>0.53932557282182503</v>
      </c>
      <c r="BI34" s="32">
        <f>IFERROR(AVERAGEIFS(COM_All!X$2:X$999,COM_All!$B$2:$B$999,"="&amp;$A$4,COM_All!$C$2:$C$999,"="&amp;'INS-UPD Heat'!$A34),"")</f>
        <v>0.59400073574969003</v>
      </c>
      <c r="BJ34" s="32">
        <f>IFERROR(AVERAGEIFS(COM_All!Y$2:Y$999,COM_All!$B$2:$B$999,"="&amp;$A$4,COM_All!$C$2:$C$999,"="&amp;'INS-UPD Heat'!$A34),"")</f>
        <v>0.63045121029666296</v>
      </c>
      <c r="BK34" s="32">
        <f>IFERROR(AVERAGEIFS(COM_All!Z$2:Z$999,COM_All!$B$2:$B$999,"="&amp;$A$4,COM_All!$C$2:$C$999,"="&amp;'INS-UPD Heat'!$A34),"")</f>
        <v>0.65475074533242195</v>
      </c>
      <c r="BL34" s="32">
        <f>IFERROR(AVERAGEIFS(COM_All!AA$2:AA$999,COM_All!$B$2:$B$999,"="&amp;$A$4,COM_All!$C$2:$C$999,"="&amp;'INS-UPD Heat'!$A34),"")</f>
        <v>0.63652508929559304</v>
      </c>
      <c r="BM34" s="32">
        <f>IFERROR(AVERAGEIFS(COM_All!AB$2:AB$999,COM_All!$B$2:$B$999,"="&amp;$A$4,COM_All!$C$2:$C$999,"="&amp;'INS-UPD Heat'!$A34),"")</f>
        <v>0.55000000000000004</v>
      </c>
      <c r="BN34" s="32">
        <f>IFERROR(AVERAGEIFS(COM_All!AC$2:AC$999,COM_All!$B$2:$B$999,"="&amp;$A$4,COM_All!$C$2:$C$999,"="&amp;'INS-UPD Heat'!$A34),"")</f>
        <v>0.66689897171121104</v>
      </c>
      <c r="BO34" s="32">
        <f>IFERROR(AVERAGEIFS(COM_All!AD$2:AD$999,COM_All!$B$2:$B$999,"="&amp;$A$4,COM_All!$C$2:$C$999,"="&amp;'INS-UPD Heat'!$A34),"")</f>
        <v>0.654750926885172</v>
      </c>
      <c r="BP34" s="32">
        <f>IFERROR(AVERAGEIFS(COM_All!AE$2:AE$999,COM_All!$B$2:$B$999,"="&amp;$A$4,COM_All!$C$2:$C$999,"="&amp;'INS-UPD Heat'!$A34),"")</f>
        <v>0.65474796557578596</v>
      </c>
      <c r="BQ34" s="32">
        <f>IFERROR(AVERAGEIFS(COM_All!AF$2:AF$999,COM_All!$B$2:$B$999,"="&amp;$A$4,COM_All!$C$2:$C$999,"="&amp;'INS-UPD Heat'!$A34),"")</f>
        <v>0.53932557282182503</v>
      </c>
      <c r="BR34" s="32">
        <f>IFERROR(AVERAGEIFS(COM_All!AG$2:AG$999,COM_All!$B$2:$B$999,"="&amp;$A$4,COM_All!$C$2:$C$999,"="&amp;'INS-UPD Heat'!$A34),"")</f>
        <v>0.62437638525085604</v>
      </c>
      <c r="BS34" s="32">
        <f>IFERROR(AVERAGEIFS(COM_All!AH$2:AH$999,COM_All!$B$2:$B$999,"="&amp;$A$4,COM_All!$C$2:$C$999,"="&amp;'INS-UPD Heat'!$A34),"")</f>
        <v>0.65474906536279298</v>
      </c>
      <c r="BT34" s="32">
        <f>IFERROR(AVERAGEIFS(COM_All!AI$2:AI$999,COM_All!$B$2:$B$999,"="&amp;$A$4,COM_All!$C$2:$C$999,"="&amp;'INS-UPD Heat'!$A34),"")</f>
        <v>0.64867556959769002</v>
      </c>
      <c r="BU34" s="32">
        <f>IFERROR(AVERAGEIFS(COM_All!AJ$2:AJ$999,COM_All!$B$2:$B$999,"="&amp;$A$4,COM_All!$C$2:$C$999,"="&amp;'INS-UPD Heat'!$A34),"")</f>
        <v>0.53932557282182503</v>
      </c>
      <c r="BV34" s="32">
        <f>IFERROR(AVERAGEIFS(COM_All!AK$2:AK$999,COM_All!$B$2:$B$999,"="&amp;$A$4,COM_All!$C$2:$C$999,"="&amp;'INS-UPD Heat'!$A34),"")</f>
        <v>0.53932557282182503</v>
      </c>
      <c r="BW34" s="32">
        <f>IFERROR(AVERAGEIFS(COM_All!AL$2:AL$999,COM_All!$B$2:$B$999,"="&amp;$A$4,COM_All!$C$2:$C$999,"="&amp;'INS-UPD Heat'!$A34),"")</f>
        <v>0.55000000000000004</v>
      </c>
      <c r="BX34" s="32">
        <f>IFERROR(AVERAGEIFS(COM_All!AM$2:AM$999,COM_All!$B$2:$B$999,"="&amp;$A$4,COM_All!$C$2:$C$999,"="&amp;'INS-UPD Heat'!$A34),"")</f>
        <v>0.70335181691724302</v>
      </c>
      <c r="BY34" s="32">
        <f>IFERROR(AVERAGEIFS(COM_All!AN$2:AN$999,COM_All!$B$2:$B$999,"="&amp;$A$4,COM_All!$C$2:$C$999,"="&amp;'INS-UPD Heat'!$A34),"")</f>
        <v>0.654750926885172</v>
      </c>
      <c r="BZ34" s="32">
        <f>IFERROR(AVERAGEIFS(COM_All!AO$2:AO$999,COM_All!$B$2:$B$999,"="&amp;$A$4,COM_All!$C$2:$C$999,"="&amp;'INS-UPD Heat'!$A34),"")</f>
        <v>0.648675788307715</v>
      </c>
      <c r="CA34" s="32">
        <f>IFERROR(AVERAGEIFS(COM_All!AP$2:AP$999,COM_All!$B$2:$B$999,"="&amp;$A$4,COM_All!$C$2:$C$999,"="&amp;'INS-UPD Heat'!$A34),"")</f>
        <v>0.61222632752145101</v>
      </c>
      <c r="CB34" s="32">
        <f>IFERROR(AVERAGEIFS(COM_All!AQ$2:AQ$999,COM_All!$B$2:$B$999,"="&amp;$A$4,COM_All!$C$2:$C$999,"="&amp;'INS-UPD Heat'!$A34),"")</f>
        <v>0.63956306859319401</v>
      </c>
      <c r="CC34" s="32">
        <f>IFERROR(AVERAGEIFS(COM_All!AR$2:AR$999,COM_All!$B$2:$B$999,"="&amp;$A$4,COM_All!$C$2:$C$999,"="&amp;'INS-UPD Heat'!$A34),"")</f>
        <v>0.53932557282182503</v>
      </c>
      <c r="CD34" s="32">
        <f>IFERROR(AVERAGEIFS(COM_All!AS$2:AS$999,COM_All!$B$2:$B$999,"="&amp;$A$4,COM_All!$C$2:$C$999,"="&amp;'INS-UPD Heat'!$A34),"")</f>
        <v>0.62437437437437404</v>
      </c>
      <c r="CE34" s="32">
        <f>IFERROR(AVERAGEIFS(COM_All!AT$2:AT$999,COM_All!$B$2:$B$999,"="&amp;$A$4,COM_All!$C$2:$C$999,"="&amp;'INS-UPD Heat'!$A34),"")</f>
        <v>0.67905104662972304</v>
      </c>
      <c r="CF34" s="32">
        <f>IFERROR(AVERAGEIFS(COM_All!AU$2:AU$999,COM_All!$B$2:$B$999,"="&amp;$A$4,COM_All!$C$2:$C$999,"="&amp;'INS-UPD Heat'!$A34),"")</f>
        <v>0.63652609984043795</v>
      </c>
      <c r="CG34" s="33">
        <f>IFERROR(AVERAGEIFS(COM_All!AV$2:AV$999,COM_All!$B$2:$B$999,"="&amp;$A$4,COM_All!$C$2:$C$999,"="&amp;'INS-UPD Heat'!$A34),"")</f>
        <v>0.65474896949000505</v>
      </c>
    </row>
    <row r="35" spans="1:85" ht="15">
      <c r="A35" t="s">
        <v>151</v>
      </c>
      <c r="C35" t="s">
        <v>29</v>
      </c>
      <c r="D35" t="str">
        <f t="shared" si="41"/>
        <v>C_ES-SH-SL_GE*</v>
      </c>
      <c r="H35" s="54"/>
      <c r="I35" t="str">
        <f t="shared" si="3"/>
        <v>*1</v>
      </c>
      <c r="J35" t="str">
        <f t="shared" si="38"/>
        <v>*1.18071512418715</v>
      </c>
      <c r="K35" t="str">
        <f t="shared" si="39"/>
        <v>*1</v>
      </c>
      <c r="L35" t="str">
        <f t="shared" si="40"/>
        <v>*1</v>
      </c>
      <c r="M35" t="str">
        <f t="shared" si="6"/>
        <v>*0.992265584693816</v>
      </c>
      <c r="N35" t="str">
        <f t="shared" si="7"/>
        <v>*1</v>
      </c>
      <c r="O35" t="str">
        <f t="shared" si="8"/>
        <v>*1</v>
      </c>
      <c r="P35" t="str">
        <f t="shared" si="9"/>
        <v>*1</v>
      </c>
      <c r="Q35" s="48" t="str">
        <f t="shared" si="4"/>
        <v>*0.7</v>
      </c>
      <c r="R35" t="str">
        <f t="shared" si="10"/>
        <v>*1</v>
      </c>
      <c r="S35" t="str">
        <f t="shared" si="11"/>
        <v>*1</v>
      </c>
      <c r="T35" t="str">
        <f t="shared" si="12"/>
        <v>*1</v>
      </c>
      <c r="U35" t="str">
        <f t="shared" si="13"/>
        <v>*1.02367221742178</v>
      </c>
      <c r="V35" t="str">
        <f t="shared" si="14"/>
        <v>*1</v>
      </c>
      <c r="W35" t="str">
        <f t="shared" si="15"/>
        <v>*1.12836642882944</v>
      </c>
      <c r="X35" t="str">
        <f t="shared" si="16"/>
        <v>*1.09695901278096</v>
      </c>
      <c r="Y35" t="str">
        <f t="shared" si="17"/>
        <v>*1.09695874032411</v>
      </c>
      <c r="Z35" t="str">
        <f t="shared" si="18"/>
        <v>*1</v>
      </c>
      <c r="AA35" t="str">
        <f t="shared" si="19"/>
        <v>*1</v>
      </c>
      <c r="AB35" t="str">
        <f t="shared" si="20"/>
        <v>*1.12836780488483</v>
      </c>
      <c r="AC35" t="str">
        <f t="shared" si="21"/>
        <v>*1</v>
      </c>
      <c r="AD35" t="str">
        <f t="shared" si="22"/>
        <v>*1</v>
      </c>
      <c r="AE35" t="str">
        <f t="shared" si="23"/>
        <v>*1</v>
      </c>
      <c r="AF35" t="str">
        <f t="shared" si="24"/>
        <v>*1</v>
      </c>
      <c r="AG35" t="str">
        <f t="shared" si="25"/>
        <v>*1</v>
      </c>
      <c r="AH35" t="str">
        <f t="shared" si="26"/>
        <v>*1</v>
      </c>
      <c r="AI35" t="str">
        <f t="shared" si="27"/>
        <v>*1</v>
      </c>
      <c r="AJ35" t="str">
        <f t="shared" si="28"/>
        <v>*1</v>
      </c>
      <c r="AK35" t="str">
        <f t="shared" si="29"/>
        <v>*1</v>
      </c>
      <c r="AL35" t="str">
        <f t="shared" si="30"/>
        <v>*1.11789847320821</v>
      </c>
      <c r="AM35" t="str">
        <f t="shared" si="31"/>
        <v>*1.05508137432188</v>
      </c>
      <c r="AN35" t="str">
        <f t="shared" si="32"/>
        <v>*1.10219424337653</v>
      </c>
      <c r="AO35" t="str">
        <f t="shared" si="33"/>
        <v>*1</v>
      </c>
      <c r="AP35" t="str">
        <f t="shared" si="34"/>
        <v>*1</v>
      </c>
      <c r="AQ35" t="str">
        <f t="shared" si="35"/>
        <v>*1.17024478027022</v>
      </c>
      <c r="AR35" t="str">
        <f t="shared" si="36"/>
        <v>*1.0969585751785</v>
      </c>
      <c r="AS35" s="49" t="str">
        <f t="shared" si="37"/>
        <v>*1.12836656997825</v>
      </c>
      <c r="AV35" s="31">
        <f t="shared" si="5"/>
        <v>0.72493606082753959</v>
      </c>
      <c r="AW35" s="32">
        <f>IFERROR(AVERAGEIFS(COM_All!L$2:L$999,COM_All!$B$2:$B$999,"="&amp;$A$4,COM_All!$C$2:$C$999,"="&amp;'INS-UPD Heat'!$A35),"")</f>
        <v>0.69999999999999996</v>
      </c>
      <c r="AX35" s="32">
        <f>IFERROR(AVERAGEIFS(COM_All!M$2:M$999,COM_All!$B$2:$B$999,"="&amp;$A$4,COM_All!$C$2:$C$999,"="&amp;'INS-UPD Heat'!$A35),"")</f>
        <v>0.82650058693100303</v>
      </c>
      <c r="AY35" s="32">
        <f>IFERROR(AVERAGEIFS(COM_All!N$2:N$999,COM_All!$B$2:$B$999,"="&amp;$A$4,COM_All!$C$2:$C$999,"="&amp;'INS-UPD Heat'!$A35),"")</f>
        <v>0.69999999999999996</v>
      </c>
      <c r="AZ35" s="32">
        <f>IFERROR(AVERAGEIFS(COM_All!O$2:O$999,COM_All!$B$2:$B$999,"="&amp;$A$4,COM_All!$C$2:$C$999,"="&amp;'INS-UPD Heat'!$A35),"")</f>
        <v>0.69999999999999996</v>
      </c>
      <c r="BA35" s="32">
        <f>IFERROR(AVERAGEIFS(COM_All!P$2:P$999,COM_All!$B$2:$B$999,"="&amp;$A$4,COM_All!$C$2:$C$999,"="&amp;'INS-UPD Heat'!$A35),"")</f>
        <v>0.69458590928567099</v>
      </c>
      <c r="BB35" s="32">
        <f>IFERROR(AVERAGEIFS(COM_All!Q$2:Q$999,COM_All!$B$2:$B$999,"="&amp;$A$4,COM_All!$C$2:$C$999,"="&amp;'INS-UPD Heat'!$A35),"")</f>
        <v>0.69999999999999996</v>
      </c>
      <c r="BC35" s="32">
        <f>IFERROR(AVERAGEIFS(COM_All!R$2:R$999,COM_All!$B$2:$B$999,"="&amp;$A$4,COM_All!$C$2:$C$999,"="&amp;'INS-UPD Heat'!$A35),"")</f>
        <v>0.69999999999999996</v>
      </c>
      <c r="BD35" s="32">
        <f>IFERROR(AVERAGEIFS(COM_All!S$2:S$999,COM_All!$B$2:$B$999,"="&amp;$A$4,COM_All!$C$2:$C$999,"="&amp;'INS-UPD Heat'!$A35),"")</f>
        <v>0.69999999999999996</v>
      </c>
      <c r="BE35" s="32">
        <f>IFERROR(AVERAGEIFS(COM_All!T$2:T$999,COM_All!$B$2:$B$999,"="&amp;$A$4,COM_All!$C$2:$C$999,"="&amp;'INS-UPD Heat'!$A35),"")</f>
        <v>0.69999999999999996</v>
      </c>
      <c r="BF35" s="32">
        <f>IFERROR(AVERAGEIFS(COM_All!U$2:U$999,COM_All!$B$2:$B$999,"="&amp;$A$4,COM_All!$C$2:$C$999,"="&amp;'INS-UPD Heat'!$A35),"")</f>
        <v>0.69999999999999996</v>
      </c>
      <c r="BG35" s="32">
        <f>IFERROR(AVERAGEIFS(COM_All!V$2:V$999,COM_All!$B$2:$B$999,"="&amp;$A$4,COM_All!$C$2:$C$999,"="&amp;'INS-UPD Heat'!$A35),"")</f>
        <v>0.69999999999999996</v>
      </c>
      <c r="BH35" s="32">
        <f>IFERROR(AVERAGEIFS(COM_All!W$2:W$999,COM_All!$B$2:$B$999,"="&amp;$A$4,COM_All!$C$2:$C$999,"="&amp;'INS-UPD Heat'!$A35),"")</f>
        <v>0.69999999999999996</v>
      </c>
      <c r="BI35" s="32">
        <f>IFERROR(AVERAGEIFS(COM_All!X$2:X$999,COM_All!$B$2:$B$999,"="&amp;$A$4,COM_All!$C$2:$C$999,"="&amp;'INS-UPD Heat'!$A35),"")</f>
        <v>0.71657055219524401</v>
      </c>
      <c r="BJ35" s="32">
        <f>IFERROR(AVERAGEIFS(COM_All!Y$2:Y$999,COM_All!$B$2:$B$999,"="&amp;$A$4,COM_All!$C$2:$C$999,"="&amp;'INS-UPD Heat'!$A35),"")</f>
        <v>0.69999999999999996</v>
      </c>
      <c r="BK35" s="32">
        <f>IFERROR(AVERAGEIFS(COM_All!Z$2:Z$999,COM_All!$B$2:$B$999,"="&amp;$A$4,COM_All!$C$2:$C$999,"="&amp;'INS-UPD Heat'!$A35),"")</f>
        <v>0.78985650018060605</v>
      </c>
      <c r="BL35" s="32">
        <f>IFERROR(AVERAGEIFS(COM_All!AA$2:AA$999,COM_All!$B$2:$B$999,"="&amp;$A$4,COM_All!$C$2:$C$999,"="&amp;'INS-UPD Heat'!$A35),"")</f>
        <v>0.76787130894667199</v>
      </c>
      <c r="BM35" s="32">
        <f>IFERROR(AVERAGEIFS(COM_All!AB$2:AB$999,COM_All!$B$2:$B$999,"="&amp;$A$4,COM_All!$C$2:$C$999,"="&amp;'INS-UPD Heat'!$A35),"")</f>
        <v>0.76787111822687804</v>
      </c>
      <c r="BN35" s="32">
        <f>IFERROR(AVERAGEIFS(COM_All!AC$2:AC$999,COM_All!$B$2:$B$999,"="&amp;$A$4,COM_All!$C$2:$C$999,"="&amp;'INS-UPD Heat'!$A35),"")</f>
        <v>0.69999999999999996</v>
      </c>
      <c r="BO35" s="32">
        <f>IFERROR(AVERAGEIFS(COM_All!AD$2:AD$999,COM_All!$B$2:$B$999,"="&amp;$A$4,COM_All!$C$2:$C$999,"="&amp;'INS-UPD Heat'!$A35),"")</f>
        <v>0.69999999999999996</v>
      </c>
      <c r="BP35" s="32">
        <f>IFERROR(AVERAGEIFS(COM_All!AE$2:AE$999,COM_All!$B$2:$B$999,"="&amp;$A$4,COM_All!$C$2:$C$999,"="&amp;'INS-UPD Heat'!$A35),"")</f>
        <v>0.78985746341937901</v>
      </c>
      <c r="BQ35" s="32">
        <f>IFERROR(AVERAGEIFS(COM_All!AF$2:AF$999,COM_All!$B$2:$B$999,"="&amp;$A$4,COM_All!$C$2:$C$999,"="&amp;'INS-UPD Heat'!$A35),"")</f>
        <v>0.69999999999999996</v>
      </c>
      <c r="BR35" s="32">
        <f>IFERROR(AVERAGEIFS(COM_All!AG$2:AG$999,COM_All!$B$2:$B$999,"="&amp;$A$4,COM_All!$C$2:$C$999,"="&amp;'INS-UPD Heat'!$A35),"")</f>
        <v>0.69999999999999996</v>
      </c>
      <c r="BS35" s="32">
        <f>IFERROR(AVERAGEIFS(COM_All!AH$2:AH$999,COM_All!$B$2:$B$999,"="&amp;$A$4,COM_All!$C$2:$C$999,"="&amp;'INS-UPD Heat'!$A35),"")</f>
        <v>0.69999999999999996</v>
      </c>
      <c r="BT35" s="32">
        <f>IFERROR(AVERAGEIFS(COM_All!AI$2:AI$999,COM_All!$B$2:$B$999,"="&amp;$A$4,COM_All!$C$2:$C$999,"="&amp;'INS-UPD Heat'!$A35),"")</f>
        <v>0.69999999999999996</v>
      </c>
      <c r="BU35" s="32">
        <f>IFERROR(AVERAGEIFS(COM_All!AJ$2:AJ$999,COM_All!$B$2:$B$999,"="&amp;$A$4,COM_All!$C$2:$C$999,"="&amp;'INS-UPD Heat'!$A35),"")</f>
        <v>0.69999999999999996</v>
      </c>
      <c r="BV35" s="32">
        <f>IFERROR(AVERAGEIFS(COM_All!AK$2:AK$999,COM_All!$B$2:$B$999,"="&amp;$A$4,COM_All!$C$2:$C$999,"="&amp;'INS-UPD Heat'!$A35),"")</f>
        <v>0.69999999999999996</v>
      </c>
      <c r="BW35" s="32">
        <f>IFERROR(AVERAGEIFS(COM_All!AL$2:AL$999,COM_All!$B$2:$B$999,"="&amp;$A$4,COM_All!$C$2:$C$999,"="&amp;'INS-UPD Heat'!$A35),"")</f>
        <v>0.69999999999999996</v>
      </c>
      <c r="BX35" s="32">
        <f>IFERROR(AVERAGEIFS(COM_All!AM$2:AM$999,COM_All!$B$2:$B$999,"="&amp;$A$4,COM_All!$C$2:$C$999,"="&amp;'INS-UPD Heat'!$A35),"")</f>
        <v>0.69999999999999996</v>
      </c>
      <c r="BY35" s="32">
        <f>IFERROR(AVERAGEIFS(COM_All!AN$2:AN$999,COM_All!$B$2:$B$999,"="&amp;$A$4,COM_All!$C$2:$C$999,"="&amp;'INS-UPD Heat'!$A35),"")</f>
        <v>0.69999999999999996</v>
      </c>
      <c r="BZ35" s="32">
        <f>IFERROR(AVERAGEIFS(COM_All!AO$2:AO$999,COM_All!$B$2:$B$999,"="&amp;$A$4,COM_All!$C$2:$C$999,"="&amp;'INS-UPD Heat'!$A35),"")</f>
        <v>0.78252893124574496</v>
      </c>
      <c r="CA35" s="32">
        <f>IFERROR(AVERAGEIFS(COM_All!AP$2:AP$999,COM_All!$B$2:$B$999,"="&amp;$A$4,COM_All!$C$2:$C$999,"="&amp;'INS-UPD Heat'!$A35),"")</f>
        <v>0.73855696202531596</v>
      </c>
      <c r="CB35" s="32">
        <f>IFERROR(AVERAGEIFS(COM_All!AQ$2:AQ$999,COM_All!$B$2:$B$999,"="&amp;$A$4,COM_All!$C$2:$C$999,"="&amp;'INS-UPD Heat'!$A35),"")</f>
        <v>0.77153597036357202</v>
      </c>
      <c r="CC35" s="32">
        <f>IFERROR(AVERAGEIFS(COM_All!AR$2:AR$999,COM_All!$B$2:$B$999,"="&amp;$A$4,COM_All!$C$2:$C$999,"="&amp;'INS-UPD Heat'!$A35),"")</f>
        <v>0.69999999999999996</v>
      </c>
      <c r="CD35" s="32">
        <f>IFERROR(AVERAGEIFS(COM_All!AS$2:AS$999,COM_All!$B$2:$B$999,"="&amp;$A$4,COM_All!$C$2:$C$999,"="&amp;'INS-UPD Heat'!$A35),"")</f>
        <v>0.69999999999999996</v>
      </c>
      <c r="CE35" s="32">
        <f>IFERROR(AVERAGEIFS(COM_All!AT$2:AT$999,COM_All!$B$2:$B$999,"="&amp;$A$4,COM_All!$C$2:$C$999,"="&amp;'INS-UPD Heat'!$A35),"")</f>
        <v>0.81917134618915699</v>
      </c>
      <c r="CF35" s="32">
        <f>IFERROR(AVERAGEIFS(COM_All!AU$2:AU$999,COM_All!$B$2:$B$999,"="&amp;$A$4,COM_All!$C$2:$C$999,"="&amp;'INS-UPD Heat'!$A35),"")</f>
        <v>0.76787100262494701</v>
      </c>
      <c r="CG35" s="33">
        <f>IFERROR(AVERAGEIFS(COM_All!AV$2:AV$999,COM_All!$B$2:$B$999,"="&amp;$A$4,COM_All!$C$2:$C$999,"="&amp;'INS-UPD Heat'!$A35),"")</f>
        <v>0.78985659898477201</v>
      </c>
    </row>
    <row r="36" spans="1:85" ht="15">
      <c r="A36" t="s">
        <v>152</v>
      </c>
      <c r="C36" t="s">
        <v>29</v>
      </c>
      <c r="D36" t="str">
        <f t="shared" si="41"/>
        <v>C_ES-SH-SL_LP*</v>
      </c>
      <c r="H36" s="54"/>
      <c r="I36" t="str">
        <f t="shared" si="3"/>
        <v>*1</v>
      </c>
      <c r="J36" t="str">
        <f t="shared" si="38"/>
        <v>*1</v>
      </c>
      <c r="K36" t="str">
        <f t="shared" si="39"/>
        <v>*1</v>
      </c>
      <c r="L36" t="str">
        <f t="shared" si="40"/>
        <v>*1</v>
      </c>
      <c r="M36" t="str">
        <f t="shared" si="6"/>
        <v>*1</v>
      </c>
      <c r="N36" t="str">
        <f t="shared" si="7"/>
        <v>*1</v>
      </c>
      <c r="O36" t="str">
        <f t="shared" si="8"/>
        <v>*1</v>
      </c>
      <c r="P36" t="str">
        <f t="shared" si="9"/>
        <v>*1</v>
      </c>
      <c r="Q36" s="48" t="str">
        <f t="shared" si="4"/>
        <v>*0.666666666666667</v>
      </c>
      <c r="R36" t="str">
        <f t="shared" si="10"/>
        <v>*1</v>
      </c>
      <c r="S36" t="str">
        <f t="shared" si="11"/>
        <v>*1</v>
      </c>
      <c r="T36" t="str">
        <f t="shared" si="12"/>
        <v>*1</v>
      </c>
      <c r="U36" t="str">
        <f t="shared" si="13"/>
        <v>*1</v>
      </c>
      <c r="V36" t="str">
        <f t="shared" si="14"/>
        <v>*1</v>
      </c>
      <c r="W36" t="str">
        <f t="shared" si="15"/>
        <v>*1</v>
      </c>
      <c r="X36" t="str">
        <f t="shared" si="16"/>
        <v>*1</v>
      </c>
      <c r="Y36" t="str">
        <f t="shared" si="17"/>
        <v>*1</v>
      </c>
      <c r="Z36" t="str">
        <f t="shared" si="18"/>
        <v>*1</v>
      </c>
      <c r="AA36" t="str">
        <f t="shared" si="19"/>
        <v>*1</v>
      </c>
      <c r="AB36" t="str">
        <f t="shared" si="20"/>
        <v>*1.00831519600226</v>
      </c>
      <c r="AC36" t="str">
        <f t="shared" si="21"/>
        <v>*1</v>
      </c>
      <c r="AD36" t="str">
        <f t="shared" si="22"/>
        <v>*1</v>
      </c>
      <c r="AE36" t="str">
        <f t="shared" si="23"/>
        <v>*1.00831336713657</v>
      </c>
      <c r="AF36" t="str">
        <f t="shared" si="24"/>
        <v>*1</v>
      </c>
      <c r="AG36" t="str">
        <f t="shared" si="25"/>
        <v>*1</v>
      </c>
      <c r="AH36" t="str">
        <f t="shared" si="26"/>
        <v>*1</v>
      </c>
      <c r="AI36" t="str">
        <f t="shared" si="27"/>
        <v>*1</v>
      </c>
      <c r="AJ36" t="str">
        <f t="shared" si="28"/>
        <v>*1</v>
      </c>
      <c r="AK36" t="str">
        <f t="shared" si="29"/>
        <v>*1</v>
      </c>
      <c r="AL36" t="str">
        <f t="shared" si="30"/>
        <v>*1</v>
      </c>
      <c r="AM36" t="str">
        <f t="shared" si="31"/>
        <v>*1</v>
      </c>
      <c r="AN36" t="str">
        <f t="shared" si="32"/>
        <v>*1</v>
      </c>
      <c r="AO36" t="str">
        <f t="shared" si="33"/>
        <v>*1</v>
      </c>
      <c r="AP36" t="str">
        <f t="shared" si="34"/>
        <v>*1</v>
      </c>
      <c r="AQ36" t="str">
        <f t="shared" si="35"/>
        <v>*1.045737981492</v>
      </c>
      <c r="AR36" t="str">
        <f t="shared" si="36"/>
        <v>*1</v>
      </c>
      <c r="AS36" s="49" t="str">
        <f t="shared" si="37"/>
        <v>*1</v>
      </c>
      <c r="AV36" s="31">
        <f t="shared" si="5"/>
        <v>0.66779038819154668</v>
      </c>
      <c r="AW36" s="32">
        <f>IFERROR(AVERAGEIFS(COM_All!L$2:L$999,COM_All!$B$2:$B$999,"="&amp;$A$4,COM_All!$C$2:$C$999,"="&amp;'INS-UPD Heat'!$A36),"")</f>
        <v>0.66666666666666696</v>
      </c>
      <c r="AX36" s="32">
        <f>IFERROR(AVERAGEIFS(COM_All!M$2:M$999,COM_All!$B$2:$B$999,"="&amp;$A$4,COM_All!$C$2:$C$999,"="&amp;'INS-UPD Heat'!$A36),"")</f>
        <v>0.66666666666666696</v>
      </c>
      <c r="AY36" s="32">
        <f>IFERROR(AVERAGEIFS(COM_All!N$2:N$999,COM_All!$B$2:$B$999,"="&amp;$A$4,COM_All!$C$2:$C$999,"="&amp;'INS-UPD Heat'!$A36),"")</f>
        <v>0.66666666666666696</v>
      </c>
      <c r="AZ36" s="32">
        <f>IFERROR(AVERAGEIFS(COM_All!O$2:O$999,COM_All!$B$2:$B$999,"="&amp;$A$4,COM_All!$C$2:$C$999,"="&amp;'INS-UPD Heat'!$A36),"")</f>
        <v>0.66666666666666696</v>
      </c>
      <c r="BA36" s="32">
        <f>IFERROR(AVERAGEIFS(COM_All!P$2:P$999,COM_All!$B$2:$B$999,"="&amp;$A$4,COM_All!$C$2:$C$999,"="&amp;'INS-UPD Heat'!$A36),"")</f>
        <v>0.66666666666666696</v>
      </c>
      <c r="BB36" s="32">
        <f>IFERROR(AVERAGEIFS(COM_All!Q$2:Q$999,COM_All!$B$2:$B$999,"="&amp;$A$4,COM_All!$C$2:$C$999,"="&amp;'INS-UPD Heat'!$A36),"")</f>
        <v>0.66666666666666696</v>
      </c>
      <c r="BC36" s="32">
        <f>IFERROR(AVERAGEIFS(COM_All!R$2:R$999,COM_All!$B$2:$B$999,"="&amp;$A$4,COM_All!$C$2:$C$999,"="&amp;'INS-UPD Heat'!$A36),"")</f>
        <v>0.66666666666666696</v>
      </c>
      <c r="BD36" s="32">
        <f>IFERROR(AVERAGEIFS(COM_All!S$2:S$999,COM_All!$B$2:$B$999,"="&amp;$A$4,COM_All!$C$2:$C$999,"="&amp;'INS-UPD Heat'!$A36),"")</f>
        <v>0.66666666666666696</v>
      </c>
      <c r="BE36" s="32">
        <f>IFERROR(AVERAGEIFS(COM_All!T$2:T$999,COM_All!$B$2:$B$999,"="&amp;$A$4,COM_All!$C$2:$C$999,"="&amp;'INS-UPD Heat'!$A36),"")</f>
        <v>0.66666666666666696</v>
      </c>
      <c r="BF36" s="32">
        <f>IFERROR(AVERAGEIFS(COM_All!U$2:U$999,COM_All!$B$2:$B$999,"="&amp;$A$4,COM_All!$C$2:$C$999,"="&amp;'INS-UPD Heat'!$A36),"")</f>
        <v>0.66666666666666696</v>
      </c>
      <c r="BG36" s="32">
        <f>IFERROR(AVERAGEIFS(COM_All!V$2:V$999,COM_All!$B$2:$B$999,"="&amp;$A$4,COM_All!$C$2:$C$999,"="&amp;'INS-UPD Heat'!$A36),"")</f>
        <v>0.66666666666666696</v>
      </c>
      <c r="BH36" s="32">
        <f>IFERROR(AVERAGEIFS(COM_All!W$2:W$999,COM_All!$B$2:$B$999,"="&amp;$A$4,COM_All!$C$2:$C$999,"="&amp;'INS-UPD Heat'!$A36),"")</f>
        <v>0.66666666666666696</v>
      </c>
      <c r="BI36" s="32">
        <f>IFERROR(AVERAGEIFS(COM_All!X$2:X$999,COM_All!$B$2:$B$999,"="&amp;$A$4,COM_All!$C$2:$C$999,"="&amp;'INS-UPD Heat'!$A36),"")</f>
        <v>0.66666666666666696</v>
      </c>
      <c r="BJ36" s="32">
        <f>IFERROR(AVERAGEIFS(COM_All!Y$2:Y$999,COM_All!$B$2:$B$999,"="&amp;$A$4,COM_All!$C$2:$C$999,"="&amp;'INS-UPD Heat'!$A36),"")</f>
        <v>0.66666666666666696</v>
      </c>
      <c r="BK36" s="32">
        <f>IFERROR(AVERAGEIFS(COM_All!Z$2:Z$999,COM_All!$B$2:$B$999,"="&amp;$A$4,COM_All!$C$2:$C$999,"="&amp;'INS-UPD Heat'!$A36),"")</f>
        <v>0.66666666666666696</v>
      </c>
      <c r="BL36" s="32">
        <f>IFERROR(AVERAGEIFS(COM_All!AA$2:AA$999,COM_All!$B$2:$B$999,"="&amp;$A$4,COM_All!$C$2:$C$999,"="&amp;'INS-UPD Heat'!$A36),"")</f>
        <v>0.66666666666666696</v>
      </c>
      <c r="BM36" s="32">
        <f>IFERROR(AVERAGEIFS(COM_All!AB$2:AB$999,COM_All!$B$2:$B$999,"="&amp;$A$4,COM_All!$C$2:$C$999,"="&amp;'INS-UPD Heat'!$A36),"")</f>
        <v>0.66666666666666696</v>
      </c>
      <c r="BN36" s="32">
        <f>IFERROR(AVERAGEIFS(COM_All!AC$2:AC$999,COM_All!$B$2:$B$999,"="&amp;$A$4,COM_All!$C$2:$C$999,"="&amp;'INS-UPD Heat'!$A36),"")</f>
        <v>0.66666666666666696</v>
      </c>
      <c r="BO36" s="32">
        <f>IFERROR(AVERAGEIFS(COM_All!AD$2:AD$999,COM_All!$B$2:$B$999,"="&amp;$A$4,COM_All!$C$2:$C$999,"="&amp;'INS-UPD Heat'!$A36),"")</f>
        <v>0.66666666666666696</v>
      </c>
      <c r="BP36" s="32">
        <f>IFERROR(AVERAGEIFS(COM_All!AE$2:AE$999,COM_All!$B$2:$B$999,"="&amp;$A$4,COM_All!$C$2:$C$999,"="&amp;'INS-UPD Heat'!$A36),"")</f>
        <v>0.67221013066817603</v>
      </c>
      <c r="BQ36" s="32">
        <f>IFERROR(AVERAGEIFS(COM_All!AF$2:AF$999,COM_All!$B$2:$B$999,"="&amp;$A$4,COM_All!$C$2:$C$999,"="&amp;'INS-UPD Heat'!$A36),"")</f>
        <v>0.66666666666666696</v>
      </c>
      <c r="BR36" s="32">
        <f>IFERROR(AVERAGEIFS(COM_All!AG$2:AG$999,COM_All!$B$2:$B$999,"="&amp;$A$4,COM_All!$C$2:$C$999,"="&amp;'INS-UPD Heat'!$A36),"")</f>
        <v>0.66666666666666696</v>
      </c>
      <c r="BS36" s="32">
        <f>IFERROR(AVERAGEIFS(COM_All!AH$2:AH$999,COM_All!$B$2:$B$999,"="&amp;$A$4,COM_All!$C$2:$C$999,"="&amp;'INS-UPD Heat'!$A36),"")</f>
        <v>0.672208911424379</v>
      </c>
      <c r="BT36" s="32">
        <f>IFERROR(AVERAGEIFS(COM_All!AI$2:AI$999,COM_All!$B$2:$B$999,"="&amp;$A$4,COM_All!$C$2:$C$999,"="&amp;'INS-UPD Heat'!$A36),"")</f>
        <v>0.66666666666666696</v>
      </c>
      <c r="BU36" s="32">
        <f>IFERROR(AVERAGEIFS(COM_All!AJ$2:AJ$999,COM_All!$B$2:$B$999,"="&amp;$A$4,COM_All!$C$2:$C$999,"="&amp;'INS-UPD Heat'!$A36),"")</f>
        <v>0.66666666666666696</v>
      </c>
      <c r="BV36" s="32">
        <f>IFERROR(AVERAGEIFS(COM_All!AK$2:AK$999,COM_All!$B$2:$B$999,"="&amp;$A$4,COM_All!$C$2:$C$999,"="&amp;'INS-UPD Heat'!$A36),"")</f>
        <v>0.66666666666666696</v>
      </c>
      <c r="BW36" s="32">
        <f>IFERROR(AVERAGEIFS(COM_All!AL$2:AL$999,COM_All!$B$2:$B$999,"="&amp;$A$4,COM_All!$C$2:$C$999,"="&amp;'INS-UPD Heat'!$A36),"")</f>
        <v>0.66666666666666696</v>
      </c>
      <c r="BX36" s="32">
        <f>IFERROR(AVERAGEIFS(COM_All!AM$2:AM$999,COM_All!$B$2:$B$999,"="&amp;$A$4,COM_All!$C$2:$C$999,"="&amp;'INS-UPD Heat'!$A36),"")</f>
        <v>0.66666666666666696</v>
      </c>
      <c r="BY36" s="32">
        <f>IFERROR(AVERAGEIFS(COM_All!AN$2:AN$999,COM_All!$B$2:$B$999,"="&amp;$A$4,COM_All!$C$2:$C$999,"="&amp;'INS-UPD Heat'!$A36),"")</f>
        <v>0.66666666666666696</v>
      </c>
      <c r="BZ36" s="32">
        <f>IFERROR(AVERAGEIFS(COM_All!AO$2:AO$999,COM_All!$B$2:$B$999,"="&amp;$A$4,COM_All!$C$2:$C$999,"="&amp;'INS-UPD Heat'!$A36),"")</f>
        <v>0.66666666666666696</v>
      </c>
      <c r="CA36" s="32">
        <f>IFERROR(AVERAGEIFS(COM_All!AP$2:AP$999,COM_All!$B$2:$B$999,"="&amp;$A$4,COM_All!$C$2:$C$999,"="&amp;'INS-UPD Heat'!$A36),"")</f>
        <v>0.66666666666666696</v>
      </c>
      <c r="CB36" s="32">
        <f>IFERROR(AVERAGEIFS(COM_All!AQ$2:AQ$999,COM_All!$B$2:$B$999,"="&amp;$A$4,COM_All!$C$2:$C$999,"="&amp;'INS-UPD Heat'!$A36),"")</f>
        <v>0.66666666666666696</v>
      </c>
      <c r="CC36" s="32">
        <f>IFERROR(AVERAGEIFS(COM_All!AR$2:AR$999,COM_All!$B$2:$B$999,"="&amp;$A$4,COM_All!$C$2:$C$999,"="&amp;'INS-UPD Heat'!$A36),"")</f>
        <v>0.66666666666666696</v>
      </c>
      <c r="CD36" s="32">
        <f>IFERROR(AVERAGEIFS(COM_All!AS$2:AS$999,COM_All!$B$2:$B$999,"="&amp;$A$4,COM_All!$C$2:$C$999,"="&amp;'INS-UPD Heat'!$A36),"")</f>
        <v>0.66666666666666696</v>
      </c>
      <c r="CE36" s="32">
        <f>IFERROR(AVERAGEIFS(COM_All!AT$2:AT$999,COM_All!$B$2:$B$999,"="&amp;$A$4,COM_All!$C$2:$C$999,"="&amp;'INS-UPD Heat'!$A36),"")</f>
        <v>0.69715865432799895</v>
      </c>
      <c r="CF36" s="32">
        <f>IFERROR(AVERAGEIFS(COM_All!AU$2:AU$999,COM_All!$B$2:$B$999,"="&amp;$A$4,COM_All!$C$2:$C$999,"="&amp;'INS-UPD Heat'!$A36),"")</f>
        <v>0.66666666666666696</v>
      </c>
      <c r="CG36" s="33">
        <f>IFERROR(AVERAGEIFS(COM_All!AV$2:AV$999,COM_All!$B$2:$B$999,"="&amp;$A$4,COM_All!$C$2:$C$999,"="&amp;'INS-UPD Heat'!$A36),"")</f>
        <v>0.66666666666666696</v>
      </c>
    </row>
    <row r="37" spans="1:85" ht="15">
      <c r="A37" t="s">
        <v>153</v>
      </c>
      <c r="C37" t="s">
        <v>29</v>
      </c>
      <c r="D37" t="str">
        <f t="shared" si="41"/>
        <v>C_ES-SH-SL_CO*</v>
      </c>
      <c r="H37" s="54"/>
      <c r="I37" t="str">
        <f t="shared" si="3"/>
        <v>*0.806322012647686</v>
      </c>
      <c r="J37" t="str">
        <f t="shared" si="38"/>
        <v>*0.957546566204691</v>
      </c>
      <c r="K37" t="str">
        <f t="shared" si="39"/>
        <v>*0.806322012647686</v>
      </c>
      <c r="L37" t="str">
        <f t="shared" si="40"/>
        <v>*0.806322012647686</v>
      </c>
      <c r="M37" t="str">
        <f t="shared" si="6"/>
        <v>*0.804719068299585</v>
      </c>
      <c r="N37" t="str">
        <f t="shared" si="7"/>
        <v>*1</v>
      </c>
      <c r="O37" t="str">
        <f t="shared" si="8"/>
        <v>*0.806322012647686</v>
      </c>
      <c r="P37" t="str">
        <f t="shared" si="9"/>
        <v>*0.872641433460454</v>
      </c>
      <c r="Q37" s="48" t="str">
        <f t="shared" si="4"/>
        <v>*0.620099652691077</v>
      </c>
      <c r="R37" t="str">
        <f t="shared" si="10"/>
        <v>*0.806322012647686</v>
      </c>
      <c r="S37" t="str">
        <f t="shared" si="11"/>
        <v>*0.872643446827971</v>
      </c>
      <c r="T37" t="str">
        <f t="shared" si="12"/>
        <v>*0.806322012647686</v>
      </c>
      <c r="U37" t="str">
        <f t="shared" si="13"/>
        <v>*0.830187692790597</v>
      </c>
      <c r="V37" t="str">
        <f t="shared" si="14"/>
        <v>*0.88113082387544</v>
      </c>
      <c r="W37" t="str">
        <f t="shared" si="15"/>
        <v>*0.806322012647686</v>
      </c>
      <c r="X37" t="str">
        <f t="shared" si="16"/>
        <v>*0.889623229961177</v>
      </c>
      <c r="Y37" t="str">
        <f t="shared" si="17"/>
        <v>*0.889620935555759</v>
      </c>
      <c r="Z37" t="str">
        <f t="shared" si="18"/>
        <v>*0.806322012647686</v>
      </c>
      <c r="AA37" t="str">
        <f t="shared" si="19"/>
        <v>*0.806322012647686</v>
      </c>
      <c r="AB37" t="str">
        <f t="shared" si="20"/>
        <v>*0.806322012647686</v>
      </c>
      <c r="AC37" t="str">
        <f t="shared" si="21"/>
        <v>*0.806322012647686</v>
      </c>
      <c r="AD37" t="str">
        <f t="shared" si="22"/>
        <v>*0.87264257545149</v>
      </c>
      <c r="AE37" t="str">
        <f t="shared" si="23"/>
        <v>*0.806322012647686</v>
      </c>
      <c r="AF37" t="str">
        <f t="shared" si="24"/>
        <v>*0.906603887155439</v>
      </c>
      <c r="AG37" t="str">
        <f t="shared" si="25"/>
        <v>*0.806322012647686</v>
      </c>
      <c r="AH37" t="str">
        <f t="shared" si="26"/>
        <v>*0.806322012647686</v>
      </c>
      <c r="AI37" t="str">
        <f t="shared" si="27"/>
        <v>*0.806322012647686</v>
      </c>
      <c r="AJ37" t="str">
        <f t="shared" si="28"/>
        <v>*0.983019632318116</v>
      </c>
      <c r="AK37" t="str">
        <f t="shared" si="29"/>
        <v>*0.806322012647686</v>
      </c>
      <c r="AL37" t="str">
        <f t="shared" si="30"/>
        <v>*0.906604351626599</v>
      </c>
      <c r="AM37" t="str">
        <f t="shared" si="31"/>
        <v>*0.806322012647686</v>
      </c>
      <c r="AN37" t="str">
        <f t="shared" si="32"/>
        <v>*0.89386762861896</v>
      </c>
      <c r="AO37" t="str">
        <f t="shared" si="33"/>
        <v>*0.806322012647686</v>
      </c>
      <c r="AP37" t="str">
        <f t="shared" si="34"/>
        <v>*0.806322012647686</v>
      </c>
      <c r="AQ37" t="str">
        <f t="shared" si="35"/>
        <v>*0.806322012647686</v>
      </c>
      <c r="AR37" t="str">
        <f t="shared" si="36"/>
        <v>*0.889622985856844</v>
      </c>
      <c r="AS37" s="49" t="str">
        <f t="shared" si="37"/>
        <v>*0.915091066360072</v>
      </c>
      <c r="AV37" s="31">
        <f t="shared" si="5"/>
        <v>0.52778869516323434</v>
      </c>
      <c r="AW37" s="32">
        <f>IFERROR(AVERAGEIFS(COM_All!L$2:L$999,COM_All!$B$2:$B$999,"="&amp;$A$4,COM_All!$C$2:$C$999,"="&amp;'INS-UPD Heat'!$A37),"")</f>
        <v>0.5</v>
      </c>
      <c r="AX37" s="32">
        <f>IFERROR(AVERAGEIFS(COM_All!M$2:M$999,COM_All!$B$2:$B$999,"="&amp;$A$4,COM_All!$C$2:$C$999,"="&amp;'INS-UPD Heat'!$A37),"")</f>
        <v>0.59377429313906205</v>
      </c>
      <c r="AY37" s="32">
        <f>IFERROR(AVERAGEIFS(COM_All!N$2:N$999,COM_All!$B$2:$B$999,"="&amp;$A$4,COM_All!$C$2:$C$999,"="&amp;'INS-UPD Heat'!$A37),"")</f>
        <v>0.5</v>
      </c>
      <c r="AZ37" s="32">
        <f>IFERROR(AVERAGEIFS(COM_All!O$2:O$999,COM_All!$B$2:$B$999,"="&amp;$A$4,COM_All!$C$2:$C$999,"="&amp;'INS-UPD Heat'!$A37),"")</f>
        <v>0.5</v>
      </c>
      <c r="BA37" s="32">
        <f>IFERROR(AVERAGEIFS(COM_All!P$2:P$999,COM_All!$B$2:$B$999,"="&amp;$A$4,COM_All!$C$2:$C$999,"="&amp;'INS-UPD Heat'!$A37),"")</f>
        <v>0.49900601476646</v>
      </c>
      <c r="BB37" s="32">
        <f>IFERROR(AVERAGEIFS(COM_All!Q$2:Q$999,COM_All!$B$2:$B$999,"="&amp;$A$4,COM_All!$C$2:$C$999,"="&amp;'INS-UPD Heat'!$A37),"")</f>
        <v>0.62009965269107703</v>
      </c>
      <c r="BC37" s="32">
        <f>IFERROR(AVERAGEIFS(COM_All!R$2:R$999,COM_All!$B$2:$B$999,"="&amp;$A$4,COM_All!$C$2:$C$999,"="&amp;'INS-UPD Heat'!$A37),"")</f>
        <v>0.5</v>
      </c>
      <c r="BD37" s="32">
        <f>IFERROR(AVERAGEIFS(COM_All!S$2:S$999,COM_All!$B$2:$B$999,"="&amp;$A$4,COM_All!$C$2:$C$999,"="&amp;'INS-UPD Heat'!$A37),"")</f>
        <v>0.54112464981267105</v>
      </c>
      <c r="BE37" s="32">
        <f>IFERROR(AVERAGEIFS(COM_All!T$2:T$999,COM_All!$B$2:$B$999,"="&amp;$A$4,COM_All!$C$2:$C$999,"="&amp;'INS-UPD Heat'!$A37),"")</f>
        <v>0.62009965269107703</v>
      </c>
      <c r="BF37" s="32">
        <f>IFERROR(AVERAGEIFS(COM_All!U$2:U$999,COM_All!$B$2:$B$999,"="&amp;$A$4,COM_All!$C$2:$C$999,"="&amp;'INS-UPD Heat'!$A37),"")</f>
        <v>0.5</v>
      </c>
      <c r="BG37" s="32">
        <f>IFERROR(AVERAGEIFS(COM_All!V$2:V$999,COM_All!$B$2:$B$999,"="&amp;$A$4,COM_All!$C$2:$C$999,"="&amp;'INS-UPD Heat'!$A37),"")</f>
        <v>0.54112589830116897</v>
      </c>
      <c r="BH37" s="32">
        <f>IFERROR(AVERAGEIFS(COM_All!W$2:W$999,COM_All!$B$2:$B$999,"="&amp;$A$4,COM_All!$C$2:$C$999,"="&amp;'INS-UPD Heat'!$A37),"")</f>
        <v>0.5</v>
      </c>
      <c r="BI37" s="32">
        <f>IFERROR(AVERAGEIFS(COM_All!X$2:X$999,COM_All!$B$2:$B$999,"="&amp;$A$4,COM_All!$C$2:$C$999,"="&amp;'INS-UPD Heat'!$A37),"")</f>
        <v>0.514799099967856</v>
      </c>
      <c r="BJ37" s="32">
        <f>IFERROR(AVERAGEIFS(COM_All!Y$2:Y$999,COM_All!$B$2:$B$999,"="&amp;$A$4,COM_All!$C$2:$C$999,"="&amp;'INS-UPD Heat'!$A37),"")</f>
        <v>0.54638891786056298</v>
      </c>
      <c r="BK37" s="32">
        <f>IFERROR(AVERAGEIFS(COM_All!Z$2:Z$999,COM_All!$B$2:$B$999,"="&amp;$A$4,COM_All!$C$2:$C$999,"="&amp;'INS-UPD Heat'!$A37),"")</f>
        <v>0.5</v>
      </c>
      <c r="BL37" s="32">
        <f>IFERROR(AVERAGEIFS(COM_All!AA$2:AA$999,COM_All!$B$2:$B$999,"="&amp;$A$4,COM_All!$C$2:$C$999,"="&amp;'INS-UPD Heat'!$A37),"")</f>
        <v>0.55165505592483999</v>
      </c>
      <c r="BM37" s="32">
        <f>IFERROR(AVERAGEIFS(COM_All!AB$2:AB$999,COM_All!$B$2:$B$999,"="&amp;$A$4,COM_All!$C$2:$C$999,"="&amp;'INS-UPD Heat'!$A37),"")</f>
        <v>0.55165363316483695</v>
      </c>
      <c r="BN37" s="32">
        <f>IFERROR(AVERAGEIFS(COM_All!AC$2:AC$999,COM_All!$B$2:$B$999,"="&amp;$A$4,COM_All!$C$2:$C$999,"="&amp;'INS-UPD Heat'!$A37),"")</f>
        <v>0.5</v>
      </c>
      <c r="BO37" s="32">
        <f>IFERROR(AVERAGEIFS(COM_All!AD$2:AD$999,COM_All!$B$2:$B$999,"="&amp;$A$4,COM_All!$C$2:$C$999,"="&amp;'INS-UPD Heat'!$A37),"")</f>
        <v>0.5</v>
      </c>
      <c r="BP37" s="32">
        <f>IFERROR(AVERAGEIFS(COM_All!AE$2:AE$999,COM_All!$B$2:$B$999,"="&amp;$A$4,COM_All!$C$2:$C$999,"="&amp;'INS-UPD Heat'!$A37),"")</f>
        <v>0.5</v>
      </c>
      <c r="BQ37" s="32">
        <f>IFERROR(AVERAGEIFS(COM_All!AF$2:AF$999,COM_All!$B$2:$B$999,"="&amp;$A$4,COM_All!$C$2:$C$999,"="&amp;'INS-UPD Heat'!$A37),"")</f>
        <v>0.5</v>
      </c>
      <c r="BR37" s="32">
        <f>IFERROR(AVERAGEIFS(COM_All!AG$2:AG$999,COM_All!$B$2:$B$999,"="&amp;$A$4,COM_All!$C$2:$C$999,"="&amp;'INS-UPD Heat'!$A37),"")</f>
        <v>0.54112535796091599</v>
      </c>
      <c r="BS37" s="32">
        <f>IFERROR(AVERAGEIFS(COM_All!AH$2:AH$999,COM_All!$B$2:$B$999,"="&amp;$A$4,COM_All!$C$2:$C$999,"="&amp;'INS-UPD Heat'!$A37),"")</f>
        <v>0.5</v>
      </c>
      <c r="BT37" s="32">
        <f>IFERROR(AVERAGEIFS(COM_All!AI$2:AI$999,COM_All!$B$2:$B$999,"="&amp;$A$4,COM_All!$C$2:$C$999,"="&amp;'INS-UPD Heat'!$A37),"")</f>
        <v>0.56218475555346803</v>
      </c>
      <c r="BU37" s="32">
        <f>IFERROR(AVERAGEIFS(COM_All!AJ$2:AJ$999,COM_All!$B$2:$B$999,"="&amp;$A$4,COM_All!$C$2:$C$999,"="&amp;'INS-UPD Heat'!$A37),"")</f>
        <v>0.5</v>
      </c>
      <c r="BV37" s="32">
        <f>IFERROR(AVERAGEIFS(COM_All!AK$2:AK$999,COM_All!$B$2:$B$999,"="&amp;$A$4,COM_All!$C$2:$C$999,"="&amp;'INS-UPD Heat'!$A37),"")</f>
        <v>0.5</v>
      </c>
      <c r="BW37" s="32">
        <f>IFERROR(AVERAGEIFS(COM_All!AL$2:AL$999,COM_All!$B$2:$B$999,"="&amp;$A$4,COM_All!$C$2:$C$999,"="&amp;'INS-UPD Heat'!$A37),"")</f>
        <v>0.5</v>
      </c>
      <c r="BX37" s="32">
        <f>IFERROR(AVERAGEIFS(COM_All!AM$2:AM$999,COM_All!$B$2:$B$999,"="&amp;$A$4,COM_All!$C$2:$C$999,"="&amp;'INS-UPD Heat'!$A37),"")</f>
        <v>0.60957013258897397</v>
      </c>
      <c r="BY37" s="32">
        <f>IFERROR(AVERAGEIFS(COM_All!AN$2:AN$999,COM_All!$B$2:$B$999,"="&amp;$A$4,COM_All!$C$2:$C$999,"="&amp;'INS-UPD Heat'!$A37),"")</f>
        <v>0.5</v>
      </c>
      <c r="BZ37" s="32">
        <f>IFERROR(AVERAGEIFS(COM_All!AO$2:AO$999,COM_All!$B$2:$B$999,"="&amp;$A$4,COM_All!$C$2:$C$999,"="&amp;'INS-UPD Heat'!$A37),"")</f>
        <v>0.56218504357187304</v>
      </c>
      <c r="CA37" s="32">
        <f>IFERROR(AVERAGEIFS(COM_All!AP$2:AP$999,COM_All!$B$2:$B$999,"="&amp;$A$4,COM_All!$C$2:$C$999,"="&amp;'INS-UPD Heat'!$A37),"")</f>
        <v>0.5</v>
      </c>
      <c r="CB37" s="32">
        <f>IFERROR(AVERAGEIFS(COM_All!AQ$2:AQ$999,COM_All!$B$2:$B$999,"="&amp;$A$4,COM_All!$C$2:$C$999,"="&amp;'INS-UPD Heat'!$A37),"")</f>
        <v>0.55428700605841397</v>
      </c>
      <c r="CC37" s="32">
        <f>IFERROR(AVERAGEIFS(COM_All!AR$2:AR$999,COM_All!$B$2:$B$999,"="&amp;$A$4,COM_All!$C$2:$C$999,"="&amp;'INS-UPD Heat'!$A37),"")</f>
        <v>0.5</v>
      </c>
      <c r="CD37" s="32">
        <f>IFERROR(AVERAGEIFS(COM_All!AS$2:AS$999,COM_All!$B$2:$B$999,"="&amp;$A$4,COM_All!$C$2:$C$999,"="&amp;'INS-UPD Heat'!$A37),"")</f>
        <v>0.5</v>
      </c>
      <c r="CE37" s="32">
        <f>IFERROR(AVERAGEIFS(COM_All!AT$2:AT$999,COM_All!$B$2:$B$999,"="&amp;$A$4,COM_All!$C$2:$C$999,"="&amp;'INS-UPD Heat'!$A37),"")</f>
        <v>0.5</v>
      </c>
      <c r="CF37" s="32">
        <f>IFERROR(AVERAGEIFS(COM_All!AU$2:AU$999,COM_All!$B$2:$B$999,"="&amp;$A$4,COM_All!$C$2:$C$999,"="&amp;'INS-UPD Heat'!$A37),"")</f>
        <v>0.551654904555828</v>
      </c>
      <c r="CG37" s="33">
        <f>IFERROR(AVERAGEIFS(COM_All!AV$2:AV$999,COM_All!$B$2:$B$999,"="&amp;$A$4,COM_All!$C$2:$C$999,"="&amp;'INS-UPD Heat'!$A37),"")</f>
        <v>0.56744765243058803</v>
      </c>
    </row>
    <row r="38" spans="1:85" ht="15">
      <c r="A38" t="s">
        <v>154</v>
      </c>
      <c r="C38" t="s">
        <v>29</v>
      </c>
      <c r="D38" t="str">
        <f t="shared" si="41"/>
        <v>C_ES-SH-SS_BI*</v>
      </c>
      <c r="H38" s="54"/>
      <c r="I38" t="str">
        <f t="shared" si="3"/>
        <v>*1</v>
      </c>
      <c r="J38" t="str">
        <f t="shared" si="38"/>
        <v>*1.13273935601115</v>
      </c>
      <c r="K38" t="str">
        <f t="shared" si="39"/>
        <v>*1</v>
      </c>
      <c r="L38" t="str">
        <f t="shared" si="40"/>
        <v>*1.16287202779621</v>
      </c>
      <c r="M38" t="str">
        <f t="shared" si="6"/>
        <v>*0.951947404871184</v>
      </c>
      <c r="N38" t="str">
        <f t="shared" si="7"/>
        <v>*1</v>
      </c>
      <c r="O38" t="str">
        <f t="shared" si="8"/>
        <v>*0.891684624593808</v>
      </c>
      <c r="P38" t="str">
        <f t="shared" si="9"/>
        <v>*1.03230037990426</v>
      </c>
      <c r="Q38" s="48" t="str">
        <f t="shared" si="4"/>
        <v>*0.5</v>
      </c>
      <c r="R38" t="str">
        <f t="shared" si="10"/>
        <v>*1.0825169264074</v>
      </c>
      <c r="S38" t="str">
        <f t="shared" si="11"/>
        <v>*1.03229644898342</v>
      </c>
      <c r="T38" t="str">
        <f t="shared" si="12"/>
        <v>*1</v>
      </c>
      <c r="U38" t="str">
        <f t="shared" si="13"/>
        <v>*0.982080090991512</v>
      </c>
      <c r="V38" t="str">
        <f t="shared" si="14"/>
        <v>*1.0423429136333</v>
      </c>
      <c r="W38" t="str">
        <f t="shared" si="15"/>
        <v>*1.08252106666226</v>
      </c>
      <c r="X38" t="str">
        <f t="shared" si="16"/>
        <v>*1.05238453545451</v>
      </c>
      <c r="Y38" t="str">
        <f t="shared" si="17"/>
        <v>*1.05238966451752</v>
      </c>
      <c r="Z38" t="str">
        <f t="shared" si="18"/>
        <v>*1.1026073590249</v>
      </c>
      <c r="AA38" t="str">
        <f t="shared" si="19"/>
        <v>*1.0825169264074</v>
      </c>
      <c r="AB38" t="str">
        <f t="shared" si="20"/>
        <v>*1</v>
      </c>
      <c r="AC38" t="str">
        <f t="shared" si="21"/>
        <v>*1</v>
      </c>
      <c r="AD38" t="str">
        <f t="shared" si="22"/>
        <v>*1.03230017588431</v>
      </c>
      <c r="AE38" t="str">
        <f t="shared" si="23"/>
        <v>*1</v>
      </c>
      <c r="AF38" t="str">
        <f t="shared" si="24"/>
        <v>*1.07247594152106</v>
      </c>
      <c r="AG38" t="str">
        <f t="shared" si="25"/>
        <v>*1</v>
      </c>
      <c r="AH38" t="str">
        <f t="shared" si="26"/>
        <v>*1</v>
      </c>
      <c r="AI38" t="str">
        <f t="shared" si="27"/>
        <v>*1</v>
      </c>
      <c r="AJ38" t="str">
        <f t="shared" si="28"/>
        <v>*1.16287284644911</v>
      </c>
      <c r="AK38" t="str">
        <f t="shared" si="29"/>
        <v>*1.0825169264074</v>
      </c>
      <c r="AL38" t="str">
        <f t="shared" si="30"/>
        <v>*1.07247406151033</v>
      </c>
      <c r="AM38" t="str">
        <f t="shared" si="31"/>
        <v>*1</v>
      </c>
      <c r="AN38" t="str">
        <f t="shared" si="32"/>
        <v>*1</v>
      </c>
      <c r="AO38" t="str">
        <f t="shared" si="33"/>
        <v>*1</v>
      </c>
      <c r="AP38" t="str">
        <f t="shared" si="34"/>
        <v>*1.03229798151806</v>
      </c>
      <c r="AQ38" t="str">
        <f t="shared" si="35"/>
        <v>*1</v>
      </c>
      <c r="AR38" t="str">
        <f t="shared" si="36"/>
        <v>*1.05238916181003</v>
      </c>
      <c r="AS38" s="49" t="str">
        <f t="shared" si="37"/>
        <v>*1.08252104532776</v>
      </c>
      <c r="AV38" s="31">
        <f t="shared" si="5"/>
        <v>0.51720334953630942</v>
      </c>
      <c r="AW38" s="32">
        <f>IFERROR(AVERAGEIFS(COM_All!L$2:L$999,COM_All!$B$2:$B$999,"="&amp;$A$4,COM_All!$C$2:$C$999,"="&amp;'INS-UPD Heat'!$A38),"")</f>
        <v>0.5</v>
      </c>
      <c r="AX38" s="32">
        <f>IFERROR(AVERAGEIFS(COM_All!M$2:M$999,COM_All!$B$2:$B$999,"="&amp;$A$4,COM_All!$C$2:$C$999,"="&amp;'INS-UPD Heat'!$A38),"")</f>
        <v>0.56636967800557603</v>
      </c>
      <c r="AY38" s="32">
        <f>IFERROR(AVERAGEIFS(COM_All!N$2:N$999,COM_All!$B$2:$B$999,"="&amp;$A$4,COM_All!$C$2:$C$999,"="&amp;'INS-UPD Heat'!$A38),"")</f>
        <v>0.5</v>
      </c>
      <c r="AZ38" s="32">
        <f>IFERROR(AVERAGEIFS(COM_All!O$2:O$999,COM_All!$B$2:$B$999,"="&amp;$A$4,COM_All!$C$2:$C$999,"="&amp;'INS-UPD Heat'!$A38),"")</f>
        <v>0.58143601389810495</v>
      </c>
      <c r="BA38" s="32">
        <f>IFERROR(AVERAGEIFS(COM_All!P$2:P$999,COM_All!$B$2:$B$999,"="&amp;$A$4,COM_All!$C$2:$C$999,"="&amp;'INS-UPD Heat'!$A38),"")</f>
        <v>0.47597370243559201</v>
      </c>
      <c r="BB38" s="32">
        <f>IFERROR(AVERAGEIFS(COM_All!Q$2:Q$999,COM_All!$B$2:$B$999,"="&amp;$A$4,COM_All!$C$2:$C$999,"="&amp;'INS-UPD Heat'!$A38),"")</f>
        <v>0.5</v>
      </c>
      <c r="BC38" s="32">
        <f>IFERROR(AVERAGEIFS(COM_All!R$2:R$999,COM_All!$B$2:$B$999,"="&amp;$A$4,COM_All!$C$2:$C$999,"="&amp;'INS-UPD Heat'!$A38),"")</f>
        <v>0.44584231229690402</v>
      </c>
      <c r="BD38" s="32">
        <f>IFERROR(AVERAGEIFS(COM_All!S$2:S$999,COM_All!$B$2:$B$999,"="&amp;$A$4,COM_All!$C$2:$C$999,"="&amp;'INS-UPD Heat'!$A38),"")</f>
        <v>0.51615018995212902</v>
      </c>
      <c r="BE38" s="32">
        <f>IFERROR(AVERAGEIFS(COM_All!T$2:T$999,COM_All!$B$2:$B$999,"="&amp;$A$4,COM_All!$C$2:$C$999,"="&amp;'INS-UPD Heat'!$A38),"")</f>
        <v>0.5</v>
      </c>
      <c r="BF38" s="32">
        <f>IFERROR(AVERAGEIFS(COM_All!U$2:U$999,COM_All!$B$2:$B$999,"="&amp;$A$4,COM_All!$C$2:$C$999,"="&amp;'INS-UPD Heat'!$A38),"")</f>
        <v>0.54125846320370197</v>
      </c>
      <c r="BG38" s="32">
        <f>IFERROR(AVERAGEIFS(COM_All!V$2:V$999,COM_All!$B$2:$B$999,"="&amp;$A$4,COM_All!$C$2:$C$999,"="&amp;'INS-UPD Heat'!$A38),"")</f>
        <v>0.51614822449170805</v>
      </c>
      <c r="BH38" s="32">
        <f>IFERROR(AVERAGEIFS(COM_All!W$2:W$999,COM_All!$B$2:$B$999,"="&amp;$A$4,COM_All!$C$2:$C$999,"="&amp;'INS-UPD Heat'!$A38),"")</f>
        <v>0.5</v>
      </c>
      <c r="BI38" s="32">
        <f>IFERROR(AVERAGEIFS(COM_All!X$2:X$999,COM_All!$B$2:$B$999,"="&amp;$A$4,COM_All!$C$2:$C$999,"="&amp;'INS-UPD Heat'!$A38),"")</f>
        <v>0.49104004549575597</v>
      </c>
      <c r="BJ38" s="32">
        <f>IFERROR(AVERAGEIFS(COM_All!Y$2:Y$999,COM_All!$B$2:$B$999,"="&amp;$A$4,COM_All!$C$2:$C$999,"="&amp;'INS-UPD Heat'!$A38),"")</f>
        <v>0.521171456816652</v>
      </c>
      <c r="BK38" s="32">
        <f>IFERROR(AVERAGEIFS(COM_All!Z$2:Z$999,COM_All!$B$2:$B$999,"="&amp;$A$4,COM_All!$C$2:$C$999,"="&amp;'INS-UPD Heat'!$A38),"")</f>
        <v>0.541260533331132</v>
      </c>
      <c r="BL38" s="32">
        <f>IFERROR(AVERAGEIFS(COM_All!AA$2:AA$999,COM_All!$B$2:$B$999,"="&amp;$A$4,COM_All!$C$2:$C$999,"="&amp;'INS-UPD Heat'!$A38),"")</f>
        <v>0.52619226772725602</v>
      </c>
      <c r="BM38" s="32">
        <f>IFERROR(AVERAGEIFS(COM_All!AB$2:AB$999,COM_All!$B$2:$B$999,"="&amp;$A$4,COM_All!$C$2:$C$999,"="&amp;'INS-UPD Heat'!$A38),"")</f>
        <v>0.52619483225875896</v>
      </c>
      <c r="BN38" s="32">
        <f>IFERROR(AVERAGEIFS(COM_All!AC$2:AC$999,COM_All!$B$2:$B$999,"="&amp;$A$4,COM_All!$C$2:$C$999,"="&amp;'INS-UPD Heat'!$A38),"")</f>
        <v>0.55130367951244896</v>
      </c>
      <c r="BO38" s="32">
        <f>IFERROR(AVERAGEIFS(COM_All!AD$2:AD$999,COM_All!$B$2:$B$999,"="&amp;$A$4,COM_All!$C$2:$C$999,"="&amp;'INS-UPD Heat'!$A38),"")</f>
        <v>0.54125846320370197</v>
      </c>
      <c r="BP38" s="32">
        <f>IFERROR(AVERAGEIFS(COM_All!AE$2:AE$999,COM_All!$B$2:$B$999,"="&amp;$A$4,COM_All!$C$2:$C$999,"="&amp;'INS-UPD Heat'!$A38),"")</f>
        <v>0.5</v>
      </c>
      <c r="BQ38" s="32">
        <f>IFERROR(AVERAGEIFS(COM_All!AF$2:AF$999,COM_All!$B$2:$B$999,"="&amp;$A$4,COM_All!$C$2:$C$999,"="&amp;'INS-UPD Heat'!$A38),"")</f>
        <v>0.5</v>
      </c>
      <c r="BR38" s="32">
        <f>IFERROR(AVERAGEIFS(COM_All!AG$2:AG$999,COM_All!$B$2:$B$999,"="&amp;$A$4,COM_All!$C$2:$C$999,"="&amp;'INS-UPD Heat'!$A38),"")</f>
        <v>0.516150087942154</v>
      </c>
      <c r="BS38" s="32">
        <f>IFERROR(AVERAGEIFS(COM_All!AH$2:AH$999,COM_All!$B$2:$B$999,"="&amp;$A$4,COM_All!$C$2:$C$999,"="&amp;'INS-UPD Heat'!$A38),"")</f>
        <v>0.5</v>
      </c>
      <c r="BT38" s="32">
        <f>IFERROR(AVERAGEIFS(COM_All!AI$2:AI$999,COM_All!$B$2:$B$999,"="&amp;$A$4,COM_All!$C$2:$C$999,"="&amp;'INS-UPD Heat'!$A38),"")</f>
        <v>0.53623797076053004</v>
      </c>
      <c r="BU38" s="32">
        <f>IFERROR(AVERAGEIFS(COM_All!AJ$2:AJ$999,COM_All!$B$2:$B$999,"="&amp;$A$4,COM_All!$C$2:$C$999,"="&amp;'INS-UPD Heat'!$A38),"")</f>
        <v>0.5</v>
      </c>
      <c r="BV38" s="32">
        <f>IFERROR(AVERAGEIFS(COM_All!AK$2:AK$999,COM_All!$B$2:$B$999,"="&amp;$A$4,COM_All!$C$2:$C$999,"="&amp;'INS-UPD Heat'!$A38),"")</f>
        <v>0.5</v>
      </c>
      <c r="BW38" s="32">
        <f>IFERROR(AVERAGEIFS(COM_All!AL$2:AL$999,COM_All!$B$2:$B$999,"="&amp;$A$4,COM_All!$C$2:$C$999,"="&amp;'INS-UPD Heat'!$A38),"")</f>
        <v>0.5</v>
      </c>
      <c r="BX38" s="32">
        <f>IFERROR(AVERAGEIFS(COM_All!AM$2:AM$999,COM_All!$B$2:$B$999,"="&amp;$A$4,COM_All!$C$2:$C$999,"="&amp;'INS-UPD Heat'!$A38),"")</f>
        <v>0.58143642322455602</v>
      </c>
      <c r="BY38" s="32">
        <f>IFERROR(AVERAGEIFS(COM_All!AN$2:AN$999,COM_All!$B$2:$B$999,"="&amp;$A$4,COM_All!$C$2:$C$999,"="&amp;'INS-UPD Heat'!$A38),"")</f>
        <v>0.54125846320370197</v>
      </c>
      <c r="BZ38" s="32">
        <f>IFERROR(AVERAGEIFS(COM_All!AO$2:AO$999,COM_All!$B$2:$B$999,"="&amp;$A$4,COM_All!$C$2:$C$999,"="&amp;'INS-UPD Heat'!$A38),"")</f>
        <v>0.53623703075516505</v>
      </c>
      <c r="CA38" s="32">
        <f>IFERROR(AVERAGEIFS(COM_All!AP$2:AP$999,COM_All!$B$2:$B$999,"="&amp;$A$4,COM_All!$C$2:$C$999,"="&amp;'INS-UPD Heat'!$A38),"")</f>
        <v>0.5</v>
      </c>
      <c r="CB38" s="32">
        <f>IFERROR(AVERAGEIFS(COM_All!AQ$2:AQ$999,COM_All!$B$2:$B$999,"="&amp;$A$4,COM_All!$C$2:$C$999,"="&amp;'INS-UPD Heat'!$A38),"")</f>
        <v>0.5</v>
      </c>
      <c r="CC38" s="32">
        <f>IFERROR(AVERAGEIFS(COM_All!AR$2:AR$999,COM_All!$B$2:$B$999,"="&amp;$A$4,COM_All!$C$2:$C$999,"="&amp;'INS-UPD Heat'!$A38),"")</f>
        <v>0.5</v>
      </c>
      <c r="CD38" s="32">
        <f>IFERROR(AVERAGEIFS(COM_All!AS$2:AS$999,COM_All!$B$2:$B$999,"="&amp;$A$4,COM_All!$C$2:$C$999,"="&amp;'INS-UPD Heat'!$A38),"")</f>
        <v>0.51614899075903098</v>
      </c>
      <c r="CE38" s="32">
        <f>IFERROR(AVERAGEIFS(COM_All!AT$2:AT$999,COM_All!$B$2:$B$999,"="&amp;$A$4,COM_All!$C$2:$C$999,"="&amp;'INS-UPD Heat'!$A38),"")</f>
        <v>0.5</v>
      </c>
      <c r="CF38" s="32">
        <f>IFERROR(AVERAGEIFS(COM_All!AU$2:AU$999,COM_All!$B$2:$B$999,"="&amp;$A$4,COM_All!$C$2:$C$999,"="&amp;'INS-UPD Heat'!$A38),"")</f>
        <v>0.52619458090501303</v>
      </c>
      <c r="CG38" s="33">
        <f>IFERROR(AVERAGEIFS(COM_All!AV$2:AV$999,COM_All!$B$2:$B$999,"="&amp;$A$4,COM_All!$C$2:$C$999,"="&amp;'INS-UPD Heat'!$A38),"")</f>
        <v>0.54126052266387803</v>
      </c>
    </row>
    <row r="39" spans="1:85" ht="15">
      <c r="A39" t="s">
        <v>155</v>
      </c>
      <c r="C39" t="s">
        <v>29</v>
      </c>
      <c r="D39" t="str">
        <f t="shared" si="41"/>
        <v>C_ES-SH-SS_HE*</v>
      </c>
      <c r="H39" s="54"/>
      <c r="I39" t="str">
        <f t="shared" si="3"/>
        <v>*0.880504783355962</v>
      </c>
      <c r="J39" t="str">
        <f t="shared" si="38"/>
        <v>*0.957548618872751</v>
      </c>
      <c r="K39" t="str">
        <f t="shared" si="39"/>
        <v>*0.880504783355962</v>
      </c>
      <c r="L39" t="str">
        <f t="shared" si="40"/>
        <v>*0.983020646759874</v>
      </c>
      <c r="M39" t="str">
        <f t="shared" si="6"/>
        <v>*0.804718937699145</v>
      </c>
      <c r="N39" t="str">
        <f t="shared" si="7"/>
        <v>*1</v>
      </c>
      <c r="O39" t="str">
        <f t="shared" si="8"/>
        <v>*0.880504783355962</v>
      </c>
      <c r="P39" t="str">
        <f t="shared" si="9"/>
        <v>*0.872644275983274</v>
      </c>
      <c r="Q39" s="48" t="str">
        <f t="shared" si="4"/>
        <v>*0.908569737634899</v>
      </c>
      <c r="R39" t="str">
        <f t="shared" si="10"/>
        <v>*0.915095212233637</v>
      </c>
      <c r="S39" t="str">
        <f t="shared" si="11"/>
        <v>*0.872642655737943</v>
      </c>
      <c r="T39" t="str">
        <f t="shared" si="12"/>
        <v>*0.880504783355962</v>
      </c>
      <c r="U39" t="str">
        <f t="shared" si="13"/>
        <v>*0.880504783355962</v>
      </c>
      <c r="V39" t="str">
        <f t="shared" si="14"/>
        <v>*0.881131477151944</v>
      </c>
      <c r="W39" t="str">
        <f t="shared" si="15"/>
        <v>*0.915093124359608</v>
      </c>
      <c r="X39" t="str">
        <f t="shared" si="16"/>
        <v>*0.889625250941913</v>
      </c>
      <c r="Y39" t="str">
        <f t="shared" si="17"/>
        <v>*0.889623372740061</v>
      </c>
      <c r="Z39" t="str">
        <f t="shared" si="18"/>
        <v>*0.880504783355962</v>
      </c>
      <c r="AA39" t="str">
        <f t="shared" si="19"/>
        <v>*0.915095212233637</v>
      </c>
      <c r="AB39" t="str">
        <f t="shared" si="20"/>
        <v>*0.915095341838966</v>
      </c>
      <c r="AC39" t="str">
        <f t="shared" si="21"/>
        <v>*0.880504783355962</v>
      </c>
      <c r="AD39" t="str">
        <f t="shared" si="22"/>
        <v>*0.872640325737902</v>
      </c>
      <c r="AE39" t="str">
        <f t="shared" si="23"/>
        <v>*0.915097225102635</v>
      </c>
      <c r="AF39" t="str">
        <f t="shared" si="24"/>
        <v>*0.906602703277204</v>
      </c>
      <c r="AG39" t="str">
        <f t="shared" si="25"/>
        <v>*0.880504783355962</v>
      </c>
      <c r="AH39" t="str">
        <f t="shared" si="26"/>
        <v>*0.880504783355962</v>
      </c>
      <c r="AI39" t="str">
        <f t="shared" si="27"/>
        <v>*0.880504783355962</v>
      </c>
      <c r="AJ39" t="str">
        <f t="shared" si="28"/>
        <v>*0.983021041372418</v>
      </c>
      <c r="AK39" t="str">
        <f t="shared" si="29"/>
        <v>*0.915095212233637</v>
      </c>
      <c r="AL39" t="str">
        <f t="shared" si="30"/>
        <v>*0.906604639952111</v>
      </c>
      <c r="AM39" t="str">
        <f t="shared" si="31"/>
        <v>*0.855664327496265</v>
      </c>
      <c r="AN39" t="str">
        <f t="shared" si="32"/>
        <v>*0.89386936286641</v>
      </c>
      <c r="AO39" t="str">
        <f t="shared" si="33"/>
        <v>*0.880504783355962</v>
      </c>
      <c r="AP39" t="str">
        <f t="shared" si="34"/>
        <v>*0.872640441278991</v>
      </c>
      <c r="AQ39" t="str">
        <f t="shared" si="35"/>
        <v>*0.949060077873277</v>
      </c>
      <c r="AR39" t="str">
        <f t="shared" si="36"/>
        <v>*0.889625648915354</v>
      </c>
      <c r="AS39" s="49" t="str">
        <f t="shared" si="37"/>
        <v>*0.915096287669067</v>
      </c>
      <c r="AV39" s="31">
        <f t="shared" si="5"/>
        <v>0.81947843501339068</v>
      </c>
      <c r="AW39" s="32">
        <f>IFERROR(AVERAGEIFS(COM_All!L$2:L$999,COM_All!$B$2:$B$999,"="&amp;$A$4,COM_All!$C$2:$C$999,"="&amp;'INS-UPD Heat'!$A39),"")</f>
        <v>0.80000000000000004</v>
      </c>
      <c r="AX39" s="32">
        <f>IFERROR(AVERAGEIFS(COM_All!M$2:M$999,COM_All!$B$2:$B$999,"="&amp;$A$4,COM_All!$C$2:$C$999,"="&amp;'INS-UPD Heat'!$A39),"")</f>
        <v>0.869999697421875</v>
      </c>
      <c r="AY39" s="32">
        <f>IFERROR(AVERAGEIFS(COM_All!N$2:N$999,COM_All!$B$2:$B$999,"="&amp;$A$4,COM_All!$C$2:$C$999,"="&amp;'INS-UPD Heat'!$A39),"")</f>
        <v>0.80000000000000004</v>
      </c>
      <c r="AZ39" s="32">
        <f>IFERROR(AVERAGEIFS(COM_All!O$2:O$999,COM_All!$B$2:$B$999,"="&amp;$A$4,COM_All!$C$2:$C$999,"="&amp;'INS-UPD Heat'!$A39),"")</f>
        <v>0.893142811116307</v>
      </c>
      <c r="BA39" s="32">
        <f>IFERROR(AVERAGEIFS(COM_All!P$2:P$999,COM_All!$B$2:$B$999,"="&amp;$A$4,COM_All!$C$2:$C$999,"="&amp;'INS-UPD Heat'!$A39),"")</f>
        <v>0.73114327409514701</v>
      </c>
      <c r="BB39" s="32">
        <f>IFERROR(AVERAGEIFS(COM_All!Q$2:Q$999,COM_All!$B$2:$B$999,"="&amp;$A$4,COM_All!$C$2:$C$999,"="&amp;'INS-UPD Heat'!$A39),"")</f>
        <v>0.90856973763489901</v>
      </c>
      <c r="BC39" s="32">
        <f>IFERROR(AVERAGEIFS(COM_All!R$2:R$999,COM_All!$B$2:$B$999,"="&amp;$A$4,COM_All!$C$2:$C$999,"="&amp;'INS-UPD Heat'!$A39),"")</f>
        <v>0.80000000000000004</v>
      </c>
      <c r="BD39" s="32">
        <f>IFERROR(AVERAGEIFS(COM_All!S$2:S$999,COM_All!$B$2:$B$999,"="&amp;$A$4,COM_All!$C$2:$C$999,"="&amp;'INS-UPD Heat'!$A39),"")</f>
        <v>0.79285818087871995</v>
      </c>
      <c r="BE39" s="32">
        <f>IFERROR(AVERAGEIFS(COM_All!T$2:T$999,COM_All!$B$2:$B$999,"="&amp;$A$4,COM_All!$C$2:$C$999,"="&amp;'INS-UPD Heat'!$A39),"")</f>
        <v>0.90856973763489901</v>
      </c>
      <c r="BF39" s="32">
        <f>IFERROR(AVERAGEIFS(COM_All!U$2:U$999,COM_All!$B$2:$B$999,"="&amp;$A$4,COM_All!$C$2:$C$999,"="&amp;'INS-UPD Heat'!$A39),"")</f>
        <v>0.83142781689006795</v>
      </c>
      <c r="BG39" s="32">
        <f>IFERROR(AVERAGEIFS(COM_All!V$2:V$999,COM_All!$B$2:$B$999,"="&amp;$A$4,COM_All!$C$2:$C$999,"="&amp;'INS-UPD Heat'!$A39),"")</f>
        <v>0.79285670877284398</v>
      </c>
      <c r="BH39" s="32">
        <f>IFERROR(AVERAGEIFS(COM_All!W$2:W$999,COM_All!$B$2:$B$999,"="&amp;$A$4,COM_All!$C$2:$C$999,"="&amp;'INS-UPD Heat'!$A39),"")</f>
        <v>0.80000000000000004</v>
      </c>
      <c r="BI39" s="32">
        <f>IFERROR(AVERAGEIFS(COM_All!X$2:X$999,COM_All!$B$2:$B$999,"="&amp;$A$4,COM_All!$C$2:$C$999,"="&amp;'INS-UPD Heat'!$A39),"")</f>
        <v>0.80000000000000004</v>
      </c>
      <c r="BJ39" s="32">
        <f>IFERROR(AVERAGEIFS(COM_All!Y$2:Y$999,COM_All!$B$2:$B$999,"="&amp;$A$4,COM_All!$C$2:$C$999,"="&amp;'INS-UPD Heat'!$A39),"")</f>
        <v>0.80056939501779301</v>
      </c>
      <c r="BK39" s="32">
        <f>IFERROR(AVERAGEIFS(COM_All!Z$2:Z$999,COM_All!$B$2:$B$999,"="&amp;$A$4,COM_All!$C$2:$C$999,"="&amp;'INS-UPD Heat'!$A39),"")</f>
        <v>0.83142591991090897</v>
      </c>
      <c r="BL39" s="32">
        <f>IFERROR(AVERAGEIFS(COM_All!AA$2:AA$999,COM_All!$B$2:$B$999,"="&amp;$A$4,COM_All!$C$2:$C$999,"="&amp;'INS-UPD Heat'!$A39),"")</f>
        <v>0.80828658084167504</v>
      </c>
      <c r="BM39" s="32">
        <f>IFERROR(AVERAGEIFS(COM_All!AB$2:AB$999,COM_All!$B$2:$B$999,"="&amp;$A$4,COM_All!$C$2:$C$999,"="&amp;'INS-UPD Heat'!$A39),"")</f>
        <v>0.80828487436431096</v>
      </c>
      <c r="BN39" s="32">
        <f>IFERROR(AVERAGEIFS(COM_All!AC$2:AC$999,COM_All!$B$2:$B$999,"="&amp;$A$4,COM_All!$C$2:$C$999,"="&amp;'INS-UPD Heat'!$A39),"")</f>
        <v>0.80000000000000004</v>
      </c>
      <c r="BO39" s="32">
        <f>IFERROR(AVERAGEIFS(COM_All!AD$2:AD$999,COM_All!$B$2:$B$999,"="&amp;$A$4,COM_All!$C$2:$C$999,"="&amp;'INS-UPD Heat'!$A39),"")</f>
        <v>0.83142781689006795</v>
      </c>
      <c r="BP39" s="32">
        <f>IFERROR(AVERAGEIFS(COM_All!AE$2:AE$999,COM_All!$B$2:$B$999,"="&amp;$A$4,COM_All!$C$2:$C$999,"="&amp;'INS-UPD Heat'!$A39),"")</f>
        <v>0.83142793464554798</v>
      </c>
      <c r="BQ39" s="32">
        <f>IFERROR(AVERAGEIFS(COM_All!AF$2:AF$999,COM_All!$B$2:$B$999,"="&amp;$A$4,COM_All!$C$2:$C$999,"="&amp;'INS-UPD Heat'!$A39),"")</f>
        <v>0.80000000000000004</v>
      </c>
      <c r="BR39" s="32">
        <f>IFERROR(AVERAGEIFS(COM_All!AG$2:AG$999,COM_All!$B$2:$B$999,"="&amp;$A$4,COM_All!$C$2:$C$999,"="&amp;'INS-UPD Heat'!$A39),"")</f>
        <v>0.79285459180531803</v>
      </c>
      <c r="BS39" s="32">
        <f>IFERROR(AVERAGEIFS(COM_All!AH$2:AH$999,COM_All!$B$2:$B$999,"="&amp;$A$4,COM_All!$C$2:$C$999,"="&amp;'INS-UPD Heat'!$A39),"")</f>
        <v>0.83142964572192501</v>
      </c>
      <c r="BT39" s="32">
        <f>IFERROR(AVERAGEIFS(COM_All!AI$2:AI$999,COM_All!$B$2:$B$999,"="&amp;$A$4,COM_All!$C$2:$C$999,"="&amp;'INS-UPD Heat'!$A39),"")</f>
        <v>0.82371178025565905</v>
      </c>
      <c r="BU39" s="32">
        <f>IFERROR(AVERAGEIFS(COM_All!AJ$2:AJ$999,COM_All!$B$2:$B$999,"="&amp;$A$4,COM_All!$C$2:$C$999,"="&amp;'INS-UPD Heat'!$A39),"")</f>
        <v>0.80000000000000004</v>
      </c>
      <c r="BV39" s="32">
        <f>IFERROR(AVERAGEIFS(COM_All!AK$2:AK$999,COM_All!$B$2:$B$999,"="&amp;$A$4,COM_All!$C$2:$C$999,"="&amp;'INS-UPD Heat'!$A39),"")</f>
        <v>0.80000000000000004</v>
      </c>
      <c r="BW39" s="32">
        <f>IFERROR(AVERAGEIFS(COM_All!AL$2:AL$999,COM_All!$B$2:$B$999,"="&amp;$A$4,COM_All!$C$2:$C$999,"="&amp;'INS-UPD Heat'!$A39),"")</f>
        <v>0.80000000000000004</v>
      </c>
      <c r="BX39" s="32">
        <f>IFERROR(AVERAGEIFS(COM_All!AM$2:AM$999,COM_All!$B$2:$B$999,"="&amp;$A$4,COM_All!$C$2:$C$999,"="&amp;'INS-UPD Heat'!$A39),"")</f>
        <v>0.89314316964932305</v>
      </c>
      <c r="BY39" s="32">
        <f>IFERROR(AVERAGEIFS(COM_All!AN$2:AN$999,COM_All!$B$2:$B$999,"="&amp;$A$4,COM_All!$C$2:$C$999,"="&amp;'INS-UPD Heat'!$A39),"")</f>
        <v>0.83142781689006795</v>
      </c>
      <c r="BZ39" s="32">
        <f>IFERROR(AVERAGEIFS(COM_All!AO$2:AO$999,COM_All!$B$2:$B$999,"="&amp;$A$4,COM_All!$C$2:$C$999,"="&amp;'INS-UPD Heat'!$A39),"")</f>
        <v>0.82371353985987195</v>
      </c>
      <c r="CA39" s="32">
        <f>IFERROR(AVERAGEIFS(COM_All!AP$2:AP$999,COM_All!$B$2:$B$999,"="&amp;$A$4,COM_All!$C$2:$C$999,"="&amp;'INS-UPD Heat'!$A39),"")</f>
        <v>0.77743071353682403</v>
      </c>
      <c r="CB39" s="32">
        <f>IFERROR(AVERAGEIFS(COM_All!AQ$2:AQ$999,COM_All!$B$2:$B$999,"="&amp;$A$4,COM_All!$C$2:$C$999,"="&amp;'INS-UPD Heat'!$A39),"")</f>
        <v>0.81214265249940798</v>
      </c>
      <c r="CC39" s="32">
        <f>IFERROR(AVERAGEIFS(COM_All!AR$2:AR$999,COM_All!$B$2:$B$999,"="&amp;$A$4,COM_All!$C$2:$C$999,"="&amp;'INS-UPD Heat'!$A39),"")</f>
        <v>0.80000000000000004</v>
      </c>
      <c r="CD39" s="32">
        <f>IFERROR(AVERAGEIFS(COM_All!AS$2:AS$999,COM_All!$B$2:$B$999,"="&amp;$A$4,COM_All!$C$2:$C$999,"="&amp;'INS-UPD Heat'!$A39),"")</f>
        <v>0.79285469678245502</v>
      </c>
      <c r="CE39" s="32">
        <f>IFERROR(AVERAGEIFS(COM_All!AT$2:AT$999,COM_All!$B$2:$B$999,"="&amp;$A$4,COM_All!$C$2:$C$999,"="&amp;'INS-UPD Heat'!$A39),"")</f>
        <v>0.86228726595308003</v>
      </c>
      <c r="CF39" s="32">
        <f>IFERROR(AVERAGEIFS(COM_All!AU$2:AU$999,COM_All!$B$2:$B$999,"="&amp;$A$4,COM_All!$C$2:$C$999,"="&amp;'INS-UPD Heat'!$A39),"")</f>
        <v>0.80828694242830001</v>
      </c>
      <c r="CG39" s="33">
        <f>IFERROR(AVERAGEIFS(COM_All!AV$2:AV$999,COM_All!$B$2:$B$999,"="&amp;$A$4,COM_All!$C$2:$C$999,"="&amp;'INS-UPD Heat'!$A39),"")</f>
        <v>0.83142879399815395</v>
      </c>
    </row>
    <row r="40" spans="1:85" ht="39">
      <c r="A40" t="s">
        <v>156</v>
      </c>
      <c r="C40" t="s">
        <v>29</v>
      </c>
      <c r="D40" s="75" t="s">
        <v>413</v>
      </c>
      <c r="H40" s="54"/>
      <c r="I40" t="str">
        <f t="shared" si="3"/>
        <v>*0.814695640040816</v>
      </c>
      <c r="J40" t="str">
        <f t="shared" si="38"/>
        <v>*0.866863618757606</v>
      </c>
      <c r="K40" t="str">
        <f t="shared" si="39"/>
        <v>*0.814695640040816</v>
      </c>
      <c r="L40" t="str">
        <f t="shared" si="40"/>
        <v>*0.829770066565543</v>
      </c>
      <c r="M40" t="str">
        <f t="shared" si="6"/>
        <v>*0.670139292549879</v>
      </c>
      <c r="N40" t="str">
        <f t="shared" si="7"/>
        <v>*1</v>
      </c>
      <c r="O40" t="str">
        <f t="shared" si="8"/>
        <v>*0.806570689531818</v>
      </c>
      <c r="P40" t="str">
        <f t="shared" si="9"/>
        <v>*0.783236858692403</v>
      </c>
      <c r="Q40" s="48" t="str">
        <f t="shared" si="4"/>
        <v>*1.16338718199139</v>
      </c>
      <c r="R40" t="str">
        <f t="shared" si="10"/>
        <v>*0.964160419172593</v>
      </c>
      <c r="S40" t="str">
        <f t="shared" si="11"/>
        <v>*0.707243659269144</v>
      </c>
      <c r="T40" t="str">
        <f t="shared" si="12"/>
        <v>*0.814695640040816</v>
      </c>
      <c r="U40" t="str">
        <f t="shared" si="13"/>
        <v>*0.880205881297254</v>
      </c>
      <c r="V40" t="str">
        <f t="shared" si="14"/>
        <v>*0.915248470397476</v>
      </c>
      <c r="W40" t="str">
        <f t="shared" si="15"/>
        <v>*0.982636396644647</v>
      </c>
      <c r="X40" t="str">
        <f t="shared" si="16"/>
        <v>*0.731393580117313</v>
      </c>
      <c r="Y40" t="str">
        <f t="shared" si="17"/>
        <v>*0.847123481616257</v>
      </c>
      <c r="Z40" t="str">
        <f t="shared" si="18"/>
        <v>*0.856585176139782</v>
      </c>
      <c r="AA40" t="str">
        <f t="shared" si="19"/>
        <v>*0.964160419172593</v>
      </c>
      <c r="AB40" t="str">
        <f t="shared" si="20"/>
        <v>*0.975703024004163</v>
      </c>
      <c r="AC40" t="str">
        <f t="shared" si="21"/>
        <v>*0.814695640040816</v>
      </c>
      <c r="AD40" t="str">
        <f t="shared" si="22"/>
        <v>*0.801302174406614</v>
      </c>
      <c r="AE40" t="str">
        <f t="shared" si="23"/>
        <v>*1.04929722822849</v>
      </c>
      <c r="AF40" t="str">
        <f t="shared" si="24"/>
        <v>*0.802607320234305</v>
      </c>
      <c r="AG40" t="str">
        <f t="shared" si="25"/>
        <v>*0.814695640040816</v>
      </c>
      <c r="AH40" t="str">
        <f t="shared" si="26"/>
        <v>*0.814695640040816</v>
      </c>
      <c r="AI40" t="str">
        <f t="shared" si="27"/>
        <v>*0.662075744685471</v>
      </c>
      <c r="AJ40" t="str">
        <f t="shared" si="28"/>
        <v>*1.09991267506868</v>
      </c>
      <c r="AK40" t="str">
        <f t="shared" si="29"/>
        <v>*0.964160419172593</v>
      </c>
      <c r="AL40" t="str">
        <f t="shared" si="30"/>
        <v>*0.973806550892689</v>
      </c>
      <c r="AM40" t="str">
        <f t="shared" si="31"/>
        <v>*0.840908698492736</v>
      </c>
      <c r="AN40" t="str">
        <f t="shared" si="32"/>
        <v>*0.752940453106604</v>
      </c>
      <c r="AO40" t="str">
        <f t="shared" si="33"/>
        <v>*0.814695640040816</v>
      </c>
      <c r="AP40" t="str">
        <f t="shared" si="34"/>
        <v>*0.885880097942198</v>
      </c>
      <c r="AQ40" t="str">
        <f t="shared" si="35"/>
        <v>*0.839394722196866</v>
      </c>
      <c r="AR40" t="str">
        <f t="shared" si="36"/>
        <v>*0.812611601321336</v>
      </c>
      <c r="AS40" s="49" t="str">
        <f t="shared" si="37"/>
        <v>*1.05673460932283</v>
      </c>
      <c r="AV40" s="31">
        <f t="shared" si="5"/>
        <v>1.0069758378551188</v>
      </c>
      <c r="AW40" s="32">
        <f>IFERROR(AVERAGEIFS(COM_All!L$2:L$999,COM_All!$B$2:$B$999,"="&amp;$A$4,COM_All!$C$2:$C$999,"="&amp;'INS-UPD Heat'!$A40),"")</f>
        <v>0.94780646484775699</v>
      </c>
      <c r="AX40" s="32">
        <f>IFERROR(AVERAGEIFS(COM_All!M$2:M$999,COM_All!$B$2:$B$999,"="&amp;$A$4,COM_All!$C$2:$C$999,"="&amp;'INS-UPD Heat'!$A40),"")</f>
        <v>1.0084980225972699</v>
      </c>
      <c r="AY40" s="32">
        <f>IFERROR(AVERAGEIFS(COM_All!N$2:N$999,COM_All!$B$2:$B$999,"="&amp;$A$4,COM_All!$C$2:$C$999,"="&amp;'INS-UPD Heat'!$A40),"")</f>
        <v>0.94780646484775699</v>
      </c>
      <c r="AZ40" s="32">
        <f>IFERROR(AVERAGEIFS(COM_All!O$2:O$999,COM_All!$B$2:$B$999,"="&amp;$A$4,COM_All!$C$2:$C$999,"="&amp;'INS-UPD Heat'!$A40),"")</f>
        <v>0.96534385944249501</v>
      </c>
      <c r="BA40" s="32">
        <f>IFERROR(AVERAGEIFS(COM_All!P$2:P$999,COM_All!$B$2:$B$999,"="&amp;$A$4,COM_All!$C$2:$C$999,"="&amp;'INS-UPD Heat'!$A40),"")</f>
        <v>0.77963146310130704</v>
      </c>
      <c r="BB40" s="32">
        <f>IFERROR(AVERAGEIFS(COM_All!Q$2:Q$999,COM_All!$B$2:$B$999,"="&amp;$A$4,COM_All!$C$2:$C$999,"="&amp;'INS-UPD Heat'!$A40),"")</f>
        <v>1.1633871819913899</v>
      </c>
      <c r="BC40" s="32">
        <f>IFERROR(AVERAGEIFS(COM_All!R$2:R$999,COM_All!$B$2:$B$999,"="&amp;$A$4,COM_All!$C$2:$C$999,"="&amp;'INS-UPD Heat'!$A40),"")</f>
        <v>0.93835400157127402</v>
      </c>
      <c r="BD40" s="32">
        <f>IFERROR(AVERAGEIFS(COM_All!S$2:S$999,COM_All!$B$2:$B$999,"="&amp;$A$4,COM_All!$C$2:$C$999,"="&amp;'INS-UPD Heat'!$A40),"")</f>
        <v>0.91120772186594301</v>
      </c>
      <c r="BE40" s="32">
        <f>IFERROR(AVERAGEIFS(COM_All!T$2:T$999,COM_All!$B$2:$B$999,"="&amp;$A$4,COM_All!$C$2:$C$999,"="&amp;'INS-UPD Heat'!$A40),"")</f>
        <v>1.1633871819913899</v>
      </c>
      <c r="BF40" s="32">
        <f>IFERROR(AVERAGEIFS(COM_All!U$2:U$999,COM_All!$B$2:$B$999,"="&amp;$A$4,COM_All!$C$2:$C$999,"="&amp;'INS-UPD Heat'!$A40),"")</f>
        <v>1.1216918730488401</v>
      </c>
      <c r="BG40" s="32">
        <f>IFERROR(AVERAGEIFS(COM_All!V$2:V$999,COM_All!$B$2:$B$999,"="&amp;$A$4,COM_All!$C$2:$C$999,"="&amp;'INS-UPD Heat'!$A40),"")</f>
        <v>0.82279820773840795</v>
      </c>
      <c r="BH40" s="32">
        <f>IFERROR(AVERAGEIFS(COM_All!W$2:W$999,COM_All!$B$2:$B$999,"="&amp;$A$4,COM_All!$C$2:$C$999,"="&amp;'INS-UPD Heat'!$A40),"")</f>
        <v>0.94780646484775699</v>
      </c>
      <c r="BI40" s="32">
        <f>IFERROR(AVERAGEIFS(COM_All!X$2:X$999,COM_All!$B$2:$B$999,"="&amp;$A$4,COM_All!$C$2:$C$999,"="&amp;'INS-UPD Heat'!$A40),"")</f>
        <v>1.0240202398146601</v>
      </c>
      <c r="BJ40" s="32">
        <f>IFERROR(AVERAGEIFS(COM_All!Y$2:Y$999,COM_All!$B$2:$B$999,"="&amp;$A$4,COM_All!$C$2:$C$999,"="&amp;'INS-UPD Heat'!$A40),"")</f>
        <v>1.06478833879765</v>
      </c>
      <c r="BK40" s="32">
        <f>IFERROR(AVERAGEIFS(COM_All!Z$2:Z$999,COM_All!$B$2:$B$999,"="&amp;$A$4,COM_All!$C$2:$C$999,"="&amp;'INS-UPD Heat'!$A40),"")</f>
        <v>1.14318658841459</v>
      </c>
      <c r="BL40" s="32">
        <f>IFERROR(AVERAGEIFS(COM_All!AA$2:AA$999,COM_All!$B$2:$B$999,"="&amp;$A$4,COM_All!$C$2:$C$999,"="&amp;'INS-UPD Heat'!$A40),"")</f>
        <v>0.85089391609927501</v>
      </c>
      <c r="BM40" s="32">
        <f>IFERROR(AVERAGEIFS(COM_All!AB$2:AB$999,COM_All!$B$2:$B$999,"="&amp;$A$4,COM_All!$C$2:$C$999,"="&amp;'INS-UPD Heat'!$A40),"")</f>
        <v>0.98553260007627197</v>
      </c>
      <c r="BN40" s="32">
        <f>IFERROR(AVERAGEIFS(COM_All!AC$2:AC$999,COM_All!$B$2:$B$999,"="&amp;$A$4,COM_All!$C$2:$C$999,"="&amp;'INS-UPD Heat'!$A40),"")</f>
        <v>0.99654021420485905</v>
      </c>
      <c r="BO40" s="32">
        <f>IFERROR(AVERAGEIFS(COM_All!AD$2:AD$999,COM_All!$B$2:$B$999,"="&amp;$A$4,COM_All!$C$2:$C$999,"="&amp;'INS-UPD Heat'!$A40),"")</f>
        <v>1.1216918730488401</v>
      </c>
      <c r="BP40" s="32">
        <f>IFERROR(AVERAGEIFS(COM_All!AE$2:AE$999,COM_All!$B$2:$B$999,"="&amp;$A$4,COM_All!$C$2:$C$999,"="&amp;'INS-UPD Heat'!$A40),"")</f>
        <v>1.1351203915566801</v>
      </c>
      <c r="BQ40" s="32">
        <f>IFERROR(AVERAGEIFS(COM_All!AF$2:AF$999,COM_All!$B$2:$B$999,"="&amp;$A$4,COM_All!$C$2:$C$999,"="&amp;'INS-UPD Heat'!$A40),"")</f>
        <v>0.94780646484775699</v>
      </c>
      <c r="BR40" s="32">
        <f>IFERROR(AVERAGEIFS(COM_All!AG$2:AG$999,COM_All!$B$2:$B$999,"="&amp;$A$4,COM_All!$C$2:$C$999,"="&amp;'INS-UPD Heat'!$A40),"")</f>
        <v>0.93222467860648395</v>
      </c>
      <c r="BS40" s="32">
        <f>IFERROR(AVERAGEIFS(COM_All!AH$2:AH$999,COM_All!$B$2:$B$999,"="&amp;$A$4,COM_All!$C$2:$C$999,"="&amp;'INS-UPD Heat'!$A40),"")</f>
        <v>1.2207389454201201</v>
      </c>
      <c r="BT40" s="32">
        <f>IFERROR(AVERAGEIFS(COM_All!AI$2:AI$999,COM_All!$B$2:$B$999,"="&amp;$A$4,COM_All!$C$2:$C$999,"="&amp;'INS-UPD Heat'!$A40),"")</f>
        <v>0.933743068533049</v>
      </c>
      <c r="BU40" s="32">
        <f>IFERROR(AVERAGEIFS(COM_All!AJ$2:AJ$999,COM_All!$B$2:$B$999,"="&amp;$A$4,COM_All!$C$2:$C$999,"="&amp;'INS-UPD Heat'!$A40),"")</f>
        <v>0.94780646484775699</v>
      </c>
      <c r="BV40" s="32">
        <f>IFERROR(AVERAGEIFS(COM_All!AK$2:AK$999,COM_All!$B$2:$B$999,"="&amp;$A$4,COM_All!$C$2:$C$999,"="&amp;'INS-UPD Heat'!$A40),"")</f>
        <v>0.94780646484775699</v>
      </c>
      <c r="BW40" s="32">
        <f>IFERROR(AVERAGEIFS(COM_All!AL$2:AL$999,COM_All!$B$2:$B$999,"="&amp;$A$4,COM_All!$C$2:$C$999,"="&amp;'INS-UPD Heat'!$A40),"")</f>
        <v>0.77025043487448097</v>
      </c>
      <c r="BX40" s="32">
        <f>IFERROR(AVERAGEIFS(COM_All!AM$2:AM$999,COM_All!$B$2:$B$999,"="&amp;$A$4,COM_All!$C$2:$C$999,"="&amp;'INS-UPD Heat'!$A40),"")</f>
        <v>1.27962430748476</v>
      </c>
      <c r="BY40" s="32">
        <f>IFERROR(AVERAGEIFS(COM_All!AN$2:AN$999,COM_All!$B$2:$B$999,"="&amp;$A$4,COM_All!$C$2:$C$999,"="&amp;'INS-UPD Heat'!$A40),"")</f>
        <v>1.1216918730488401</v>
      </c>
      <c r="BZ40" s="32">
        <f>IFERROR(AVERAGEIFS(COM_All!AO$2:AO$999,COM_All!$B$2:$B$999,"="&amp;$A$4,COM_All!$C$2:$C$999,"="&amp;'INS-UPD Heat'!$A40),"")</f>
        <v>1.1329140590478</v>
      </c>
      <c r="CA40" s="32">
        <f>IFERROR(AVERAGEIFS(COM_All!AP$2:AP$999,COM_All!$B$2:$B$999,"="&amp;$A$4,COM_All!$C$2:$C$999,"="&amp;'INS-UPD Heat'!$A40),"")</f>
        <v>0.97830240105151101</v>
      </c>
      <c r="CB40" s="32">
        <f>IFERROR(AVERAGEIFS(COM_All!AQ$2:AQ$999,COM_All!$B$2:$B$999,"="&amp;$A$4,COM_All!$C$2:$C$999,"="&amp;'INS-UPD Heat'!$A40),"")</f>
        <v>0.87596127194701201</v>
      </c>
      <c r="CC40" s="32">
        <f>IFERROR(AVERAGEIFS(COM_All!AR$2:AR$999,COM_All!$B$2:$B$999,"="&amp;$A$4,COM_All!$C$2:$C$999,"="&amp;'INS-UPD Heat'!$A40),"")</f>
        <v>0.94780646484775699</v>
      </c>
      <c r="CD40" s="32">
        <f>IFERROR(AVERAGEIFS(COM_All!AS$2:AS$999,COM_All!$B$2:$B$999,"="&amp;$A$4,COM_All!$C$2:$C$999,"="&amp;'INS-UPD Heat'!$A40),"")</f>
        <v>1.0306215507272301</v>
      </c>
      <c r="CE40" s="32">
        <f>IFERROR(AVERAGEIFS(COM_All!AT$2:AT$999,COM_All!$B$2:$B$999,"="&amp;$A$4,COM_All!$C$2:$C$999,"="&amp;'INS-UPD Heat'!$A40),"")</f>
        <v>0.97654106043505795</v>
      </c>
      <c r="CF40" s="32">
        <f>IFERROR(AVERAGEIFS(COM_All!AU$2:AU$999,COM_All!$B$2:$B$999,"="&amp;$A$4,COM_All!$C$2:$C$999,"="&amp;'INS-UPD Heat'!$A40),"")</f>
        <v>0.94538192091474005</v>
      </c>
      <c r="CG40" s="33">
        <f>IFERROR(AVERAGEIFS(COM_All!AV$2:AV$999,COM_All!$B$2:$B$999,"="&amp;$A$4,COM_All!$C$2:$C$999,"="&amp;'INS-UPD Heat'!$A40),"")</f>
        <v>1.2293914992528601</v>
      </c>
    </row>
    <row r="41" spans="1:85" ht="15">
      <c r="A41" t="s">
        <v>157</v>
      </c>
      <c r="C41" t="s">
        <v>29</v>
      </c>
      <c r="D41" t="str">
        <f t="shared" si="41"/>
        <v>C_ES-SH-SS_GA*</v>
      </c>
      <c r="H41" s="54"/>
      <c r="I41" t="str">
        <f t="shared" si="3"/>
        <v>*0.751789844164435</v>
      </c>
      <c r="J41" t="str">
        <f t="shared" si="38"/>
        <v>*0.958971368982325</v>
      </c>
      <c r="K41" t="str">
        <f t="shared" si="39"/>
        <v>*0.751789844164435</v>
      </c>
      <c r="L41" t="str">
        <f t="shared" si="40"/>
        <v>*0.98247021598169</v>
      </c>
      <c r="M41" t="str">
        <f t="shared" si="6"/>
        <v>*0.801022925677764</v>
      </c>
      <c r="N41" t="str">
        <f t="shared" si="7"/>
        <v>*1</v>
      </c>
      <c r="O41" t="str">
        <f t="shared" si="8"/>
        <v>*0.750312177594846</v>
      </c>
      <c r="P41" t="str">
        <f t="shared" si="9"/>
        <v>*0.870852828625521</v>
      </c>
      <c r="Q41" s="48" t="str">
        <f t="shared" si="4"/>
        <v>*0.766721004074585</v>
      </c>
      <c r="R41" t="str">
        <f t="shared" si="10"/>
        <v>*0.916481590266539</v>
      </c>
      <c r="S41" t="str">
        <f t="shared" si="11"/>
        <v>*0.868634629976933</v>
      </c>
      <c r="T41" t="str">
        <f t="shared" si="12"/>
        <v>*0.751789844164435</v>
      </c>
      <c r="U41" t="str">
        <f t="shared" si="13"/>
        <v>*0.831402561906822</v>
      </c>
      <c r="V41" t="str">
        <f t="shared" si="14"/>
        <v>*0.877090057188528</v>
      </c>
      <c r="W41" t="str">
        <f t="shared" si="15"/>
        <v>*0.913903595895035</v>
      </c>
      <c r="X41" t="str">
        <f t="shared" si="16"/>
        <v>*0.887582361489164</v>
      </c>
      <c r="Y41" t="str">
        <f t="shared" si="17"/>
        <v>*0.88826694111973</v>
      </c>
      <c r="Z41" t="str">
        <f t="shared" si="18"/>
        <v>*0.932017066676991</v>
      </c>
      <c r="AA41" t="str">
        <f t="shared" si="19"/>
        <v>*0.916481590266539</v>
      </c>
      <c r="AB41" t="str">
        <f t="shared" si="20"/>
        <v>*0.912611573794044</v>
      </c>
      <c r="AC41" t="str">
        <f t="shared" si="21"/>
        <v>*0.751789844164435</v>
      </c>
      <c r="AD41" t="str">
        <f t="shared" si="22"/>
        <v>*0.868636514902445</v>
      </c>
      <c r="AE41" t="str">
        <f t="shared" si="23"/>
        <v>*0.916280573443744</v>
      </c>
      <c r="AF41" t="str">
        <f t="shared" si="24"/>
        <v>*0.902440555603779</v>
      </c>
      <c r="AG41" t="str">
        <f t="shared" si="25"/>
        <v>*0.751789844164435</v>
      </c>
      <c r="AH41" t="str">
        <f t="shared" si="26"/>
        <v>*0.751789844164435</v>
      </c>
      <c r="AI41" t="str">
        <f t="shared" si="27"/>
        <v>*0.782553232285825</v>
      </c>
      <c r="AJ41" t="str">
        <f t="shared" si="28"/>
        <v>*0.983432278118349</v>
      </c>
      <c r="AK41" t="str">
        <f t="shared" si="29"/>
        <v>*0.916481590266539</v>
      </c>
      <c r="AL41" t="str">
        <f t="shared" si="30"/>
        <v>*0.907097458133649</v>
      </c>
      <c r="AM41" t="str">
        <f t="shared" si="31"/>
        <v>*0.858910478986323</v>
      </c>
      <c r="AN41" t="str">
        <f t="shared" si="32"/>
        <v>*0.890676709498201</v>
      </c>
      <c r="AO41" t="str">
        <f t="shared" si="33"/>
        <v>*0.751789844164435</v>
      </c>
      <c r="AP41" t="str">
        <f t="shared" si="34"/>
        <v>*0.868634823876442</v>
      </c>
      <c r="AQ41" t="str">
        <f t="shared" si="35"/>
        <v>*0.944703220399034</v>
      </c>
      <c r="AR41" t="str">
        <f t="shared" si="36"/>
        <v>*0.887897908847503</v>
      </c>
      <c r="AS41" s="49" t="str">
        <f t="shared" si="37"/>
        <v>*0.915420971135312</v>
      </c>
      <c r="AV41" s="31">
        <f t="shared" si="5"/>
        <v>0.66754039347608862</v>
      </c>
      <c r="AW41" s="32">
        <f>IFERROR(AVERAGEIFS(COM_All!L$2:L$999,COM_All!$B$2:$B$999,"="&amp;$A$4,COM_All!$C$2:$C$999,"="&amp;'INS-UPD Heat'!$A41),"")</f>
        <v>0.57641306417083105</v>
      </c>
      <c r="AX41" s="32">
        <f>IFERROR(AVERAGEIFS(COM_All!M$2:M$999,COM_All!$B$2:$B$999,"="&amp;$A$4,COM_All!$C$2:$C$999,"="&amp;'INS-UPD Heat'!$A41),"")</f>
        <v>0.73526349090490795</v>
      </c>
      <c r="AY41" s="32">
        <f>IFERROR(AVERAGEIFS(COM_All!N$2:N$999,COM_All!$B$2:$B$999,"="&amp;$A$4,COM_All!$C$2:$C$999,"="&amp;'INS-UPD Heat'!$A41),"")</f>
        <v>0.57641306417083105</v>
      </c>
      <c r="AZ41" s="32">
        <f>IFERROR(AVERAGEIFS(COM_All!O$2:O$999,COM_All!$B$2:$B$999,"="&amp;$A$4,COM_All!$C$2:$C$999,"="&amp;'INS-UPD Heat'!$A41),"")</f>
        <v>0.75328055047085596</v>
      </c>
      <c r="BA41" s="32">
        <f>IFERROR(AVERAGEIFS(COM_All!P$2:P$999,COM_All!$B$2:$B$999,"="&amp;$A$4,COM_All!$C$2:$C$999,"="&amp;'INS-UPD Heat'!$A41),"")</f>
        <v>0.61416110186241701</v>
      </c>
      <c r="BB41" s="32">
        <f>IFERROR(AVERAGEIFS(COM_All!Q$2:Q$999,COM_All!$B$2:$B$999,"="&amp;$A$4,COM_All!$C$2:$C$999,"="&amp;'INS-UPD Heat'!$A41),"")</f>
        <v>0.76672100407458499</v>
      </c>
      <c r="BC41" s="32">
        <f>IFERROR(AVERAGEIFS(COM_All!R$2:R$999,COM_All!$B$2:$B$999,"="&amp;$A$4,COM_All!$C$2:$C$999,"="&amp;'INS-UPD Heat'!$A41),"")</f>
        <v>0.57528010617490899</v>
      </c>
      <c r="BD41" s="32">
        <f>IFERROR(AVERAGEIFS(COM_All!S$2:S$999,COM_All!$B$2:$B$999,"="&amp;$A$4,COM_All!$C$2:$C$999,"="&amp;'INS-UPD Heat'!$A41),"")</f>
        <v>0.66770115516495199</v>
      </c>
      <c r="BE41" s="32">
        <f>IFERROR(AVERAGEIFS(COM_All!T$2:T$999,COM_All!$B$2:$B$999,"="&amp;$A$4,COM_All!$C$2:$C$999,"="&amp;'INS-UPD Heat'!$A41),"")</f>
        <v>0.76672100407458499</v>
      </c>
      <c r="BF41" s="32">
        <f>IFERROR(AVERAGEIFS(COM_All!U$2:U$999,COM_All!$B$2:$B$999,"="&amp;$A$4,COM_All!$C$2:$C$999,"="&amp;'INS-UPD Heat'!$A41),"")</f>
        <v>0.70268568510503304</v>
      </c>
      <c r="BG41" s="32">
        <f>IFERROR(AVERAGEIFS(COM_All!V$2:V$999,COM_All!$B$2:$B$999,"="&amp;$A$4,COM_All!$C$2:$C$999,"="&amp;'INS-UPD Heat'!$A41),"")</f>
        <v>0.66600041566987001</v>
      </c>
      <c r="BH41" s="32">
        <f>IFERROR(AVERAGEIFS(COM_All!W$2:W$999,COM_All!$B$2:$B$999,"="&amp;$A$4,COM_All!$C$2:$C$999,"="&amp;'INS-UPD Heat'!$A41),"")</f>
        <v>0.57641306417083105</v>
      </c>
      <c r="BI41" s="32">
        <f>IFERROR(AVERAGEIFS(COM_All!X$2:X$999,COM_All!$B$2:$B$999,"="&amp;$A$4,COM_All!$C$2:$C$999,"="&amp;'INS-UPD Heat'!$A41),"")</f>
        <v>0.63745380705538102</v>
      </c>
      <c r="BJ41" s="32">
        <f>IFERROR(AVERAGEIFS(COM_All!Y$2:Y$999,COM_All!$B$2:$B$999,"="&amp;$A$4,COM_All!$C$2:$C$999,"="&amp;'INS-UPD Heat'!$A41),"")</f>
        <v>0.67248336931142305</v>
      </c>
      <c r="BK41" s="32">
        <f>IFERROR(AVERAGEIFS(COM_All!Z$2:Z$999,COM_All!$B$2:$B$999,"="&amp;$A$4,COM_All!$C$2:$C$999,"="&amp;'INS-UPD Heat'!$A41),"")</f>
        <v>0.70070908267201504</v>
      </c>
      <c r="BL41" s="32">
        <f>IFERROR(AVERAGEIFS(COM_All!AA$2:AA$999,COM_All!$B$2:$B$999,"="&amp;$A$4,COM_All!$C$2:$C$999,"="&amp;'INS-UPD Heat'!$A41),"")</f>
        <v>0.68052803939986295</v>
      </c>
      <c r="BM41" s="32">
        <f>IFERROR(AVERAGEIFS(COM_All!AB$2:AB$999,COM_All!$B$2:$B$999,"="&amp;$A$4,COM_All!$C$2:$C$999,"="&amp;'INS-UPD Heat'!$A41),"")</f>
        <v>0.68105292098157999</v>
      </c>
      <c r="BN41" s="32">
        <f>IFERROR(AVERAGEIFS(COM_All!AC$2:AC$999,COM_All!$B$2:$B$999,"="&amp;$A$4,COM_All!$C$2:$C$999,"="&amp;'INS-UPD Heat'!$A41),"")</f>
        <v>0.71459706117723198</v>
      </c>
      <c r="BO41" s="32">
        <f>IFERROR(AVERAGEIFS(COM_All!AD$2:AD$999,COM_All!$B$2:$B$999,"="&amp;$A$4,COM_All!$C$2:$C$999,"="&amp;'INS-UPD Heat'!$A41),"")</f>
        <v>0.70268568510503304</v>
      </c>
      <c r="BP41" s="32">
        <f>IFERROR(AVERAGEIFS(COM_All!AE$2:AE$999,COM_All!$B$2:$B$999,"="&amp;$A$4,COM_All!$C$2:$C$999,"="&amp;'INS-UPD Heat'!$A41),"")</f>
        <v>0.69971846218945699</v>
      </c>
      <c r="BQ41" s="32">
        <f>IFERROR(AVERAGEIFS(COM_All!AF$2:AF$999,COM_All!$B$2:$B$999,"="&amp;$A$4,COM_All!$C$2:$C$999,"="&amp;'INS-UPD Heat'!$A41),"")</f>
        <v>0.57641306417083105</v>
      </c>
      <c r="BR41" s="32">
        <f>IFERROR(AVERAGEIFS(COM_All!AG$2:AG$999,COM_All!$B$2:$B$999,"="&amp;$A$4,COM_All!$C$2:$C$999,"="&amp;'INS-UPD Heat'!$A41),"")</f>
        <v>0.66600186088185098</v>
      </c>
      <c r="BS41" s="32">
        <f>IFERROR(AVERAGEIFS(COM_All!AH$2:AH$999,COM_All!$B$2:$B$999,"="&amp;$A$4,COM_All!$C$2:$C$999,"="&amp;'INS-UPD Heat'!$A41),"")</f>
        <v>0.70253156128482397</v>
      </c>
      <c r="BT41" s="32">
        <f>IFERROR(AVERAGEIFS(COM_All!AI$2:AI$999,COM_All!$B$2:$B$999,"="&amp;$A$4,COM_All!$C$2:$C$999,"="&amp;'INS-UPD Heat'!$A41),"")</f>
        <v>0.69192012891015597</v>
      </c>
      <c r="BU41" s="32">
        <f>IFERROR(AVERAGEIFS(COM_All!AJ$2:AJ$999,COM_All!$B$2:$B$999,"="&amp;$A$4,COM_All!$C$2:$C$999,"="&amp;'INS-UPD Heat'!$A41),"")</f>
        <v>0.57641306417083105</v>
      </c>
      <c r="BV41" s="32">
        <f>IFERROR(AVERAGEIFS(COM_All!AK$2:AK$999,COM_All!$B$2:$B$999,"="&amp;$A$4,COM_All!$C$2:$C$999,"="&amp;'INS-UPD Heat'!$A41),"")</f>
        <v>0.57641306417083105</v>
      </c>
      <c r="BW41" s="32">
        <f>IFERROR(AVERAGEIFS(COM_All!AL$2:AL$999,COM_All!$B$2:$B$999,"="&amp;$A$4,COM_All!$C$2:$C$999,"="&amp;'INS-UPD Heat'!$A41),"")</f>
        <v>0.59999999999999998</v>
      </c>
      <c r="BX41" s="32">
        <f>IFERROR(AVERAGEIFS(COM_All!AM$2:AM$999,COM_All!$B$2:$B$999,"="&amp;$A$4,COM_All!$C$2:$C$999,"="&amp;'INS-UPD Heat'!$A41),"")</f>
        <v>0.75401818371825702</v>
      </c>
      <c r="BY41" s="32">
        <f>IFERROR(AVERAGEIFS(COM_All!AN$2:AN$999,COM_All!$B$2:$B$999,"="&amp;$A$4,COM_All!$C$2:$C$999,"="&amp;'INS-UPD Heat'!$A41),"")</f>
        <v>0.70268568510503304</v>
      </c>
      <c r="BZ41" s="32">
        <f>IFERROR(AVERAGEIFS(COM_All!AO$2:AO$999,COM_All!$B$2:$B$999,"="&amp;$A$4,COM_All!$C$2:$C$999,"="&amp;'INS-UPD Heat'!$A41),"")</f>
        <v>0.69549067389373498</v>
      </c>
      <c r="CA41" s="32">
        <f>IFERROR(AVERAGEIFS(COM_All!AP$2:AP$999,COM_All!$B$2:$B$999,"="&amp;$A$4,COM_All!$C$2:$C$999,"="&amp;'INS-UPD Heat'!$A41),"")</f>
        <v>0.65854470485857597</v>
      </c>
      <c r="CB41" s="32">
        <f>IFERROR(AVERAGEIFS(COM_All!AQ$2:AQ$999,COM_All!$B$2:$B$999,"="&amp;$A$4,COM_All!$C$2:$C$999,"="&amp;'INS-UPD Heat'!$A41),"")</f>
        <v>0.68290054101230802</v>
      </c>
      <c r="CC41" s="32">
        <f>IFERROR(AVERAGEIFS(COM_All!AR$2:AR$999,COM_All!$B$2:$B$999,"="&amp;$A$4,COM_All!$C$2:$C$999,"="&amp;'INS-UPD Heat'!$A41),"")</f>
        <v>0.57641306417083105</v>
      </c>
      <c r="CD41" s="32">
        <f>IFERROR(AVERAGEIFS(COM_All!AS$2:AS$999,COM_All!$B$2:$B$999,"="&amp;$A$4,COM_All!$C$2:$C$999,"="&amp;'INS-UPD Heat'!$A41),"")</f>
        <v>0.66600056433669597</v>
      </c>
      <c r="CE41" s="32">
        <f>IFERROR(AVERAGEIFS(COM_All!AT$2:AT$999,COM_All!$B$2:$B$999,"="&amp;$A$4,COM_All!$C$2:$C$999,"="&amp;'INS-UPD Heat'!$A41),"")</f>
        <v>0.72432380169684096</v>
      </c>
      <c r="CF41" s="32">
        <f>IFERROR(AVERAGEIFS(COM_All!AU$2:AU$999,COM_All!$B$2:$B$999,"="&amp;$A$4,COM_All!$C$2:$C$999,"="&amp;'INS-UPD Heat'!$A41),"")</f>
        <v>0.68076997618728197</v>
      </c>
      <c r="CG41" s="33">
        <f>IFERROR(AVERAGEIFS(COM_All!AV$2:AV$999,COM_All!$B$2:$B$999,"="&amp;$A$4,COM_All!$C$2:$C$999,"="&amp;'INS-UPD Heat'!$A41),"")</f>
        <v>0.70187248613979802</v>
      </c>
    </row>
    <row r="42" spans="1:85" ht="15">
      <c r="A42" t="s">
        <v>158</v>
      </c>
      <c r="C42" t="s">
        <v>29</v>
      </c>
      <c r="D42" t="str">
        <f t="shared" si="41"/>
        <v>C_ES-SH-SS_OI*</v>
      </c>
      <c r="H42" s="54"/>
      <c r="I42" t="str">
        <f t="shared" si="3"/>
        <v>*0.753773411000091</v>
      </c>
      <c r="J42" t="str">
        <f t="shared" si="38"/>
        <v>*0.957544163772634</v>
      </c>
      <c r="K42" t="str">
        <f t="shared" si="39"/>
        <v>*0.753773411000091</v>
      </c>
      <c r="L42" t="str">
        <f t="shared" si="40"/>
        <v>*0.983016992017122</v>
      </c>
      <c r="M42" t="str">
        <f t="shared" si="6"/>
        <v>*0.804716585177828</v>
      </c>
      <c r="N42" t="str">
        <f t="shared" si="7"/>
        <v>*1</v>
      </c>
      <c r="O42" t="str">
        <f t="shared" si="8"/>
        <v>*0.753771965014407</v>
      </c>
      <c r="P42" t="str">
        <f t="shared" si="9"/>
        <v>*0.872640058113471</v>
      </c>
      <c r="Q42" s="48" t="str">
        <f t="shared" si="4"/>
        <v>*0.715500925014401</v>
      </c>
      <c r="R42" t="str">
        <f t="shared" si="10"/>
        <v>*0.915094452005067</v>
      </c>
      <c r="S42" t="str">
        <f t="shared" si="11"/>
        <v>*0.872638584269094</v>
      </c>
      <c r="T42" t="str">
        <f t="shared" si="12"/>
        <v>*0.753773411000091</v>
      </c>
      <c r="U42" t="str">
        <f t="shared" si="13"/>
        <v>*0.830188634260304</v>
      </c>
      <c r="V42" t="str">
        <f t="shared" si="14"/>
        <v>*0.881132627863442</v>
      </c>
      <c r="W42" t="str">
        <f t="shared" si="15"/>
        <v>*0.915094198262907</v>
      </c>
      <c r="X42" t="str">
        <f t="shared" si="16"/>
        <v>*0.889621616188381</v>
      </c>
      <c r="Y42" t="str">
        <f t="shared" si="17"/>
        <v>*0.768692227740908</v>
      </c>
      <c r="Z42" t="str">
        <f t="shared" si="18"/>
        <v>*0.932072829532384</v>
      </c>
      <c r="AA42" t="str">
        <f t="shared" si="19"/>
        <v>*0.915094452005067</v>
      </c>
      <c r="AB42" t="str">
        <f t="shared" si="20"/>
        <v>*0.915090313213233</v>
      </c>
      <c r="AC42" t="str">
        <f t="shared" si="21"/>
        <v>*0.753773411000091</v>
      </c>
      <c r="AD42" t="str">
        <f t="shared" si="22"/>
        <v>*0.872642317322356</v>
      </c>
      <c r="AE42" t="str">
        <f t="shared" si="23"/>
        <v>*0.915091850300005</v>
      </c>
      <c r="AF42" t="str">
        <f t="shared" si="24"/>
        <v>*0.906603397591183</v>
      </c>
      <c r="AG42" t="str">
        <f t="shared" si="25"/>
        <v>*0.753773411000091</v>
      </c>
      <c r="AH42" t="str">
        <f t="shared" si="26"/>
        <v>*0.753773411000091</v>
      </c>
      <c r="AI42" t="str">
        <f t="shared" si="27"/>
        <v>*0.768692227740908</v>
      </c>
      <c r="AJ42" t="str">
        <f t="shared" si="28"/>
        <v>*0.983020136421328</v>
      </c>
      <c r="AK42" t="str">
        <f t="shared" si="29"/>
        <v>*0.915094452005067</v>
      </c>
      <c r="AL42" t="str">
        <f t="shared" si="30"/>
        <v>*0.906603703265176</v>
      </c>
      <c r="AM42" t="str">
        <f t="shared" si="31"/>
        <v>*0.855661126516543</v>
      </c>
      <c r="AN42" t="str">
        <f t="shared" si="32"/>
        <v>*0.893867563595842</v>
      </c>
      <c r="AO42" t="str">
        <f t="shared" si="33"/>
        <v>*0.753773411000091</v>
      </c>
      <c r="AP42" t="str">
        <f t="shared" si="34"/>
        <v>*0.872639506876678</v>
      </c>
      <c r="AQ42" t="str">
        <f t="shared" si="35"/>
        <v>*0.94905683960654</v>
      </c>
      <c r="AR42" t="str">
        <f t="shared" si="36"/>
        <v>*0.889623028548323</v>
      </c>
      <c r="AS42" s="49" t="str">
        <f t="shared" si="37"/>
        <v>*0.915091716306065</v>
      </c>
      <c r="AV42" s="31">
        <f t="shared" si="5"/>
        <v>0.62125807174643299</v>
      </c>
      <c r="AW42" s="32">
        <f>IFERROR(AVERAGEIFS(COM_All!L$2:L$999,COM_All!$B$2:$B$999,"="&amp;$A$4,COM_All!$C$2:$C$999,"="&amp;'INS-UPD Heat'!$A42),"")</f>
        <v>0.53932557282182503</v>
      </c>
      <c r="AX42" s="32">
        <f>IFERROR(AVERAGEIFS(COM_All!M$2:M$999,COM_All!$B$2:$B$999,"="&amp;$A$4,COM_All!$C$2:$C$999,"="&amp;'INS-UPD Heat'!$A42),"")</f>
        <v>0.68512373492146095</v>
      </c>
      <c r="AY42" s="32">
        <f>IFERROR(AVERAGEIFS(COM_All!N$2:N$999,COM_All!$B$2:$B$999,"="&amp;$A$4,COM_All!$C$2:$C$999,"="&amp;'INS-UPD Heat'!$A42),"")</f>
        <v>0.53932557282182503</v>
      </c>
      <c r="AZ42" s="32">
        <f>IFERROR(AVERAGEIFS(COM_All!O$2:O$999,COM_All!$B$2:$B$999,"="&amp;$A$4,COM_All!$C$2:$C$999,"="&amp;'INS-UPD Heat'!$A42),"")</f>
        <v>0.70334956709312502</v>
      </c>
      <c r="BA42" s="32">
        <f>IFERROR(AVERAGEIFS(COM_All!P$2:P$999,COM_All!$B$2:$B$999,"="&amp;$A$4,COM_All!$C$2:$C$999,"="&amp;'INS-UPD Heat'!$A42),"")</f>
        <v>0.57577546106916599</v>
      </c>
      <c r="BB42" s="32">
        <f>IFERROR(AVERAGEIFS(COM_All!Q$2:Q$999,COM_All!$B$2:$B$999,"="&amp;$A$4,COM_All!$C$2:$C$999,"="&amp;'INS-UPD Heat'!$A42),"")</f>
        <v>0.71550092501440099</v>
      </c>
      <c r="BC42" s="32">
        <f>IFERROR(AVERAGEIFS(COM_All!R$2:R$999,COM_All!$B$2:$B$999,"="&amp;$A$4,COM_All!$C$2:$C$999,"="&amp;'INS-UPD Heat'!$A42),"")</f>
        <v>0.53932453821773096</v>
      </c>
      <c r="BD42" s="32">
        <f>IFERROR(AVERAGEIFS(COM_All!S$2:S$999,COM_All!$B$2:$B$999,"="&amp;$A$4,COM_All!$C$2:$C$999,"="&amp;'INS-UPD Heat'!$A42),"")</f>
        <v>0.62437476878480902</v>
      </c>
      <c r="BE42" s="32">
        <f>IFERROR(AVERAGEIFS(COM_All!T$2:T$999,COM_All!$B$2:$B$999,"="&amp;$A$4,COM_All!$C$2:$C$999,"="&amp;'INS-UPD Heat'!$A42),"")</f>
        <v>0.71550092501440099</v>
      </c>
      <c r="BF42" s="32">
        <f>IFERROR(AVERAGEIFS(COM_All!U$2:U$999,COM_All!$B$2:$B$999,"="&amp;$A$4,COM_All!$C$2:$C$999,"="&amp;'INS-UPD Heat'!$A42),"")</f>
        <v>0.654750926885172</v>
      </c>
      <c r="BG42" s="32">
        <f>IFERROR(AVERAGEIFS(COM_All!V$2:V$999,COM_All!$B$2:$B$999,"="&amp;$A$4,COM_All!$C$2:$C$999,"="&amp;'INS-UPD Heat'!$A42),"")</f>
        <v>0.62437371424779398</v>
      </c>
      <c r="BH42" s="32">
        <f>IFERROR(AVERAGEIFS(COM_All!W$2:W$999,COM_All!$B$2:$B$999,"="&amp;$A$4,COM_All!$C$2:$C$999,"="&amp;'INS-UPD Heat'!$A42),"")</f>
        <v>0.53932557282182503</v>
      </c>
      <c r="BI42" s="32">
        <f>IFERROR(AVERAGEIFS(COM_All!X$2:X$999,COM_All!$B$2:$B$999,"="&amp;$A$4,COM_All!$C$2:$C$999,"="&amp;'INS-UPD Heat'!$A42),"")</f>
        <v>0.59400073574969003</v>
      </c>
      <c r="BJ42" s="32">
        <f>IFERROR(AVERAGEIFS(COM_All!Y$2:Y$999,COM_All!$B$2:$B$999,"="&amp;$A$4,COM_All!$C$2:$C$999,"="&amp;'INS-UPD Heat'!$A42),"")</f>
        <v>0.63045121029666296</v>
      </c>
      <c r="BK42" s="32">
        <f>IFERROR(AVERAGEIFS(COM_All!Z$2:Z$999,COM_All!$B$2:$B$999,"="&amp;$A$4,COM_All!$C$2:$C$999,"="&amp;'INS-UPD Heat'!$A42),"")</f>
        <v>0.65475074533242195</v>
      </c>
      <c r="BL42" s="32">
        <f>IFERROR(AVERAGEIFS(COM_All!AA$2:AA$999,COM_All!$B$2:$B$999,"="&amp;$A$4,COM_All!$C$2:$C$999,"="&amp;'INS-UPD Heat'!$A42),"")</f>
        <v>0.63652508929559304</v>
      </c>
      <c r="BM42" s="32">
        <f>IFERROR(AVERAGEIFS(COM_All!AB$2:AB$999,COM_All!$B$2:$B$999,"="&amp;$A$4,COM_All!$C$2:$C$999,"="&amp;'INS-UPD Heat'!$A42),"")</f>
        <v>0.55000000000000004</v>
      </c>
      <c r="BN42" s="32">
        <f>IFERROR(AVERAGEIFS(COM_All!AC$2:AC$999,COM_All!$B$2:$B$999,"="&amp;$A$4,COM_All!$C$2:$C$999,"="&amp;'INS-UPD Heat'!$A42),"")</f>
        <v>0.66689897171121104</v>
      </c>
      <c r="BO42" s="32">
        <f>IFERROR(AVERAGEIFS(COM_All!AD$2:AD$999,COM_All!$B$2:$B$999,"="&amp;$A$4,COM_All!$C$2:$C$999,"="&amp;'INS-UPD Heat'!$A42),"")</f>
        <v>0.654750926885172</v>
      </c>
      <c r="BP42" s="32">
        <f>IFERROR(AVERAGEIFS(COM_All!AE$2:AE$999,COM_All!$B$2:$B$999,"="&amp;$A$4,COM_All!$C$2:$C$999,"="&amp;'INS-UPD Heat'!$A42),"")</f>
        <v>0.65474796557578596</v>
      </c>
      <c r="BQ42" s="32">
        <f>IFERROR(AVERAGEIFS(COM_All!AF$2:AF$999,COM_All!$B$2:$B$999,"="&amp;$A$4,COM_All!$C$2:$C$999,"="&amp;'INS-UPD Heat'!$A42),"")</f>
        <v>0.53932557282182503</v>
      </c>
      <c r="BR42" s="32">
        <f>IFERROR(AVERAGEIFS(COM_All!AG$2:AG$999,COM_All!$B$2:$B$999,"="&amp;$A$4,COM_All!$C$2:$C$999,"="&amp;'INS-UPD Heat'!$A42),"")</f>
        <v>0.62437638525085604</v>
      </c>
      <c r="BS42" s="32">
        <f>IFERROR(AVERAGEIFS(COM_All!AH$2:AH$999,COM_All!$B$2:$B$999,"="&amp;$A$4,COM_All!$C$2:$C$999,"="&amp;'INS-UPD Heat'!$A42),"")</f>
        <v>0.65474906536279298</v>
      </c>
      <c r="BT42" s="32">
        <f>IFERROR(AVERAGEIFS(COM_All!AI$2:AI$999,COM_All!$B$2:$B$999,"="&amp;$A$4,COM_All!$C$2:$C$999,"="&amp;'INS-UPD Heat'!$A42),"")</f>
        <v>0.64867556959769002</v>
      </c>
      <c r="BU42" s="32">
        <f>IFERROR(AVERAGEIFS(COM_All!AJ$2:AJ$999,COM_All!$B$2:$B$999,"="&amp;$A$4,COM_All!$C$2:$C$999,"="&amp;'INS-UPD Heat'!$A42),"")</f>
        <v>0.53932557282182503</v>
      </c>
      <c r="BV42" s="32">
        <f>IFERROR(AVERAGEIFS(COM_All!AK$2:AK$999,COM_All!$B$2:$B$999,"="&amp;$A$4,COM_All!$C$2:$C$999,"="&amp;'INS-UPD Heat'!$A42),"")</f>
        <v>0.53932557282182503</v>
      </c>
      <c r="BW42" s="32">
        <f>IFERROR(AVERAGEIFS(COM_All!AL$2:AL$999,COM_All!$B$2:$B$999,"="&amp;$A$4,COM_All!$C$2:$C$999,"="&amp;'INS-UPD Heat'!$A42),"")</f>
        <v>0.55000000000000004</v>
      </c>
      <c r="BX42" s="32">
        <f>IFERROR(AVERAGEIFS(COM_All!AM$2:AM$999,COM_All!$B$2:$B$999,"="&amp;$A$4,COM_All!$C$2:$C$999,"="&amp;'INS-UPD Heat'!$A42),"")</f>
        <v>0.70335181691724302</v>
      </c>
      <c r="BY42" s="32">
        <f>IFERROR(AVERAGEIFS(COM_All!AN$2:AN$999,COM_All!$B$2:$B$999,"="&amp;$A$4,COM_All!$C$2:$C$999,"="&amp;'INS-UPD Heat'!$A42),"")</f>
        <v>0.654750926885172</v>
      </c>
      <c r="BZ42" s="32">
        <f>IFERROR(AVERAGEIFS(COM_All!AO$2:AO$999,COM_All!$B$2:$B$999,"="&amp;$A$4,COM_All!$C$2:$C$999,"="&amp;'INS-UPD Heat'!$A42),"")</f>
        <v>0.648675788307715</v>
      </c>
      <c r="CA42" s="32">
        <f>IFERROR(AVERAGEIFS(COM_All!AP$2:AP$999,COM_All!$B$2:$B$999,"="&amp;$A$4,COM_All!$C$2:$C$999,"="&amp;'INS-UPD Heat'!$A42),"")</f>
        <v>0.61222632752145101</v>
      </c>
      <c r="CB42" s="32">
        <f>IFERROR(AVERAGEIFS(COM_All!AQ$2:AQ$999,COM_All!$B$2:$B$999,"="&amp;$A$4,COM_All!$C$2:$C$999,"="&amp;'INS-UPD Heat'!$A42),"")</f>
        <v>0.63956306859319401</v>
      </c>
      <c r="CC42" s="32">
        <f>IFERROR(AVERAGEIFS(COM_All!AR$2:AR$999,COM_All!$B$2:$B$999,"="&amp;$A$4,COM_All!$C$2:$C$999,"="&amp;'INS-UPD Heat'!$A42),"")</f>
        <v>0.53932557282182503</v>
      </c>
      <c r="CD42" s="32">
        <f>IFERROR(AVERAGEIFS(COM_All!AS$2:AS$999,COM_All!$B$2:$B$999,"="&amp;$A$4,COM_All!$C$2:$C$999,"="&amp;'INS-UPD Heat'!$A42),"")</f>
        <v>0.62437437437437404</v>
      </c>
      <c r="CE42" s="32">
        <f>IFERROR(AVERAGEIFS(COM_All!AT$2:AT$999,COM_All!$B$2:$B$999,"="&amp;$A$4,COM_All!$C$2:$C$999,"="&amp;'INS-UPD Heat'!$A42),"")</f>
        <v>0.67905104662972304</v>
      </c>
      <c r="CF42" s="32">
        <f>IFERROR(AVERAGEIFS(COM_All!AU$2:AU$999,COM_All!$B$2:$B$999,"="&amp;$A$4,COM_All!$C$2:$C$999,"="&amp;'INS-UPD Heat'!$A42),"")</f>
        <v>0.63652609984043795</v>
      </c>
      <c r="CG42" s="33">
        <f>IFERROR(AVERAGEIFS(COM_All!AV$2:AV$999,COM_All!$B$2:$B$999,"="&amp;$A$4,COM_All!$C$2:$C$999,"="&amp;'INS-UPD Heat'!$A42),"")</f>
        <v>0.65474896949000505</v>
      </c>
    </row>
    <row r="43" spans="1:85" ht="15">
      <c r="A43" t="s">
        <v>159</v>
      </c>
      <c r="C43" t="s">
        <v>29</v>
      </c>
      <c r="D43" t="str">
        <f t="shared" si="41"/>
        <v>C_ES-SH-SS_GE*</v>
      </c>
      <c r="H43" s="54"/>
      <c r="I43" t="str">
        <f t="shared" si="3"/>
        <v>*1</v>
      </c>
      <c r="J43" t="str">
        <f t="shared" si="38"/>
        <v>*1.18071512418715</v>
      </c>
      <c r="K43" t="str">
        <f t="shared" si="39"/>
        <v>*1</v>
      </c>
      <c r="L43" t="str">
        <f t="shared" si="40"/>
        <v>*1</v>
      </c>
      <c r="M43" t="str">
        <f t="shared" si="6"/>
        <v>*0.992265584693816</v>
      </c>
      <c r="N43" t="str">
        <f t="shared" si="7"/>
        <v>*1</v>
      </c>
      <c r="O43" t="str">
        <f t="shared" si="8"/>
        <v>*1</v>
      </c>
      <c r="P43" t="str">
        <f t="shared" si="9"/>
        <v>*1</v>
      </c>
      <c r="Q43" s="48" t="str">
        <f t="shared" si="4"/>
        <v>*0.7</v>
      </c>
      <c r="R43" t="str">
        <f t="shared" si="10"/>
        <v>*1</v>
      </c>
      <c r="S43" t="str">
        <f t="shared" si="11"/>
        <v>*1</v>
      </c>
      <c r="T43" t="str">
        <f t="shared" si="12"/>
        <v>*1</v>
      </c>
      <c r="U43" t="str">
        <f t="shared" si="13"/>
        <v>*1.02367221742178</v>
      </c>
      <c r="V43" t="str">
        <f t="shared" si="14"/>
        <v>*1</v>
      </c>
      <c r="W43" t="str">
        <f t="shared" si="15"/>
        <v>*1.12836642882944</v>
      </c>
      <c r="X43" t="str">
        <f t="shared" si="16"/>
        <v>*1.09695901278096</v>
      </c>
      <c r="Y43" t="str">
        <f t="shared" si="17"/>
        <v>*1.09695874032411</v>
      </c>
      <c r="Z43" t="str">
        <f t="shared" si="18"/>
        <v>*1</v>
      </c>
      <c r="AA43" t="str">
        <f t="shared" si="19"/>
        <v>*1</v>
      </c>
      <c r="AB43" t="str">
        <f t="shared" si="20"/>
        <v>*1.12836780488483</v>
      </c>
      <c r="AC43" t="str">
        <f t="shared" si="21"/>
        <v>*1</v>
      </c>
      <c r="AD43" t="str">
        <f t="shared" si="22"/>
        <v>*1</v>
      </c>
      <c r="AE43" t="str">
        <f t="shared" si="23"/>
        <v>*1</v>
      </c>
      <c r="AF43" t="str">
        <f t="shared" si="24"/>
        <v>*1</v>
      </c>
      <c r="AG43" t="str">
        <f t="shared" si="25"/>
        <v>*1</v>
      </c>
      <c r="AH43" t="str">
        <f t="shared" si="26"/>
        <v>*1</v>
      </c>
      <c r="AI43" t="str">
        <f t="shared" si="27"/>
        <v>*1</v>
      </c>
      <c r="AJ43" t="str">
        <f t="shared" si="28"/>
        <v>*1</v>
      </c>
      <c r="AK43" t="str">
        <f t="shared" si="29"/>
        <v>*1</v>
      </c>
      <c r="AL43" t="str">
        <f t="shared" si="30"/>
        <v>*1.11789847320821</v>
      </c>
      <c r="AM43" t="str">
        <f t="shared" si="31"/>
        <v>*1.05508137432188</v>
      </c>
      <c r="AN43" t="str">
        <f t="shared" si="32"/>
        <v>*1.10219424337653</v>
      </c>
      <c r="AO43" t="str">
        <f t="shared" si="33"/>
        <v>*1</v>
      </c>
      <c r="AP43" t="str">
        <f t="shared" si="34"/>
        <v>*1</v>
      </c>
      <c r="AQ43" t="str">
        <f t="shared" si="35"/>
        <v>*1.17024478027022</v>
      </c>
      <c r="AR43" t="str">
        <f t="shared" si="36"/>
        <v>*1.0969585751785</v>
      </c>
      <c r="AS43" s="49" t="str">
        <f t="shared" si="37"/>
        <v>*1.12836656997825</v>
      </c>
      <c r="AV43" s="31">
        <f t="shared" si="5"/>
        <v>0.72493606082753959</v>
      </c>
      <c r="AW43" s="32">
        <f>IFERROR(AVERAGEIFS(COM_All!L$2:L$999,COM_All!$B$2:$B$999,"="&amp;$A$4,COM_All!$C$2:$C$999,"="&amp;'INS-UPD Heat'!$A43),"")</f>
        <v>0.69999999999999996</v>
      </c>
      <c r="AX43" s="32">
        <f>IFERROR(AVERAGEIFS(COM_All!M$2:M$999,COM_All!$B$2:$B$999,"="&amp;$A$4,COM_All!$C$2:$C$999,"="&amp;'INS-UPD Heat'!$A43),"")</f>
        <v>0.82650058693100303</v>
      </c>
      <c r="AY43" s="32">
        <f>IFERROR(AVERAGEIFS(COM_All!N$2:N$999,COM_All!$B$2:$B$999,"="&amp;$A$4,COM_All!$C$2:$C$999,"="&amp;'INS-UPD Heat'!$A43),"")</f>
        <v>0.69999999999999996</v>
      </c>
      <c r="AZ43" s="32">
        <f>IFERROR(AVERAGEIFS(COM_All!O$2:O$999,COM_All!$B$2:$B$999,"="&amp;$A$4,COM_All!$C$2:$C$999,"="&amp;'INS-UPD Heat'!$A43),"")</f>
        <v>0.69999999999999996</v>
      </c>
      <c r="BA43" s="32">
        <f>IFERROR(AVERAGEIFS(COM_All!P$2:P$999,COM_All!$B$2:$B$999,"="&amp;$A$4,COM_All!$C$2:$C$999,"="&amp;'INS-UPD Heat'!$A43),"")</f>
        <v>0.69458590928567099</v>
      </c>
      <c r="BB43" s="32">
        <f>IFERROR(AVERAGEIFS(COM_All!Q$2:Q$999,COM_All!$B$2:$B$999,"="&amp;$A$4,COM_All!$C$2:$C$999,"="&amp;'INS-UPD Heat'!$A43),"")</f>
        <v>0.69999999999999996</v>
      </c>
      <c r="BC43" s="32">
        <f>IFERROR(AVERAGEIFS(COM_All!R$2:R$999,COM_All!$B$2:$B$999,"="&amp;$A$4,COM_All!$C$2:$C$999,"="&amp;'INS-UPD Heat'!$A43),"")</f>
        <v>0.69999999999999996</v>
      </c>
      <c r="BD43" s="32">
        <f>IFERROR(AVERAGEIFS(COM_All!S$2:S$999,COM_All!$B$2:$B$999,"="&amp;$A$4,COM_All!$C$2:$C$999,"="&amp;'INS-UPD Heat'!$A43),"")</f>
        <v>0.69999999999999996</v>
      </c>
      <c r="BE43" s="32">
        <f>IFERROR(AVERAGEIFS(COM_All!T$2:T$999,COM_All!$B$2:$B$999,"="&amp;$A$4,COM_All!$C$2:$C$999,"="&amp;'INS-UPD Heat'!$A43),"")</f>
        <v>0.69999999999999996</v>
      </c>
      <c r="BF43" s="32">
        <f>IFERROR(AVERAGEIFS(COM_All!U$2:U$999,COM_All!$B$2:$B$999,"="&amp;$A$4,COM_All!$C$2:$C$999,"="&amp;'INS-UPD Heat'!$A43),"")</f>
        <v>0.69999999999999996</v>
      </c>
      <c r="BG43" s="32">
        <f>IFERROR(AVERAGEIFS(COM_All!V$2:V$999,COM_All!$B$2:$B$999,"="&amp;$A$4,COM_All!$C$2:$C$999,"="&amp;'INS-UPD Heat'!$A43),"")</f>
        <v>0.69999999999999996</v>
      </c>
      <c r="BH43" s="32">
        <f>IFERROR(AVERAGEIFS(COM_All!W$2:W$999,COM_All!$B$2:$B$999,"="&amp;$A$4,COM_All!$C$2:$C$999,"="&amp;'INS-UPD Heat'!$A43),"")</f>
        <v>0.69999999999999996</v>
      </c>
      <c r="BI43" s="32">
        <f>IFERROR(AVERAGEIFS(COM_All!X$2:X$999,COM_All!$B$2:$B$999,"="&amp;$A$4,COM_All!$C$2:$C$999,"="&amp;'INS-UPD Heat'!$A43),"")</f>
        <v>0.71657055219524401</v>
      </c>
      <c r="BJ43" s="32">
        <f>IFERROR(AVERAGEIFS(COM_All!Y$2:Y$999,COM_All!$B$2:$B$999,"="&amp;$A$4,COM_All!$C$2:$C$999,"="&amp;'INS-UPD Heat'!$A43),"")</f>
        <v>0.69999999999999996</v>
      </c>
      <c r="BK43" s="32">
        <f>IFERROR(AVERAGEIFS(COM_All!Z$2:Z$999,COM_All!$B$2:$B$999,"="&amp;$A$4,COM_All!$C$2:$C$999,"="&amp;'INS-UPD Heat'!$A43),"")</f>
        <v>0.78985650018060605</v>
      </c>
      <c r="BL43" s="32">
        <f>IFERROR(AVERAGEIFS(COM_All!AA$2:AA$999,COM_All!$B$2:$B$999,"="&amp;$A$4,COM_All!$C$2:$C$999,"="&amp;'INS-UPD Heat'!$A43),"")</f>
        <v>0.76787130894667199</v>
      </c>
      <c r="BM43" s="32">
        <f>IFERROR(AVERAGEIFS(COM_All!AB$2:AB$999,COM_All!$B$2:$B$999,"="&amp;$A$4,COM_All!$C$2:$C$999,"="&amp;'INS-UPD Heat'!$A43),"")</f>
        <v>0.76787111822687804</v>
      </c>
      <c r="BN43" s="32">
        <f>IFERROR(AVERAGEIFS(COM_All!AC$2:AC$999,COM_All!$B$2:$B$999,"="&amp;$A$4,COM_All!$C$2:$C$999,"="&amp;'INS-UPD Heat'!$A43),"")</f>
        <v>0.69999999999999996</v>
      </c>
      <c r="BO43" s="32">
        <f>IFERROR(AVERAGEIFS(COM_All!AD$2:AD$999,COM_All!$B$2:$B$999,"="&amp;$A$4,COM_All!$C$2:$C$999,"="&amp;'INS-UPD Heat'!$A43),"")</f>
        <v>0.69999999999999996</v>
      </c>
      <c r="BP43" s="32">
        <f>IFERROR(AVERAGEIFS(COM_All!AE$2:AE$999,COM_All!$B$2:$B$999,"="&amp;$A$4,COM_All!$C$2:$C$999,"="&amp;'INS-UPD Heat'!$A43),"")</f>
        <v>0.78985746341937901</v>
      </c>
      <c r="BQ43" s="32">
        <f>IFERROR(AVERAGEIFS(COM_All!AF$2:AF$999,COM_All!$B$2:$B$999,"="&amp;$A$4,COM_All!$C$2:$C$999,"="&amp;'INS-UPD Heat'!$A43),"")</f>
        <v>0.69999999999999996</v>
      </c>
      <c r="BR43" s="32">
        <f>IFERROR(AVERAGEIFS(COM_All!AG$2:AG$999,COM_All!$B$2:$B$999,"="&amp;$A$4,COM_All!$C$2:$C$999,"="&amp;'INS-UPD Heat'!$A43),"")</f>
        <v>0.69999999999999996</v>
      </c>
      <c r="BS43" s="32">
        <f>IFERROR(AVERAGEIFS(COM_All!AH$2:AH$999,COM_All!$B$2:$B$999,"="&amp;$A$4,COM_All!$C$2:$C$999,"="&amp;'INS-UPD Heat'!$A43),"")</f>
        <v>0.69999999999999996</v>
      </c>
      <c r="BT43" s="32">
        <f>IFERROR(AVERAGEIFS(COM_All!AI$2:AI$999,COM_All!$B$2:$B$999,"="&amp;$A$4,COM_All!$C$2:$C$999,"="&amp;'INS-UPD Heat'!$A43),"")</f>
        <v>0.69999999999999996</v>
      </c>
      <c r="BU43" s="32">
        <f>IFERROR(AVERAGEIFS(COM_All!AJ$2:AJ$999,COM_All!$B$2:$B$999,"="&amp;$A$4,COM_All!$C$2:$C$999,"="&amp;'INS-UPD Heat'!$A43),"")</f>
        <v>0.69999999999999996</v>
      </c>
      <c r="BV43" s="32">
        <f>IFERROR(AVERAGEIFS(COM_All!AK$2:AK$999,COM_All!$B$2:$B$999,"="&amp;$A$4,COM_All!$C$2:$C$999,"="&amp;'INS-UPD Heat'!$A43),"")</f>
        <v>0.69999999999999996</v>
      </c>
      <c r="BW43" s="32">
        <f>IFERROR(AVERAGEIFS(COM_All!AL$2:AL$999,COM_All!$B$2:$B$999,"="&amp;$A$4,COM_All!$C$2:$C$999,"="&amp;'INS-UPD Heat'!$A43),"")</f>
        <v>0.69999999999999996</v>
      </c>
      <c r="BX43" s="32">
        <f>IFERROR(AVERAGEIFS(COM_All!AM$2:AM$999,COM_All!$B$2:$B$999,"="&amp;$A$4,COM_All!$C$2:$C$999,"="&amp;'INS-UPD Heat'!$A43),"")</f>
        <v>0.69999999999999996</v>
      </c>
      <c r="BY43" s="32">
        <f>IFERROR(AVERAGEIFS(COM_All!AN$2:AN$999,COM_All!$B$2:$B$999,"="&amp;$A$4,COM_All!$C$2:$C$999,"="&amp;'INS-UPD Heat'!$A43),"")</f>
        <v>0.69999999999999996</v>
      </c>
      <c r="BZ43" s="32">
        <f>IFERROR(AVERAGEIFS(COM_All!AO$2:AO$999,COM_All!$B$2:$B$999,"="&amp;$A$4,COM_All!$C$2:$C$999,"="&amp;'INS-UPD Heat'!$A43),"")</f>
        <v>0.78252893124574496</v>
      </c>
      <c r="CA43" s="32">
        <f>IFERROR(AVERAGEIFS(COM_All!AP$2:AP$999,COM_All!$B$2:$B$999,"="&amp;$A$4,COM_All!$C$2:$C$999,"="&amp;'INS-UPD Heat'!$A43),"")</f>
        <v>0.73855696202531596</v>
      </c>
      <c r="CB43" s="32">
        <f>IFERROR(AVERAGEIFS(COM_All!AQ$2:AQ$999,COM_All!$B$2:$B$999,"="&amp;$A$4,COM_All!$C$2:$C$999,"="&amp;'INS-UPD Heat'!$A43),"")</f>
        <v>0.77153597036357202</v>
      </c>
      <c r="CC43" s="32">
        <f>IFERROR(AVERAGEIFS(COM_All!AR$2:AR$999,COM_All!$B$2:$B$999,"="&amp;$A$4,COM_All!$C$2:$C$999,"="&amp;'INS-UPD Heat'!$A43),"")</f>
        <v>0.69999999999999996</v>
      </c>
      <c r="CD43" s="32">
        <f>IFERROR(AVERAGEIFS(COM_All!AS$2:AS$999,COM_All!$B$2:$B$999,"="&amp;$A$4,COM_All!$C$2:$C$999,"="&amp;'INS-UPD Heat'!$A43),"")</f>
        <v>0.69999999999999996</v>
      </c>
      <c r="CE43" s="32">
        <f>IFERROR(AVERAGEIFS(COM_All!AT$2:AT$999,COM_All!$B$2:$B$999,"="&amp;$A$4,COM_All!$C$2:$C$999,"="&amp;'INS-UPD Heat'!$A43),"")</f>
        <v>0.81917134618915699</v>
      </c>
      <c r="CF43" s="32">
        <f>IFERROR(AVERAGEIFS(COM_All!AU$2:AU$999,COM_All!$B$2:$B$999,"="&amp;$A$4,COM_All!$C$2:$C$999,"="&amp;'INS-UPD Heat'!$A43),"")</f>
        <v>0.76787100262494701</v>
      </c>
      <c r="CG43" s="33">
        <f>IFERROR(AVERAGEIFS(COM_All!AV$2:AV$999,COM_All!$B$2:$B$999,"="&amp;$A$4,COM_All!$C$2:$C$999,"="&amp;'INS-UPD Heat'!$A43),"")</f>
        <v>0.78985659898477201</v>
      </c>
    </row>
    <row r="44" spans="1:85" ht="15">
      <c r="A44" t="s">
        <v>160</v>
      </c>
      <c r="C44" t="s">
        <v>29</v>
      </c>
      <c r="D44" t="str">
        <f t="shared" si="41"/>
        <v>C_ES-SH-SS_LP*</v>
      </c>
      <c r="H44" s="54"/>
      <c r="I44" t="str">
        <f t="shared" si="3"/>
        <v>*1</v>
      </c>
      <c r="J44" t="str">
        <f t="shared" si="38"/>
        <v>*1</v>
      </c>
      <c r="K44" t="str">
        <f t="shared" si="39"/>
        <v>*1</v>
      </c>
      <c r="L44" t="str">
        <f t="shared" si="40"/>
        <v>*1</v>
      </c>
      <c r="M44" t="str">
        <f t="shared" si="6"/>
        <v>*1</v>
      </c>
      <c r="N44" t="str">
        <f t="shared" si="7"/>
        <v>*1</v>
      </c>
      <c r="O44" t="str">
        <f t="shared" si="8"/>
        <v>*1</v>
      </c>
      <c r="P44" t="str">
        <f t="shared" si="9"/>
        <v>*1</v>
      </c>
      <c r="Q44" s="48" t="str">
        <f t="shared" si="4"/>
        <v>*0.666666666666667</v>
      </c>
      <c r="R44" t="str">
        <f t="shared" si="10"/>
        <v>*1</v>
      </c>
      <c r="S44" t="str">
        <f t="shared" si="11"/>
        <v>*1</v>
      </c>
      <c r="T44" t="str">
        <f t="shared" si="12"/>
        <v>*1</v>
      </c>
      <c r="U44" t="str">
        <f t="shared" si="13"/>
        <v>*1</v>
      </c>
      <c r="V44" t="str">
        <f t="shared" si="14"/>
        <v>*1</v>
      </c>
      <c r="W44" t="str">
        <f t="shared" si="15"/>
        <v>*1</v>
      </c>
      <c r="X44" t="str">
        <f t="shared" si="16"/>
        <v>*1</v>
      </c>
      <c r="Y44" t="str">
        <f t="shared" si="17"/>
        <v>*1</v>
      </c>
      <c r="Z44" t="str">
        <f t="shared" si="18"/>
        <v>*1</v>
      </c>
      <c r="AA44" t="str">
        <f t="shared" si="19"/>
        <v>*1</v>
      </c>
      <c r="AB44" t="str">
        <f t="shared" si="20"/>
        <v>*1.00831519600226</v>
      </c>
      <c r="AC44" t="str">
        <f t="shared" si="21"/>
        <v>*1</v>
      </c>
      <c r="AD44" t="str">
        <f t="shared" si="22"/>
        <v>*1</v>
      </c>
      <c r="AE44" t="str">
        <f t="shared" si="23"/>
        <v>*1.00831336713657</v>
      </c>
      <c r="AF44" t="str">
        <f t="shared" si="24"/>
        <v>*1</v>
      </c>
      <c r="AG44" t="str">
        <f t="shared" si="25"/>
        <v>*1</v>
      </c>
      <c r="AH44" t="str">
        <f t="shared" si="26"/>
        <v>*1</v>
      </c>
      <c r="AI44" t="str">
        <f t="shared" si="27"/>
        <v>*1</v>
      </c>
      <c r="AJ44" t="str">
        <f t="shared" si="28"/>
        <v>*1</v>
      </c>
      <c r="AK44" t="str">
        <f t="shared" si="29"/>
        <v>*1</v>
      </c>
      <c r="AL44" t="str">
        <f t="shared" si="30"/>
        <v>*1</v>
      </c>
      <c r="AM44" t="str">
        <f t="shared" si="31"/>
        <v>*1</v>
      </c>
      <c r="AN44" t="str">
        <f t="shared" si="32"/>
        <v>*1</v>
      </c>
      <c r="AO44" t="str">
        <f t="shared" si="33"/>
        <v>*1</v>
      </c>
      <c r="AP44" t="str">
        <f t="shared" si="34"/>
        <v>*1</v>
      </c>
      <c r="AQ44" t="str">
        <f t="shared" si="35"/>
        <v>*1.045737981492</v>
      </c>
      <c r="AR44" t="str">
        <f t="shared" si="36"/>
        <v>*1</v>
      </c>
      <c r="AS44" s="49" t="str">
        <f t="shared" si="37"/>
        <v>*1</v>
      </c>
      <c r="AV44" s="31">
        <f t="shared" si="5"/>
        <v>0.66779038819154668</v>
      </c>
      <c r="AW44" s="32">
        <f>IFERROR(AVERAGEIFS(COM_All!L$2:L$999,COM_All!$B$2:$B$999,"="&amp;$A$4,COM_All!$C$2:$C$999,"="&amp;'INS-UPD Heat'!$A44),"")</f>
        <v>0.66666666666666696</v>
      </c>
      <c r="AX44" s="32">
        <f>IFERROR(AVERAGEIFS(COM_All!M$2:M$999,COM_All!$B$2:$B$999,"="&amp;$A$4,COM_All!$C$2:$C$999,"="&amp;'INS-UPD Heat'!$A44),"")</f>
        <v>0.66666666666666696</v>
      </c>
      <c r="AY44" s="32">
        <f>IFERROR(AVERAGEIFS(COM_All!N$2:N$999,COM_All!$B$2:$B$999,"="&amp;$A$4,COM_All!$C$2:$C$999,"="&amp;'INS-UPD Heat'!$A44),"")</f>
        <v>0.66666666666666696</v>
      </c>
      <c r="AZ44" s="32">
        <f>IFERROR(AVERAGEIFS(COM_All!O$2:O$999,COM_All!$B$2:$B$999,"="&amp;$A$4,COM_All!$C$2:$C$999,"="&amp;'INS-UPD Heat'!$A44),"")</f>
        <v>0.66666666666666696</v>
      </c>
      <c r="BA44" s="32">
        <f>IFERROR(AVERAGEIFS(COM_All!P$2:P$999,COM_All!$B$2:$B$999,"="&amp;$A$4,COM_All!$C$2:$C$999,"="&amp;'INS-UPD Heat'!$A44),"")</f>
        <v>0.66666666666666696</v>
      </c>
      <c r="BB44" s="32">
        <f>IFERROR(AVERAGEIFS(COM_All!Q$2:Q$999,COM_All!$B$2:$B$999,"="&amp;$A$4,COM_All!$C$2:$C$999,"="&amp;'INS-UPD Heat'!$A44),"")</f>
        <v>0.66666666666666696</v>
      </c>
      <c r="BC44" s="32">
        <f>IFERROR(AVERAGEIFS(COM_All!R$2:R$999,COM_All!$B$2:$B$999,"="&amp;$A$4,COM_All!$C$2:$C$999,"="&amp;'INS-UPD Heat'!$A44),"")</f>
        <v>0.66666666666666696</v>
      </c>
      <c r="BD44" s="32">
        <f>IFERROR(AVERAGEIFS(COM_All!S$2:S$999,COM_All!$B$2:$B$999,"="&amp;$A$4,COM_All!$C$2:$C$999,"="&amp;'INS-UPD Heat'!$A44),"")</f>
        <v>0.66666666666666696</v>
      </c>
      <c r="BE44" s="32">
        <f>IFERROR(AVERAGEIFS(COM_All!T$2:T$999,COM_All!$B$2:$B$999,"="&amp;$A$4,COM_All!$C$2:$C$999,"="&amp;'INS-UPD Heat'!$A44),"")</f>
        <v>0.66666666666666696</v>
      </c>
      <c r="BF44" s="32">
        <f>IFERROR(AVERAGEIFS(COM_All!U$2:U$999,COM_All!$B$2:$B$999,"="&amp;$A$4,COM_All!$C$2:$C$999,"="&amp;'INS-UPD Heat'!$A44),"")</f>
        <v>0.66666666666666696</v>
      </c>
      <c r="BG44" s="32">
        <f>IFERROR(AVERAGEIFS(COM_All!V$2:V$999,COM_All!$B$2:$B$999,"="&amp;$A$4,COM_All!$C$2:$C$999,"="&amp;'INS-UPD Heat'!$A44),"")</f>
        <v>0.66666666666666696</v>
      </c>
      <c r="BH44" s="32">
        <f>IFERROR(AVERAGEIFS(COM_All!W$2:W$999,COM_All!$B$2:$B$999,"="&amp;$A$4,COM_All!$C$2:$C$999,"="&amp;'INS-UPD Heat'!$A44),"")</f>
        <v>0.66666666666666696</v>
      </c>
      <c r="BI44" s="32">
        <f>IFERROR(AVERAGEIFS(COM_All!X$2:X$999,COM_All!$B$2:$B$999,"="&amp;$A$4,COM_All!$C$2:$C$999,"="&amp;'INS-UPD Heat'!$A44),"")</f>
        <v>0.66666666666666696</v>
      </c>
      <c r="BJ44" s="32">
        <f>IFERROR(AVERAGEIFS(COM_All!Y$2:Y$999,COM_All!$B$2:$B$999,"="&amp;$A$4,COM_All!$C$2:$C$999,"="&amp;'INS-UPD Heat'!$A44),"")</f>
        <v>0.66666666666666696</v>
      </c>
      <c r="BK44" s="32">
        <f>IFERROR(AVERAGEIFS(COM_All!Z$2:Z$999,COM_All!$B$2:$B$999,"="&amp;$A$4,COM_All!$C$2:$C$999,"="&amp;'INS-UPD Heat'!$A44),"")</f>
        <v>0.66666666666666696</v>
      </c>
      <c r="BL44" s="32">
        <f>IFERROR(AVERAGEIFS(COM_All!AA$2:AA$999,COM_All!$B$2:$B$999,"="&amp;$A$4,COM_All!$C$2:$C$999,"="&amp;'INS-UPD Heat'!$A44),"")</f>
        <v>0.66666666666666696</v>
      </c>
      <c r="BM44" s="32">
        <f>IFERROR(AVERAGEIFS(COM_All!AB$2:AB$999,COM_All!$B$2:$B$999,"="&amp;$A$4,COM_All!$C$2:$C$999,"="&amp;'INS-UPD Heat'!$A44),"")</f>
        <v>0.66666666666666696</v>
      </c>
      <c r="BN44" s="32">
        <f>IFERROR(AVERAGEIFS(COM_All!AC$2:AC$999,COM_All!$B$2:$B$999,"="&amp;$A$4,COM_All!$C$2:$C$999,"="&amp;'INS-UPD Heat'!$A44),"")</f>
        <v>0.66666666666666696</v>
      </c>
      <c r="BO44" s="32">
        <f>IFERROR(AVERAGEIFS(COM_All!AD$2:AD$999,COM_All!$B$2:$B$999,"="&amp;$A$4,COM_All!$C$2:$C$999,"="&amp;'INS-UPD Heat'!$A44),"")</f>
        <v>0.66666666666666696</v>
      </c>
      <c r="BP44" s="32">
        <f>IFERROR(AVERAGEIFS(COM_All!AE$2:AE$999,COM_All!$B$2:$B$999,"="&amp;$A$4,COM_All!$C$2:$C$999,"="&amp;'INS-UPD Heat'!$A44),"")</f>
        <v>0.67221013066817603</v>
      </c>
      <c r="BQ44" s="32">
        <f>IFERROR(AVERAGEIFS(COM_All!AF$2:AF$999,COM_All!$B$2:$B$999,"="&amp;$A$4,COM_All!$C$2:$C$999,"="&amp;'INS-UPD Heat'!$A44),"")</f>
        <v>0.66666666666666696</v>
      </c>
      <c r="BR44" s="32">
        <f>IFERROR(AVERAGEIFS(COM_All!AG$2:AG$999,COM_All!$B$2:$B$999,"="&amp;$A$4,COM_All!$C$2:$C$999,"="&amp;'INS-UPD Heat'!$A44),"")</f>
        <v>0.66666666666666696</v>
      </c>
      <c r="BS44" s="32">
        <f>IFERROR(AVERAGEIFS(COM_All!AH$2:AH$999,COM_All!$B$2:$B$999,"="&amp;$A$4,COM_All!$C$2:$C$999,"="&amp;'INS-UPD Heat'!$A44),"")</f>
        <v>0.672208911424379</v>
      </c>
      <c r="BT44" s="32">
        <f>IFERROR(AVERAGEIFS(COM_All!AI$2:AI$999,COM_All!$B$2:$B$999,"="&amp;$A$4,COM_All!$C$2:$C$999,"="&amp;'INS-UPD Heat'!$A44),"")</f>
        <v>0.66666666666666696</v>
      </c>
      <c r="BU44" s="32">
        <f>IFERROR(AVERAGEIFS(COM_All!AJ$2:AJ$999,COM_All!$B$2:$B$999,"="&amp;$A$4,COM_All!$C$2:$C$999,"="&amp;'INS-UPD Heat'!$A44),"")</f>
        <v>0.66666666666666696</v>
      </c>
      <c r="BV44" s="32">
        <f>IFERROR(AVERAGEIFS(COM_All!AK$2:AK$999,COM_All!$B$2:$B$999,"="&amp;$A$4,COM_All!$C$2:$C$999,"="&amp;'INS-UPD Heat'!$A44),"")</f>
        <v>0.66666666666666696</v>
      </c>
      <c r="BW44" s="32">
        <f>IFERROR(AVERAGEIFS(COM_All!AL$2:AL$999,COM_All!$B$2:$B$999,"="&amp;$A$4,COM_All!$C$2:$C$999,"="&amp;'INS-UPD Heat'!$A44),"")</f>
        <v>0.66666666666666696</v>
      </c>
      <c r="BX44" s="32">
        <f>IFERROR(AVERAGEIFS(COM_All!AM$2:AM$999,COM_All!$B$2:$B$999,"="&amp;$A$4,COM_All!$C$2:$C$999,"="&amp;'INS-UPD Heat'!$A44),"")</f>
        <v>0.66666666666666696</v>
      </c>
      <c r="BY44" s="32">
        <f>IFERROR(AVERAGEIFS(COM_All!AN$2:AN$999,COM_All!$B$2:$B$999,"="&amp;$A$4,COM_All!$C$2:$C$999,"="&amp;'INS-UPD Heat'!$A44),"")</f>
        <v>0.66666666666666696</v>
      </c>
      <c r="BZ44" s="32">
        <f>IFERROR(AVERAGEIFS(COM_All!AO$2:AO$999,COM_All!$B$2:$B$999,"="&amp;$A$4,COM_All!$C$2:$C$999,"="&amp;'INS-UPD Heat'!$A44),"")</f>
        <v>0.66666666666666696</v>
      </c>
      <c r="CA44" s="32">
        <f>IFERROR(AVERAGEIFS(COM_All!AP$2:AP$999,COM_All!$B$2:$B$999,"="&amp;$A$4,COM_All!$C$2:$C$999,"="&amp;'INS-UPD Heat'!$A44),"")</f>
        <v>0.66666666666666696</v>
      </c>
      <c r="CB44" s="32">
        <f>IFERROR(AVERAGEIFS(COM_All!AQ$2:AQ$999,COM_All!$B$2:$B$999,"="&amp;$A$4,COM_All!$C$2:$C$999,"="&amp;'INS-UPD Heat'!$A44),"")</f>
        <v>0.66666666666666696</v>
      </c>
      <c r="CC44" s="32">
        <f>IFERROR(AVERAGEIFS(COM_All!AR$2:AR$999,COM_All!$B$2:$B$999,"="&amp;$A$4,COM_All!$C$2:$C$999,"="&amp;'INS-UPD Heat'!$A44),"")</f>
        <v>0.66666666666666696</v>
      </c>
      <c r="CD44" s="32">
        <f>IFERROR(AVERAGEIFS(COM_All!AS$2:AS$999,COM_All!$B$2:$B$999,"="&amp;$A$4,COM_All!$C$2:$C$999,"="&amp;'INS-UPD Heat'!$A44),"")</f>
        <v>0.66666666666666696</v>
      </c>
      <c r="CE44" s="32">
        <f>IFERROR(AVERAGEIFS(COM_All!AT$2:AT$999,COM_All!$B$2:$B$999,"="&amp;$A$4,COM_All!$C$2:$C$999,"="&amp;'INS-UPD Heat'!$A44),"")</f>
        <v>0.69715865432799895</v>
      </c>
      <c r="CF44" s="32">
        <f>IFERROR(AVERAGEIFS(COM_All!AU$2:AU$999,COM_All!$B$2:$B$999,"="&amp;$A$4,COM_All!$C$2:$C$999,"="&amp;'INS-UPD Heat'!$A44),"")</f>
        <v>0.66666666666666696</v>
      </c>
      <c r="CG44" s="33">
        <f>IFERROR(AVERAGEIFS(COM_All!AV$2:AV$999,COM_All!$B$2:$B$999,"="&amp;$A$4,COM_All!$C$2:$C$999,"="&amp;'INS-UPD Heat'!$A44),"")</f>
        <v>0.66666666666666696</v>
      </c>
    </row>
    <row r="45" spans="1:85" ht="15">
      <c r="A45" t="s">
        <v>161</v>
      </c>
      <c r="C45" t="s">
        <v>29</v>
      </c>
      <c r="D45" t="str">
        <f t="shared" si="41"/>
        <v>C_ES-SH-SS_CO*</v>
      </c>
      <c r="H45" s="54"/>
      <c r="I45" t="str">
        <f t="shared" si="3"/>
        <v>*0.806322012647686</v>
      </c>
      <c r="J45" t="str">
        <f t="shared" si="38"/>
        <v>*0.957546566204691</v>
      </c>
      <c r="K45" t="str">
        <f t="shared" si="39"/>
        <v>*0.806322012647686</v>
      </c>
      <c r="L45" t="str">
        <f t="shared" si="40"/>
        <v>*0.806322012647686</v>
      </c>
      <c r="M45" t="str">
        <f t="shared" si="6"/>
        <v>*0.804719068299585</v>
      </c>
      <c r="N45" t="str">
        <f t="shared" si="7"/>
        <v>*1</v>
      </c>
      <c r="O45" t="str">
        <f t="shared" si="8"/>
        <v>*0.806322012647686</v>
      </c>
      <c r="P45" t="str">
        <f t="shared" si="9"/>
        <v>*0.872641433460454</v>
      </c>
      <c r="Q45" s="48" t="str">
        <f t="shared" si="4"/>
        <v>*0.620099652691077</v>
      </c>
      <c r="R45" t="str">
        <f t="shared" si="10"/>
        <v>*0.806322012647686</v>
      </c>
      <c r="S45" t="str">
        <f t="shared" si="11"/>
        <v>*0.872643446827971</v>
      </c>
      <c r="T45" t="str">
        <f t="shared" si="12"/>
        <v>*0.806322012647686</v>
      </c>
      <c r="U45" t="str">
        <f t="shared" si="13"/>
        <v>*0.830187692790597</v>
      </c>
      <c r="V45" t="str">
        <f t="shared" si="14"/>
        <v>*0.88113082387544</v>
      </c>
      <c r="W45" t="str">
        <f t="shared" si="15"/>
        <v>*0.806322012647686</v>
      </c>
      <c r="X45" t="str">
        <f t="shared" si="16"/>
        <v>*0.889623229961177</v>
      </c>
      <c r="Y45" t="str">
        <f t="shared" si="17"/>
        <v>*0.889620935555759</v>
      </c>
      <c r="Z45" t="str">
        <f t="shared" si="18"/>
        <v>*0.806322012647686</v>
      </c>
      <c r="AA45" t="str">
        <f t="shared" si="19"/>
        <v>*0.806322012647686</v>
      </c>
      <c r="AB45" t="str">
        <f t="shared" si="20"/>
        <v>*0.806322012647686</v>
      </c>
      <c r="AC45" t="str">
        <f t="shared" si="21"/>
        <v>*0.806322012647686</v>
      </c>
      <c r="AD45" t="str">
        <f t="shared" si="22"/>
        <v>*0.87264257545149</v>
      </c>
      <c r="AE45" t="str">
        <f t="shared" si="23"/>
        <v>*0.806322012647686</v>
      </c>
      <c r="AF45" t="str">
        <f t="shared" si="24"/>
        <v>*0.906603887155439</v>
      </c>
      <c r="AG45" t="str">
        <f t="shared" si="25"/>
        <v>*0.806322012647686</v>
      </c>
      <c r="AH45" t="str">
        <f t="shared" si="26"/>
        <v>*0.806322012647686</v>
      </c>
      <c r="AI45" t="str">
        <f t="shared" si="27"/>
        <v>*0.806322012647686</v>
      </c>
      <c r="AJ45" t="str">
        <f t="shared" si="28"/>
        <v>*0.983019632318116</v>
      </c>
      <c r="AK45" t="str">
        <f t="shared" si="29"/>
        <v>*0.806322012647686</v>
      </c>
      <c r="AL45" t="str">
        <f t="shared" si="30"/>
        <v>*0.906604351626599</v>
      </c>
      <c r="AM45" t="str">
        <f t="shared" si="31"/>
        <v>*0.806322012647686</v>
      </c>
      <c r="AN45" t="str">
        <f t="shared" si="32"/>
        <v>*0.89386762861896</v>
      </c>
      <c r="AO45" t="str">
        <f t="shared" si="33"/>
        <v>*0.806322012647686</v>
      </c>
      <c r="AP45" t="str">
        <f t="shared" si="34"/>
        <v>*0.806322012647686</v>
      </c>
      <c r="AQ45" t="str">
        <f t="shared" si="35"/>
        <v>*0.806322012647686</v>
      </c>
      <c r="AR45" t="str">
        <f t="shared" si="36"/>
        <v>*0.889622985856844</v>
      </c>
      <c r="AS45" s="49" t="str">
        <f t="shared" si="37"/>
        <v>*0.915091066360072</v>
      </c>
      <c r="AV45" s="31">
        <f t="shared" si="5"/>
        <v>0.52778869516323434</v>
      </c>
      <c r="AW45" s="32">
        <f>IFERROR(AVERAGEIFS(COM_All!L$2:L$999,COM_All!$B$2:$B$999,"="&amp;$A$4,COM_All!$C$2:$C$999,"="&amp;'INS-UPD Heat'!$A45),"")</f>
        <v>0.5</v>
      </c>
      <c r="AX45" s="32">
        <f>IFERROR(AVERAGEIFS(COM_All!M$2:M$999,COM_All!$B$2:$B$999,"="&amp;$A$4,COM_All!$C$2:$C$999,"="&amp;'INS-UPD Heat'!$A45),"")</f>
        <v>0.59377429313906205</v>
      </c>
      <c r="AY45" s="32">
        <f>IFERROR(AVERAGEIFS(COM_All!N$2:N$999,COM_All!$B$2:$B$999,"="&amp;$A$4,COM_All!$C$2:$C$999,"="&amp;'INS-UPD Heat'!$A45),"")</f>
        <v>0.5</v>
      </c>
      <c r="AZ45" s="32">
        <f>IFERROR(AVERAGEIFS(COM_All!O$2:O$999,COM_All!$B$2:$B$999,"="&amp;$A$4,COM_All!$C$2:$C$999,"="&amp;'INS-UPD Heat'!$A45),"")</f>
        <v>0.5</v>
      </c>
      <c r="BA45" s="32">
        <f>IFERROR(AVERAGEIFS(COM_All!P$2:P$999,COM_All!$B$2:$B$999,"="&amp;$A$4,COM_All!$C$2:$C$999,"="&amp;'INS-UPD Heat'!$A45),"")</f>
        <v>0.49900601476646</v>
      </c>
      <c r="BB45" s="32">
        <f>IFERROR(AVERAGEIFS(COM_All!Q$2:Q$999,COM_All!$B$2:$B$999,"="&amp;$A$4,COM_All!$C$2:$C$999,"="&amp;'INS-UPD Heat'!$A45),"")</f>
        <v>0.62009965269107703</v>
      </c>
      <c r="BC45" s="32">
        <f>IFERROR(AVERAGEIFS(COM_All!R$2:R$999,COM_All!$B$2:$B$999,"="&amp;$A$4,COM_All!$C$2:$C$999,"="&amp;'INS-UPD Heat'!$A45),"")</f>
        <v>0.5</v>
      </c>
      <c r="BD45" s="32">
        <f>IFERROR(AVERAGEIFS(COM_All!S$2:S$999,COM_All!$B$2:$B$999,"="&amp;$A$4,COM_All!$C$2:$C$999,"="&amp;'INS-UPD Heat'!$A45),"")</f>
        <v>0.54112464981267105</v>
      </c>
      <c r="BE45" s="32">
        <f>IFERROR(AVERAGEIFS(COM_All!T$2:T$999,COM_All!$B$2:$B$999,"="&amp;$A$4,COM_All!$C$2:$C$999,"="&amp;'INS-UPD Heat'!$A45),"")</f>
        <v>0.62009965269107703</v>
      </c>
      <c r="BF45" s="32">
        <f>IFERROR(AVERAGEIFS(COM_All!U$2:U$999,COM_All!$B$2:$B$999,"="&amp;$A$4,COM_All!$C$2:$C$999,"="&amp;'INS-UPD Heat'!$A45),"")</f>
        <v>0.5</v>
      </c>
      <c r="BG45" s="32">
        <f>IFERROR(AVERAGEIFS(COM_All!V$2:V$999,COM_All!$B$2:$B$999,"="&amp;$A$4,COM_All!$C$2:$C$999,"="&amp;'INS-UPD Heat'!$A45),"")</f>
        <v>0.54112589830116897</v>
      </c>
      <c r="BH45" s="32">
        <f>IFERROR(AVERAGEIFS(COM_All!W$2:W$999,COM_All!$B$2:$B$999,"="&amp;$A$4,COM_All!$C$2:$C$999,"="&amp;'INS-UPD Heat'!$A45),"")</f>
        <v>0.5</v>
      </c>
      <c r="BI45" s="32">
        <f>IFERROR(AVERAGEIFS(COM_All!X$2:X$999,COM_All!$B$2:$B$999,"="&amp;$A$4,COM_All!$C$2:$C$999,"="&amp;'INS-UPD Heat'!$A45),"")</f>
        <v>0.514799099967856</v>
      </c>
      <c r="BJ45" s="32">
        <f>IFERROR(AVERAGEIFS(COM_All!Y$2:Y$999,COM_All!$B$2:$B$999,"="&amp;$A$4,COM_All!$C$2:$C$999,"="&amp;'INS-UPD Heat'!$A45),"")</f>
        <v>0.54638891786056298</v>
      </c>
      <c r="BK45" s="32">
        <f>IFERROR(AVERAGEIFS(COM_All!Z$2:Z$999,COM_All!$B$2:$B$999,"="&amp;$A$4,COM_All!$C$2:$C$999,"="&amp;'INS-UPD Heat'!$A45),"")</f>
        <v>0.5</v>
      </c>
      <c r="BL45" s="32">
        <f>IFERROR(AVERAGEIFS(COM_All!AA$2:AA$999,COM_All!$B$2:$B$999,"="&amp;$A$4,COM_All!$C$2:$C$999,"="&amp;'INS-UPD Heat'!$A45),"")</f>
        <v>0.55165505592483999</v>
      </c>
      <c r="BM45" s="32">
        <f>IFERROR(AVERAGEIFS(COM_All!AB$2:AB$999,COM_All!$B$2:$B$999,"="&amp;$A$4,COM_All!$C$2:$C$999,"="&amp;'INS-UPD Heat'!$A45),"")</f>
        <v>0.55165363316483695</v>
      </c>
      <c r="BN45" s="32">
        <f>IFERROR(AVERAGEIFS(COM_All!AC$2:AC$999,COM_All!$B$2:$B$999,"="&amp;$A$4,COM_All!$C$2:$C$999,"="&amp;'INS-UPD Heat'!$A45),"")</f>
        <v>0.5</v>
      </c>
      <c r="BO45" s="32">
        <f>IFERROR(AVERAGEIFS(COM_All!AD$2:AD$999,COM_All!$B$2:$B$999,"="&amp;$A$4,COM_All!$C$2:$C$999,"="&amp;'INS-UPD Heat'!$A45),"")</f>
        <v>0.5</v>
      </c>
      <c r="BP45" s="32">
        <f>IFERROR(AVERAGEIFS(COM_All!AE$2:AE$999,COM_All!$B$2:$B$999,"="&amp;$A$4,COM_All!$C$2:$C$999,"="&amp;'INS-UPD Heat'!$A45),"")</f>
        <v>0.5</v>
      </c>
      <c r="BQ45" s="32">
        <f>IFERROR(AVERAGEIFS(COM_All!AF$2:AF$999,COM_All!$B$2:$B$999,"="&amp;$A$4,COM_All!$C$2:$C$999,"="&amp;'INS-UPD Heat'!$A45),"")</f>
        <v>0.5</v>
      </c>
      <c r="BR45" s="32">
        <f>IFERROR(AVERAGEIFS(COM_All!AG$2:AG$999,COM_All!$B$2:$B$999,"="&amp;$A$4,COM_All!$C$2:$C$999,"="&amp;'INS-UPD Heat'!$A45),"")</f>
        <v>0.54112535796091599</v>
      </c>
      <c r="BS45" s="32">
        <f>IFERROR(AVERAGEIFS(COM_All!AH$2:AH$999,COM_All!$B$2:$B$999,"="&amp;$A$4,COM_All!$C$2:$C$999,"="&amp;'INS-UPD Heat'!$A45),"")</f>
        <v>0.5</v>
      </c>
      <c r="BT45" s="32">
        <f>IFERROR(AVERAGEIFS(COM_All!AI$2:AI$999,COM_All!$B$2:$B$999,"="&amp;$A$4,COM_All!$C$2:$C$999,"="&amp;'INS-UPD Heat'!$A45),"")</f>
        <v>0.56218475555346803</v>
      </c>
      <c r="BU45" s="32">
        <f>IFERROR(AVERAGEIFS(COM_All!AJ$2:AJ$999,COM_All!$B$2:$B$999,"="&amp;$A$4,COM_All!$C$2:$C$999,"="&amp;'INS-UPD Heat'!$A45),"")</f>
        <v>0.5</v>
      </c>
      <c r="BV45" s="32">
        <f>IFERROR(AVERAGEIFS(COM_All!AK$2:AK$999,COM_All!$B$2:$B$999,"="&amp;$A$4,COM_All!$C$2:$C$999,"="&amp;'INS-UPD Heat'!$A45),"")</f>
        <v>0.5</v>
      </c>
      <c r="BW45" s="32">
        <f>IFERROR(AVERAGEIFS(COM_All!AL$2:AL$999,COM_All!$B$2:$B$999,"="&amp;$A$4,COM_All!$C$2:$C$999,"="&amp;'INS-UPD Heat'!$A45),"")</f>
        <v>0.5</v>
      </c>
      <c r="BX45" s="32">
        <f>IFERROR(AVERAGEIFS(COM_All!AM$2:AM$999,COM_All!$B$2:$B$999,"="&amp;$A$4,COM_All!$C$2:$C$999,"="&amp;'INS-UPD Heat'!$A45),"")</f>
        <v>0.60957013258897397</v>
      </c>
      <c r="BY45" s="32">
        <f>IFERROR(AVERAGEIFS(COM_All!AN$2:AN$999,COM_All!$B$2:$B$999,"="&amp;$A$4,COM_All!$C$2:$C$999,"="&amp;'INS-UPD Heat'!$A45),"")</f>
        <v>0.5</v>
      </c>
      <c r="BZ45" s="32">
        <f>IFERROR(AVERAGEIFS(COM_All!AO$2:AO$999,COM_All!$B$2:$B$999,"="&amp;$A$4,COM_All!$C$2:$C$999,"="&amp;'INS-UPD Heat'!$A45),"")</f>
        <v>0.56218504357187304</v>
      </c>
      <c r="CA45" s="32">
        <f>IFERROR(AVERAGEIFS(COM_All!AP$2:AP$999,COM_All!$B$2:$B$999,"="&amp;$A$4,COM_All!$C$2:$C$999,"="&amp;'INS-UPD Heat'!$A45),"")</f>
        <v>0.5</v>
      </c>
      <c r="CB45" s="32">
        <f>IFERROR(AVERAGEIFS(COM_All!AQ$2:AQ$999,COM_All!$B$2:$B$999,"="&amp;$A$4,COM_All!$C$2:$C$999,"="&amp;'INS-UPD Heat'!$A45),"")</f>
        <v>0.55428700605841397</v>
      </c>
      <c r="CC45" s="32">
        <f>IFERROR(AVERAGEIFS(COM_All!AR$2:AR$999,COM_All!$B$2:$B$999,"="&amp;$A$4,COM_All!$C$2:$C$999,"="&amp;'INS-UPD Heat'!$A45),"")</f>
        <v>0.5</v>
      </c>
      <c r="CD45" s="32">
        <f>IFERROR(AVERAGEIFS(COM_All!AS$2:AS$999,COM_All!$B$2:$B$999,"="&amp;$A$4,COM_All!$C$2:$C$999,"="&amp;'INS-UPD Heat'!$A45),"")</f>
        <v>0.5</v>
      </c>
      <c r="CE45" s="32">
        <f>IFERROR(AVERAGEIFS(COM_All!AT$2:AT$999,COM_All!$B$2:$B$999,"="&amp;$A$4,COM_All!$C$2:$C$999,"="&amp;'INS-UPD Heat'!$A45),"")</f>
        <v>0.5</v>
      </c>
      <c r="CF45" s="32">
        <f>IFERROR(AVERAGEIFS(COM_All!AU$2:AU$999,COM_All!$B$2:$B$999,"="&amp;$A$4,COM_All!$C$2:$C$999,"="&amp;'INS-UPD Heat'!$A45),"")</f>
        <v>0.551654904555828</v>
      </c>
      <c r="CG45" s="33">
        <f>IFERROR(AVERAGEIFS(COM_All!AV$2:AV$999,COM_All!$B$2:$B$999,"="&amp;$A$4,COM_All!$C$2:$C$999,"="&amp;'INS-UPD Heat'!$A45),"")</f>
        <v>0.56744765243058803</v>
      </c>
    </row>
    <row r="46" spans="1:85" ht="15">
      <c r="A46" t="s">
        <v>162</v>
      </c>
      <c r="C46" t="s">
        <v>29</v>
      </c>
      <c r="D46" t="str">
        <f t="shared" si="41"/>
        <v>C_ES-SH-OF_BI*</v>
      </c>
      <c r="H46" s="54"/>
      <c r="I46" t="str">
        <f t="shared" si="3"/>
        <v>*1</v>
      </c>
      <c r="J46" t="str">
        <f t="shared" si="38"/>
        <v>*1.13273935601115</v>
      </c>
      <c r="K46" t="str">
        <f t="shared" si="39"/>
        <v>*1</v>
      </c>
      <c r="L46" t="str">
        <f t="shared" si="40"/>
        <v>*1.16287202779621</v>
      </c>
      <c r="M46" t="str">
        <f t="shared" si="6"/>
        <v>*0.951947404871184</v>
      </c>
      <c r="N46" t="str">
        <f t="shared" si="7"/>
        <v>*1</v>
      </c>
      <c r="O46" t="str">
        <f t="shared" si="8"/>
        <v>*0.891684624593808</v>
      </c>
      <c r="P46" t="str">
        <f t="shared" si="9"/>
        <v>*1.03230037990426</v>
      </c>
      <c r="Q46" s="48" t="str">
        <f t="shared" si="4"/>
        <v>*0.5</v>
      </c>
      <c r="R46" t="str">
        <f t="shared" si="10"/>
        <v>*1.0825169264074</v>
      </c>
      <c r="S46" t="str">
        <f t="shared" si="11"/>
        <v>*1.03229644898342</v>
      </c>
      <c r="T46" t="str">
        <f t="shared" si="12"/>
        <v>*1</v>
      </c>
      <c r="U46" t="str">
        <f t="shared" si="13"/>
        <v>*0.982080090991512</v>
      </c>
      <c r="V46" t="str">
        <f t="shared" si="14"/>
        <v>*1.0423429136333</v>
      </c>
      <c r="W46" t="str">
        <f t="shared" si="15"/>
        <v>*1.08252106666226</v>
      </c>
      <c r="X46" t="str">
        <f t="shared" si="16"/>
        <v>*1.05238453545451</v>
      </c>
      <c r="Y46" t="str">
        <f t="shared" si="17"/>
        <v>*1.05238966451752</v>
      </c>
      <c r="Z46" t="str">
        <f t="shared" si="18"/>
        <v>*1.1026073590249</v>
      </c>
      <c r="AA46" t="str">
        <f t="shared" si="19"/>
        <v>*1.0825169264074</v>
      </c>
      <c r="AB46" t="str">
        <f t="shared" si="20"/>
        <v>*1</v>
      </c>
      <c r="AC46" t="str">
        <f t="shared" si="21"/>
        <v>*1</v>
      </c>
      <c r="AD46" t="str">
        <f t="shared" si="22"/>
        <v>*1.03230017588431</v>
      </c>
      <c r="AE46" t="str">
        <f t="shared" si="23"/>
        <v>*1</v>
      </c>
      <c r="AF46" t="str">
        <f t="shared" si="24"/>
        <v>*1.07247594152106</v>
      </c>
      <c r="AG46" t="str">
        <f t="shared" si="25"/>
        <v>*1</v>
      </c>
      <c r="AH46" t="str">
        <f t="shared" si="26"/>
        <v>*1</v>
      </c>
      <c r="AI46" t="str">
        <f t="shared" si="27"/>
        <v>*1</v>
      </c>
      <c r="AJ46" t="str">
        <f t="shared" si="28"/>
        <v>*1.16287284644911</v>
      </c>
      <c r="AK46" t="str">
        <f t="shared" si="29"/>
        <v>*1.0825169264074</v>
      </c>
      <c r="AL46" t="str">
        <f t="shared" si="30"/>
        <v>*1.07247406151033</v>
      </c>
      <c r="AM46" t="str">
        <f t="shared" si="31"/>
        <v>*1</v>
      </c>
      <c r="AN46" t="str">
        <f t="shared" si="32"/>
        <v>*1</v>
      </c>
      <c r="AO46" t="str">
        <f t="shared" si="33"/>
        <v>*1</v>
      </c>
      <c r="AP46" t="str">
        <f t="shared" si="34"/>
        <v>*1.03229798151806</v>
      </c>
      <c r="AQ46" t="str">
        <f t="shared" si="35"/>
        <v>*1</v>
      </c>
      <c r="AR46" t="str">
        <f t="shared" si="36"/>
        <v>*1.05238916181003</v>
      </c>
      <c r="AS46" s="49" t="str">
        <f t="shared" si="37"/>
        <v>*1.08252104532776</v>
      </c>
      <c r="AV46" s="31">
        <f t="shared" si="5"/>
        <v>0.51720334953630942</v>
      </c>
      <c r="AW46" s="32">
        <f>IFERROR(AVERAGEIFS(COM_All!L$2:L$999,COM_All!$B$2:$B$999,"="&amp;$A$4,COM_All!$C$2:$C$999,"="&amp;'INS-UPD Heat'!$A46),"")</f>
        <v>0.5</v>
      </c>
      <c r="AX46" s="32">
        <f>IFERROR(AVERAGEIFS(COM_All!M$2:M$999,COM_All!$B$2:$B$999,"="&amp;$A$4,COM_All!$C$2:$C$999,"="&amp;'INS-UPD Heat'!$A46),"")</f>
        <v>0.56636967800557603</v>
      </c>
      <c r="AY46" s="32">
        <f>IFERROR(AVERAGEIFS(COM_All!N$2:N$999,COM_All!$B$2:$B$999,"="&amp;$A$4,COM_All!$C$2:$C$999,"="&amp;'INS-UPD Heat'!$A46),"")</f>
        <v>0.5</v>
      </c>
      <c r="AZ46" s="32">
        <f>IFERROR(AVERAGEIFS(COM_All!O$2:O$999,COM_All!$B$2:$B$999,"="&amp;$A$4,COM_All!$C$2:$C$999,"="&amp;'INS-UPD Heat'!$A46),"")</f>
        <v>0.58143601389810495</v>
      </c>
      <c r="BA46" s="32">
        <f>IFERROR(AVERAGEIFS(COM_All!P$2:P$999,COM_All!$B$2:$B$999,"="&amp;$A$4,COM_All!$C$2:$C$999,"="&amp;'INS-UPD Heat'!$A46),"")</f>
        <v>0.47597370243559201</v>
      </c>
      <c r="BB46" s="32">
        <f>IFERROR(AVERAGEIFS(COM_All!Q$2:Q$999,COM_All!$B$2:$B$999,"="&amp;$A$4,COM_All!$C$2:$C$999,"="&amp;'INS-UPD Heat'!$A46),"")</f>
        <v>0.5</v>
      </c>
      <c r="BC46" s="32">
        <f>IFERROR(AVERAGEIFS(COM_All!R$2:R$999,COM_All!$B$2:$B$999,"="&amp;$A$4,COM_All!$C$2:$C$999,"="&amp;'INS-UPD Heat'!$A46),"")</f>
        <v>0.44584231229690402</v>
      </c>
      <c r="BD46" s="32">
        <f>IFERROR(AVERAGEIFS(COM_All!S$2:S$999,COM_All!$B$2:$B$999,"="&amp;$A$4,COM_All!$C$2:$C$999,"="&amp;'INS-UPD Heat'!$A46),"")</f>
        <v>0.51615018995212902</v>
      </c>
      <c r="BE46" s="32">
        <f>IFERROR(AVERAGEIFS(COM_All!T$2:T$999,COM_All!$B$2:$B$999,"="&amp;$A$4,COM_All!$C$2:$C$999,"="&amp;'INS-UPD Heat'!$A46),"")</f>
        <v>0.5</v>
      </c>
      <c r="BF46" s="32">
        <f>IFERROR(AVERAGEIFS(COM_All!U$2:U$999,COM_All!$B$2:$B$999,"="&amp;$A$4,COM_All!$C$2:$C$999,"="&amp;'INS-UPD Heat'!$A46),"")</f>
        <v>0.54125846320370197</v>
      </c>
      <c r="BG46" s="32">
        <f>IFERROR(AVERAGEIFS(COM_All!V$2:V$999,COM_All!$B$2:$B$999,"="&amp;$A$4,COM_All!$C$2:$C$999,"="&amp;'INS-UPD Heat'!$A46),"")</f>
        <v>0.51614822449170805</v>
      </c>
      <c r="BH46" s="32">
        <f>IFERROR(AVERAGEIFS(COM_All!W$2:W$999,COM_All!$B$2:$B$999,"="&amp;$A$4,COM_All!$C$2:$C$999,"="&amp;'INS-UPD Heat'!$A46),"")</f>
        <v>0.5</v>
      </c>
      <c r="BI46" s="32">
        <f>IFERROR(AVERAGEIFS(COM_All!X$2:X$999,COM_All!$B$2:$B$999,"="&amp;$A$4,COM_All!$C$2:$C$999,"="&amp;'INS-UPD Heat'!$A46),"")</f>
        <v>0.49104004549575597</v>
      </c>
      <c r="BJ46" s="32">
        <f>IFERROR(AVERAGEIFS(COM_All!Y$2:Y$999,COM_All!$B$2:$B$999,"="&amp;$A$4,COM_All!$C$2:$C$999,"="&amp;'INS-UPD Heat'!$A46),"")</f>
        <v>0.521171456816652</v>
      </c>
      <c r="BK46" s="32">
        <f>IFERROR(AVERAGEIFS(COM_All!Z$2:Z$999,COM_All!$B$2:$B$999,"="&amp;$A$4,COM_All!$C$2:$C$999,"="&amp;'INS-UPD Heat'!$A46),"")</f>
        <v>0.541260533331132</v>
      </c>
      <c r="BL46" s="32">
        <f>IFERROR(AVERAGEIFS(COM_All!AA$2:AA$999,COM_All!$B$2:$B$999,"="&amp;$A$4,COM_All!$C$2:$C$999,"="&amp;'INS-UPD Heat'!$A46),"")</f>
        <v>0.52619226772725602</v>
      </c>
      <c r="BM46" s="32">
        <f>IFERROR(AVERAGEIFS(COM_All!AB$2:AB$999,COM_All!$B$2:$B$999,"="&amp;$A$4,COM_All!$C$2:$C$999,"="&amp;'INS-UPD Heat'!$A46),"")</f>
        <v>0.52619483225875896</v>
      </c>
      <c r="BN46" s="32">
        <f>IFERROR(AVERAGEIFS(COM_All!AC$2:AC$999,COM_All!$B$2:$B$999,"="&amp;$A$4,COM_All!$C$2:$C$999,"="&amp;'INS-UPD Heat'!$A46),"")</f>
        <v>0.55130367951244896</v>
      </c>
      <c r="BO46" s="32">
        <f>IFERROR(AVERAGEIFS(COM_All!AD$2:AD$999,COM_All!$B$2:$B$999,"="&amp;$A$4,COM_All!$C$2:$C$999,"="&amp;'INS-UPD Heat'!$A46),"")</f>
        <v>0.54125846320370197</v>
      </c>
      <c r="BP46" s="32">
        <f>IFERROR(AVERAGEIFS(COM_All!AE$2:AE$999,COM_All!$B$2:$B$999,"="&amp;$A$4,COM_All!$C$2:$C$999,"="&amp;'INS-UPD Heat'!$A46),"")</f>
        <v>0.5</v>
      </c>
      <c r="BQ46" s="32">
        <f>IFERROR(AVERAGEIFS(COM_All!AF$2:AF$999,COM_All!$B$2:$B$999,"="&amp;$A$4,COM_All!$C$2:$C$999,"="&amp;'INS-UPD Heat'!$A46),"")</f>
        <v>0.5</v>
      </c>
      <c r="BR46" s="32">
        <f>IFERROR(AVERAGEIFS(COM_All!AG$2:AG$999,COM_All!$B$2:$B$999,"="&amp;$A$4,COM_All!$C$2:$C$999,"="&amp;'INS-UPD Heat'!$A46),"")</f>
        <v>0.516150087942154</v>
      </c>
      <c r="BS46" s="32">
        <f>IFERROR(AVERAGEIFS(COM_All!AH$2:AH$999,COM_All!$B$2:$B$999,"="&amp;$A$4,COM_All!$C$2:$C$999,"="&amp;'INS-UPD Heat'!$A46),"")</f>
        <v>0.5</v>
      </c>
      <c r="BT46" s="32">
        <f>IFERROR(AVERAGEIFS(COM_All!AI$2:AI$999,COM_All!$B$2:$B$999,"="&amp;$A$4,COM_All!$C$2:$C$999,"="&amp;'INS-UPD Heat'!$A46),"")</f>
        <v>0.53623797076053004</v>
      </c>
      <c r="BU46" s="32">
        <f>IFERROR(AVERAGEIFS(COM_All!AJ$2:AJ$999,COM_All!$B$2:$B$999,"="&amp;$A$4,COM_All!$C$2:$C$999,"="&amp;'INS-UPD Heat'!$A46),"")</f>
        <v>0.5</v>
      </c>
      <c r="BV46" s="32">
        <f>IFERROR(AVERAGEIFS(COM_All!AK$2:AK$999,COM_All!$B$2:$B$999,"="&amp;$A$4,COM_All!$C$2:$C$999,"="&amp;'INS-UPD Heat'!$A46),"")</f>
        <v>0.5</v>
      </c>
      <c r="BW46" s="32">
        <f>IFERROR(AVERAGEIFS(COM_All!AL$2:AL$999,COM_All!$B$2:$B$999,"="&amp;$A$4,COM_All!$C$2:$C$999,"="&amp;'INS-UPD Heat'!$A46),"")</f>
        <v>0.5</v>
      </c>
      <c r="BX46" s="32">
        <f>IFERROR(AVERAGEIFS(COM_All!AM$2:AM$999,COM_All!$B$2:$B$999,"="&amp;$A$4,COM_All!$C$2:$C$999,"="&amp;'INS-UPD Heat'!$A46),"")</f>
        <v>0.58143642322455602</v>
      </c>
      <c r="BY46" s="32">
        <f>IFERROR(AVERAGEIFS(COM_All!AN$2:AN$999,COM_All!$B$2:$B$999,"="&amp;$A$4,COM_All!$C$2:$C$999,"="&amp;'INS-UPD Heat'!$A46),"")</f>
        <v>0.54125846320370197</v>
      </c>
      <c r="BZ46" s="32">
        <f>IFERROR(AVERAGEIFS(COM_All!AO$2:AO$999,COM_All!$B$2:$B$999,"="&amp;$A$4,COM_All!$C$2:$C$999,"="&amp;'INS-UPD Heat'!$A46),"")</f>
        <v>0.53623703075516505</v>
      </c>
      <c r="CA46" s="32">
        <f>IFERROR(AVERAGEIFS(COM_All!AP$2:AP$999,COM_All!$B$2:$B$999,"="&amp;$A$4,COM_All!$C$2:$C$999,"="&amp;'INS-UPD Heat'!$A46),"")</f>
        <v>0.5</v>
      </c>
      <c r="CB46" s="32">
        <f>IFERROR(AVERAGEIFS(COM_All!AQ$2:AQ$999,COM_All!$B$2:$B$999,"="&amp;$A$4,COM_All!$C$2:$C$999,"="&amp;'INS-UPD Heat'!$A46),"")</f>
        <v>0.5</v>
      </c>
      <c r="CC46" s="32">
        <f>IFERROR(AVERAGEIFS(COM_All!AR$2:AR$999,COM_All!$B$2:$B$999,"="&amp;$A$4,COM_All!$C$2:$C$999,"="&amp;'INS-UPD Heat'!$A46),"")</f>
        <v>0.5</v>
      </c>
      <c r="CD46" s="32">
        <f>IFERROR(AVERAGEIFS(COM_All!AS$2:AS$999,COM_All!$B$2:$B$999,"="&amp;$A$4,COM_All!$C$2:$C$999,"="&amp;'INS-UPD Heat'!$A46),"")</f>
        <v>0.51614899075903098</v>
      </c>
      <c r="CE46" s="32">
        <f>IFERROR(AVERAGEIFS(COM_All!AT$2:AT$999,COM_All!$B$2:$B$999,"="&amp;$A$4,COM_All!$C$2:$C$999,"="&amp;'INS-UPD Heat'!$A46),"")</f>
        <v>0.5</v>
      </c>
      <c r="CF46" s="32">
        <f>IFERROR(AVERAGEIFS(COM_All!AU$2:AU$999,COM_All!$B$2:$B$999,"="&amp;$A$4,COM_All!$C$2:$C$999,"="&amp;'INS-UPD Heat'!$A46),"")</f>
        <v>0.52619458090501303</v>
      </c>
      <c r="CG46" s="33">
        <f>IFERROR(AVERAGEIFS(COM_All!AV$2:AV$999,COM_All!$B$2:$B$999,"="&amp;$A$4,COM_All!$C$2:$C$999,"="&amp;'INS-UPD Heat'!$A46),"")</f>
        <v>0.54126052266387803</v>
      </c>
    </row>
    <row r="47" spans="1:85" ht="15">
      <c r="A47" t="s">
        <v>163</v>
      </c>
      <c r="C47" t="s">
        <v>29</v>
      </c>
      <c r="D47" t="str">
        <f t="shared" si="41"/>
        <v>C_ES-SH-OF_HE*</v>
      </c>
      <c r="H47" s="54"/>
      <c r="I47" t="str">
        <f t="shared" si="3"/>
        <v>*0.880504783355962</v>
      </c>
      <c r="J47" t="str">
        <f t="shared" si="38"/>
        <v>*0.957548618872751</v>
      </c>
      <c r="K47" t="str">
        <f t="shared" si="39"/>
        <v>*0.880504783355962</v>
      </c>
      <c r="L47" t="str">
        <f t="shared" si="40"/>
        <v>*0.983020646759874</v>
      </c>
      <c r="M47" t="str">
        <f t="shared" si="6"/>
        <v>*0.804718937699145</v>
      </c>
      <c r="N47" t="str">
        <f t="shared" si="7"/>
        <v>*1</v>
      </c>
      <c r="O47" t="str">
        <f t="shared" si="8"/>
        <v>*0.880504783355962</v>
      </c>
      <c r="P47" t="str">
        <f t="shared" si="9"/>
        <v>*0.872644275983274</v>
      </c>
      <c r="Q47" s="48" t="str">
        <f t="shared" si="4"/>
        <v>*0.908569737634899</v>
      </c>
      <c r="R47" t="str">
        <f t="shared" si="10"/>
        <v>*0.915095212233637</v>
      </c>
      <c r="S47" t="str">
        <f t="shared" si="11"/>
        <v>*0.872642655737943</v>
      </c>
      <c r="T47" t="str">
        <f t="shared" si="12"/>
        <v>*0.880504783355962</v>
      </c>
      <c r="U47" t="str">
        <f t="shared" si="13"/>
        <v>*0.880504783355962</v>
      </c>
      <c r="V47" t="str">
        <f t="shared" si="14"/>
        <v>*0.881131477151944</v>
      </c>
      <c r="W47" t="str">
        <f t="shared" si="15"/>
        <v>*0.915093124359608</v>
      </c>
      <c r="X47" t="str">
        <f t="shared" si="16"/>
        <v>*0.889625250941913</v>
      </c>
      <c r="Y47" t="str">
        <f t="shared" si="17"/>
        <v>*0.889623372740061</v>
      </c>
      <c r="Z47" t="str">
        <f t="shared" si="18"/>
        <v>*0.880504783355962</v>
      </c>
      <c r="AA47" t="str">
        <f t="shared" si="19"/>
        <v>*0.915095212233637</v>
      </c>
      <c r="AB47" t="str">
        <f t="shared" si="20"/>
        <v>*0.915095341838966</v>
      </c>
      <c r="AC47" t="str">
        <f t="shared" si="21"/>
        <v>*0.880504783355962</v>
      </c>
      <c r="AD47" t="str">
        <f t="shared" si="22"/>
        <v>*0.872640325737902</v>
      </c>
      <c r="AE47" t="str">
        <f t="shared" si="23"/>
        <v>*0.915097225102635</v>
      </c>
      <c r="AF47" t="str">
        <f t="shared" si="24"/>
        <v>*0.906602703277204</v>
      </c>
      <c r="AG47" t="str">
        <f t="shared" si="25"/>
        <v>*0.880504783355962</v>
      </c>
      <c r="AH47" t="str">
        <f t="shared" si="26"/>
        <v>*0.880504783355962</v>
      </c>
      <c r="AI47" t="str">
        <f t="shared" si="27"/>
        <v>*0.880504783355962</v>
      </c>
      <c r="AJ47" t="str">
        <f t="shared" si="28"/>
        <v>*0.983021041372418</v>
      </c>
      <c r="AK47" t="str">
        <f t="shared" si="29"/>
        <v>*0.915095212233637</v>
      </c>
      <c r="AL47" t="str">
        <f t="shared" si="30"/>
        <v>*0.906604639952111</v>
      </c>
      <c r="AM47" t="str">
        <f t="shared" si="31"/>
        <v>*0.855664327496265</v>
      </c>
      <c r="AN47" t="str">
        <f t="shared" si="32"/>
        <v>*0.89386936286641</v>
      </c>
      <c r="AO47" t="str">
        <f t="shared" si="33"/>
        <v>*0.880504783355962</v>
      </c>
      <c r="AP47" t="str">
        <f t="shared" si="34"/>
        <v>*0.872640441278991</v>
      </c>
      <c r="AQ47" t="str">
        <f t="shared" si="35"/>
        <v>*0.949060077873277</v>
      </c>
      <c r="AR47" t="str">
        <f t="shared" si="36"/>
        <v>*0.889625648915354</v>
      </c>
      <c r="AS47" s="49" t="str">
        <f t="shared" si="37"/>
        <v>*0.915096287669067</v>
      </c>
      <c r="AV47" s="31">
        <f t="shared" si="5"/>
        <v>0.81947843501339068</v>
      </c>
      <c r="AW47" s="32">
        <f>IFERROR(AVERAGEIFS(COM_All!L$2:L$999,COM_All!$B$2:$B$999,"="&amp;$A$4,COM_All!$C$2:$C$999,"="&amp;'INS-UPD Heat'!$A47),"")</f>
        <v>0.80000000000000004</v>
      </c>
      <c r="AX47" s="32">
        <f>IFERROR(AVERAGEIFS(COM_All!M$2:M$999,COM_All!$B$2:$B$999,"="&amp;$A$4,COM_All!$C$2:$C$999,"="&amp;'INS-UPD Heat'!$A47),"")</f>
        <v>0.869999697421875</v>
      </c>
      <c r="AY47" s="32">
        <f>IFERROR(AVERAGEIFS(COM_All!N$2:N$999,COM_All!$B$2:$B$999,"="&amp;$A$4,COM_All!$C$2:$C$999,"="&amp;'INS-UPD Heat'!$A47),"")</f>
        <v>0.80000000000000004</v>
      </c>
      <c r="AZ47" s="32">
        <f>IFERROR(AVERAGEIFS(COM_All!O$2:O$999,COM_All!$B$2:$B$999,"="&amp;$A$4,COM_All!$C$2:$C$999,"="&amp;'INS-UPD Heat'!$A47),"")</f>
        <v>0.893142811116307</v>
      </c>
      <c r="BA47" s="32">
        <f>IFERROR(AVERAGEIFS(COM_All!P$2:P$999,COM_All!$B$2:$B$999,"="&amp;$A$4,COM_All!$C$2:$C$999,"="&amp;'INS-UPD Heat'!$A47),"")</f>
        <v>0.73114327409514701</v>
      </c>
      <c r="BB47" s="32">
        <f>IFERROR(AVERAGEIFS(COM_All!Q$2:Q$999,COM_All!$B$2:$B$999,"="&amp;$A$4,COM_All!$C$2:$C$999,"="&amp;'INS-UPD Heat'!$A47),"")</f>
        <v>0.90856973763489901</v>
      </c>
      <c r="BC47" s="32">
        <f>IFERROR(AVERAGEIFS(COM_All!R$2:R$999,COM_All!$B$2:$B$999,"="&amp;$A$4,COM_All!$C$2:$C$999,"="&amp;'INS-UPD Heat'!$A47),"")</f>
        <v>0.80000000000000004</v>
      </c>
      <c r="BD47" s="32">
        <f>IFERROR(AVERAGEIFS(COM_All!S$2:S$999,COM_All!$B$2:$B$999,"="&amp;$A$4,COM_All!$C$2:$C$999,"="&amp;'INS-UPD Heat'!$A47),"")</f>
        <v>0.79285818087871995</v>
      </c>
      <c r="BE47" s="32">
        <f>IFERROR(AVERAGEIFS(COM_All!T$2:T$999,COM_All!$B$2:$B$999,"="&amp;$A$4,COM_All!$C$2:$C$999,"="&amp;'INS-UPD Heat'!$A47),"")</f>
        <v>0.90856973763489901</v>
      </c>
      <c r="BF47" s="32">
        <f>IFERROR(AVERAGEIFS(COM_All!U$2:U$999,COM_All!$B$2:$B$999,"="&amp;$A$4,COM_All!$C$2:$C$999,"="&amp;'INS-UPD Heat'!$A47),"")</f>
        <v>0.83142781689006795</v>
      </c>
      <c r="BG47" s="32">
        <f>IFERROR(AVERAGEIFS(COM_All!V$2:V$999,COM_All!$B$2:$B$999,"="&amp;$A$4,COM_All!$C$2:$C$999,"="&amp;'INS-UPD Heat'!$A47),"")</f>
        <v>0.79285670877284398</v>
      </c>
      <c r="BH47" s="32">
        <f>IFERROR(AVERAGEIFS(COM_All!W$2:W$999,COM_All!$B$2:$B$999,"="&amp;$A$4,COM_All!$C$2:$C$999,"="&amp;'INS-UPD Heat'!$A47),"")</f>
        <v>0.80000000000000004</v>
      </c>
      <c r="BI47" s="32">
        <f>IFERROR(AVERAGEIFS(COM_All!X$2:X$999,COM_All!$B$2:$B$999,"="&amp;$A$4,COM_All!$C$2:$C$999,"="&amp;'INS-UPD Heat'!$A47),"")</f>
        <v>0.80000000000000004</v>
      </c>
      <c r="BJ47" s="32">
        <f>IFERROR(AVERAGEIFS(COM_All!Y$2:Y$999,COM_All!$B$2:$B$999,"="&amp;$A$4,COM_All!$C$2:$C$999,"="&amp;'INS-UPD Heat'!$A47),"")</f>
        <v>0.80056939501779301</v>
      </c>
      <c r="BK47" s="32">
        <f>IFERROR(AVERAGEIFS(COM_All!Z$2:Z$999,COM_All!$B$2:$B$999,"="&amp;$A$4,COM_All!$C$2:$C$999,"="&amp;'INS-UPD Heat'!$A47),"")</f>
        <v>0.83142591991090897</v>
      </c>
      <c r="BL47" s="32">
        <f>IFERROR(AVERAGEIFS(COM_All!AA$2:AA$999,COM_All!$B$2:$B$999,"="&amp;$A$4,COM_All!$C$2:$C$999,"="&amp;'INS-UPD Heat'!$A47),"")</f>
        <v>0.80828658084167504</v>
      </c>
      <c r="BM47" s="32">
        <f>IFERROR(AVERAGEIFS(COM_All!AB$2:AB$999,COM_All!$B$2:$B$999,"="&amp;$A$4,COM_All!$C$2:$C$999,"="&amp;'INS-UPD Heat'!$A47),"")</f>
        <v>0.80828487436431096</v>
      </c>
      <c r="BN47" s="32">
        <f>IFERROR(AVERAGEIFS(COM_All!AC$2:AC$999,COM_All!$B$2:$B$999,"="&amp;$A$4,COM_All!$C$2:$C$999,"="&amp;'INS-UPD Heat'!$A47),"")</f>
        <v>0.80000000000000004</v>
      </c>
      <c r="BO47" s="32">
        <f>IFERROR(AVERAGEIFS(COM_All!AD$2:AD$999,COM_All!$B$2:$B$999,"="&amp;$A$4,COM_All!$C$2:$C$999,"="&amp;'INS-UPD Heat'!$A47),"")</f>
        <v>0.83142781689006795</v>
      </c>
      <c r="BP47" s="32">
        <f>IFERROR(AVERAGEIFS(COM_All!AE$2:AE$999,COM_All!$B$2:$B$999,"="&amp;$A$4,COM_All!$C$2:$C$999,"="&amp;'INS-UPD Heat'!$A47),"")</f>
        <v>0.83142793464554798</v>
      </c>
      <c r="BQ47" s="32">
        <f>IFERROR(AVERAGEIFS(COM_All!AF$2:AF$999,COM_All!$B$2:$B$999,"="&amp;$A$4,COM_All!$C$2:$C$999,"="&amp;'INS-UPD Heat'!$A47),"")</f>
        <v>0.80000000000000004</v>
      </c>
      <c r="BR47" s="32">
        <f>IFERROR(AVERAGEIFS(COM_All!AG$2:AG$999,COM_All!$B$2:$B$999,"="&amp;$A$4,COM_All!$C$2:$C$999,"="&amp;'INS-UPD Heat'!$A47),"")</f>
        <v>0.79285459180531803</v>
      </c>
      <c r="BS47" s="32">
        <f>IFERROR(AVERAGEIFS(COM_All!AH$2:AH$999,COM_All!$B$2:$B$999,"="&amp;$A$4,COM_All!$C$2:$C$999,"="&amp;'INS-UPD Heat'!$A47),"")</f>
        <v>0.83142964572192501</v>
      </c>
      <c r="BT47" s="32">
        <f>IFERROR(AVERAGEIFS(COM_All!AI$2:AI$999,COM_All!$B$2:$B$999,"="&amp;$A$4,COM_All!$C$2:$C$999,"="&amp;'INS-UPD Heat'!$A47),"")</f>
        <v>0.82371178025565905</v>
      </c>
      <c r="BU47" s="32">
        <f>IFERROR(AVERAGEIFS(COM_All!AJ$2:AJ$999,COM_All!$B$2:$B$999,"="&amp;$A$4,COM_All!$C$2:$C$999,"="&amp;'INS-UPD Heat'!$A47),"")</f>
        <v>0.80000000000000004</v>
      </c>
      <c r="BV47" s="32">
        <f>IFERROR(AVERAGEIFS(COM_All!AK$2:AK$999,COM_All!$B$2:$B$999,"="&amp;$A$4,COM_All!$C$2:$C$999,"="&amp;'INS-UPD Heat'!$A47),"")</f>
        <v>0.80000000000000004</v>
      </c>
      <c r="BW47" s="32">
        <f>IFERROR(AVERAGEIFS(COM_All!AL$2:AL$999,COM_All!$B$2:$B$999,"="&amp;$A$4,COM_All!$C$2:$C$999,"="&amp;'INS-UPD Heat'!$A47),"")</f>
        <v>0.80000000000000004</v>
      </c>
      <c r="BX47" s="32">
        <f>IFERROR(AVERAGEIFS(COM_All!AM$2:AM$999,COM_All!$B$2:$B$999,"="&amp;$A$4,COM_All!$C$2:$C$999,"="&amp;'INS-UPD Heat'!$A47),"")</f>
        <v>0.89314316964932305</v>
      </c>
      <c r="BY47" s="32">
        <f>IFERROR(AVERAGEIFS(COM_All!AN$2:AN$999,COM_All!$B$2:$B$999,"="&amp;$A$4,COM_All!$C$2:$C$999,"="&amp;'INS-UPD Heat'!$A47),"")</f>
        <v>0.83142781689006795</v>
      </c>
      <c r="BZ47" s="32">
        <f>IFERROR(AVERAGEIFS(COM_All!AO$2:AO$999,COM_All!$B$2:$B$999,"="&amp;$A$4,COM_All!$C$2:$C$999,"="&amp;'INS-UPD Heat'!$A47),"")</f>
        <v>0.82371353985987195</v>
      </c>
      <c r="CA47" s="32">
        <f>IFERROR(AVERAGEIFS(COM_All!AP$2:AP$999,COM_All!$B$2:$B$999,"="&amp;$A$4,COM_All!$C$2:$C$999,"="&amp;'INS-UPD Heat'!$A47),"")</f>
        <v>0.77743071353682403</v>
      </c>
      <c r="CB47" s="32">
        <f>IFERROR(AVERAGEIFS(COM_All!AQ$2:AQ$999,COM_All!$B$2:$B$999,"="&amp;$A$4,COM_All!$C$2:$C$999,"="&amp;'INS-UPD Heat'!$A47),"")</f>
        <v>0.81214265249940798</v>
      </c>
      <c r="CC47" s="32">
        <f>IFERROR(AVERAGEIFS(COM_All!AR$2:AR$999,COM_All!$B$2:$B$999,"="&amp;$A$4,COM_All!$C$2:$C$999,"="&amp;'INS-UPD Heat'!$A47),"")</f>
        <v>0.80000000000000004</v>
      </c>
      <c r="CD47" s="32">
        <f>IFERROR(AVERAGEIFS(COM_All!AS$2:AS$999,COM_All!$B$2:$B$999,"="&amp;$A$4,COM_All!$C$2:$C$999,"="&amp;'INS-UPD Heat'!$A47),"")</f>
        <v>0.79285469678245502</v>
      </c>
      <c r="CE47" s="32">
        <f>IFERROR(AVERAGEIFS(COM_All!AT$2:AT$999,COM_All!$B$2:$B$999,"="&amp;$A$4,COM_All!$C$2:$C$999,"="&amp;'INS-UPD Heat'!$A47),"")</f>
        <v>0.86228726595308003</v>
      </c>
      <c r="CF47" s="32">
        <f>IFERROR(AVERAGEIFS(COM_All!AU$2:AU$999,COM_All!$B$2:$B$999,"="&amp;$A$4,COM_All!$C$2:$C$999,"="&amp;'INS-UPD Heat'!$A47),"")</f>
        <v>0.80828694242830001</v>
      </c>
      <c r="CG47" s="33">
        <f>IFERROR(AVERAGEIFS(COM_All!AV$2:AV$999,COM_All!$B$2:$B$999,"="&amp;$A$4,COM_All!$C$2:$C$999,"="&amp;'INS-UPD Heat'!$A47),"")</f>
        <v>0.83142879399815395</v>
      </c>
    </row>
    <row r="48" spans="1:85" ht="39">
      <c r="A48" t="s">
        <v>164</v>
      </c>
      <c r="C48" t="s">
        <v>29</v>
      </c>
      <c r="D48" s="75" t="s">
        <v>414</v>
      </c>
      <c r="H48" s="54"/>
      <c r="I48" t="str">
        <f t="shared" si="3"/>
        <v>*0.814695640040816</v>
      </c>
      <c r="J48" t="str">
        <f t="shared" si="38"/>
        <v>*0.866863618757606</v>
      </c>
      <c r="K48" t="str">
        <f t="shared" si="39"/>
        <v>*0.814695640040816</v>
      </c>
      <c r="L48" t="str">
        <f t="shared" si="40"/>
        <v>*0.829770066565543</v>
      </c>
      <c r="M48" t="str">
        <f t="shared" si="6"/>
        <v>*0.670139292549879</v>
      </c>
      <c r="N48" t="str">
        <f t="shared" si="7"/>
        <v>*1</v>
      </c>
      <c r="O48" t="str">
        <f t="shared" si="8"/>
        <v>*0.806570689531818</v>
      </c>
      <c r="P48" t="str">
        <f t="shared" si="9"/>
        <v>*0.783236858692403</v>
      </c>
      <c r="Q48" s="48" t="str">
        <f t="shared" si="4"/>
        <v>*1.16338718199139</v>
      </c>
      <c r="R48" t="str">
        <f t="shared" si="10"/>
        <v>*0.964160419172593</v>
      </c>
      <c r="S48" t="str">
        <f t="shared" si="11"/>
        <v>*0.707243659269144</v>
      </c>
      <c r="T48" t="str">
        <f t="shared" si="12"/>
        <v>*0.814695640040816</v>
      </c>
      <c r="U48" t="str">
        <f t="shared" si="13"/>
        <v>*0.880205881297254</v>
      </c>
      <c r="V48" t="str">
        <f t="shared" si="14"/>
        <v>*0.915248470397476</v>
      </c>
      <c r="W48" t="str">
        <f t="shared" si="15"/>
        <v>*0.982636396644647</v>
      </c>
      <c r="X48" t="str">
        <f t="shared" si="16"/>
        <v>*0.731393580117313</v>
      </c>
      <c r="Y48" t="str">
        <f t="shared" si="17"/>
        <v>*0.847123481616257</v>
      </c>
      <c r="Z48" t="str">
        <f t="shared" si="18"/>
        <v>*0.856585176139782</v>
      </c>
      <c r="AA48" t="str">
        <f t="shared" si="19"/>
        <v>*0.964160419172593</v>
      </c>
      <c r="AB48" t="str">
        <f t="shared" si="20"/>
        <v>*0.975703024004163</v>
      </c>
      <c r="AC48" t="str">
        <f t="shared" si="21"/>
        <v>*0.814695640040816</v>
      </c>
      <c r="AD48" t="str">
        <f t="shared" si="22"/>
        <v>*0.801302174406614</v>
      </c>
      <c r="AE48" t="str">
        <f t="shared" si="23"/>
        <v>*1.04929722822849</v>
      </c>
      <c r="AF48" t="str">
        <f t="shared" si="24"/>
        <v>*0.802607320234305</v>
      </c>
      <c r="AG48" t="str">
        <f t="shared" si="25"/>
        <v>*0.814695640040816</v>
      </c>
      <c r="AH48" t="str">
        <f t="shared" si="26"/>
        <v>*0.814695640040816</v>
      </c>
      <c r="AI48" t="str">
        <f t="shared" si="27"/>
        <v>*0.662075744685471</v>
      </c>
      <c r="AJ48" t="str">
        <f t="shared" si="28"/>
        <v>*1.09991267506868</v>
      </c>
      <c r="AK48" t="str">
        <f t="shared" si="29"/>
        <v>*0.964160419172593</v>
      </c>
      <c r="AL48" t="str">
        <f t="shared" si="30"/>
        <v>*0.973806550892689</v>
      </c>
      <c r="AM48" t="str">
        <f t="shared" si="31"/>
        <v>*0.840908698492736</v>
      </c>
      <c r="AN48" t="str">
        <f t="shared" si="32"/>
        <v>*0.752940453106604</v>
      </c>
      <c r="AO48" t="str">
        <f t="shared" si="33"/>
        <v>*0.814695640040816</v>
      </c>
      <c r="AP48" t="str">
        <f t="shared" si="34"/>
        <v>*0.885880097942198</v>
      </c>
      <c r="AQ48" t="str">
        <f t="shared" si="35"/>
        <v>*0.839394722196866</v>
      </c>
      <c r="AR48" t="str">
        <f t="shared" si="36"/>
        <v>*0.812611601321336</v>
      </c>
      <c r="AS48" s="49" t="str">
        <f t="shared" si="37"/>
        <v>*1.05673460932283</v>
      </c>
      <c r="AV48" s="31">
        <f t="shared" si="5"/>
        <v>1.0069758378551188</v>
      </c>
      <c r="AW48" s="32">
        <f>IFERROR(AVERAGEIFS(COM_All!L$2:L$999,COM_All!$B$2:$B$999,"="&amp;$A$4,COM_All!$C$2:$C$999,"="&amp;'INS-UPD Heat'!$A48),"")</f>
        <v>0.94780646484775699</v>
      </c>
      <c r="AX48" s="32">
        <f>IFERROR(AVERAGEIFS(COM_All!M$2:M$999,COM_All!$B$2:$B$999,"="&amp;$A$4,COM_All!$C$2:$C$999,"="&amp;'INS-UPD Heat'!$A48),"")</f>
        <v>1.0084980225972699</v>
      </c>
      <c r="AY48" s="32">
        <f>IFERROR(AVERAGEIFS(COM_All!N$2:N$999,COM_All!$B$2:$B$999,"="&amp;$A$4,COM_All!$C$2:$C$999,"="&amp;'INS-UPD Heat'!$A48),"")</f>
        <v>0.94780646484775699</v>
      </c>
      <c r="AZ48" s="32">
        <f>IFERROR(AVERAGEIFS(COM_All!O$2:O$999,COM_All!$B$2:$B$999,"="&amp;$A$4,COM_All!$C$2:$C$999,"="&amp;'INS-UPD Heat'!$A48),"")</f>
        <v>0.96534385944249501</v>
      </c>
      <c r="BA48" s="32">
        <f>IFERROR(AVERAGEIFS(COM_All!P$2:P$999,COM_All!$B$2:$B$999,"="&amp;$A$4,COM_All!$C$2:$C$999,"="&amp;'INS-UPD Heat'!$A48),"")</f>
        <v>0.77963146310130704</v>
      </c>
      <c r="BB48" s="32">
        <f>IFERROR(AVERAGEIFS(COM_All!Q$2:Q$999,COM_All!$B$2:$B$999,"="&amp;$A$4,COM_All!$C$2:$C$999,"="&amp;'INS-UPD Heat'!$A48),"")</f>
        <v>1.1633871819913899</v>
      </c>
      <c r="BC48" s="32">
        <f>IFERROR(AVERAGEIFS(COM_All!R$2:R$999,COM_All!$B$2:$B$999,"="&amp;$A$4,COM_All!$C$2:$C$999,"="&amp;'INS-UPD Heat'!$A48),"")</f>
        <v>0.93835400157127402</v>
      </c>
      <c r="BD48" s="32">
        <f>IFERROR(AVERAGEIFS(COM_All!S$2:S$999,COM_All!$B$2:$B$999,"="&amp;$A$4,COM_All!$C$2:$C$999,"="&amp;'INS-UPD Heat'!$A48),"")</f>
        <v>0.91120772186594301</v>
      </c>
      <c r="BE48" s="32">
        <f>IFERROR(AVERAGEIFS(COM_All!T$2:T$999,COM_All!$B$2:$B$999,"="&amp;$A$4,COM_All!$C$2:$C$999,"="&amp;'INS-UPD Heat'!$A48),"")</f>
        <v>1.1633871819913899</v>
      </c>
      <c r="BF48" s="32">
        <f>IFERROR(AVERAGEIFS(COM_All!U$2:U$999,COM_All!$B$2:$B$999,"="&amp;$A$4,COM_All!$C$2:$C$999,"="&amp;'INS-UPD Heat'!$A48),"")</f>
        <v>1.1216918730488401</v>
      </c>
      <c r="BG48" s="32">
        <f>IFERROR(AVERAGEIFS(COM_All!V$2:V$999,COM_All!$B$2:$B$999,"="&amp;$A$4,COM_All!$C$2:$C$999,"="&amp;'INS-UPD Heat'!$A48),"")</f>
        <v>0.82279820773840795</v>
      </c>
      <c r="BH48" s="32">
        <f>IFERROR(AVERAGEIFS(COM_All!W$2:W$999,COM_All!$B$2:$B$999,"="&amp;$A$4,COM_All!$C$2:$C$999,"="&amp;'INS-UPD Heat'!$A48),"")</f>
        <v>0.94780646484775699</v>
      </c>
      <c r="BI48" s="32">
        <f>IFERROR(AVERAGEIFS(COM_All!X$2:X$999,COM_All!$B$2:$B$999,"="&amp;$A$4,COM_All!$C$2:$C$999,"="&amp;'INS-UPD Heat'!$A48),"")</f>
        <v>1.0240202398146601</v>
      </c>
      <c r="BJ48" s="32">
        <f>IFERROR(AVERAGEIFS(COM_All!Y$2:Y$999,COM_All!$B$2:$B$999,"="&amp;$A$4,COM_All!$C$2:$C$999,"="&amp;'INS-UPD Heat'!$A48),"")</f>
        <v>1.06478833879765</v>
      </c>
      <c r="BK48" s="32">
        <f>IFERROR(AVERAGEIFS(COM_All!Z$2:Z$999,COM_All!$B$2:$B$999,"="&amp;$A$4,COM_All!$C$2:$C$999,"="&amp;'INS-UPD Heat'!$A48),"")</f>
        <v>1.14318658841459</v>
      </c>
      <c r="BL48" s="32">
        <f>IFERROR(AVERAGEIFS(COM_All!AA$2:AA$999,COM_All!$B$2:$B$999,"="&amp;$A$4,COM_All!$C$2:$C$999,"="&amp;'INS-UPD Heat'!$A48),"")</f>
        <v>0.85089391609927501</v>
      </c>
      <c r="BM48" s="32">
        <f>IFERROR(AVERAGEIFS(COM_All!AB$2:AB$999,COM_All!$B$2:$B$999,"="&amp;$A$4,COM_All!$C$2:$C$999,"="&amp;'INS-UPD Heat'!$A48),"")</f>
        <v>0.98553260007627197</v>
      </c>
      <c r="BN48" s="32">
        <f>IFERROR(AVERAGEIFS(COM_All!AC$2:AC$999,COM_All!$B$2:$B$999,"="&amp;$A$4,COM_All!$C$2:$C$999,"="&amp;'INS-UPD Heat'!$A48),"")</f>
        <v>0.99654021420485905</v>
      </c>
      <c r="BO48" s="32">
        <f>IFERROR(AVERAGEIFS(COM_All!AD$2:AD$999,COM_All!$B$2:$B$999,"="&amp;$A$4,COM_All!$C$2:$C$999,"="&amp;'INS-UPD Heat'!$A48),"")</f>
        <v>1.1216918730488401</v>
      </c>
      <c r="BP48" s="32">
        <f>IFERROR(AVERAGEIFS(COM_All!AE$2:AE$999,COM_All!$B$2:$B$999,"="&amp;$A$4,COM_All!$C$2:$C$999,"="&amp;'INS-UPD Heat'!$A48),"")</f>
        <v>1.1351203915566801</v>
      </c>
      <c r="BQ48" s="32">
        <f>IFERROR(AVERAGEIFS(COM_All!AF$2:AF$999,COM_All!$B$2:$B$999,"="&amp;$A$4,COM_All!$C$2:$C$999,"="&amp;'INS-UPD Heat'!$A48),"")</f>
        <v>0.94780646484775699</v>
      </c>
      <c r="BR48" s="32">
        <f>IFERROR(AVERAGEIFS(COM_All!AG$2:AG$999,COM_All!$B$2:$B$999,"="&amp;$A$4,COM_All!$C$2:$C$999,"="&amp;'INS-UPD Heat'!$A48),"")</f>
        <v>0.93222467860648395</v>
      </c>
      <c r="BS48" s="32">
        <f>IFERROR(AVERAGEIFS(COM_All!AH$2:AH$999,COM_All!$B$2:$B$999,"="&amp;$A$4,COM_All!$C$2:$C$999,"="&amp;'INS-UPD Heat'!$A48),"")</f>
        <v>1.2207389454201201</v>
      </c>
      <c r="BT48" s="32">
        <f>IFERROR(AVERAGEIFS(COM_All!AI$2:AI$999,COM_All!$B$2:$B$999,"="&amp;$A$4,COM_All!$C$2:$C$999,"="&amp;'INS-UPD Heat'!$A48),"")</f>
        <v>0.933743068533049</v>
      </c>
      <c r="BU48" s="32">
        <f>IFERROR(AVERAGEIFS(COM_All!AJ$2:AJ$999,COM_All!$B$2:$B$999,"="&amp;$A$4,COM_All!$C$2:$C$999,"="&amp;'INS-UPD Heat'!$A48),"")</f>
        <v>0.94780646484775699</v>
      </c>
      <c r="BV48" s="32">
        <f>IFERROR(AVERAGEIFS(COM_All!AK$2:AK$999,COM_All!$B$2:$B$999,"="&amp;$A$4,COM_All!$C$2:$C$999,"="&amp;'INS-UPD Heat'!$A48),"")</f>
        <v>0.94780646484775699</v>
      </c>
      <c r="BW48" s="32">
        <f>IFERROR(AVERAGEIFS(COM_All!AL$2:AL$999,COM_All!$B$2:$B$999,"="&amp;$A$4,COM_All!$C$2:$C$999,"="&amp;'INS-UPD Heat'!$A48),"")</f>
        <v>0.77025043487448097</v>
      </c>
      <c r="BX48" s="32">
        <f>IFERROR(AVERAGEIFS(COM_All!AM$2:AM$999,COM_All!$B$2:$B$999,"="&amp;$A$4,COM_All!$C$2:$C$999,"="&amp;'INS-UPD Heat'!$A48),"")</f>
        <v>1.27962430748476</v>
      </c>
      <c r="BY48" s="32">
        <f>IFERROR(AVERAGEIFS(COM_All!AN$2:AN$999,COM_All!$B$2:$B$999,"="&amp;$A$4,COM_All!$C$2:$C$999,"="&amp;'INS-UPD Heat'!$A48),"")</f>
        <v>1.1216918730488401</v>
      </c>
      <c r="BZ48" s="32">
        <f>IFERROR(AVERAGEIFS(COM_All!AO$2:AO$999,COM_All!$B$2:$B$999,"="&amp;$A$4,COM_All!$C$2:$C$999,"="&amp;'INS-UPD Heat'!$A48),"")</f>
        <v>1.1329140590478</v>
      </c>
      <c r="CA48" s="32">
        <f>IFERROR(AVERAGEIFS(COM_All!AP$2:AP$999,COM_All!$B$2:$B$999,"="&amp;$A$4,COM_All!$C$2:$C$999,"="&amp;'INS-UPD Heat'!$A48),"")</f>
        <v>0.97830240105151101</v>
      </c>
      <c r="CB48" s="32">
        <f>IFERROR(AVERAGEIFS(COM_All!AQ$2:AQ$999,COM_All!$B$2:$B$999,"="&amp;$A$4,COM_All!$C$2:$C$999,"="&amp;'INS-UPD Heat'!$A48),"")</f>
        <v>0.87596127194701201</v>
      </c>
      <c r="CC48" s="32">
        <f>IFERROR(AVERAGEIFS(COM_All!AR$2:AR$999,COM_All!$B$2:$B$999,"="&amp;$A$4,COM_All!$C$2:$C$999,"="&amp;'INS-UPD Heat'!$A48),"")</f>
        <v>0.94780646484775699</v>
      </c>
      <c r="CD48" s="32">
        <f>IFERROR(AVERAGEIFS(COM_All!AS$2:AS$999,COM_All!$B$2:$B$999,"="&amp;$A$4,COM_All!$C$2:$C$999,"="&amp;'INS-UPD Heat'!$A48),"")</f>
        <v>1.0306215507272301</v>
      </c>
      <c r="CE48" s="32">
        <f>IFERROR(AVERAGEIFS(COM_All!AT$2:AT$999,COM_All!$B$2:$B$999,"="&amp;$A$4,COM_All!$C$2:$C$999,"="&amp;'INS-UPD Heat'!$A48),"")</f>
        <v>0.97654106043505795</v>
      </c>
      <c r="CF48" s="32">
        <f>IFERROR(AVERAGEIFS(COM_All!AU$2:AU$999,COM_All!$B$2:$B$999,"="&amp;$A$4,COM_All!$C$2:$C$999,"="&amp;'INS-UPD Heat'!$A48),"")</f>
        <v>0.94538192091474005</v>
      </c>
      <c r="CG48" s="33">
        <f>IFERROR(AVERAGEIFS(COM_All!AV$2:AV$999,COM_All!$B$2:$B$999,"="&amp;$A$4,COM_All!$C$2:$C$999,"="&amp;'INS-UPD Heat'!$A48),"")</f>
        <v>1.2293914992528601</v>
      </c>
    </row>
    <row r="49" spans="1:85" ht="15">
      <c r="A49" t="s">
        <v>165</v>
      </c>
      <c r="C49" t="s">
        <v>29</v>
      </c>
      <c r="D49" t="str">
        <f t="shared" si="41"/>
        <v>C_ES-SH-OF_GA*</v>
      </c>
      <c r="H49" s="54"/>
      <c r="I49" t="str">
        <f t="shared" si="3"/>
        <v>*0.751789844164435</v>
      </c>
      <c r="J49" t="str">
        <f t="shared" si="38"/>
        <v>*0.958971368982325</v>
      </c>
      <c r="K49" t="str">
        <f t="shared" si="39"/>
        <v>*0.751789844164435</v>
      </c>
      <c r="L49" t="str">
        <f t="shared" si="40"/>
        <v>*0.98247021598169</v>
      </c>
      <c r="M49" t="str">
        <f t="shared" si="6"/>
        <v>*0.801022925677764</v>
      </c>
      <c r="N49" t="str">
        <f t="shared" si="7"/>
        <v>*1</v>
      </c>
      <c r="O49" t="str">
        <f t="shared" si="8"/>
        <v>*0.750312177594846</v>
      </c>
      <c r="P49" t="str">
        <f t="shared" si="9"/>
        <v>*0.870852828625521</v>
      </c>
      <c r="Q49" s="48" t="str">
        <f t="shared" si="4"/>
        <v>*0.766721004074585</v>
      </c>
      <c r="R49" t="str">
        <f t="shared" si="10"/>
        <v>*0.916481590266539</v>
      </c>
      <c r="S49" t="str">
        <f t="shared" si="11"/>
        <v>*0.868634629976933</v>
      </c>
      <c r="T49" t="str">
        <f t="shared" si="12"/>
        <v>*0.751789844164435</v>
      </c>
      <c r="U49" t="str">
        <f t="shared" si="13"/>
        <v>*0.831402561906822</v>
      </c>
      <c r="V49" t="str">
        <f t="shared" si="14"/>
        <v>*0.877090057188528</v>
      </c>
      <c r="W49" t="str">
        <f t="shared" si="15"/>
        <v>*0.913903595895035</v>
      </c>
      <c r="X49" t="str">
        <f t="shared" si="16"/>
        <v>*0.887582361489164</v>
      </c>
      <c r="Y49" t="str">
        <f t="shared" si="17"/>
        <v>*0.88826694111973</v>
      </c>
      <c r="Z49" t="str">
        <f t="shared" si="18"/>
        <v>*0.932017066676991</v>
      </c>
      <c r="AA49" t="str">
        <f t="shared" si="19"/>
        <v>*0.916481590266539</v>
      </c>
      <c r="AB49" t="str">
        <f t="shared" si="20"/>
        <v>*0.912611573794044</v>
      </c>
      <c r="AC49" t="str">
        <f t="shared" si="21"/>
        <v>*0.751789844164435</v>
      </c>
      <c r="AD49" t="str">
        <f t="shared" si="22"/>
        <v>*0.868636514902445</v>
      </c>
      <c r="AE49" t="str">
        <f t="shared" si="23"/>
        <v>*0.916280573443744</v>
      </c>
      <c r="AF49" t="str">
        <f t="shared" si="24"/>
        <v>*0.902440555603779</v>
      </c>
      <c r="AG49" t="str">
        <f t="shared" si="25"/>
        <v>*0.751789844164435</v>
      </c>
      <c r="AH49" t="str">
        <f t="shared" si="26"/>
        <v>*0.751789844164435</v>
      </c>
      <c r="AI49" t="str">
        <f t="shared" si="27"/>
        <v>*0.782553232285825</v>
      </c>
      <c r="AJ49" t="str">
        <f t="shared" si="28"/>
        <v>*0.983432278118349</v>
      </c>
      <c r="AK49" t="str">
        <f t="shared" si="29"/>
        <v>*0.916481590266539</v>
      </c>
      <c r="AL49" t="str">
        <f t="shared" si="30"/>
        <v>*0.907097458133649</v>
      </c>
      <c r="AM49" t="str">
        <f t="shared" si="31"/>
        <v>*0.858910478986323</v>
      </c>
      <c r="AN49" t="str">
        <f t="shared" si="32"/>
        <v>*0.890676709498201</v>
      </c>
      <c r="AO49" t="str">
        <f t="shared" si="33"/>
        <v>*0.751789844164435</v>
      </c>
      <c r="AP49" t="str">
        <f t="shared" si="34"/>
        <v>*0.868634823876442</v>
      </c>
      <c r="AQ49" t="str">
        <f t="shared" si="35"/>
        <v>*0.944703220399034</v>
      </c>
      <c r="AR49" t="str">
        <f t="shared" si="36"/>
        <v>*0.887897908847503</v>
      </c>
      <c r="AS49" s="49" t="str">
        <f t="shared" si="37"/>
        <v>*0.915420971135312</v>
      </c>
      <c r="AV49" s="31">
        <f t="shared" si="5"/>
        <v>0.66754039347608862</v>
      </c>
      <c r="AW49" s="32">
        <f>IFERROR(AVERAGEIFS(COM_All!L$2:L$999,COM_All!$B$2:$B$999,"="&amp;$A$4,COM_All!$C$2:$C$999,"="&amp;'INS-UPD Heat'!$A49),"")</f>
        <v>0.57641306417083105</v>
      </c>
      <c r="AX49" s="32">
        <f>IFERROR(AVERAGEIFS(COM_All!M$2:M$999,COM_All!$B$2:$B$999,"="&amp;$A$4,COM_All!$C$2:$C$999,"="&amp;'INS-UPD Heat'!$A49),"")</f>
        <v>0.73526349090490795</v>
      </c>
      <c r="AY49" s="32">
        <f>IFERROR(AVERAGEIFS(COM_All!N$2:N$999,COM_All!$B$2:$B$999,"="&amp;$A$4,COM_All!$C$2:$C$999,"="&amp;'INS-UPD Heat'!$A49),"")</f>
        <v>0.57641306417083105</v>
      </c>
      <c r="AZ49" s="32">
        <f>IFERROR(AVERAGEIFS(COM_All!O$2:O$999,COM_All!$B$2:$B$999,"="&amp;$A$4,COM_All!$C$2:$C$999,"="&amp;'INS-UPD Heat'!$A49),"")</f>
        <v>0.75328055047085596</v>
      </c>
      <c r="BA49" s="32">
        <f>IFERROR(AVERAGEIFS(COM_All!P$2:P$999,COM_All!$B$2:$B$999,"="&amp;$A$4,COM_All!$C$2:$C$999,"="&amp;'INS-UPD Heat'!$A49),"")</f>
        <v>0.61416110186241701</v>
      </c>
      <c r="BB49" s="32">
        <f>IFERROR(AVERAGEIFS(COM_All!Q$2:Q$999,COM_All!$B$2:$B$999,"="&amp;$A$4,COM_All!$C$2:$C$999,"="&amp;'INS-UPD Heat'!$A49),"")</f>
        <v>0.76672100407458499</v>
      </c>
      <c r="BC49" s="32">
        <f>IFERROR(AVERAGEIFS(COM_All!R$2:R$999,COM_All!$B$2:$B$999,"="&amp;$A$4,COM_All!$C$2:$C$999,"="&amp;'INS-UPD Heat'!$A49),"")</f>
        <v>0.57528010617490899</v>
      </c>
      <c r="BD49" s="32">
        <f>IFERROR(AVERAGEIFS(COM_All!S$2:S$999,COM_All!$B$2:$B$999,"="&amp;$A$4,COM_All!$C$2:$C$999,"="&amp;'INS-UPD Heat'!$A49),"")</f>
        <v>0.66770115516495199</v>
      </c>
      <c r="BE49" s="32">
        <f>IFERROR(AVERAGEIFS(COM_All!T$2:T$999,COM_All!$B$2:$B$999,"="&amp;$A$4,COM_All!$C$2:$C$999,"="&amp;'INS-UPD Heat'!$A49),"")</f>
        <v>0.76672100407458499</v>
      </c>
      <c r="BF49" s="32">
        <f>IFERROR(AVERAGEIFS(COM_All!U$2:U$999,COM_All!$B$2:$B$999,"="&amp;$A$4,COM_All!$C$2:$C$999,"="&amp;'INS-UPD Heat'!$A49),"")</f>
        <v>0.70268568510503304</v>
      </c>
      <c r="BG49" s="32">
        <f>IFERROR(AVERAGEIFS(COM_All!V$2:V$999,COM_All!$B$2:$B$999,"="&amp;$A$4,COM_All!$C$2:$C$999,"="&amp;'INS-UPD Heat'!$A49),"")</f>
        <v>0.66600041566987001</v>
      </c>
      <c r="BH49" s="32">
        <f>IFERROR(AVERAGEIFS(COM_All!W$2:W$999,COM_All!$B$2:$B$999,"="&amp;$A$4,COM_All!$C$2:$C$999,"="&amp;'INS-UPD Heat'!$A49),"")</f>
        <v>0.57641306417083105</v>
      </c>
      <c r="BI49" s="32">
        <f>IFERROR(AVERAGEIFS(COM_All!X$2:X$999,COM_All!$B$2:$B$999,"="&amp;$A$4,COM_All!$C$2:$C$999,"="&amp;'INS-UPD Heat'!$A49),"")</f>
        <v>0.63745380705538102</v>
      </c>
      <c r="BJ49" s="32">
        <f>IFERROR(AVERAGEIFS(COM_All!Y$2:Y$999,COM_All!$B$2:$B$999,"="&amp;$A$4,COM_All!$C$2:$C$999,"="&amp;'INS-UPD Heat'!$A49),"")</f>
        <v>0.67248336931142305</v>
      </c>
      <c r="BK49" s="32">
        <f>IFERROR(AVERAGEIFS(COM_All!Z$2:Z$999,COM_All!$B$2:$B$999,"="&amp;$A$4,COM_All!$C$2:$C$999,"="&amp;'INS-UPD Heat'!$A49),"")</f>
        <v>0.70070908267201504</v>
      </c>
      <c r="BL49" s="32">
        <f>IFERROR(AVERAGEIFS(COM_All!AA$2:AA$999,COM_All!$B$2:$B$999,"="&amp;$A$4,COM_All!$C$2:$C$999,"="&amp;'INS-UPD Heat'!$A49),"")</f>
        <v>0.68052803939986295</v>
      </c>
      <c r="BM49" s="32">
        <f>IFERROR(AVERAGEIFS(COM_All!AB$2:AB$999,COM_All!$B$2:$B$999,"="&amp;$A$4,COM_All!$C$2:$C$999,"="&amp;'INS-UPD Heat'!$A49),"")</f>
        <v>0.68105292098157999</v>
      </c>
      <c r="BN49" s="32">
        <f>IFERROR(AVERAGEIFS(COM_All!AC$2:AC$999,COM_All!$B$2:$B$999,"="&amp;$A$4,COM_All!$C$2:$C$999,"="&amp;'INS-UPD Heat'!$A49),"")</f>
        <v>0.71459706117723198</v>
      </c>
      <c r="BO49" s="32">
        <f>IFERROR(AVERAGEIFS(COM_All!AD$2:AD$999,COM_All!$B$2:$B$999,"="&amp;$A$4,COM_All!$C$2:$C$999,"="&amp;'INS-UPD Heat'!$A49),"")</f>
        <v>0.70268568510503304</v>
      </c>
      <c r="BP49" s="32">
        <f>IFERROR(AVERAGEIFS(COM_All!AE$2:AE$999,COM_All!$B$2:$B$999,"="&amp;$A$4,COM_All!$C$2:$C$999,"="&amp;'INS-UPD Heat'!$A49),"")</f>
        <v>0.69971846218945699</v>
      </c>
      <c r="BQ49" s="32">
        <f>IFERROR(AVERAGEIFS(COM_All!AF$2:AF$999,COM_All!$B$2:$B$999,"="&amp;$A$4,COM_All!$C$2:$C$999,"="&amp;'INS-UPD Heat'!$A49),"")</f>
        <v>0.57641306417083105</v>
      </c>
      <c r="BR49" s="32">
        <f>IFERROR(AVERAGEIFS(COM_All!AG$2:AG$999,COM_All!$B$2:$B$999,"="&amp;$A$4,COM_All!$C$2:$C$999,"="&amp;'INS-UPD Heat'!$A49),"")</f>
        <v>0.66600186088185098</v>
      </c>
      <c r="BS49" s="32">
        <f>IFERROR(AVERAGEIFS(COM_All!AH$2:AH$999,COM_All!$B$2:$B$999,"="&amp;$A$4,COM_All!$C$2:$C$999,"="&amp;'INS-UPD Heat'!$A49),"")</f>
        <v>0.70253156128482397</v>
      </c>
      <c r="BT49" s="32">
        <f>IFERROR(AVERAGEIFS(COM_All!AI$2:AI$999,COM_All!$B$2:$B$999,"="&amp;$A$4,COM_All!$C$2:$C$999,"="&amp;'INS-UPD Heat'!$A49),"")</f>
        <v>0.69192012891015597</v>
      </c>
      <c r="BU49" s="32">
        <f>IFERROR(AVERAGEIFS(COM_All!AJ$2:AJ$999,COM_All!$B$2:$B$999,"="&amp;$A$4,COM_All!$C$2:$C$999,"="&amp;'INS-UPD Heat'!$A49),"")</f>
        <v>0.57641306417083105</v>
      </c>
      <c r="BV49" s="32">
        <f>IFERROR(AVERAGEIFS(COM_All!AK$2:AK$999,COM_All!$B$2:$B$999,"="&amp;$A$4,COM_All!$C$2:$C$999,"="&amp;'INS-UPD Heat'!$A49),"")</f>
        <v>0.57641306417083105</v>
      </c>
      <c r="BW49" s="32">
        <f>IFERROR(AVERAGEIFS(COM_All!AL$2:AL$999,COM_All!$B$2:$B$999,"="&amp;$A$4,COM_All!$C$2:$C$999,"="&amp;'INS-UPD Heat'!$A49),"")</f>
        <v>0.59999999999999998</v>
      </c>
      <c r="BX49" s="32">
        <f>IFERROR(AVERAGEIFS(COM_All!AM$2:AM$999,COM_All!$B$2:$B$999,"="&amp;$A$4,COM_All!$C$2:$C$999,"="&amp;'INS-UPD Heat'!$A49),"")</f>
        <v>0.75401818371825702</v>
      </c>
      <c r="BY49" s="32">
        <f>IFERROR(AVERAGEIFS(COM_All!AN$2:AN$999,COM_All!$B$2:$B$999,"="&amp;$A$4,COM_All!$C$2:$C$999,"="&amp;'INS-UPD Heat'!$A49),"")</f>
        <v>0.70268568510503304</v>
      </c>
      <c r="BZ49" s="32">
        <f>IFERROR(AVERAGEIFS(COM_All!AO$2:AO$999,COM_All!$B$2:$B$999,"="&amp;$A$4,COM_All!$C$2:$C$999,"="&amp;'INS-UPD Heat'!$A49),"")</f>
        <v>0.69549067389373498</v>
      </c>
      <c r="CA49" s="32">
        <f>IFERROR(AVERAGEIFS(COM_All!AP$2:AP$999,COM_All!$B$2:$B$999,"="&amp;$A$4,COM_All!$C$2:$C$999,"="&amp;'INS-UPD Heat'!$A49),"")</f>
        <v>0.65854470485857597</v>
      </c>
      <c r="CB49" s="32">
        <f>IFERROR(AVERAGEIFS(COM_All!AQ$2:AQ$999,COM_All!$B$2:$B$999,"="&amp;$A$4,COM_All!$C$2:$C$999,"="&amp;'INS-UPD Heat'!$A49),"")</f>
        <v>0.68290054101230802</v>
      </c>
      <c r="CC49" s="32">
        <f>IFERROR(AVERAGEIFS(COM_All!AR$2:AR$999,COM_All!$B$2:$B$999,"="&amp;$A$4,COM_All!$C$2:$C$999,"="&amp;'INS-UPD Heat'!$A49),"")</f>
        <v>0.57641306417083105</v>
      </c>
      <c r="CD49" s="32">
        <f>IFERROR(AVERAGEIFS(COM_All!AS$2:AS$999,COM_All!$B$2:$B$999,"="&amp;$A$4,COM_All!$C$2:$C$999,"="&amp;'INS-UPD Heat'!$A49),"")</f>
        <v>0.66600056433669597</v>
      </c>
      <c r="CE49" s="32">
        <f>IFERROR(AVERAGEIFS(COM_All!AT$2:AT$999,COM_All!$B$2:$B$999,"="&amp;$A$4,COM_All!$C$2:$C$999,"="&amp;'INS-UPD Heat'!$A49),"")</f>
        <v>0.72432380169684096</v>
      </c>
      <c r="CF49" s="32">
        <f>IFERROR(AVERAGEIFS(COM_All!AU$2:AU$999,COM_All!$B$2:$B$999,"="&amp;$A$4,COM_All!$C$2:$C$999,"="&amp;'INS-UPD Heat'!$A49),"")</f>
        <v>0.68076997618728197</v>
      </c>
      <c r="CG49" s="33">
        <f>IFERROR(AVERAGEIFS(COM_All!AV$2:AV$999,COM_All!$B$2:$B$999,"="&amp;$A$4,COM_All!$C$2:$C$999,"="&amp;'INS-UPD Heat'!$A49),"")</f>
        <v>0.70187248613979802</v>
      </c>
    </row>
    <row r="50" spans="1:85" ht="15">
      <c r="A50" t="s">
        <v>166</v>
      </c>
      <c r="C50" t="s">
        <v>29</v>
      </c>
      <c r="D50" t="str">
        <f t="shared" si="41"/>
        <v>C_ES-SH-OF_OI*</v>
      </c>
      <c r="H50" s="54"/>
      <c r="I50" t="str">
        <f t="shared" si="3"/>
        <v>*0.753773411000091</v>
      </c>
      <c r="J50" t="str">
        <f t="shared" si="38"/>
        <v>*0.957544163772634</v>
      </c>
      <c r="K50" t="str">
        <f t="shared" si="39"/>
        <v>*0.753773411000091</v>
      </c>
      <c r="L50" t="str">
        <f t="shared" si="40"/>
        <v>*0.983016992017122</v>
      </c>
      <c r="M50" t="str">
        <f t="shared" si="6"/>
        <v>*0.804716585177828</v>
      </c>
      <c r="N50" t="str">
        <f t="shared" si="7"/>
        <v>*1</v>
      </c>
      <c r="O50" t="str">
        <f t="shared" si="8"/>
        <v>*0.753771965014407</v>
      </c>
      <c r="P50" t="str">
        <f t="shared" si="9"/>
        <v>*0.872640058113471</v>
      </c>
      <c r="Q50" s="48" t="str">
        <f t="shared" si="4"/>
        <v>*0.715500925014401</v>
      </c>
      <c r="R50" t="str">
        <f t="shared" si="10"/>
        <v>*0.915094452005067</v>
      </c>
      <c r="S50" t="str">
        <f t="shared" si="11"/>
        <v>*0.872638584269094</v>
      </c>
      <c r="T50" t="str">
        <f t="shared" si="12"/>
        <v>*0.753773411000091</v>
      </c>
      <c r="U50" t="str">
        <f t="shared" si="13"/>
        <v>*0.830188634260304</v>
      </c>
      <c r="V50" t="str">
        <f t="shared" si="14"/>
        <v>*0.881132627863442</v>
      </c>
      <c r="W50" t="str">
        <f t="shared" si="15"/>
        <v>*0.915094198262907</v>
      </c>
      <c r="X50" t="str">
        <f t="shared" si="16"/>
        <v>*0.889621616188381</v>
      </c>
      <c r="Y50" t="str">
        <f t="shared" si="17"/>
        <v>*0.768692227740908</v>
      </c>
      <c r="Z50" t="str">
        <f t="shared" si="18"/>
        <v>*0.932072829532384</v>
      </c>
      <c r="AA50" t="str">
        <f t="shared" si="19"/>
        <v>*0.915094452005067</v>
      </c>
      <c r="AB50" t="str">
        <f t="shared" si="20"/>
        <v>*0.915090313213233</v>
      </c>
      <c r="AC50" t="str">
        <f t="shared" si="21"/>
        <v>*0.753773411000091</v>
      </c>
      <c r="AD50" t="str">
        <f t="shared" si="22"/>
        <v>*0.872642317322356</v>
      </c>
      <c r="AE50" t="str">
        <f t="shared" si="23"/>
        <v>*0.915091850300005</v>
      </c>
      <c r="AF50" t="str">
        <f t="shared" si="24"/>
        <v>*0.906603397591183</v>
      </c>
      <c r="AG50" t="str">
        <f t="shared" si="25"/>
        <v>*0.753773411000091</v>
      </c>
      <c r="AH50" t="str">
        <f t="shared" si="26"/>
        <v>*0.753773411000091</v>
      </c>
      <c r="AI50" t="str">
        <f t="shared" si="27"/>
        <v>*0.768692227740908</v>
      </c>
      <c r="AJ50" t="str">
        <f t="shared" si="28"/>
        <v>*0.983020136421328</v>
      </c>
      <c r="AK50" t="str">
        <f t="shared" si="29"/>
        <v>*0.915094452005067</v>
      </c>
      <c r="AL50" t="str">
        <f t="shared" si="30"/>
        <v>*0.906603703265176</v>
      </c>
      <c r="AM50" t="str">
        <f t="shared" si="31"/>
        <v>*0.855661126516543</v>
      </c>
      <c r="AN50" t="str">
        <f t="shared" si="32"/>
        <v>*0.893867563595842</v>
      </c>
      <c r="AO50" t="str">
        <f t="shared" si="33"/>
        <v>*0.753773411000091</v>
      </c>
      <c r="AP50" t="str">
        <f t="shared" si="34"/>
        <v>*0.872639506876678</v>
      </c>
      <c r="AQ50" t="str">
        <f t="shared" si="35"/>
        <v>*0.94905683960654</v>
      </c>
      <c r="AR50" t="str">
        <f t="shared" si="36"/>
        <v>*0.889623028548323</v>
      </c>
      <c r="AS50" s="49" t="str">
        <f t="shared" si="37"/>
        <v>*0.915091716306065</v>
      </c>
      <c r="AV50" s="31">
        <f t="shared" si="5"/>
        <v>0.62125807174643299</v>
      </c>
      <c r="AW50" s="32">
        <f>IFERROR(AVERAGEIFS(COM_All!L$2:L$999,COM_All!$B$2:$B$999,"="&amp;$A$4,COM_All!$C$2:$C$999,"="&amp;'INS-UPD Heat'!$A50),"")</f>
        <v>0.53932557282182503</v>
      </c>
      <c r="AX50" s="32">
        <f>IFERROR(AVERAGEIFS(COM_All!M$2:M$999,COM_All!$B$2:$B$999,"="&amp;$A$4,COM_All!$C$2:$C$999,"="&amp;'INS-UPD Heat'!$A50),"")</f>
        <v>0.68512373492146095</v>
      </c>
      <c r="AY50" s="32">
        <f>IFERROR(AVERAGEIFS(COM_All!N$2:N$999,COM_All!$B$2:$B$999,"="&amp;$A$4,COM_All!$C$2:$C$999,"="&amp;'INS-UPD Heat'!$A50),"")</f>
        <v>0.53932557282182503</v>
      </c>
      <c r="AZ50" s="32">
        <f>IFERROR(AVERAGEIFS(COM_All!O$2:O$999,COM_All!$B$2:$B$999,"="&amp;$A$4,COM_All!$C$2:$C$999,"="&amp;'INS-UPD Heat'!$A50),"")</f>
        <v>0.70334956709312502</v>
      </c>
      <c r="BA50" s="32">
        <f>IFERROR(AVERAGEIFS(COM_All!P$2:P$999,COM_All!$B$2:$B$999,"="&amp;$A$4,COM_All!$C$2:$C$999,"="&amp;'INS-UPD Heat'!$A50),"")</f>
        <v>0.57577546106916599</v>
      </c>
      <c r="BB50" s="32">
        <f>IFERROR(AVERAGEIFS(COM_All!Q$2:Q$999,COM_All!$B$2:$B$999,"="&amp;$A$4,COM_All!$C$2:$C$999,"="&amp;'INS-UPD Heat'!$A50),"")</f>
        <v>0.71550092501440099</v>
      </c>
      <c r="BC50" s="32">
        <f>IFERROR(AVERAGEIFS(COM_All!R$2:R$999,COM_All!$B$2:$B$999,"="&amp;$A$4,COM_All!$C$2:$C$999,"="&amp;'INS-UPD Heat'!$A50),"")</f>
        <v>0.53932453821773096</v>
      </c>
      <c r="BD50" s="32">
        <f>IFERROR(AVERAGEIFS(COM_All!S$2:S$999,COM_All!$B$2:$B$999,"="&amp;$A$4,COM_All!$C$2:$C$999,"="&amp;'INS-UPD Heat'!$A50),"")</f>
        <v>0.62437476878480902</v>
      </c>
      <c r="BE50" s="32">
        <f>IFERROR(AVERAGEIFS(COM_All!T$2:T$999,COM_All!$B$2:$B$999,"="&amp;$A$4,COM_All!$C$2:$C$999,"="&amp;'INS-UPD Heat'!$A50),"")</f>
        <v>0.71550092501440099</v>
      </c>
      <c r="BF50" s="32">
        <f>IFERROR(AVERAGEIFS(COM_All!U$2:U$999,COM_All!$B$2:$B$999,"="&amp;$A$4,COM_All!$C$2:$C$999,"="&amp;'INS-UPD Heat'!$A50),"")</f>
        <v>0.654750926885172</v>
      </c>
      <c r="BG50" s="32">
        <f>IFERROR(AVERAGEIFS(COM_All!V$2:V$999,COM_All!$B$2:$B$999,"="&amp;$A$4,COM_All!$C$2:$C$999,"="&amp;'INS-UPD Heat'!$A50),"")</f>
        <v>0.62437371424779398</v>
      </c>
      <c r="BH50" s="32">
        <f>IFERROR(AVERAGEIFS(COM_All!W$2:W$999,COM_All!$B$2:$B$999,"="&amp;$A$4,COM_All!$C$2:$C$999,"="&amp;'INS-UPD Heat'!$A50),"")</f>
        <v>0.53932557282182503</v>
      </c>
      <c r="BI50" s="32">
        <f>IFERROR(AVERAGEIFS(COM_All!X$2:X$999,COM_All!$B$2:$B$999,"="&amp;$A$4,COM_All!$C$2:$C$999,"="&amp;'INS-UPD Heat'!$A50),"")</f>
        <v>0.59400073574969003</v>
      </c>
      <c r="BJ50" s="32">
        <f>IFERROR(AVERAGEIFS(COM_All!Y$2:Y$999,COM_All!$B$2:$B$999,"="&amp;$A$4,COM_All!$C$2:$C$999,"="&amp;'INS-UPD Heat'!$A50),"")</f>
        <v>0.63045121029666296</v>
      </c>
      <c r="BK50" s="32">
        <f>IFERROR(AVERAGEIFS(COM_All!Z$2:Z$999,COM_All!$B$2:$B$999,"="&amp;$A$4,COM_All!$C$2:$C$999,"="&amp;'INS-UPD Heat'!$A50),"")</f>
        <v>0.65475074533242195</v>
      </c>
      <c r="BL50" s="32">
        <f>IFERROR(AVERAGEIFS(COM_All!AA$2:AA$999,COM_All!$B$2:$B$999,"="&amp;$A$4,COM_All!$C$2:$C$999,"="&amp;'INS-UPD Heat'!$A50),"")</f>
        <v>0.63652508929559304</v>
      </c>
      <c r="BM50" s="32">
        <f>IFERROR(AVERAGEIFS(COM_All!AB$2:AB$999,COM_All!$B$2:$B$999,"="&amp;$A$4,COM_All!$C$2:$C$999,"="&amp;'INS-UPD Heat'!$A50),"")</f>
        <v>0.55000000000000004</v>
      </c>
      <c r="BN50" s="32">
        <f>IFERROR(AVERAGEIFS(COM_All!AC$2:AC$999,COM_All!$B$2:$B$999,"="&amp;$A$4,COM_All!$C$2:$C$999,"="&amp;'INS-UPD Heat'!$A50),"")</f>
        <v>0.66689897171121104</v>
      </c>
      <c r="BO50" s="32">
        <f>IFERROR(AVERAGEIFS(COM_All!AD$2:AD$999,COM_All!$B$2:$B$999,"="&amp;$A$4,COM_All!$C$2:$C$999,"="&amp;'INS-UPD Heat'!$A50),"")</f>
        <v>0.654750926885172</v>
      </c>
      <c r="BP50" s="32">
        <f>IFERROR(AVERAGEIFS(COM_All!AE$2:AE$999,COM_All!$B$2:$B$999,"="&amp;$A$4,COM_All!$C$2:$C$999,"="&amp;'INS-UPD Heat'!$A50),"")</f>
        <v>0.65474796557578596</v>
      </c>
      <c r="BQ50" s="32">
        <f>IFERROR(AVERAGEIFS(COM_All!AF$2:AF$999,COM_All!$B$2:$B$999,"="&amp;$A$4,COM_All!$C$2:$C$999,"="&amp;'INS-UPD Heat'!$A50),"")</f>
        <v>0.53932557282182503</v>
      </c>
      <c r="BR50" s="32">
        <f>IFERROR(AVERAGEIFS(COM_All!AG$2:AG$999,COM_All!$B$2:$B$999,"="&amp;$A$4,COM_All!$C$2:$C$999,"="&amp;'INS-UPD Heat'!$A50),"")</f>
        <v>0.62437638525085604</v>
      </c>
      <c r="BS50" s="32">
        <f>IFERROR(AVERAGEIFS(COM_All!AH$2:AH$999,COM_All!$B$2:$B$999,"="&amp;$A$4,COM_All!$C$2:$C$999,"="&amp;'INS-UPD Heat'!$A50),"")</f>
        <v>0.65474906536279298</v>
      </c>
      <c r="BT50" s="32">
        <f>IFERROR(AVERAGEIFS(COM_All!AI$2:AI$999,COM_All!$B$2:$B$999,"="&amp;$A$4,COM_All!$C$2:$C$999,"="&amp;'INS-UPD Heat'!$A50),"")</f>
        <v>0.64867556959769002</v>
      </c>
      <c r="BU50" s="32">
        <f>IFERROR(AVERAGEIFS(COM_All!AJ$2:AJ$999,COM_All!$B$2:$B$999,"="&amp;$A$4,COM_All!$C$2:$C$999,"="&amp;'INS-UPD Heat'!$A50),"")</f>
        <v>0.53932557282182503</v>
      </c>
      <c r="BV50" s="32">
        <f>IFERROR(AVERAGEIFS(COM_All!AK$2:AK$999,COM_All!$B$2:$B$999,"="&amp;$A$4,COM_All!$C$2:$C$999,"="&amp;'INS-UPD Heat'!$A50),"")</f>
        <v>0.53932557282182503</v>
      </c>
      <c r="BW50" s="32">
        <f>IFERROR(AVERAGEIFS(COM_All!AL$2:AL$999,COM_All!$B$2:$B$999,"="&amp;$A$4,COM_All!$C$2:$C$999,"="&amp;'INS-UPD Heat'!$A50),"")</f>
        <v>0.55000000000000004</v>
      </c>
      <c r="BX50" s="32">
        <f>IFERROR(AVERAGEIFS(COM_All!AM$2:AM$999,COM_All!$B$2:$B$999,"="&amp;$A$4,COM_All!$C$2:$C$999,"="&amp;'INS-UPD Heat'!$A50),"")</f>
        <v>0.70335181691724302</v>
      </c>
      <c r="BY50" s="32">
        <f>IFERROR(AVERAGEIFS(COM_All!AN$2:AN$999,COM_All!$B$2:$B$999,"="&amp;$A$4,COM_All!$C$2:$C$999,"="&amp;'INS-UPD Heat'!$A50),"")</f>
        <v>0.654750926885172</v>
      </c>
      <c r="BZ50" s="32">
        <f>IFERROR(AVERAGEIFS(COM_All!AO$2:AO$999,COM_All!$B$2:$B$999,"="&amp;$A$4,COM_All!$C$2:$C$999,"="&amp;'INS-UPD Heat'!$A50),"")</f>
        <v>0.648675788307715</v>
      </c>
      <c r="CA50" s="32">
        <f>IFERROR(AVERAGEIFS(COM_All!AP$2:AP$999,COM_All!$B$2:$B$999,"="&amp;$A$4,COM_All!$C$2:$C$999,"="&amp;'INS-UPD Heat'!$A50),"")</f>
        <v>0.61222632752145101</v>
      </c>
      <c r="CB50" s="32">
        <f>IFERROR(AVERAGEIFS(COM_All!AQ$2:AQ$999,COM_All!$B$2:$B$999,"="&amp;$A$4,COM_All!$C$2:$C$999,"="&amp;'INS-UPD Heat'!$A50),"")</f>
        <v>0.63956306859319401</v>
      </c>
      <c r="CC50" s="32">
        <f>IFERROR(AVERAGEIFS(COM_All!AR$2:AR$999,COM_All!$B$2:$B$999,"="&amp;$A$4,COM_All!$C$2:$C$999,"="&amp;'INS-UPD Heat'!$A50),"")</f>
        <v>0.53932557282182503</v>
      </c>
      <c r="CD50" s="32">
        <f>IFERROR(AVERAGEIFS(COM_All!AS$2:AS$999,COM_All!$B$2:$B$999,"="&amp;$A$4,COM_All!$C$2:$C$999,"="&amp;'INS-UPD Heat'!$A50),"")</f>
        <v>0.62437437437437404</v>
      </c>
      <c r="CE50" s="32">
        <f>IFERROR(AVERAGEIFS(COM_All!AT$2:AT$999,COM_All!$B$2:$B$999,"="&amp;$A$4,COM_All!$C$2:$C$999,"="&amp;'INS-UPD Heat'!$A50),"")</f>
        <v>0.67905104662972304</v>
      </c>
      <c r="CF50" s="32">
        <f>IFERROR(AVERAGEIFS(COM_All!AU$2:AU$999,COM_All!$B$2:$B$999,"="&amp;$A$4,COM_All!$C$2:$C$999,"="&amp;'INS-UPD Heat'!$A50),"")</f>
        <v>0.63652609984043795</v>
      </c>
      <c r="CG50" s="33">
        <f>IFERROR(AVERAGEIFS(COM_All!AV$2:AV$999,COM_All!$B$2:$B$999,"="&amp;$A$4,COM_All!$C$2:$C$999,"="&amp;'INS-UPD Heat'!$A50),"")</f>
        <v>0.65474896949000505</v>
      </c>
    </row>
    <row r="51" spans="1:85" ht="15">
      <c r="A51" t="s">
        <v>167</v>
      </c>
      <c r="C51" t="s">
        <v>29</v>
      </c>
      <c r="D51" t="str">
        <f t="shared" si="41"/>
        <v>C_ES-SH-OF_GE*</v>
      </c>
      <c r="H51" s="54"/>
      <c r="I51" t="str">
        <f t="shared" si="3"/>
        <v>*1</v>
      </c>
      <c r="J51" t="str">
        <f t="shared" si="38"/>
        <v>*1.18071512418715</v>
      </c>
      <c r="K51" t="str">
        <f t="shared" si="39"/>
        <v>*1</v>
      </c>
      <c r="L51" t="str">
        <f t="shared" si="40"/>
        <v>*1</v>
      </c>
      <c r="M51" t="str">
        <f t="shared" si="6"/>
        <v>*0.992265584693816</v>
      </c>
      <c r="N51" t="str">
        <f t="shared" si="7"/>
        <v>*1</v>
      </c>
      <c r="O51" t="str">
        <f t="shared" si="8"/>
        <v>*1</v>
      </c>
      <c r="P51" t="str">
        <f t="shared" si="9"/>
        <v>*1</v>
      </c>
      <c r="Q51" s="48" t="str">
        <f t="shared" si="4"/>
        <v>*0.7</v>
      </c>
      <c r="R51" t="str">
        <f t="shared" si="10"/>
        <v>*1</v>
      </c>
      <c r="S51" t="str">
        <f t="shared" si="11"/>
        <v>*1</v>
      </c>
      <c r="T51" t="str">
        <f t="shared" si="12"/>
        <v>*1</v>
      </c>
      <c r="U51" t="str">
        <f t="shared" si="13"/>
        <v>*1.02367221742178</v>
      </c>
      <c r="V51" t="str">
        <f t="shared" si="14"/>
        <v>*1</v>
      </c>
      <c r="W51" t="str">
        <f t="shared" si="15"/>
        <v>*1.12836642882944</v>
      </c>
      <c r="X51" t="str">
        <f t="shared" si="16"/>
        <v>*1.09695901278096</v>
      </c>
      <c r="Y51" t="str">
        <f t="shared" si="17"/>
        <v>*1.09695874032411</v>
      </c>
      <c r="Z51" t="str">
        <f t="shared" si="18"/>
        <v>*1</v>
      </c>
      <c r="AA51" t="str">
        <f t="shared" si="19"/>
        <v>*1</v>
      </c>
      <c r="AB51" t="str">
        <f t="shared" si="20"/>
        <v>*1.12836780488483</v>
      </c>
      <c r="AC51" t="str">
        <f t="shared" si="21"/>
        <v>*1</v>
      </c>
      <c r="AD51" t="str">
        <f t="shared" si="22"/>
        <v>*1</v>
      </c>
      <c r="AE51" t="str">
        <f t="shared" si="23"/>
        <v>*1</v>
      </c>
      <c r="AF51" t="str">
        <f t="shared" si="24"/>
        <v>*1</v>
      </c>
      <c r="AG51" t="str">
        <f t="shared" si="25"/>
        <v>*1</v>
      </c>
      <c r="AH51" t="str">
        <f t="shared" si="26"/>
        <v>*1</v>
      </c>
      <c r="AI51" t="str">
        <f t="shared" si="27"/>
        <v>*1</v>
      </c>
      <c r="AJ51" t="str">
        <f t="shared" si="28"/>
        <v>*1</v>
      </c>
      <c r="AK51" t="str">
        <f t="shared" si="29"/>
        <v>*1</v>
      </c>
      <c r="AL51" t="str">
        <f t="shared" si="30"/>
        <v>*1.11789847320821</v>
      </c>
      <c r="AM51" t="str">
        <f t="shared" si="31"/>
        <v>*1.05508137432188</v>
      </c>
      <c r="AN51" t="str">
        <f t="shared" si="32"/>
        <v>*1.10219424337653</v>
      </c>
      <c r="AO51" t="str">
        <f t="shared" si="33"/>
        <v>*1</v>
      </c>
      <c r="AP51" t="str">
        <f t="shared" si="34"/>
        <v>*1</v>
      </c>
      <c r="AQ51" t="str">
        <f t="shared" si="35"/>
        <v>*1.17024478027022</v>
      </c>
      <c r="AR51" t="str">
        <f t="shared" si="36"/>
        <v>*1.0969585751785</v>
      </c>
      <c r="AS51" s="49" t="str">
        <f t="shared" si="37"/>
        <v>*1.12836656997825</v>
      </c>
      <c r="AV51" s="31">
        <f t="shared" si="5"/>
        <v>0.72493606082753959</v>
      </c>
      <c r="AW51" s="32">
        <f>IFERROR(AVERAGEIFS(COM_All!L$2:L$999,COM_All!$B$2:$B$999,"="&amp;$A$4,COM_All!$C$2:$C$999,"="&amp;'INS-UPD Heat'!$A51),"")</f>
        <v>0.69999999999999996</v>
      </c>
      <c r="AX51" s="32">
        <f>IFERROR(AVERAGEIFS(COM_All!M$2:M$999,COM_All!$B$2:$B$999,"="&amp;$A$4,COM_All!$C$2:$C$999,"="&amp;'INS-UPD Heat'!$A51),"")</f>
        <v>0.82650058693100303</v>
      </c>
      <c r="AY51" s="32">
        <f>IFERROR(AVERAGEIFS(COM_All!N$2:N$999,COM_All!$B$2:$B$999,"="&amp;$A$4,COM_All!$C$2:$C$999,"="&amp;'INS-UPD Heat'!$A51),"")</f>
        <v>0.69999999999999996</v>
      </c>
      <c r="AZ51" s="32">
        <f>IFERROR(AVERAGEIFS(COM_All!O$2:O$999,COM_All!$B$2:$B$999,"="&amp;$A$4,COM_All!$C$2:$C$999,"="&amp;'INS-UPD Heat'!$A51),"")</f>
        <v>0.69999999999999996</v>
      </c>
      <c r="BA51" s="32">
        <f>IFERROR(AVERAGEIFS(COM_All!P$2:P$999,COM_All!$B$2:$B$999,"="&amp;$A$4,COM_All!$C$2:$C$999,"="&amp;'INS-UPD Heat'!$A51),"")</f>
        <v>0.69458590928567099</v>
      </c>
      <c r="BB51" s="32">
        <f>IFERROR(AVERAGEIFS(COM_All!Q$2:Q$999,COM_All!$B$2:$B$999,"="&amp;$A$4,COM_All!$C$2:$C$999,"="&amp;'INS-UPD Heat'!$A51),"")</f>
        <v>0.69999999999999996</v>
      </c>
      <c r="BC51" s="32">
        <f>IFERROR(AVERAGEIFS(COM_All!R$2:R$999,COM_All!$B$2:$B$999,"="&amp;$A$4,COM_All!$C$2:$C$999,"="&amp;'INS-UPD Heat'!$A51),"")</f>
        <v>0.69999999999999996</v>
      </c>
      <c r="BD51" s="32">
        <f>IFERROR(AVERAGEIFS(COM_All!S$2:S$999,COM_All!$B$2:$B$999,"="&amp;$A$4,COM_All!$C$2:$C$999,"="&amp;'INS-UPD Heat'!$A51),"")</f>
        <v>0.69999999999999996</v>
      </c>
      <c r="BE51" s="32">
        <f>IFERROR(AVERAGEIFS(COM_All!T$2:T$999,COM_All!$B$2:$B$999,"="&amp;$A$4,COM_All!$C$2:$C$999,"="&amp;'INS-UPD Heat'!$A51),"")</f>
        <v>0.69999999999999996</v>
      </c>
      <c r="BF51" s="32">
        <f>IFERROR(AVERAGEIFS(COM_All!U$2:U$999,COM_All!$B$2:$B$999,"="&amp;$A$4,COM_All!$C$2:$C$999,"="&amp;'INS-UPD Heat'!$A51),"")</f>
        <v>0.69999999999999996</v>
      </c>
      <c r="BG51" s="32">
        <f>IFERROR(AVERAGEIFS(COM_All!V$2:V$999,COM_All!$B$2:$B$999,"="&amp;$A$4,COM_All!$C$2:$C$999,"="&amp;'INS-UPD Heat'!$A51),"")</f>
        <v>0.69999999999999996</v>
      </c>
      <c r="BH51" s="32">
        <f>IFERROR(AVERAGEIFS(COM_All!W$2:W$999,COM_All!$B$2:$B$999,"="&amp;$A$4,COM_All!$C$2:$C$999,"="&amp;'INS-UPD Heat'!$A51),"")</f>
        <v>0.69999999999999996</v>
      </c>
      <c r="BI51" s="32">
        <f>IFERROR(AVERAGEIFS(COM_All!X$2:X$999,COM_All!$B$2:$B$999,"="&amp;$A$4,COM_All!$C$2:$C$999,"="&amp;'INS-UPD Heat'!$A51),"")</f>
        <v>0.71657055219524401</v>
      </c>
      <c r="BJ51" s="32">
        <f>IFERROR(AVERAGEIFS(COM_All!Y$2:Y$999,COM_All!$B$2:$B$999,"="&amp;$A$4,COM_All!$C$2:$C$999,"="&amp;'INS-UPD Heat'!$A51),"")</f>
        <v>0.69999999999999996</v>
      </c>
      <c r="BK51" s="32">
        <f>IFERROR(AVERAGEIFS(COM_All!Z$2:Z$999,COM_All!$B$2:$B$999,"="&amp;$A$4,COM_All!$C$2:$C$999,"="&amp;'INS-UPD Heat'!$A51),"")</f>
        <v>0.78985650018060605</v>
      </c>
      <c r="BL51" s="32">
        <f>IFERROR(AVERAGEIFS(COM_All!AA$2:AA$999,COM_All!$B$2:$B$999,"="&amp;$A$4,COM_All!$C$2:$C$999,"="&amp;'INS-UPD Heat'!$A51),"")</f>
        <v>0.76787130894667199</v>
      </c>
      <c r="BM51" s="32">
        <f>IFERROR(AVERAGEIFS(COM_All!AB$2:AB$999,COM_All!$B$2:$B$999,"="&amp;$A$4,COM_All!$C$2:$C$999,"="&amp;'INS-UPD Heat'!$A51),"")</f>
        <v>0.76787111822687804</v>
      </c>
      <c r="BN51" s="32">
        <f>IFERROR(AVERAGEIFS(COM_All!AC$2:AC$999,COM_All!$B$2:$B$999,"="&amp;$A$4,COM_All!$C$2:$C$999,"="&amp;'INS-UPD Heat'!$A51),"")</f>
        <v>0.69999999999999996</v>
      </c>
      <c r="BO51" s="32">
        <f>IFERROR(AVERAGEIFS(COM_All!AD$2:AD$999,COM_All!$B$2:$B$999,"="&amp;$A$4,COM_All!$C$2:$C$999,"="&amp;'INS-UPD Heat'!$A51),"")</f>
        <v>0.69999999999999996</v>
      </c>
      <c r="BP51" s="32">
        <f>IFERROR(AVERAGEIFS(COM_All!AE$2:AE$999,COM_All!$B$2:$B$999,"="&amp;$A$4,COM_All!$C$2:$C$999,"="&amp;'INS-UPD Heat'!$A51),"")</f>
        <v>0.78985746341937901</v>
      </c>
      <c r="BQ51" s="32">
        <f>IFERROR(AVERAGEIFS(COM_All!AF$2:AF$999,COM_All!$B$2:$B$999,"="&amp;$A$4,COM_All!$C$2:$C$999,"="&amp;'INS-UPD Heat'!$A51),"")</f>
        <v>0.69999999999999996</v>
      </c>
      <c r="BR51" s="32">
        <f>IFERROR(AVERAGEIFS(COM_All!AG$2:AG$999,COM_All!$B$2:$B$999,"="&amp;$A$4,COM_All!$C$2:$C$999,"="&amp;'INS-UPD Heat'!$A51),"")</f>
        <v>0.69999999999999996</v>
      </c>
      <c r="BS51" s="32">
        <f>IFERROR(AVERAGEIFS(COM_All!AH$2:AH$999,COM_All!$B$2:$B$999,"="&amp;$A$4,COM_All!$C$2:$C$999,"="&amp;'INS-UPD Heat'!$A51),"")</f>
        <v>0.69999999999999996</v>
      </c>
      <c r="BT51" s="32">
        <f>IFERROR(AVERAGEIFS(COM_All!AI$2:AI$999,COM_All!$B$2:$B$999,"="&amp;$A$4,COM_All!$C$2:$C$999,"="&amp;'INS-UPD Heat'!$A51),"")</f>
        <v>0.69999999999999996</v>
      </c>
      <c r="BU51" s="32">
        <f>IFERROR(AVERAGEIFS(COM_All!AJ$2:AJ$999,COM_All!$B$2:$B$999,"="&amp;$A$4,COM_All!$C$2:$C$999,"="&amp;'INS-UPD Heat'!$A51),"")</f>
        <v>0.69999999999999996</v>
      </c>
      <c r="BV51" s="32">
        <f>IFERROR(AVERAGEIFS(COM_All!AK$2:AK$999,COM_All!$B$2:$B$999,"="&amp;$A$4,COM_All!$C$2:$C$999,"="&amp;'INS-UPD Heat'!$A51),"")</f>
        <v>0.69999999999999996</v>
      </c>
      <c r="BW51" s="32">
        <f>IFERROR(AVERAGEIFS(COM_All!AL$2:AL$999,COM_All!$B$2:$B$999,"="&amp;$A$4,COM_All!$C$2:$C$999,"="&amp;'INS-UPD Heat'!$A51),"")</f>
        <v>0.69999999999999996</v>
      </c>
      <c r="BX51" s="32">
        <f>IFERROR(AVERAGEIFS(COM_All!AM$2:AM$999,COM_All!$B$2:$B$999,"="&amp;$A$4,COM_All!$C$2:$C$999,"="&amp;'INS-UPD Heat'!$A51),"")</f>
        <v>0.69999999999999996</v>
      </c>
      <c r="BY51" s="32">
        <f>IFERROR(AVERAGEIFS(COM_All!AN$2:AN$999,COM_All!$B$2:$B$999,"="&amp;$A$4,COM_All!$C$2:$C$999,"="&amp;'INS-UPD Heat'!$A51),"")</f>
        <v>0.69999999999999996</v>
      </c>
      <c r="BZ51" s="32">
        <f>IFERROR(AVERAGEIFS(COM_All!AO$2:AO$999,COM_All!$B$2:$B$999,"="&amp;$A$4,COM_All!$C$2:$C$999,"="&amp;'INS-UPD Heat'!$A51),"")</f>
        <v>0.78252893124574496</v>
      </c>
      <c r="CA51" s="32">
        <f>IFERROR(AVERAGEIFS(COM_All!AP$2:AP$999,COM_All!$B$2:$B$999,"="&amp;$A$4,COM_All!$C$2:$C$999,"="&amp;'INS-UPD Heat'!$A51),"")</f>
        <v>0.73855696202531596</v>
      </c>
      <c r="CB51" s="32">
        <f>IFERROR(AVERAGEIFS(COM_All!AQ$2:AQ$999,COM_All!$B$2:$B$999,"="&amp;$A$4,COM_All!$C$2:$C$999,"="&amp;'INS-UPD Heat'!$A51),"")</f>
        <v>0.77153597036357202</v>
      </c>
      <c r="CC51" s="32">
        <f>IFERROR(AVERAGEIFS(COM_All!AR$2:AR$999,COM_All!$B$2:$B$999,"="&amp;$A$4,COM_All!$C$2:$C$999,"="&amp;'INS-UPD Heat'!$A51),"")</f>
        <v>0.69999999999999996</v>
      </c>
      <c r="CD51" s="32">
        <f>IFERROR(AVERAGEIFS(COM_All!AS$2:AS$999,COM_All!$B$2:$B$999,"="&amp;$A$4,COM_All!$C$2:$C$999,"="&amp;'INS-UPD Heat'!$A51),"")</f>
        <v>0.69999999999999996</v>
      </c>
      <c r="CE51" s="32">
        <f>IFERROR(AVERAGEIFS(COM_All!AT$2:AT$999,COM_All!$B$2:$B$999,"="&amp;$A$4,COM_All!$C$2:$C$999,"="&amp;'INS-UPD Heat'!$A51),"")</f>
        <v>0.81917134618915699</v>
      </c>
      <c r="CF51" s="32">
        <f>IFERROR(AVERAGEIFS(COM_All!AU$2:AU$999,COM_All!$B$2:$B$999,"="&amp;$A$4,COM_All!$C$2:$C$999,"="&amp;'INS-UPD Heat'!$A51),"")</f>
        <v>0.76787100262494701</v>
      </c>
      <c r="CG51" s="33">
        <f>IFERROR(AVERAGEIFS(COM_All!AV$2:AV$999,COM_All!$B$2:$B$999,"="&amp;$A$4,COM_All!$C$2:$C$999,"="&amp;'INS-UPD Heat'!$A51),"")</f>
        <v>0.78985659898477201</v>
      </c>
    </row>
    <row r="52" spans="1:85" ht="15">
      <c r="A52" t="s">
        <v>168</v>
      </c>
      <c r="C52" t="s">
        <v>29</v>
      </c>
      <c r="D52" t="str">
        <f t="shared" si="41"/>
        <v>C_ES-SH-OF_LP*</v>
      </c>
      <c r="H52" s="54"/>
      <c r="I52" t="str">
        <f t="shared" si="3"/>
        <v>*1</v>
      </c>
      <c r="J52" t="str">
        <f t="shared" si="38"/>
        <v>*1</v>
      </c>
      <c r="K52" t="str">
        <f t="shared" si="39"/>
        <v>*1</v>
      </c>
      <c r="L52" t="str">
        <f t="shared" si="40"/>
        <v>*1</v>
      </c>
      <c r="M52" t="str">
        <f t="shared" si="6"/>
        <v>*1</v>
      </c>
      <c r="N52" t="str">
        <f t="shared" si="7"/>
        <v>*1</v>
      </c>
      <c r="O52" t="str">
        <f t="shared" si="8"/>
        <v>*1</v>
      </c>
      <c r="P52" t="str">
        <f t="shared" si="9"/>
        <v>*1</v>
      </c>
      <c r="Q52" s="48" t="str">
        <f t="shared" si="4"/>
        <v>*0.666666666666667</v>
      </c>
      <c r="R52" t="str">
        <f t="shared" si="10"/>
        <v>*1</v>
      </c>
      <c r="S52" t="str">
        <f t="shared" si="11"/>
        <v>*1</v>
      </c>
      <c r="T52" t="str">
        <f t="shared" si="12"/>
        <v>*1</v>
      </c>
      <c r="U52" t="str">
        <f t="shared" si="13"/>
        <v>*1</v>
      </c>
      <c r="V52" t="str">
        <f t="shared" si="14"/>
        <v>*1</v>
      </c>
      <c r="W52" t="str">
        <f t="shared" si="15"/>
        <v>*1</v>
      </c>
      <c r="X52" t="str">
        <f t="shared" si="16"/>
        <v>*1</v>
      </c>
      <c r="Y52" t="str">
        <f t="shared" si="17"/>
        <v>*1</v>
      </c>
      <c r="Z52" t="str">
        <f t="shared" si="18"/>
        <v>*1</v>
      </c>
      <c r="AA52" t="str">
        <f t="shared" si="19"/>
        <v>*1</v>
      </c>
      <c r="AB52" t="str">
        <f t="shared" si="20"/>
        <v>*1.00831519600226</v>
      </c>
      <c r="AC52" t="str">
        <f t="shared" si="21"/>
        <v>*1</v>
      </c>
      <c r="AD52" t="str">
        <f t="shared" si="22"/>
        <v>*1</v>
      </c>
      <c r="AE52" t="str">
        <f t="shared" si="23"/>
        <v>*1.00831336713657</v>
      </c>
      <c r="AF52" t="str">
        <f t="shared" si="24"/>
        <v>*1</v>
      </c>
      <c r="AG52" t="str">
        <f t="shared" si="25"/>
        <v>*1</v>
      </c>
      <c r="AH52" t="str">
        <f t="shared" si="26"/>
        <v>*1</v>
      </c>
      <c r="AI52" t="str">
        <f t="shared" si="27"/>
        <v>*1</v>
      </c>
      <c r="AJ52" t="str">
        <f t="shared" si="28"/>
        <v>*1</v>
      </c>
      <c r="AK52" t="str">
        <f t="shared" si="29"/>
        <v>*1</v>
      </c>
      <c r="AL52" t="str">
        <f t="shared" si="30"/>
        <v>*1</v>
      </c>
      <c r="AM52" t="str">
        <f t="shared" si="31"/>
        <v>*1</v>
      </c>
      <c r="AN52" t="str">
        <f t="shared" si="32"/>
        <v>*1</v>
      </c>
      <c r="AO52" t="str">
        <f t="shared" si="33"/>
        <v>*1</v>
      </c>
      <c r="AP52" t="str">
        <f t="shared" si="34"/>
        <v>*1</v>
      </c>
      <c r="AQ52" t="str">
        <f t="shared" si="35"/>
        <v>*1.045737981492</v>
      </c>
      <c r="AR52" t="str">
        <f t="shared" si="36"/>
        <v>*1</v>
      </c>
      <c r="AS52" s="49" t="str">
        <f t="shared" si="37"/>
        <v>*1</v>
      </c>
      <c r="AV52" s="31">
        <f t="shared" si="5"/>
        <v>0.66779038819154668</v>
      </c>
      <c r="AW52" s="32">
        <f>IFERROR(AVERAGEIFS(COM_All!L$2:L$999,COM_All!$B$2:$B$999,"="&amp;$A$4,COM_All!$C$2:$C$999,"="&amp;'INS-UPD Heat'!$A52),"")</f>
        <v>0.66666666666666696</v>
      </c>
      <c r="AX52" s="32">
        <f>IFERROR(AVERAGEIFS(COM_All!M$2:M$999,COM_All!$B$2:$B$999,"="&amp;$A$4,COM_All!$C$2:$C$999,"="&amp;'INS-UPD Heat'!$A52),"")</f>
        <v>0.66666666666666696</v>
      </c>
      <c r="AY52" s="32">
        <f>IFERROR(AVERAGEIFS(COM_All!N$2:N$999,COM_All!$B$2:$B$999,"="&amp;$A$4,COM_All!$C$2:$C$999,"="&amp;'INS-UPD Heat'!$A52),"")</f>
        <v>0.66666666666666696</v>
      </c>
      <c r="AZ52" s="32">
        <f>IFERROR(AVERAGEIFS(COM_All!O$2:O$999,COM_All!$B$2:$B$999,"="&amp;$A$4,COM_All!$C$2:$C$999,"="&amp;'INS-UPD Heat'!$A52),"")</f>
        <v>0.66666666666666696</v>
      </c>
      <c r="BA52" s="32">
        <f>IFERROR(AVERAGEIFS(COM_All!P$2:P$999,COM_All!$B$2:$B$999,"="&amp;$A$4,COM_All!$C$2:$C$999,"="&amp;'INS-UPD Heat'!$A52),"")</f>
        <v>0.66666666666666696</v>
      </c>
      <c r="BB52" s="32">
        <f>IFERROR(AVERAGEIFS(COM_All!Q$2:Q$999,COM_All!$B$2:$B$999,"="&amp;$A$4,COM_All!$C$2:$C$999,"="&amp;'INS-UPD Heat'!$A52),"")</f>
        <v>0.66666666666666696</v>
      </c>
      <c r="BC52" s="32">
        <f>IFERROR(AVERAGEIFS(COM_All!R$2:R$999,COM_All!$B$2:$B$999,"="&amp;$A$4,COM_All!$C$2:$C$999,"="&amp;'INS-UPD Heat'!$A52),"")</f>
        <v>0.66666666666666696</v>
      </c>
      <c r="BD52" s="32">
        <f>IFERROR(AVERAGEIFS(COM_All!S$2:S$999,COM_All!$B$2:$B$999,"="&amp;$A$4,COM_All!$C$2:$C$999,"="&amp;'INS-UPD Heat'!$A52),"")</f>
        <v>0.66666666666666696</v>
      </c>
      <c r="BE52" s="32">
        <f>IFERROR(AVERAGEIFS(COM_All!T$2:T$999,COM_All!$B$2:$B$999,"="&amp;$A$4,COM_All!$C$2:$C$999,"="&amp;'INS-UPD Heat'!$A52),"")</f>
        <v>0.66666666666666696</v>
      </c>
      <c r="BF52" s="32">
        <f>IFERROR(AVERAGEIFS(COM_All!U$2:U$999,COM_All!$B$2:$B$999,"="&amp;$A$4,COM_All!$C$2:$C$999,"="&amp;'INS-UPD Heat'!$A52),"")</f>
        <v>0.66666666666666696</v>
      </c>
      <c r="BG52" s="32">
        <f>IFERROR(AVERAGEIFS(COM_All!V$2:V$999,COM_All!$B$2:$B$999,"="&amp;$A$4,COM_All!$C$2:$C$999,"="&amp;'INS-UPD Heat'!$A52),"")</f>
        <v>0.66666666666666696</v>
      </c>
      <c r="BH52" s="32">
        <f>IFERROR(AVERAGEIFS(COM_All!W$2:W$999,COM_All!$B$2:$B$999,"="&amp;$A$4,COM_All!$C$2:$C$999,"="&amp;'INS-UPD Heat'!$A52),"")</f>
        <v>0.66666666666666696</v>
      </c>
      <c r="BI52" s="32">
        <f>IFERROR(AVERAGEIFS(COM_All!X$2:X$999,COM_All!$B$2:$B$999,"="&amp;$A$4,COM_All!$C$2:$C$999,"="&amp;'INS-UPD Heat'!$A52),"")</f>
        <v>0.66666666666666696</v>
      </c>
      <c r="BJ52" s="32">
        <f>IFERROR(AVERAGEIFS(COM_All!Y$2:Y$999,COM_All!$B$2:$B$999,"="&amp;$A$4,COM_All!$C$2:$C$999,"="&amp;'INS-UPD Heat'!$A52),"")</f>
        <v>0.66666666666666696</v>
      </c>
      <c r="BK52" s="32">
        <f>IFERROR(AVERAGEIFS(COM_All!Z$2:Z$999,COM_All!$B$2:$B$999,"="&amp;$A$4,COM_All!$C$2:$C$999,"="&amp;'INS-UPD Heat'!$A52),"")</f>
        <v>0.66666666666666696</v>
      </c>
      <c r="BL52" s="32">
        <f>IFERROR(AVERAGEIFS(COM_All!AA$2:AA$999,COM_All!$B$2:$B$999,"="&amp;$A$4,COM_All!$C$2:$C$999,"="&amp;'INS-UPD Heat'!$A52),"")</f>
        <v>0.66666666666666696</v>
      </c>
      <c r="BM52" s="32">
        <f>IFERROR(AVERAGEIFS(COM_All!AB$2:AB$999,COM_All!$B$2:$B$999,"="&amp;$A$4,COM_All!$C$2:$C$999,"="&amp;'INS-UPD Heat'!$A52),"")</f>
        <v>0.66666666666666696</v>
      </c>
      <c r="BN52" s="32">
        <f>IFERROR(AVERAGEIFS(COM_All!AC$2:AC$999,COM_All!$B$2:$B$999,"="&amp;$A$4,COM_All!$C$2:$C$999,"="&amp;'INS-UPD Heat'!$A52),"")</f>
        <v>0.66666666666666696</v>
      </c>
      <c r="BO52" s="32">
        <f>IFERROR(AVERAGEIFS(COM_All!AD$2:AD$999,COM_All!$B$2:$B$999,"="&amp;$A$4,COM_All!$C$2:$C$999,"="&amp;'INS-UPD Heat'!$A52),"")</f>
        <v>0.66666666666666696</v>
      </c>
      <c r="BP52" s="32">
        <f>IFERROR(AVERAGEIFS(COM_All!AE$2:AE$999,COM_All!$B$2:$B$999,"="&amp;$A$4,COM_All!$C$2:$C$999,"="&amp;'INS-UPD Heat'!$A52),"")</f>
        <v>0.67221013066817603</v>
      </c>
      <c r="BQ52" s="32">
        <f>IFERROR(AVERAGEIFS(COM_All!AF$2:AF$999,COM_All!$B$2:$B$999,"="&amp;$A$4,COM_All!$C$2:$C$999,"="&amp;'INS-UPD Heat'!$A52),"")</f>
        <v>0.66666666666666696</v>
      </c>
      <c r="BR52" s="32">
        <f>IFERROR(AVERAGEIFS(COM_All!AG$2:AG$999,COM_All!$B$2:$B$999,"="&amp;$A$4,COM_All!$C$2:$C$999,"="&amp;'INS-UPD Heat'!$A52),"")</f>
        <v>0.66666666666666696</v>
      </c>
      <c r="BS52" s="32">
        <f>IFERROR(AVERAGEIFS(COM_All!AH$2:AH$999,COM_All!$B$2:$B$999,"="&amp;$A$4,COM_All!$C$2:$C$999,"="&amp;'INS-UPD Heat'!$A52),"")</f>
        <v>0.672208911424379</v>
      </c>
      <c r="BT52" s="32">
        <f>IFERROR(AVERAGEIFS(COM_All!AI$2:AI$999,COM_All!$B$2:$B$999,"="&amp;$A$4,COM_All!$C$2:$C$999,"="&amp;'INS-UPD Heat'!$A52),"")</f>
        <v>0.66666666666666696</v>
      </c>
      <c r="BU52" s="32">
        <f>IFERROR(AVERAGEIFS(COM_All!AJ$2:AJ$999,COM_All!$B$2:$B$999,"="&amp;$A$4,COM_All!$C$2:$C$999,"="&amp;'INS-UPD Heat'!$A52),"")</f>
        <v>0.66666666666666696</v>
      </c>
      <c r="BV52" s="32">
        <f>IFERROR(AVERAGEIFS(COM_All!AK$2:AK$999,COM_All!$B$2:$B$999,"="&amp;$A$4,COM_All!$C$2:$C$999,"="&amp;'INS-UPD Heat'!$A52),"")</f>
        <v>0.66666666666666696</v>
      </c>
      <c r="BW52" s="32">
        <f>IFERROR(AVERAGEIFS(COM_All!AL$2:AL$999,COM_All!$B$2:$B$999,"="&amp;$A$4,COM_All!$C$2:$C$999,"="&amp;'INS-UPD Heat'!$A52),"")</f>
        <v>0.66666666666666696</v>
      </c>
      <c r="BX52" s="32">
        <f>IFERROR(AVERAGEIFS(COM_All!AM$2:AM$999,COM_All!$B$2:$B$999,"="&amp;$A$4,COM_All!$C$2:$C$999,"="&amp;'INS-UPD Heat'!$A52),"")</f>
        <v>0.66666666666666696</v>
      </c>
      <c r="BY52" s="32">
        <f>IFERROR(AVERAGEIFS(COM_All!AN$2:AN$999,COM_All!$B$2:$B$999,"="&amp;$A$4,COM_All!$C$2:$C$999,"="&amp;'INS-UPD Heat'!$A52),"")</f>
        <v>0.66666666666666696</v>
      </c>
      <c r="BZ52" s="32">
        <f>IFERROR(AVERAGEIFS(COM_All!AO$2:AO$999,COM_All!$B$2:$B$999,"="&amp;$A$4,COM_All!$C$2:$C$999,"="&amp;'INS-UPD Heat'!$A52),"")</f>
        <v>0.66666666666666696</v>
      </c>
      <c r="CA52" s="32">
        <f>IFERROR(AVERAGEIFS(COM_All!AP$2:AP$999,COM_All!$B$2:$B$999,"="&amp;$A$4,COM_All!$C$2:$C$999,"="&amp;'INS-UPD Heat'!$A52),"")</f>
        <v>0.66666666666666696</v>
      </c>
      <c r="CB52" s="32">
        <f>IFERROR(AVERAGEIFS(COM_All!AQ$2:AQ$999,COM_All!$B$2:$B$999,"="&amp;$A$4,COM_All!$C$2:$C$999,"="&amp;'INS-UPD Heat'!$A52),"")</f>
        <v>0.66666666666666696</v>
      </c>
      <c r="CC52" s="32">
        <f>IFERROR(AVERAGEIFS(COM_All!AR$2:AR$999,COM_All!$B$2:$B$999,"="&amp;$A$4,COM_All!$C$2:$C$999,"="&amp;'INS-UPD Heat'!$A52),"")</f>
        <v>0.66666666666666696</v>
      </c>
      <c r="CD52" s="32">
        <f>IFERROR(AVERAGEIFS(COM_All!AS$2:AS$999,COM_All!$B$2:$B$999,"="&amp;$A$4,COM_All!$C$2:$C$999,"="&amp;'INS-UPD Heat'!$A52),"")</f>
        <v>0.66666666666666696</v>
      </c>
      <c r="CE52" s="32">
        <f>IFERROR(AVERAGEIFS(COM_All!AT$2:AT$999,COM_All!$B$2:$B$999,"="&amp;$A$4,COM_All!$C$2:$C$999,"="&amp;'INS-UPD Heat'!$A52),"")</f>
        <v>0.69715865432799895</v>
      </c>
      <c r="CF52" s="32">
        <f>IFERROR(AVERAGEIFS(COM_All!AU$2:AU$999,COM_All!$B$2:$B$999,"="&amp;$A$4,COM_All!$C$2:$C$999,"="&amp;'INS-UPD Heat'!$A52),"")</f>
        <v>0.66666666666666696</v>
      </c>
      <c r="CG52" s="33">
        <f>IFERROR(AVERAGEIFS(COM_All!AV$2:AV$999,COM_All!$B$2:$B$999,"="&amp;$A$4,COM_All!$C$2:$C$999,"="&amp;'INS-UPD Heat'!$A52),"")</f>
        <v>0.66666666666666696</v>
      </c>
    </row>
    <row r="53" spans="1:85" ht="15">
      <c r="A53" t="s">
        <v>169</v>
      </c>
      <c r="C53" t="s">
        <v>29</v>
      </c>
      <c r="D53" t="str">
        <f t="shared" si="41"/>
        <v>C_ES-SH-OF_CO*</v>
      </c>
      <c r="H53" s="55"/>
      <c r="I53" s="50" t="str">
        <f t="shared" si="3"/>
        <v>*0.806322012647686</v>
      </c>
      <c r="J53" s="50" t="str">
        <f t="shared" si="38"/>
        <v>*0.957546566204691</v>
      </c>
      <c r="K53" s="50" t="str">
        <f t="shared" si="39"/>
        <v>*0.806322012647686</v>
      </c>
      <c r="L53" s="50" t="str">
        <f t="shared" si="40"/>
        <v>*0.806322012647686</v>
      </c>
      <c r="M53" s="50" t="str">
        <f t="shared" si="6"/>
        <v>*0.804719068299585</v>
      </c>
      <c r="N53" s="50" t="str">
        <f t="shared" si="7"/>
        <v>*1</v>
      </c>
      <c r="O53" s="50" t="str">
        <f t="shared" si="8"/>
        <v>*0.806322012647686</v>
      </c>
      <c r="P53" s="50" t="str">
        <f t="shared" si="9"/>
        <v>*0.872641433460454</v>
      </c>
      <c r="Q53" s="51" t="str">
        <f t="shared" si="4"/>
        <v>*0.620099652691077</v>
      </c>
      <c r="R53" s="50" t="str">
        <f t="shared" si="10"/>
        <v>*0.806322012647686</v>
      </c>
      <c r="S53" s="50" t="str">
        <f t="shared" si="11"/>
        <v>*0.872643446827971</v>
      </c>
      <c r="T53" s="50" t="str">
        <f t="shared" si="12"/>
        <v>*0.806322012647686</v>
      </c>
      <c r="U53" s="50" t="str">
        <f t="shared" si="13"/>
        <v>*0.830187692790597</v>
      </c>
      <c r="V53" s="50" t="str">
        <f t="shared" si="14"/>
        <v>*0.88113082387544</v>
      </c>
      <c r="W53" s="50" t="str">
        <f t="shared" si="15"/>
        <v>*0.806322012647686</v>
      </c>
      <c r="X53" s="50" t="str">
        <f t="shared" si="16"/>
        <v>*0.889623229961177</v>
      </c>
      <c r="Y53" s="50" t="str">
        <f t="shared" si="17"/>
        <v>*0.889620935555759</v>
      </c>
      <c r="Z53" s="50" t="str">
        <f t="shared" si="18"/>
        <v>*0.806322012647686</v>
      </c>
      <c r="AA53" s="50" t="str">
        <f t="shared" si="19"/>
        <v>*0.806322012647686</v>
      </c>
      <c r="AB53" s="50" t="str">
        <f t="shared" si="20"/>
        <v>*0.806322012647686</v>
      </c>
      <c r="AC53" s="50" t="str">
        <f t="shared" si="21"/>
        <v>*0.806322012647686</v>
      </c>
      <c r="AD53" s="50" t="str">
        <f t="shared" si="22"/>
        <v>*0.87264257545149</v>
      </c>
      <c r="AE53" s="50" t="str">
        <f t="shared" si="23"/>
        <v>*0.806322012647686</v>
      </c>
      <c r="AF53" s="50" t="str">
        <f t="shared" si="24"/>
        <v>*0.906603887155439</v>
      </c>
      <c r="AG53" s="50" t="str">
        <f t="shared" si="25"/>
        <v>*0.806322012647686</v>
      </c>
      <c r="AH53" s="50" t="str">
        <f t="shared" si="26"/>
        <v>*0.806322012647686</v>
      </c>
      <c r="AI53" s="50" t="str">
        <f t="shared" si="27"/>
        <v>*0.806322012647686</v>
      </c>
      <c r="AJ53" s="50" t="str">
        <f t="shared" si="28"/>
        <v>*0.983019632318116</v>
      </c>
      <c r="AK53" s="50" t="str">
        <f t="shared" si="29"/>
        <v>*0.806322012647686</v>
      </c>
      <c r="AL53" s="50" t="str">
        <f t="shared" si="30"/>
        <v>*0.906604351626599</v>
      </c>
      <c r="AM53" s="50" t="str">
        <f t="shared" si="31"/>
        <v>*0.806322012647686</v>
      </c>
      <c r="AN53" s="50" t="str">
        <f t="shared" si="32"/>
        <v>*0.89386762861896</v>
      </c>
      <c r="AO53" s="50" t="str">
        <f t="shared" si="33"/>
        <v>*0.806322012647686</v>
      </c>
      <c r="AP53" s="50" t="str">
        <f t="shared" si="34"/>
        <v>*0.806322012647686</v>
      </c>
      <c r="AQ53" s="50" t="str">
        <f t="shared" si="35"/>
        <v>*0.806322012647686</v>
      </c>
      <c r="AR53" s="50" t="str">
        <f t="shared" si="36"/>
        <v>*0.889622985856844</v>
      </c>
      <c r="AS53" s="52" t="str">
        <f t="shared" si="37"/>
        <v>*0.915091066360072</v>
      </c>
      <c r="AV53" s="34">
        <f t="shared" si="5"/>
        <v>0.52778869516323434</v>
      </c>
      <c r="AW53" s="35">
        <f>IFERROR(AVERAGEIFS(COM_All!L$2:L$999,COM_All!$B$2:$B$999,"="&amp;$A$4,COM_All!$C$2:$C$999,"="&amp;'INS-UPD Heat'!$A53),"")</f>
        <v>0.5</v>
      </c>
      <c r="AX53" s="35">
        <f>IFERROR(AVERAGEIFS(COM_All!M$2:M$999,COM_All!$B$2:$B$999,"="&amp;$A$4,COM_All!$C$2:$C$999,"="&amp;'INS-UPD Heat'!$A53),"")</f>
        <v>0.59377429313906205</v>
      </c>
      <c r="AY53" s="35">
        <f>IFERROR(AVERAGEIFS(COM_All!N$2:N$999,COM_All!$B$2:$B$999,"="&amp;$A$4,COM_All!$C$2:$C$999,"="&amp;'INS-UPD Heat'!$A53),"")</f>
        <v>0.5</v>
      </c>
      <c r="AZ53" s="35">
        <f>IFERROR(AVERAGEIFS(COM_All!O$2:O$999,COM_All!$B$2:$B$999,"="&amp;$A$4,COM_All!$C$2:$C$999,"="&amp;'INS-UPD Heat'!$A53),"")</f>
        <v>0.5</v>
      </c>
      <c r="BA53" s="35">
        <f>IFERROR(AVERAGEIFS(COM_All!P$2:P$999,COM_All!$B$2:$B$999,"="&amp;$A$4,COM_All!$C$2:$C$999,"="&amp;'INS-UPD Heat'!$A53),"")</f>
        <v>0.49900601476646</v>
      </c>
      <c r="BB53" s="35">
        <f>IFERROR(AVERAGEIFS(COM_All!Q$2:Q$999,COM_All!$B$2:$B$999,"="&amp;$A$4,COM_All!$C$2:$C$999,"="&amp;'INS-UPD Heat'!$A53),"")</f>
        <v>0.62009965269107703</v>
      </c>
      <c r="BC53" s="35">
        <f>IFERROR(AVERAGEIFS(COM_All!R$2:R$999,COM_All!$B$2:$B$999,"="&amp;$A$4,COM_All!$C$2:$C$999,"="&amp;'INS-UPD Heat'!$A53),"")</f>
        <v>0.5</v>
      </c>
      <c r="BD53" s="35">
        <f>IFERROR(AVERAGEIFS(COM_All!S$2:S$999,COM_All!$B$2:$B$999,"="&amp;$A$4,COM_All!$C$2:$C$999,"="&amp;'INS-UPD Heat'!$A53),"")</f>
        <v>0.54112464981267105</v>
      </c>
      <c r="BE53" s="35">
        <f>IFERROR(AVERAGEIFS(COM_All!T$2:T$999,COM_All!$B$2:$B$999,"="&amp;$A$4,COM_All!$C$2:$C$999,"="&amp;'INS-UPD Heat'!$A53),"")</f>
        <v>0.62009965269107703</v>
      </c>
      <c r="BF53" s="35">
        <f>IFERROR(AVERAGEIFS(COM_All!U$2:U$999,COM_All!$B$2:$B$999,"="&amp;$A$4,COM_All!$C$2:$C$999,"="&amp;'INS-UPD Heat'!$A53),"")</f>
        <v>0.5</v>
      </c>
      <c r="BG53" s="35">
        <f>IFERROR(AVERAGEIFS(COM_All!V$2:V$999,COM_All!$B$2:$B$999,"="&amp;$A$4,COM_All!$C$2:$C$999,"="&amp;'INS-UPD Heat'!$A53),"")</f>
        <v>0.54112589830116897</v>
      </c>
      <c r="BH53" s="35">
        <f>IFERROR(AVERAGEIFS(COM_All!W$2:W$999,COM_All!$B$2:$B$999,"="&amp;$A$4,COM_All!$C$2:$C$999,"="&amp;'INS-UPD Heat'!$A53),"")</f>
        <v>0.5</v>
      </c>
      <c r="BI53" s="35">
        <f>IFERROR(AVERAGEIFS(COM_All!X$2:X$999,COM_All!$B$2:$B$999,"="&amp;$A$4,COM_All!$C$2:$C$999,"="&amp;'INS-UPD Heat'!$A53),"")</f>
        <v>0.514799099967856</v>
      </c>
      <c r="BJ53" s="35">
        <f>IFERROR(AVERAGEIFS(COM_All!Y$2:Y$999,COM_All!$B$2:$B$999,"="&amp;$A$4,COM_All!$C$2:$C$999,"="&amp;'INS-UPD Heat'!$A53),"")</f>
        <v>0.54638891786056298</v>
      </c>
      <c r="BK53" s="35">
        <f>IFERROR(AVERAGEIFS(COM_All!Z$2:Z$999,COM_All!$B$2:$B$999,"="&amp;$A$4,COM_All!$C$2:$C$999,"="&amp;'INS-UPD Heat'!$A53),"")</f>
        <v>0.5</v>
      </c>
      <c r="BL53" s="35">
        <f>IFERROR(AVERAGEIFS(COM_All!AA$2:AA$999,COM_All!$B$2:$B$999,"="&amp;$A$4,COM_All!$C$2:$C$999,"="&amp;'INS-UPD Heat'!$A53),"")</f>
        <v>0.55165505592483999</v>
      </c>
      <c r="BM53" s="35">
        <f>IFERROR(AVERAGEIFS(COM_All!AB$2:AB$999,COM_All!$B$2:$B$999,"="&amp;$A$4,COM_All!$C$2:$C$999,"="&amp;'INS-UPD Heat'!$A53),"")</f>
        <v>0.55165363316483695</v>
      </c>
      <c r="BN53" s="35">
        <f>IFERROR(AVERAGEIFS(COM_All!AC$2:AC$999,COM_All!$B$2:$B$999,"="&amp;$A$4,COM_All!$C$2:$C$999,"="&amp;'INS-UPD Heat'!$A53),"")</f>
        <v>0.5</v>
      </c>
      <c r="BO53" s="35">
        <f>IFERROR(AVERAGEIFS(COM_All!AD$2:AD$999,COM_All!$B$2:$B$999,"="&amp;$A$4,COM_All!$C$2:$C$999,"="&amp;'INS-UPD Heat'!$A53),"")</f>
        <v>0.5</v>
      </c>
      <c r="BP53" s="35">
        <f>IFERROR(AVERAGEIFS(COM_All!AE$2:AE$999,COM_All!$B$2:$B$999,"="&amp;$A$4,COM_All!$C$2:$C$999,"="&amp;'INS-UPD Heat'!$A53),"")</f>
        <v>0.5</v>
      </c>
      <c r="BQ53" s="35">
        <f>IFERROR(AVERAGEIFS(COM_All!AF$2:AF$999,COM_All!$B$2:$B$999,"="&amp;$A$4,COM_All!$C$2:$C$999,"="&amp;'INS-UPD Heat'!$A53),"")</f>
        <v>0.5</v>
      </c>
      <c r="BR53" s="35">
        <f>IFERROR(AVERAGEIFS(COM_All!AG$2:AG$999,COM_All!$B$2:$B$999,"="&amp;$A$4,COM_All!$C$2:$C$999,"="&amp;'INS-UPD Heat'!$A53),"")</f>
        <v>0.54112535796091599</v>
      </c>
      <c r="BS53" s="35">
        <f>IFERROR(AVERAGEIFS(COM_All!AH$2:AH$999,COM_All!$B$2:$B$999,"="&amp;$A$4,COM_All!$C$2:$C$999,"="&amp;'INS-UPD Heat'!$A53),"")</f>
        <v>0.5</v>
      </c>
      <c r="BT53" s="35">
        <f>IFERROR(AVERAGEIFS(COM_All!AI$2:AI$999,COM_All!$B$2:$B$999,"="&amp;$A$4,COM_All!$C$2:$C$999,"="&amp;'INS-UPD Heat'!$A53),"")</f>
        <v>0.56218475555346803</v>
      </c>
      <c r="BU53" s="35">
        <f>IFERROR(AVERAGEIFS(COM_All!AJ$2:AJ$999,COM_All!$B$2:$B$999,"="&amp;$A$4,COM_All!$C$2:$C$999,"="&amp;'INS-UPD Heat'!$A53),"")</f>
        <v>0.5</v>
      </c>
      <c r="BV53" s="35">
        <f>IFERROR(AVERAGEIFS(COM_All!AK$2:AK$999,COM_All!$B$2:$B$999,"="&amp;$A$4,COM_All!$C$2:$C$999,"="&amp;'INS-UPD Heat'!$A53),"")</f>
        <v>0.5</v>
      </c>
      <c r="BW53" s="35">
        <f>IFERROR(AVERAGEIFS(COM_All!AL$2:AL$999,COM_All!$B$2:$B$999,"="&amp;$A$4,COM_All!$C$2:$C$999,"="&amp;'INS-UPD Heat'!$A53),"")</f>
        <v>0.5</v>
      </c>
      <c r="BX53" s="35">
        <f>IFERROR(AVERAGEIFS(COM_All!AM$2:AM$999,COM_All!$B$2:$B$999,"="&amp;$A$4,COM_All!$C$2:$C$999,"="&amp;'INS-UPD Heat'!$A53),"")</f>
        <v>0.60957013258897397</v>
      </c>
      <c r="BY53" s="35">
        <f>IFERROR(AVERAGEIFS(COM_All!AN$2:AN$999,COM_All!$B$2:$B$999,"="&amp;$A$4,COM_All!$C$2:$C$999,"="&amp;'INS-UPD Heat'!$A53),"")</f>
        <v>0.5</v>
      </c>
      <c r="BZ53" s="35">
        <f>IFERROR(AVERAGEIFS(COM_All!AO$2:AO$999,COM_All!$B$2:$B$999,"="&amp;$A$4,COM_All!$C$2:$C$999,"="&amp;'INS-UPD Heat'!$A53),"")</f>
        <v>0.56218504357187304</v>
      </c>
      <c r="CA53" s="35">
        <f>IFERROR(AVERAGEIFS(COM_All!AP$2:AP$999,COM_All!$B$2:$B$999,"="&amp;$A$4,COM_All!$C$2:$C$999,"="&amp;'INS-UPD Heat'!$A53),"")</f>
        <v>0.5</v>
      </c>
      <c r="CB53" s="35">
        <f>IFERROR(AVERAGEIFS(COM_All!AQ$2:AQ$999,COM_All!$B$2:$B$999,"="&amp;$A$4,COM_All!$C$2:$C$999,"="&amp;'INS-UPD Heat'!$A53),"")</f>
        <v>0.55428700605841397</v>
      </c>
      <c r="CC53" s="35">
        <f>IFERROR(AVERAGEIFS(COM_All!AR$2:AR$999,COM_All!$B$2:$B$999,"="&amp;$A$4,COM_All!$C$2:$C$999,"="&amp;'INS-UPD Heat'!$A53),"")</f>
        <v>0.5</v>
      </c>
      <c r="CD53" s="35">
        <f>IFERROR(AVERAGEIFS(COM_All!AS$2:AS$999,COM_All!$B$2:$B$999,"="&amp;$A$4,COM_All!$C$2:$C$999,"="&amp;'INS-UPD Heat'!$A53),"")</f>
        <v>0.5</v>
      </c>
      <c r="CE53" s="35">
        <f>IFERROR(AVERAGEIFS(COM_All!AT$2:AT$999,COM_All!$B$2:$B$999,"="&amp;$A$4,COM_All!$C$2:$C$999,"="&amp;'INS-UPD Heat'!$A53),"")</f>
        <v>0.5</v>
      </c>
      <c r="CF53" s="35">
        <f>IFERROR(AVERAGEIFS(COM_All!AU$2:AU$999,COM_All!$B$2:$B$999,"="&amp;$A$4,COM_All!$C$2:$C$999,"="&amp;'INS-UPD Heat'!$A53),"")</f>
        <v>0.551654904555828</v>
      </c>
      <c r="CG53" s="36">
        <f>IFERROR(AVERAGEIFS(COM_All!AV$2:AV$999,COM_All!$B$2:$B$999,"="&amp;$A$4,COM_All!$C$2:$C$999,"="&amp;'INS-UPD Heat'!$A53),"")</f>
        <v>0.56744765243058803</v>
      </c>
    </row>
    <row r="56" spans="1:1" ht="12.75">
      <c r="A56" t="s">
        <v>187</v>
      </c>
    </row>
    <row r="57" spans="3:3" ht="12.75">
      <c r="C57" s="4" t="s">
        <v>51</v>
      </c>
    </row>
    <row r="58" spans="3:45" ht="12.75">
      <c r="C58" t="s">
        <v>35</v>
      </c>
      <c r="D58" t="s">
        <v>48</v>
      </c>
      <c r="E58" t="s">
        <v>43</v>
      </c>
      <c r="F58" t="s">
        <v>39</v>
      </c>
      <c r="G58" t="s">
        <v>49</v>
      </c>
      <c r="H58" t="s">
        <v>46</v>
      </c>
      <c r="I58" t="str">
        <f>RES_SpHeat!L$1</f>
        <v>AL</v>
      </c>
      <c r="J58" t="str">
        <f>RES_SpHeat!M$1</f>
        <v>AT</v>
      </c>
      <c r="K58" t="str">
        <f>RES_SpHeat!N$1</f>
        <v>BA</v>
      </c>
      <c r="L58" t="str">
        <f>RES_SpHeat!O$1</f>
        <v>BE</v>
      </c>
      <c r="M58" t="str">
        <f>RES_SpHeat!P$1</f>
        <v>BG</v>
      </c>
      <c r="N58" t="str">
        <f>RES_SpHeat!Q$1</f>
        <v>CH</v>
      </c>
      <c r="O58" t="str">
        <f>RES_SpHeat!R$1</f>
        <v>CY</v>
      </c>
      <c r="P58" t="str">
        <f>RES_SpHeat!S$1</f>
        <v>CZ</v>
      </c>
      <c r="Q58" t="str">
        <f>RES_SpHeat!T$1</f>
        <v>DE</v>
      </c>
      <c r="R58" t="str">
        <f>RES_SpHeat!U$1</f>
        <v>DK</v>
      </c>
      <c r="S58" t="str">
        <f>RES_SpHeat!V$1</f>
        <v>EE</v>
      </c>
      <c r="T58" t="str">
        <f>RES_SpHeat!W$1</f>
        <v>EL</v>
      </c>
      <c r="U58" t="str">
        <f>RES_SpHeat!X$1</f>
        <v>ES</v>
      </c>
      <c r="V58" t="str">
        <f>RES_SpHeat!Y$1</f>
        <v>FI</v>
      </c>
      <c r="W58" t="str">
        <f>RES_SpHeat!Z$1</f>
        <v>FR</v>
      </c>
      <c r="X58" t="str">
        <f>RES_SpHeat!AA$1</f>
        <v>HR</v>
      </c>
      <c r="Y58" t="str">
        <f>RES_SpHeat!AB$1</f>
        <v>HU</v>
      </c>
      <c r="Z58" t="str">
        <f>RES_SpHeat!AC$1</f>
        <v>IE</v>
      </c>
      <c r="AA58" t="str">
        <f>RES_SpHeat!AD$1</f>
        <v>IS</v>
      </c>
      <c r="AB58" t="str">
        <f>RES_SpHeat!AE$1</f>
        <v>IT</v>
      </c>
      <c r="AC58" t="str">
        <f>RES_SpHeat!AF$1</f>
        <v>KS</v>
      </c>
      <c r="AD58" t="str">
        <f>RES_SpHeat!AG$1</f>
        <v>LT</v>
      </c>
      <c r="AE58" t="str">
        <f>RES_SpHeat!AH$1</f>
        <v>LU</v>
      </c>
      <c r="AF58" t="str">
        <f>RES_SpHeat!AI$1</f>
        <v>LV</v>
      </c>
      <c r="AG58" t="str">
        <f>RES_SpHeat!AJ$1</f>
        <v>ME</v>
      </c>
      <c r="AH58" t="str">
        <f>RES_SpHeat!AK$1</f>
        <v>MK</v>
      </c>
      <c r="AI58" t="str">
        <f>RES_SpHeat!AL$1</f>
        <v>MT</v>
      </c>
      <c r="AJ58" t="str">
        <f>RES_SpHeat!AM$1</f>
        <v>NL</v>
      </c>
      <c r="AK58" t="str">
        <f>RES_SpHeat!AN$1</f>
        <v>NO</v>
      </c>
      <c r="AL58" t="str">
        <f>RES_SpHeat!AO$1</f>
        <v>PL</v>
      </c>
      <c r="AM58" t="str">
        <f>RES_SpHeat!AP$1</f>
        <v>PT</v>
      </c>
      <c r="AN58" t="str">
        <f>RES_SpHeat!AQ$1</f>
        <v>RO</v>
      </c>
      <c r="AO58" t="str">
        <f>RES_SpHeat!AR$1</f>
        <v>RS</v>
      </c>
      <c r="AP58" t="str">
        <f>RES_SpHeat!AS$1</f>
        <v>SE</v>
      </c>
      <c r="AQ58" t="str">
        <f>RES_SpHeat!AT$1</f>
        <v>SI</v>
      </c>
      <c r="AR58" t="str">
        <f>RES_SpHeat!AU$1</f>
        <v>SK</v>
      </c>
      <c r="AS58" t="str">
        <f>RES_SpHeat!AV$1</f>
        <v>UK</v>
      </c>
    </row>
    <row r="59" spans="1:45" ht="12.75">
      <c r="A59" t="str">
        <f>A6</f>
        <v>C_ES-SH-HO_BI*</v>
      </c>
      <c r="C59" t="s">
        <v>60</v>
      </c>
      <c r="D59" t="str">
        <f>A59</f>
        <v>C_ES-SH-HO_BI*</v>
      </c>
      <c r="F59" t="s">
        <v>116</v>
      </c>
      <c r="H59" s="53"/>
      <c r="I59" s="45" t="str">
        <f>I6</f>
        <v>*1</v>
      </c>
      <c r="J59" s="45" t="str">
        <f t="shared" si="42" ref="J59:AS59">J6</f>
        <v>*1.13273935601115</v>
      </c>
      <c r="K59" s="45" t="str">
        <f t="shared" si="42"/>
        <v>*1</v>
      </c>
      <c r="L59" s="45" t="str">
        <f t="shared" si="42"/>
        <v>*1.16287202779621</v>
      </c>
      <c r="M59" s="45" t="str">
        <f t="shared" si="42"/>
        <v>*0.951947404871184</v>
      </c>
      <c r="N59" s="45" t="str">
        <f t="shared" si="42"/>
        <v>*1</v>
      </c>
      <c r="O59" s="45" t="str">
        <f t="shared" si="42"/>
        <v>*0.891684624593808</v>
      </c>
      <c r="P59" s="45" t="str">
        <f t="shared" si="42"/>
        <v>*1.03230037990426</v>
      </c>
      <c r="Q59" s="45" t="str">
        <f t="shared" si="42"/>
        <v>*0.5</v>
      </c>
      <c r="R59" s="45" t="str">
        <f t="shared" si="42"/>
        <v>*1.0825169264074</v>
      </c>
      <c r="S59" s="45" t="str">
        <f t="shared" si="42"/>
        <v>*1.03229644898342</v>
      </c>
      <c r="T59" s="45" t="str">
        <f t="shared" si="42"/>
        <v>*1</v>
      </c>
      <c r="U59" s="45" t="str">
        <f t="shared" si="42"/>
        <v>*0.982080090991512</v>
      </c>
      <c r="V59" s="45" t="str">
        <f t="shared" si="42"/>
        <v>*1.0423429136333</v>
      </c>
      <c r="W59" s="45" t="str">
        <f t="shared" si="42"/>
        <v>*1.08252106666226</v>
      </c>
      <c r="X59" s="45" t="str">
        <f t="shared" si="42"/>
        <v>*1.05238453545451</v>
      </c>
      <c r="Y59" s="45" t="str">
        <f t="shared" si="42"/>
        <v>*1.05238966451752</v>
      </c>
      <c r="Z59" s="45" t="str">
        <f t="shared" si="42"/>
        <v>*1.1026073590249</v>
      </c>
      <c r="AA59" s="45" t="str">
        <f t="shared" si="42"/>
        <v>*1.0825169264074</v>
      </c>
      <c r="AB59" s="45" t="str">
        <f t="shared" si="42"/>
        <v>*1</v>
      </c>
      <c r="AC59" s="45" t="str">
        <f t="shared" si="42"/>
        <v>*1</v>
      </c>
      <c r="AD59" s="45" t="str">
        <f t="shared" si="42"/>
        <v>*1.03230017588431</v>
      </c>
      <c r="AE59" s="45" t="str">
        <f t="shared" si="42"/>
        <v>*1</v>
      </c>
      <c r="AF59" s="45" t="str">
        <f t="shared" si="42"/>
        <v>*1.07247594152106</v>
      </c>
      <c r="AG59" s="45" t="str">
        <f t="shared" si="42"/>
        <v>*1</v>
      </c>
      <c r="AH59" s="45" t="str">
        <f t="shared" si="42"/>
        <v>*1</v>
      </c>
      <c r="AI59" s="45" t="str">
        <f t="shared" si="42"/>
        <v>*1</v>
      </c>
      <c r="AJ59" s="45" t="str">
        <f t="shared" si="42"/>
        <v>*1.16287284644911</v>
      </c>
      <c r="AK59" s="45" t="str">
        <f t="shared" si="42"/>
        <v>*1.0825169264074</v>
      </c>
      <c r="AL59" s="45" t="str">
        <f t="shared" si="42"/>
        <v>*1.07247406151033</v>
      </c>
      <c r="AM59" s="45" t="str">
        <f t="shared" si="42"/>
        <v>*1</v>
      </c>
      <c r="AN59" s="45" t="str">
        <f t="shared" si="42"/>
        <v>*1</v>
      </c>
      <c r="AO59" s="45" t="str">
        <f t="shared" si="42"/>
        <v>*1</v>
      </c>
      <c r="AP59" s="45" t="str">
        <f t="shared" si="42"/>
        <v>*1.03229798151806</v>
      </c>
      <c r="AQ59" s="45" t="str">
        <f t="shared" si="42"/>
        <v>*1</v>
      </c>
      <c r="AR59" s="45" t="str">
        <f t="shared" si="42"/>
        <v>*1.05238916181003</v>
      </c>
      <c r="AS59" s="47" t="str">
        <f t="shared" si="42"/>
        <v>*1.08252104532776</v>
      </c>
    </row>
    <row r="60" spans="1:45" ht="12.75">
      <c r="A60" t="str">
        <f t="shared" si="43" ref="A60:A106">A7</f>
        <v>C_ES-SH-HO_HE*</v>
      </c>
      <c r="C60" t="s">
        <v>60</v>
      </c>
      <c r="D60" t="str">
        <f t="shared" si="44" ref="D60:D106">A60</f>
        <v>C_ES-SH-HO_HE*</v>
      </c>
      <c r="F60" t="s">
        <v>116</v>
      </c>
      <c r="H60" s="54"/>
      <c r="I60" t="str">
        <f t="shared" si="45" ref="I60:AS60">I7</f>
        <v>*0.880504783355962</v>
      </c>
      <c r="J60" t="str">
        <f t="shared" si="45"/>
        <v>*0.957548618872751</v>
      </c>
      <c r="K60" t="str">
        <f t="shared" si="45"/>
        <v>*0.880504783355962</v>
      </c>
      <c r="L60" t="str">
        <f t="shared" si="45"/>
        <v>*0.983020646759874</v>
      </c>
      <c r="M60" t="str">
        <f t="shared" si="45"/>
        <v>*0.804718937699145</v>
      </c>
      <c r="N60" t="str">
        <f t="shared" si="45"/>
        <v>*1</v>
      </c>
      <c r="O60" t="str">
        <f t="shared" si="45"/>
        <v>*0.880504783355962</v>
      </c>
      <c r="P60" t="str">
        <f t="shared" si="45"/>
        <v>*0.872644275983274</v>
      </c>
      <c r="Q60" t="str">
        <f t="shared" si="45"/>
        <v>*0.908569737634899</v>
      </c>
      <c r="R60" t="str">
        <f t="shared" si="45"/>
        <v>*0.915095212233637</v>
      </c>
      <c r="S60" t="str">
        <f t="shared" si="45"/>
        <v>*0.872642655737943</v>
      </c>
      <c r="T60" t="str">
        <f t="shared" si="45"/>
        <v>*0.880504783355962</v>
      </c>
      <c r="U60" t="str">
        <f t="shared" si="45"/>
        <v>*0.880504783355962</v>
      </c>
      <c r="V60" t="str">
        <f t="shared" si="45"/>
        <v>*0.881131477151944</v>
      </c>
      <c r="W60" t="str">
        <f t="shared" si="45"/>
        <v>*0.915093124359608</v>
      </c>
      <c r="X60" t="str">
        <f t="shared" si="45"/>
        <v>*0.889625250941913</v>
      </c>
      <c r="Y60" t="str">
        <f t="shared" si="45"/>
        <v>*0.889623372740061</v>
      </c>
      <c r="Z60" t="str">
        <f t="shared" si="45"/>
        <v>*0.880504783355962</v>
      </c>
      <c r="AA60" t="str">
        <f t="shared" si="45"/>
        <v>*0.915095212233637</v>
      </c>
      <c r="AB60" t="str">
        <f t="shared" si="45"/>
        <v>*0.915095341838966</v>
      </c>
      <c r="AC60" t="str">
        <f t="shared" si="45"/>
        <v>*0.880504783355962</v>
      </c>
      <c r="AD60" t="str">
        <f t="shared" si="45"/>
        <v>*0.872640325737902</v>
      </c>
      <c r="AE60" t="str">
        <f t="shared" si="45"/>
        <v>*0.915097225102635</v>
      </c>
      <c r="AF60" t="str">
        <f t="shared" si="45"/>
        <v>*0.906602703277204</v>
      </c>
      <c r="AG60" t="str">
        <f t="shared" si="45"/>
        <v>*0.880504783355962</v>
      </c>
      <c r="AH60" t="str">
        <f t="shared" si="45"/>
        <v>*0.880504783355962</v>
      </c>
      <c r="AI60" t="str">
        <f t="shared" si="45"/>
        <v>*0.880504783355962</v>
      </c>
      <c r="AJ60" t="str">
        <f t="shared" si="45"/>
        <v>*0.983021041372418</v>
      </c>
      <c r="AK60" t="str">
        <f t="shared" si="45"/>
        <v>*0.915095212233637</v>
      </c>
      <c r="AL60" t="str">
        <f t="shared" si="45"/>
        <v>*0.906604639952111</v>
      </c>
      <c r="AM60" t="str">
        <f t="shared" si="45"/>
        <v>*0.855664327496265</v>
      </c>
      <c r="AN60" t="str">
        <f t="shared" si="45"/>
        <v>*0.89386936286641</v>
      </c>
      <c r="AO60" t="str">
        <f t="shared" si="45"/>
        <v>*0.880504783355962</v>
      </c>
      <c r="AP60" t="str">
        <f t="shared" si="45"/>
        <v>*0.872640441278991</v>
      </c>
      <c r="AQ60" t="str">
        <f t="shared" si="45"/>
        <v>*0.949060077873277</v>
      </c>
      <c r="AR60" t="str">
        <f t="shared" si="45"/>
        <v>*0.889625648915354</v>
      </c>
      <c r="AS60" s="49" t="str">
        <f t="shared" si="45"/>
        <v>*0.915096287669067</v>
      </c>
    </row>
    <row r="61" spans="1:45" ht="12.75">
      <c r="A61" t="str">
        <f t="shared" si="43"/>
        <v>C_ES-SH-HO_EL*</v>
      </c>
      <c r="C61" s="74" t="s">
        <v>408</v>
      </c>
      <c r="D61" t="str">
        <f t="shared" si="44"/>
        <v>C_ES-SH-HO_EL*</v>
      </c>
      <c r="F61" t="s">
        <v>116</v>
      </c>
      <c r="H61" s="54"/>
      <c r="I61" t="str">
        <f t="shared" si="46" ref="I61:AS61">I8</f>
        <v>*0.814695640040816</v>
      </c>
      <c r="J61" t="str">
        <f t="shared" si="46"/>
        <v>*0.866863618757606</v>
      </c>
      <c r="K61" t="str">
        <f t="shared" si="46"/>
        <v>*0.814695640040816</v>
      </c>
      <c r="L61" t="str">
        <f t="shared" si="46"/>
        <v>*0.829770066565543</v>
      </c>
      <c r="M61" t="str">
        <f t="shared" si="46"/>
        <v>*0.670139292549879</v>
      </c>
      <c r="N61" t="str">
        <f t="shared" si="46"/>
        <v>*1</v>
      </c>
      <c r="O61" t="str">
        <f t="shared" si="46"/>
        <v>*0.806570689531818</v>
      </c>
      <c r="P61" t="str">
        <f t="shared" si="46"/>
        <v>*0.783236858692403</v>
      </c>
      <c r="Q61" t="str">
        <f t="shared" si="46"/>
        <v>*1.16338718199139</v>
      </c>
      <c r="R61" t="str">
        <f t="shared" si="46"/>
        <v>*0.964160419172593</v>
      </c>
      <c r="S61" t="str">
        <f t="shared" si="46"/>
        <v>*0.707243659269144</v>
      </c>
      <c r="T61" t="str">
        <f t="shared" si="46"/>
        <v>*0.814695640040816</v>
      </c>
      <c r="U61" t="str">
        <f t="shared" si="46"/>
        <v>*0.880205881297254</v>
      </c>
      <c r="V61" t="str">
        <f t="shared" si="46"/>
        <v>*0.915248470397476</v>
      </c>
      <c r="W61" t="str">
        <f t="shared" si="46"/>
        <v>*0.982636396644647</v>
      </c>
      <c r="X61" t="str">
        <f t="shared" si="46"/>
        <v>*0.731393580117313</v>
      </c>
      <c r="Y61" t="str">
        <f t="shared" si="46"/>
        <v>*0.847123481616257</v>
      </c>
      <c r="Z61" t="str">
        <f t="shared" si="46"/>
        <v>*0.856585176139782</v>
      </c>
      <c r="AA61" t="str">
        <f t="shared" si="46"/>
        <v>*0.964160419172593</v>
      </c>
      <c r="AB61" t="str">
        <f t="shared" si="46"/>
        <v>*0.975703024004163</v>
      </c>
      <c r="AC61" t="str">
        <f t="shared" si="46"/>
        <v>*0.814695640040816</v>
      </c>
      <c r="AD61" t="str">
        <f t="shared" si="46"/>
        <v>*0.801302174406614</v>
      </c>
      <c r="AE61" t="str">
        <f t="shared" si="46"/>
        <v>*1.04929722822849</v>
      </c>
      <c r="AF61" t="str">
        <f t="shared" si="46"/>
        <v>*0.802607320234305</v>
      </c>
      <c r="AG61" t="str">
        <f t="shared" si="46"/>
        <v>*0.814695640040816</v>
      </c>
      <c r="AH61" t="str">
        <f t="shared" si="46"/>
        <v>*0.814695640040816</v>
      </c>
      <c r="AI61" t="str">
        <f t="shared" si="46"/>
        <v>*0.662075744685471</v>
      </c>
      <c r="AJ61" t="str">
        <f t="shared" si="46"/>
        <v>*1.09991267506868</v>
      </c>
      <c r="AK61" t="str">
        <f t="shared" si="46"/>
        <v>*0.964160419172593</v>
      </c>
      <c r="AL61" t="str">
        <f t="shared" si="46"/>
        <v>*0.973806550892689</v>
      </c>
      <c r="AM61" t="str">
        <f t="shared" si="46"/>
        <v>*0.840908698492736</v>
      </c>
      <c r="AN61" t="str">
        <f t="shared" si="46"/>
        <v>*0.752940453106604</v>
      </c>
      <c r="AO61" t="str">
        <f t="shared" si="46"/>
        <v>*0.814695640040816</v>
      </c>
      <c r="AP61" t="str">
        <f t="shared" si="46"/>
        <v>*0.885880097942198</v>
      </c>
      <c r="AQ61" t="str">
        <f t="shared" si="46"/>
        <v>*0.839394722196866</v>
      </c>
      <c r="AR61" t="str">
        <f t="shared" si="46"/>
        <v>*0.812611601321336</v>
      </c>
      <c r="AS61" s="49" t="str">
        <f t="shared" si="46"/>
        <v>*1.05673460932283</v>
      </c>
    </row>
    <row r="62" spans="1:45" ht="12.75">
      <c r="A62" t="str">
        <f t="shared" si="43"/>
        <v>C_ES-SH-HO_GA*</v>
      </c>
      <c r="C62" t="s">
        <v>60</v>
      </c>
      <c r="D62" t="str">
        <f t="shared" si="44"/>
        <v>C_ES-SH-HO_GA*</v>
      </c>
      <c r="F62" t="s">
        <v>116</v>
      </c>
      <c r="H62" s="54"/>
      <c r="I62" t="str">
        <f t="shared" si="47" ref="I62:AS62">I9</f>
        <v>*0.751789844164435</v>
      </c>
      <c r="J62" t="str">
        <f t="shared" si="47"/>
        <v>*0.958971368982325</v>
      </c>
      <c r="K62" t="str">
        <f t="shared" si="47"/>
        <v>*0.751789844164435</v>
      </c>
      <c r="L62" t="str">
        <f t="shared" si="47"/>
        <v>*0.98247021598169</v>
      </c>
      <c r="M62" t="str">
        <f t="shared" si="47"/>
        <v>*0.801022925677764</v>
      </c>
      <c r="N62" t="str">
        <f t="shared" si="47"/>
        <v>*1</v>
      </c>
      <c r="O62" t="str">
        <f t="shared" si="47"/>
        <v>*0.750312177594846</v>
      </c>
      <c r="P62" t="str">
        <f t="shared" si="47"/>
        <v>*0.870852828625521</v>
      </c>
      <c r="Q62" t="str">
        <f t="shared" si="47"/>
        <v>*0.766721004074585</v>
      </c>
      <c r="R62" t="str">
        <f t="shared" si="47"/>
        <v>*0.916481590266539</v>
      </c>
      <c r="S62" t="str">
        <f t="shared" si="47"/>
        <v>*0.868634629976933</v>
      </c>
      <c r="T62" t="str">
        <f t="shared" si="47"/>
        <v>*0.751789844164435</v>
      </c>
      <c r="U62" t="str">
        <f t="shared" si="47"/>
        <v>*0.831402561906822</v>
      </c>
      <c r="V62" t="str">
        <f t="shared" si="47"/>
        <v>*0.877090057188528</v>
      </c>
      <c r="W62" t="str">
        <f t="shared" si="47"/>
        <v>*0.913903595895035</v>
      </c>
      <c r="X62" t="str">
        <f t="shared" si="47"/>
        <v>*0.887582361489164</v>
      </c>
      <c r="Y62" t="str">
        <f t="shared" si="47"/>
        <v>*0.88826694111973</v>
      </c>
      <c r="Z62" t="str">
        <f t="shared" si="47"/>
        <v>*0.932017066676991</v>
      </c>
      <c r="AA62" t="str">
        <f t="shared" si="47"/>
        <v>*0.916481590266539</v>
      </c>
      <c r="AB62" t="str">
        <f t="shared" si="47"/>
        <v>*0.912611573794044</v>
      </c>
      <c r="AC62" t="str">
        <f t="shared" si="47"/>
        <v>*0.751789844164435</v>
      </c>
      <c r="AD62" t="str">
        <f t="shared" si="47"/>
        <v>*0.868636514902445</v>
      </c>
      <c r="AE62" t="str">
        <f t="shared" si="47"/>
        <v>*0.916280573443744</v>
      </c>
      <c r="AF62" t="str">
        <f t="shared" si="47"/>
        <v>*0.902440555603779</v>
      </c>
      <c r="AG62" t="str">
        <f t="shared" si="47"/>
        <v>*0.751789844164435</v>
      </c>
      <c r="AH62" t="str">
        <f t="shared" si="47"/>
        <v>*0.751789844164435</v>
      </c>
      <c r="AI62" t="str">
        <f t="shared" si="47"/>
        <v>*0.782553232285825</v>
      </c>
      <c r="AJ62" t="str">
        <f t="shared" si="47"/>
        <v>*0.983432278118349</v>
      </c>
      <c r="AK62" t="str">
        <f t="shared" si="47"/>
        <v>*0.916481590266539</v>
      </c>
      <c r="AL62" t="str">
        <f t="shared" si="47"/>
        <v>*0.907097458133649</v>
      </c>
      <c r="AM62" t="str">
        <f t="shared" si="47"/>
        <v>*0.858910478986323</v>
      </c>
      <c r="AN62" t="str">
        <f t="shared" si="47"/>
        <v>*0.890676709498201</v>
      </c>
      <c r="AO62" t="str">
        <f t="shared" si="47"/>
        <v>*0.751789844164435</v>
      </c>
      <c r="AP62" t="str">
        <f t="shared" si="47"/>
        <v>*0.868634823876442</v>
      </c>
      <c r="AQ62" t="str">
        <f t="shared" si="47"/>
        <v>*0.944703220399034</v>
      </c>
      <c r="AR62" t="str">
        <f t="shared" si="47"/>
        <v>*0.887897908847503</v>
      </c>
      <c r="AS62" s="49" t="str">
        <f t="shared" si="47"/>
        <v>*0.915420971135312</v>
      </c>
    </row>
    <row r="63" spans="1:45" ht="12.75">
      <c r="A63" t="str">
        <f t="shared" si="43"/>
        <v>C_ES-SH-HO_OI*</v>
      </c>
      <c r="C63" t="s">
        <v>60</v>
      </c>
      <c r="D63" t="str">
        <f t="shared" si="44"/>
        <v>C_ES-SH-HO_OI*</v>
      </c>
      <c r="F63" t="s">
        <v>116</v>
      </c>
      <c r="H63" s="54"/>
      <c r="I63" t="str">
        <f t="shared" si="48" ref="I63:AS63">I10</f>
        <v>*0.753773411000091</v>
      </c>
      <c r="J63" t="str">
        <f t="shared" si="48"/>
        <v>*0.957544163772634</v>
      </c>
      <c r="K63" t="str">
        <f t="shared" si="48"/>
        <v>*0.753773411000091</v>
      </c>
      <c r="L63" t="str">
        <f t="shared" si="48"/>
        <v>*0.983016992017122</v>
      </c>
      <c r="M63" t="str">
        <f t="shared" si="48"/>
        <v>*0.804716585177828</v>
      </c>
      <c r="N63" t="str">
        <f t="shared" si="48"/>
        <v>*1</v>
      </c>
      <c r="O63" t="str">
        <f t="shared" si="48"/>
        <v>*0.753771965014407</v>
      </c>
      <c r="P63" t="str">
        <f t="shared" si="48"/>
        <v>*0.872640058113471</v>
      </c>
      <c r="Q63" t="str">
        <f t="shared" si="48"/>
        <v>*0.715500925014401</v>
      </c>
      <c r="R63" t="str">
        <f t="shared" si="48"/>
        <v>*0.915094452005067</v>
      </c>
      <c r="S63" t="str">
        <f t="shared" si="48"/>
        <v>*0.872638584269094</v>
      </c>
      <c r="T63" t="str">
        <f t="shared" si="48"/>
        <v>*0.753773411000091</v>
      </c>
      <c r="U63" t="str">
        <f t="shared" si="48"/>
        <v>*0.830188634260304</v>
      </c>
      <c r="V63" t="str">
        <f t="shared" si="48"/>
        <v>*0.881132627863442</v>
      </c>
      <c r="W63" t="str">
        <f t="shared" si="48"/>
        <v>*0.915094198262907</v>
      </c>
      <c r="X63" t="str">
        <f t="shared" si="48"/>
        <v>*0.889621616188381</v>
      </c>
      <c r="Y63" t="str">
        <f t="shared" si="48"/>
        <v>*0.768692227740908</v>
      </c>
      <c r="Z63" t="str">
        <f t="shared" si="48"/>
        <v>*0.932072829532384</v>
      </c>
      <c r="AA63" t="str">
        <f t="shared" si="48"/>
        <v>*0.915094452005067</v>
      </c>
      <c r="AB63" t="str">
        <f t="shared" si="48"/>
        <v>*0.915090313213233</v>
      </c>
      <c r="AC63" t="str">
        <f t="shared" si="48"/>
        <v>*0.753773411000091</v>
      </c>
      <c r="AD63" t="str">
        <f t="shared" si="48"/>
        <v>*0.872642317322356</v>
      </c>
      <c r="AE63" t="str">
        <f t="shared" si="48"/>
        <v>*0.915091850300005</v>
      </c>
      <c r="AF63" t="str">
        <f t="shared" si="48"/>
        <v>*0.906603397591183</v>
      </c>
      <c r="AG63" t="str">
        <f t="shared" si="48"/>
        <v>*0.753773411000091</v>
      </c>
      <c r="AH63" t="str">
        <f t="shared" si="48"/>
        <v>*0.753773411000091</v>
      </c>
      <c r="AI63" t="str">
        <f t="shared" si="48"/>
        <v>*0.768692227740908</v>
      </c>
      <c r="AJ63" t="str">
        <f t="shared" si="48"/>
        <v>*0.983020136421328</v>
      </c>
      <c r="AK63" t="str">
        <f t="shared" si="48"/>
        <v>*0.915094452005067</v>
      </c>
      <c r="AL63" t="str">
        <f t="shared" si="48"/>
        <v>*0.906603703265176</v>
      </c>
      <c r="AM63" t="str">
        <f t="shared" si="48"/>
        <v>*0.855661126516543</v>
      </c>
      <c r="AN63" t="str">
        <f t="shared" si="48"/>
        <v>*0.893867563595842</v>
      </c>
      <c r="AO63" t="str">
        <f t="shared" si="48"/>
        <v>*0.753773411000091</v>
      </c>
      <c r="AP63" t="str">
        <f t="shared" si="48"/>
        <v>*0.872639506876678</v>
      </c>
      <c r="AQ63" t="str">
        <f t="shared" si="48"/>
        <v>*0.94905683960654</v>
      </c>
      <c r="AR63" t="str">
        <f t="shared" si="48"/>
        <v>*0.889623028548323</v>
      </c>
      <c r="AS63" s="49" t="str">
        <f t="shared" si="48"/>
        <v>*0.915091716306065</v>
      </c>
    </row>
    <row r="64" spans="1:45" ht="12.75">
      <c r="A64" t="str">
        <f t="shared" si="43"/>
        <v>C_ES-SH-HO_GE*</v>
      </c>
      <c r="C64" t="s">
        <v>60</v>
      </c>
      <c r="D64" t="str">
        <f t="shared" si="44"/>
        <v>C_ES-SH-HO_GE*</v>
      </c>
      <c r="F64" t="s">
        <v>116</v>
      </c>
      <c r="H64" s="54"/>
      <c r="I64" t="str">
        <f t="shared" si="49" ref="I64:AS64">I11</f>
        <v>*1</v>
      </c>
      <c r="J64" t="str">
        <f t="shared" si="49"/>
        <v>*1.18071512418715</v>
      </c>
      <c r="K64" t="str">
        <f t="shared" si="49"/>
        <v>*1</v>
      </c>
      <c r="L64" t="str">
        <f t="shared" si="49"/>
        <v>*1</v>
      </c>
      <c r="M64" t="str">
        <f t="shared" si="49"/>
        <v>*0.992265584693816</v>
      </c>
      <c r="N64" t="str">
        <f t="shared" si="49"/>
        <v>*1</v>
      </c>
      <c r="O64" t="str">
        <f t="shared" si="49"/>
        <v>*1</v>
      </c>
      <c r="P64" t="str">
        <f t="shared" si="49"/>
        <v>*1</v>
      </c>
      <c r="Q64" t="str">
        <f t="shared" si="49"/>
        <v>*0.7</v>
      </c>
      <c r="R64" t="str">
        <f t="shared" si="49"/>
        <v>*1</v>
      </c>
      <c r="S64" t="str">
        <f t="shared" si="49"/>
        <v>*1</v>
      </c>
      <c r="T64" t="str">
        <f t="shared" si="49"/>
        <v>*1</v>
      </c>
      <c r="U64" t="str">
        <f t="shared" si="49"/>
        <v>*1.02367221742178</v>
      </c>
      <c r="V64" t="str">
        <f t="shared" si="49"/>
        <v>*1</v>
      </c>
      <c r="W64" t="str">
        <f t="shared" si="49"/>
        <v>*1.12836642882944</v>
      </c>
      <c r="X64" t="str">
        <f t="shared" si="49"/>
        <v>*1.09695901278096</v>
      </c>
      <c r="Y64" t="str">
        <f t="shared" si="49"/>
        <v>*1.09695874032411</v>
      </c>
      <c r="Z64" t="str">
        <f t="shared" si="49"/>
        <v>*1</v>
      </c>
      <c r="AA64" t="str">
        <f t="shared" si="49"/>
        <v>*1</v>
      </c>
      <c r="AB64" t="str">
        <f t="shared" si="49"/>
        <v>*1.12836780488483</v>
      </c>
      <c r="AC64" t="str">
        <f t="shared" si="49"/>
        <v>*1</v>
      </c>
      <c r="AD64" t="str">
        <f t="shared" si="49"/>
        <v>*1</v>
      </c>
      <c r="AE64" t="str">
        <f t="shared" si="49"/>
        <v>*1</v>
      </c>
      <c r="AF64" t="str">
        <f t="shared" si="49"/>
        <v>*1</v>
      </c>
      <c r="AG64" t="str">
        <f t="shared" si="49"/>
        <v>*1</v>
      </c>
      <c r="AH64" t="str">
        <f t="shared" si="49"/>
        <v>*1</v>
      </c>
      <c r="AI64" t="str">
        <f t="shared" si="49"/>
        <v>*1</v>
      </c>
      <c r="AJ64" t="str">
        <f t="shared" si="49"/>
        <v>*1</v>
      </c>
      <c r="AK64" t="str">
        <f t="shared" si="49"/>
        <v>*1</v>
      </c>
      <c r="AL64" t="str">
        <f t="shared" si="49"/>
        <v>*1.11789847320821</v>
      </c>
      <c r="AM64" t="str">
        <f t="shared" si="49"/>
        <v>*1.05508137432188</v>
      </c>
      <c r="AN64" t="str">
        <f t="shared" si="49"/>
        <v>*1.10219424337653</v>
      </c>
      <c r="AO64" t="str">
        <f t="shared" si="49"/>
        <v>*1</v>
      </c>
      <c r="AP64" t="str">
        <f t="shared" si="49"/>
        <v>*1</v>
      </c>
      <c r="AQ64" t="str">
        <f t="shared" si="49"/>
        <v>*1.17024478027022</v>
      </c>
      <c r="AR64" t="str">
        <f t="shared" si="49"/>
        <v>*1.0969585751785</v>
      </c>
      <c r="AS64" s="49" t="str">
        <f t="shared" si="49"/>
        <v>*1.12836656997825</v>
      </c>
    </row>
    <row r="65" spans="1:45" ht="12.75">
      <c r="A65" t="str">
        <f t="shared" si="43"/>
        <v>C_ES-SH-HO_LP*</v>
      </c>
      <c r="C65" t="s">
        <v>60</v>
      </c>
      <c r="D65" t="str">
        <f t="shared" si="44"/>
        <v>C_ES-SH-HO_LP*</v>
      </c>
      <c r="F65" t="s">
        <v>116</v>
      </c>
      <c r="H65" s="54"/>
      <c r="I65" t="str">
        <f t="shared" si="50" ref="I65:AS65">I12</f>
        <v>*1</v>
      </c>
      <c r="J65" t="str">
        <f t="shared" si="50"/>
        <v>*1</v>
      </c>
      <c r="K65" t="str">
        <f t="shared" si="50"/>
        <v>*1</v>
      </c>
      <c r="L65" t="str">
        <f t="shared" si="50"/>
        <v>*1</v>
      </c>
      <c r="M65" t="str">
        <f t="shared" si="50"/>
        <v>*1</v>
      </c>
      <c r="N65" t="str">
        <f t="shared" si="50"/>
        <v>*1</v>
      </c>
      <c r="O65" t="str">
        <f t="shared" si="50"/>
        <v>*1</v>
      </c>
      <c r="P65" t="str">
        <f t="shared" si="50"/>
        <v>*1</v>
      </c>
      <c r="Q65" t="str">
        <f t="shared" si="50"/>
        <v>*0.666666666666667</v>
      </c>
      <c r="R65" t="str">
        <f t="shared" si="50"/>
        <v>*1</v>
      </c>
      <c r="S65" t="str">
        <f t="shared" si="50"/>
        <v>*1</v>
      </c>
      <c r="T65" t="str">
        <f t="shared" si="50"/>
        <v>*1</v>
      </c>
      <c r="U65" t="str">
        <f t="shared" si="50"/>
        <v>*1</v>
      </c>
      <c r="V65" t="str">
        <f t="shared" si="50"/>
        <v>*1</v>
      </c>
      <c r="W65" t="str">
        <f t="shared" si="50"/>
        <v>*1</v>
      </c>
      <c r="X65" t="str">
        <f t="shared" si="50"/>
        <v>*1</v>
      </c>
      <c r="Y65" t="str">
        <f t="shared" si="50"/>
        <v>*1</v>
      </c>
      <c r="Z65" t="str">
        <f t="shared" si="50"/>
        <v>*1</v>
      </c>
      <c r="AA65" t="str">
        <f t="shared" si="50"/>
        <v>*1</v>
      </c>
      <c r="AB65" t="str">
        <f t="shared" si="50"/>
        <v>*1.00831519600226</v>
      </c>
      <c r="AC65" t="str">
        <f t="shared" si="50"/>
        <v>*1</v>
      </c>
      <c r="AD65" t="str">
        <f t="shared" si="50"/>
        <v>*1</v>
      </c>
      <c r="AE65" t="str">
        <f t="shared" si="50"/>
        <v>*1.00831336713657</v>
      </c>
      <c r="AF65" t="str">
        <f t="shared" si="50"/>
        <v>*1</v>
      </c>
      <c r="AG65" t="str">
        <f t="shared" si="50"/>
        <v>*1</v>
      </c>
      <c r="AH65" t="str">
        <f t="shared" si="50"/>
        <v>*1</v>
      </c>
      <c r="AI65" t="str">
        <f t="shared" si="50"/>
        <v>*1</v>
      </c>
      <c r="AJ65" t="str">
        <f t="shared" si="50"/>
        <v>*1</v>
      </c>
      <c r="AK65" t="str">
        <f t="shared" si="50"/>
        <v>*1</v>
      </c>
      <c r="AL65" t="str">
        <f t="shared" si="50"/>
        <v>*1</v>
      </c>
      <c r="AM65" t="str">
        <f t="shared" si="50"/>
        <v>*1</v>
      </c>
      <c r="AN65" t="str">
        <f t="shared" si="50"/>
        <v>*1</v>
      </c>
      <c r="AO65" t="str">
        <f t="shared" si="50"/>
        <v>*1</v>
      </c>
      <c r="AP65" t="str">
        <f t="shared" si="50"/>
        <v>*1</v>
      </c>
      <c r="AQ65" t="str">
        <f t="shared" si="50"/>
        <v>*1.045737981492</v>
      </c>
      <c r="AR65" t="str">
        <f t="shared" si="50"/>
        <v>*1</v>
      </c>
      <c r="AS65" s="49" t="str">
        <f t="shared" si="50"/>
        <v>*1</v>
      </c>
    </row>
    <row r="66" spans="1:45" ht="12.75">
      <c r="A66" t="str">
        <f t="shared" si="43"/>
        <v>C_ES-SH-HO_CO*</v>
      </c>
      <c r="C66" t="s">
        <v>60</v>
      </c>
      <c r="D66" t="str">
        <f t="shared" si="44"/>
        <v>C_ES-SH-HO_CO*</v>
      </c>
      <c r="F66" t="s">
        <v>116</v>
      </c>
      <c r="H66" s="54"/>
      <c r="I66" t="str">
        <f t="shared" si="51" ref="I66:AS66">I13</f>
        <v>*0.806322012647686</v>
      </c>
      <c r="J66" t="str">
        <f t="shared" si="51"/>
        <v>*0.957546566204691</v>
      </c>
      <c r="K66" t="str">
        <f t="shared" si="51"/>
        <v>*0.806322012647686</v>
      </c>
      <c r="L66" t="str">
        <f t="shared" si="51"/>
        <v>*0.806322012647686</v>
      </c>
      <c r="M66" t="str">
        <f t="shared" si="51"/>
        <v>*0.804719068299585</v>
      </c>
      <c r="N66" t="str">
        <f t="shared" si="51"/>
        <v>*1</v>
      </c>
      <c r="O66" t="str">
        <f t="shared" si="51"/>
        <v>*0.806322012647686</v>
      </c>
      <c r="P66" t="str">
        <f t="shared" si="51"/>
        <v>*0.872641433460454</v>
      </c>
      <c r="Q66" t="str">
        <f t="shared" si="51"/>
        <v>*0.620099652691077</v>
      </c>
      <c r="R66" t="str">
        <f t="shared" si="51"/>
        <v>*0.806322012647686</v>
      </c>
      <c r="S66" t="str">
        <f t="shared" si="51"/>
        <v>*0.872643446827971</v>
      </c>
      <c r="T66" t="str">
        <f t="shared" si="51"/>
        <v>*0.806322012647686</v>
      </c>
      <c r="U66" t="str">
        <f t="shared" si="51"/>
        <v>*0.830187692790597</v>
      </c>
      <c r="V66" t="str">
        <f t="shared" si="51"/>
        <v>*0.88113082387544</v>
      </c>
      <c r="W66" t="str">
        <f t="shared" si="51"/>
        <v>*0.806322012647686</v>
      </c>
      <c r="X66" t="str">
        <f t="shared" si="51"/>
        <v>*0.889623229961177</v>
      </c>
      <c r="Y66" t="str">
        <f t="shared" si="51"/>
        <v>*0.889620935555759</v>
      </c>
      <c r="Z66" t="str">
        <f t="shared" si="51"/>
        <v>*0.806322012647686</v>
      </c>
      <c r="AA66" t="str">
        <f t="shared" si="51"/>
        <v>*0.806322012647686</v>
      </c>
      <c r="AB66" t="str">
        <f t="shared" si="51"/>
        <v>*0.806322012647686</v>
      </c>
      <c r="AC66" t="str">
        <f t="shared" si="51"/>
        <v>*0.806322012647686</v>
      </c>
      <c r="AD66" t="str">
        <f t="shared" si="51"/>
        <v>*0.87264257545149</v>
      </c>
      <c r="AE66" t="str">
        <f t="shared" si="51"/>
        <v>*0.806322012647686</v>
      </c>
      <c r="AF66" t="str">
        <f t="shared" si="51"/>
        <v>*0.906603887155439</v>
      </c>
      <c r="AG66" t="str">
        <f t="shared" si="51"/>
        <v>*0.806322012647686</v>
      </c>
      <c r="AH66" t="str">
        <f t="shared" si="51"/>
        <v>*0.806322012647686</v>
      </c>
      <c r="AI66" t="str">
        <f t="shared" si="51"/>
        <v>*0.806322012647686</v>
      </c>
      <c r="AJ66" t="str">
        <f t="shared" si="51"/>
        <v>*0.983019632318116</v>
      </c>
      <c r="AK66" t="str">
        <f t="shared" si="51"/>
        <v>*0.806322012647686</v>
      </c>
      <c r="AL66" t="str">
        <f t="shared" si="51"/>
        <v>*0.906604351626599</v>
      </c>
      <c r="AM66" t="str">
        <f t="shared" si="51"/>
        <v>*0.806322012647686</v>
      </c>
      <c r="AN66" t="str">
        <f t="shared" si="51"/>
        <v>*0.89386762861896</v>
      </c>
      <c r="AO66" t="str">
        <f t="shared" si="51"/>
        <v>*0.806322012647686</v>
      </c>
      <c r="AP66" t="str">
        <f t="shared" si="51"/>
        <v>*0.806322012647686</v>
      </c>
      <c r="AQ66" t="str">
        <f t="shared" si="51"/>
        <v>*0.806322012647686</v>
      </c>
      <c r="AR66" t="str">
        <f t="shared" si="51"/>
        <v>*0.889622985856844</v>
      </c>
      <c r="AS66" s="49" t="str">
        <f t="shared" si="51"/>
        <v>*0.915091066360072</v>
      </c>
    </row>
    <row r="67" spans="1:45" ht="12.75">
      <c r="A67" t="str">
        <f t="shared" si="43"/>
        <v>C_ES-SH-HR_BI*</v>
      </c>
      <c r="C67" t="s">
        <v>60</v>
      </c>
      <c r="D67" t="str">
        <f t="shared" si="44"/>
        <v>C_ES-SH-HR_BI*</v>
      </c>
      <c r="F67" t="s">
        <v>117</v>
      </c>
      <c r="H67" s="54"/>
      <c r="I67" t="str">
        <f t="shared" si="52" ref="I67:AS67">I14</f>
        <v>*1</v>
      </c>
      <c r="J67" t="str">
        <f t="shared" si="52"/>
        <v>*1.13273935601115</v>
      </c>
      <c r="K67" t="str">
        <f t="shared" si="52"/>
        <v>*1</v>
      </c>
      <c r="L67" t="str">
        <f t="shared" si="52"/>
        <v>*1.16287202779621</v>
      </c>
      <c r="M67" t="str">
        <f t="shared" si="52"/>
        <v>*0.951947404871184</v>
      </c>
      <c r="N67" t="str">
        <f t="shared" si="52"/>
        <v>*1</v>
      </c>
      <c r="O67" t="str">
        <f t="shared" si="52"/>
        <v>*0.891684624593808</v>
      </c>
      <c r="P67" t="str">
        <f t="shared" si="52"/>
        <v>*1.03230037990426</v>
      </c>
      <c r="Q67" t="str">
        <f t="shared" si="52"/>
        <v>*0.5</v>
      </c>
      <c r="R67" t="str">
        <f t="shared" si="52"/>
        <v>*1.0825169264074</v>
      </c>
      <c r="S67" t="str">
        <f t="shared" si="52"/>
        <v>*1.03229644898342</v>
      </c>
      <c r="T67" t="str">
        <f t="shared" si="52"/>
        <v>*1</v>
      </c>
      <c r="U67" t="str">
        <f t="shared" si="52"/>
        <v>*0.982080090991512</v>
      </c>
      <c r="V67" t="str">
        <f t="shared" si="52"/>
        <v>*1.0423429136333</v>
      </c>
      <c r="W67" t="str">
        <f t="shared" si="52"/>
        <v>*1.08252106666226</v>
      </c>
      <c r="X67" t="str">
        <f t="shared" si="52"/>
        <v>*1.05238453545451</v>
      </c>
      <c r="Y67" t="str">
        <f t="shared" si="52"/>
        <v>*1.05238966451752</v>
      </c>
      <c r="Z67" t="str">
        <f t="shared" si="52"/>
        <v>*1.1026073590249</v>
      </c>
      <c r="AA67" t="str">
        <f t="shared" si="52"/>
        <v>*1.0825169264074</v>
      </c>
      <c r="AB67" t="str">
        <f t="shared" si="52"/>
        <v>*1</v>
      </c>
      <c r="AC67" t="str">
        <f t="shared" si="52"/>
        <v>*1</v>
      </c>
      <c r="AD67" t="str">
        <f t="shared" si="52"/>
        <v>*1.03230017588431</v>
      </c>
      <c r="AE67" t="str">
        <f t="shared" si="52"/>
        <v>*1</v>
      </c>
      <c r="AF67" t="str">
        <f t="shared" si="52"/>
        <v>*1.07247594152106</v>
      </c>
      <c r="AG67" t="str">
        <f t="shared" si="52"/>
        <v>*1</v>
      </c>
      <c r="AH67" t="str">
        <f t="shared" si="52"/>
        <v>*1</v>
      </c>
      <c r="AI67" t="str">
        <f t="shared" si="52"/>
        <v>*1</v>
      </c>
      <c r="AJ67" t="str">
        <f t="shared" si="52"/>
        <v>*1.16287284644911</v>
      </c>
      <c r="AK67" t="str">
        <f t="shared" si="52"/>
        <v>*1.0825169264074</v>
      </c>
      <c r="AL67" t="str">
        <f t="shared" si="52"/>
        <v>*1.07247406151033</v>
      </c>
      <c r="AM67" t="str">
        <f t="shared" si="52"/>
        <v>*1</v>
      </c>
      <c r="AN67" t="str">
        <f t="shared" si="52"/>
        <v>*1</v>
      </c>
      <c r="AO67" t="str">
        <f t="shared" si="52"/>
        <v>*1</v>
      </c>
      <c r="AP67" t="str">
        <f t="shared" si="52"/>
        <v>*1.03229798151806</v>
      </c>
      <c r="AQ67" t="str">
        <f t="shared" si="52"/>
        <v>*1</v>
      </c>
      <c r="AR67" t="str">
        <f t="shared" si="52"/>
        <v>*1.05238916181003</v>
      </c>
      <c r="AS67" s="49" t="str">
        <f t="shared" si="52"/>
        <v>*1.08252104532776</v>
      </c>
    </row>
    <row r="68" spans="1:45" ht="12.75">
      <c r="A68" t="str">
        <f t="shared" si="43"/>
        <v>C_ES-SH-HR_HE*</v>
      </c>
      <c r="C68" t="s">
        <v>60</v>
      </c>
      <c r="D68" t="str">
        <f t="shared" si="44"/>
        <v>C_ES-SH-HR_HE*</v>
      </c>
      <c r="F68" t="s">
        <v>117</v>
      </c>
      <c r="H68" s="54"/>
      <c r="I68" t="str">
        <f t="shared" si="53" ref="I68:AS68">I15</f>
        <v>*0.880504783355962</v>
      </c>
      <c r="J68" t="str">
        <f t="shared" si="53"/>
        <v>*0.957548618872751</v>
      </c>
      <c r="K68" t="str">
        <f t="shared" si="53"/>
        <v>*0.880504783355962</v>
      </c>
      <c r="L68" t="str">
        <f t="shared" si="53"/>
        <v>*0.983020646759874</v>
      </c>
      <c r="M68" t="str">
        <f t="shared" si="53"/>
        <v>*0.804718937699145</v>
      </c>
      <c r="N68" t="str">
        <f t="shared" si="53"/>
        <v>*1</v>
      </c>
      <c r="O68" t="str">
        <f t="shared" si="53"/>
        <v>*0.880504783355962</v>
      </c>
      <c r="P68" t="str">
        <f t="shared" si="53"/>
        <v>*0.872644275983274</v>
      </c>
      <c r="Q68" t="str">
        <f t="shared" si="53"/>
        <v>*0.908569737634899</v>
      </c>
      <c r="R68" t="str">
        <f t="shared" si="53"/>
        <v>*0.915095212233637</v>
      </c>
      <c r="S68" t="str">
        <f t="shared" si="53"/>
        <v>*0.872642655737943</v>
      </c>
      <c r="T68" t="str">
        <f t="shared" si="53"/>
        <v>*0.880504783355962</v>
      </c>
      <c r="U68" t="str">
        <f t="shared" si="53"/>
        <v>*0.880504783355962</v>
      </c>
      <c r="V68" t="str">
        <f t="shared" si="53"/>
        <v>*0.881131477151944</v>
      </c>
      <c r="W68" t="str">
        <f t="shared" si="53"/>
        <v>*0.915093124359608</v>
      </c>
      <c r="X68" t="str">
        <f t="shared" si="53"/>
        <v>*0.889625250941913</v>
      </c>
      <c r="Y68" t="str">
        <f t="shared" si="53"/>
        <v>*0.889623372740061</v>
      </c>
      <c r="Z68" t="str">
        <f t="shared" si="53"/>
        <v>*0.880504783355962</v>
      </c>
      <c r="AA68" t="str">
        <f t="shared" si="53"/>
        <v>*0.915095212233637</v>
      </c>
      <c r="AB68" t="str">
        <f t="shared" si="53"/>
        <v>*0.915095341838966</v>
      </c>
      <c r="AC68" t="str">
        <f t="shared" si="53"/>
        <v>*0.880504783355962</v>
      </c>
      <c r="AD68" t="str">
        <f t="shared" si="53"/>
        <v>*0.872640325737902</v>
      </c>
      <c r="AE68" t="str">
        <f t="shared" si="53"/>
        <v>*0.915097225102635</v>
      </c>
      <c r="AF68" t="str">
        <f t="shared" si="53"/>
        <v>*0.906602703277204</v>
      </c>
      <c r="AG68" t="str">
        <f t="shared" si="53"/>
        <v>*0.880504783355962</v>
      </c>
      <c r="AH68" t="str">
        <f t="shared" si="53"/>
        <v>*0.880504783355962</v>
      </c>
      <c r="AI68" t="str">
        <f t="shared" si="53"/>
        <v>*0.880504783355962</v>
      </c>
      <c r="AJ68" t="str">
        <f t="shared" si="53"/>
        <v>*0.983021041372418</v>
      </c>
      <c r="AK68" t="str">
        <f t="shared" si="53"/>
        <v>*0.915095212233637</v>
      </c>
      <c r="AL68" t="str">
        <f t="shared" si="53"/>
        <v>*0.906604639952111</v>
      </c>
      <c r="AM68" t="str">
        <f t="shared" si="53"/>
        <v>*0.855664327496265</v>
      </c>
      <c r="AN68" t="str">
        <f t="shared" si="53"/>
        <v>*0.89386936286641</v>
      </c>
      <c r="AO68" t="str">
        <f t="shared" si="53"/>
        <v>*0.880504783355962</v>
      </c>
      <c r="AP68" t="str">
        <f t="shared" si="53"/>
        <v>*0.872640441278991</v>
      </c>
      <c r="AQ68" t="str">
        <f t="shared" si="53"/>
        <v>*0.949060077873277</v>
      </c>
      <c r="AR68" t="str">
        <f t="shared" si="53"/>
        <v>*0.889625648915354</v>
      </c>
      <c r="AS68" s="49" t="str">
        <f t="shared" si="53"/>
        <v>*0.915096287669067</v>
      </c>
    </row>
    <row r="69" spans="1:45" ht="12.75">
      <c r="A69" t="str">
        <f t="shared" si="43"/>
        <v>C_ES-SH-HR_EL*</v>
      </c>
      <c r="C69" s="74" t="s">
        <v>408</v>
      </c>
      <c r="D69" t="str">
        <f t="shared" si="44"/>
        <v>C_ES-SH-HR_EL*</v>
      </c>
      <c r="F69" t="s">
        <v>117</v>
      </c>
      <c r="H69" s="54"/>
      <c r="I69" t="str">
        <f t="shared" si="54" ref="I69:AS69">I16</f>
        <v>*0.814695640040816</v>
      </c>
      <c r="J69" t="str">
        <f t="shared" si="54"/>
        <v>*0.866863618757606</v>
      </c>
      <c r="K69" t="str">
        <f t="shared" si="54"/>
        <v>*0.814695640040816</v>
      </c>
      <c r="L69" t="str">
        <f t="shared" si="54"/>
        <v>*0.829770066565543</v>
      </c>
      <c r="M69" t="str">
        <f t="shared" si="54"/>
        <v>*0.670139292549879</v>
      </c>
      <c r="N69" t="str">
        <f t="shared" si="54"/>
        <v>*1</v>
      </c>
      <c r="O69" t="str">
        <f t="shared" si="54"/>
        <v>*0.806570689531818</v>
      </c>
      <c r="P69" t="str">
        <f t="shared" si="54"/>
        <v>*0.783236858692403</v>
      </c>
      <c r="Q69" t="str">
        <f t="shared" si="54"/>
        <v>*1.16338718199139</v>
      </c>
      <c r="R69" t="str">
        <f t="shared" si="54"/>
        <v>*0.964160419172593</v>
      </c>
      <c r="S69" t="str">
        <f t="shared" si="54"/>
        <v>*0.707243659269144</v>
      </c>
      <c r="T69" t="str">
        <f t="shared" si="54"/>
        <v>*0.814695640040816</v>
      </c>
      <c r="U69" t="str">
        <f t="shared" si="54"/>
        <v>*0.880205881297254</v>
      </c>
      <c r="V69" t="str">
        <f t="shared" si="54"/>
        <v>*0.915248470397476</v>
      </c>
      <c r="W69" t="str">
        <f t="shared" si="54"/>
        <v>*0.982636396644647</v>
      </c>
      <c r="X69" t="str">
        <f t="shared" si="54"/>
        <v>*0.731393580117313</v>
      </c>
      <c r="Y69" t="str">
        <f t="shared" si="54"/>
        <v>*0.847123481616257</v>
      </c>
      <c r="Z69" t="str">
        <f t="shared" si="54"/>
        <v>*0.856585176139782</v>
      </c>
      <c r="AA69" t="str">
        <f t="shared" si="54"/>
        <v>*0.964160419172593</v>
      </c>
      <c r="AB69" t="str">
        <f t="shared" si="54"/>
        <v>*0.975703024004163</v>
      </c>
      <c r="AC69" t="str">
        <f t="shared" si="54"/>
        <v>*0.814695640040816</v>
      </c>
      <c r="AD69" t="str">
        <f t="shared" si="54"/>
        <v>*0.801302174406614</v>
      </c>
      <c r="AE69" t="str">
        <f t="shared" si="54"/>
        <v>*1.04929722822849</v>
      </c>
      <c r="AF69" t="str">
        <f t="shared" si="54"/>
        <v>*0.802607320234305</v>
      </c>
      <c r="AG69" t="str">
        <f t="shared" si="54"/>
        <v>*0.814695640040816</v>
      </c>
      <c r="AH69" t="str">
        <f t="shared" si="54"/>
        <v>*0.814695640040816</v>
      </c>
      <c r="AI69" t="str">
        <f t="shared" si="54"/>
        <v>*0.662075744685471</v>
      </c>
      <c r="AJ69" t="str">
        <f t="shared" si="54"/>
        <v>*1.09991267506868</v>
      </c>
      <c r="AK69" t="str">
        <f t="shared" si="54"/>
        <v>*0.964160419172593</v>
      </c>
      <c r="AL69" t="str">
        <f t="shared" si="54"/>
        <v>*0.973806550892689</v>
      </c>
      <c r="AM69" t="str">
        <f t="shared" si="54"/>
        <v>*0.840908698492736</v>
      </c>
      <c r="AN69" t="str">
        <f t="shared" si="54"/>
        <v>*0.752940453106604</v>
      </c>
      <c r="AO69" t="str">
        <f t="shared" si="54"/>
        <v>*0.814695640040816</v>
      </c>
      <c r="AP69" t="str">
        <f t="shared" si="54"/>
        <v>*0.885880097942198</v>
      </c>
      <c r="AQ69" t="str">
        <f t="shared" si="54"/>
        <v>*0.839394722196866</v>
      </c>
      <c r="AR69" t="str">
        <f t="shared" si="54"/>
        <v>*0.812611601321336</v>
      </c>
      <c r="AS69" s="49" t="str">
        <f t="shared" si="54"/>
        <v>*1.05673460932283</v>
      </c>
    </row>
    <row r="70" spans="1:45" ht="12.75">
      <c r="A70" t="str">
        <f t="shared" si="43"/>
        <v>C_ES-SH-HR_GA*</v>
      </c>
      <c r="C70" t="s">
        <v>60</v>
      </c>
      <c r="D70" t="str">
        <f t="shared" si="44"/>
        <v>C_ES-SH-HR_GA*</v>
      </c>
      <c r="F70" t="s">
        <v>117</v>
      </c>
      <c r="H70" s="54"/>
      <c r="I70" t="str">
        <f t="shared" si="55" ref="I70:AS70">I17</f>
        <v>*0.751789844164435</v>
      </c>
      <c r="J70" t="str">
        <f t="shared" si="55"/>
        <v>*0.958971368982325</v>
      </c>
      <c r="K70" t="str">
        <f t="shared" si="55"/>
        <v>*0.751789844164435</v>
      </c>
      <c r="L70" t="str">
        <f t="shared" si="55"/>
        <v>*0.98247021598169</v>
      </c>
      <c r="M70" t="str">
        <f t="shared" si="55"/>
        <v>*0.801022925677764</v>
      </c>
      <c r="N70" t="str">
        <f t="shared" si="55"/>
        <v>*1</v>
      </c>
      <c r="O70" t="str">
        <f t="shared" si="55"/>
        <v>*0.750312177594846</v>
      </c>
      <c r="P70" t="str">
        <f t="shared" si="55"/>
        <v>*0.870852828625521</v>
      </c>
      <c r="Q70" t="str">
        <f t="shared" si="55"/>
        <v>*0.766721004074585</v>
      </c>
      <c r="R70" t="str">
        <f t="shared" si="55"/>
        <v>*0.916481590266539</v>
      </c>
      <c r="S70" t="str">
        <f t="shared" si="55"/>
        <v>*0.868634629976933</v>
      </c>
      <c r="T70" t="str">
        <f t="shared" si="55"/>
        <v>*0.751789844164435</v>
      </c>
      <c r="U70" t="str">
        <f t="shared" si="55"/>
        <v>*0.831402561906822</v>
      </c>
      <c r="V70" t="str">
        <f t="shared" si="55"/>
        <v>*0.877090057188528</v>
      </c>
      <c r="W70" t="str">
        <f t="shared" si="55"/>
        <v>*0.913903595895035</v>
      </c>
      <c r="X70" t="str">
        <f t="shared" si="55"/>
        <v>*0.887582361489164</v>
      </c>
      <c r="Y70" t="str">
        <f t="shared" si="55"/>
        <v>*0.88826694111973</v>
      </c>
      <c r="Z70" t="str">
        <f t="shared" si="55"/>
        <v>*0.932017066676991</v>
      </c>
      <c r="AA70" t="str">
        <f t="shared" si="55"/>
        <v>*0.916481590266539</v>
      </c>
      <c r="AB70" t="str">
        <f t="shared" si="55"/>
        <v>*0.912611573794044</v>
      </c>
      <c r="AC70" t="str">
        <f t="shared" si="55"/>
        <v>*0.751789844164435</v>
      </c>
      <c r="AD70" t="str">
        <f t="shared" si="55"/>
        <v>*0.868636514902445</v>
      </c>
      <c r="AE70" t="str">
        <f t="shared" si="55"/>
        <v>*0.916280573443744</v>
      </c>
      <c r="AF70" t="str">
        <f t="shared" si="55"/>
        <v>*0.902440555603779</v>
      </c>
      <c r="AG70" t="str">
        <f t="shared" si="55"/>
        <v>*0.751789844164435</v>
      </c>
      <c r="AH70" t="str">
        <f t="shared" si="55"/>
        <v>*0.751789844164435</v>
      </c>
      <c r="AI70" t="str">
        <f t="shared" si="55"/>
        <v>*0.782553232285825</v>
      </c>
      <c r="AJ70" t="str">
        <f t="shared" si="55"/>
        <v>*0.983432278118349</v>
      </c>
      <c r="AK70" t="str">
        <f t="shared" si="55"/>
        <v>*0.916481590266539</v>
      </c>
      <c r="AL70" t="str">
        <f t="shared" si="55"/>
        <v>*0.907097458133649</v>
      </c>
      <c r="AM70" t="str">
        <f t="shared" si="55"/>
        <v>*0.858910478986323</v>
      </c>
      <c r="AN70" t="str">
        <f t="shared" si="55"/>
        <v>*0.890676709498201</v>
      </c>
      <c r="AO70" t="str">
        <f t="shared" si="55"/>
        <v>*0.751789844164435</v>
      </c>
      <c r="AP70" t="str">
        <f t="shared" si="55"/>
        <v>*0.868634823876442</v>
      </c>
      <c r="AQ70" t="str">
        <f t="shared" si="55"/>
        <v>*0.944703220399034</v>
      </c>
      <c r="AR70" t="str">
        <f t="shared" si="55"/>
        <v>*0.887897908847503</v>
      </c>
      <c r="AS70" s="49" t="str">
        <f t="shared" si="55"/>
        <v>*0.915420971135312</v>
      </c>
    </row>
    <row r="71" spans="1:45" ht="12.75">
      <c r="A71" t="str">
        <f t="shared" si="43"/>
        <v>C_ES-SH-HR_OI*</v>
      </c>
      <c r="C71" t="s">
        <v>60</v>
      </c>
      <c r="D71" t="str">
        <f t="shared" si="44"/>
        <v>C_ES-SH-HR_OI*</v>
      </c>
      <c r="F71" t="s">
        <v>117</v>
      </c>
      <c r="H71" s="54"/>
      <c r="I71" t="str">
        <f t="shared" si="56" ref="I71:AS71">I18</f>
        <v>*0.753773411000091</v>
      </c>
      <c r="J71" t="str">
        <f t="shared" si="56"/>
        <v>*0.957544163772634</v>
      </c>
      <c r="K71" t="str">
        <f t="shared" si="56"/>
        <v>*0.753773411000091</v>
      </c>
      <c r="L71" t="str">
        <f t="shared" si="56"/>
        <v>*0.983016992017122</v>
      </c>
      <c r="M71" t="str">
        <f t="shared" si="56"/>
        <v>*0.804716585177828</v>
      </c>
      <c r="N71" t="str">
        <f t="shared" si="56"/>
        <v>*1</v>
      </c>
      <c r="O71" t="str">
        <f t="shared" si="56"/>
        <v>*0.753771965014407</v>
      </c>
      <c r="P71" t="str">
        <f t="shared" si="56"/>
        <v>*0.872640058113471</v>
      </c>
      <c r="Q71" t="str">
        <f t="shared" si="56"/>
        <v>*0.715500925014401</v>
      </c>
      <c r="R71" t="str">
        <f t="shared" si="56"/>
        <v>*0.915094452005067</v>
      </c>
      <c r="S71" t="str">
        <f t="shared" si="56"/>
        <v>*0.872638584269094</v>
      </c>
      <c r="T71" t="str">
        <f t="shared" si="56"/>
        <v>*0.753773411000091</v>
      </c>
      <c r="U71" t="str">
        <f t="shared" si="56"/>
        <v>*0.830188634260304</v>
      </c>
      <c r="V71" t="str">
        <f t="shared" si="56"/>
        <v>*0.881132627863442</v>
      </c>
      <c r="W71" t="str">
        <f t="shared" si="56"/>
        <v>*0.915094198262907</v>
      </c>
      <c r="X71" t="str">
        <f t="shared" si="56"/>
        <v>*0.889621616188381</v>
      </c>
      <c r="Y71" t="str">
        <f t="shared" si="56"/>
        <v>*0.768692227740908</v>
      </c>
      <c r="Z71" t="str">
        <f t="shared" si="56"/>
        <v>*0.932072829532384</v>
      </c>
      <c r="AA71" t="str">
        <f t="shared" si="56"/>
        <v>*0.915094452005067</v>
      </c>
      <c r="AB71" t="str">
        <f t="shared" si="56"/>
        <v>*0.915090313213233</v>
      </c>
      <c r="AC71" t="str">
        <f t="shared" si="56"/>
        <v>*0.753773411000091</v>
      </c>
      <c r="AD71" t="str">
        <f t="shared" si="56"/>
        <v>*0.872642317322356</v>
      </c>
      <c r="AE71" t="str">
        <f t="shared" si="56"/>
        <v>*0.915091850300005</v>
      </c>
      <c r="AF71" t="str">
        <f t="shared" si="56"/>
        <v>*0.906603397591183</v>
      </c>
      <c r="AG71" t="str">
        <f t="shared" si="56"/>
        <v>*0.753773411000091</v>
      </c>
      <c r="AH71" t="str">
        <f t="shared" si="56"/>
        <v>*0.753773411000091</v>
      </c>
      <c r="AI71" t="str">
        <f t="shared" si="56"/>
        <v>*0.768692227740908</v>
      </c>
      <c r="AJ71" t="str">
        <f t="shared" si="56"/>
        <v>*0.983020136421328</v>
      </c>
      <c r="AK71" t="str">
        <f t="shared" si="56"/>
        <v>*0.915094452005067</v>
      </c>
      <c r="AL71" t="str">
        <f t="shared" si="56"/>
        <v>*0.906603703265176</v>
      </c>
      <c r="AM71" t="str">
        <f t="shared" si="56"/>
        <v>*0.855661126516543</v>
      </c>
      <c r="AN71" t="str">
        <f t="shared" si="56"/>
        <v>*0.893867563595842</v>
      </c>
      <c r="AO71" t="str">
        <f t="shared" si="56"/>
        <v>*0.753773411000091</v>
      </c>
      <c r="AP71" t="str">
        <f t="shared" si="56"/>
        <v>*0.872639506876678</v>
      </c>
      <c r="AQ71" t="str">
        <f t="shared" si="56"/>
        <v>*0.94905683960654</v>
      </c>
      <c r="AR71" t="str">
        <f t="shared" si="56"/>
        <v>*0.889623028548323</v>
      </c>
      <c r="AS71" s="49" t="str">
        <f t="shared" si="56"/>
        <v>*0.915091716306065</v>
      </c>
    </row>
    <row r="72" spans="1:45" ht="12.75">
      <c r="A72" t="str">
        <f t="shared" si="43"/>
        <v>C_ES-SH-HR_GE*</v>
      </c>
      <c r="C72" t="s">
        <v>60</v>
      </c>
      <c r="D72" t="str">
        <f t="shared" si="44"/>
        <v>C_ES-SH-HR_GE*</v>
      </c>
      <c r="F72" t="s">
        <v>117</v>
      </c>
      <c r="H72" s="54"/>
      <c r="I72" t="str">
        <f t="shared" si="57" ref="I72:AS72">I19</f>
        <v>*1</v>
      </c>
      <c r="J72" t="str">
        <f t="shared" si="57"/>
        <v>*1.18071512418715</v>
      </c>
      <c r="K72" t="str">
        <f t="shared" si="57"/>
        <v>*1</v>
      </c>
      <c r="L72" t="str">
        <f t="shared" si="57"/>
        <v>*1</v>
      </c>
      <c r="M72" t="str">
        <f t="shared" si="57"/>
        <v>*0.992265584693816</v>
      </c>
      <c r="N72" t="str">
        <f t="shared" si="57"/>
        <v>*1</v>
      </c>
      <c r="O72" t="str">
        <f t="shared" si="57"/>
        <v>*1</v>
      </c>
      <c r="P72" t="str">
        <f t="shared" si="57"/>
        <v>*1</v>
      </c>
      <c r="Q72" t="str">
        <f t="shared" si="57"/>
        <v>*0.7</v>
      </c>
      <c r="R72" t="str">
        <f t="shared" si="57"/>
        <v>*1</v>
      </c>
      <c r="S72" t="str">
        <f t="shared" si="57"/>
        <v>*1</v>
      </c>
      <c r="T72" t="str">
        <f t="shared" si="57"/>
        <v>*1</v>
      </c>
      <c r="U72" t="str">
        <f t="shared" si="57"/>
        <v>*1.02367221742178</v>
      </c>
      <c r="V72" t="str">
        <f t="shared" si="57"/>
        <v>*1</v>
      </c>
      <c r="W72" t="str">
        <f t="shared" si="57"/>
        <v>*1.12836642882944</v>
      </c>
      <c r="X72" t="str">
        <f t="shared" si="57"/>
        <v>*1.09695901278096</v>
      </c>
      <c r="Y72" t="str">
        <f t="shared" si="57"/>
        <v>*1.09695874032411</v>
      </c>
      <c r="Z72" t="str">
        <f t="shared" si="57"/>
        <v>*1</v>
      </c>
      <c r="AA72" t="str">
        <f t="shared" si="57"/>
        <v>*1</v>
      </c>
      <c r="AB72" t="str">
        <f t="shared" si="57"/>
        <v>*1.12836780488483</v>
      </c>
      <c r="AC72" t="str">
        <f t="shared" si="57"/>
        <v>*1</v>
      </c>
      <c r="AD72" t="str">
        <f t="shared" si="57"/>
        <v>*1</v>
      </c>
      <c r="AE72" t="str">
        <f t="shared" si="57"/>
        <v>*1</v>
      </c>
      <c r="AF72" t="str">
        <f t="shared" si="57"/>
        <v>*1</v>
      </c>
      <c r="AG72" t="str">
        <f t="shared" si="57"/>
        <v>*1</v>
      </c>
      <c r="AH72" t="str">
        <f t="shared" si="57"/>
        <v>*1</v>
      </c>
      <c r="AI72" t="str">
        <f t="shared" si="57"/>
        <v>*1</v>
      </c>
      <c r="AJ72" t="str">
        <f t="shared" si="57"/>
        <v>*1</v>
      </c>
      <c r="AK72" t="str">
        <f t="shared" si="57"/>
        <v>*1</v>
      </c>
      <c r="AL72" t="str">
        <f t="shared" si="57"/>
        <v>*1.11789847320821</v>
      </c>
      <c r="AM72" t="str">
        <f t="shared" si="57"/>
        <v>*1.05508137432188</v>
      </c>
      <c r="AN72" t="str">
        <f t="shared" si="57"/>
        <v>*1.10219424337653</v>
      </c>
      <c r="AO72" t="str">
        <f t="shared" si="57"/>
        <v>*1</v>
      </c>
      <c r="AP72" t="str">
        <f t="shared" si="57"/>
        <v>*1</v>
      </c>
      <c r="AQ72" t="str">
        <f t="shared" si="57"/>
        <v>*1.17024478027022</v>
      </c>
      <c r="AR72" t="str">
        <f t="shared" si="57"/>
        <v>*1.0969585751785</v>
      </c>
      <c r="AS72" s="49" t="str">
        <f t="shared" si="57"/>
        <v>*1.12836656997825</v>
      </c>
    </row>
    <row r="73" spans="1:45" ht="12.75">
      <c r="A73" t="str">
        <f t="shared" si="43"/>
        <v>C_ES-SH-HR_LP*</v>
      </c>
      <c r="C73" t="s">
        <v>60</v>
      </c>
      <c r="D73" t="str">
        <f t="shared" si="44"/>
        <v>C_ES-SH-HR_LP*</v>
      </c>
      <c r="F73" t="s">
        <v>117</v>
      </c>
      <c r="H73" s="54"/>
      <c r="I73" t="str">
        <f t="shared" si="58" ref="I73:AS73">I20</f>
        <v>*1</v>
      </c>
      <c r="J73" t="str">
        <f t="shared" si="58"/>
        <v>*1</v>
      </c>
      <c r="K73" t="str">
        <f t="shared" si="58"/>
        <v>*1</v>
      </c>
      <c r="L73" t="str">
        <f t="shared" si="58"/>
        <v>*1</v>
      </c>
      <c r="M73" t="str">
        <f t="shared" si="58"/>
        <v>*1</v>
      </c>
      <c r="N73" t="str">
        <f t="shared" si="58"/>
        <v>*1</v>
      </c>
      <c r="O73" t="str">
        <f t="shared" si="58"/>
        <v>*1</v>
      </c>
      <c r="P73" t="str">
        <f t="shared" si="58"/>
        <v>*1</v>
      </c>
      <c r="Q73" t="str">
        <f t="shared" si="58"/>
        <v>*0.666666666666667</v>
      </c>
      <c r="R73" t="str">
        <f t="shared" si="58"/>
        <v>*1</v>
      </c>
      <c r="S73" t="str">
        <f t="shared" si="58"/>
        <v>*1</v>
      </c>
      <c r="T73" t="str">
        <f t="shared" si="58"/>
        <v>*1</v>
      </c>
      <c r="U73" t="str">
        <f t="shared" si="58"/>
        <v>*1</v>
      </c>
      <c r="V73" t="str">
        <f t="shared" si="58"/>
        <v>*1</v>
      </c>
      <c r="W73" t="str">
        <f t="shared" si="58"/>
        <v>*1</v>
      </c>
      <c r="X73" t="str">
        <f t="shared" si="58"/>
        <v>*1</v>
      </c>
      <c r="Y73" t="str">
        <f t="shared" si="58"/>
        <v>*1</v>
      </c>
      <c r="Z73" t="str">
        <f t="shared" si="58"/>
        <v>*1</v>
      </c>
      <c r="AA73" t="str">
        <f t="shared" si="58"/>
        <v>*1</v>
      </c>
      <c r="AB73" t="str">
        <f t="shared" si="58"/>
        <v>*1.00831519600226</v>
      </c>
      <c r="AC73" t="str">
        <f t="shared" si="58"/>
        <v>*1</v>
      </c>
      <c r="AD73" t="str">
        <f t="shared" si="58"/>
        <v>*1</v>
      </c>
      <c r="AE73" t="str">
        <f t="shared" si="58"/>
        <v>*1.00831336713657</v>
      </c>
      <c r="AF73" t="str">
        <f t="shared" si="58"/>
        <v>*1</v>
      </c>
      <c r="AG73" t="str">
        <f t="shared" si="58"/>
        <v>*1</v>
      </c>
      <c r="AH73" t="str">
        <f t="shared" si="58"/>
        <v>*1</v>
      </c>
      <c r="AI73" t="str">
        <f t="shared" si="58"/>
        <v>*1</v>
      </c>
      <c r="AJ73" t="str">
        <f t="shared" si="58"/>
        <v>*1</v>
      </c>
      <c r="AK73" t="str">
        <f t="shared" si="58"/>
        <v>*1</v>
      </c>
      <c r="AL73" t="str">
        <f t="shared" si="58"/>
        <v>*1</v>
      </c>
      <c r="AM73" t="str">
        <f t="shared" si="58"/>
        <v>*1</v>
      </c>
      <c r="AN73" t="str">
        <f t="shared" si="58"/>
        <v>*1</v>
      </c>
      <c r="AO73" t="str">
        <f t="shared" si="58"/>
        <v>*1</v>
      </c>
      <c r="AP73" t="str">
        <f t="shared" si="58"/>
        <v>*1</v>
      </c>
      <c r="AQ73" t="str">
        <f t="shared" si="58"/>
        <v>*1.045737981492</v>
      </c>
      <c r="AR73" t="str">
        <f t="shared" si="58"/>
        <v>*1</v>
      </c>
      <c r="AS73" s="49" t="str">
        <f t="shared" si="58"/>
        <v>*1</v>
      </c>
    </row>
    <row r="74" spans="1:45" ht="12.75">
      <c r="A74" t="str">
        <f t="shared" si="43"/>
        <v>C_ES-SH-HR_CO*</v>
      </c>
      <c r="C74" t="s">
        <v>60</v>
      </c>
      <c r="D74" t="str">
        <f t="shared" si="44"/>
        <v>C_ES-SH-HR_CO*</v>
      </c>
      <c r="F74" t="s">
        <v>117</v>
      </c>
      <c r="H74" s="54"/>
      <c r="I74" t="str">
        <f t="shared" si="59" ref="I74:AS74">I21</f>
        <v>*0.806322012647686</v>
      </c>
      <c r="J74" t="str">
        <f t="shared" si="59"/>
        <v>*0.957546566204691</v>
      </c>
      <c r="K74" t="str">
        <f t="shared" si="59"/>
        <v>*0.806322012647686</v>
      </c>
      <c r="L74" t="str">
        <f t="shared" si="59"/>
        <v>*0.806322012647686</v>
      </c>
      <c r="M74" t="str">
        <f t="shared" si="59"/>
        <v>*0.804719068299585</v>
      </c>
      <c r="N74" t="str">
        <f t="shared" si="59"/>
        <v>*1</v>
      </c>
      <c r="O74" t="str">
        <f t="shared" si="59"/>
        <v>*0.806322012647686</v>
      </c>
      <c r="P74" t="str">
        <f t="shared" si="59"/>
        <v>*0.872641433460454</v>
      </c>
      <c r="Q74" t="str">
        <f t="shared" si="59"/>
        <v>*0.620099652691077</v>
      </c>
      <c r="R74" t="str">
        <f t="shared" si="59"/>
        <v>*0.806322012647686</v>
      </c>
      <c r="S74" t="str">
        <f t="shared" si="59"/>
        <v>*0.872643446827971</v>
      </c>
      <c r="T74" t="str">
        <f t="shared" si="59"/>
        <v>*0.806322012647686</v>
      </c>
      <c r="U74" t="str">
        <f t="shared" si="59"/>
        <v>*0.830187692790597</v>
      </c>
      <c r="V74" t="str">
        <f t="shared" si="59"/>
        <v>*0.88113082387544</v>
      </c>
      <c r="W74" t="str">
        <f t="shared" si="59"/>
        <v>*0.806322012647686</v>
      </c>
      <c r="X74" t="str">
        <f t="shared" si="59"/>
        <v>*0.889623229961177</v>
      </c>
      <c r="Y74" t="str">
        <f t="shared" si="59"/>
        <v>*0.889620935555759</v>
      </c>
      <c r="Z74" t="str">
        <f t="shared" si="59"/>
        <v>*0.806322012647686</v>
      </c>
      <c r="AA74" t="str">
        <f t="shared" si="59"/>
        <v>*0.806322012647686</v>
      </c>
      <c r="AB74" t="str">
        <f t="shared" si="59"/>
        <v>*0.806322012647686</v>
      </c>
      <c r="AC74" t="str">
        <f t="shared" si="59"/>
        <v>*0.806322012647686</v>
      </c>
      <c r="AD74" t="str">
        <f t="shared" si="59"/>
        <v>*0.87264257545149</v>
      </c>
      <c r="AE74" t="str">
        <f t="shared" si="59"/>
        <v>*0.806322012647686</v>
      </c>
      <c r="AF74" t="str">
        <f t="shared" si="59"/>
        <v>*0.906603887155439</v>
      </c>
      <c r="AG74" t="str">
        <f t="shared" si="59"/>
        <v>*0.806322012647686</v>
      </c>
      <c r="AH74" t="str">
        <f t="shared" si="59"/>
        <v>*0.806322012647686</v>
      </c>
      <c r="AI74" t="str">
        <f t="shared" si="59"/>
        <v>*0.806322012647686</v>
      </c>
      <c r="AJ74" t="str">
        <f t="shared" si="59"/>
        <v>*0.983019632318116</v>
      </c>
      <c r="AK74" t="str">
        <f t="shared" si="59"/>
        <v>*0.806322012647686</v>
      </c>
      <c r="AL74" t="str">
        <f t="shared" si="59"/>
        <v>*0.906604351626599</v>
      </c>
      <c r="AM74" t="str">
        <f t="shared" si="59"/>
        <v>*0.806322012647686</v>
      </c>
      <c r="AN74" t="str">
        <f t="shared" si="59"/>
        <v>*0.89386762861896</v>
      </c>
      <c r="AO74" t="str">
        <f t="shared" si="59"/>
        <v>*0.806322012647686</v>
      </c>
      <c r="AP74" t="str">
        <f t="shared" si="59"/>
        <v>*0.806322012647686</v>
      </c>
      <c r="AQ74" t="str">
        <f t="shared" si="59"/>
        <v>*0.806322012647686</v>
      </c>
      <c r="AR74" t="str">
        <f t="shared" si="59"/>
        <v>*0.889622985856844</v>
      </c>
      <c r="AS74" s="49" t="str">
        <f t="shared" si="59"/>
        <v>*0.915091066360072</v>
      </c>
    </row>
    <row r="75" spans="1:45" ht="12.75">
      <c r="A75" t="str">
        <f t="shared" si="43"/>
        <v>C_ES-SH-SR_BI*</v>
      </c>
      <c r="C75" t="s">
        <v>60</v>
      </c>
      <c r="D75" t="str">
        <f t="shared" si="44"/>
        <v>C_ES-SH-SR_BI*</v>
      </c>
      <c r="F75" t="s">
        <v>118</v>
      </c>
      <c r="H75" s="54"/>
      <c r="I75" t="str">
        <f t="shared" si="60" ref="I75:AS75">I22</f>
        <v>*1</v>
      </c>
      <c r="J75" t="str">
        <f t="shared" si="60"/>
        <v>*1.13273935601115</v>
      </c>
      <c r="K75" t="str">
        <f t="shared" si="60"/>
        <v>*1</v>
      </c>
      <c r="L75" t="str">
        <f t="shared" si="60"/>
        <v>*1.16287202779621</v>
      </c>
      <c r="M75" t="str">
        <f t="shared" si="60"/>
        <v>*0.951947404871184</v>
      </c>
      <c r="N75" t="str">
        <f t="shared" si="60"/>
        <v>*1</v>
      </c>
      <c r="O75" t="str">
        <f t="shared" si="60"/>
        <v>*0.891684624593808</v>
      </c>
      <c r="P75" t="str">
        <f t="shared" si="60"/>
        <v>*1.03230037990426</v>
      </c>
      <c r="Q75" t="str">
        <f t="shared" si="60"/>
        <v>*0.5</v>
      </c>
      <c r="R75" t="str">
        <f t="shared" si="60"/>
        <v>*1.0825169264074</v>
      </c>
      <c r="S75" t="str">
        <f t="shared" si="60"/>
        <v>*1.03229644898342</v>
      </c>
      <c r="T75" t="str">
        <f t="shared" si="60"/>
        <v>*1</v>
      </c>
      <c r="U75" t="str">
        <f t="shared" si="60"/>
        <v>*0.982080090991512</v>
      </c>
      <c r="V75" t="str">
        <f t="shared" si="60"/>
        <v>*1.0423429136333</v>
      </c>
      <c r="W75" t="str">
        <f t="shared" si="60"/>
        <v>*1.08252106666226</v>
      </c>
      <c r="X75" t="str">
        <f t="shared" si="60"/>
        <v>*1.05238453545451</v>
      </c>
      <c r="Y75" t="str">
        <f t="shared" si="60"/>
        <v>*1.05238966451752</v>
      </c>
      <c r="Z75" t="str">
        <f t="shared" si="60"/>
        <v>*1.1026073590249</v>
      </c>
      <c r="AA75" t="str">
        <f t="shared" si="60"/>
        <v>*1.0825169264074</v>
      </c>
      <c r="AB75" t="str">
        <f t="shared" si="60"/>
        <v>*1</v>
      </c>
      <c r="AC75" t="str">
        <f t="shared" si="60"/>
        <v>*1</v>
      </c>
      <c r="AD75" t="str">
        <f t="shared" si="60"/>
        <v>*1.03230017588431</v>
      </c>
      <c r="AE75" t="str">
        <f t="shared" si="60"/>
        <v>*1</v>
      </c>
      <c r="AF75" t="str">
        <f t="shared" si="60"/>
        <v>*1.07247594152106</v>
      </c>
      <c r="AG75" t="str">
        <f t="shared" si="60"/>
        <v>*1</v>
      </c>
      <c r="AH75" t="str">
        <f t="shared" si="60"/>
        <v>*1</v>
      </c>
      <c r="AI75" t="str">
        <f t="shared" si="60"/>
        <v>*1</v>
      </c>
      <c r="AJ75" t="str">
        <f t="shared" si="60"/>
        <v>*1.16287284644911</v>
      </c>
      <c r="AK75" t="str">
        <f t="shared" si="60"/>
        <v>*1.0825169264074</v>
      </c>
      <c r="AL75" t="str">
        <f t="shared" si="60"/>
        <v>*1.07247406151033</v>
      </c>
      <c r="AM75" t="str">
        <f t="shared" si="60"/>
        <v>*1</v>
      </c>
      <c r="AN75" t="str">
        <f t="shared" si="60"/>
        <v>*1</v>
      </c>
      <c r="AO75" t="str">
        <f t="shared" si="60"/>
        <v>*1</v>
      </c>
      <c r="AP75" t="str">
        <f t="shared" si="60"/>
        <v>*1.03229798151806</v>
      </c>
      <c r="AQ75" t="str">
        <f t="shared" si="60"/>
        <v>*1</v>
      </c>
      <c r="AR75" t="str">
        <f t="shared" si="60"/>
        <v>*1.05238916181003</v>
      </c>
      <c r="AS75" s="49" t="str">
        <f t="shared" si="60"/>
        <v>*1.08252104532776</v>
      </c>
    </row>
    <row r="76" spans="1:45" ht="12.75">
      <c r="A76" t="str">
        <f t="shared" si="43"/>
        <v>C_ES-SH-SR_HE*</v>
      </c>
      <c r="C76" t="s">
        <v>60</v>
      </c>
      <c r="D76" t="str">
        <f t="shared" si="44"/>
        <v>C_ES-SH-SR_HE*</v>
      </c>
      <c r="F76" t="s">
        <v>118</v>
      </c>
      <c r="H76" s="54"/>
      <c r="I76" t="str">
        <f t="shared" si="61" ref="I76:AS76">I23</f>
        <v>*0.880504783355962</v>
      </c>
      <c r="J76" t="str">
        <f t="shared" si="61"/>
        <v>*0.957548618872751</v>
      </c>
      <c r="K76" t="str">
        <f t="shared" si="61"/>
        <v>*0.880504783355962</v>
      </c>
      <c r="L76" t="str">
        <f t="shared" si="61"/>
        <v>*0.983020646759874</v>
      </c>
      <c r="M76" t="str">
        <f t="shared" si="61"/>
        <v>*0.804718937699145</v>
      </c>
      <c r="N76" t="str">
        <f t="shared" si="61"/>
        <v>*1</v>
      </c>
      <c r="O76" t="str">
        <f t="shared" si="61"/>
        <v>*0.880504783355962</v>
      </c>
      <c r="P76" t="str">
        <f t="shared" si="61"/>
        <v>*0.872644275983274</v>
      </c>
      <c r="Q76" t="str">
        <f t="shared" si="61"/>
        <v>*0.908569737634899</v>
      </c>
      <c r="R76" t="str">
        <f t="shared" si="61"/>
        <v>*0.915095212233637</v>
      </c>
      <c r="S76" t="str">
        <f t="shared" si="61"/>
        <v>*0.872642655737943</v>
      </c>
      <c r="T76" t="str">
        <f t="shared" si="61"/>
        <v>*0.880504783355962</v>
      </c>
      <c r="U76" t="str">
        <f t="shared" si="61"/>
        <v>*0.880504783355962</v>
      </c>
      <c r="V76" t="str">
        <f t="shared" si="61"/>
        <v>*0.881131477151944</v>
      </c>
      <c r="W76" t="str">
        <f t="shared" si="61"/>
        <v>*0.915093124359608</v>
      </c>
      <c r="X76" t="str">
        <f t="shared" si="61"/>
        <v>*0.889625250941913</v>
      </c>
      <c r="Y76" t="str">
        <f t="shared" si="61"/>
        <v>*0.889623372740061</v>
      </c>
      <c r="Z76" t="str">
        <f t="shared" si="61"/>
        <v>*0.880504783355962</v>
      </c>
      <c r="AA76" t="str">
        <f t="shared" si="61"/>
        <v>*0.915095212233637</v>
      </c>
      <c r="AB76" t="str">
        <f t="shared" si="61"/>
        <v>*0.915095341838966</v>
      </c>
      <c r="AC76" t="str">
        <f t="shared" si="61"/>
        <v>*0.880504783355962</v>
      </c>
      <c r="AD76" t="str">
        <f t="shared" si="61"/>
        <v>*0.872640325737902</v>
      </c>
      <c r="AE76" t="str">
        <f t="shared" si="61"/>
        <v>*0.915097225102635</v>
      </c>
      <c r="AF76" t="str">
        <f t="shared" si="61"/>
        <v>*0.906602703277204</v>
      </c>
      <c r="AG76" t="str">
        <f t="shared" si="61"/>
        <v>*0.880504783355962</v>
      </c>
      <c r="AH76" t="str">
        <f t="shared" si="61"/>
        <v>*0.880504783355962</v>
      </c>
      <c r="AI76" t="str">
        <f t="shared" si="61"/>
        <v>*0.880504783355962</v>
      </c>
      <c r="AJ76" t="str">
        <f t="shared" si="61"/>
        <v>*0.983021041372418</v>
      </c>
      <c r="AK76" t="str">
        <f t="shared" si="61"/>
        <v>*0.915095212233637</v>
      </c>
      <c r="AL76" t="str">
        <f t="shared" si="61"/>
        <v>*0.906604639952111</v>
      </c>
      <c r="AM76" t="str">
        <f t="shared" si="61"/>
        <v>*0.855664327496265</v>
      </c>
      <c r="AN76" t="str">
        <f t="shared" si="61"/>
        <v>*0.89386936286641</v>
      </c>
      <c r="AO76" t="str">
        <f t="shared" si="61"/>
        <v>*0.880504783355962</v>
      </c>
      <c r="AP76" t="str">
        <f t="shared" si="61"/>
        <v>*0.872640441278991</v>
      </c>
      <c r="AQ76" t="str">
        <f t="shared" si="61"/>
        <v>*0.949060077873277</v>
      </c>
      <c r="AR76" t="str">
        <f t="shared" si="61"/>
        <v>*0.889625648915354</v>
      </c>
      <c r="AS76" s="49" t="str">
        <f t="shared" si="61"/>
        <v>*0.915096287669067</v>
      </c>
    </row>
    <row r="77" spans="1:45" ht="12.75">
      <c r="A77" t="str">
        <f t="shared" si="43"/>
        <v>C_ES-SH-SR_EL*</v>
      </c>
      <c r="C77" s="74" t="s">
        <v>408</v>
      </c>
      <c r="D77" t="str">
        <f t="shared" si="44"/>
        <v>C_ES-SH-SR_EL*</v>
      </c>
      <c r="F77" t="s">
        <v>118</v>
      </c>
      <c r="H77" s="54"/>
      <c r="I77" t="str">
        <f t="shared" si="62" ref="I77:AS77">I24</f>
        <v>*0.814695640040816</v>
      </c>
      <c r="J77" t="str">
        <f t="shared" si="62"/>
        <v>*0.866863618757606</v>
      </c>
      <c r="K77" t="str">
        <f t="shared" si="62"/>
        <v>*0.814695640040816</v>
      </c>
      <c r="L77" t="str">
        <f t="shared" si="62"/>
        <v>*0.829770066565543</v>
      </c>
      <c r="M77" t="str">
        <f t="shared" si="62"/>
        <v>*0.670139292549879</v>
      </c>
      <c r="N77" t="str">
        <f t="shared" si="62"/>
        <v>*1</v>
      </c>
      <c r="O77" t="str">
        <f t="shared" si="62"/>
        <v>*0.806570689531818</v>
      </c>
      <c r="P77" t="str">
        <f t="shared" si="62"/>
        <v>*0.783236858692403</v>
      </c>
      <c r="Q77" t="str">
        <f t="shared" si="62"/>
        <v>*1.16338718199139</v>
      </c>
      <c r="R77" t="str">
        <f t="shared" si="62"/>
        <v>*0.964160419172593</v>
      </c>
      <c r="S77" t="str">
        <f t="shared" si="62"/>
        <v>*0.707243659269144</v>
      </c>
      <c r="T77" t="str">
        <f t="shared" si="62"/>
        <v>*0.814695640040816</v>
      </c>
      <c r="U77" t="str">
        <f t="shared" si="62"/>
        <v>*0.880205881297254</v>
      </c>
      <c r="V77" t="str">
        <f t="shared" si="62"/>
        <v>*0.915248470397476</v>
      </c>
      <c r="W77" t="str">
        <f t="shared" si="62"/>
        <v>*0.982636396644647</v>
      </c>
      <c r="X77" t="str">
        <f t="shared" si="62"/>
        <v>*0.731393580117313</v>
      </c>
      <c r="Y77" t="str">
        <f t="shared" si="62"/>
        <v>*0.847123481616257</v>
      </c>
      <c r="Z77" t="str">
        <f t="shared" si="62"/>
        <v>*0.856585176139782</v>
      </c>
      <c r="AA77" t="str">
        <f t="shared" si="62"/>
        <v>*0.964160419172593</v>
      </c>
      <c r="AB77" t="str">
        <f t="shared" si="62"/>
        <v>*0.975703024004163</v>
      </c>
      <c r="AC77" t="str">
        <f t="shared" si="62"/>
        <v>*0.814695640040816</v>
      </c>
      <c r="AD77" t="str">
        <f t="shared" si="62"/>
        <v>*0.801302174406614</v>
      </c>
      <c r="AE77" t="str">
        <f t="shared" si="62"/>
        <v>*1.04929722822849</v>
      </c>
      <c r="AF77" t="str">
        <f t="shared" si="62"/>
        <v>*0.802607320234305</v>
      </c>
      <c r="AG77" t="str">
        <f t="shared" si="62"/>
        <v>*0.814695640040816</v>
      </c>
      <c r="AH77" t="str">
        <f t="shared" si="62"/>
        <v>*0.814695640040816</v>
      </c>
      <c r="AI77" t="str">
        <f t="shared" si="62"/>
        <v>*0.662075744685471</v>
      </c>
      <c r="AJ77" t="str">
        <f t="shared" si="62"/>
        <v>*1.09991267506868</v>
      </c>
      <c r="AK77" t="str">
        <f t="shared" si="62"/>
        <v>*0.964160419172593</v>
      </c>
      <c r="AL77" t="str">
        <f t="shared" si="62"/>
        <v>*0.973806550892689</v>
      </c>
      <c r="AM77" t="str">
        <f t="shared" si="62"/>
        <v>*0.840908698492736</v>
      </c>
      <c r="AN77" t="str">
        <f t="shared" si="62"/>
        <v>*0.752940453106604</v>
      </c>
      <c r="AO77" t="str">
        <f t="shared" si="62"/>
        <v>*0.814695640040816</v>
      </c>
      <c r="AP77" t="str">
        <f t="shared" si="62"/>
        <v>*0.885880097942198</v>
      </c>
      <c r="AQ77" t="str">
        <f t="shared" si="62"/>
        <v>*0.839394722196866</v>
      </c>
      <c r="AR77" t="str">
        <f t="shared" si="62"/>
        <v>*0.812611601321336</v>
      </c>
      <c r="AS77" s="49" t="str">
        <f t="shared" si="62"/>
        <v>*1.05673460932283</v>
      </c>
    </row>
    <row r="78" spans="1:45" ht="12.75">
      <c r="A78" t="str">
        <f t="shared" si="43"/>
        <v>C_ES-SH-SR_GA*</v>
      </c>
      <c r="C78" t="s">
        <v>60</v>
      </c>
      <c r="D78" t="str">
        <f t="shared" si="44"/>
        <v>C_ES-SH-SR_GA*</v>
      </c>
      <c r="F78" t="s">
        <v>118</v>
      </c>
      <c r="H78" s="54"/>
      <c r="I78" t="str">
        <f t="shared" si="63" ref="I78:AS78">I25</f>
        <v>*0.751789844164435</v>
      </c>
      <c r="J78" t="str">
        <f t="shared" si="63"/>
        <v>*0.958971368982325</v>
      </c>
      <c r="K78" t="str">
        <f t="shared" si="63"/>
        <v>*0.751789844164435</v>
      </c>
      <c r="L78" t="str">
        <f t="shared" si="63"/>
        <v>*0.98247021598169</v>
      </c>
      <c r="M78" t="str">
        <f t="shared" si="63"/>
        <v>*0.801022925677764</v>
      </c>
      <c r="N78" t="str">
        <f t="shared" si="63"/>
        <v>*1</v>
      </c>
      <c r="O78" t="str">
        <f t="shared" si="63"/>
        <v>*0.750312177594846</v>
      </c>
      <c r="P78" t="str">
        <f t="shared" si="63"/>
        <v>*0.870852828625521</v>
      </c>
      <c r="Q78" t="str">
        <f t="shared" si="63"/>
        <v>*0.766721004074585</v>
      </c>
      <c r="R78" t="str">
        <f t="shared" si="63"/>
        <v>*0.916481590266539</v>
      </c>
      <c r="S78" t="str">
        <f t="shared" si="63"/>
        <v>*0.868634629976933</v>
      </c>
      <c r="T78" t="str">
        <f t="shared" si="63"/>
        <v>*0.751789844164435</v>
      </c>
      <c r="U78" t="str">
        <f t="shared" si="63"/>
        <v>*0.831402561906822</v>
      </c>
      <c r="V78" t="str">
        <f t="shared" si="63"/>
        <v>*0.877090057188528</v>
      </c>
      <c r="W78" t="str">
        <f t="shared" si="63"/>
        <v>*0.913903595895035</v>
      </c>
      <c r="X78" t="str">
        <f t="shared" si="63"/>
        <v>*0.887582361489164</v>
      </c>
      <c r="Y78" t="str">
        <f t="shared" si="63"/>
        <v>*0.88826694111973</v>
      </c>
      <c r="Z78" t="str">
        <f t="shared" si="63"/>
        <v>*0.932017066676991</v>
      </c>
      <c r="AA78" t="str">
        <f t="shared" si="63"/>
        <v>*0.916481590266539</v>
      </c>
      <c r="AB78" t="str">
        <f t="shared" si="63"/>
        <v>*0.912611573794044</v>
      </c>
      <c r="AC78" t="str">
        <f t="shared" si="63"/>
        <v>*0.751789844164435</v>
      </c>
      <c r="AD78" t="str">
        <f t="shared" si="63"/>
        <v>*0.868636514902445</v>
      </c>
      <c r="AE78" t="str">
        <f t="shared" si="63"/>
        <v>*0.916280573443744</v>
      </c>
      <c r="AF78" t="str">
        <f t="shared" si="63"/>
        <v>*0.902440555603779</v>
      </c>
      <c r="AG78" t="str">
        <f t="shared" si="63"/>
        <v>*0.751789844164435</v>
      </c>
      <c r="AH78" t="str">
        <f t="shared" si="63"/>
        <v>*0.751789844164435</v>
      </c>
      <c r="AI78" t="str">
        <f t="shared" si="63"/>
        <v>*0.782553232285825</v>
      </c>
      <c r="AJ78" t="str">
        <f t="shared" si="63"/>
        <v>*0.983432278118349</v>
      </c>
      <c r="AK78" t="str">
        <f t="shared" si="63"/>
        <v>*0.916481590266539</v>
      </c>
      <c r="AL78" t="str">
        <f t="shared" si="63"/>
        <v>*0.907097458133649</v>
      </c>
      <c r="AM78" t="str">
        <f t="shared" si="63"/>
        <v>*0.858910478986323</v>
      </c>
      <c r="AN78" t="str">
        <f t="shared" si="63"/>
        <v>*0.890676709498201</v>
      </c>
      <c r="AO78" t="str">
        <f t="shared" si="63"/>
        <v>*0.751789844164435</v>
      </c>
      <c r="AP78" t="str">
        <f t="shared" si="63"/>
        <v>*0.868634823876442</v>
      </c>
      <c r="AQ78" t="str">
        <f t="shared" si="63"/>
        <v>*0.944703220399034</v>
      </c>
      <c r="AR78" t="str">
        <f t="shared" si="63"/>
        <v>*0.887897908847503</v>
      </c>
      <c r="AS78" s="49" t="str">
        <f t="shared" si="63"/>
        <v>*0.915420971135312</v>
      </c>
    </row>
    <row r="79" spans="1:45" ht="12.75">
      <c r="A79" t="str">
        <f t="shared" si="43"/>
        <v>C_ES-SH-SR_OI*</v>
      </c>
      <c r="C79" t="s">
        <v>60</v>
      </c>
      <c r="D79" t="str">
        <f t="shared" si="44"/>
        <v>C_ES-SH-SR_OI*</v>
      </c>
      <c r="F79" t="s">
        <v>118</v>
      </c>
      <c r="H79" s="54"/>
      <c r="I79" t="str">
        <f t="shared" si="64" ref="I79:AS79">I26</f>
        <v>*0.753773411000091</v>
      </c>
      <c r="J79" t="str">
        <f t="shared" si="64"/>
        <v>*0.957544163772634</v>
      </c>
      <c r="K79" t="str">
        <f t="shared" si="64"/>
        <v>*0.753773411000091</v>
      </c>
      <c r="L79" t="str">
        <f t="shared" si="64"/>
        <v>*0.983016992017122</v>
      </c>
      <c r="M79" t="str">
        <f t="shared" si="64"/>
        <v>*0.804716585177828</v>
      </c>
      <c r="N79" t="str">
        <f t="shared" si="64"/>
        <v>*1</v>
      </c>
      <c r="O79" t="str">
        <f t="shared" si="64"/>
        <v>*0.753771965014407</v>
      </c>
      <c r="P79" t="str">
        <f t="shared" si="64"/>
        <v>*0.872640058113471</v>
      </c>
      <c r="Q79" t="str">
        <f t="shared" si="64"/>
        <v>*0.715500925014401</v>
      </c>
      <c r="R79" t="str">
        <f t="shared" si="64"/>
        <v>*0.915094452005067</v>
      </c>
      <c r="S79" t="str">
        <f t="shared" si="64"/>
        <v>*0.872638584269094</v>
      </c>
      <c r="T79" t="str">
        <f t="shared" si="64"/>
        <v>*0.753773411000091</v>
      </c>
      <c r="U79" t="str">
        <f t="shared" si="64"/>
        <v>*0.830188634260304</v>
      </c>
      <c r="V79" t="str">
        <f t="shared" si="64"/>
        <v>*0.881132627863442</v>
      </c>
      <c r="W79" t="str">
        <f t="shared" si="64"/>
        <v>*0.915094198262907</v>
      </c>
      <c r="X79" t="str">
        <f t="shared" si="64"/>
        <v>*0.889621616188381</v>
      </c>
      <c r="Y79" t="str">
        <f t="shared" si="64"/>
        <v>*0.768692227740908</v>
      </c>
      <c r="Z79" t="str">
        <f t="shared" si="64"/>
        <v>*0.932072829532384</v>
      </c>
      <c r="AA79" t="str">
        <f t="shared" si="64"/>
        <v>*0.915094452005067</v>
      </c>
      <c r="AB79" t="str">
        <f t="shared" si="64"/>
        <v>*0.915090313213233</v>
      </c>
      <c r="AC79" t="str">
        <f t="shared" si="64"/>
        <v>*0.753773411000091</v>
      </c>
      <c r="AD79" t="str">
        <f t="shared" si="64"/>
        <v>*0.872642317322356</v>
      </c>
      <c r="AE79" t="str">
        <f t="shared" si="64"/>
        <v>*0.915091850300005</v>
      </c>
      <c r="AF79" t="str">
        <f t="shared" si="64"/>
        <v>*0.906603397591183</v>
      </c>
      <c r="AG79" t="str">
        <f t="shared" si="64"/>
        <v>*0.753773411000091</v>
      </c>
      <c r="AH79" t="str">
        <f t="shared" si="64"/>
        <v>*0.753773411000091</v>
      </c>
      <c r="AI79" t="str">
        <f t="shared" si="64"/>
        <v>*0.768692227740908</v>
      </c>
      <c r="AJ79" t="str">
        <f t="shared" si="64"/>
        <v>*0.983020136421328</v>
      </c>
      <c r="AK79" t="str">
        <f t="shared" si="64"/>
        <v>*0.915094452005067</v>
      </c>
      <c r="AL79" t="str">
        <f t="shared" si="64"/>
        <v>*0.906603703265176</v>
      </c>
      <c r="AM79" t="str">
        <f t="shared" si="64"/>
        <v>*0.855661126516543</v>
      </c>
      <c r="AN79" t="str">
        <f t="shared" si="64"/>
        <v>*0.893867563595842</v>
      </c>
      <c r="AO79" t="str">
        <f t="shared" si="64"/>
        <v>*0.753773411000091</v>
      </c>
      <c r="AP79" t="str">
        <f t="shared" si="64"/>
        <v>*0.872639506876678</v>
      </c>
      <c r="AQ79" t="str">
        <f t="shared" si="64"/>
        <v>*0.94905683960654</v>
      </c>
      <c r="AR79" t="str">
        <f t="shared" si="64"/>
        <v>*0.889623028548323</v>
      </c>
      <c r="AS79" s="49" t="str">
        <f t="shared" si="64"/>
        <v>*0.915091716306065</v>
      </c>
    </row>
    <row r="80" spans="1:45" ht="12.75">
      <c r="A80" t="str">
        <f t="shared" si="43"/>
        <v>C_ES-SH-SR_GE*</v>
      </c>
      <c r="C80" t="s">
        <v>60</v>
      </c>
      <c r="D80" t="str">
        <f t="shared" si="44"/>
        <v>C_ES-SH-SR_GE*</v>
      </c>
      <c r="F80" t="s">
        <v>118</v>
      </c>
      <c r="H80" s="54"/>
      <c r="I80" t="str">
        <f t="shared" si="65" ref="I80:AS80">I27</f>
        <v>*1</v>
      </c>
      <c r="J80" t="str">
        <f t="shared" si="65"/>
        <v>*1.18071512418715</v>
      </c>
      <c r="K80" t="str">
        <f t="shared" si="65"/>
        <v>*1</v>
      </c>
      <c r="L80" t="str">
        <f t="shared" si="65"/>
        <v>*1</v>
      </c>
      <c r="M80" t="str">
        <f t="shared" si="65"/>
        <v>*0.992265584693816</v>
      </c>
      <c r="N80" t="str">
        <f t="shared" si="65"/>
        <v>*1</v>
      </c>
      <c r="O80" t="str">
        <f t="shared" si="65"/>
        <v>*1</v>
      </c>
      <c r="P80" t="str">
        <f t="shared" si="65"/>
        <v>*1</v>
      </c>
      <c r="Q80" t="str">
        <f t="shared" si="65"/>
        <v>*0.7</v>
      </c>
      <c r="R80" t="str">
        <f t="shared" si="65"/>
        <v>*1</v>
      </c>
      <c r="S80" t="str">
        <f t="shared" si="65"/>
        <v>*1</v>
      </c>
      <c r="T80" t="str">
        <f t="shared" si="65"/>
        <v>*1</v>
      </c>
      <c r="U80" t="str">
        <f t="shared" si="65"/>
        <v>*1.02367221742178</v>
      </c>
      <c r="V80" t="str">
        <f t="shared" si="65"/>
        <v>*1</v>
      </c>
      <c r="W80" t="str">
        <f t="shared" si="65"/>
        <v>*1.12836642882944</v>
      </c>
      <c r="X80" t="str">
        <f t="shared" si="65"/>
        <v>*1.09695901278096</v>
      </c>
      <c r="Y80" t="str">
        <f t="shared" si="65"/>
        <v>*1.09695874032411</v>
      </c>
      <c r="Z80" t="str">
        <f t="shared" si="65"/>
        <v>*1</v>
      </c>
      <c r="AA80" t="str">
        <f t="shared" si="65"/>
        <v>*1</v>
      </c>
      <c r="AB80" t="str">
        <f t="shared" si="65"/>
        <v>*1.12836780488483</v>
      </c>
      <c r="AC80" t="str">
        <f t="shared" si="65"/>
        <v>*1</v>
      </c>
      <c r="AD80" t="str">
        <f t="shared" si="65"/>
        <v>*1</v>
      </c>
      <c r="AE80" t="str">
        <f t="shared" si="65"/>
        <v>*1</v>
      </c>
      <c r="AF80" t="str">
        <f t="shared" si="65"/>
        <v>*1</v>
      </c>
      <c r="AG80" t="str">
        <f t="shared" si="65"/>
        <v>*1</v>
      </c>
      <c r="AH80" t="str">
        <f t="shared" si="65"/>
        <v>*1</v>
      </c>
      <c r="AI80" t="str">
        <f t="shared" si="65"/>
        <v>*1</v>
      </c>
      <c r="AJ80" t="str">
        <f t="shared" si="65"/>
        <v>*1</v>
      </c>
      <c r="AK80" t="str">
        <f t="shared" si="65"/>
        <v>*1</v>
      </c>
      <c r="AL80" t="str">
        <f t="shared" si="65"/>
        <v>*1.11789847320821</v>
      </c>
      <c r="AM80" t="str">
        <f t="shared" si="65"/>
        <v>*1.05508137432188</v>
      </c>
      <c r="AN80" t="str">
        <f t="shared" si="65"/>
        <v>*1.10219424337653</v>
      </c>
      <c r="AO80" t="str">
        <f t="shared" si="65"/>
        <v>*1</v>
      </c>
      <c r="AP80" t="str">
        <f t="shared" si="65"/>
        <v>*1</v>
      </c>
      <c r="AQ80" t="str">
        <f t="shared" si="65"/>
        <v>*1.17024478027022</v>
      </c>
      <c r="AR80" t="str">
        <f t="shared" si="65"/>
        <v>*1.0969585751785</v>
      </c>
      <c r="AS80" s="49" t="str">
        <f t="shared" si="65"/>
        <v>*1.12836656997825</v>
      </c>
    </row>
    <row r="81" spans="1:45" ht="12.75">
      <c r="A81" t="str">
        <f t="shared" si="43"/>
        <v>C_ES-SH-SR_LP*</v>
      </c>
      <c r="C81" t="s">
        <v>60</v>
      </c>
      <c r="D81" t="str">
        <f t="shared" si="44"/>
        <v>C_ES-SH-SR_LP*</v>
      </c>
      <c r="F81" t="s">
        <v>118</v>
      </c>
      <c r="H81" s="54"/>
      <c r="I81" t="str">
        <f t="shared" si="66" ref="I81:AS81">I28</f>
        <v>*1</v>
      </c>
      <c r="J81" t="str">
        <f t="shared" si="66"/>
        <v>*1</v>
      </c>
      <c r="K81" t="str">
        <f t="shared" si="66"/>
        <v>*1</v>
      </c>
      <c r="L81" t="str">
        <f t="shared" si="66"/>
        <v>*1</v>
      </c>
      <c r="M81" t="str">
        <f t="shared" si="66"/>
        <v>*1</v>
      </c>
      <c r="N81" t="str">
        <f t="shared" si="66"/>
        <v>*1</v>
      </c>
      <c r="O81" t="str">
        <f t="shared" si="66"/>
        <v>*1</v>
      </c>
      <c r="P81" t="str">
        <f t="shared" si="66"/>
        <v>*1</v>
      </c>
      <c r="Q81" t="str">
        <f t="shared" si="66"/>
        <v>*0.666666666666667</v>
      </c>
      <c r="R81" t="str">
        <f t="shared" si="66"/>
        <v>*1</v>
      </c>
      <c r="S81" t="str">
        <f t="shared" si="66"/>
        <v>*1</v>
      </c>
      <c r="T81" t="str">
        <f t="shared" si="66"/>
        <v>*1</v>
      </c>
      <c r="U81" t="str">
        <f t="shared" si="66"/>
        <v>*1</v>
      </c>
      <c r="V81" t="str">
        <f t="shared" si="66"/>
        <v>*1</v>
      </c>
      <c r="W81" t="str">
        <f t="shared" si="66"/>
        <v>*1</v>
      </c>
      <c r="X81" t="str">
        <f t="shared" si="66"/>
        <v>*1</v>
      </c>
      <c r="Y81" t="str">
        <f t="shared" si="66"/>
        <v>*1</v>
      </c>
      <c r="Z81" t="str">
        <f t="shared" si="66"/>
        <v>*1</v>
      </c>
      <c r="AA81" t="str">
        <f t="shared" si="66"/>
        <v>*1</v>
      </c>
      <c r="AB81" t="str">
        <f t="shared" si="66"/>
        <v>*1.00831519600226</v>
      </c>
      <c r="AC81" t="str">
        <f t="shared" si="66"/>
        <v>*1</v>
      </c>
      <c r="AD81" t="str">
        <f t="shared" si="66"/>
        <v>*1</v>
      </c>
      <c r="AE81" t="str">
        <f t="shared" si="66"/>
        <v>*1.00831336713657</v>
      </c>
      <c r="AF81" t="str">
        <f t="shared" si="66"/>
        <v>*1</v>
      </c>
      <c r="AG81" t="str">
        <f t="shared" si="66"/>
        <v>*1</v>
      </c>
      <c r="AH81" t="str">
        <f t="shared" si="66"/>
        <v>*1</v>
      </c>
      <c r="AI81" t="str">
        <f t="shared" si="66"/>
        <v>*1</v>
      </c>
      <c r="AJ81" t="str">
        <f t="shared" si="66"/>
        <v>*1</v>
      </c>
      <c r="AK81" t="str">
        <f t="shared" si="66"/>
        <v>*1</v>
      </c>
      <c r="AL81" t="str">
        <f t="shared" si="66"/>
        <v>*1</v>
      </c>
      <c r="AM81" t="str">
        <f t="shared" si="66"/>
        <v>*1</v>
      </c>
      <c r="AN81" t="str">
        <f t="shared" si="66"/>
        <v>*1</v>
      </c>
      <c r="AO81" t="str">
        <f t="shared" si="66"/>
        <v>*1</v>
      </c>
      <c r="AP81" t="str">
        <f t="shared" si="66"/>
        <v>*1</v>
      </c>
      <c r="AQ81" t="str">
        <f t="shared" si="66"/>
        <v>*1.045737981492</v>
      </c>
      <c r="AR81" t="str">
        <f t="shared" si="66"/>
        <v>*1</v>
      </c>
      <c r="AS81" s="49" t="str">
        <f t="shared" si="66"/>
        <v>*1</v>
      </c>
    </row>
    <row r="82" spans="1:45" ht="12.75">
      <c r="A82" t="str">
        <f t="shared" si="43"/>
        <v>C_ES-SH-SR_CO*</v>
      </c>
      <c r="C82" t="s">
        <v>60</v>
      </c>
      <c r="D82" t="str">
        <f t="shared" si="44"/>
        <v>C_ES-SH-SR_CO*</v>
      </c>
      <c r="F82" t="s">
        <v>118</v>
      </c>
      <c r="H82" s="54"/>
      <c r="I82" t="str">
        <f t="shared" si="67" ref="I82:AS82">I29</f>
        <v>*0.806322012647686</v>
      </c>
      <c r="J82" t="str">
        <f t="shared" si="67"/>
        <v>*0.957546566204691</v>
      </c>
      <c r="K82" t="str">
        <f t="shared" si="67"/>
        <v>*0.806322012647686</v>
      </c>
      <c r="L82" t="str">
        <f t="shared" si="67"/>
        <v>*0.806322012647686</v>
      </c>
      <c r="M82" t="str">
        <f t="shared" si="67"/>
        <v>*0.804719068299585</v>
      </c>
      <c r="N82" t="str">
        <f t="shared" si="67"/>
        <v>*1</v>
      </c>
      <c r="O82" t="str">
        <f t="shared" si="67"/>
        <v>*0.806322012647686</v>
      </c>
      <c r="P82" t="str">
        <f t="shared" si="67"/>
        <v>*0.872641433460454</v>
      </c>
      <c r="Q82" t="str">
        <f t="shared" si="67"/>
        <v>*0.620099652691077</v>
      </c>
      <c r="R82" t="str">
        <f t="shared" si="67"/>
        <v>*0.806322012647686</v>
      </c>
      <c r="S82" t="str">
        <f t="shared" si="67"/>
        <v>*0.872643446827971</v>
      </c>
      <c r="T82" t="str">
        <f t="shared" si="67"/>
        <v>*0.806322012647686</v>
      </c>
      <c r="U82" t="str">
        <f t="shared" si="67"/>
        <v>*0.830187692790597</v>
      </c>
      <c r="V82" t="str">
        <f t="shared" si="67"/>
        <v>*0.88113082387544</v>
      </c>
      <c r="W82" t="str">
        <f t="shared" si="67"/>
        <v>*0.806322012647686</v>
      </c>
      <c r="X82" t="str">
        <f t="shared" si="67"/>
        <v>*0.889623229961177</v>
      </c>
      <c r="Y82" t="str">
        <f t="shared" si="67"/>
        <v>*0.889620935555759</v>
      </c>
      <c r="Z82" t="str">
        <f t="shared" si="67"/>
        <v>*0.806322012647686</v>
      </c>
      <c r="AA82" t="str">
        <f t="shared" si="67"/>
        <v>*0.806322012647686</v>
      </c>
      <c r="AB82" t="str">
        <f t="shared" si="67"/>
        <v>*0.806322012647686</v>
      </c>
      <c r="AC82" t="str">
        <f t="shared" si="67"/>
        <v>*0.806322012647686</v>
      </c>
      <c r="AD82" t="str">
        <f t="shared" si="67"/>
        <v>*0.87264257545149</v>
      </c>
      <c r="AE82" t="str">
        <f t="shared" si="67"/>
        <v>*0.806322012647686</v>
      </c>
      <c r="AF82" t="str">
        <f t="shared" si="67"/>
        <v>*0.906603887155439</v>
      </c>
      <c r="AG82" t="str">
        <f t="shared" si="67"/>
        <v>*0.806322012647686</v>
      </c>
      <c r="AH82" t="str">
        <f t="shared" si="67"/>
        <v>*0.806322012647686</v>
      </c>
      <c r="AI82" t="str">
        <f t="shared" si="67"/>
        <v>*0.806322012647686</v>
      </c>
      <c r="AJ82" t="str">
        <f t="shared" si="67"/>
        <v>*0.983019632318116</v>
      </c>
      <c r="AK82" t="str">
        <f t="shared" si="67"/>
        <v>*0.806322012647686</v>
      </c>
      <c r="AL82" t="str">
        <f t="shared" si="67"/>
        <v>*0.906604351626599</v>
      </c>
      <c r="AM82" t="str">
        <f t="shared" si="67"/>
        <v>*0.806322012647686</v>
      </c>
      <c r="AN82" t="str">
        <f t="shared" si="67"/>
        <v>*0.89386762861896</v>
      </c>
      <c r="AO82" t="str">
        <f t="shared" si="67"/>
        <v>*0.806322012647686</v>
      </c>
      <c r="AP82" t="str">
        <f t="shared" si="67"/>
        <v>*0.806322012647686</v>
      </c>
      <c r="AQ82" t="str">
        <f t="shared" si="67"/>
        <v>*0.806322012647686</v>
      </c>
      <c r="AR82" t="str">
        <f t="shared" si="67"/>
        <v>*0.889622985856844</v>
      </c>
      <c r="AS82" s="49" t="str">
        <f t="shared" si="67"/>
        <v>*0.915091066360072</v>
      </c>
    </row>
    <row r="83" spans="1:45" ht="12.75">
      <c r="A83" t="str">
        <f t="shared" si="43"/>
        <v>C_ES-SH-SL_BI*</v>
      </c>
      <c r="C83" t="s">
        <v>60</v>
      </c>
      <c r="D83" t="str">
        <f t="shared" si="44"/>
        <v>C_ES-SH-SL_BI*</v>
      </c>
      <c r="F83" t="s">
        <v>119</v>
      </c>
      <c r="H83" s="54"/>
      <c r="I83" t="str">
        <f t="shared" si="68" ref="I83:AS83">I30</f>
        <v>*1</v>
      </c>
      <c r="J83" t="str">
        <f t="shared" si="68"/>
        <v>*1.13273935601115</v>
      </c>
      <c r="K83" t="str">
        <f t="shared" si="68"/>
        <v>*1</v>
      </c>
      <c r="L83" t="str">
        <f t="shared" si="68"/>
        <v>*1.16287202779621</v>
      </c>
      <c r="M83" t="str">
        <f t="shared" si="68"/>
        <v>*0.951947404871184</v>
      </c>
      <c r="N83" t="str">
        <f t="shared" si="68"/>
        <v>*1</v>
      </c>
      <c r="O83" t="str">
        <f t="shared" si="68"/>
        <v>*0.891684624593808</v>
      </c>
      <c r="P83" t="str">
        <f t="shared" si="68"/>
        <v>*1.03230037990426</v>
      </c>
      <c r="Q83" t="str">
        <f t="shared" si="68"/>
        <v>*0.5</v>
      </c>
      <c r="R83" t="str">
        <f t="shared" si="68"/>
        <v>*1.0825169264074</v>
      </c>
      <c r="S83" t="str">
        <f t="shared" si="68"/>
        <v>*1.03229644898342</v>
      </c>
      <c r="T83" t="str">
        <f t="shared" si="68"/>
        <v>*1</v>
      </c>
      <c r="U83" t="str">
        <f t="shared" si="68"/>
        <v>*0.982080090991512</v>
      </c>
      <c r="V83" t="str">
        <f t="shared" si="68"/>
        <v>*1.0423429136333</v>
      </c>
      <c r="W83" t="str">
        <f t="shared" si="68"/>
        <v>*1.08252106666226</v>
      </c>
      <c r="X83" t="str">
        <f t="shared" si="68"/>
        <v>*1.05238453545451</v>
      </c>
      <c r="Y83" t="str">
        <f t="shared" si="68"/>
        <v>*1.05238966451752</v>
      </c>
      <c r="Z83" t="str">
        <f t="shared" si="68"/>
        <v>*1.1026073590249</v>
      </c>
      <c r="AA83" t="str">
        <f t="shared" si="68"/>
        <v>*1.0825169264074</v>
      </c>
      <c r="AB83" t="str">
        <f t="shared" si="68"/>
        <v>*1</v>
      </c>
      <c r="AC83" t="str">
        <f t="shared" si="68"/>
        <v>*1</v>
      </c>
      <c r="AD83" t="str">
        <f t="shared" si="68"/>
        <v>*1.03230017588431</v>
      </c>
      <c r="AE83" t="str">
        <f t="shared" si="68"/>
        <v>*1</v>
      </c>
      <c r="AF83" t="str">
        <f t="shared" si="68"/>
        <v>*1.07247594152106</v>
      </c>
      <c r="AG83" t="str">
        <f t="shared" si="68"/>
        <v>*1</v>
      </c>
      <c r="AH83" t="str">
        <f t="shared" si="68"/>
        <v>*1</v>
      </c>
      <c r="AI83" t="str">
        <f t="shared" si="68"/>
        <v>*1</v>
      </c>
      <c r="AJ83" t="str">
        <f t="shared" si="68"/>
        <v>*1.16287284644911</v>
      </c>
      <c r="AK83" t="str">
        <f t="shared" si="68"/>
        <v>*1.0825169264074</v>
      </c>
      <c r="AL83" t="str">
        <f t="shared" si="68"/>
        <v>*1.07247406151033</v>
      </c>
      <c r="AM83" t="str">
        <f t="shared" si="68"/>
        <v>*1</v>
      </c>
      <c r="AN83" t="str">
        <f t="shared" si="68"/>
        <v>*1</v>
      </c>
      <c r="AO83" t="str">
        <f t="shared" si="68"/>
        <v>*1</v>
      </c>
      <c r="AP83" t="str">
        <f t="shared" si="68"/>
        <v>*1.03229798151806</v>
      </c>
      <c r="AQ83" t="str">
        <f t="shared" si="68"/>
        <v>*1</v>
      </c>
      <c r="AR83" t="str">
        <f t="shared" si="68"/>
        <v>*1.05238916181003</v>
      </c>
      <c r="AS83" s="49" t="str">
        <f t="shared" si="68"/>
        <v>*1.08252104532776</v>
      </c>
    </row>
    <row r="84" spans="1:45" ht="12.75">
      <c r="A84" t="str">
        <f t="shared" si="43"/>
        <v>C_ES-SH-SL_HE*</v>
      </c>
      <c r="C84" t="s">
        <v>60</v>
      </c>
      <c r="D84" t="str">
        <f t="shared" si="44"/>
        <v>C_ES-SH-SL_HE*</v>
      </c>
      <c r="F84" t="s">
        <v>119</v>
      </c>
      <c r="H84" s="54"/>
      <c r="I84" t="str">
        <f t="shared" si="69" ref="I84:AS84">I31</f>
        <v>*0.880504783355962</v>
      </c>
      <c r="J84" t="str">
        <f t="shared" si="69"/>
        <v>*0.957548618872751</v>
      </c>
      <c r="K84" t="str">
        <f t="shared" si="69"/>
        <v>*0.880504783355962</v>
      </c>
      <c r="L84" t="str">
        <f t="shared" si="69"/>
        <v>*0.983020646759874</v>
      </c>
      <c r="M84" t="str">
        <f t="shared" si="69"/>
        <v>*0.804718937699145</v>
      </c>
      <c r="N84" t="str">
        <f t="shared" si="69"/>
        <v>*1</v>
      </c>
      <c r="O84" t="str">
        <f t="shared" si="69"/>
        <v>*0.880504783355962</v>
      </c>
      <c r="P84" t="str">
        <f t="shared" si="69"/>
        <v>*0.872644275983274</v>
      </c>
      <c r="Q84" t="str">
        <f t="shared" si="69"/>
        <v>*0.908569737634899</v>
      </c>
      <c r="R84" t="str">
        <f t="shared" si="69"/>
        <v>*0.915095212233637</v>
      </c>
      <c r="S84" t="str">
        <f t="shared" si="69"/>
        <v>*0.872642655737943</v>
      </c>
      <c r="T84" t="str">
        <f t="shared" si="69"/>
        <v>*0.880504783355962</v>
      </c>
      <c r="U84" t="str">
        <f t="shared" si="69"/>
        <v>*0.880504783355962</v>
      </c>
      <c r="V84" t="str">
        <f t="shared" si="69"/>
        <v>*0.881131477151944</v>
      </c>
      <c r="W84" t="str">
        <f t="shared" si="69"/>
        <v>*0.915093124359608</v>
      </c>
      <c r="X84" t="str">
        <f t="shared" si="69"/>
        <v>*0.889625250941913</v>
      </c>
      <c r="Y84" t="str">
        <f t="shared" si="69"/>
        <v>*0.889623372740061</v>
      </c>
      <c r="Z84" t="str">
        <f t="shared" si="69"/>
        <v>*0.880504783355962</v>
      </c>
      <c r="AA84" t="str">
        <f t="shared" si="69"/>
        <v>*0.915095212233637</v>
      </c>
      <c r="AB84" t="str">
        <f t="shared" si="69"/>
        <v>*0.915095341838966</v>
      </c>
      <c r="AC84" t="str">
        <f t="shared" si="69"/>
        <v>*0.880504783355962</v>
      </c>
      <c r="AD84" t="str">
        <f t="shared" si="69"/>
        <v>*0.872640325737902</v>
      </c>
      <c r="AE84" t="str">
        <f t="shared" si="69"/>
        <v>*0.915097225102635</v>
      </c>
      <c r="AF84" t="str">
        <f t="shared" si="69"/>
        <v>*0.906602703277204</v>
      </c>
      <c r="AG84" t="str">
        <f t="shared" si="69"/>
        <v>*0.880504783355962</v>
      </c>
      <c r="AH84" t="str">
        <f t="shared" si="69"/>
        <v>*0.880504783355962</v>
      </c>
      <c r="AI84" t="str">
        <f t="shared" si="69"/>
        <v>*0.880504783355962</v>
      </c>
      <c r="AJ84" t="str">
        <f t="shared" si="69"/>
        <v>*0.983021041372418</v>
      </c>
      <c r="AK84" t="str">
        <f t="shared" si="69"/>
        <v>*0.915095212233637</v>
      </c>
      <c r="AL84" t="str">
        <f t="shared" si="69"/>
        <v>*0.906604639952111</v>
      </c>
      <c r="AM84" t="str">
        <f t="shared" si="69"/>
        <v>*0.855664327496265</v>
      </c>
      <c r="AN84" t="str">
        <f t="shared" si="69"/>
        <v>*0.89386936286641</v>
      </c>
      <c r="AO84" t="str">
        <f t="shared" si="69"/>
        <v>*0.880504783355962</v>
      </c>
      <c r="AP84" t="str">
        <f t="shared" si="69"/>
        <v>*0.872640441278991</v>
      </c>
      <c r="AQ84" t="str">
        <f t="shared" si="69"/>
        <v>*0.949060077873277</v>
      </c>
      <c r="AR84" t="str">
        <f t="shared" si="69"/>
        <v>*0.889625648915354</v>
      </c>
      <c r="AS84" s="49" t="str">
        <f t="shared" si="69"/>
        <v>*0.915096287669067</v>
      </c>
    </row>
    <row r="85" spans="1:45" ht="12.75">
      <c r="A85" t="str">
        <f t="shared" si="43"/>
        <v>C_ES-SH-SL_EL*</v>
      </c>
      <c r="C85" s="74" t="s">
        <v>408</v>
      </c>
      <c r="D85" t="str">
        <f t="shared" si="44"/>
        <v>C_ES-SH-SL_EL*</v>
      </c>
      <c r="F85" t="s">
        <v>119</v>
      </c>
      <c r="H85" s="54"/>
      <c r="I85" t="str">
        <f t="shared" si="70" ref="I85:AS85">I32</f>
        <v>*0.814695640040816</v>
      </c>
      <c r="J85" t="str">
        <f t="shared" si="70"/>
        <v>*0.866863618757606</v>
      </c>
      <c r="K85" t="str">
        <f t="shared" si="70"/>
        <v>*0.814695640040816</v>
      </c>
      <c r="L85" t="str">
        <f t="shared" si="70"/>
        <v>*0.829770066565543</v>
      </c>
      <c r="M85" t="str">
        <f t="shared" si="70"/>
        <v>*0.670139292549879</v>
      </c>
      <c r="N85" t="str">
        <f t="shared" si="70"/>
        <v>*1</v>
      </c>
      <c r="O85" t="str">
        <f t="shared" si="70"/>
        <v>*0.806570689531818</v>
      </c>
      <c r="P85" t="str">
        <f t="shared" si="70"/>
        <v>*0.783236858692403</v>
      </c>
      <c r="Q85" t="str">
        <f t="shared" si="70"/>
        <v>*1.16338718199139</v>
      </c>
      <c r="R85" t="str">
        <f t="shared" si="70"/>
        <v>*0.964160419172593</v>
      </c>
      <c r="S85" t="str">
        <f t="shared" si="70"/>
        <v>*0.707243659269144</v>
      </c>
      <c r="T85" t="str">
        <f t="shared" si="70"/>
        <v>*0.814695640040816</v>
      </c>
      <c r="U85" t="str">
        <f t="shared" si="70"/>
        <v>*0.880205881297254</v>
      </c>
      <c r="V85" t="str">
        <f t="shared" si="70"/>
        <v>*0.915248470397476</v>
      </c>
      <c r="W85" t="str">
        <f t="shared" si="70"/>
        <v>*0.982636396644647</v>
      </c>
      <c r="X85" t="str">
        <f t="shared" si="70"/>
        <v>*0.731393580117313</v>
      </c>
      <c r="Y85" t="str">
        <f t="shared" si="70"/>
        <v>*0.847123481616257</v>
      </c>
      <c r="Z85" t="str">
        <f t="shared" si="70"/>
        <v>*0.856585176139782</v>
      </c>
      <c r="AA85" t="str">
        <f t="shared" si="70"/>
        <v>*0.964160419172593</v>
      </c>
      <c r="AB85" t="str">
        <f t="shared" si="70"/>
        <v>*0.975703024004163</v>
      </c>
      <c r="AC85" t="str">
        <f t="shared" si="70"/>
        <v>*0.814695640040816</v>
      </c>
      <c r="AD85" t="str">
        <f t="shared" si="70"/>
        <v>*0.801302174406614</v>
      </c>
      <c r="AE85" t="str">
        <f t="shared" si="70"/>
        <v>*1.04929722822849</v>
      </c>
      <c r="AF85" t="str">
        <f t="shared" si="70"/>
        <v>*0.802607320234305</v>
      </c>
      <c r="AG85" t="str">
        <f t="shared" si="70"/>
        <v>*0.814695640040816</v>
      </c>
      <c r="AH85" t="str">
        <f t="shared" si="70"/>
        <v>*0.814695640040816</v>
      </c>
      <c r="AI85" t="str">
        <f t="shared" si="70"/>
        <v>*0.662075744685471</v>
      </c>
      <c r="AJ85" t="str">
        <f t="shared" si="70"/>
        <v>*1.09991267506868</v>
      </c>
      <c r="AK85" t="str">
        <f t="shared" si="70"/>
        <v>*0.964160419172593</v>
      </c>
      <c r="AL85" t="str">
        <f t="shared" si="70"/>
        <v>*0.973806550892689</v>
      </c>
      <c r="AM85" t="str">
        <f t="shared" si="70"/>
        <v>*0.840908698492736</v>
      </c>
      <c r="AN85" t="str">
        <f t="shared" si="70"/>
        <v>*0.752940453106604</v>
      </c>
      <c r="AO85" t="str">
        <f t="shared" si="70"/>
        <v>*0.814695640040816</v>
      </c>
      <c r="AP85" t="str">
        <f t="shared" si="70"/>
        <v>*0.885880097942198</v>
      </c>
      <c r="AQ85" t="str">
        <f t="shared" si="70"/>
        <v>*0.839394722196866</v>
      </c>
      <c r="AR85" t="str">
        <f t="shared" si="70"/>
        <v>*0.812611601321336</v>
      </c>
      <c r="AS85" s="49" t="str">
        <f t="shared" si="70"/>
        <v>*1.05673460932283</v>
      </c>
    </row>
    <row r="86" spans="1:45" ht="12.75">
      <c r="A86" t="str">
        <f t="shared" si="43"/>
        <v>C_ES-SH-SL_GA*</v>
      </c>
      <c r="C86" t="s">
        <v>60</v>
      </c>
      <c r="D86" t="str">
        <f t="shared" si="44"/>
        <v>C_ES-SH-SL_GA*</v>
      </c>
      <c r="F86" t="s">
        <v>119</v>
      </c>
      <c r="H86" s="54"/>
      <c r="I86" t="str">
        <f t="shared" si="71" ref="I86:AS86">I33</f>
        <v>*0.751789844164435</v>
      </c>
      <c r="J86" t="str">
        <f t="shared" si="71"/>
        <v>*0.958971368982325</v>
      </c>
      <c r="K86" t="str">
        <f t="shared" si="71"/>
        <v>*0.751789844164435</v>
      </c>
      <c r="L86" t="str">
        <f t="shared" si="71"/>
        <v>*0.98247021598169</v>
      </c>
      <c r="M86" t="str">
        <f t="shared" si="71"/>
        <v>*0.801022925677764</v>
      </c>
      <c r="N86" t="str">
        <f t="shared" si="71"/>
        <v>*1</v>
      </c>
      <c r="O86" t="str">
        <f t="shared" si="71"/>
        <v>*0.750312177594846</v>
      </c>
      <c r="P86" t="str">
        <f t="shared" si="71"/>
        <v>*0.870852828625521</v>
      </c>
      <c r="Q86" t="str">
        <f t="shared" si="71"/>
        <v>*0.766721004074585</v>
      </c>
      <c r="R86" t="str">
        <f t="shared" si="71"/>
        <v>*0.916481590266539</v>
      </c>
      <c r="S86" t="str">
        <f t="shared" si="71"/>
        <v>*0.868634629976933</v>
      </c>
      <c r="T86" t="str">
        <f t="shared" si="71"/>
        <v>*0.751789844164435</v>
      </c>
      <c r="U86" t="str">
        <f t="shared" si="71"/>
        <v>*0.831402561906822</v>
      </c>
      <c r="V86" t="str">
        <f t="shared" si="71"/>
        <v>*0.877090057188528</v>
      </c>
      <c r="W86" t="str">
        <f t="shared" si="71"/>
        <v>*0.913903595895035</v>
      </c>
      <c r="X86" t="str">
        <f t="shared" si="71"/>
        <v>*0.887582361489164</v>
      </c>
      <c r="Y86" t="str">
        <f t="shared" si="71"/>
        <v>*0.88826694111973</v>
      </c>
      <c r="Z86" t="str">
        <f t="shared" si="71"/>
        <v>*0.932017066676991</v>
      </c>
      <c r="AA86" t="str">
        <f t="shared" si="71"/>
        <v>*0.916481590266539</v>
      </c>
      <c r="AB86" t="str">
        <f t="shared" si="71"/>
        <v>*0.912611573794044</v>
      </c>
      <c r="AC86" t="str">
        <f t="shared" si="71"/>
        <v>*0.751789844164435</v>
      </c>
      <c r="AD86" t="str">
        <f t="shared" si="71"/>
        <v>*0.868636514902445</v>
      </c>
      <c r="AE86" t="str">
        <f t="shared" si="71"/>
        <v>*0.916280573443744</v>
      </c>
      <c r="AF86" t="str">
        <f t="shared" si="71"/>
        <v>*0.902440555603779</v>
      </c>
      <c r="AG86" t="str">
        <f t="shared" si="71"/>
        <v>*0.751789844164435</v>
      </c>
      <c r="AH86" t="str">
        <f t="shared" si="71"/>
        <v>*0.751789844164435</v>
      </c>
      <c r="AI86" t="str">
        <f t="shared" si="71"/>
        <v>*0.782553232285825</v>
      </c>
      <c r="AJ86" t="str">
        <f t="shared" si="71"/>
        <v>*0.983432278118349</v>
      </c>
      <c r="AK86" t="str">
        <f t="shared" si="71"/>
        <v>*0.916481590266539</v>
      </c>
      <c r="AL86" t="str">
        <f t="shared" si="71"/>
        <v>*0.907097458133649</v>
      </c>
      <c r="AM86" t="str">
        <f t="shared" si="71"/>
        <v>*0.858910478986323</v>
      </c>
      <c r="AN86" t="str">
        <f t="shared" si="71"/>
        <v>*0.890676709498201</v>
      </c>
      <c r="AO86" t="str">
        <f t="shared" si="71"/>
        <v>*0.751789844164435</v>
      </c>
      <c r="AP86" t="str">
        <f t="shared" si="71"/>
        <v>*0.868634823876442</v>
      </c>
      <c r="AQ86" t="str">
        <f t="shared" si="71"/>
        <v>*0.944703220399034</v>
      </c>
      <c r="AR86" t="str">
        <f t="shared" si="71"/>
        <v>*0.887897908847503</v>
      </c>
      <c r="AS86" s="49" t="str">
        <f t="shared" si="71"/>
        <v>*0.915420971135312</v>
      </c>
    </row>
    <row r="87" spans="1:45" ht="12.75">
      <c r="A87" t="str">
        <f t="shared" si="43"/>
        <v>C_ES-SH-SL_OI*</v>
      </c>
      <c r="C87" t="s">
        <v>60</v>
      </c>
      <c r="D87" t="str">
        <f t="shared" si="44"/>
        <v>C_ES-SH-SL_OI*</v>
      </c>
      <c r="F87" t="s">
        <v>119</v>
      </c>
      <c r="H87" s="54"/>
      <c r="I87" t="str">
        <f t="shared" si="72" ref="I87:AS87">I34</f>
        <v>*0.753773411000091</v>
      </c>
      <c r="J87" t="str">
        <f t="shared" si="72"/>
        <v>*0.957544163772634</v>
      </c>
      <c r="K87" t="str">
        <f t="shared" si="72"/>
        <v>*0.753773411000091</v>
      </c>
      <c r="L87" t="str">
        <f t="shared" si="72"/>
        <v>*0.983016992017122</v>
      </c>
      <c r="M87" t="str">
        <f t="shared" si="72"/>
        <v>*0.804716585177828</v>
      </c>
      <c r="N87" t="str">
        <f t="shared" si="72"/>
        <v>*1</v>
      </c>
      <c r="O87" t="str">
        <f t="shared" si="72"/>
        <v>*0.753771965014407</v>
      </c>
      <c r="P87" t="str">
        <f t="shared" si="72"/>
        <v>*0.872640058113471</v>
      </c>
      <c r="Q87" t="str">
        <f t="shared" si="72"/>
        <v>*0.715500925014401</v>
      </c>
      <c r="R87" t="str">
        <f t="shared" si="72"/>
        <v>*0.915094452005067</v>
      </c>
      <c r="S87" t="str">
        <f t="shared" si="72"/>
        <v>*0.872638584269094</v>
      </c>
      <c r="T87" t="str">
        <f t="shared" si="72"/>
        <v>*0.753773411000091</v>
      </c>
      <c r="U87" t="str">
        <f t="shared" si="72"/>
        <v>*0.830188634260304</v>
      </c>
      <c r="V87" t="str">
        <f t="shared" si="72"/>
        <v>*0.881132627863442</v>
      </c>
      <c r="W87" t="str">
        <f t="shared" si="72"/>
        <v>*0.915094198262907</v>
      </c>
      <c r="X87" t="str">
        <f t="shared" si="72"/>
        <v>*0.889621616188381</v>
      </c>
      <c r="Y87" t="str">
        <f t="shared" si="72"/>
        <v>*0.768692227740908</v>
      </c>
      <c r="Z87" t="str">
        <f t="shared" si="72"/>
        <v>*0.932072829532384</v>
      </c>
      <c r="AA87" t="str">
        <f t="shared" si="72"/>
        <v>*0.915094452005067</v>
      </c>
      <c r="AB87" t="str">
        <f t="shared" si="72"/>
        <v>*0.915090313213233</v>
      </c>
      <c r="AC87" t="str">
        <f t="shared" si="72"/>
        <v>*0.753773411000091</v>
      </c>
      <c r="AD87" t="str">
        <f t="shared" si="72"/>
        <v>*0.872642317322356</v>
      </c>
      <c r="AE87" t="str">
        <f t="shared" si="72"/>
        <v>*0.915091850300005</v>
      </c>
      <c r="AF87" t="str">
        <f t="shared" si="72"/>
        <v>*0.906603397591183</v>
      </c>
      <c r="AG87" t="str">
        <f t="shared" si="72"/>
        <v>*0.753773411000091</v>
      </c>
      <c r="AH87" t="str">
        <f t="shared" si="72"/>
        <v>*0.753773411000091</v>
      </c>
      <c r="AI87" t="str">
        <f t="shared" si="72"/>
        <v>*0.768692227740908</v>
      </c>
      <c r="AJ87" t="str">
        <f t="shared" si="72"/>
        <v>*0.983020136421328</v>
      </c>
      <c r="AK87" t="str">
        <f t="shared" si="72"/>
        <v>*0.915094452005067</v>
      </c>
      <c r="AL87" t="str">
        <f t="shared" si="72"/>
        <v>*0.906603703265176</v>
      </c>
      <c r="AM87" t="str">
        <f t="shared" si="72"/>
        <v>*0.855661126516543</v>
      </c>
      <c r="AN87" t="str">
        <f t="shared" si="72"/>
        <v>*0.893867563595842</v>
      </c>
      <c r="AO87" t="str">
        <f t="shared" si="72"/>
        <v>*0.753773411000091</v>
      </c>
      <c r="AP87" t="str">
        <f t="shared" si="72"/>
        <v>*0.872639506876678</v>
      </c>
      <c r="AQ87" t="str">
        <f t="shared" si="72"/>
        <v>*0.94905683960654</v>
      </c>
      <c r="AR87" t="str">
        <f t="shared" si="72"/>
        <v>*0.889623028548323</v>
      </c>
      <c r="AS87" s="49" t="str">
        <f t="shared" si="72"/>
        <v>*0.915091716306065</v>
      </c>
    </row>
    <row r="88" spans="1:45" ht="12.75">
      <c r="A88" t="str">
        <f t="shared" si="43"/>
        <v>C_ES-SH-SL_GE*</v>
      </c>
      <c r="C88" t="s">
        <v>60</v>
      </c>
      <c r="D88" t="str">
        <f t="shared" si="44"/>
        <v>C_ES-SH-SL_GE*</v>
      </c>
      <c r="F88" t="s">
        <v>119</v>
      </c>
      <c r="H88" s="54"/>
      <c r="I88" t="str">
        <f t="shared" si="73" ref="I88:AS88">I35</f>
        <v>*1</v>
      </c>
      <c r="J88" t="str">
        <f t="shared" si="73"/>
        <v>*1.18071512418715</v>
      </c>
      <c r="K88" t="str">
        <f t="shared" si="73"/>
        <v>*1</v>
      </c>
      <c r="L88" t="str">
        <f t="shared" si="73"/>
        <v>*1</v>
      </c>
      <c r="M88" t="str">
        <f t="shared" si="73"/>
        <v>*0.992265584693816</v>
      </c>
      <c r="N88" t="str">
        <f t="shared" si="73"/>
        <v>*1</v>
      </c>
      <c r="O88" t="str">
        <f t="shared" si="73"/>
        <v>*1</v>
      </c>
      <c r="P88" t="str">
        <f t="shared" si="73"/>
        <v>*1</v>
      </c>
      <c r="Q88" t="str">
        <f t="shared" si="73"/>
        <v>*0.7</v>
      </c>
      <c r="R88" t="str">
        <f t="shared" si="73"/>
        <v>*1</v>
      </c>
      <c r="S88" t="str">
        <f t="shared" si="73"/>
        <v>*1</v>
      </c>
      <c r="T88" t="str">
        <f t="shared" si="73"/>
        <v>*1</v>
      </c>
      <c r="U88" t="str">
        <f t="shared" si="73"/>
        <v>*1.02367221742178</v>
      </c>
      <c r="V88" t="str">
        <f t="shared" si="73"/>
        <v>*1</v>
      </c>
      <c r="W88" t="str">
        <f t="shared" si="73"/>
        <v>*1.12836642882944</v>
      </c>
      <c r="X88" t="str">
        <f t="shared" si="73"/>
        <v>*1.09695901278096</v>
      </c>
      <c r="Y88" t="str">
        <f t="shared" si="73"/>
        <v>*1.09695874032411</v>
      </c>
      <c r="Z88" t="str">
        <f t="shared" si="73"/>
        <v>*1</v>
      </c>
      <c r="AA88" t="str">
        <f t="shared" si="73"/>
        <v>*1</v>
      </c>
      <c r="AB88" t="str">
        <f t="shared" si="73"/>
        <v>*1.12836780488483</v>
      </c>
      <c r="AC88" t="str">
        <f t="shared" si="73"/>
        <v>*1</v>
      </c>
      <c r="AD88" t="str">
        <f t="shared" si="73"/>
        <v>*1</v>
      </c>
      <c r="AE88" t="str">
        <f t="shared" si="73"/>
        <v>*1</v>
      </c>
      <c r="AF88" t="str">
        <f t="shared" si="73"/>
        <v>*1</v>
      </c>
      <c r="AG88" t="str">
        <f t="shared" si="73"/>
        <v>*1</v>
      </c>
      <c r="AH88" t="str">
        <f t="shared" si="73"/>
        <v>*1</v>
      </c>
      <c r="AI88" t="str">
        <f t="shared" si="73"/>
        <v>*1</v>
      </c>
      <c r="AJ88" t="str">
        <f t="shared" si="73"/>
        <v>*1</v>
      </c>
      <c r="AK88" t="str">
        <f t="shared" si="73"/>
        <v>*1</v>
      </c>
      <c r="AL88" t="str">
        <f t="shared" si="73"/>
        <v>*1.11789847320821</v>
      </c>
      <c r="AM88" t="str">
        <f t="shared" si="73"/>
        <v>*1.05508137432188</v>
      </c>
      <c r="AN88" t="str">
        <f t="shared" si="73"/>
        <v>*1.10219424337653</v>
      </c>
      <c r="AO88" t="str">
        <f t="shared" si="73"/>
        <v>*1</v>
      </c>
      <c r="AP88" t="str">
        <f t="shared" si="73"/>
        <v>*1</v>
      </c>
      <c r="AQ88" t="str">
        <f t="shared" si="73"/>
        <v>*1.17024478027022</v>
      </c>
      <c r="AR88" t="str">
        <f t="shared" si="73"/>
        <v>*1.0969585751785</v>
      </c>
      <c r="AS88" s="49" t="str">
        <f t="shared" si="73"/>
        <v>*1.12836656997825</v>
      </c>
    </row>
    <row r="89" spans="1:45" ht="12.75">
      <c r="A89" t="str">
        <f t="shared" si="43"/>
        <v>C_ES-SH-SL_LP*</v>
      </c>
      <c r="C89" t="s">
        <v>60</v>
      </c>
      <c r="D89" t="str">
        <f t="shared" si="44"/>
        <v>C_ES-SH-SL_LP*</v>
      </c>
      <c r="F89" t="s">
        <v>119</v>
      </c>
      <c r="H89" s="54"/>
      <c r="I89" t="str">
        <f t="shared" si="74" ref="I89:AS89">I36</f>
        <v>*1</v>
      </c>
      <c r="J89" t="str">
        <f t="shared" si="74"/>
        <v>*1</v>
      </c>
      <c r="K89" t="str">
        <f t="shared" si="74"/>
        <v>*1</v>
      </c>
      <c r="L89" t="str">
        <f t="shared" si="74"/>
        <v>*1</v>
      </c>
      <c r="M89" t="str">
        <f t="shared" si="74"/>
        <v>*1</v>
      </c>
      <c r="N89" t="str">
        <f t="shared" si="74"/>
        <v>*1</v>
      </c>
      <c r="O89" t="str">
        <f t="shared" si="74"/>
        <v>*1</v>
      </c>
      <c r="P89" t="str">
        <f t="shared" si="74"/>
        <v>*1</v>
      </c>
      <c r="Q89" t="str">
        <f t="shared" si="74"/>
        <v>*0.666666666666667</v>
      </c>
      <c r="R89" t="str">
        <f t="shared" si="74"/>
        <v>*1</v>
      </c>
      <c r="S89" t="str">
        <f t="shared" si="74"/>
        <v>*1</v>
      </c>
      <c r="T89" t="str">
        <f t="shared" si="74"/>
        <v>*1</v>
      </c>
      <c r="U89" t="str">
        <f t="shared" si="74"/>
        <v>*1</v>
      </c>
      <c r="V89" t="str">
        <f t="shared" si="74"/>
        <v>*1</v>
      </c>
      <c r="W89" t="str">
        <f t="shared" si="74"/>
        <v>*1</v>
      </c>
      <c r="X89" t="str">
        <f t="shared" si="74"/>
        <v>*1</v>
      </c>
      <c r="Y89" t="str">
        <f t="shared" si="74"/>
        <v>*1</v>
      </c>
      <c r="Z89" t="str">
        <f t="shared" si="74"/>
        <v>*1</v>
      </c>
      <c r="AA89" t="str">
        <f t="shared" si="74"/>
        <v>*1</v>
      </c>
      <c r="AB89" t="str">
        <f t="shared" si="74"/>
        <v>*1.00831519600226</v>
      </c>
      <c r="AC89" t="str">
        <f t="shared" si="74"/>
        <v>*1</v>
      </c>
      <c r="AD89" t="str">
        <f t="shared" si="74"/>
        <v>*1</v>
      </c>
      <c r="AE89" t="str">
        <f t="shared" si="74"/>
        <v>*1.00831336713657</v>
      </c>
      <c r="AF89" t="str">
        <f t="shared" si="74"/>
        <v>*1</v>
      </c>
      <c r="AG89" t="str">
        <f t="shared" si="74"/>
        <v>*1</v>
      </c>
      <c r="AH89" t="str">
        <f t="shared" si="74"/>
        <v>*1</v>
      </c>
      <c r="AI89" t="str">
        <f t="shared" si="74"/>
        <v>*1</v>
      </c>
      <c r="AJ89" t="str">
        <f t="shared" si="74"/>
        <v>*1</v>
      </c>
      <c r="AK89" t="str">
        <f t="shared" si="74"/>
        <v>*1</v>
      </c>
      <c r="AL89" t="str">
        <f t="shared" si="74"/>
        <v>*1</v>
      </c>
      <c r="AM89" t="str">
        <f t="shared" si="74"/>
        <v>*1</v>
      </c>
      <c r="AN89" t="str">
        <f t="shared" si="74"/>
        <v>*1</v>
      </c>
      <c r="AO89" t="str">
        <f t="shared" si="74"/>
        <v>*1</v>
      </c>
      <c r="AP89" t="str">
        <f t="shared" si="74"/>
        <v>*1</v>
      </c>
      <c r="AQ89" t="str">
        <f t="shared" si="74"/>
        <v>*1.045737981492</v>
      </c>
      <c r="AR89" t="str">
        <f t="shared" si="74"/>
        <v>*1</v>
      </c>
      <c r="AS89" s="49" t="str">
        <f t="shared" si="74"/>
        <v>*1</v>
      </c>
    </row>
    <row r="90" spans="1:45" ht="12.75">
      <c r="A90" t="str">
        <f t="shared" si="43"/>
        <v>C_ES-SH-SL_CO*</v>
      </c>
      <c r="C90" t="s">
        <v>60</v>
      </c>
      <c r="D90" t="str">
        <f t="shared" si="44"/>
        <v>C_ES-SH-SL_CO*</v>
      </c>
      <c r="F90" t="s">
        <v>119</v>
      </c>
      <c r="H90" s="54"/>
      <c r="I90" t="str">
        <f t="shared" si="75" ref="I90:AS90">I37</f>
        <v>*0.806322012647686</v>
      </c>
      <c r="J90" t="str">
        <f t="shared" si="75"/>
        <v>*0.957546566204691</v>
      </c>
      <c r="K90" t="str">
        <f t="shared" si="75"/>
        <v>*0.806322012647686</v>
      </c>
      <c r="L90" t="str">
        <f t="shared" si="75"/>
        <v>*0.806322012647686</v>
      </c>
      <c r="M90" t="str">
        <f t="shared" si="75"/>
        <v>*0.804719068299585</v>
      </c>
      <c r="N90" t="str">
        <f t="shared" si="75"/>
        <v>*1</v>
      </c>
      <c r="O90" t="str">
        <f t="shared" si="75"/>
        <v>*0.806322012647686</v>
      </c>
      <c r="P90" t="str">
        <f t="shared" si="75"/>
        <v>*0.872641433460454</v>
      </c>
      <c r="Q90" t="str">
        <f t="shared" si="75"/>
        <v>*0.620099652691077</v>
      </c>
      <c r="R90" t="str">
        <f t="shared" si="75"/>
        <v>*0.806322012647686</v>
      </c>
      <c r="S90" t="str">
        <f t="shared" si="75"/>
        <v>*0.872643446827971</v>
      </c>
      <c r="T90" t="str">
        <f t="shared" si="75"/>
        <v>*0.806322012647686</v>
      </c>
      <c r="U90" t="str">
        <f t="shared" si="75"/>
        <v>*0.830187692790597</v>
      </c>
      <c r="V90" t="str">
        <f t="shared" si="75"/>
        <v>*0.88113082387544</v>
      </c>
      <c r="W90" t="str">
        <f t="shared" si="75"/>
        <v>*0.806322012647686</v>
      </c>
      <c r="X90" t="str">
        <f t="shared" si="75"/>
        <v>*0.889623229961177</v>
      </c>
      <c r="Y90" t="str">
        <f t="shared" si="75"/>
        <v>*0.889620935555759</v>
      </c>
      <c r="Z90" t="str">
        <f t="shared" si="75"/>
        <v>*0.806322012647686</v>
      </c>
      <c r="AA90" t="str">
        <f t="shared" si="75"/>
        <v>*0.806322012647686</v>
      </c>
      <c r="AB90" t="str">
        <f t="shared" si="75"/>
        <v>*0.806322012647686</v>
      </c>
      <c r="AC90" t="str">
        <f t="shared" si="75"/>
        <v>*0.806322012647686</v>
      </c>
      <c r="AD90" t="str">
        <f t="shared" si="75"/>
        <v>*0.87264257545149</v>
      </c>
      <c r="AE90" t="str">
        <f t="shared" si="75"/>
        <v>*0.806322012647686</v>
      </c>
      <c r="AF90" t="str">
        <f t="shared" si="75"/>
        <v>*0.906603887155439</v>
      </c>
      <c r="AG90" t="str">
        <f t="shared" si="75"/>
        <v>*0.806322012647686</v>
      </c>
      <c r="AH90" t="str">
        <f t="shared" si="75"/>
        <v>*0.806322012647686</v>
      </c>
      <c r="AI90" t="str">
        <f t="shared" si="75"/>
        <v>*0.806322012647686</v>
      </c>
      <c r="AJ90" t="str">
        <f t="shared" si="75"/>
        <v>*0.983019632318116</v>
      </c>
      <c r="AK90" t="str">
        <f t="shared" si="75"/>
        <v>*0.806322012647686</v>
      </c>
      <c r="AL90" t="str">
        <f t="shared" si="75"/>
        <v>*0.906604351626599</v>
      </c>
      <c r="AM90" t="str">
        <f t="shared" si="75"/>
        <v>*0.806322012647686</v>
      </c>
      <c r="AN90" t="str">
        <f t="shared" si="75"/>
        <v>*0.89386762861896</v>
      </c>
      <c r="AO90" t="str">
        <f t="shared" si="75"/>
        <v>*0.806322012647686</v>
      </c>
      <c r="AP90" t="str">
        <f t="shared" si="75"/>
        <v>*0.806322012647686</v>
      </c>
      <c r="AQ90" t="str">
        <f t="shared" si="75"/>
        <v>*0.806322012647686</v>
      </c>
      <c r="AR90" t="str">
        <f t="shared" si="75"/>
        <v>*0.889622985856844</v>
      </c>
      <c r="AS90" s="49" t="str">
        <f t="shared" si="75"/>
        <v>*0.915091066360072</v>
      </c>
    </row>
    <row r="91" spans="1:45" ht="12.75">
      <c r="A91" t="str">
        <f t="shared" si="43"/>
        <v>C_ES-SH-SS_BI*</v>
      </c>
      <c r="C91" t="s">
        <v>60</v>
      </c>
      <c r="D91" t="str">
        <f t="shared" si="44"/>
        <v>C_ES-SH-SS_BI*</v>
      </c>
      <c r="F91" t="s">
        <v>120</v>
      </c>
      <c r="H91" s="54"/>
      <c r="I91" t="str">
        <f t="shared" si="76" ref="I91:AS91">I38</f>
        <v>*1</v>
      </c>
      <c r="J91" t="str">
        <f t="shared" si="76"/>
        <v>*1.13273935601115</v>
      </c>
      <c r="K91" t="str">
        <f t="shared" si="76"/>
        <v>*1</v>
      </c>
      <c r="L91" t="str">
        <f t="shared" si="76"/>
        <v>*1.16287202779621</v>
      </c>
      <c r="M91" t="str">
        <f t="shared" si="76"/>
        <v>*0.951947404871184</v>
      </c>
      <c r="N91" t="str">
        <f t="shared" si="76"/>
        <v>*1</v>
      </c>
      <c r="O91" t="str">
        <f t="shared" si="76"/>
        <v>*0.891684624593808</v>
      </c>
      <c r="P91" t="str">
        <f t="shared" si="76"/>
        <v>*1.03230037990426</v>
      </c>
      <c r="Q91" t="str">
        <f t="shared" si="76"/>
        <v>*0.5</v>
      </c>
      <c r="R91" t="str">
        <f t="shared" si="76"/>
        <v>*1.0825169264074</v>
      </c>
      <c r="S91" t="str">
        <f t="shared" si="76"/>
        <v>*1.03229644898342</v>
      </c>
      <c r="T91" t="str">
        <f t="shared" si="76"/>
        <v>*1</v>
      </c>
      <c r="U91" t="str">
        <f t="shared" si="76"/>
        <v>*0.982080090991512</v>
      </c>
      <c r="V91" t="str">
        <f t="shared" si="76"/>
        <v>*1.0423429136333</v>
      </c>
      <c r="W91" t="str">
        <f t="shared" si="76"/>
        <v>*1.08252106666226</v>
      </c>
      <c r="X91" t="str">
        <f t="shared" si="76"/>
        <v>*1.05238453545451</v>
      </c>
      <c r="Y91" t="str">
        <f t="shared" si="76"/>
        <v>*1.05238966451752</v>
      </c>
      <c r="Z91" t="str">
        <f t="shared" si="76"/>
        <v>*1.1026073590249</v>
      </c>
      <c r="AA91" t="str">
        <f t="shared" si="76"/>
        <v>*1.0825169264074</v>
      </c>
      <c r="AB91" t="str">
        <f t="shared" si="76"/>
        <v>*1</v>
      </c>
      <c r="AC91" t="str">
        <f t="shared" si="76"/>
        <v>*1</v>
      </c>
      <c r="AD91" t="str">
        <f t="shared" si="76"/>
        <v>*1.03230017588431</v>
      </c>
      <c r="AE91" t="str">
        <f t="shared" si="76"/>
        <v>*1</v>
      </c>
      <c r="AF91" t="str">
        <f t="shared" si="76"/>
        <v>*1.07247594152106</v>
      </c>
      <c r="AG91" t="str">
        <f t="shared" si="76"/>
        <v>*1</v>
      </c>
      <c r="AH91" t="str">
        <f t="shared" si="76"/>
        <v>*1</v>
      </c>
      <c r="AI91" t="str">
        <f t="shared" si="76"/>
        <v>*1</v>
      </c>
      <c r="AJ91" t="str">
        <f t="shared" si="76"/>
        <v>*1.16287284644911</v>
      </c>
      <c r="AK91" t="str">
        <f t="shared" si="76"/>
        <v>*1.0825169264074</v>
      </c>
      <c r="AL91" t="str">
        <f t="shared" si="76"/>
        <v>*1.07247406151033</v>
      </c>
      <c r="AM91" t="str">
        <f t="shared" si="76"/>
        <v>*1</v>
      </c>
      <c r="AN91" t="str">
        <f t="shared" si="76"/>
        <v>*1</v>
      </c>
      <c r="AO91" t="str">
        <f t="shared" si="76"/>
        <v>*1</v>
      </c>
      <c r="AP91" t="str">
        <f t="shared" si="76"/>
        <v>*1.03229798151806</v>
      </c>
      <c r="AQ91" t="str">
        <f t="shared" si="76"/>
        <v>*1</v>
      </c>
      <c r="AR91" t="str">
        <f t="shared" si="76"/>
        <v>*1.05238916181003</v>
      </c>
      <c r="AS91" s="49" t="str">
        <f t="shared" si="76"/>
        <v>*1.08252104532776</v>
      </c>
    </row>
    <row r="92" spans="1:45" ht="12.75">
      <c r="A92" t="str">
        <f t="shared" si="43"/>
        <v>C_ES-SH-SS_HE*</v>
      </c>
      <c r="C92" t="s">
        <v>60</v>
      </c>
      <c r="D92" t="str">
        <f t="shared" si="44"/>
        <v>C_ES-SH-SS_HE*</v>
      </c>
      <c r="F92" t="s">
        <v>120</v>
      </c>
      <c r="H92" s="54"/>
      <c r="I92" t="str">
        <f t="shared" si="77" ref="I92:AS92">I39</f>
        <v>*0.880504783355962</v>
      </c>
      <c r="J92" t="str">
        <f t="shared" si="77"/>
        <v>*0.957548618872751</v>
      </c>
      <c r="K92" t="str">
        <f t="shared" si="77"/>
        <v>*0.880504783355962</v>
      </c>
      <c r="L92" t="str">
        <f t="shared" si="77"/>
        <v>*0.983020646759874</v>
      </c>
      <c r="M92" t="str">
        <f t="shared" si="77"/>
        <v>*0.804718937699145</v>
      </c>
      <c r="N92" t="str">
        <f t="shared" si="77"/>
        <v>*1</v>
      </c>
      <c r="O92" t="str">
        <f t="shared" si="77"/>
        <v>*0.880504783355962</v>
      </c>
      <c r="P92" t="str">
        <f t="shared" si="77"/>
        <v>*0.872644275983274</v>
      </c>
      <c r="Q92" t="str">
        <f t="shared" si="77"/>
        <v>*0.908569737634899</v>
      </c>
      <c r="R92" t="str">
        <f t="shared" si="77"/>
        <v>*0.915095212233637</v>
      </c>
      <c r="S92" t="str">
        <f t="shared" si="77"/>
        <v>*0.872642655737943</v>
      </c>
      <c r="T92" t="str">
        <f t="shared" si="77"/>
        <v>*0.880504783355962</v>
      </c>
      <c r="U92" t="str">
        <f t="shared" si="77"/>
        <v>*0.880504783355962</v>
      </c>
      <c r="V92" t="str">
        <f t="shared" si="77"/>
        <v>*0.881131477151944</v>
      </c>
      <c r="W92" t="str">
        <f t="shared" si="77"/>
        <v>*0.915093124359608</v>
      </c>
      <c r="X92" t="str">
        <f t="shared" si="77"/>
        <v>*0.889625250941913</v>
      </c>
      <c r="Y92" t="str">
        <f t="shared" si="77"/>
        <v>*0.889623372740061</v>
      </c>
      <c r="Z92" t="str">
        <f t="shared" si="77"/>
        <v>*0.880504783355962</v>
      </c>
      <c r="AA92" t="str">
        <f t="shared" si="77"/>
        <v>*0.915095212233637</v>
      </c>
      <c r="AB92" t="str">
        <f t="shared" si="77"/>
        <v>*0.915095341838966</v>
      </c>
      <c r="AC92" t="str">
        <f t="shared" si="77"/>
        <v>*0.880504783355962</v>
      </c>
      <c r="AD92" t="str">
        <f t="shared" si="77"/>
        <v>*0.872640325737902</v>
      </c>
      <c r="AE92" t="str">
        <f t="shared" si="77"/>
        <v>*0.915097225102635</v>
      </c>
      <c r="AF92" t="str">
        <f t="shared" si="77"/>
        <v>*0.906602703277204</v>
      </c>
      <c r="AG92" t="str">
        <f t="shared" si="77"/>
        <v>*0.880504783355962</v>
      </c>
      <c r="AH92" t="str">
        <f t="shared" si="77"/>
        <v>*0.880504783355962</v>
      </c>
      <c r="AI92" t="str">
        <f t="shared" si="77"/>
        <v>*0.880504783355962</v>
      </c>
      <c r="AJ92" t="str">
        <f t="shared" si="77"/>
        <v>*0.983021041372418</v>
      </c>
      <c r="AK92" t="str">
        <f t="shared" si="77"/>
        <v>*0.915095212233637</v>
      </c>
      <c r="AL92" t="str">
        <f t="shared" si="77"/>
        <v>*0.906604639952111</v>
      </c>
      <c r="AM92" t="str">
        <f t="shared" si="77"/>
        <v>*0.855664327496265</v>
      </c>
      <c r="AN92" t="str">
        <f t="shared" si="77"/>
        <v>*0.89386936286641</v>
      </c>
      <c r="AO92" t="str">
        <f t="shared" si="77"/>
        <v>*0.880504783355962</v>
      </c>
      <c r="AP92" t="str">
        <f t="shared" si="77"/>
        <v>*0.872640441278991</v>
      </c>
      <c r="AQ92" t="str">
        <f t="shared" si="77"/>
        <v>*0.949060077873277</v>
      </c>
      <c r="AR92" t="str">
        <f t="shared" si="77"/>
        <v>*0.889625648915354</v>
      </c>
      <c r="AS92" s="49" t="str">
        <f t="shared" si="77"/>
        <v>*0.915096287669067</v>
      </c>
    </row>
    <row r="93" spans="1:45" ht="12.75">
      <c r="A93" t="str">
        <f t="shared" si="43"/>
        <v>C_ES-SH-SS_EL*</v>
      </c>
      <c r="C93" s="74" t="s">
        <v>408</v>
      </c>
      <c r="D93" t="str">
        <f t="shared" si="44"/>
        <v>C_ES-SH-SS_EL*</v>
      </c>
      <c r="F93" t="s">
        <v>120</v>
      </c>
      <c r="H93" s="54"/>
      <c r="I93" t="str">
        <f t="shared" si="78" ref="I93:AS93">I40</f>
        <v>*0.814695640040816</v>
      </c>
      <c r="J93" t="str">
        <f t="shared" si="78"/>
        <v>*0.866863618757606</v>
      </c>
      <c r="K93" t="str">
        <f t="shared" si="78"/>
        <v>*0.814695640040816</v>
      </c>
      <c r="L93" t="str">
        <f t="shared" si="78"/>
        <v>*0.829770066565543</v>
      </c>
      <c r="M93" t="str">
        <f t="shared" si="78"/>
        <v>*0.670139292549879</v>
      </c>
      <c r="N93" t="str">
        <f t="shared" si="78"/>
        <v>*1</v>
      </c>
      <c r="O93" t="str">
        <f t="shared" si="78"/>
        <v>*0.806570689531818</v>
      </c>
      <c r="P93" t="str">
        <f t="shared" si="78"/>
        <v>*0.783236858692403</v>
      </c>
      <c r="Q93" t="str">
        <f t="shared" si="78"/>
        <v>*1.16338718199139</v>
      </c>
      <c r="R93" t="str">
        <f t="shared" si="78"/>
        <v>*0.964160419172593</v>
      </c>
      <c r="S93" t="str">
        <f t="shared" si="78"/>
        <v>*0.707243659269144</v>
      </c>
      <c r="T93" t="str">
        <f t="shared" si="78"/>
        <v>*0.814695640040816</v>
      </c>
      <c r="U93" t="str">
        <f t="shared" si="78"/>
        <v>*0.880205881297254</v>
      </c>
      <c r="V93" t="str">
        <f t="shared" si="78"/>
        <v>*0.915248470397476</v>
      </c>
      <c r="W93" t="str">
        <f t="shared" si="78"/>
        <v>*0.982636396644647</v>
      </c>
      <c r="X93" t="str">
        <f t="shared" si="78"/>
        <v>*0.731393580117313</v>
      </c>
      <c r="Y93" t="str">
        <f t="shared" si="78"/>
        <v>*0.847123481616257</v>
      </c>
      <c r="Z93" t="str">
        <f t="shared" si="78"/>
        <v>*0.856585176139782</v>
      </c>
      <c r="AA93" t="str">
        <f t="shared" si="78"/>
        <v>*0.964160419172593</v>
      </c>
      <c r="AB93" t="str">
        <f t="shared" si="78"/>
        <v>*0.975703024004163</v>
      </c>
      <c r="AC93" t="str">
        <f t="shared" si="78"/>
        <v>*0.814695640040816</v>
      </c>
      <c r="AD93" t="str">
        <f t="shared" si="78"/>
        <v>*0.801302174406614</v>
      </c>
      <c r="AE93" t="str">
        <f t="shared" si="78"/>
        <v>*1.04929722822849</v>
      </c>
      <c r="AF93" t="str">
        <f t="shared" si="78"/>
        <v>*0.802607320234305</v>
      </c>
      <c r="AG93" t="str">
        <f t="shared" si="78"/>
        <v>*0.814695640040816</v>
      </c>
      <c r="AH93" t="str">
        <f t="shared" si="78"/>
        <v>*0.814695640040816</v>
      </c>
      <c r="AI93" t="str">
        <f t="shared" si="78"/>
        <v>*0.662075744685471</v>
      </c>
      <c r="AJ93" t="str">
        <f t="shared" si="78"/>
        <v>*1.09991267506868</v>
      </c>
      <c r="AK93" t="str">
        <f t="shared" si="78"/>
        <v>*0.964160419172593</v>
      </c>
      <c r="AL93" t="str">
        <f t="shared" si="78"/>
        <v>*0.973806550892689</v>
      </c>
      <c r="AM93" t="str">
        <f t="shared" si="78"/>
        <v>*0.840908698492736</v>
      </c>
      <c r="AN93" t="str">
        <f t="shared" si="78"/>
        <v>*0.752940453106604</v>
      </c>
      <c r="AO93" t="str">
        <f t="shared" si="78"/>
        <v>*0.814695640040816</v>
      </c>
      <c r="AP93" t="str">
        <f t="shared" si="78"/>
        <v>*0.885880097942198</v>
      </c>
      <c r="AQ93" t="str">
        <f t="shared" si="78"/>
        <v>*0.839394722196866</v>
      </c>
      <c r="AR93" t="str">
        <f t="shared" si="78"/>
        <v>*0.812611601321336</v>
      </c>
      <c r="AS93" s="49" t="str">
        <f t="shared" si="78"/>
        <v>*1.05673460932283</v>
      </c>
    </row>
    <row r="94" spans="1:45" ht="12.75">
      <c r="A94" t="str">
        <f t="shared" si="43"/>
        <v>C_ES-SH-SS_GA*</v>
      </c>
      <c r="C94" t="s">
        <v>60</v>
      </c>
      <c r="D94" t="str">
        <f t="shared" si="44"/>
        <v>C_ES-SH-SS_GA*</v>
      </c>
      <c r="F94" t="s">
        <v>120</v>
      </c>
      <c r="H94" s="54"/>
      <c r="I94" t="str">
        <f t="shared" si="79" ref="I94:AS94">I41</f>
        <v>*0.751789844164435</v>
      </c>
      <c r="J94" t="str">
        <f t="shared" si="79"/>
        <v>*0.958971368982325</v>
      </c>
      <c r="K94" t="str">
        <f t="shared" si="79"/>
        <v>*0.751789844164435</v>
      </c>
      <c r="L94" t="str">
        <f t="shared" si="79"/>
        <v>*0.98247021598169</v>
      </c>
      <c r="M94" t="str">
        <f t="shared" si="79"/>
        <v>*0.801022925677764</v>
      </c>
      <c r="N94" t="str">
        <f t="shared" si="79"/>
        <v>*1</v>
      </c>
      <c r="O94" t="str">
        <f t="shared" si="79"/>
        <v>*0.750312177594846</v>
      </c>
      <c r="P94" t="str">
        <f t="shared" si="79"/>
        <v>*0.870852828625521</v>
      </c>
      <c r="Q94" t="str">
        <f t="shared" si="79"/>
        <v>*0.766721004074585</v>
      </c>
      <c r="R94" t="str">
        <f t="shared" si="79"/>
        <v>*0.916481590266539</v>
      </c>
      <c r="S94" t="str">
        <f t="shared" si="79"/>
        <v>*0.868634629976933</v>
      </c>
      <c r="T94" t="str">
        <f t="shared" si="79"/>
        <v>*0.751789844164435</v>
      </c>
      <c r="U94" t="str">
        <f t="shared" si="79"/>
        <v>*0.831402561906822</v>
      </c>
      <c r="V94" t="str">
        <f t="shared" si="79"/>
        <v>*0.877090057188528</v>
      </c>
      <c r="W94" t="str">
        <f t="shared" si="79"/>
        <v>*0.913903595895035</v>
      </c>
      <c r="X94" t="str">
        <f t="shared" si="79"/>
        <v>*0.887582361489164</v>
      </c>
      <c r="Y94" t="str">
        <f t="shared" si="79"/>
        <v>*0.88826694111973</v>
      </c>
      <c r="Z94" t="str">
        <f t="shared" si="79"/>
        <v>*0.932017066676991</v>
      </c>
      <c r="AA94" t="str">
        <f t="shared" si="79"/>
        <v>*0.916481590266539</v>
      </c>
      <c r="AB94" t="str">
        <f t="shared" si="79"/>
        <v>*0.912611573794044</v>
      </c>
      <c r="AC94" t="str">
        <f t="shared" si="79"/>
        <v>*0.751789844164435</v>
      </c>
      <c r="AD94" t="str">
        <f t="shared" si="79"/>
        <v>*0.868636514902445</v>
      </c>
      <c r="AE94" t="str">
        <f t="shared" si="79"/>
        <v>*0.916280573443744</v>
      </c>
      <c r="AF94" t="str">
        <f t="shared" si="79"/>
        <v>*0.902440555603779</v>
      </c>
      <c r="AG94" t="str">
        <f t="shared" si="79"/>
        <v>*0.751789844164435</v>
      </c>
      <c r="AH94" t="str">
        <f t="shared" si="79"/>
        <v>*0.751789844164435</v>
      </c>
      <c r="AI94" t="str">
        <f t="shared" si="79"/>
        <v>*0.782553232285825</v>
      </c>
      <c r="AJ94" t="str">
        <f t="shared" si="79"/>
        <v>*0.983432278118349</v>
      </c>
      <c r="AK94" t="str">
        <f t="shared" si="79"/>
        <v>*0.916481590266539</v>
      </c>
      <c r="AL94" t="str">
        <f t="shared" si="79"/>
        <v>*0.907097458133649</v>
      </c>
      <c r="AM94" t="str">
        <f t="shared" si="79"/>
        <v>*0.858910478986323</v>
      </c>
      <c r="AN94" t="str">
        <f t="shared" si="79"/>
        <v>*0.890676709498201</v>
      </c>
      <c r="AO94" t="str">
        <f t="shared" si="79"/>
        <v>*0.751789844164435</v>
      </c>
      <c r="AP94" t="str">
        <f t="shared" si="79"/>
        <v>*0.868634823876442</v>
      </c>
      <c r="AQ94" t="str">
        <f t="shared" si="79"/>
        <v>*0.944703220399034</v>
      </c>
      <c r="AR94" t="str">
        <f t="shared" si="79"/>
        <v>*0.887897908847503</v>
      </c>
      <c r="AS94" s="49" t="str">
        <f t="shared" si="79"/>
        <v>*0.915420971135312</v>
      </c>
    </row>
    <row r="95" spans="1:45" ht="12.75">
      <c r="A95" t="str">
        <f t="shared" si="43"/>
        <v>C_ES-SH-SS_OI*</v>
      </c>
      <c r="C95" t="s">
        <v>60</v>
      </c>
      <c r="D95" t="str">
        <f t="shared" si="44"/>
        <v>C_ES-SH-SS_OI*</v>
      </c>
      <c r="F95" t="s">
        <v>120</v>
      </c>
      <c r="H95" s="54"/>
      <c r="I95" t="str">
        <f t="shared" si="80" ref="I95:AS95">I42</f>
        <v>*0.753773411000091</v>
      </c>
      <c r="J95" t="str">
        <f t="shared" si="80"/>
        <v>*0.957544163772634</v>
      </c>
      <c r="K95" t="str">
        <f t="shared" si="80"/>
        <v>*0.753773411000091</v>
      </c>
      <c r="L95" t="str">
        <f t="shared" si="80"/>
        <v>*0.983016992017122</v>
      </c>
      <c r="M95" t="str">
        <f t="shared" si="80"/>
        <v>*0.804716585177828</v>
      </c>
      <c r="N95" t="str">
        <f t="shared" si="80"/>
        <v>*1</v>
      </c>
      <c r="O95" t="str">
        <f t="shared" si="80"/>
        <v>*0.753771965014407</v>
      </c>
      <c r="P95" t="str">
        <f t="shared" si="80"/>
        <v>*0.872640058113471</v>
      </c>
      <c r="Q95" t="str">
        <f t="shared" si="80"/>
        <v>*0.715500925014401</v>
      </c>
      <c r="R95" t="str">
        <f t="shared" si="80"/>
        <v>*0.915094452005067</v>
      </c>
      <c r="S95" t="str">
        <f t="shared" si="80"/>
        <v>*0.872638584269094</v>
      </c>
      <c r="T95" t="str">
        <f t="shared" si="80"/>
        <v>*0.753773411000091</v>
      </c>
      <c r="U95" t="str">
        <f t="shared" si="80"/>
        <v>*0.830188634260304</v>
      </c>
      <c r="V95" t="str">
        <f t="shared" si="80"/>
        <v>*0.881132627863442</v>
      </c>
      <c r="W95" t="str">
        <f t="shared" si="80"/>
        <v>*0.915094198262907</v>
      </c>
      <c r="X95" t="str">
        <f t="shared" si="80"/>
        <v>*0.889621616188381</v>
      </c>
      <c r="Y95" t="str">
        <f t="shared" si="80"/>
        <v>*0.768692227740908</v>
      </c>
      <c r="Z95" t="str">
        <f t="shared" si="80"/>
        <v>*0.932072829532384</v>
      </c>
      <c r="AA95" t="str">
        <f t="shared" si="80"/>
        <v>*0.915094452005067</v>
      </c>
      <c r="AB95" t="str">
        <f t="shared" si="80"/>
        <v>*0.915090313213233</v>
      </c>
      <c r="AC95" t="str">
        <f t="shared" si="80"/>
        <v>*0.753773411000091</v>
      </c>
      <c r="AD95" t="str">
        <f t="shared" si="80"/>
        <v>*0.872642317322356</v>
      </c>
      <c r="AE95" t="str">
        <f t="shared" si="80"/>
        <v>*0.915091850300005</v>
      </c>
      <c r="AF95" t="str">
        <f t="shared" si="80"/>
        <v>*0.906603397591183</v>
      </c>
      <c r="AG95" t="str">
        <f t="shared" si="80"/>
        <v>*0.753773411000091</v>
      </c>
      <c r="AH95" t="str">
        <f t="shared" si="80"/>
        <v>*0.753773411000091</v>
      </c>
      <c r="AI95" t="str">
        <f t="shared" si="80"/>
        <v>*0.768692227740908</v>
      </c>
      <c r="AJ95" t="str">
        <f t="shared" si="80"/>
        <v>*0.983020136421328</v>
      </c>
      <c r="AK95" t="str">
        <f t="shared" si="80"/>
        <v>*0.915094452005067</v>
      </c>
      <c r="AL95" t="str">
        <f t="shared" si="80"/>
        <v>*0.906603703265176</v>
      </c>
      <c r="AM95" t="str">
        <f t="shared" si="80"/>
        <v>*0.855661126516543</v>
      </c>
      <c r="AN95" t="str">
        <f t="shared" si="80"/>
        <v>*0.893867563595842</v>
      </c>
      <c r="AO95" t="str">
        <f t="shared" si="80"/>
        <v>*0.753773411000091</v>
      </c>
      <c r="AP95" t="str">
        <f t="shared" si="80"/>
        <v>*0.872639506876678</v>
      </c>
      <c r="AQ95" t="str">
        <f t="shared" si="80"/>
        <v>*0.94905683960654</v>
      </c>
      <c r="AR95" t="str">
        <f t="shared" si="80"/>
        <v>*0.889623028548323</v>
      </c>
      <c r="AS95" s="49" t="str">
        <f t="shared" si="80"/>
        <v>*0.915091716306065</v>
      </c>
    </row>
    <row r="96" spans="1:45" ht="12.75">
      <c r="A96" t="str">
        <f t="shared" si="43"/>
        <v>C_ES-SH-SS_GE*</v>
      </c>
      <c r="C96" t="s">
        <v>60</v>
      </c>
      <c r="D96" t="str">
        <f t="shared" si="44"/>
        <v>C_ES-SH-SS_GE*</v>
      </c>
      <c r="F96" t="s">
        <v>120</v>
      </c>
      <c r="H96" s="54"/>
      <c r="I96" t="str">
        <f t="shared" si="81" ref="I96:AS96">I43</f>
        <v>*1</v>
      </c>
      <c r="J96" t="str">
        <f t="shared" si="81"/>
        <v>*1.18071512418715</v>
      </c>
      <c r="K96" t="str">
        <f t="shared" si="81"/>
        <v>*1</v>
      </c>
      <c r="L96" t="str">
        <f t="shared" si="81"/>
        <v>*1</v>
      </c>
      <c r="M96" t="str">
        <f t="shared" si="81"/>
        <v>*0.992265584693816</v>
      </c>
      <c r="N96" t="str">
        <f t="shared" si="81"/>
        <v>*1</v>
      </c>
      <c r="O96" t="str">
        <f t="shared" si="81"/>
        <v>*1</v>
      </c>
      <c r="P96" t="str">
        <f t="shared" si="81"/>
        <v>*1</v>
      </c>
      <c r="Q96" t="str">
        <f t="shared" si="81"/>
        <v>*0.7</v>
      </c>
      <c r="R96" t="str">
        <f t="shared" si="81"/>
        <v>*1</v>
      </c>
      <c r="S96" t="str">
        <f t="shared" si="81"/>
        <v>*1</v>
      </c>
      <c r="T96" t="str">
        <f t="shared" si="81"/>
        <v>*1</v>
      </c>
      <c r="U96" t="str">
        <f t="shared" si="81"/>
        <v>*1.02367221742178</v>
      </c>
      <c r="V96" t="str">
        <f t="shared" si="81"/>
        <v>*1</v>
      </c>
      <c r="W96" t="str">
        <f t="shared" si="81"/>
        <v>*1.12836642882944</v>
      </c>
      <c r="X96" t="str">
        <f t="shared" si="81"/>
        <v>*1.09695901278096</v>
      </c>
      <c r="Y96" t="str">
        <f t="shared" si="81"/>
        <v>*1.09695874032411</v>
      </c>
      <c r="Z96" t="str">
        <f t="shared" si="81"/>
        <v>*1</v>
      </c>
      <c r="AA96" t="str">
        <f t="shared" si="81"/>
        <v>*1</v>
      </c>
      <c r="AB96" t="str">
        <f t="shared" si="81"/>
        <v>*1.12836780488483</v>
      </c>
      <c r="AC96" t="str">
        <f t="shared" si="81"/>
        <v>*1</v>
      </c>
      <c r="AD96" t="str">
        <f t="shared" si="81"/>
        <v>*1</v>
      </c>
      <c r="AE96" t="str">
        <f t="shared" si="81"/>
        <v>*1</v>
      </c>
      <c r="AF96" t="str">
        <f t="shared" si="81"/>
        <v>*1</v>
      </c>
      <c r="AG96" t="str">
        <f t="shared" si="81"/>
        <v>*1</v>
      </c>
      <c r="AH96" t="str">
        <f t="shared" si="81"/>
        <v>*1</v>
      </c>
      <c r="AI96" t="str">
        <f t="shared" si="81"/>
        <v>*1</v>
      </c>
      <c r="AJ96" t="str">
        <f t="shared" si="81"/>
        <v>*1</v>
      </c>
      <c r="AK96" t="str">
        <f t="shared" si="81"/>
        <v>*1</v>
      </c>
      <c r="AL96" t="str">
        <f t="shared" si="81"/>
        <v>*1.11789847320821</v>
      </c>
      <c r="AM96" t="str">
        <f t="shared" si="81"/>
        <v>*1.05508137432188</v>
      </c>
      <c r="AN96" t="str">
        <f t="shared" si="81"/>
        <v>*1.10219424337653</v>
      </c>
      <c r="AO96" t="str">
        <f t="shared" si="81"/>
        <v>*1</v>
      </c>
      <c r="AP96" t="str">
        <f t="shared" si="81"/>
        <v>*1</v>
      </c>
      <c r="AQ96" t="str">
        <f t="shared" si="81"/>
        <v>*1.17024478027022</v>
      </c>
      <c r="AR96" t="str">
        <f t="shared" si="81"/>
        <v>*1.0969585751785</v>
      </c>
      <c r="AS96" s="49" t="str">
        <f t="shared" si="81"/>
        <v>*1.12836656997825</v>
      </c>
    </row>
    <row r="97" spans="1:45" ht="12.75">
      <c r="A97" t="str">
        <f t="shared" si="43"/>
        <v>C_ES-SH-SS_LP*</v>
      </c>
      <c r="C97" t="s">
        <v>60</v>
      </c>
      <c r="D97" t="str">
        <f t="shared" si="44"/>
        <v>C_ES-SH-SS_LP*</v>
      </c>
      <c r="F97" t="s">
        <v>120</v>
      </c>
      <c r="H97" s="54"/>
      <c r="I97" t="str">
        <f t="shared" si="82" ref="I97:AS97">I44</f>
        <v>*1</v>
      </c>
      <c r="J97" t="str">
        <f t="shared" si="82"/>
        <v>*1</v>
      </c>
      <c r="K97" t="str">
        <f t="shared" si="82"/>
        <v>*1</v>
      </c>
      <c r="L97" t="str">
        <f t="shared" si="82"/>
        <v>*1</v>
      </c>
      <c r="M97" t="str">
        <f t="shared" si="82"/>
        <v>*1</v>
      </c>
      <c r="N97" t="str">
        <f t="shared" si="82"/>
        <v>*1</v>
      </c>
      <c r="O97" t="str">
        <f t="shared" si="82"/>
        <v>*1</v>
      </c>
      <c r="P97" t="str">
        <f t="shared" si="82"/>
        <v>*1</v>
      </c>
      <c r="Q97" t="str">
        <f t="shared" si="82"/>
        <v>*0.666666666666667</v>
      </c>
      <c r="R97" t="str">
        <f t="shared" si="82"/>
        <v>*1</v>
      </c>
      <c r="S97" t="str">
        <f t="shared" si="82"/>
        <v>*1</v>
      </c>
      <c r="T97" t="str">
        <f t="shared" si="82"/>
        <v>*1</v>
      </c>
      <c r="U97" t="str">
        <f t="shared" si="82"/>
        <v>*1</v>
      </c>
      <c r="V97" t="str">
        <f t="shared" si="82"/>
        <v>*1</v>
      </c>
      <c r="W97" t="str">
        <f t="shared" si="82"/>
        <v>*1</v>
      </c>
      <c r="X97" t="str">
        <f t="shared" si="82"/>
        <v>*1</v>
      </c>
      <c r="Y97" t="str">
        <f t="shared" si="82"/>
        <v>*1</v>
      </c>
      <c r="Z97" t="str">
        <f t="shared" si="82"/>
        <v>*1</v>
      </c>
      <c r="AA97" t="str">
        <f t="shared" si="82"/>
        <v>*1</v>
      </c>
      <c r="AB97" t="str">
        <f t="shared" si="82"/>
        <v>*1.00831519600226</v>
      </c>
      <c r="AC97" t="str">
        <f t="shared" si="82"/>
        <v>*1</v>
      </c>
      <c r="AD97" t="str">
        <f t="shared" si="82"/>
        <v>*1</v>
      </c>
      <c r="AE97" t="str">
        <f t="shared" si="82"/>
        <v>*1.00831336713657</v>
      </c>
      <c r="AF97" t="str">
        <f t="shared" si="82"/>
        <v>*1</v>
      </c>
      <c r="AG97" t="str">
        <f t="shared" si="82"/>
        <v>*1</v>
      </c>
      <c r="AH97" t="str">
        <f t="shared" si="82"/>
        <v>*1</v>
      </c>
      <c r="AI97" t="str">
        <f t="shared" si="82"/>
        <v>*1</v>
      </c>
      <c r="AJ97" t="str">
        <f t="shared" si="82"/>
        <v>*1</v>
      </c>
      <c r="AK97" t="str">
        <f t="shared" si="82"/>
        <v>*1</v>
      </c>
      <c r="AL97" t="str">
        <f t="shared" si="82"/>
        <v>*1</v>
      </c>
      <c r="AM97" t="str">
        <f t="shared" si="82"/>
        <v>*1</v>
      </c>
      <c r="AN97" t="str">
        <f t="shared" si="82"/>
        <v>*1</v>
      </c>
      <c r="AO97" t="str">
        <f t="shared" si="82"/>
        <v>*1</v>
      </c>
      <c r="AP97" t="str">
        <f t="shared" si="82"/>
        <v>*1</v>
      </c>
      <c r="AQ97" t="str">
        <f t="shared" si="82"/>
        <v>*1.045737981492</v>
      </c>
      <c r="AR97" t="str">
        <f t="shared" si="82"/>
        <v>*1</v>
      </c>
      <c r="AS97" s="49" t="str">
        <f t="shared" si="82"/>
        <v>*1</v>
      </c>
    </row>
    <row r="98" spans="1:45" ht="12.75">
      <c r="A98" t="str">
        <f t="shared" si="43"/>
        <v>C_ES-SH-SS_CO*</v>
      </c>
      <c r="C98" t="s">
        <v>60</v>
      </c>
      <c r="D98" t="str">
        <f t="shared" si="44"/>
        <v>C_ES-SH-SS_CO*</v>
      </c>
      <c r="F98" t="s">
        <v>120</v>
      </c>
      <c r="H98" s="54"/>
      <c r="I98" t="str">
        <f t="shared" si="83" ref="I98:AS98">I45</f>
        <v>*0.806322012647686</v>
      </c>
      <c r="J98" t="str">
        <f t="shared" si="83"/>
        <v>*0.957546566204691</v>
      </c>
      <c r="K98" t="str">
        <f t="shared" si="83"/>
        <v>*0.806322012647686</v>
      </c>
      <c r="L98" t="str">
        <f t="shared" si="83"/>
        <v>*0.806322012647686</v>
      </c>
      <c r="M98" t="str">
        <f t="shared" si="83"/>
        <v>*0.804719068299585</v>
      </c>
      <c r="N98" t="str">
        <f t="shared" si="83"/>
        <v>*1</v>
      </c>
      <c r="O98" t="str">
        <f t="shared" si="83"/>
        <v>*0.806322012647686</v>
      </c>
      <c r="P98" t="str">
        <f t="shared" si="83"/>
        <v>*0.872641433460454</v>
      </c>
      <c r="Q98" t="str">
        <f t="shared" si="83"/>
        <v>*0.620099652691077</v>
      </c>
      <c r="R98" t="str">
        <f t="shared" si="83"/>
        <v>*0.806322012647686</v>
      </c>
      <c r="S98" t="str">
        <f t="shared" si="83"/>
        <v>*0.872643446827971</v>
      </c>
      <c r="T98" t="str">
        <f t="shared" si="83"/>
        <v>*0.806322012647686</v>
      </c>
      <c r="U98" t="str">
        <f t="shared" si="83"/>
        <v>*0.830187692790597</v>
      </c>
      <c r="V98" t="str">
        <f t="shared" si="83"/>
        <v>*0.88113082387544</v>
      </c>
      <c r="W98" t="str">
        <f t="shared" si="83"/>
        <v>*0.806322012647686</v>
      </c>
      <c r="X98" t="str">
        <f t="shared" si="83"/>
        <v>*0.889623229961177</v>
      </c>
      <c r="Y98" t="str">
        <f t="shared" si="83"/>
        <v>*0.889620935555759</v>
      </c>
      <c r="Z98" t="str">
        <f t="shared" si="83"/>
        <v>*0.806322012647686</v>
      </c>
      <c r="AA98" t="str">
        <f t="shared" si="83"/>
        <v>*0.806322012647686</v>
      </c>
      <c r="AB98" t="str">
        <f t="shared" si="83"/>
        <v>*0.806322012647686</v>
      </c>
      <c r="AC98" t="str">
        <f t="shared" si="83"/>
        <v>*0.806322012647686</v>
      </c>
      <c r="AD98" t="str">
        <f t="shared" si="83"/>
        <v>*0.87264257545149</v>
      </c>
      <c r="AE98" t="str">
        <f t="shared" si="83"/>
        <v>*0.806322012647686</v>
      </c>
      <c r="AF98" t="str">
        <f t="shared" si="83"/>
        <v>*0.906603887155439</v>
      </c>
      <c r="AG98" t="str">
        <f t="shared" si="83"/>
        <v>*0.806322012647686</v>
      </c>
      <c r="AH98" t="str">
        <f t="shared" si="83"/>
        <v>*0.806322012647686</v>
      </c>
      <c r="AI98" t="str">
        <f t="shared" si="83"/>
        <v>*0.806322012647686</v>
      </c>
      <c r="AJ98" t="str">
        <f t="shared" si="83"/>
        <v>*0.983019632318116</v>
      </c>
      <c r="AK98" t="str">
        <f t="shared" si="83"/>
        <v>*0.806322012647686</v>
      </c>
      <c r="AL98" t="str">
        <f t="shared" si="83"/>
        <v>*0.906604351626599</v>
      </c>
      <c r="AM98" t="str">
        <f t="shared" si="83"/>
        <v>*0.806322012647686</v>
      </c>
      <c r="AN98" t="str">
        <f t="shared" si="83"/>
        <v>*0.89386762861896</v>
      </c>
      <c r="AO98" t="str">
        <f t="shared" si="83"/>
        <v>*0.806322012647686</v>
      </c>
      <c r="AP98" t="str">
        <f t="shared" si="83"/>
        <v>*0.806322012647686</v>
      </c>
      <c r="AQ98" t="str">
        <f t="shared" si="83"/>
        <v>*0.806322012647686</v>
      </c>
      <c r="AR98" t="str">
        <f t="shared" si="83"/>
        <v>*0.889622985856844</v>
      </c>
      <c r="AS98" s="49" t="str">
        <f t="shared" si="83"/>
        <v>*0.915091066360072</v>
      </c>
    </row>
    <row r="99" spans="1:45" ht="12.75">
      <c r="A99" t="str">
        <f t="shared" si="43"/>
        <v>C_ES-SH-OF_BI*</v>
      </c>
      <c r="C99" t="s">
        <v>60</v>
      </c>
      <c r="D99" t="str">
        <f t="shared" si="44"/>
        <v>C_ES-SH-OF_BI*</v>
      </c>
      <c r="F99" t="s">
        <v>121</v>
      </c>
      <c r="H99" s="54"/>
      <c r="I99" t="str">
        <f t="shared" si="84" ref="I99:AS99">I46</f>
        <v>*1</v>
      </c>
      <c r="J99" t="str">
        <f t="shared" si="84"/>
        <v>*1.13273935601115</v>
      </c>
      <c r="K99" t="str">
        <f t="shared" si="84"/>
        <v>*1</v>
      </c>
      <c r="L99" t="str">
        <f t="shared" si="84"/>
        <v>*1.16287202779621</v>
      </c>
      <c r="M99" t="str">
        <f t="shared" si="84"/>
        <v>*0.951947404871184</v>
      </c>
      <c r="N99" t="str">
        <f t="shared" si="84"/>
        <v>*1</v>
      </c>
      <c r="O99" t="str">
        <f t="shared" si="84"/>
        <v>*0.891684624593808</v>
      </c>
      <c r="P99" t="str">
        <f t="shared" si="84"/>
        <v>*1.03230037990426</v>
      </c>
      <c r="Q99" t="str">
        <f t="shared" si="84"/>
        <v>*0.5</v>
      </c>
      <c r="R99" t="str">
        <f t="shared" si="84"/>
        <v>*1.0825169264074</v>
      </c>
      <c r="S99" t="str">
        <f t="shared" si="84"/>
        <v>*1.03229644898342</v>
      </c>
      <c r="T99" t="str">
        <f t="shared" si="84"/>
        <v>*1</v>
      </c>
      <c r="U99" t="str">
        <f t="shared" si="84"/>
        <v>*0.982080090991512</v>
      </c>
      <c r="V99" t="str">
        <f t="shared" si="84"/>
        <v>*1.0423429136333</v>
      </c>
      <c r="W99" t="str">
        <f t="shared" si="84"/>
        <v>*1.08252106666226</v>
      </c>
      <c r="X99" t="str">
        <f t="shared" si="84"/>
        <v>*1.05238453545451</v>
      </c>
      <c r="Y99" t="str">
        <f t="shared" si="84"/>
        <v>*1.05238966451752</v>
      </c>
      <c r="Z99" t="str">
        <f t="shared" si="84"/>
        <v>*1.1026073590249</v>
      </c>
      <c r="AA99" t="str">
        <f t="shared" si="84"/>
        <v>*1.0825169264074</v>
      </c>
      <c r="AB99" t="str">
        <f t="shared" si="84"/>
        <v>*1</v>
      </c>
      <c r="AC99" t="str">
        <f t="shared" si="84"/>
        <v>*1</v>
      </c>
      <c r="AD99" t="str">
        <f t="shared" si="84"/>
        <v>*1.03230017588431</v>
      </c>
      <c r="AE99" t="str">
        <f t="shared" si="84"/>
        <v>*1</v>
      </c>
      <c r="AF99" t="str">
        <f t="shared" si="84"/>
        <v>*1.07247594152106</v>
      </c>
      <c r="AG99" t="str">
        <f t="shared" si="84"/>
        <v>*1</v>
      </c>
      <c r="AH99" t="str">
        <f t="shared" si="84"/>
        <v>*1</v>
      </c>
      <c r="AI99" t="str">
        <f t="shared" si="84"/>
        <v>*1</v>
      </c>
      <c r="AJ99" t="str">
        <f t="shared" si="84"/>
        <v>*1.16287284644911</v>
      </c>
      <c r="AK99" t="str">
        <f t="shared" si="84"/>
        <v>*1.0825169264074</v>
      </c>
      <c r="AL99" t="str">
        <f t="shared" si="84"/>
        <v>*1.07247406151033</v>
      </c>
      <c r="AM99" t="str">
        <f t="shared" si="84"/>
        <v>*1</v>
      </c>
      <c r="AN99" t="str">
        <f t="shared" si="84"/>
        <v>*1</v>
      </c>
      <c r="AO99" t="str">
        <f t="shared" si="84"/>
        <v>*1</v>
      </c>
      <c r="AP99" t="str">
        <f t="shared" si="84"/>
        <v>*1.03229798151806</v>
      </c>
      <c r="AQ99" t="str">
        <f t="shared" si="84"/>
        <v>*1</v>
      </c>
      <c r="AR99" t="str">
        <f t="shared" si="84"/>
        <v>*1.05238916181003</v>
      </c>
      <c r="AS99" s="49" t="str">
        <f t="shared" si="84"/>
        <v>*1.08252104532776</v>
      </c>
    </row>
    <row r="100" spans="1:45" ht="12.75">
      <c r="A100" t="str">
        <f t="shared" si="43"/>
        <v>C_ES-SH-OF_HE*</v>
      </c>
      <c r="C100" t="s">
        <v>60</v>
      </c>
      <c r="D100" t="str">
        <f t="shared" si="44"/>
        <v>C_ES-SH-OF_HE*</v>
      </c>
      <c r="F100" t="s">
        <v>121</v>
      </c>
      <c r="H100" s="54"/>
      <c r="I100" t="str">
        <f t="shared" si="85" ref="I100:AS100">I47</f>
        <v>*0.880504783355962</v>
      </c>
      <c r="J100" t="str">
        <f t="shared" si="85"/>
        <v>*0.957548618872751</v>
      </c>
      <c r="K100" t="str">
        <f t="shared" si="85"/>
        <v>*0.880504783355962</v>
      </c>
      <c r="L100" t="str">
        <f t="shared" si="85"/>
        <v>*0.983020646759874</v>
      </c>
      <c r="M100" t="str">
        <f t="shared" si="85"/>
        <v>*0.804718937699145</v>
      </c>
      <c r="N100" t="str">
        <f t="shared" si="85"/>
        <v>*1</v>
      </c>
      <c r="O100" t="str">
        <f t="shared" si="85"/>
        <v>*0.880504783355962</v>
      </c>
      <c r="P100" t="str">
        <f t="shared" si="85"/>
        <v>*0.872644275983274</v>
      </c>
      <c r="Q100" t="str">
        <f t="shared" si="85"/>
        <v>*0.908569737634899</v>
      </c>
      <c r="R100" t="str">
        <f t="shared" si="85"/>
        <v>*0.915095212233637</v>
      </c>
      <c r="S100" t="str">
        <f t="shared" si="85"/>
        <v>*0.872642655737943</v>
      </c>
      <c r="T100" t="str">
        <f t="shared" si="85"/>
        <v>*0.880504783355962</v>
      </c>
      <c r="U100" t="str">
        <f t="shared" si="85"/>
        <v>*0.880504783355962</v>
      </c>
      <c r="V100" t="str">
        <f t="shared" si="85"/>
        <v>*0.881131477151944</v>
      </c>
      <c r="W100" t="str">
        <f t="shared" si="85"/>
        <v>*0.915093124359608</v>
      </c>
      <c r="X100" t="str">
        <f t="shared" si="85"/>
        <v>*0.889625250941913</v>
      </c>
      <c r="Y100" t="str">
        <f t="shared" si="85"/>
        <v>*0.889623372740061</v>
      </c>
      <c r="Z100" t="str">
        <f t="shared" si="85"/>
        <v>*0.880504783355962</v>
      </c>
      <c r="AA100" t="str">
        <f t="shared" si="85"/>
        <v>*0.915095212233637</v>
      </c>
      <c r="AB100" t="str">
        <f t="shared" si="85"/>
        <v>*0.915095341838966</v>
      </c>
      <c r="AC100" t="str">
        <f t="shared" si="85"/>
        <v>*0.880504783355962</v>
      </c>
      <c r="AD100" t="str">
        <f t="shared" si="85"/>
        <v>*0.872640325737902</v>
      </c>
      <c r="AE100" t="str">
        <f t="shared" si="85"/>
        <v>*0.915097225102635</v>
      </c>
      <c r="AF100" t="str">
        <f t="shared" si="85"/>
        <v>*0.906602703277204</v>
      </c>
      <c r="AG100" t="str">
        <f t="shared" si="85"/>
        <v>*0.880504783355962</v>
      </c>
      <c r="AH100" t="str">
        <f t="shared" si="85"/>
        <v>*0.880504783355962</v>
      </c>
      <c r="AI100" t="str">
        <f t="shared" si="85"/>
        <v>*0.880504783355962</v>
      </c>
      <c r="AJ100" t="str">
        <f t="shared" si="85"/>
        <v>*0.983021041372418</v>
      </c>
      <c r="AK100" t="str">
        <f t="shared" si="85"/>
        <v>*0.915095212233637</v>
      </c>
      <c r="AL100" t="str">
        <f t="shared" si="85"/>
        <v>*0.906604639952111</v>
      </c>
      <c r="AM100" t="str">
        <f t="shared" si="85"/>
        <v>*0.855664327496265</v>
      </c>
      <c r="AN100" t="str">
        <f t="shared" si="85"/>
        <v>*0.89386936286641</v>
      </c>
      <c r="AO100" t="str">
        <f t="shared" si="85"/>
        <v>*0.880504783355962</v>
      </c>
      <c r="AP100" t="str">
        <f t="shared" si="85"/>
        <v>*0.872640441278991</v>
      </c>
      <c r="AQ100" t="str">
        <f t="shared" si="85"/>
        <v>*0.949060077873277</v>
      </c>
      <c r="AR100" t="str">
        <f t="shared" si="85"/>
        <v>*0.889625648915354</v>
      </c>
      <c r="AS100" s="49" t="str">
        <f t="shared" si="85"/>
        <v>*0.915096287669067</v>
      </c>
    </row>
    <row r="101" spans="1:45" ht="12.75">
      <c r="A101" t="str">
        <f t="shared" si="43"/>
        <v>C_ES-SH-OF_EL*</v>
      </c>
      <c r="C101" s="74" t="s">
        <v>408</v>
      </c>
      <c r="D101" t="str">
        <f t="shared" si="44"/>
        <v>C_ES-SH-OF_EL*</v>
      </c>
      <c r="F101" t="s">
        <v>121</v>
      </c>
      <c r="H101" s="54"/>
      <c r="I101" t="str">
        <f t="shared" si="86" ref="I101:AS101">I48</f>
        <v>*0.814695640040816</v>
      </c>
      <c r="J101" t="str">
        <f t="shared" si="86"/>
        <v>*0.866863618757606</v>
      </c>
      <c r="K101" t="str">
        <f t="shared" si="86"/>
        <v>*0.814695640040816</v>
      </c>
      <c r="L101" t="str">
        <f t="shared" si="86"/>
        <v>*0.829770066565543</v>
      </c>
      <c r="M101" t="str">
        <f t="shared" si="86"/>
        <v>*0.670139292549879</v>
      </c>
      <c r="N101" t="str">
        <f t="shared" si="86"/>
        <v>*1</v>
      </c>
      <c r="O101" t="str">
        <f t="shared" si="86"/>
        <v>*0.806570689531818</v>
      </c>
      <c r="P101" t="str">
        <f t="shared" si="86"/>
        <v>*0.783236858692403</v>
      </c>
      <c r="Q101" t="str">
        <f t="shared" si="86"/>
        <v>*1.16338718199139</v>
      </c>
      <c r="R101" t="str">
        <f t="shared" si="86"/>
        <v>*0.964160419172593</v>
      </c>
      <c r="S101" t="str">
        <f t="shared" si="86"/>
        <v>*0.707243659269144</v>
      </c>
      <c r="T101" t="str">
        <f t="shared" si="86"/>
        <v>*0.814695640040816</v>
      </c>
      <c r="U101" t="str">
        <f t="shared" si="86"/>
        <v>*0.880205881297254</v>
      </c>
      <c r="V101" t="str">
        <f t="shared" si="86"/>
        <v>*0.915248470397476</v>
      </c>
      <c r="W101" t="str">
        <f t="shared" si="86"/>
        <v>*0.982636396644647</v>
      </c>
      <c r="X101" t="str">
        <f t="shared" si="86"/>
        <v>*0.731393580117313</v>
      </c>
      <c r="Y101" t="str">
        <f t="shared" si="86"/>
        <v>*0.847123481616257</v>
      </c>
      <c r="Z101" t="str">
        <f t="shared" si="86"/>
        <v>*0.856585176139782</v>
      </c>
      <c r="AA101" t="str">
        <f t="shared" si="86"/>
        <v>*0.964160419172593</v>
      </c>
      <c r="AB101" t="str">
        <f t="shared" si="86"/>
        <v>*0.975703024004163</v>
      </c>
      <c r="AC101" t="str">
        <f t="shared" si="86"/>
        <v>*0.814695640040816</v>
      </c>
      <c r="AD101" t="str">
        <f t="shared" si="86"/>
        <v>*0.801302174406614</v>
      </c>
      <c r="AE101" t="str">
        <f t="shared" si="86"/>
        <v>*1.04929722822849</v>
      </c>
      <c r="AF101" t="str">
        <f t="shared" si="86"/>
        <v>*0.802607320234305</v>
      </c>
      <c r="AG101" t="str">
        <f t="shared" si="86"/>
        <v>*0.814695640040816</v>
      </c>
      <c r="AH101" t="str">
        <f t="shared" si="86"/>
        <v>*0.814695640040816</v>
      </c>
      <c r="AI101" t="str">
        <f t="shared" si="86"/>
        <v>*0.662075744685471</v>
      </c>
      <c r="AJ101" t="str">
        <f t="shared" si="86"/>
        <v>*1.09991267506868</v>
      </c>
      <c r="AK101" t="str">
        <f t="shared" si="86"/>
        <v>*0.964160419172593</v>
      </c>
      <c r="AL101" t="str">
        <f t="shared" si="86"/>
        <v>*0.973806550892689</v>
      </c>
      <c r="AM101" t="str">
        <f t="shared" si="86"/>
        <v>*0.840908698492736</v>
      </c>
      <c r="AN101" t="str">
        <f t="shared" si="86"/>
        <v>*0.752940453106604</v>
      </c>
      <c r="AO101" t="str">
        <f t="shared" si="86"/>
        <v>*0.814695640040816</v>
      </c>
      <c r="AP101" t="str">
        <f t="shared" si="86"/>
        <v>*0.885880097942198</v>
      </c>
      <c r="AQ101" t="str">
        <f t="shared" si="86"/>
        <v>*0.839394722196866</v>
      </c>
      <c r="AR101" t="str">
        <f t="shared" si="86"/>
        <v>*0.812611601321336</v>
      </c>
      <c r="AS101" s="49" t="str">
        <f t="shared" si="86"/>
        <v>*1.05673460932283</v>
      </c>
    </row>
    <row r="102" spans="1:45" ht="12.75">
      <c r="A102" t="str">
        <f t="shared" si="43"/>
        <v>C_ES-SH-OF_GA*</v>
      </c>
      <c r="C102" t="s">
        <v>60</v>
      </c>
      <c r="D102" t="str">
        <f t="shared" si="44"/>
        <v>C_ES-SH-OF_GA*</v>
      </c>
      <c r="F102" t="s">
        <v>121</v>
      </c>
      <c r="H102" s="54"/>
      <c r="I102" t="str">
        <f t="shared" si="87" ref="I102:AS102">I49</f>
        <v>*0.751789844164435</v>
      </c>
      <c r="J102" t="str">
        <f t="shared" si="87"/>
        <v>*0.958971368982325</v>
      </c>
      <c r="K102" t="str">
        <f t="shared" si="87"/>
        <v>*0.751789844164435</v>
      </c>
      <c r="L102" t="str">
        <f t="shared" si="87"/>
        <v>*0.98247021598169</v>
      </c>
      <c r="M102" t="str">
        <f t="shared" si="87"/>
        <v>*0.801022925677764</v>
      </c>
      <c r="N102" t="str">
        <f t="shared" si="87"/>
        <v>*1</v>
      </c>
      <c r="O102" t="str">
        <f t="shared" si="87"/>
        <v>*0.750312177594846</v>
      </c>
      <c r="P102" t="str">
        <f t="shared" si="87"/>
        <v>*0.870852828625521</v>
      </c>
      <c r="Q102" t="str">
        <f t="shared" si="87"/>
        <v>*0.766721004074585</v>
      </c>
      <c r="R102" t="str">
        <f t="shared" si="87"/>
        <v>*0.916481590266539</v>
      </c>
      <c r="S102" t="str">
        <f t="shared" si="87"/>
        <v>*0.868634629976933</v>
      </c>
      <c r="T102" t="str">
        <f t="shared" si="87"/>
        <v>*0.751789844164435</v>
      </c>
      <c r="U102" t="str">
        <f t="shared" si="87"/>
        <v>*0.831402561906822</v>
      </c>
      <c r="V102" t="str">
        <f t="shared" si="87"/>
        <v>*0.877090057188528</v>
      </c>
      <c r="W102" t="str">
        <f t="shared" si="87"/>
        <v>*0.913903595895035</v>
      </c>
      <c r="X102" t="str">
        <f t="shared" si="87"/>
        <v>*0.887582361489164</v>
      </c>
      <c r="Y102" t="str">
        <f t="shared" si="87"/>
        <v>*0.88826694111973</v>
      </c>
      <c r="Z102" t="str">
        <f t="shared" si="87"/>
        <v>*0.932017066676991</v>
      </c>
      <c r="AA102" t="str">
        <f t="shared" si="87"/>
        <v>*0.916481590266539</v>
      </c>
      <c r="AB102" t="str">
        <f t="shared" si="87"/>
        <v>*0.912611573794044</v>
      </c>
      <c r="AC102" t="str">
        <f t="shared" si="87"/>
        <v>*0.751789844164435</v>
      </c>
      <c r="AD102" t="str">
        <f t="shared" si="87"/>
        <v>*0.868636514902445</v>
      </c>
      <c r="AE102" t="str">
        <f t="shared" si="87"/>
        <v>*0.916280573443744</v>
      </c>
      <c r="AF102" t="str">
        <f t="shared" si="87"/>
        <v>*0.902440555603779</v>
      </c>
      <c r="AG102" t="str">
        <f t="shared" si="87"/>
        <v>*0.751789844164435</v>
      </c>
      <c r="AH102" t="str">
        <f t="shared" si="87"/>
        <v>*0.751789844164435</v>
      </c>
      <c r="AI102" t="str">
        <f t="shared" si="87"/>
        <v>*0.782553232285825</v>
      </c>
      <c r="AJ102" t="str">
        <f t="shared" si="87"/>
        <v>*0.983432278118349</v>
      </c>
      <c r="AK102" t="str">
        <f t="shared" si="87"/>
        <v>*0.916481590266539</v>
      </c>
      <c r="AL102" t="str">
        <f t="shared" si="87"/>
        <v>*0.907097458133649</v>
      </c>
      <c r="AM102" t="str">
        <f t="shared" si="87"/>
        <v>*0.858910478986323</v>
      </c>
      <c r="AN102" t="str">
        <f t="shared" si="87"/>
        <v>*0.890676709498201</v>
      </c>
      <c r="AO102" t="str">
        <f t="shared" si="87"/>
        <v>*0.751789844164435</v>
      </c>
      <c r="AP102" t="str">
        <f t="shared" si="87"/>
        <v>*0.868634823876442</v>
      </c>
      <c r="AQ102" t="str">
        <f t="shared" si="87"/>
        <v>*0.944703220399034</v>
      </c>
      <c r="AR102" t="str">
        <f t="shared" si="87"/>
        <v>*0.887897908847503</v>
      </c>
      <c r="AS102" s="49" t="str">
        <f t="shared" si="87"/>
        <v>*0.915420971135312</v>
      </c>
    </row>
    <row r="103" spans="1:45" ht="12.75">
      <c r="A103" t="str">
        <f t="shared" si="43"/>
        <v>C_ES-SH-OF_OI*</v>
      </c>
      <c r="C103" t="s">
        <v>60</v>
      </c>
      <c r="D103" t="str">
        <f t="shared" si="44"/>
        <v>C_ES-SH-OF_OI*</v>
      </c>
      <c r="F103" t="s">
        <v>121</v>
      </c>
      <c r="H103" s="54"/>
      <c r="I103" t="str">
        <f t="shared" si="88" ref="I103:AS103">I50</f>
        <v>*0.753773411000091</v>
      </c>
      <c r="J103" t="str">
        <f t="shared" si="88"/>
        <v>*0.957544163772634</v>
      </c>
      <c r="K103" t="str">
        <f t="shared" si="88"/>
        <v>*0.753773411000091</v>
      </c>
      <c r="L103" t="str">
        <f t="shared" si="88"/>
        <v>*0.983016992017122</v>
      </c>
      <c r="M103" t="str">
        <f t="shared" si="88"/>
        <v>*0.804716585177828</v>
      </c>
      <c r="N103" t="str">
        <f t="shared" si="88"/>
        <v>*1</v>
      </c>
      <c r="O103" t="str">
        <f t="shared" si="88"/>
        <v>*0.753771965014407</v>
      </c>
      <c r="P103" t="str">
        <f t="shared" si="88"/>
        <v>*0.872640058113471</v>
      </c>
      <c r="Q103" t="str">
        <f t="shared" si="88"/>
        <v>*0.715500925014401</v>
      </c>
      <c r="R103" t="str">
        <f t="shared" si="88"/>
        <v>*0.915094452005067</v>
      </c>
      <c r="S103" t="str">
        <f t="shared" si="88"/>
        <v>*0.872638584269094</v>
      </c>
      <c r="T103" t="str">
        <f t="shared" si="88"/>
        <v>*0.753773411000091</v>
      </c>
      <c r="U103" t="str">
        <f t="shared" si="88"/>
        <v>*0.830188634260304</v>
      </c>
      <c r="V103" t="str">
        <f t="shared" si="88"/>
        <v>*0.881132627863442</v>
      </c>
      <c r="W103" t="str">
        <f t="shared" si="88"/>
        <v>*0.915094198262907</v>
      </c>
      <c r="X103" t="str">
        <f t="shared" si="88"/>
        <v>*0.889621616188381</v>
      </c>
      <c r="Y103" t="str">
        <f t="shared" si="88"/>
        <v>*0.768692227740908</v>
      </c>
      <c r="Z103" t="str">
        <f t="shared" si="88"/>
        <v>*0.932072829532384</v>
      </c>
      <c r="AA103" t="str">
        <f t="shared" si="88"/>
        <v>*0.915094452005067</v>
      </c>
      <c r="AB103" t="str">
        <f t="shared" si="88"/>
        <v>*0.915090313213233</v>
      </c>
      <c r="AC103" t="str">
        <f t="shared" si="88"/>
        <v>*0.753773411000091</v>
      </c>
      <c r="AD103" t="str">
        <f t="shared" si="88"/>
        <v>*0.872642317322356</v>
      </c>
      <c r="AE103" t="str">
        <f t="shared" si="88"/>
        <v>*0.915091850300005</v>
      </c>
      <c r="AF103" t="str">
        <f t="shared" si="88"/>
        <v>*0.906603397591183</v>
      </c>
      <c r="AG103" t="str">
        <f t="shared" si="88"/>
        <v>*0.753773411000091</v>
      </c>
      <c r="AH103" t="str">
        <f t="shared" si="88"/>
        <v>*0.753773411000091</v>
      </c>
      <c r="AI103" t="str">
        <f t="shared" si="88"/>
        <v>*0.768692227740908</v>
      </c>
      <c r="AJ103" t="str">
        <f t="shared" si="88"/>
        <v>*0.983020136421328</v>
      </c>
      <c r="AK103" t="str">
        <f t="shared" si="88"/>
        <v>*0.915094452005067</v>
      </c>
      <c r="AL103" t="str">
        <f t="shared" si="88"/>
        <v>*0.906603703265176</v>
      </c>
      <c r="AM103" t="str">
        <f t="shared" si="88"/>
        <v>*0.855661126516543</v>
      </c>
      <c r="AN103" t="str">
        <f t="shared" si="88"/>
        <v>*0.893867563595842</v>
      </c>
      <c r="AO103" t="str">
        <f t="shared" si="88"/>
        <v>*0.753773411000091</v>
      </c>
      <c r="AP103" t="str">
        <f t="shared" si="88"/>
        <v>*0.872639506876678</v>
      </c>
      <c r="AQ103" t="str">
        <f t="shared" si="88"/>
        <v>*0.94905683960654</v>
      </c>
      <c r="AR103" t="str">
        <f t="shared" si="88"/>
        <v>*0.889623028548323</v>
      </c>
      <c r="AS103" s="49" t="str">
        <f t="shared" si="88"/>
        <v>*0.915091716306065</v>
      </c>
    </row>
    <row r="104" spans="1:45" ht="12.75">
      <c r="A104" t="str">
        <f t="shared" si="43"/>
        <v>C_ES-SH-OF_GE*</v>
      </c>
      <c r="C104" t="s">
        <v>60</v>
      </c>
      <c r="D104" t="str">
        <f t="shared" si="44"/>
        <v>C_ES-SH-OF_GE*</v>
      </c>
      <c r="F104" t="s">
        <v>121</v>
      </c>
      <c r="H104" s="54"/>
      <c r="I104" t="str">
        <f t="shared" si="89" ref="I104:AS104">I51</f>
        <v>*1</v>
      </c>
      <c r="J104" t="str">
        <f t="shared" si="89"/>
        <v>*1.18071512418715</v>
      </c>
      <c r="K104" t="str">
        <f t="shared" si="89"/>
        <v>*1</v>
      </c>
      <c r="L104" t="str">
        <f t="shared" si="89"/>
        <v>*1</v>
      </c>
      <c r="M104" t="str">
        <f t="shared" si="89"/>
        <v>*0.992265584693816</v>
      </c>
      <c r="N104" t="str">
        <f t="shared" si="89"/>
        <v>*1</v>
      </c>
      <c r="O104" t="str">
        <f t="shared" si="89"/>
        <v>*1</v>
      </c>
      <c r="P104" t="str">
        <f t="shared" si="89"/>
        <v>*1</v>
      </c>
      <c r="Q104" t="str">
        <f t="shared" si="89"/>
        <v>*0.7</v>
      </c>
      <c r="R104" t="str">
        <f t="shared" si="89"/>
        <v>*1</v>
      </c>
      <c r="S104" t="str">
        <f t="shared" si="89"/>
        <v>*1</v>
      </c>
      <c r="T104" t="str">
        <f t="shared" si="89"/>
        <v>*1</v>
      </c>
      <c r="U104" t="str">
        <f t="shared" si="89"/>
        <v>*1.02367221742178</v>
      </c>
      <c r="V104" t="str">
        <f t="shared" si="89"/>
        <v>*1</v>
      </c>
      <c r="W104" t="str">
        <f t="shared" si="89"/>
        <v>*1.12836642882944</v>
      </c>
      <c r="X104" t="str">
        <f t="shared" si="89"/>
        <v>*1.09695901278096</v>
      </c>
      <c r="Y104" t="str">
        <f t="shared" si="89"/>
        <v>*1.09695874032411</v>
      </c>
      <c r="Z104" t="str">
        <f t="shared" si="89"/>
        <v>*1</v>
      </c>
      <c r="AA104" t="str">
        <f t="shared" si="89"/>
        <v>*1</v>
      </c>
      <c r="AB104" t="str">
        <f t="shared" si="89"/>
        <v>*1.12836780488483</v>
      </c>
      <c r="AC104" t="str">
        <f t="shared" si="89"/>
        <v>*1</v>
      </c>
      <c r="AD104" t="str">
        <f t="shared" si="89"/>
        <v>*1</v>
      </c>
      <c r="AE104" t="str">
        <f t="shared" si="89"/>
        <v>*1</v>
      </c>
      <c r="AF104" t="str">
        <f t="shared" si="89"/>
        <v>*1</v>
      </c>
      <c r="AG104" t="str">
        <f t="shared" si="89"/>
        <v>*1</v>
      </c>
      <c r="AH104" t="str">
        <f t="shared" si="89"/>
        <v>*1</v>
      </c>
      <c r="AI104" t="str">
        <f t="shared" si="89"/>
        <v>*1</v>
      </c>
      <c r="AJ104" t="str">
        <f t="shared" si="89"/>
        <v>*1</v>
      </c>
      <c r="AK104" t="str">
        <f t="shared" si="89"/>
        <v>*1</v>
      </c>
      <c r="AL104" t="str">
        <f t="shared" si="89"/>
        <v>*1.11789847320821</v>
      </c>
      <c r="AM104" t="str">
        <f t="shared" si="89"/>
        <v>*1.05508137432188</v>
      </c>
      <c r="AN104" t="str">
        <f t="shared" si="89"/>
        <v>*1.10219424337653</v>
      </c>
      <c r="AO104" t="str">
        <f t="shared" si="89"/>
        <v>*1</v>
      </c>
      <c r="AP104" t="str">
        <f t="shared" si="89"/>
        <v>*1</v>
      </c>
      <c r="AQ104" t="str">
        <f t="shared" si="89"/>
        <v>*1.17024478027022</v>
      </c>
      <c r="AR104" t="str">
        <f t="shared" si="89"/>
        <v>*1.0969585751785</v>
      </c>
      <c r="AS104" s="49" t="str">
        <f t="shared" si="89"/>
        <v>*1.12836656997825</v>
      </c>
    </row>
    <row r="105" spans="1:45" ht="12.75">
      <c r="A105" t="str">
        <f t="shared" si="43"/>
        <v>C_ES-SH-OF_LP*</v>
      </c>
      <c r="C105" t="s">
        <v>60</v>
      </c>
      <c r="D105" t="str">
        <f t="shared" si="44"/>
        <v>C_ES-SH-OF_LP*</v>
      </c>
      <c r="F105" t="s">
        <v>121</v>
      </c>
      <c r="H105" s="54"/>
      <c r="I105" t="str">
        <f t="shared" si="90" ref="I105:AS105">I52</f>
        <v>*1</v>
      </c>
      <c r="J105" t="str">
        <f t="shared" si="90"/>
        <v>*1</v>
      </c>
      <c r="K105" t="str">
        <f t="shared" si="90"/>
        <v>*1</v>
      </c>
      <c r="L105" t="str">
        <f t="shared" si="90"/>
        <v>*1</v>
      </c>
      <c r="M105" t="str">
        <f t="shared" si="90"/>
        <v>*1</v>
      </c>
      <c r="N105" t="str">
        <f t="shared" si="90"/>
        <v>*1</v>
      </c>
      <c r="O105" t="str">
        <f t="shared" si="90"/>
        <v>*1</v>
      </c>
      <c r="P105" t="str">
        <f t="shared" si="90"/>
        <v>*1</v>
      </c>
      <c r="Q105" t="str">
        <f t="shared" si="90"/>
        <v>*0.666666666666667</v>
      </c>
      <c r="R105" t="str">
        <f t="shared" si="90"/>
        <v>*1</v>
      </c>
      <c r="S105" t="str">
        <f t="shared" si="90"/>
        <v>*1</v>
      </c>
      <c r="T105" t="str">
        <f t="shared" si="90"/>
        <v>*1</v>
      </c>
      <c r="U105" t="str">
        <f t="shared" si="90"/>
        <v>*1</v>
      </c>
      <c r="V105" t="str">
        <f t="shared" si="90"/>
        <v>*1</v>
      </c>
      <c r="W105" t="str">
        <f t="shared" si="90"/>
        <v>*1</v>
      </c>
      <c r="X105" t="str">
        <f t="shared" si="90"/>
        <v>*1</v>
      </c>
      <c r="Y105" t="str">
        <f t="shared" si="90"/>
        <v>*1</v>
      </c>
      <c r="Z105" t="str">
        <f t="shared" si="90"/>
        <v>*1</v>
      </c>
      <c r="AA105" t="str">
        <f t="shared" si="90"/>
        <v>*1</v>
      </c>
      <c r="AB105" t="str">
        <f t="shared" si="90"/>
        <v>*1.00831519600226</v>
      </c>
      <c r="AC105" t="str">
        <f t="shared" si="90"/>
        <v>*1</v>
      </c>
      <c r="AD105" t="str">
        <f t="shared" si="90"/>
        <v>*1</v>
      </c>
      <c r="AE105" t="str">
        <f t="shared" si="90"/>
        <v>*1.00831336713657</v>
      </c>
      <c r="AF105" t="str">
        <f t="shared" si="90"/>
        <v>*1</v>
      </c>
      <c r="AG105" t="str">
        <f t="shared" si="90"/>
        <v>*1</v>
      </c>
      <c r="AH105" t="str">
        <f t="shared" si="90"/>
        <v>*1</v>
      </c>
      <c r="AI105" t="str">
        <f t="shared" si="90"/>
        <v>*1</v>
      </c>
      <c r="AJ105" t="str">
        <f t="shared" si="90"/>
        <v>*1</v>
      </c>
      <c r="AK105" t="str">
        <f t="shared" si="90"/>
        <v>*1</v>
      </c>
      <c r="AL105" t="str">
        <f t="shared" si="90"/>
        <v>*1</v>
      </c>
      <c r="AM105" t="str">
        <f t="shared" si="90"/>
        <v>*1</v>
      </c>
      <c r="AN105" t="str">
        <f t="shared" si="90"/>
        <v>*1</v>
      </c>
      <c r="AO105" t="str">
        <f t="shared" si="90"/>
        <v>*1</v>
      </c>
      <c r="AP105" t="str">
        <f t="shared" si="90"/>
        <v>*1</v>
      </c>
      <c r="AQ105" t="str">
        <f t="shared" si="90"/>
        <v>*1.045737981492</v>
      </c>
      <c r="AR105" t="str">
        <f t="shared" si="90"/>
        <v>*1</v>
      </c>
      <c r="AS105" s="49" t="str">
        <f t="shared" si="90"/>
        <v>*1</v>
      </c>
    </row>
    <row r="106" spans="1:45" ht="12.75">
      <c r="A106" t="str">
        <f t="shared" si="43"/>
        <v>C_ES-SH-OF_CO*</v>
      </c>
      <c r="C106" t="s">
        <v>60</v>
      </c>
      <c r="D106" t="str">
        <f t="shared" si="44"/>
        <v>C_ES-SH-OF_CO*</v>
      </c>
      <c r="F106" t="s">
        <v>121</v>
      </c>
      <c r="H106" s="55"/>
      <c r="I106" s="50" t="str">
        <f t="shared" si="91" ref="I106:AS106">I53</f>
        <v>*0.806322012647686</v>
      </c>
      <c r="J106" s="50" t="str">
        <f t="shared" si="91"/>
        <v>*0.957546566204691</v>
      </c>
      <c r="K106" s="50" t="str">
        <f t="shared" si="91"/>
        <v>*0.806322012647686</v>
      </c>
      <c r="L106" s="50" t="str">
        <f t="shared" si="91"/>
        <v>*0.806322012647686</v>
      </c>
      <c r="M106" s="50" t="str">
        <f t="shared" si="91"/>
        <v>*0.804719068299585</v>
      </c>
      <c r="N106" s="50" t="str">
        <f t="shared" si="91"/>
        <v>*1</v>
      </c>
      <c r="O106" s="50" t="str">
        <f t="shared" si="91"/>
        <v>*0.806322012647686</v>
      </c>
      <c r="P106" s="50" t="str">
        <f t="shared" si="91"/>
        <v>*0.872641433460454</v>
      </c>
      <c r="Q106" s="50" t="str">
        <f t="shared" si="91"/>
        <v>*0.620099652691077</v>
      </c>
      <c r="R106" s="50" t="str">
        <f t="shared" si="91"/>
        <v>*0.806322012647686</v>
      </c>
      <c r="S106" s="50" t="str">
        <f t="shared" si="91"/>
        <v>*0.872643446827971</v>
      </c>
      <c r="T106" s="50" t="str">
        <f t="shared" si="91"/>
        <v>*0.806322012647686</v>
      </c>
      <c r="U106" s="50" t="str">
        <f t="shared" si="91"/>
        <v>*0.830187692790597</v>
      </c>
      <c r="V106" s="50" t="str">
        <f t="shared" si="91"/>
        <v>*0.88113082387544</v>
      </c>
      <c r="W106" s="50" t="str">
        <f t="shared" si="91"/>
        <v>*0.806322012647686</v>
      </c>
      <c r="X106" s="50" t="str">
        <f t="shared" si="91"/>
        <v>*0.889623229961177</v>
      </c>
      <c r="Y106" s="50" t="str">
        <f t="shared" si="91"/>
        <v>*0.889620935555759</v>
      </c>
      <c r="Z106" s="50" t="str">
        <f t="shared" si="91"/>
        <v>*0.806322012647686</v>
      </c>
      <c r="AA106" s="50" t="str">
        <f t="shared" si="91"/>
        <v>*0.806322012647686</v>
      </c>
      <c r="AB106" s="50" t="str">
        <f t="shared" si="91"/>
        <v>*0.806322012647686</v>
      </c>
      <c r="AC106" s="50" t="str">
        <f t="shared" si="91"/>
        <v>*0.806322012647686</v>
      </c>
      <c r="AD106" s="50" t="str">
        <f t="shared" si="91"/>
        <v>*0.87264257545149</v>
      </c>
      <c r="AE106" s="50" t="str">
        <f t="shared" si="91"/>
        <v>*0.806322012647686</v>
      </c>
      <c r="AF106" s="50" t="str">
        <f t="shared" si="91"/>
        <v>*0.906603887155439</v>
      </c>
      <c r="AG106" s="50" t="str">
        <f t="shared" si="91"/>
        <v>*0.806322012647686</v>
      </c>
      <c r="AH106" s="50" t="str">
        <f t="shared" si="91"/>
        <v>*0.806322012647686</v>
      </c>
      <c r="AI106" s="50" t="str">
        <f t="shared" si="91"/>
        <v>*0.806322012647686</v>
      </c>
      <c r="AJ106" s="50" t="str">
        <f t="shared" si="91"/>
        <v>*0.983019632318116</v>
      </c>
      <c r="AK106" s="50" t="str">
        <f t="shared" si="91"/>
        <v>*0.806322012647686</v>
      </c>
      <c r="AL106" s="50" t="str">
        <f t="shared" si="91"/>
        <v>*0.906604351626599</v>
      </c>
      <c r="AM106" s="50" t="str">
        <f t="shared" si="91"/>
        <v>*0.806322012647686</v>
      </c>
      <c r="AN106" s="50" t="str">
        <f t="shared" si="91"/>
        <v>*0.89386762861896</v>
      </c>
      <c r="AO106" s="50" t="str">
        <f t="shared" si="91"/>
        <v>*0.806322012647686</v>
      </c>
      <c r="AP106" s="50" t="str">
        <f t="shared" si="91"/>
        <v>*0.806322012647686</v>
      </c>
      <c r="AQ106" s="50" t="str">
        <f t="shared" si="91"/>
        <v>*0.806322012647686</v>
      </c>
      <c r="AR106" s="50" t="str">
        <f t="shared" si="91"/>
        <v>*0.889622985856844</v>
      </c>
      <c r="AS106" s="52" t="str">
        <f t="shared" si="91"/>
        <v>*0.915091066360072</v>
      </c>
    </row>
  </sheetData>
  <pageMargins left="0.7" right="0.7" top="0.75" bottom="0.75" header="0.3" footer="0.3"/>
  <pageSetup orientation="portrait" paperSize="1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X138"/>
  <sheetViews>
    <sheetView workbookViewId="0" topLeftCell="A1">
      <selection pane="topLeft" activeCell="H31" sqref="H31"/>
    </sheetView>
  </sheetViews>
  <sheetFormatPr defaultRowHeight="12.75"/>
  <cols>
    <col min="1" max="1" width="16.8571428571429" bestFit="1" customWidth="1"/>
    <col min="6" max="6" width="18.5714285714286" bestFit="1" customWidth="1"/>
  </cols>
  <sheetData>
    <row r="2" spans="1:3" ht="15">
      <c r="A2" s="6" t="s">
        <v>52</v>
      </c>
      <c r="C2" s="4" t="s">
        <v>51</v>
      </c>
    </row>
    <row r="3" spans="3:45" ht="12.75">
      <c r="C3" t="s">
        <v>35</v>
      </c>
      <c r="D3" t="s">
        <v>48</v>
      </c>
      <c r="E3" t="s">
        <v>43</v>
      </c>
      <c r="F3" t="s">
        <v>39</v>
      </c>
      <c r="G3" t="s">
        <v>49</v>
      </c>
      <c r="H3" t="s">
        <v>46</v>
      </c>
      <c r="I3" t="str">
        <f>RES_SpHeat!L$1</f>
        <v>AL</v>
      </c>
      <c r="J3" t="str">
        <f>RES_SpHeat!M$1</f>
        <v>AT</v>
      </c>
      <c r="K3" t="str">
        <f>RES_SpHeat!N$1</f>
        <v>BA</v>
      </c>
      <c r="L3" t="str">
        <f>RES_SpHeat!O$1</f>
        <v>BE</v>
      </c>
      <c r="M3" t="str">
        <f>RES_SpHeat!P$1</f>
        <v>BG</v>
      </c>
      <c r="N3" t="str">
        <f>RES_SpHeat!Q$1</f>
        <v>CH</v>
      </c>
      <c r="O3" t="str">
        <f>RES_SpHeat!R$1</f>
        <v>CY</v>
      </c>
      <c r="P3" t="str">
        <f>RES_SpHeat!S$1</f>
        <v>CZ</v>
      </c>
      <c r="Q3" t="str">
        <f>RES_SpHeat!T$1</f>
        <v>DE</v>
      </c>
      <c r="R3" t="str">
        <f>RES_SpHeat!U$1</f>
        <v>DK</v>
      </c>
      <c r="S3" t="str">
        <f>RES_SpHeat!V$1</f>
        <v>EE</v>
      </c>
      <c r="T3" t="str">
        <f>RES_SpHeat!W$1</f>
        <v>EL</v>
      </c>
      <c r="U3" t="str">
        <f>RES_SpHeat!X$1</f>
        <v>ES</v>
      </c>
      <c r="V3" t="str">
        <f>RES_SpHeat!Y$1</f>
        <v>FI</v>
      </c>
      <c r="W3" t="str">
        <f>RES_SpHeat!Z$1</f>
        <v>FR</v>
      </c>
      <c r="X3" t="str">
        <f>RES_SpHeat!AA$1</f>
        <v>HR</v>
      </c>
      <c r="Y3" t="str">
        <f>RES_SpHeat!AB$1</f>
        <v>HU</v>
      </c>
      <c r="Z3" t="str">
        <f>RES_SpHeat!AC$1</f>
        <v>IE</v>
      </c>
      <c r="AA3" t="str">
        <f>RES_SpHeat!AD$1</f>
        <v>IS</v>
      </c>
      <c r="AB3" t="str">
        <f>RES_SpHeat!AE$1</f>
        <v>IT</v>
      </c>
      <c r="AC3" t="str">
        <f>RES_SpHeat!AF$1</f>
        <v>KS</v>
      </c>
      <c r="AD3" t="str">
        <f>RES_SpHeat!AG$1</f>
        <v>LT</v>
      </c>
      <c r="AE3" t="str">
        <f>RES_SpHeat!AH$1</f>
        <v>LU</v>
      </c>
      <c r="AF3" t="str">
        <f>RES_SpHeat!AI$1</f>
        <v>LV</v>
      </c>
      <c r="AG3" t="str">
        <f>RES_SpHeat!AJ$1</f>
        <v>ME</v>
      </c>
      <c r="AH3" t="str">
        <f>RES_SpHeat!AK$1</f>
        <v>MK</v>
      </c>
      <c r="AI3" t="str">
        <f>RES_SpHeat!AL$1</f>
        <v>MT</v>
      </c>
      <c r="AJ3" t="str">
        <f>RES_SpHeat!AM$1</f>
        <v>NL</v>
      </c>
      <c r="AK3" t="str">
        <f>RES_SpHeat!AN$1</f>
        <v>NO</v>
      </c>
      <c r="AL3" t="str">
        <f>RES_SpHeat!AO$1</f>
        <v>PL</v>
      </c>
      <c r="AM3" t="str">
        <f>RES_SpHeat!AP$1</f>
        <v>PT</v>
      </c>
      <c r="AN3" t="str">
        <f>RES_SpHeat!AQ$1</f>
        <v>RO</v>
      </c>
      <c r="AO3" t="str">
        <f>RES_SpHeat!AR$1</f>
        <v>RS</v>
      </c>
      <c r="AP3" t="str">
        <f>RES_SpHeat!AS$1</f>
        <v>SE</v>
      </c>
      <c r="AQ3" t="str">
        <f>RES_SpHeat!AT$1</f>
        <v>SI</v>
      </c>
      <c r="AR3" t="str">
        <f>RES_SpHeat!AU$1</f>
        <v>SK</v>
      </c>
      <c r="AS3" t="str">
        <f>RES_SpHeat!AV$1</f>
        <v>UK</v>
      </c>
    </row>
    <row r="4" spans="1:45" ht="15">
      <c r="A4" s="3" t="s">
        <v>61</v>
      </c>
      <c r="C4" t="s">
        <v>52</v>
      </c>
      <c r="D4" t="str">
        <f t="shared" si="0" ref="D4:D12">A4</f>
        <v>R_ES-WH-FL_*</v>
      </c>
      <c r="H4" s="37">
        <f t="shared" si="1" ref="H4:H26">AVERAGE(I4:AS4)</f>
        <v>0.078396422016540124</v>
      </c>
      <c r="I4" s="38">
        <f>IFERROR(AVERAGEIFS(RES_WatHeat!L$2:L$999,RES_WatHeat!$B$2:$B$999,"="&amp;$A$2,RES_WatHeat!$C$2:$C$999,"="&amp;'INS-UPD WaterHeat'!$A4),"")</f>
        <v>0.093058422165803095</v>
      </c>
      <c r="J4" s="38">
        <f>IFERROR(AVERAGEIFS(RES_WatHeat!M$2:M$999,RES_WatHeat!$B$2:$B$999,"="&amp;$A$2,RES_WatHeat!$C$2:$C$999,"="&amp;'INS-UPD WaterHeat'!$A4),"")</f>
        <v>0.098114212154323394</v>
      </c>
      <c r="K4" s="38">
        <f>IFERROR(AVERAGEIFS(RES_WatHeat!N$2:N$999,RES_WatHeat!$B$2:$B$999,"="&amp;$A$2,RES_WatHeat!$C$2:$C$999,"="&amp;'INS-UPD WaterHeat'!$A4),"")</f>
        <v>0.0490965502324366</v>
      </c>
      <c r="L4" s="38">
        <f>IFERROR(AVERAGEIFS(RES_WatHeat!O$2:O$999,RES_WatHeat!$B$2:$B$999,"="&amp;$A$2,RES_WatHeat!$C$2:$C$999,"="&amp;'INS-UPD WaterHeat'!$A4),"")</f>
        <v>0.083079117969767996</v>
      </c>
      <c r="M4" s="38">
        <f>IFERROR(AVERAGEIFS(RES_WatHeat!P$2:P$999,RES_WatHeat!$B$2:$B$999,"="&amp;$A$2,RES_WatHeat!$C$2:$C$999,"="&amp;'INS-UPD WaterHeat'!$A4),"")</f>
        <v>0.066147178605152193</v>
      </c>
      <c r="N4" s="38">
        <f>IFERROR(AVERAGEIFS(RES_WatHeat!Q$2:Q$999,RES_WatHeat!$B$2:$B$999,"="&amp;$A$2,RES_WatHeat!$C$2:$C$999,"="&amp;'INS-UPD WaterHeat'!$A4),"")</f>
        <v>0.074211691178395003</v>
      </c>
      <c r="O4" s="38">
        <f>IFERROR(AVERAGEIFS(RES_WatHeat!R$2:R$999,RES_WatHeat!$B$2:$B$999,"="&amp;$A$2,RES_WatHeat!$C$2:$C$999,"="&amp;'INS-UPD WaterHeat'!$A4),"")</f>
        <v>0.0825623062937626</v>
      </c>
      <c r="P4" s="38">
        <f>IFERROR(AVERAGEIFS(RES_WatHeat!S$2:S$999,RES_WatHeat!$B$2:$B$999,"="&amp;$A$2,RES_WatHeat!$C$2:$C$999,"="&amp;'INS-UPD WaterHeat'!$A4),"")</f>
        <v>0.062139081723197799</v>
      </c>
      <c r="Q4" s="38">
        <f>IFERROR(AVERAGEIFS(RES_WatHeat!T$2:T$999,RES_WatHeat!$B$2:$B$999,"="&amp;$A$2,RES_WatHeat!$C$2:$C$999,"="&amp;'INS-UPD WaterHeat'!$A4),"")</f>
        <v>0.080311259575067295</v>
      </c>
      <c r="R4" s="38">
        <f>IFERROR(AVERAGEIFS(RES_WatHeat!U$2:U$999,RES_WatHeat!$B$2:$B$999,"="&amp;$A$2,RES_WatHeat!$C$2:$C$999,"="&amp;'INS-UPD WaterHeat'!$A4),"")</f>
        <v>0.084785725062879694</v>
      </c>
      <c r="S4" s="38">
        <f>IFERROR(AVERAGEIFS(RES_WatHeat!V$2:V$999,RES_WatHeat!$B$2:$B$999,"="&amp;$A$2,RES_WatHeat!$C$2:$C$999,"="&amp;'INS-UPD WaterHeat'!$A4),"")</f>
        <v>0.077938143429807302</v>
      </c>
      <c r="T4" s="38">
        <f>IFERROR(AVERAGEIFS(RES_WatHeat!W$2:W$999,RES_WatHeat!$B$2:$B$999,"="&amp;$A$2,RES_WatHeat!$C$2:$C$999,"="&amp;'INS-UPD WaterHeat'!$A4),"")</f>
        <v>0.090885466316056804</v>
      </c>
      <c r="U4" s="38">
        <f>IFERROR(AVERAGEIFS(RES_WatHeat!X$2:X$999,RES_WatHeat!$B$2:$B$999,"="&amp;$A$2,RES_WatHeat!$C$2:$C$999,"="&amp;'INS-UPD WaterHeat'!$A4),"")</f>
        <v>0.10473577564943801</v>
      </c>
      <c r="V4" s="38">
        <f>IFERROR(AVERAGEIFS(RES_WatHeat!Y$2:Y$999,RES_WatHeat!$B$2:$B$999,"="&amp;$A$2,RES_WatHeat!$C$2:$C$999,"="&amp;'INS-UPD WaterHeat'!$A4),"")</f>
        <v>0.099061125762371693</v>
      </c>
      <c r="W4" s="38">
        <f>IFERROR(AVERAGEIFS(RES_WatHeat!Z$2:Z$999,RES_WatHeat!$B$2:$B$999,"="&amp;$A$2,RES_WatHeat!$C$2:$C$999,"="&amp;'INS-UPD WaterHeat'!$A4),"")</f>
        <v>0.086800545446925503</v>
      </c>
      <c r="X4" s="38">
        <f>IFERROR(AVERAGEIFS(RES_WatHeat!AA$2:AA$999,RES_WatHeat!$B$2:$B$999,"="&amp;$A$2,RES_WatHeat!$C$2:$C$999,"="&amp;'INS-UPD WaterHeat'!$A4),"")</f>
        <v>0.053516627698683997</v>
      </c>
      <c r="Y4" s="38">
        <f>IFERROR(AVERAGEIFS(RES_WatHeat!AB$2:AB$999,RES_WatHeat!$B$2:$B$999,"="&amp;$A$2,RES_WatHeat!$C$2:$C$999,"="&amp;'INS-UPD WaterHeat'!$A4),"")</f>
        <v>0.046530933052753298</v>
      </c>
      <c r="Z4" s="38">
        <f>IFERROR(AVERAGEIFS(RES_WatHeat!AC$2:AC$999,RES_WatHeat!$B$2:$B$999,"="&amp;$A$2,RES_WatHeat!$C$2:$C$999,"="&amp;'INS-UPD WaterHeat'!$A4),"")</f>
        <v>0.093761825223416903</v>
      </c>
      <c r="AA4" s="38">
        <f>IFERROR(AVERAGEIFS(RES_WatHeat!AD$2:AD$999,RES_WatHeat!$B$2:$B$999,"="&amp;$A$2,RES_WatHeat!$C$2:$C$999,"="&amp;'INS-UPD WaterHeat'!$A4),"")</f>
        <v>0.091844507818219803</v>
      </c>
      <c r="AB4" s="38">
        <f>IFERROR(AVERAGEIFS(RES_WatHeat!AE$2:AE$999,RES_WatHeat!$B$2:$B$999,"="&amp;$A$2,RES_WatHeat!$C$2:$C$999,"="&amp;'INS-UPD WaterHeat'!$A4),"")</f>
        <v>0.073626448720717802</v>
      </c>
      <c r="AC4" s="38">
        <f>IFERROR(AVERAGEIFS(RES_WatHeat!AF$2:AF$999,RES_WatHeat!$B$2:$B$999,"="&amp;$A$2,RES_WatHeat!$C$2:$C$999,"="&amp;'INS-UPD WaterHeat'!$A4),"")</f>
        <v>0.0373576487293307</v>
      </c>
      <c r="AD4" s="38">
        <f>IFERROR(AVERAGEIFS(RES_WatHeat!AG$2:AG$999,RES_WatHeat!$B$2:$B$999,"="&amp;$A$2,RES_WatHeat!$C$2:$C$999,"="&amp;'INS-UPD WaterHeat'!$A4),"")</f>
        <v>0.064028054866370199</v>
      </c>
      <c r="AE4" s="38">
        <f>IFERROR(AVERAGEIFS(RES_WatHeat!AH$2:AH$999,RES_WatHeat!$B$2:$B$999,"="&amp;$A$2,RES_WatHeat!$C$2:$C$999,"="&amp;'INS-UPD WaterHeat'!$A4),"")</f>
        <v>0.066808015684781202</v>
      </c>
      <c r="AF4" s="38">
        <f>IFERROR(AVERAGEIFS(RES_WatHeat!AI$2:AI$999,RES_WatHeat!$B$2:$B$999,"="&amp;$A$2,RES_WatHeat!$C$2:$C$999,"="&amp;'INS-UPD WaterHeat'!$A4),"")</f>
        <v>0.089825876321694004</v>
      </c>
      <c r="AG4" s="38">
        <f>IFERROR(AVERAGEIFS(RES_WatHeat!AJ$2:AJ$999,RES_WatHeat!$B$2:$B$999,"="&amp;$A$2,RES_WatHeat!$C$2:$C$999,"="&amp;'INS-UPD WaterHeat'!$A4),"")</f>
        <v>0.066181096238732903</v>
      </c>
      <c r="AH4" s="38">
        <f>IFERROR(AVERAGEIFS(RES_WatHeat!AK$2:AK$999,RES_WatHeat!$B$2:$B$999,"="&amp;$A$2,RES_WatHeat!$C$2:$C$999,"="&amp;'INS-UPD WaterHeat'!$A4),"")</f>
        <v>0.054634777034796501</v>
      </c>
      <c r="AI4" s="38">
        <f>IFERROR(AVERAGEIFS(RES_WatHeat!AL$2:AL$999,RES_WatHeat!$B$2:$B$999,"="&amp;$A$2,RES_WatHeat!$C$2:$C$999,"="&amp;'INS-UPD WaterHeat'!$A4),"")</f>
        <v>0.040185265556057198</v>
      </c>
      <c r="AJ4" s="38">
        <f>IFERROR(AVERAGEIFS(RES_WatHeat!AM$2:AM$999,RES_WatHeat!$B$2:$B$999,"="&amp;$A$2,RES_WatHeat!$C$2:$C$999,"="&amp;'INS-UPD WaterHeat'!$A4),"")</f>
        <v>0.080612653968766199</v>
      </c>
      <c r="AK4" s="38">
        <f>IFERROR(AVERAGEIFS(RES_WatHeat!AN$2:AN$999,RES_WatHeat!$B$2:$B$999,"="&amp;$A$2,RES_WatHeat!$C$2:$C$999,"="&amp;'INS-UPD WaterHeat'!$A4),"")</f>
        <v>0.134377699656482</v>
      </c>
      <c r="AL4" s="38">
        <f>IFERROR(AVERAGEIFS(RES_WatHeat!AO$2:AO$999,RES_WatHeat!$B$2:$B$999,"="&amp;$A$2,RES_WatHeat!$C$2:$C$999,"="&amp;'INS-UPD WaterHeat'!$A4),"")</f>
        <v>0.080032808079200296</v>
      </c>
      <c r="AM4" s="38">
        <f>IFERROR(AVERAGEIFS(RES_WatHeat!AP$2:AP$999,RES_WatHeat!$B$2:$B$999,"="&amp;$A$2,RES_WatHeat!$C$2:$C$999,"="&amp;'INS-UPD WaterHeat'!$A4),"")</f>
        <v>0.129212214049823</v>
      </c>
      <c r="AN4" s="38">
        <f>IFERROR(AVERAGEIFS(RES_WatHeat!AQ$2:AQ$999,RES_WatHeat!$B$2:$B$999,"="&amp;$A$2,RES_WatHeat!$C$2:$C$999,"="&amp;'INS-UPD WaterHeat'!$A4),"")</f>
        <v>0.053629584514042802</v>
      </c>
      <c r="AO4" s="38">
        <f>IFERROR(AVERAGEIFS(RES_WatHeat!AR$2:AR$999,RES_WatHeat!$B$2:$B$999,"="&amp;$A$2,RES_WatHeat!$C$2:$C$999,"="&amp;'INS-UPD WaterHeat'!$A4),"")</f>
        <v>0.060409676326461201</v>
      </c>
      <c r="AP4" s="38">
        <f>IFERROR(AVERAGEIFS(RES_WatHeat!AS$2:AS$999,RES_WatHeat!$B$2:$B$999,"="&amp;$A$2,RES_WatHeat!$C$2:$C$999,"="&amp;'INS-UPD WaterHeat'!$A4),"")</f>
        <v>0.081045461002581601</v>
      </c>
      <c r="AQ4" s="38">
        <f>IFERROR(AVERAGEIFS(RES_WatHeat!AT$2:AT$999,RES_WatHeat!$B$2:$B$999,"="&amp;$A$2,RES_WatHeat!$C$2:$C$999,"="&amp;'INS-UPD WaterHeat'!$A4),"")</f>
        <v>0.107895932166819</v>
      </c>
      <c r="AR4" s="38">
        <f>IFERROR(AVERAGEIFS(RES_WatHeat!AU$2:AU$999,RES_WatHeat!$B$2:$B$999,"="&amp;$A$2,RES_WatHeat!$C$2:$C$999,"="&amp;'INS-UPD WaterHeat'!$A4),"")</f>
        <v>0.081901284946787306</v>
      </c>
      <c r="AS4" s="39">
        <f>IFERROR(AVERAGEIFS(RES_WatHeat!AV$2:AV$999,RES_WatHeat!$B$2:$B$999,"="&amp;$A$2,RES_WatHeat!$C$2:$C$999,"="&amp;'INS-UPD WaterHeat'!$A4),"")</f>
        <v>0.080322621390082199</v>
      </c>
    </row>
    <row r="5" spans="1:45" ht="15">
      <c r="A5" s="3" t="s">
        <v>64</v>
      </c>
      <c r="C5" t="s">
        <v>52</v>
      </c>
      <c r="D5" t="str">
        <f t="shared" si="0"/>
        <v>R_ES-WH-FL_EL*</v>
      </c>
      <c r="H5" s="40">
        <f t="shared" si="1"/>
        <v>0.078396422016540124</v>
      </c>
      <c r="I5" s="2">
        <f>IFERROR(AVERAGEIFS(RES_WatHeat!L$2:L$999,RES_WatHeat!$B$2:$B$999,"="&amp;$A$2,RES_WatHeat!$C$2:$C$999,"="&amp;'INS-UPD WaterHeat'!$A5),"")</f>
        <v>0.093058422165803095</v>
      </c>
      <c r="J5" s="2">
        <f>IFERROR(AVERAGEIFS(RES_WatHeat!M$2:M$999,RES_WatHeat!$B$2:$B$999,"="&amp;$A$2,RES_WatHeat!$C$2:$C$999,"="&amp;'INS-UPD WaterHeat'!$A5),"")</f>
        <v>0.098114212154323394</v>
      </c>
      <c r="K5" s="2">
        <f>IFERROR(AVERAGEIFS(RES_WatHeat!N$2:N$999,RES_WatHeat!$B$2:$B$999,"="&amp;$A$2,RES_WatHeat!$C$2:$C$999,"="&amp;'INS-UPD WaterHeat'!$A5),"")</f>
        <v>0.0490965502324366</v>
      </c>
      <c r="L5" s="2">
        <f>IFERROR(AVERAGEIFS(RES_WatHeat!O$2:O$999,RES_WatHeat!$B$2:$B$999,"="&amp;$A$2,RES_WatHeat!$C$2:$C$999,"="&amp;'INS-UPD WaterHeat'!$A5),"")</f>
        <v>0.083079117969767996</v>
      </c>
      <c r="M5" s="2">
        <f>IFERROR(AVERAGEIFS(RES_WatHeat!P$2:P$999,RES_WatHeat!$B$2:$B$999,"="&amp;$A$2,RES_WatHeat!$C$2:$C$999,"="&amp;'INS-UPD WaterHeat'!$A5),"")</f>
        <v>0.066147178605152193</v>
      </c>
      <c r="N5" s="2">
        <f>IFERROR(AVERAGEIFS(RES_WatHeat!Q$2:Q$999,RES_WatHeat!$B$2:$B$999,"="&amp;$A$2,RES_WatHeat!$C$2:$C$999,"="&amp;'INS-UPD WaterHeat'!$A5),"")</f>
        <v>0.074211691178395003</v>
      </c>
      <c r="O5" s="2">
        <f>IFERROR(AVERAGEIFS(RES_WatHeat!R$2:R$999,RES_WatHeat!$B$2:$B$999,"="&amp;$A$2,RES_WatHeat!$C$2:$C$999,"="&amp;'INS-UPD WaterHeat'!$A5),"")</f>
        <v>0.0825623062937626</v>
      </c>
      <c r="P5" s="2">
        <f>IFERROR(AVERAGEIFS(RES_WatHeat!S$2:S$999,RES_WatHeat!$B$2:$B$999,"="&amp;$A$2,RES_WatHeat!$C$2:$C$999,"="&amp;'INS-UPD WaterHeat'!$A5),"")</f>
        <v>0.062139081723197799</v>
      </c>
      <c r="Q5" s="2">
        <f>IFERROR(AVERAGEIFS(RES_WatHeat!T$2:T$999,RES_WatHeat!$B$2:$B$999,"="&amp;$A$2,RES_WatHeat!$C$2:$C$999,"="&amp;'INS-UPD WaterHeat'!$A5),"")</f>
        <v>0.080311259575067295</v>
      </c>
      <c r="R5" s="2">
        <f>IFERROR(AVERAGEIFS(RES_WatHeat!U$2:U$999,RES_WatHeat!$B$2:$B$999,"="&amp;$A$2,RES_WatHeat!$C$2:$C$999,"="&amp;'INS-UPD WaterHeat'!$A5),"")</f>
        <v>0.084785725062879694</v>
      </c>
      <c r="S5" s="2">
        <f>IFERROR(AVERAGEIFS(RES_WatHeat!V$2:V$999,RES_WatHeat!$B$2:$B$999,"="&amp;$A$2,RES_WatHeat!$C$2:$C$999,"="&amp;'INS-UPD WaterHeat'!$A5),"")</f>
        <v>0.077938143429807302</v>
      </c>
      <c r="T5" s="2">
        <f>IFERROR(AVERAGEIFS(RES_WatHeat!W$2:W$999,RES_WatHeat!$B$2:$B$999,"="&amp;$A$2,RES_WatHeat!$C$2:$C$999,"="&amp;'INS-UPD WaterHeat'!$A5),"")</f>
        <v>0.090885466316056804</v>
      </c>
      <c r="U5" s="2">
        <f>IFERROR(AVERAGEIFS(RES_WatHeat!X$2:X$999,RES_WatHeat!$B$2:$B$999,"="&amp;$A$2,RES_WatHeat!$C$2:$C$999,"="&amp;'INS-UPD WaterHeat'!$A5),"")</f>
        <v>0.10473577564943801</v>
      </c>
      <c r="V5" s="2">
        <f>IFERROR(AVERAGEIFS(RES_WatHeat!Y$2:Y$999,RES_WatHeat!$B$2:$B$999,"="&amp;$A$2,RES_WatHeat!$C$2:$C$999,"="&amp;'INS-UPD WaterHeat'!$A5),"")</f>
        <v>0.099061125762371693</v>
      </c>
      <c r="W5" s="2">
        <f>IFERROR(AVERAGEIFS(RES_WatHeat!Z$2:Z$999,RES_WatHeat!$B$2:$B$999,"="&amp;$A$2,RES_WatHeat!$C$2:$C$999,"="&amp;'INS-UPD WaterHeat'!$A5),"")</f>
        <v>0.086800545446925503</v>
      </c>
      <c r="X5" s="2">
        <f>IFERROR(AVERAGEIFS(RES_WatHeat!AA$2:AA$999,RES_WatHeat!$B$2:$B$999,"="&amp;$A$2,RES_WatHeat!$C$2:$C$999,"="&amp;'INS-UPD WaterHeat'!$A5),"")</f>
        <v>0.053516627698683997</v>
      </c>
      <c r="Y5" s="2">
        <f>IFERROR(AVERAGEIFS(RES_WatHeat!AB$2:AB$999,RES_WatHeat!$B$2:$B$999,"="&amp;$A$2,RES_WatHeat!$C$2:$C$999,"="&amp;'INS-UPD WaterHeat'!$A5),"")</f>
        <v>0.046530933052753298</v>
      </c>
      <c r="Z5" s="2">
        <f>IFERROR(AVERAGEIFS(RES_WatHeat!AC$2:AC$999,RES_WatHeat!$B$2:$B$999,"="&amp;$A$2,RES_WatHeat!$C$2:$C$999,"="&amp;'INS-UPD WaterHeat'!$A5),"")</f>
        <v>0.093761825223416903</v>
      </c>
      <c r="AA5" s="2">
        <f>IFERROR(AVERAGEIFS(RES_WatHeat!AD$2:AD$999,RES_WatHeat!$B$2:$B$999,"="&amp;$A$2,RES_WatHeat!$C$2:$C$999,"="&amp;'INS-UPD WaterHeat'!$A5),"")</f>
        <v>0.091844507818219803</v>
      </c>
      <c r="AB5" s="2">
        <f>IFERROR(AVERAGEIFS(RES_WatHeat!AE$2:AE$999,RES_WatHeat!$B$2:$B$999,"="&amp;$A$2,RES_WatHeat!$C$2:$C$999,"="&amp;'INS-UPD WaterHeat'!$A5),"")</f>
        <v>0.073626448720717802</v>
      </c>
      <c r="AC5" s="2">
        <f>IFERROR(AVERAGEIFS(RES_WatHeat!AF$2:AF$999,RES_WatHeat!$B$2:$B$999,"="&amp;$A$2,RES_WatHeat!$C$2:$C$999,"="&amp;'INS-UPD WaterHeat'!$A5),"")</f>
        <v>0.0373576487293307</v>
      </c>
      <c r="AD5" s="2">
        <f>IFERROR(AVERAGEIFS(RES_WatHeat!AG$2:AG$999,RES_WatHeat!$B$2:$B$999,"="&amp;$A$2,RES_WatHeat!$C$2:$C$999,"="&amp;'INS-UPD WaterHeat'!$A5),"")</f>
        <v>0.064028054866370199</v>
      </c>
      <c r="AE5" s="2">
        <f>IFERROR(AVERAGEIFS(RES_WatHeat!AH$2:AH$999,RES_WatHeat!$B$2:$B$999,"="&amp;$A$2,RES_WatHeat!$C$2:$C$999,"="&amp;'INS-UPD WaterHeat'!$A5),"")</f>
        <v>0.066808015684781202</v>
      </c>
      <c r="AF5" s="2">
        <f>IFERROR(AVERAGEIFS(RES_WatHeat!AI$2:AI$999,RES_WatHeat!$B$2:$B$999,"="&amp;$A$2,RES_WatHeat!$C$2:$C$999,"="&amp;'INS-UPD WaterHeat'!$A5),"")</f>
        <v>0.089825876321694004</v>
      </c>
      <c r="AG5" s="2">
        <f>IFERROR(AVERAGEIFS(RES_WatHeat!AJ$2:AJ$999,RES_WatHeat!$B$2:$B$999,"="&amp;$A$2,RES_WatHeat!$C$2:$C$999,"="&amp;'INS-UPD WaterHeat'!$A5),"")</f>
        <v>0.066181096238732903</v>
      </c>
      <c r="AH5" s="2">
        <f>IFERROR(AVERAGEIFS(RES_WatHeat!AK$2:AK$999,RES_WatHeat!$B$2:$B$999,"="&amp;$A$2,RES_WatHeat!$C$2:$C$999,"="&amp;'INS-UPD WaterHeat'!$A5),"")</f>
        <v>0.054634777034796501</v>
      </c>
      <c r="AI5" s="2">
        <f>IFERROR(AVERAGEIFS(RES_WatHeat!AL$2:AL$999,RES_WatHeat!$B$2:$B$999,"="&amp;$A$2,RES_WatHeat!$C$2:$C$999,"="&amp;'INS-UPD WaterHeat'!$A5),"")</f>
        <v>0.040185265556057198</v>
      </c>
      <c r="AJ5" s="2">
        <f>IFERROR(AVERAGEIFS(RES_WatHeat!AM$2:AM$999,RES_WatHeat!$B$2:$B$999,"="&amp;$A$2,RES_WatHeat!$C$2:$C$999,"="&amp;'INS-UPD WaterHeat'!$A5),"")</f>
        <v>0.080612653968766199</v>
      </c>
      <c r="AK5" s="2">
        <f>IFERROR(AVERAGEIFS(RES_WatHeat!AN$2:AN$999,RES_WatHeat!$B$2:$B$999,"="&amp;$A$2,RES_WatHeat!$C$2:$C$999,"="&amp;'INS-UPD WaterHeat'!$A5),"")</f>
        <v>0.134377699656482</v>
      </c>
      <c r="AL5" s="2">
        <f>IFERROR(AVERAGEIFS(RES_WatHeat!AO$2:AO$999,RES_WatHeat!$B$2:$B$999,"="&amp;$A$2,RES_WatHeat!$C$2:$C$999,"="&amp;'INS-UPD WaterHeat'!$A5),"")</f>
        <v>0.080032808079200296</v>
      </c>
      <c r="AM5" s="2">
        <f>IFERROR(AVERAGEIFS(RES_WatHeat!AP$2:AP$999,RES_WatHeat!$B$2:$B$999,"="&amp;$A$2,RES_WatHeat!$C$2:$C$999,"="&amp;'INS-UPD WaterHeat'!$A5),"")</f>
        <v>0.129212214049823</v>
      </c>
      <c r="AN5" s="2">
        <f>IFERROR(AVERAGEIFS(RES_WatHeat!AQ$2:AQ$999,RES_WatHeat!$B$2:$B$999,"="&amp;$A$2,RES_WatHeat!$C$2:$C$999,"="&amp;'INS-UPD WaterHeat'!$A5),"")</f>
        <v>0.053629584514042802</v>
      </c>
      <c r="AO5" s="2">
        <f>IFERROR(AVERAGEIFS(RES_WatHeat!AR$2:AR$999,RES_WatHeat!$B$2:$B$999,"="&amp;$A$2,RES_WatHeat!$C$2:$C$999,"="&amp;'INS-UPD WaterHeat'!$A5),"")</f>
        <v>0.060409676326461201</v>
      </c>
      <c r="AP5" s="2">
        <f>IFERROR(AVERAGEIFS(RES_WatHeat!AS$2:AS$999,RES_WatHeat!$B$2:$B$999,"="&amp;$A$2,RES_WatHeat!$C$2:$C$999,"="&amp;'INS-UPD WaterHeat'!$A5),"")</f>
        <v>0.081045461002581601</v>
      </c>
      <c r="AQ5" s="2">
        <f>IFERROR(AVERAGEIFS(RES_WatHeat!AT$2:AT$999,RES_WatHeat!$B$2:$B$999,"="&amp;$A$2,RES_WatHeat!$C$2:$C$999,"="&amp;'INS-UPD WaterHeat'!$A5),"")</f>
        <v>0.107895932166819</v>
      </c>
      <c r="AR5" s="2">
        <f>IFERROR(AVERAGEIFS(RES_WatHeat!AU$2:AU$999,RES_WatHeat!$B$2:$B$999,"="&amp;$A$2,RES_WatHeat!$C$2:$C$999,"="&amp;'INS-UPD WaterHeat'!$A5),"")</f>
        <v>0.081901284946787306</v>
      </c>
      <c r="AS5" s="41">
        <f>IFERROR(AVERAGEIFS(RES_WatHeat!AV$2:AV$999,RES_WatHeat!$B$2:$B$999,"="&amp;$A$2,RES_WatHeat!$C$2:$C$999,"="&amp;'INS-UPD WaterHeat'!$A5),"")</f>
        <v>0.080322621390082199</v>
      </c>
    </row>
    <row r="6" spans="1:45" ht="15">
      <c r="A6" s="3" t="s">
        <v>65</v>
      </c>
      <c r="C6" t="s">
        <v>52</v>
      </c>
      <c r="D6" t="str">
        <f t="shared" si="0"/>
        <v>R_ES-WH-FL_GA*</v>
      </c>
      <c r="H6" s="40">
        <f t="shared" si="1"/>
        <v>0.078396422016540124</v>
      </c>
      <c r="I6" s="2">
        <f>IFERROR(AVERAGEIFS(RES_WatHeat!L$2:L$999,RES_WatHeat!$B$2:$B$999,"="&amp;$A$2,RES_WatHeat!$C$2:$C$999,"="&amp;'INS-UPD WaterHeat'!$A6),"")</f>
        <v>0.093058422165803095</v>
      </c>
      <c r="J6" s="2">
        <f>IFERROR(AVERAGEIFS(RES_WatHeat!M$2:M$999,RES_WatHeat!$B$2:$B$999,"="&amp;$A$2,RES_WatHeat!$C$2:$C$999,"="&amp;'INS-UPD WaterHeat'!$A6),"")</f>
        <v>0.098114212154323394</v>
      </c>
      <c r="K6" s="2">
        <f>IFERROR(AVERAGEIFS(RES_WatHeat!N$2:N$999,RES_WatHeat!$B$2:$B$999,"="&amp;$A$2,RES_WatHeat!$C$2:$C$999,"="&amp;'INS-UPD WaterHeat'!$A6),"")</f>
        <v>0.0490965502324366</v>
      </c>
      <c r="L6" s="2">
        <f>IFERROR(AVERAGEIFS(RES_WatHeat!O$2:O$999,RES_WatHeat!$B$2:$B$999,"="&amp;$A$2,RES_WatHeat!$C$2:$C$999,"="&amp;'INS-UPD WaterHeat'!$A6),"")</f>
        <v>0.083079117969767996</v>
      </c>
      <c r="M6" s="2">
        <f>IFERROR(AVERAGEIFS(RES_WatHeat!P$2:P$999,RES_WatHeat!$B$2:$B$999,"="&amp;$A$2,RES_WatHeat!$C$2:$C$999,"="&amp;'INS-UPD WaterHeat'!$A6),"")</f>
        <v>0.066147178605152193</v>
      </c>
      <c r="N6" s="2">
        <f>IFERROR(AVERAGEIFS(RES_WatHeat!Q$2:Q$999,RES_WatHeat!$B$2:$B$999,"="&amp;$A$2,RES_WatHeat!$C$2:$C$999,"="&amp;'INS-UPD WaterHeat'!$A6),"")</f>
        <v>0.074211691178395003</v>
      </c>
      <c r="O6" s="2">
        <f>IFERROR(AVERAGEIFS(RES_WatHeat!R$2:R$999,RES_WatHeat!$B$2:$B$999,"="&amp;$A$2,RES_WatHeat!$C$2:$C$999,"="&amp;'INS-UPD WaterHeat'!$A6),"")</f>
        <v>0.0825623062937626</v>
      </c>
      <c r="P6" s="2">
        <f>IFERROR(AVERAGEIFS(RES_WatHeat!S$2:S$999,RES_WatHeat!$B$2:$B$999,"="&amp;$A$2,RES_WatHeat!$C$2:$C$999,"="&amp;'INS-UPD WaterHeat'!$A6),"")</f>
        <v>0.062139081723197799</v>
      </c>
      <c r="Q6" s="2">
        <f>IFERROR(AVERAGEIFS(RES_WatHeat!T$2:T$999,RES_WatHeat!$B$2:$B$999,"="&amp;$A$2,RES_WatHeat!$C$2:$C$999,"="&amp;'INS-UPD WaterHeat'!$A6),"")</f>
        <v>0.080311259575067295</v>
      </c>
      <c r="R6" s="2">
        <f>IFERROR(AVERAGEIFS(RES_WatHeat!U$2:U$999,RES_WatHeat!$B$2:$B$999,"="&amp;$A$2,RES_WatHeat!$C$2:$C$999,"="&amp;'INS-UPD WaterHeat'!$A6),"")</f>
        <v>0.084785725062879694</v>
      </c>
      <c r="S6" s="2">
        <f>IFERROR(AVERAGEIFS(RES_WatHeat!V$2:V$999,RES_WatHeat!$B$2:$B$999,"="&amp;$A$2,RES_WatHeat!$C$2:$C$999,"="&amp;'INS-UPD WaterHeat'!$A6),"")</f>
        <v>0.077938143429807302</v>
      </c>
      <c r="T6" s="2">
        <f>IFERROR(AVERAGEIFS(RES_WatHeat!W$2:W$999,RES_WatHeat!$B$2:$B$999,"="&amp;$A$2,RES_WatHeat!$C$2:$C$999,"="&amp;'INS-UPD WaterHeat'!$A6),"")</f>
        <v>0.090885466316056804</v>
      </c>
      <c r="U6" s="2">
        <f>IFERROR(AVERAGEIFS(RES_WatHeat!X$2:X$999,RES_WatHeat!$B$2:$B$999,"="&amp;$A$2,RES_WatHeat!$C$2:$C$999,"="&amp;'INS-UPD WaterHeat'!$A6),"")</f>
        <v>0.10473577564943801</v>
      </c>
      <c r="V6" s="2">
        <f>IFERROR(AVERAGEIFS(RES_WatHeat!Y$2:Y$999,RES_WatHeat!$B$2:$B$999,"="&amp;$A$2,RES_WatHeat!$C$2:$C$999,"="&amp;'INS-UPD WaterHeat'!$A6),"")</f>
        <v>0.099061125762371693</v>
      </c>
      <c r="W6" s="2">
        <f>IFERROR(AVERAGEIFS(RES_WatHeat!Z$2:Z$999,RES_WatHeat!$B$2:$B$999,"="&amp;$A$2,RES_WatHeat!$C$2:$C$999,"="&amp;'INS-UPD WaterHeat'!$A6),"")</f>
        <v>0.086800545446925503</v>
      </c>
      <c r="X6" s="2">
        <f>IFERROR(AVERAGEIFS(RES_WatHeat!AA$2:AA$999,RES_WatHeat!$B$2:$B$999,"="&amp;$A$2,RES_WatHeat!$C$2:$C$999,"="&amp;'INS-UPD WaterHeat'!$A6),"")</f>
        <v>0.053516627698683997</v>
      </c>
      <c r="Y6" s="2">
        <f>IFERROR(AVERAGEIFS(RES_WatHeat!AB$2:AB$999,RES_WatHeat!$B$2:$B$999,"="&amp;$A$2,RES_WatHeat!$C$2:$C$999,"="&amp;'INS-UPD WaterHeat'!$A6),"")</f>
        <v>0.046530933052753298</v>
      </c>
      <c r="Z6" s="2">
        <f>IFERROR(AVERAGEIFS(RES_WatHeat!AC$2:AC$999,RES_WatHeat!$B$2:$B$999,"="&amp;$A$2,RES_WatHeat!$C$2:$C$999,"="&amp;'INS-UPD WaterHeat'!$A6),"")</f>
        <v>0.093761825223416903</v>
      </c>
      <c r="AA6" s="2">
        <f>IFERROR(AVERAGEIFS(RES_WatHeat!AD$2:AD$999,RES_WatHeat!$B$2:$B$999,"="&amp;$A$2,RES_WatHeat!$C$2:$C$999,"="&amp;'INS-UPD WaterHeat'!$A6),"")</f>
        <v>0.091844507818219803</v>
      </c>
      <c r="AB6" s="2">
        <f>IFERROR(AVERAGEIFS(RES_WatHeat!AE$2:AE$999,RES_WatHeat!$B$2:$B$999,"="&amp;$A$2,RES_WatHeat!$C$2:$C$999,"="&amp;'INS-UPD WaterHeat'!$A6),"")</f>
        <v>0.073626448720717802</v>
      </c>
      <c r="AC6" s="2">
        <f>IFERROR(AVERAGEIFS(RES_WatHeat!AF$2:AF$999,RES_WatHeat!$B$2:$B$999,"="&amp;$A$2,RES_WatHeat!$C$2:$C$999,"="&amp;'INS-UPD WaterHeat'!$A6),"")</f>
        <v>0.0373576487293307</v>
      </c>
      <c r="AD6" s="2">
        <f>IFERROR(AVERAGEIFS(RES_WatHeat!AG$2:AG$999,RES_WatHeat!$B$2:$B$999,"="&amp;$A$2,RES_WatHeat!$C$2:$C$999,"="&amp;'INS-UPD WaterHeat'!$A6),"")</f>
        <v>0.064028054866370199</v>
      </c>
      <c r="AE6" s="2">
        <f>IFERROR(AVERAGEIFS(RES_WatHeat!AH$2:AH$999,RES_WatHeat!$B$2:$B$999,"="&amp;$A$2,RES_WatHeat!$C$2:$C$999,"="&amp;'INS-UPD WaterHeat'!$A6),"")</f>
        <v>0.066808015684781202</v>
      </c>
      <c r="AF6" s="2">
        <f>IFERROR(AVERAGEIFS(RES_WatHeat!AI$2:AI$999,RES_WatHeat!$B$2:$B$999,"="&amp;$A$2,RES_WatHeat!$C$2:$C$999,"="&amp;'INS-UPD WaterHeat'!$A6),"")</f>
        <v>0.089825876321694004</v>
      </c>
      <c r="AG6" s="2">
        <f>IFERROR(AVERAGEIFS(RES_WatHeat!AJ$2:AJ$999,RES_WatHeat!$B$2:$B$999,"="&amp;$A$2,RES_WatHeat!$C$2:$C$999,"="&amp;'INS-UPD WaterHeat'!$A6),"")</f>
        <v>0.066181096238732903</v>
      </c>
      <c r="AH6" s="2">
        <f>IFERROR(AVERAGEIFS(RES_WatHeat!AK$2:AK$999,RES_WatHeat!$B$2:$B$999,"="&amp;$A$2,RES_WatHeat!$C$2:$C$999,"="&amp;'INS-UPD WaterHeat'!$A6),"")</f>
        <v>0.054634777034796501</v>
      </c>
      <c r="AI6" s="2">
        <f>IFERROR(AVERAGEIFS(RES_WatHeat!AL$2:AL$999,RES_WatHeat!$B$2:$B$999,"="&amp;$A$2,RES_WatHeat!$C$2:$C$999,"="&amp;'INS-UPD WaterHeat'!$A6),"")</f>
        <v>0.040185265556057198</v>
      </c>
      <c r="AJ6" s="2">
        <f>IFERROR(AVERAGEIFS(RES_WatHeat!AM$2:AM$999,RES_WatHeat!$B$2:$B$999,"="&amp;$A$2,RES_WatHeat!$C$2:$C$999,"="&amp;'INS-UPD WaterHeat'!$A6),"")</f>
        <v>0.080612653968766199</v>
      </c>
      <c r="AK6" s="2">
        <f>IFERROR(AVERAGEIFS(RES_WatHeat!AN$2:AN$999,RES_WatHeat!$B$2:$B$999,"="&amp;$A$2,RES_WatHeat!$C$2:$C$999,"="&amp;'INS-UPD WaterHeat'!$A6),"")</f>
        <v>0.134377699656482</v>
      </c>
      <c r="AL6" s="2">
        <f>IFERROR(AVERAGEIFS(RES_WatHeat!AO$2:AO$999,RES_WatHeat!$B$2:$B$999,"="&amp;$A$2,RES_WatHeat!$C$2:$C$999,"="&amp;'INS-UPD WaterHeat'!$A6),"")</f>
        <v>0.080032808079200296</v>
      </c>
      <c r="AM6" s="2">
        <f>IFERROR(AVERAGEIFS(RES_WatHeat!AP$2:AP$999,RES_WatHeat!$B$2:$B$999,"="&amp;$A$2,RES_WatHeat!$C$2:$C$999,"="&amp;'INS-UPD WaterHeat'!$A6),"")</f>
        <v>0.129212214049823</v>
      </c>
      <c r="AN6" s="2">
        <f>IFERROR(AVERAGEIFS(RES_WatHeat!AQ$2:AQ$999,RES_WatHeat!$B$2:$B$999,"="&amp;$A$2,RES_WatHeat!$C$2:$C$999,"="&amp;'INS-UPD WaterHeat'!$A6),"")</f>
        <v>0.053629584514042802</v>
      </c>
      <c r="AO6" s="2">
        <f>IFERROR(AVERAGEIFS(RES_WatHeat!AR$2:AR$999,RES_WatHeat!$B$2:$B$999,"="&amp;$A$2,RES_WatHeat!$C$2:$C$999,"="&amp;'INS-UPD WaterHeat'!$A6),"")</f>
        <v>0.060409676326461201</v>
      </c>
      <c r="AP6" s="2">
        <f>IFERROR(AVERAGEIFS(RES_WatHeat!AS$2:AS$999,RES_WatHeat!$B$2:$B$999,"="&amp;$A$2,RES_WatHeat!$C$2:$C$999,"="&amp;'INS-UPD WaterHeat'!$A6),"")</f>
        <v>0.081045461002581601</v>
      </c>
      <c r="AQ6" s="2">
        <f>IFERROR(AVERAGEIFS(RES_WatHeat!AT$2:AT$999,RES_WatHeat!$B$2:$B$999,"="&amp;$A$2,RES_WatHeat!$C$2:$C$999,"="&amp;'INS-UPD WaterHeat'!$A6),"")</f>
        <v>0.107895932166819</v>
      </c>
      <c r="AR6" s="2">
        <f>IFERROR(AVERAGEIFS(RES_WatHeat!AU$2:AU$999,RES_WatHeat!$B$2:$B$999,"="&amp;$A$2,RES_WatHeat!$C$2:$C$999,"="&amp;'INS-UPD WaterHeat'!$A6),"")</f>
        <v>0.081901284946787306</v>
      </c>
      <c r="AS6" s="41">
        <f>IFERROR(AVERAGEIFS(RES_WatHeat!AV$2:AV$999,RES_WatHeat!$B$2:$B$999,"="&amp;$A$2,RES_WatHeat!$C$2:$C$999,"="&amp;'INS-UPD WaterHeat'!$A6),"")</f>
        <v>0.080322621390082199</v>
      </c>
    </row>
    <row r="7" spans="1:45" ht="15">
      <c r="A7" s="3" t="s">
        <v>66</v>
      </c>
      <c r="C7" t="s">
        <v>52</v>
      </c>
      <c r="D7" t="str">
        <f t="shared" si="0"/>
        <v>R_ES-WH-FL_HE*</v>
      </c>
      <c r="H7" s="40">
        <f t="shared" si="1"/>
        <v>0.078396422016540124</v>
      </c>
      <c r="I7" s="2">
        <f>IFERROR(AVERAGEIFS(RES_WatHeat!L$2:L$999,RES_WatHeat!$B$2:$B$999,"="&amp;$A$2,RES_WatHeat!$C$2:$C$999,"="&amp;'INS-UPD WaterHeat'!$A7),"")</f>
        <v>0.093058422165803095</v>
      </c>
      <c r="J7" s="2">
        <f>IFERROR(AVERAGEIFS(RES_WatHeat!M$2:M$999,RES_WatHeat!$B$2:$B$999,"="&amp;$A$2,RES_WatHeat!$C$2:$C$999,"="&amp;'INS-UPD WaterHeat'!$A7),"")</f>
        <v>0.098114212154323394</v>
      </c>
      <c r="K7" s="2">
        <f>IFERROR(AVERAGEIFS(RES_WatHeat!N$2:N$999,RES_WatHeat!$B$2:$B$999,"="&amp;$A$2,RES_WatHeat!$C$2:$C$999,"="&amp;'INS-UPD WaterHeat'!$A7),"")</f>
        <v>0.0490965502324366</v>
      </c>
      <c r="L7" s="2">
        <f>IFERROR(AVERAGEIFS(RES_WatHeat!O$2:O$999,RES_WatHeat!$B$2:$B$999,"="&amp;$A$2,RES_WatHeat!$C$2:$C$999,"="&amp;'INS-UPD WaterHeat'!$A7),"")</f>
        <v>0.083079117969767996</v>
      </c>
      <c r="M7" s="2">
        <f>IFERROR(AVERAGEIFS(RES_WatHeat!P$2:P$999,RES_WatHeat!$B$2:$B$999,"="&amp;$A$2,RES_WatHeat!$C$2:$C$999,"="&amp;'INS-UPD WaterHeat'!$A7),"")</f>
        <v>0.066147178605152193</v>
      </c>
      <c r="N7" s="2">
        <f>IFERROR(AVERAGEIFS(RES_WatHeat!Q$2:Q$999,RES_WatHeat!$B$2:$B$999,"="&amp;$A$2,RES_WatHeat!$C$2:$C$999,"="&amp;'INS-UPD WaterHeat'!$A7),"")</f>
        <v>0.074211691178395003</v>
      </c>
      <c r="O7" s="2">
        <f>IFERROR(AVERAGEIFS(RES_WatHeat!R$2:R$999,RES_WatHeat!$B$2:$B$999,"="&amp;$A$2,RES_WatHeat!$C$2:$C$999,"="&amp;'INS-UPD WaterHeat'!$A7),"")</f>
        <v>0.0825623062937626</v>
      </c>
      <c r="P7" s="2">
        <f>IFERROR(AVERAGEIFS(RES_WatHeat!S$2:S$999,RES_WatHeat!$B$2:$B$999,"="&amp;$A$2,RES_WatHeat!$C$2:$C$999,"="&amp;'INS-UPD WaterHeat'!$A7),"")</f>
        <v>0.062139081723197799</v>
      </c>
      <c r="Q7" s="2">
        <f>IFERROR(AVERAGEIFS(RES_WatHeat!T$2:T$999,RES_WatHeat!$B$2:$B$999,"="&amp;$A$2,RES_WatHeat!$C$2:$C$999,"="&amp;'INS-UPD WaterHeat'!$A7),"")</f>
        <v>0.080311259575067295</v>
      </c>
      <c r="R7" s="2">
        <f>IFERROR(AVERAGEIFS(RES_WatHeat!U$2:U$999,RES_WatHeat!$B$2:$B$999,"="&amp;$A$2,RES_WatHeat!$C$2:$C$999,"="&amp;'INS-UPD WaterHeat'!$A7),"")</f>
        <v>0.084785725062879694</v>
      </c>
      <c r="S7" s="2">
        <f>IFERROR(AVERAGEIFS(RES_WatHeat!V$2:V$999,RES_WatHeat!$B$2:$B$999,"="&amp;$A$2,RES_WatHeat!$C$2:$C$999,"="&amp;'INS-UPD WaterHeat'!$A7),"")</f>
        <v>0.077938143429807302</v>
      </c>
      <c r="T7" s="2">
        <f>IFERROR(AVERAGEIFS(RES_WatHeat!W$2:W$999,RES_WatHeat!$B$2:$B$999,"="&amp;$A$2,RES_WatHeat!$C$2:$C$999,"="&amp;'INS-UPD WaterHeat'!$A7),"")</f>
        <v>0.090885466316056804</v>
      </c>
      <c r="U7" s="2">
        <f>IFERROR(AVERAGEIFS(RES_WatHeat!X$2:X$999,RES_WatHeat!$B$2:$B$999,"="&amp;$A$2,RES_WatHeat!$C$2:$C$999,"="&amp;'INS-UPD WaterHeat'!$A7),"")</f>
        <v>0.10473577564943801</v>
      </c>
      <c r="V7" s="2">
        <f>IFERROR(AVERAGEIFS(RES_WatHeat!Y$2:Y$999,RES_WatHeat!$B$2:$B$999,"="&amp;$A$2,RES_WatHeat!$C$2:$C$999,"="&amp;'INS-UPD WaterHeat'!$A7),"")</f>
        <v>0.099061125762371693</v>
      </c>
      <c r="W7" s="2">
        <f>IFERROR(AVERAGEIFS(RES_WatHeat!Z$2:Z$999,RES_WatHeat!$B$2:$B$999,"="&amp;$A$2,RES_WatHeat!$C$2:$C$999,"="&amp;'INS-UPD WaterHeat'!$A7),"")</f>
        <v>0.086800545446925503</v>
      </c>
      <c r="X7" s="2">
        <f>IFERROR(AVERAGEIFS(RES_WatHeat!AA$2:AA$999,RES_WatHeat!$B$2:$B$999,"="&amp;$A$2,RES_WatHeat!$C$2:$C$999,"="&amp;'INS-UPD WaterHeat'!$A7),"")</f>
        <v>0.053516627698683997</v>
      </c>
      <c r="Y7" s="2">
        <f>IFERROR(AVERAGEIFS(RES_WatHeat!AB$2:AB$999,RES_WatHeat!$B$2:$B$999,"="&amp;$A$2,RES_WatHeat!$C$2:$C$999,"="&amp;'INS-UPD WaterHeat'!$A7),"")</f>
        <v>0.046530933052753298</v>
      </c>
      <c r="Z7" s="2">
        <f>IFERROR(AVERAGEIFS(RES_WatHeat!AC$2:AC$999,RES_WatHeat!$B$2:$B$999,"="&amp;$A$2,RES_WatHeat!$C$2:$C$999,"="&amp;'INS-UPD WaterHeat'!$A7),"")</f>
        <v>0.093761825223416903</v>
      </c>
      <c r="AA7" s="2">
        <f>IFERROR(AVERAGEIFS(RES_WatHeat!AD$2:AD$999,RES_WatHeat!$B$2:$B$999,"="&amp;$A$2,RES_WatHeat!$C$2:$C$999,"="&amp;'INS-UPD WaterHeat'!$A7),"")</f>
        <v>0.091844507818219803</v>
      </c>
      <c r="AB7" s="2">
        <f>IFERROR(AVERAGEIFS(RES_WatHeat!AE$2:AE$999,RES_WatHeat!$B$2:$B$999,"="&amp;$A$2,RES_WatHeat!$C$2:$C$999,"="&amp;'INS-UPD WaterHeat'!$A7),"")</f>
        <v>0.073626448720717802</v>
      </c>
      <c r="AC7" s="2">
        <f>IFERROR(AVERAGEIFS(RES_WatHeat!AF$2:AF$999,RES_WatHeat!$B$2:$B$999,"="&amp;$A$2,RES_WatHeat!$C$2:$C$999,"="&amp;'INS-UPD WaterHeat'!$A7),"")</f>
        <v>0.0373576487293307</v>
      </c>
      <c r="AD7" s="2">
        <f>IFERROR(AVERAGEIFS(RES_WatHeat!AG$2:AG$999,RES_WatHeat!$B$2:$B$999,"="&amp;$A$2,RES_WatHeat!$C$2:$C$999,"="&amp;'INS-UPD WaterHeat'!$A7),"")</f>
        <v>0.064028054866370199</v>
      </c>
      <c r="AE7" s="2">
        <f>IFERROR(AVERAGEIFS(RES_WatHeat!AH$2:AH$999,RES_WatHeat!$B$2:$B$999,"="&amp;$A$2,RES_WatHeat!$C$2:$C$999,"="&amp;'INS-UPD WaterHeat'!$A7),"")</f>
        <v>0.066808015684781202</v>
      </c>
      <c r="AF7" s="2">
        <f>IFERROR(AVERAGEIFS(RES_WatHeat!AI$2:AI$999,RES_WatHeat!$B$2:$B$999,"="&amp;$A$2,RES_WatHeat!$C$2:$C$999,"="&amp;'INS-UPD WaterHeat'!$A7),"")</f>
        <v>0.089825876321694004</v>
      </c>
      <c r="AG7" s="2">
        <f>IFERROR(AVERAGEIFS(RES_WatHeat!AJ$2:AJ$999,RES_WatHeat!$B$2:$B$999,"="&amp;$A$2,RES_WatHeat!$C$2:$C$999,"="&amp;'INS-UPD WaterHeat'!$A7),"")</f>
        <v>0.066181096238732903</v>
      </c>
      <c r="AH7" s="2">
        <f>IFERROR(AVERAGEIFS(RES_WatHeat!AK$2:AK$999,RES_WatHeat!$B$2:$B$999,"="&amp;$A$2,RES_WatHeat!$C$2:$C$999,"="&amp;'INS-UPD WaterHeat'!$A7),"")</f>
        <v>0.054634777034796501</v>
      </c>
      <c r="AI7" s="2">
        <f>IFERROR(AVERAGEIFS(RES_WatHeat!AL$2:AL$999,RES_WatHeat!$B$2:$B$999,"="&amp;$A$2,RES_WatHeat!$C$2:$C$999,"="&amp;'INS-UPD WaterHeat'!$A7),"")</f>
        <v>0.040185265556057198</v>
      </c>
      <c r="AJ7" s="2">
        <f>IFERROR(AVERAGEIFS(RES_WatHeat!AM$2:AM$999,RES_WatHeat!$B$2:$B$999,"="&amp;$A$2,RES_WatHeat!$C$2:$C$999,"="&amp;'INS-UPD WaterHeat'!$A7),"")</f>
        <v>0.080612653968766199</v>
      </c>
      <c r="AK7" s="2">
        <f>IFERROR(AVERAGEIFS(RES_WatHeat!AN$2:AN$999,RES_WatHeat!$B$2:$B$999,"="&amp;$A$2,RES_WatHeat!$C$2:$C$999,"="&amp;'INS-UPD WaterHeat'!$A7),"")</f>
        <v>0.134377699656482</v>
      </c>
      <c r="AL7" s="2">
        <f>IFERROR(AVERAGEIFS(RES_WatHeat!AO$2:AO$999,RES_WatHeat!$B$2:$B$999,"="&amp;$A$2,RES_WatHeat!$C$2:$C$999,"="&amp;'INS-UPD WaterHeat'!$A7),"")</f>
        <v>0.080032808079200296</v>
      </c>
      <c r="AM7" s="2">
        <f>IFERROR(AVERAGEIFS(RES_WatHeat!AP$2:AP$999,RES_WatHeat!$B$2:$B$999,"="&amp;$A$2,RES_WatHeat!$C$2:$C$999,"="&amp;'INS-UPD WaterHeat'!$A7),"")</f>
        <v>0.129212214049823</v>
      </c>
      <c r="AN7" s="2">
        <f>IFERROR(AVERAGEIFS(RES_WatHeat!AQ$2:AQ$999,RES_WatHeat!$B$2:$B$999,"="&amp;$A$2,RES_WatHeat!$C$2:$C$999,"="&amp;'INS-UPD WaterHeat'!$A7),"")</f>
        <v>0.053629584514042802</v>
      </c>
      <c r="AO7" s="2">
        <f>IFERROR(AVERAGEIFS(RES_WatHeat!AR$2:AR$999,RES_WatHeat!$B$2:$B$999,"="&amp;$A$2,RES_WatHeat!$C$2:$C$999,"="&amp;'INS-UPD WaterHeat'!$A7),"")</f>
        <v>0.060409676326461201</v>
      </c>
      <c r="AP7" s="2">
        <f>IFERROR(AVERAGEIFS(RES_WatHeat!AS$2:AS$999,RES_WatHeat!$B$2:$B$999,"="&amp;$A$2,RES_WatHeat!$C$2:$C$999,"="&amp;'INS-UPD WaterHeat'!$A7),"")</f>
        <v>0.081045461002581601</v>
      </c>
      <c r="AQ7" s="2">
        <f>IFERROR(AVERAGEIFS(RES_WatHeat!AT$2:AT$999,RES_WatHeat!$B$2:$B$999,"="&amp;$A$2,RES_WatHeat!$C$2:$C$999,"="&amp;'INS-UPD WaterHeat'!$A7),"")</f>
        <v>0.107895932166819</v>
      </c>
      <c r="AR7" s="2">
        <f>IFERROR(AVERAGEIFS(RES_WatHeat!AU$2:AU$999,RES_WatHeat!$B$2:$B$999,"="&amp;$A$2,RES_WatHeat!$C$2:$C$999,"="&amp;'INS-UPD WaterHeat'!$A7),"")</f>
        <v>0.081901284946787306</v>
      </c>
      <c r="AS7" s="41">
        <f>IFERROR(AVERAGEIFS(RES_WatHeat!AV$2:AV$999,RES_WatHeat!$B$2:$B$999,"="&amp;$A$2,RES_WatHeat!$C$2:$C$999,"="&amp;'INS-UPD WaterHeat'!$A7),"")</f>
        <v>0.080322621390082199</v>
      </c>
    </row>
    <row r="8" spans="1:45" ht="15">
      <c r="A8" s="3" t="s">
        <v>67</v>
      </c>
      <c r="C8" t="s">
        <v>52</v>
      </c>
      <c r="D8" t="str">
        <f t="shared" si="0"/>
        <v>R_ES-WH-FL_OI*</v>
      </c>
      <c r="H8" s="40">
        <f t="shared" si="1"/>
        <v>0.078396422016540124</v>
      </c>
      <c r="I8" s="2">
        <f>IFERROR(AVERAGEIFS(RES_WatHeat!L$2:L$999,RES_WatHeat!$B$2:$B$999,"="&amp;$A$2,RES_WatHeat!$C$2:$C$999,"="&amp;'INS-UPD WaterHeat'!$A8),"")</f>
        <v>0.093058422165803095</v>
      </c>
      <c r="J8" s="2">
        <f>IFERROR(AVERAGEIFS(RES_WatHeat!M$2:M$999,RES_WatHeat!$B$2:$B$999,"="&amp;$A$2,RES_WatHeat!$C$2:$C$999,"="&amp;'INS-UPD WaterHeat'!$A8),"")</f>
        <v>0.098114212154323394</v>
      </c>
      <c r="K8" s="2">
        <f>IFERROR(AVERAGEIFS(RES_WatHeat!N$2:N$999,RES_WatHeat!$B$2:$B$999,"="&amp;$A$2,RES_WatHeat!$C$2:$C$999,"="&amp;'INS-UPD WaterHeat'!$A8),"")</f>
        <v>0.0490965502324366</v>
      </c>
      <c r="L8" s="2">
        <f>IFERROR(AVERAGEIFS(RES_WatHeat!O$2:O$999,RES_WatHeat!$B$2:$B$999,"="&amp;$A$2,RES_WatHeat!$C$2:$C$999,"="&amp;'INS-UPD WaterHeat'!$A8),"")</f>
        <v>0.083079117969767996</v>
      </c>
      <c r="M8" s="2">
        <f>IFERROR(AVERAGEIFS(RES_WatHeat!P$2:P$999,RES_WatHeat!$B$2:$B$999,"="&amp;$A$2,RES_WatHeat!$C$2:$C$999,"="&amp;'INS-UPD WaterHeat'!$A8),"")</f>
        <v>0.066147178605152193</v>
      </c>
      <c r="N8" s="2">
        <f>IFERROR(AVERAGEIFS(RES_WatHeat!Q$2:Q$999,RES_WatHeat!$B$2:$B$999,"="&amp;$A$2,RES_WatHeat!$C$2:$C$999,"="&amp;'INS-UPD WaterHeat'!$A8),"")</f>
        <v>0.074211691178395003</v>
      </c>
      <c r="O8" s="2">
        <f>IFERROR(AVERAGEIFS(RES_WatHeat!R$2:R$999,RES_WatHeat!$B$2:$B$999,"="&amp;$A$2,RES_WatHeat!$C$2:$C$999,"="&amp;'INS-UPD WaterHeat'!$A8),"")</f>
        <v>0.0825623062937626</v>
      </c>
      <c r="P8" s="2">
        <f>IFERROR(AVERAGEIFS(RES_WatHeat!S$2:S$999,RES_WatHeat!$B$2:$B$999,"="&amp;$A$2,RES_WatHeat!$C$2:$C$999,"="&amp;'INS-UPD WaterHeat'!$A8),"")</f>
        <v>0.062139081723197799</v>
      </c>
      <c r="Q8" s="2">
        <f>IFERROR(AVERAGEIFS(RES_WatHeat!T$2:T$999,RES_WatHeat!$B$2:$B$999,"="&amp;$A$2,RES_WatHeat!$C$2:$C$999,"="&amp;'INS-UPD WaterHeat'!$A8),"")</f>
        <v>0.080311259575067295</v>
      </c>
      <c r="R8" s="2">
        <f>IFERROR(AVERAGEIFS(RES_WatHeat!U$2:U$999,RES_WatHeat!$B$2:$B$999,"="&amp;$A$2,RES_WatHeat!$C$2:$C$999,"="&amp;'INS-UPD WaterHeat'!$A8),"")</f>
        <v>0.084785725062879694</v>
      </c>
      <c r="S8" s="2">
        <f>IFERROR(AVERAGEIFS(RES_WatHeat!V$2:V$999,RES_WatHeat!$B$2:$B$999,"="&amp;$A$2,RES_WatHeat!$C$2:$C$999,"="&amp;'INS-UPD WaterHeat'!$A8),"")</f>
        <v>0.077938143429807302</v>
      </c>
      <c r="T8" s="2">
        <f>IFERROR(AVERAGEIFS(RES_WatHeat!W$2:W$999,RES_WatHeat!$B$2:$B$999,"="&amp;$A$2,RES_WatHeat!$C$2:$C$999,"="&amp;'INS-UPD WaterHeat'!$A8),"")</f>
        <v>0.090885466316056804</v>
      </c>
      <c r="U8" s="2">
        <f>IFERROR(AVERAGEIFS(RES_WatHeat!X$2:X$999,RES_WatHeat!$B$2:$B$999,"="&amp;$A$2,RES_WatHeat!$C$2:$C$999,"="&amp;'INS-UPD WaterHeat'!$A8),"")</f>
        <v>0.10473577564943801</v>
      </c>
      <c r="V8" s="2">
        <f>IFERROR(AVERAGEIFS(RES_WatHeat!Y$2:Y$999,RES_WatHeat!$B$2:$B$999,"="&amp;$A$2,RES_WatHeat!$C$2:$C$999,"="&amp;'INS-UPD WaterHeat'!$A8),"")</f>
        <v>0.099061125762371693</v>
      </c>
      <c r="W8" s="2">
        <f>IFERROR(AVERAGEIFS(RES_WatHeat!Z$2:Z$999,RES_WatHeat!$B$2:$B$999,"="&amp;$A$2,RES_WatHeat!$C$2:$C$999,"="&amp;'INS-UPD WaterHeat'!$A8),"")</f>
        <v>0.086800545446925503</v>
      </c>
      <c r="X8" s="2">
        <f>IFERROR(AVERAGEIFS(RES_WatHeat!AA$2:AA$999,RES_WatHeat!$B$2:$B$999,"="&amp;$A$2,RES_WatHeat!$C$2:$C$999,"="&amp;'INS-UPD WaterHeat'!$A8),"")</f>
        <v>0.053516627698683997</v>
      </c>
      <c r="Y8" s="2">
        <f>IFERROR(AVERAGEIFS(RES_WatHeat!AB$2:AB$999,RES_WatHeat!$B$2:$B$999,"="&amp;$A$2,RES_WatHeat!$C$2:$C$999,"="&amp;'INS-UPD WaterHeat'!$A8),"")</f>
        <v>0.046530933052753298</v>
      </c>
      <c r="Z8" s="2">
        <f>IFERROR(AVERAGEIFS(RES_WatHeat!AC$2:AC$999,RES_WatHeat!$B$2:$B$999,"="&amp;$A$2,RES_WatHeat!$C$2:$C$999,"="&amp;'INS-UPD WaterHeat'!$A8),"")</f>
        <v>0.093761825223416903</v>
      </c>
      <c r="AA8" s="2">
        <f>IFERROR(AVERAGEIFS(RES_WatHeat!AD$2:AD$999,RES_WatHeat!$B$2:$B$999,"="&amp;$A$2,RES_WatHeat!$C$2:$C$999,"="&amp;'INS-UPD WaterHeat'!$A8),"")</f>
        <v>0.091844507818219803</v>
      </c>
      <c r="AB8" s="2">
        <f>IFERROR(AVERAGEIFS(RES_WatHeat!AE$2:AE$999,RES_WatHeat!$B$2:$B$999,"="&amp;$A$2,RES_WatHeat!$C$2:$C$999,"="&amp;'INS-UPD WaterHeat'!$A8),"")</f>
        <v>0.073626448720717802</v>
      </c>
      <c r="AC8" s="2">
        <f>IFERROR(AVERAGEIFS(RES_WatHeat!AF$2:AF$999,RES_WatHeat!$B$2:$B$999,"="&amp;$A$2,RES_WatHeat!$C$2:$C$999,"="&amp;'INS-UPD WaterHeat'!$A8),"")</f>
        <v>0.0373576487293307</v>
      </c>
      <c r="AD8" s="2">
        <f>IFERROR(AVERAGEIFS(RES_WatHeat!AG$2:AG$999,RES_WatHeat!$B$2:$B$999,"="&amp;$A$2,RES_WatHeat!$C$2:$C$999,"="&amp;'INS-UPD WaterHeat'!$A8),"")</f>
        <v>0.064028054866370199</v>
      </c>
      <c r="AE8" s="2">
        <f>IFERROR(AVERAGEIFS(RES_WatHeat!AH$2:AH$999,RES_WatHeat!$B$2:$B$999,"="&amp;$A$2,RES_WatHeat!$C$2:$C$999,"="&amp;'INS-UPD WaterHeat'!$A8),"")</f>
        <v>0.066808015684781202</v>
      </c>
      <c r="AF8" s="2">
        <f>IFERROR(AVERAGEIFS(RES_WatHeat!AI$2:AI$999,RES_WatHeat!$B$2:$B$999,"="&amp;$A$2,RES_WatHeat!$C$2:$C$999,"="&amp;'INS-UPD WaterHeat'!$A8),"")</f>
        <v>0.089825876321694004</v>
      </c>
      <c r="AG8" s="2">
        <f>IFERROR(AVERAGEIFS(RES_WatHeat!AJ$2:AJ$999,RES_WatHeat!$B$2:$B$999,"="&amp;$A$2,RES_WatHeat!$C$2:$C$999,"="&amp;'INS-UPD WaterHeat'!$A8),"")</f>
        <v>0.066181096238732903</v>
      </c>
      <c r="AH8" s="2">
        <f>IFERROR(AVERAGEIFS(RES_WatHeat!AK$2:AK$999,RES_WatHeat!$B$2:$B$999,"="&amp;$A$2,RES_WatHeat!$C$2:$C$999,"="&amp;'INS-UPD WaterHeat'!$A8),"")</f>
        <v>0.054634777034796501</v>
      </c>
      <c r="AI8" s="2">
        <f>IFERROR(AVERAGEIFS(RES_WatHeat!AL$2:AL$999,RES_WatHeat!$B$2:$B$999,"="&amp;$A$2,RES_WatHeat!$C$2:$C$999,"="&amp;'INS-UPD WaterHeat'!$A8),"")</f>
        <v>0.040185265556057198</v>
      </c>
      <c r="AJ8" s="2">
        <f>IFERROR(AVERAGEIFS(RES_WatHeat!AM$2:AM$999,RES_WatHeat!$B$2:$B$999,"="&amp;$A$2,RES_WatHeat!$C$2:$C$999,"="&amp;'INS-UPD WaterHeat'!$A8),"")</f>
        <v>0.080612653968766199</v>
      </c>
      <c r="AK8" s="2">
        <f>IFERROR(AVERAGEIFS(RES_WatHeat!AN$2:AN$999,RES_WatHeat!$B$2:$B$999,"="&amp;$A$2,RES_WatHeat!$C$2:$C$999,"="&amp;'INS-UPD WaterHeat'!$A8),"")</f>
        <v>0.134377699656482</v>
      </c>
      <c r="AL8" s="2">
        <f>IFERROR(AVERAGEIFS(RES_WatHeat!AO$2:AO$999,RES_WatHeat!$B$2:$B$999,"="&amp;$A$2,RES_WatHeat!$C$2:$C$999,"="&amp;'INS-UPD WaterHeat'!$A8),"")</f>
        <v>0.080032808079200296</v>
      </c>
      <c r="AM8" s="2">
        <f>IFERROR(AVERAGEIFS(RES_WatHeat!AP$2:AP$999,RES_WatHeat!$B$2:$B$999,"="&amp;$A$2,RES_WatHeat!$C$2:$C$999,"="&amp;'INS-UPD WaterHeat'!$A8),"")</f>
        <v>0.129212214049823</v>
      </c>
      <c r="AN8" s="2">
        <f>IFERROR(AVERAGEIFS(RES_WatHeat!AQ$2:AQ$999,RES_WatHeat!$B$2:$B$999,"="&amp;$A$2,RES_WatHeat!$C$2:$C$999,"="&amp;'INS-UPD WaterHeat'!$A8),"")</f>
        <v>0.053629584514042802</v>
      </c>
      <c r="AO8" s="2">
        <f>IFERROR(AVERAGEIFS(RES_WatHeat!AR$2:AR$999,RES_WatHeat!$B$2:$B$999,"="&amp;$A$2,RES_WatHeat!$C$2:$C$999,"="&amp;'INS-UPD WaterHeat'!$A8),"")</f>
        <v>0.060409676326461201</v>
      </c>
      <c r="AP8" s="2">
        <f>IFERROR(AVERAGEIFS(RES_WatHeat!AS$2:AS$999,RES_WatHeat!$B$2:$B$999,"="&amp;$A$2,RES_WatHeat!$C$2:$C$999,"="&amp;'INS-UPD WaterHeat'!$A8),"")</f>
        <v>0.081045461002581601</v>
      </c>
      <c r="AQ8" s="2">
        <f>IFERROR(AVERAGEIFS(RES_WatHeat!AT$2:AT$999,RES_WatHeat!$B$2:$B$999,"="&amp;$A$2,RES_WatHeat!$C$2:$C$999,"="&amp;'INS-UPD WaterHeat'!$A8),"")</f>
        <v>0.107895932166819</v>
      </c>
      <c r="AR8" s="2">
        <f>IFERROR(AVERAGEIFS(RES_WatHeat!AU$2:AU$999,RES_WatHeat!$B$2:$B$999,"="&amp;$A$2,RES_WatHeat!$C$2:$C$999,"="&amp;'INS-UPD WaterHeat'!$A8),"")</f>
        <v>0.081901284946787306</v>
      </c>
      <c r="AS8" s="41">
        <f>IFERROR(AVERAGEIFS(RES_WatHeat!AV$2:AV$999,RES_WatHeat!$B$2:$B$999,"="&amp;$A$2,RES_WatHeat!$C$2:$C$999,"="&amp;'INS-UPD WaterHeat'!$A8),"")</f>
        <v>0.080322621390082199</v>
      </c>
    </row>
    <row r="9" spans="1:45" ht="15">
      <c r="A9" s="3" t="s">
        <v>68</v>
      </c>
      <c r="C9" t="s">
        <v>52</v>
      </c>
      <c r="D9" t="str">
        <f t="shared" si="0"/>
        <v>R_ES-WH-FL_B*</v>
      </c>
      <c r="H9" s="40">
        <f t="shared" si="1"/>
        <v>0.078396422016540124</v>
      </c>
      <c r="I9" s="2">
        <f>IFERROR(AVERAGEIFS(RES_WatHeat!L$2:L$999,RES_WatHeat!$B$2:$B$999,"="&amp;$A$2,RES_WatHeat!$C$2:$C$999,"="&amp;'INS-UPD WaterHeat'!$A9),"")</f>
        <v>0.093058422165803095</v>
      </c>
      <c r="J9" s="2">
        <f>IFERROR(AVERAGEIFS(RES_WatHeat!M$2:M$999,RES_WatHeat!$B$2:$B$999,"="&amp;$A$2,RES_WatHeat!$C$2:$C$999,"="&amp;'INS-UPD WaterHeat'!$A9),"")</f>
        <v>0.098114212154323394</v>
      </c>
      <c r="K9" s="2">
        <f>IFERROR(AVERAGEIFS(RES_WatHeat!N$2:N$999,RES_WatHeat!$B$2:$B$999,"="&amp;$A$2,RES_WatHeat!$C$2:$C$999,"="&amp;'INS-UPD WaterHeat'!$A9),"")</f>
        <v>0.0490965502324366</v>
      </c>
      <c r="L9" s="2">
        <f>IFERROR(AVERAGEIFS(RES_WatHeat!O$2:O$999,RES_WatHeat!$B$2:$B$999,"="&amp;$A$2,RES_WatHeat!$C$2:$C$999,"="&amp;'INS-UPD WaterHeat'!$A9),"")</f>
        <v>0.083079117969767996</v>
      </c>
      <c r="M9" s="2">
        <f>IFERROR(AVERAGEIFS(RES_WatHeat!P$2:P$999,RES_WatHeat!$B$2:$B$999,"="&amp;$A$2,RES_WatHeat!$C$2:$C$999,"="&amp;'INS-UPD WaterHeat'!$A9),"")</f>
        <v>0.066147178605152193</v>
      </c>
      <c r="N9" s="2">
        <f>IFERROR(AVERAGEIFS(RES_WatHeat!Q$2:Q$999,RES_WatHeat!$B$2:$B$999,"="&amp;$A$2,RES_WatHeat!$C$2:$C$999,"="&amp;'INS-UPD WaterHeat'!$A9),"")</f>
        <v>0.074211691178395003</v>
      </c>
      <c r="O9" s="2">
        <f>IFERROR(AVERAGEIFS(RES_WatHeat!R$2:R$999,RES_WatHeat!$B$2:$B$999,"="&amp;$A$2,RES_WatHeat!$C$2:$C$999,"="&amp;'INS-UPD WaterHeat'!$A9),"")</f>
        <v>0.0825623062937626</v>
      </c>
      <c r="P9" s="2">
        <f>IFERROR(AVERAGEIFS(RES_WatHeat!S$2:S$999,RES_WatHeat!$B$2:$B$999,"="&amp;$A$2,RES_WatHeat!$C$2:$C$999,"="&amp;'INS-UPD WaterHeat'!$A9),"")</f>
        <v>0.062139081723197799</v>
      </c>
      <c r="Q9" s="2">
        <f>IFERROR(AVERAGEIFS(RES_WatHeat!T$2:T$999,RES_WatHeat!$B$2:$B$999,"="&amp;$A$2,RES_WatHeat!$C$2:$C$999,"="&amp;'INS-UPD WaterHeat'!$A9),"")</f>
        <v>0.080311259575067295</v>
      </c>
      <c r="R9" s="2">
        <f>IFERROR(AVERAGEIFS(RES_WatHeat!U$2:U$999,RES_WatHeat!$B$2:$B$999,"="&amp;$A$2,RES_WatHeat!$C$2:$C$999,"="&amp;'INS-UPD WaterHeat'!$A9),"")</f>
        <v>0.084785725062879694</v>
      </c>
      <c r="S9" s="2">
        <f>IFERROR(AVERAGEIFS(RES_WatHeat!V$2:V$999,RES_WatHeat!$B$2:$B$999,"="&amp;$A$2,RES_WatHeat!$C$2:$C$999,"="&amp;'INS-UPD WaterHeat'!$A9),"")</f>
        <v>0.077938143429807302</v>
      </c>
      <c r="T9" s="2">
        <f>IFERROR(AVERAGEIFS(RES_WatHeat!W$2:W$999,RES_WatHeat!$B$2:$B$999,"="&amp;$A$2,RES_WatHeat!$C$2:$C$999,"="&amp;'INS-UPD WaterHeat'!$A9),"")</f>
        <v>0.090885466316056804</v>
      </c>
      <c r="U9" s="2">
        <f>IFERROR(AVERAGEIFS(RES_WatHeat!X$2:X$999,RES_WatHeat!$B$2:$B$999,"="&amp;$A$2,RES_WatHeat!$C$2:$C$999,"="&amp;'INS-UPD WaterHeat'!$A9),"")</f>
        <v>0.10473577564943801</v>
      </c>
      <c r="V9" s="2">
        <f>IFERROR(AVERAGEIFS(RES_WatHeat!Y$2:Y$999,RES_WatHeat!$B$2:$B$999,"="&amp;$A$2,RES_WatHeat!$C$2:$C$999,"="&amp;'INS-UPD WaterHeat'!$A9),"")</f>
        <v>0.099061125762371693</v>
      </c>
      <c r="W9" s="2">
        <f>IFERROR(AVERAGEIFS(RES_WatHeat!Z$2:Z$999,RES_WatHeat!$B$2:$B$999,"="&amp;$A$2,RES_WatHeat!$C$2:$C$999,"="&amp;'INS-UPD WaterHeat'!$A9),"")</f>
        <v>0.086800545446925503</v>
      </c>
      <c r="X9" s="2">
        <f>IFERROR(AVERAGEIFS(RES_WatHeat!AA$2:AA$999,RES_WatHeat!$B$2:$B$999,"="&amp;$A$2,RES_WatHeat!$C$2:$C$999,"="&amp;'INS-UPD WaterHeat'!$A9),"")</f>
        <v>0.053516627698683997</v>
      </c>
      <c r="Y9" s="2">
        <f>IFERROR(AVERAGEIFS(RES_WatHeat!AB$2:AB$999,RES_WatHeat!$B$2:$B$999,"="&amp;$A$2,RES_WatHeat!$C$2:$C$999,"="&amp;'INS-UPD WaterHeat'!$A9),"")</f>
        <v>0.046530933052753298</v>
      </c>
      <c r="Z9" s="2">
        <f>IFERROR(AVERAGEIFS(RES_WatHeat!AC$2:AC$999,RES_WatHeat!$B$2:$B$999,"="&amp;$A$2,RES_WatHeat!$C$2:$C$999,"="&amp;'INS-UPD WaterHeat'!$A9),"")</f>
        <v>0.093761825223416903</v>
      </c>
      <c r="AA9" s="2">
        <f>IFERROR(AVERAGEIFS(RES_WatHeat!AD$2:AD$999,RES_WatHeat!$B$2:$B$999,"="&amp;$A$2,RES_WatHeat!$C$2:$C$999,"="&amp;'INS-UPD WaterHeat'!$A9),"")</f>
        <v>0.091844507818219803</v>
      </c>
      <c r="AB9" s="2">
        <f>IFERROR(AVERAGEIFS(RES_WatHeat!AE$2:AE$999,RES_WatHeat!$B$2:$B$999,"="&amp;$A$2,RES_WatHeat!$C$2:$C$999,"="&amp;'INS-UPD WaterHeat'!$A9),"")</f>
        <v>0.073626448720717802</v>
      </c>
      <c r="AC9" s="2">
        <f>IFERROR(AVERAGEIFS(RES_WatHeat!AF$2:AF$999,RES_WatHeat!$B$2:$B$999,"="&amp;$A$2,RES_WatHeat!$C$2:$C$999,"="&amp;'INS-UPD WaterHeat'!$A9),"")</f>
        <v>0.0373576487293307</v>
      </c>
      <c r="AD9" s="2">
        <f>IFERROR(AVERAGEIFS(RES_WatHeat!AG$2:AG$999,RES_WatHeat!$B$2:$B$999,"="&amp;$A$2,RES_WatHeat!$C$2:$C$999,"="&amp;'INS-UPD WaterHeat'!$A9),"")</f>
        <v>0.064028054866370199</v>
      </c>
      <c r="AE9" s="2">
        <f>IFERROR(AVERAGEIFS(RES_WatHeat!AH$2:AH$999,RES_WatHeat!$B$2:$B$999,"="&amp;$A$2,RES_WatHeat!$C$2:$C$999,"="&amp;'INS-UPD WaterHeat'!$A9),"")</f>
        <v>0.066808015684781202</v>
      </c>
      <c r="AF9" s="2">
        <f>IFERROR(AVERAGEIFS(RES_WatHeat!AI$2:AI$999,RES_WatHeat!$B$2:$B$999,"="&amp;$A$2,RES_WatHeat!$C$2:$C$999,"="&amp;'INS-UPD WaterHeat'!$A9),"")</f>
        <v>0.089825876321694004</v>
      </c>
      <c r="AG9" s="2">
        <f>IFERROR(AVERAGEIFS(RES_WatHeat!AJ$2:AJ$999,RES_WatHeat!$B$2:$B$999,"="&amp;$A$2,RES_WatHeat!$C$2:$C$999,"="&amp;'INS-UPD WaterHeat'!$A9),"")</f>
        <v>0.066181096238732903</v>
      </c>
      <c r="AH9" s="2">
        <f>IFERROR(AVERAGEIFS(RES_WatHeat!AK$2:AK$999,RES_WatHeat!$B$2:$B$999,"="&amp;$A$2,RES_WatHeat!$C$2:$C$999,"="&amp;'INS-UPD WaterHeat'!$A9),"")</f>
        <v>0.054634777034796501</v>
      </c>
      <c r="AI9" s="2">
        <f>IFERROR(AVERAGEIFS(RES_WatHeat!AL$2:AL$999,RES_WatHeat!$B$2:$B$999,"="&amp;$A$2,RES_WatHeat!$C$2:$C$999,"="&amp;'INS-UPD WaterHeat'!$A9),"")</f>
        <v>0.040185265556057198</v>
      </c>
      <c r="AJ9" s="2">
        <f>IFERROR(AVERAGEIFS(RES_WatHeat!AM$2:AM$999,RES_WatHeat!$B$2:$B$999,"="&amp;$A$2,RES_WatHeat!$C$2:$C$999,"="&amp;'INS-UPD WaterHeat'!$A9),"")</f>
        <v>0.080612653968766199</v>
      </c>
      <c r="AK9" s="2">
        <f>IFERROR(AVERAGEIFS(RES_WatHeat!AN$2:AN$999,RES_WatHeat!$B$2:$B$999,"="&amp;$A$2,RES_WatHeat!$C$2:$C$999,"="&amp;'INS-UPD WaterHeat'!$A9),"")</f>
        <v>0.134377699656482</v>
      </c>
      <c r="AL9" s="2">
        <f>IFERROR(AVERAGEIFS(RES_WatHeat!AO$2:AO$999,RES_WatHeat!$B$2:$B$999,"="&amp;$A$2,RES_WatHeat!$C$2:$C$999,"="&amp;'INS-UPD WaterHeat'!$A9),"")</f>
        <v>0.080032808079200296</v>
      </c>
      <c r="AM9" s="2">
        <f>IFERROR(AVERAGEIFS(RES_WatHeat!AP$2:AP$999,RES_WatHeat!$B$2:$B$999,"="&amp;$A$2,RES_WatHeat!$C$2:$C$999,"="&amp;'INS-UPD WaterHeat'!$A9),"")</f>
        <v>0.129212214049823</v>
      </c>
      <c r="AN9" s="2">
        <f>IFERROR(AVERAGEIFS(RES_WatHeat!AQ$2:AQ$999,RES_WatHeat!$B$2:$B$999,"="&amp;$A$2,RES_WatHeat!$C$2:$C$999,"="&amp;'INS-UPD WaterHeat'!$A9),"")</f>
        <v>0.053629584514042802</v>
      </c>
      <c r="AO9" s="2">
        <f>IFERROR(AVERAGEIFS(RES_WatHeat!AR$2:AR$999,RES_WatHeat!$B$2:$B$999,"="&amp;$A$2,RES_WatHeat!$C$2:$C$999,"="&amp;'INS-UPD WaterHeat'!$A9),"")</f>
        <v>0.060409676326461201</v>
      </c>
      <c r="AP9" s="2">
        <f>IFERROR(AVERAGEIFS(RES_WatHeat!AS$2:AS$999,RES_WatHeat!$B$2:$B$999,"="&amp;$A$2,RES_WatHeat!$C$2:$C$999,"="&amp;'INS-UPD WaterHeat'!$A9),"")</f>
        <v>0.081045461002581601</v>
      </c>
      <c r="AQ9" s="2">
        <f>IFERROR(AVERAGEIFS(RES_WatHeat!AT$2:AT$999,RES_WatHeat!$B$2:$B$999,"="&amp;$A$2,RES_WatHeat!$C$2:$C$999,"="&amp;'INS-UPD WaterHeat'!$A9),"")</f>
        <v>0.107895932166819</v>
      </c>
      <c r="AR9" s="2">
        <f>IFERROR(AVERAGEIFS(RES_WatHeat!AU$2:AU$999,RES_WatHeat!$B$2:$B$999,"="&amp;$A$2,RES_WatHeat!$C$2:$C$999,"="&amp;'INS-UPD WaterHeat'!$A9),"")</f>
        <v>0.081901284946787306</v>
      </c>
      <c r="AS9" s="41">
        <f>IFERROR(AVERAGEIFS(RES_WatHeat!AV$2:AV$999,RES_WatHeat!$B$2:$B$999,"="&amp;$A$2,RES_WatHeat!$C$2:$C$999,"="&amp;'INS-UPD WaterHeat'!$A9),"")</f>
        <v>0.080322621390082199</v>
      </c>
    </row>
    <row r="10" spans="1:45" ht="15">
      <c r="A10" s="3" t="s">
        <v>69</v>
      </c>
      <c r="C10" t="s">
        <v>52</v>
      </c>
      <c r="D10" t="str">
        <f t="shared" si="0"/>
        <v>R_ES-WH-FL_CO*</v>
      </c>
      <c r="H10" s="40">
        <f t="shared" si="1"/>
        <v>0.078396422016540124</v>
      </c>
      <c r="I10" s="2">
        <f>IFERROR(AVERAGEIFS(RES_WatHeat!L$2:L$999,RES_WatHeat!$B$2:$B$999,"="&amp;$A$2,RES_WatHeat!$C$2:$C$999,"="&amp;'INS-UPD WaterHeat'!$A10),"")</f>
        <v>0.093058422165803095</v>
      </c>
      <c r="J10" s="2">
        <f>IFERROR(AVERAGEIFS(RES_WatHeat!M$2:M$999,RES_WatHeat!$B$2:$B$999,"="&amp;$A$2,RES_WatHeat!$C$2:$C$999,"="&amp;'INS-UPD WaterHeat'!$A10),"")</f>
        <v>0.098114212154323394</v>
      </c>
      <c r="K10" s="2">
        <f>IFERROR(AVERAGEIFS(RES_WatHeat!N$2:N$999,RES_WatHeat!$B$2:$B$999,"="&amp;$A$2,RES_WatHeat!$C$2:$C$999,"="&amp;'INS-UPD WaterHeat'!$A10),"")</f>
        <v>0.0490965502324366</v>
      </c>
      <c r="L10" s="2">
        <f>IFERROR(AVERAGEIFS(RES_WatHeat!O$2:O$999,RES_WatHeat!$B$2:$B$999,"="&amp;$A$2,RES_WatHeat!$C$2:$C$999,"="&amp;'INS-UPD WaterHeat'!$A10),"")</f>
        <v>0.083079117969767996</v>
      </c>
      <c r="M10" s="2">
        <f>IFERROR(AVERAGEIFS(RES_WatHeat!P$2:P$999,RES_WatHeat!$B$2:$B$999,"="&amp;$A$2,RES_WatHeat!$C$2:$C$999,"="&amp;'INS-UPD WaterHeat'!$A10),"")</f>
        <v>0.066147178605152193</v>
      </c>
      <c r="N10" s="2">
        <f>IFERROR(AVERAGEIFS(RES_WatHeat!Q$2:Q$999,RES_WatHeat!$B$2:$B$999,"="&amp;$A$2,RES_WatHeat!$C$2:$C$999,"="&amp;'INS-UPD WaterHeat'!$A10),"")</f>
        <v>0.074211691178395003</v>
      </c>
      <c r="O10" s="2">
        <f>IFERROR(AVERAGEIFS(RES_WatHeat!R$2:R$999,RES_WatHeat!$B$2:$B$999,"="&amp;$A$2,RES_WatHeat!$C$2:$C$999,"="&amp;'INS-UPD WaterHeat'!$A10),"")</f>
        <v>0.0825623062937626</v>
      </c>
      <c r="P10" s="2">
        <f>IFERROR(AVERAGEIFS(RES_WatHeat!S$2:S$999,RES_WatHeat!$B$2:$B$999,"="&amp;$A$2,RES_WatHeat!$C$2:$C$999,"="&amp;'INS-UPD WaterHeat'!$A10),"")</f>
        <v>0.062139081723197799</v>
      </c>
      <c r="Q10" s="2">
        <f>IFERROR(AVERAGEIFS(RES_WatHeat!T$2:T$999,RES_WatHeat!$B$2:$B$999,"="&amp;$A$2,RES_WatHeat!$C$2:$C$999,"="&amp;'INS-UPD WaterHeat'!$A10),"")</f>
        <v>0.080311259575067295</v>
      </c>
      <c r="R10" s="2">
        <f>IFERROR(AVERAGEIFS(RES_WatHeat!U$2:U$999,RES_WatHeat!$B$2:$B$999,"="&amp;$A$2,RES_WatHeat!$C$2:$C$999,"="&amp;'INS-UPD WaterHeat'!$A10),"")</f>
        <v>0.084785725062879694</v>
      </c>
      <c r="S10" s="2">
        <f>IFERROR(AVERAGEIFS(RES_WatHeat!V$2:V$999,RES_WatHeat!$B$2:$B$999,"="&amp;$A$2,RES_WatHeat!$C$2:$C$999,"="&amp;'INS-UPD WaterHeat'!$A10),"")</f>
        <v>0.077938143429807302</v>
      </c>
      <c r="T10" s="2">
        <f>IFERROR(AVERAGEIFS(RES_WatHeat!W$2:W$999,RES_WatHeat!$B$2:$B$999,"="&amp;$A$2,RES_WatHeat!$C$2:$C$999,"="&amp;'INS-UPD WaterHeat'!$A10),"")</f>
        <v>0.090885466316056804</v>
      </c>
      <c r="U10" s="2">
        <f>IFERROR(AVERAGEIFS(RES_WatHeat!X$2:X$999,RES_WatHeat!$B$2:$B$999,"="&amp;$A$2,RES_WatHeat!$C$2:$C$999,"="&amp;'INS-UPD WaterHeat'!$A10),"")</f>
        <v>0.10473577564943801</v>
      </c>
      <c r="V10" s="2">
        <f>IFERROR(AVERAGEIFS(RES_WatHeat!Y$2:Y$999,RES_WatHeat!$B$2:$B$999,"="&amp;$A$2,RES_WatHeat!$C$2:$C$999,"="&amp;'INS-UPD WaterHeat'!$A10),"")</f>
        <v>0.099061125762371693</v>
      </c>
      <c r="W10" s="2">
        <f>IFERROR(AVERAGEIFS(RES_WatHeat!Z$2:Z$999,RES_WatHeat!$B$2:$B$999,"="&amp;$A$2,RES_WatHeat!$C$2:$C$999,"="&amp;'INS-UPD WaterHeat'!$A10),"")</f>
        <v>0.086800545446925503</v>
      </c>
      <c r="X10" s="2">
        <f>IFERROR(AVERAGEIFS(RES_WatHeat!AA$2:AA$999,RES_WatHeat!$B$2:$B$999,"="&amp;$A$2,RES_WatHeat!$C$2:$C$999,"="&amp;'INS-UPD WaterHeat'!$A10),"")</f>
        <v>0.053516627698683997</v>
      </c>
      <c r="Y10" s="2">
        <f>IFERROR(AVERAGEIFS(RES_WatHeat!AB$2:AB$999,RES_WatHeat!$B$2:$B$999,"="&amp;$A$2,RES_WatHeat!$C$2:$C$999,"="&amp;'INS-UPD WaterHeat'!$A10),"")</f>
        <v>0.046530933052753298</v>
      </c>
      <c r="Z10" s="2">
        <f>IFERROR(AVERAGEIFS(RES_WatHeat!AC$2:AC$999,RES_WatHeat!$B$2:$B$999,"="&amp;$A$2,RES_WatHeat!$C$2:$C$999,"="&amp;'INS-UPD WaterHeat'!$A10),"")</f>
        <v>0.093761825223416903</v>
      </c>
      <c r="AA10" s="2">
        <f>IFERROR(AVERAGEIFS(RES_WatHeat!AD$2:AD$999,RES_WatHeat!$B$2:$B$999,"="&amp;$A$2,RES_WatHeat!$C$2:$C$999,"="&amp;'INS-UPD WaterHeat'!$A10),"")</f>
        <v>0.091844507818219803</v>
      </c>
      <c r="AB10" s="2">
        <f>IFERROR(AVERAGEIFS(RES_WatHeat!AE$2:AE$999,RES_WatHeat!$B$2:$B$999,"="&amp;$A$2,RES_WatHeat!$C$2:$C$999,"="&amp;'INS-UPD WaterHeat'!$A10),"")</f>
        <v>0.073626448720717802</v>
      </c>
      <c r="AC10" s="2">
        <f>IFERROR(AVERAGEIFS(RES_WatHeat!AF$2:AF$999,RES_WatHeat!$B$2:$B$999,"="&amp;$A$2,RES_WatHeat!$C$2:$C$999,"="&amp;'INS-UPD WaterHeat'!$A10),"")</f>
        <v>0.0373576487293307</v>
      </c>
      <c r="AD10" s="2">
        <f>IFERROR(AVERAGEIFS(RES_WatHeat!AG$2:AG$999,RES_WatHeat!$B$2:$B$999,"="&amp;$A$2,RES_WatHeat!$C$2:$C$999,"="&amp;'INS-UPD WaterHeat'!$A10),"")</f>
        <v>0.064028054866370199</v>
      </c>
      <c r="AE10" s="2">
        <f>IFERROR(AVERAGEIFS(RES_WatHeat!AH$2:AH$999,RES_WatHeat!$B$2:$B$999,"="&amp;$A$2,RES_WatHeat!$C$2:$C$999,"="&amp;'INS-UPD WaterHeat'!$A10),"")</f>
        <v>0.066808015684781202</v>
      </c>
      <c r="AF10" s="2">
        <f>IFERROR(AVERAGEIFS(RES_WatHeat!AI$2:AI$999,RES_WatHeat!$B$2:$B$999,"="&amp;$A$2,RES_WatHeat!$C$2:$C$999,"="&amp;'INS-UPD WaterHeat'!$A10),"")</f>
        <v>0.089825876321694004</v>
      </c>
      <c r="AG10" s="2">
        <f>IFERROR(AVERAGEIFS(RES_WatHeat!AJ$2:AJ$999,RES_WatHeat!$B$2:$B$999,"="&amp;$A$2,RES_WatHeat!$C$2:$C$999,"="&amp;'INS-UPD WaterHeat'!$A10),"")</f>
        <v>0.066181096238732903</v>
      </c>
      <c r="AH10" s="2">
        <f>IFERROR(AVERAGEIFS(RES_WatHeat!AK$2:AK$999,RES_WatHeat!$B$2:$B$999,"="&amp;$A$2,RES_WatHeat!$C$2:$C$999,"="&amp;'INS-UPD WaterHeat'!$A10),"")</f>
        <v>0.054634777034796501</v>
      </c>
      <c r="AI10" s="2">
        <f>IFERROR(AVERAGEIFS(RES_WatHeat!AL$2:AL$999,RES_WatHeat!$B$2:$B$999,"="&amp;$A$2,RES_WatHeat!$C$2:$C$999,"="&amp;'INS-UPD WaterHeat'!$A10),"")</f>
        <v>0.040185265556057198</v>
      </c>
      <c r="AJ10" s="2">
        <f>IFERROR(AVERAGEIFS(RES_WatHeat!AM$2:AM$999,RES_WatHeat!$B$2:$B$999,"="&amp;$A$2,RES_WatHeat!$C$2:$C$999,"="&amp;'INS-UPD WaterHeat'!$A10),"")</f>
        <v>0.080612653968766199</v>
      </c>
      <c r="AK10" s="2">
        <f>IFERROR(AVERAGEIFS(RES_WatHeat!AN$2:AN$999,RES_WatHeat!$B$2:$B$999,"="&amp;$A$2,RES_WatHeat!$C$2:$C$999,"="&amp;'INS-UPD WaterHeat'!$A10),"")</f>
        <v>0.134377699656482</v>
      </c>
      <c r="AL10" s="2">
        <f>IFERROR(AVERAGEIFS(RES_WatHeat!AO$2:AO$999,RES_WatHeat!$B$2:$B$999,"="&amp;$A$2,RES_WatHeat!$C$2:$C$999,"="&amp;'INS-UPD WaterHeat'!$A10),"")</f>
        <v>0.080032808079200296</v>
      </c>
      <c r="AM10" s="2">
        <f>IFERROR(AVERAGEIFS(RES_WatHeat!AP$2:AP$999,RES_WatHeat!$B$2:$B$999,"="&amp;$A$2,RES_WatHeat!$C$2:$C$999,"="&amp;'INS-UPD WaterHeat'!$A10),"")</f>
        <v>0.129212214049823</v>
      </c>
      <c r="AN10" s="2">
        <f>IFERROR(AVERAGEIFS(RES_WatHeat!AQ$2:AQ$999,RES_WatHeat!$B$2:$B$999,"="&amp;$A$2,RES_WatHeat!$C$2:$C$999,"="&amp;'INS-UPD WaterHeat'!$A10),"")</f>
        <v>0.053629584514042802</v>
      </c>
      <c r="AO10" s="2">
        <f>IFERROR(AVERAGEIFS(RES_WatHeat!AR$2:AR$999,RES_WatHeat!$B$2:$B$999,"="&amp;$A$2,RES_WatHeat!$C$2:$C$999,"="&amp;'INS-UPD WaterHeat'!$A10),"")</f>
        <v>0.060409676326461201</v>
      </c>
      <c r="AP10" s="2">
        <f>IFERROR(AVERAGEIFS(RES_WatHeat!AS$2:AS$999,RES_WatHeat!$B$2:$B$999,"="&amp;$A$2,RES_WatHeat!$C$2:$C$999,"="&amp;'INS-UPD WaterHeat'!$A10),"")</f>
        <v>0.081045461002581601</v>
      </c>
      <c r="AQ10" s="2">
        <f>IFERROR(AVERAGEIFS(RES_WatHeat!AT$2:AT$999,RES_WatHeat!$B$2:$B$999,"="&amp;$A$2,RES_WatHeat!$C$2:$C$999,"="&amp;'INS-UPD WaterHeat'!$A10),"")</f>
        <v>0.107895932166819</v>
      </c>
      <c r="AR10" s="2">
        <f>IFERROR(AVERAGEIFS(RES_WatHeat!AU$2:AU$999,RES_WatHeat!$B$2:$B$999,"="&amp;$A$2,RES_WatHeat!$C$2:$C$999,"="&amp;'INS-UPD WaterHeat'!$A10),"")</f>
        <v>0.081901284946787306</v>
      </c>
      <c r="AS10" s="41">
        <f>IFERROR(AVERAGEIFS(RES_WatHeat!AV$2:AV$999,RES_WatHeat!$B$2:$B$999,"="&amp;$A$2,RES_WatHeat!$C$2:$C$999,"="&amp;'INS-UPD WaterHeat'!$A10),"")</f>
        <v>0.080322621390082199</v>
      </c>
    </row>
    <row r="11" spans="1:45" ht="15">
      <c r="A11" s="3" t="s">
        <v>70</v>
      </c>
      <c r="C11" t="s">
        <v>52</v>
      </c>
      <c r="D11" t="str">
        <f t="shared" si="0"/>
        <v>R_ES-WH-FL_LP*</v>
      </c>
      <c r="H11" s="40">
        <f t="shared" si="1"/>
        <v>0.078396422016540124</v>
      </c>
      <c r="I11" s="2">
        <f>IFERROR(AVERAGEIFS(RES_WatHeat!L$2:L$999,RES_WatHeat!$B$2:$B$999,"="&amp;$A$2,RES_WatHeat!$C$2:$C$999,"="&amp;'INS-UPD WaterHeat'!$A11),"")</f>
        <v>0.093058422165803095</v>
      </c>
      <c r="J11" s="2">
        <f>IFERROR(AVERAGEIFS(RES_WatHeat!M$2:M$999,RES_WatHeat!$B$2:$B$999,"="&amp;$A$2,RES_WatHeat!$C$2:$C$999,"="&amp;'INS-UPD WaterHeat'!$A11),"")</f>
        <v>0.098114212154323394</v>
      </c>
      <c r="K11" s="2">
        <f>IFERROR(AVERAGEIFS(RES_WatHeat!N$2:N$999,RES_WatHeat!$B$2:$B$999,"="&amp;$A$2,RES_WatHeat!$C$2:$C$999,"="&amp;'INS-UPD WaterHeat'!$A11),"")</f>
        <v>0.0490965502324366</v>
      </c>
      <c r="L11" s="2">
        <f>IFERROR(AVERAGEIFS(RES_WatHeat!O$2:O$999,RES_WatHeat!$B$2:$B$999,"="&amp;$A$2,RES_WatHeat!$C$2:$C$999,"="&amp;'INS-UPD WaterHeat'!$A11),"")</f>
        <v>0.083079117969767996</v>
      </c>
      <c r="M11" s="2">
        <f>IFERROR(AVERAGEIFS(RES_WatHeat!P$2:P$999,RES_WatHeat!$B$2:$B$999,"="&amp;$A$2,RES_WatHeat!$C$2:$C$999,"="&amp;'INS-UPD WaterHeat'!$A11),"")</f>
        <v>0.066147178605152193</v>
      </c>
      <c r="N11" s="2">
        <f>IFERROR(AVERAGEIFS(RES_WatHeat!Q$2:Q$999,RES_WatHeat!$B$2:$B$999,"="&amp;$A$2,RES_WatHeat!$C$2:$C$999,"="&amp;'INS-UPD WaterHeat'!$A11),"")</f>
        <v>0.074211691178395003</v>
      </c>
      <c r="O11" s="2">
        <f>IFERROR(AVERAGEIFS(RES_WatHeat!R$2:R$999,RES_WatHeat!$B$2:$B$999,"="&amp;$A$2,RES_WatHeat!$C$2:$C$999,"="&amp;'INS-UPD WaterHeat'!$A11),"")</f>
        <v>0.0825623062937626</v>
      </c>
      <c r="P11" s="2">
        <f>IFERROR(AVERAGEIFS(RES_WatHeat!S$2:S$999,RES_WatHeat!$B$2:$B$999,"="&amp;$A$2,RES_WatHeat!$C$2:$C$999,"="&amp;'INS-UPD WaterHeat'!$A11),"")</f>
        <v>0.062139081723197799</v>
      </c>
      <c r="Q11" s="2">
        <f>IFERROR(AVERAGEIFS(RES_WatHeat!T$2:T$999,RES_WatHeat!$B$2:$B$999,"="&amp;$A$2,RES_WatHeat!$C$2:$C$999,"="&amp;'INS-UPD WaterHeat'!$A11),"")</f>
        <v>0.080311259575067295</v>
      </c>
      <c r="R11" s="2">
        <f>IFERROR(AVERAGEIFS(RES_WatHeat!U$2:U$999,RES_WatHeat!$B$2:$B$999,"="&amp;$A$2,RES_WatHeat!$C$2:$C$999,"="&amp;'INS-UPD WaterHeat'!$A11),"")</f>
        <v>0.084785725062879694</v>
      </c>
      <c r="S11" s="2">
        <f>IFERROR(AVERAGEIFS(RES_WatHeat!V$2:V$999,RES_WatHeat!$B$2:$B$999,"="&amp;$A$2,RES_WatHeat!$C$2:$C$999,"="&amp;'INS-UPD WaterHeat'!$A11),"")</f>
        <v>0.077938143429807302</v>
      </c>
      <c r="T11" s="2">
        <f>IFERROR(AVERAGEIFS(RES_WatHeat!W$2:W$999,RES_WatHeat!$B$2:$B$999,"="&amp;$A$2,RES_WatHeat!$C$2:$C$999,"="&amp;'INS-UPD WaterHeat'!$A11),"")</f>
        <v>0.090885466316056804</v>
      </c>
      <c r="U11" s="2">
        <f>IFERROR(AVERAGEIFS(RES_WatHeat!X$2:X$999,RES_WatHeat!$B$2:$B$999,"="&amp;$A$2,RES_WatHeat!$C$2:$C$999,"="&amp;'INS-UPD WaterHeat'!$A11),"")</f>
        <v>0.10473577564943801</v>
      </c>
      <c r="V11" s="2">
        <f>IFERROR(AVERAGEIFS(RES_WatHeat!Y$2:Y$999,RES_WatHeat!$B$2:$B$999,"="&amp;$A$2,RES_WatHeat!$C$2:$C$999,"="&amp;'INS-UPD WaterHeat'!$A11),"")</f>
        <v>0.099061125762371693</v>
      </c>
      <c r="W11" s="2">
        <f>IFERROR(AVERAGEIFS(RES_WatHeat!Z$2:Z$999,RES_WatHeat!$B$2:$B$999,"="&amp;$A$2,RES_WatHeat!$C$2:$C$999,"="&amp;'INS-UPD WaterHeat'!$A11),"")</f>
        <v>0.086800545446925503</v>
      </c>
      <c r="X11" s="2">
        <f>IFERROR(AVERAGEIFS(RES_WatHeat!AA$2:AA$999,RES_WatHeat!$B$2:$B$999,"="&amp;$A$2,RES_WatHeat!$C$2:$C$999,"="&amp;'INS-UPD WaterHeat'!$A11),"")</f>
        <v>0.053516627698683997</v>
      </c>
      <c r="Y11" s="2">
        <f>IFERROR(AVERAGEIFS(RES_WatHeat!AB$2:AB$999,RES_WatHeat!$B$2:$B$999,"="&amp;$A$2,RES_WatHeat!$C$2:$C$999,"="&amp;'INS-UPD WaterHeat'!$A11),"")</f>
        <v>0.046530933052753298</v>
      </c>
      <c r="Z11" s="2">
        <f>IFERROR(AVERAGEIFS(RES_WatHeat!AC$2:AC$999,RES_WatHeat!$B$2:$B$999,"="&amp;$A$2,RES_WatHeat!$C$2:$C$999,"="&amp;'INS-UPD WaterHeat'!$A11),"")</f>
        <v>0.093761825223416903</v>
      </c>
      <c r="AA11" s="2">
        <f>IFERROR(AVERAGEIFS(RES_WatHeat!AD$2:AD$999,RES_WatHeat!$B$2:$B$999,"="&amp;$A$2,RES_WatHeat!$C$2:$C$999,"="&amp;'INS-UPD WaterHeat'!$A11),"")</f>
        <v>0.091844507818219803</v>
      </c>
      <c r="AB11" s="2">
        <f>IFERROR(AVERAGEIFS(RES_WatHeat!AE$2:AE$999,RES_WatHeat!$B$2:$B$999,"="&amp;$A$2,RES_WatHeat!$C$2:$C$999,"="&amp;'INS-UPD WaterHeat'!$A11),"")</f>
        <v>0.073626448720717802</v>
      </c>
      <c r="AC11" s="2">
        <f>IFERROR(AVERAGEIFS(RES_WatHeat!AF$2:AF$999,RES_WatHeat!$B$2:$B$999,"="&amp;$A$2,RES_WatHeat!$C$2:$C$999,"="&amp;'INS-UPD WaterHeat'!$A11),"")</f>
        <v>0.0373576487293307</v>
      </c>
      <c r="AD11" s="2">
        <f>IFERROR(AVERAGEIFS(RES_WatHeat!AG$2:AG$999,RES_WatHeat!$B$2:$B$999,"="&amp;$A$2,RES_WatHeat!$C$2:$C$999,"="&amp;'INS-UPD WaterHeat'!$A11),"")</f>
        <v>0.064028054866370199</v>
      </c>
      <c r="AE11" s="2">
        <f>IFERROR(AVERAGEIFS(RES_WatHeat!AH$2:AH$999,RES_WatHeat!$B$2:$B$999,"="&amp;$A$2,RES_WatHeat!$C$2:$C$999,"="&amp;'INS-UPD WaterHeat'!$A11),"")</f>
        <v>0.066808015684781202</v>
      </c>
      <c r="AF11" s="2">
        <f>IFERROR(AVERAGEIFS(RES_WatHeat!AI$2:AI$999,RES_WatHeat!$B$2:$B$999,"="&amp;$A$2,RES_WatHeat!$C$2:$C$999,"="&amp;'INS-UPD WaterHeat'!$A11),"")</f>
        <v>0.089825876321694004</v>
      </c>
      <c r="AG11" s="2">
        <f>IFERROR(AVERAGEIFS(RES_WatHeat!AJ$2:AJ$999,RES_WatHeat!$B$2:$B$999,"="&amp;$A$2,RES_WatHeat!$C$2:$C$999,"="&amp;'INS-UPD WaterHeat'!$A11),"")</f>
        <v>0.066181096238732903</v>
      </c>
      <c r="AH11" s="2">
        <f>IFERROR(AVERAGEIFS(RES_WatHeat!AK$2:AK$999,RES_WatHeat!$B$2:$B$999,"="&amp;$A$2,RES_WatHeat!$C$2:$C$999,"="&amp;'INS-UPD WaterHeat'!$A11),"")</f>
        <v>0.054634777034796501</v>
      </c>
      <c r="AI11" s="2">
        <f>IFERROR(AVERAGEIFS(RES_WatHeat!AL$2:AL$999,RES_WatHeat!$B$2:$B$999,"="&amp;$A$2,RES_WatHeat!$C$2:$C$999,"="&amp;'INS-UPD WaterHeat'!$A11),"")</f>
        <v>0.040185265556057198</v>
      </c>
      <c r="AJ11" s="2">
        <f>IFERROR(AVERAGEIFS(RES_WatHeat!AM$2:AM$999,RES_WatHeat!$B$2:$B$999,"="&amp;$A$2,RES_WatHeat!$C$2:$C$999,"="&amp;'INS-UPD WaterHeat'!$A11),"")</f>
        <v>0.080612653968766199</v>
      </c>
      <c r="AK11" s="2">
        <f>IFERROR(AVERAGEIFS(RES_WatHeat!AN$2:AN$999,RES_WatHeat!$B$2:$B$999,"="&amp;$A$2,RES_WatHeat!$C$2:$C$999,"="&amp;'INS-UPD WaterHeat'!$A11),"")</f>
        <v>0.134377699656482</v>
      </c>
      <c r="AL11" s="2">
        <f>IFERROR(AVERAGEIFS(RES_WatHeat!AO$2:AO$999,RES_WatHeat!$B$2:$B$999,"="&amp;$A$2,RES_WatHeat!$C$2:$C$999,"="&amp;'INS-UPD WaterHeat'!$A11),"")</f>
        <v>0.080032808079200296</v>
      </c>
      <c r="AM11" s="2">
        <f>IFERROR(AVERAGEIFS(RES_WatHeat!AP$2:AP$999,RES_WatHeat!$B$2:$B$999,"="&amp;$A$2,RES_WatHeat!$C$2:$C$999,"="&amp;'INS-UPD WaterHeat'!$A11),"")</f>
        <v>0.129212214049823</v>
      </c>
      <c r="AN11" s="2">
        <f>IFERROR(AVERAGEIFS(RES_WatHeat!AQ$2:AQ$999,RES_WatHeat!$B$2:$B$999,"="&amp;$A$2,RES_WatHeat!$C$2:$C$999,"="&amp;'INS-UPD WaterHeat'!$A11),"")</f>
        <v>0.053629584514042802</v>
      </c>
      <c r="AO11" s="2">
        <f>IFERROR(AVERAGEIFS(RES_WatHeat!AR$2:AR$999,RES_WatHeat!$B$2:$B$999,"="&amp;$A$2,RES_WatHeat!$C$2:$C$999,"="&amp;'INS-UPD WaterHeat'!$A11),"")</f>
        <v>0.060409676326461201</v>
      </c>
      <c r="AP11" s="2">
        <f>IFERROR(AVERAGEIFS(RES_WatHeat!AS$2:AS$999,RES_WatHeat!$B$2:$B$999,"="&amp;$A$2,RES_WatHeat!$C$2:$C$999,"="&amp;'INS-UPD WaterHeat'!$A11),"")</f>
        <v>0.081045461002581601</v>
      </c>
      <c r="AQ11" s="2">
        <f>IFERROR(AVERAGEIFS(RES_WatHeat!AT$2:AT$999,RES_WatHeat!$B$2:$B$999,"="&amp;$A$2,RES_WatHeat!$C$2:$C$999,"="&amp;'INS-UPD WaterHeat'!$A11),"")</f>
        <v>0.107895932166819</v>
      </c>
      <c r="AR11" s="2">
        <f>IFERROR(AVERAGEIFS(RES_WatHeat!AU$2:AU$999,RES_WatHeat!$B$2:$B$999,"="&amp;$A$2,RES_WatHeat!$C$2:$C$999,"="&amp;'INS-UPD WaterHeat'!$A11),"")</f>
        <v>0.081901284946787306</v>
      </c>
      <c r="AS11" s="41">
        <f>IFERROR(AVERAGEIFS(RES_WatHeat!AV$2:AV$999,RES_WatHeat!$B$2:$B$999,"="&amp;$A$2,RES_WatHeat!$C$2:$C$999,"="&amp;'INS-UPD WaterHeat'!$A11),"")</f>
        <v>0.080322621390082199</v>
      </c>
    </row>
    <row r="12" spans="1:45" ht="15">
      <c r="A12" s="5" t="s">
        <v>71</v>
      </c>
      <c r="C12" t="s">
        <v>52</v>
      </c>
      <c r="D12" t="str">
        <f t="shared" si="0"/>
        <v>R_ES-WH-FL_GE*</v>
      </c>
      <c r="H12" s="40">
        <f>H11</f>
        <v>0.078396422016540124</v>
      </c>
      <c r="I12" s="2" t="str">
        <f>IFERROR(AVERAGEIFS(RES_WatHeat!L$2:L$999,RES_WatHeat!$B$2:$B$999,"="&amp;$A$2,RES_WatHeat!$C$2:$C$999,"="&amp;'INS-UPD WaterHeat'!$A12),"")</f>
        <v/>
      </c>
      <c r="J12" s="2" t="str">
        <f>IFERROR(AVERAGEIFS(RES_WatHeat!M$2:M$999,RES_WatHeat!$B$2:$B$999,"="&amp;$A$2,RES_WatHeat!$C$2:$C$999,"="&amp;'INS-UPD WaterHeat'!$A12),"")</f>
        <v/>
      </c>
      <c r="K12" s="2" t="str">
        <f>IFERROR(AVERAGEIFS(RES_WatHeat!N$2:N$999,RES_WatHeat!$B$2:$B$999,"="&amp;$A$2,RES_WatHeat!$C$2:$C$999,"="&amp;'INS-UPD WaterHeat'!$A12),"")</f>
        <v/>
      </c>
      <c r="L12" s="2" t="str">
        <f>IFERROR(AVERAGEIFS(RES_WatHeat!O$2:O$999,RES_WatHeat!$B$2:$B$999,"="&amp;$A$2,RES_WatHeat!$C$2:$C$999,"="&amp;'INS-UPD WaterHeat'!$A12),"")</f>
        <v/>
      </c>
      <c r="M12" s="2" t="str">
        <f>IFERROR(AVERAGEIFS(RES_WatHeat!P$2:P$999,RES_WatHeat!$B$2:$B$999,"="&amp;$A$2,RES_WatHeat!$C$2:$C$999,"="&amp;'INS-UPD WaterHeat'!$A12),"")</f>
        <v/>
      </c>
      <c r="N12" s="2" t="str">
        <f>IFERROR(AVERAGEIFS(RES_WatHeat!Q$2:Q$999,RES_WatHeat!$B$2:$B$999,"="&amp;$A$2,RES_WatHeat!$C$2:$C$999,"="&amp;'INS-UPD WaterHeat'!$A12),"")</f>
        <v/>
      </c>
      <c r="O12" s="2" t="str">
        <f>IFERROR(AVERAGEIFS(RES_WatHeat!R$2:R$999,RES_WatHeat!$B$2:$B$999,"="&amp;$A$2,RES_WatHeat!$C$2:$C$999,"="&amp;'INS-UPD WaterHeat'!$A12),"")</f>
        <v/>
      </c>
      <c r="P12" s="2" t="str">
        <f>IFERROR(AVERAGEIFS(RES_WatHeat!S$2:S$999,RES_WatHeat!$B$2:$B$999,"="&amp;$A$2,RES_WatHeat!$C$2:$C$999,"="&amp;'INS-UPD WaterHeat'!$A12),"")</f>
        <v/>
      </c>
      <c r="Q12" s="2" t="str">
        <f>IFERROR(AVERAGEIFS(RES_WatHeat!T$2:T$999,RES_WatHeat!$B$2:$B$999,"="&amp;$A$2,RES_WatHeat!$C$2:$C$999,"="&amp;'INS-UPD WaterHeat'!$A12),"")</f>
        <v/>
      </c>
      <c r="R12" s="2" t="str">
        <f>IFERROR(AVERAGEIFS(RES_WatHeat!U$2:U$999,RES_WatHeat!$B$2:$B$999,"="&amp;$A$2,RES_WatHeat!$C$2:$C$999,"="&amp;'INS-UPD WaterHeat'!$A12),"")</f>
        <v/>
      </c>
      <c r="S12" s="2" t="str">
        <f>IFERROR(AVERAGEIFS(RES_WatHeat!V$2:V$999,RES_WatHeat!$B$2:$B$999,"="&amp;$A$2,RES_WatHeat!$C$2:$C$999,"="&amp;'INS-UPD WaterHeat'!$A12),"")</f>
        <v/>
      </c>
      <c r="T12" s="2" t="str">
        <f>IFERROR(AVERAGEIFS(RES_WatHeat!W$2:W$999,RES_WatHeat!$B$2:$B$999,"="&amp;$A$2,RES_WatHeat!$C$2:$C$999,"="&amp;'INS-UPD WaterHeat'!$A12),"")</f>
        <v/>
      </c>
      <c r="U12" s="2" t="str">
        <f>IFERROR(AVERAGEIFS(RES_WatHeat!X$2:X$999,RES_WatHeat!$B$2:$B$999,"="&amp;$A$2,RES_WatHeat!$C$2:$C$999,"="&amp;'INS-UPD WaterHeat'!$A12),"")</f>
        <v/>
      </c>
      <c r="V12" s="2" t="str">
        <f>IFERROR(AVERAGEIFS(RES_WatHeat!Y$2:Y$999,RES_WatHeat!$B$2:$B$999,"="&amp;$A$2,RES_WatHeat!$C$2:$C$999,"="&amp;'INS-UPD WaterHeat'!$A12),"")</f>
        <v/>
      </c>
      <c r="W12" s="2" t="str">
        <f>IFERROR(AVERAGEIFS(RES_WatHeat!Z$2:Z$999,RES_WatHeat!$B$2:$B$999,"="&amp;$A$2,RES_WatHeat!$C$2:$C$999,"="&amp;'INS-UPD WaterHeat'!$A12),"")</f>
        <v/>
      </c>
      <c r="X12" s="2" t="str">
        <f>IFERROR(AVERAGEIFS(RES_WatHeat!AA$2:AA$999,RES_WatHeat!$B$2:$B$999,"="&amp;$A$2,RES_WatHeat!$C$2:$C$999,"="&amp;'INS-UPD WaterHeat'!$A12),"")</f>
        <v/>
      </c>
      <c r="Y12" s="2" t="str">
        <f>IFERROR(AVERAGEIFS(RES_WatHeat!AB$2:AB$999,RES_WatHeat!$B$2:$B$999,"="&amp;$A$2,RES_WatHeat!$C$2:$C$999,"="&amp;'INS-UPD WaterHeat'!$A12),"")</f>
        <v/>
      </c>
      <c r="Z12" s="2" t="str">
        <f>IFERROR(AVERAGEIFS(RES_WatHeat!AC$2:AC$999,RES_WatHeat!$B$2:$B$999,"="&amp;$A$2,RES_WatHeat!$C$2:$C$999,"="&amp;'INS-UPD WaterHeat'!$A12),"")</f>
        <v/>
      </c>
      <c r="AA12" s="2" t="str">
        <f>IFERROR(AVERAGEIFS(RES_WatHeat!AD$2:AD$999,RES_WatHeat!$B$2:$B$999,"="&amp;$A$2,RES_WatHeat!$C$2:$C$999,"="&amp;'INS-UPD WaterHeat'!$A12),"")</f>
        <v/>
      </c>
      <c r="AB12" s="2" t="str">
        <f>IFERROR(AVERAGEIFS(RES_WatHeat!AE$2:AE$999,RES_WatHeat!$B$2:$B$999,"="&amp;$A$2,RES_WatHeat!$C$2:$C$999,"="&amp;'INS-UPD WaterHeat'!$A12),"")</f>
        <v/>
      </c>
      <c r="AC12" s="2" t="str">
        <f>IFERROR(AVERAGEIFS(RES_WatHeat!AF$2:AF$999,RES_WatHeat!$B$2:$B$999,"="&amp;$A$2,RES_WatHeat!$C$2:$C$999,"="&amp;'INS-UPD WaterHeat'!$A12),"")</f>
        <v/>
      </c>
      <c r="AD12" s="2" t="str">
        <f>IFERROR(AVERAGEIFS(RES_WatHeat!AG$2:AG$999,RES_WatHeat!$B$2:$B$999,"="&amp;$A$2,RES_WatHeat!$C$2:$C$999,"="&amp;'INS-UPD WaterHeat'!$A12),"")</f>
        <v/>
      </c>
      <c r="AE12" s="2" t="str">
        <f>IFERROR(AVERAGEIFS(RES_WatHeat!AH$2:AH$999,RES_WatHeat!$B$2:$B$999,"="&amp;$A$2,RES_WatHeat!$C$2:$C$999,"="&amp;'INS-UPD WaterHeat'!$A12),"")</f>
        <v/>
      </c>
      <c r="AF12" s="2" t="str">
        <f>IFERROR(AVERAGEIFS(RES_WatHeat!AI$2:AI$999,RES_WatHeat!$B$2:$B$999,"="&amp;$A$2,RES_WatHeat!$C$2:$C$999,"="&amp;'INS-UPD WaterHeat'!$A12),"")</f>
        <v/>
      </c>
      <c r="AG12" s="2" t="str">
        <f>IFERROR(AVERAGEIFS(RES_WatHeat!AJ$2:AJ$999,RES_WatHeat!$B$2:$B$999,"="&amp;$A$2,RES_WatHeat!$C$2:$C$999,"="&amp;'INS-UPD WaterHeat'!$A12),"")</f>
        <v/>
      </c>
      <c r="AH12" s="2" t="str">
        <f>IFERROR(AVERAGEIFS(RES_WatHeat!AK$2:AK$999,RES_WatHeat!$B$2:$B$999,"="&amp;$A$2,RES_WatHeat!$C$2:$C$999,"="&amp;'INS-UPD WaterHeat'!$A12),"")</f>
        <v/>
      </c>
      <c r="AI12" s="2" t="str">
        <f>IFERROR(AVERAGEIFS(RES_WatHeat!AL$2:AL$999,RES_WatHeat!$B$2:$B$999,"="&amp;$A$2,RES_WatHeat!$C$2:$C$999,"="&amp;'INS-UPD WaterHeat'!$A12),"")</f>
        <v/>
      </c>
      <c r="AJ12" s="2" t="str">
        <f>IFERROR(AVERAGEIFS(RES_WatHeat!AM$2:AM$999,RES_WatHeat!$B$2:$B$999,"="&amp;$A$2,RES_WatHeat!$C$2:$C$999,"="&amp;'INS-UPD WaterHeat'!$A12),"")</f>
        <v/>
      </c>
      <c r="AK12" s="2" t="str">
        <f>IFERROR(AVERAGEIFS(RES_WatHeat!AN$2:AN$999,RES_WatHeat!$B$2:$B$999,"="&amp;$A$2,RES_WatHeat!$C$2:$C$999,"="&amp;'INS-UPD WaterHeat'!$A12),"")</f>
        <v/>
      </c>
      <c r="AL12" s="2" t="str">
        <f>IFERROR(AVERAGEIFS(RES_WatHeat!AO$2:AO$999,RES_WatHeat!$B$2:$B$999,"="&amp;$A$2,RES_WatHeat!$C$2:$C$999,"="&amp;'INS-UPD WaterHeat'!$A12),"")</f>
        <v/>
      </c>
      <c r="AM12" s="2" t="str">
        <f>IFERROR(AVERAGEIFS(RES_WatHeat!AP$2:AP$999,RES_WatHeat!$B$2:$B$999,"="&amp;$A$2,RES_WatHeat!$C$2:$C$999,"="&amp;'INS-UPD WaterHeat'!$A12),"")</f>
        <v/>
      </c>
      <c r="AN12" s="2" t="str">
        <f>IFERROR(AVERAGEIFS(RES_WatHeat!AQ$2:AQ$999,RES_WatHeat!$B$2:$B$999,"="&amp;$A$2,RES_WatHeat!$C$2:$C$999,"="&amp;'INS-UPD WaterHeat'!$A12),"")</f>
        <v/>
      </c>
      <c r="AO12" s="2" t="str">
        <f>IFERROR(AVERAGEIFS(RES_WatHeat!AR$2:AR$999,RES_WatHeat!$B$2:$B$999,"="&amp;$A$2,RES_WatHeat!$C$2:$C$999,"="&amp;'INS-UPD WaterHeat'!$A12),"")</f>
        <v/>
      </c>
      <c r="AP12" s="2" t="str">
        <f>IFERROR(AVERAGEIFS(RES_WatHeat!AS$2:AS$999,RES_WatHeat!$B$2:$B$999,"="&amp;$A$2,RES_WatHeat!$C$2:$C$999,"="&amp;'INS-UPD WaterHeat'!$A12),"")</f>
        <v/>
      </c>
      <c r="AQ12" s="2" t="str">
        <f>IFERROR(AVERAGEIFS(RES_WatHeat!AT$2:AT$999,RES_WatHeat!$B$2:$B$999,"="&amp;$A$2,RES_WatHeat!$C$2:$C$999,"="&amp;'INS-UPD WaterHeat'!$A12),"")</f>
        <v/>
      </c>
      <c r="AR12" s="2" t="str">
        <f>IFERROR(AVERAGEIFS(RES_WatHeat!AU$2:AU$999,RES_WatHeat!$B$2:$B$999,"="&amp;$A$2,RES_WatHeat!$C$2:$C$999,"="&amp;'INS-UPD WaterHeat'!$A12),"")</f>
        <v/>
      </c>
      <c r="AS12" s="41" t="str">
        <f>IFERROR(AVERAGEIFS(RES_WatHeat!AV$2:AV$999,RES_WatHeat!$B$2:$B$999,"="&amp;$A$2,RES_WatHeat!$C$2:$C$999,"="&amp;'INS-UPD WaterHeat'!$A12),"")</f>
        <v/>
      </c>
    </row>
    <row r="13" spans="1:45" ht="15">
      <c r="A13" s="3" t="s">
        <v>63</v>
      </c>
      <c r="C13" t="s">
        <v>52</v>
      </c>
      <c r="D13" t="str">
        <f>A13</f>
        <v>R_ES-WH-DH_*</v>
      </c>
      <c r="H13" s="40">
        <f t="shared" si="1"/>
        <v>0.027438747705789041</v>
      </c>
      <c r="I13" s="2">
        <f>IFERROR(AVERAGEIFS(RES_WatHeat!L$2:L$999,RES_WatHeat!$B$2:$B$999,"="&amp;$A$2,RES_WatHeat!$C$2:$C$999,"="&amp;'INS-UPD WaterHeat'!$A13),"")</f>
        <v>0.032570447758031112</v>
      </c>
      <c r="J13" s="2">
        <f>IFERROR(AVERAGEIFS(RES_WatHeat!M$2:M$999,RES_WatHeat!$B$2:$B$999,"="&amp;$A$2,RES_WatHeat!$C$2:$C$999,"="&amp;'INS-UPD WaterHeat'!$A13),"")</f>
        <v>0.034339974254013209</v>
      </c>
      <c r="K13" s="2">
        <f>IFERROR(AVERAGEIFS(RES_WatHeat!N$2:N$999,RES_WatHeat!$B$2:$B$999,"="&amp;$A$2,RES_WatHeat!$C$2:$C$999,"="&amp;'INS-UPD WaterHeat'!$A13),"")</f>
        <v>0.017183792581352785</v>
      </c>
      <c r="L13" s="2">
        <f>IFERROR(AVERAGEIFS(RES_WatHeat!O$2:O$999,RES_WatHeat!$B$2:$B$999,"="&amp;$A$2,RES_WatHeat!$C$2:$C$999,"="&amp;'INS-UPD WaterHeat'!$A13),"")</f>
        <v>0.029077691289418794</v>
      </c>
      <c r="M13" s="2">
        <f>IFERROR(AVERAGEIFS(RES_WatHeat!P$2:P$999,RES_WatHeat!$B$2:$B$999,"="&amp;$A$2,RES_WatHeat!$C$2:$C$999,"="&amp;'INS-UPD WaterHeat'!$A13),"")</f>
        <v>0.023151512511803276</v>
      </c>
      <c r="N13" s="2">
        <f>IFERROR(AVERAGEIFS(RES_WatHeat!Q$2:Q$999,RES_WatHeat!$B$2:$B$999,"="&amp;$A$2,RES_WatHeat!$C$2:$C$999,"="&amp;'INS-UPD WaterHeat'!$A13),"")</f>
        <v>0.025974091912438262</v>
      </c>
      <c r="O13" s="2">
        <f>IFERROR(AVERAGEIFS(RES_WatHeat!R$2:R$999,RES_WatHeat!$B$2:$B$999,"="&amp;$A$2,RES_WatHeat!$C$2:$C$999,"="&amp;'INS-UPD WaterHeat'!$A13),"")</f>
        <v>0.028896807202816878</v>
      </c>
      <c r="P13" s="2">
        <f>IFERROR(AVERAGEIFS(RES_WatHeat!S$2:S$999,RES_WatHeat!$B$2:$B$999,"="&amp;$A$2,RES_WatHeat!$C$2:$C$999,"="&amp;'INS-UPD WaterHeat'!$A13),"")</f>
        <v>0.021748678603119187</v>
      </c>
      <c r="Q13" s="2">
        <f>IFERROR(AVERAGEIFS(RES_WatHeat!T$2:T$999,RES_WatHeat!$B$2:$B$999,"="&amp;$A$2,RES_WatHeat!$C$2:$C$999,"="&amp;'INS-UPD WaterHeat'!$A13),"")</f>
        <v>0.028108940851273551</v>
      </c>
      <c r="R13" s="2">
        <f>IFERROR(AVERAGEIFS(RES_WatHeat!U$2:U$999,RES_WatHeat!$B$2:$B$999,"="&amp;$A$2,RES_WatHeat!$C$2:$C$999,"="&amp;'INS-UPD WaterHeat'!$A13),"")</f>
        <v>0.029675003772007883</v>
      </c>
      <c r="S13" s="2">
        <f>IFERROR(AVERAGEIFS(RES_WatHeat!V$2:V$999,RES_WatHeat!$B$2:$B$999,"="&amp;$A$2,RES_WatHeat!$C$2:$C$999,"="&amp;'INS-UPD WaterHeat'!$A13),"")</f>
        <v>0.027278350200432559</v>
      </c>
      <c r="T13" s="2">
        <f>IFERROR(AVERAGEIFS(RES_WatHeat!W$2:W$999,RES_WatHeat!$B$2:$B$999,"="&amp;$A$2,RES_WatHeat!$C$2:$C$999,"="&amp;'INS-UPD WaterHeat'!$A13),"")</f>
        <v>0.031809913210619892</v>
      </c>
      <c r="U13" s="2">
        <f>IFERROR(AVERAGEIFS(RES_WatHeat!X$2:X$999,RES_WatHeat!$B$2:$B$999,"="&amp;$A$2,RES_WatHeat!$C$2:$C$999,"="&amp;'INS-UPD WaterHeat'!$A13),"")</f>
        <v>0.036657521477303244</v>
      </c>
      <c r="V13" s="2">
        <f>IFERROR(AVERAGEIFS(RES_WatHeat!Y$2:Y$999,RES_WatHeat!$B$2:$B$999,"="&amp;$A$2,RES_WatHeat!$C$2:$C$999,"="&amp;'INS-UPD WaterHeat'!$A13),"")</f>
        <v>0.034671394016830073</v>
      </c>
      <c r="W13" s="2">
        <f>IFERROR(AVERAGEIFS(RES_WatHeat!Z$2:Z$999,RES_WatHeat!$B$2:$B$999,"="&amp;$A$2,RES_WatHeat!$C$2:$C$999,"="&amp;'INS-UPD WaterHeat'!$A13),"")</f>
        <v>0.03038019090642391</v>
      </c>
      <c r="X13" s="2">
        <f>IFERROR(AVERAGEIFS(RES_WatHeat!AA$2:AA$999,RES_WatHeat!$B$2:$B$999,"="&amp;$A$2,RES_WatHeat!$C$2:$C$999,"="&amp;'INS-UPD WaterHeat'!$A13),"")</f>
        <v>0.018730819694539415</v>
      </c>
      <c r="Y13" s="2">
        <f>IFERROR(AVERAGEIFS(RES_WatHeat!AB$2:AB$999,RES_WatHeat!$B$2:$B$999,"="&amp;$A$2,RES_WatHeat!$C$2:$C$999,"="&amp;'INS-UPD WaterHeat'!$A13),"")</f>
        <v>0.016285826568463689</v>
      </c>
      <c r="Z13" s="2">
        <f>IFERROR(AVERAGEIFS(RES_WatHeat!AC$2:AC$999,RES_WatHeat!$B$2:$B$999,"="&amp;$A$2,RES_WatHeat!$C$2:$C$999,"="&amp;'INS-UPD WaterHeat'!$A13),"")</f>
        <v>0.032816638828195938</v>
      </c>
      <c r="AA13" s="2">
        <f>IFERROR(AVERAGEIFS(RES_WatHeat!AD$2:AD$999,RES_WatHeat!$B$2:$B$999,"="&amp;$A$2,RES_WatHeat!$C$2:$C$999,"="&amp;'INS-UPD WaterHeat'!$A13),"")</f>
        <v>0.032145577736376954</v>
      </c>
      <c r="AB13" s="2">
        <f>IFERROR(AVERAGEIFS(RES_WatHeat!AE$2:AE$999,RES_WatHeat!$B$2:$B$999,"="&amp;$A$2,RES_WatHeat!$C$2:$C$999,"="&amp;'INS-UPD WaterHeat'!$A13),"")</f>
        <v>0.025769257052251252</v>
      </c>
      <c r="AC13" s="2">
        <f>IFERROR(AVERAGEIFS(RES_WatHeat!AF$2:AF$999,RES_WatHeat!$B$2:$B$999,"="&amp;$A$2,RES_WatHeat!$C$2:$C$999,"="&amp;'INS-UPD WaterHeat'!$A13),"")</f>
        <v>0.013075177055265761</v>
      </c>
      <c r="AD13" s="2">
        <f>IFERROR(AVERAGEIFS(RES_WatHeat!AG$2:AG$999,RES_WatHeat!$B$2:$B$999,"="&amp;$A$2,RES_WatHeat!$C$2:$C$999,"="&amp;'INS-UPD WaterHeat'!$A13),"")</f>
        <v>0.022409819203229576</v>
      </c>
      <c r="AE13" s="2">
        <f>IFERROR(AVERAGEIFS(RES_WatHeat!AH$2:AH$999,RES_WatHeat!$B$2:$B$999,"="&amp;$A$2,RES_WatHeat!$C$2:$C$999,"="&amp;'INS-UPD WaterHeat'!$A13),"")</f>
        <v>0.023382805489673426</v>
      </c>
      <c r="AF13" s="2">
        <f>IFERROR(AVERAGEIFS(RES_WatHeat!AI$2:AI$999,RES_WatHeat!$B$2:$B$999,"="&amp;$A$2,RES_WatHeat!$C$2:$C$999,"="&amp;'INS-UPD WaterHeat'!$A13),"")</f>
        <v>0.031439056712592901</v>
      </c>
      <c r="AG13" s="2">
        <f>IFERROR(AVERAGEIFS(RES_WatHeat!AJ$2:AJ$999,RES_WatHeat!$B$2:$B$999,"="&amp;$A$2,RES_WatHeat!$C$2:$C$999,"="&amp;'INS-UPD WaterHeat'!$A13),"")</f>
        <v>0.023163383683556537</v>
      </c>
      <c r="AH13" s="2">
        <f>IFERROR(AVERAGEIFS(RES_WatHeat!AK$2:AK$999,RES_WatHeat!$B$2:$B$999,"="&amp;$A$2,RES_WatHeat!$C$2:$C$999,"="&amp;'INS-UPD WaterHeat'!$A13),"")</f>
        <v>0.019122171962178761</v>
      </c>
      <c r="AI13" s="2">
        <f>IFERROR(AVERAGEIFS(RES_WatHeat!AL$2:AL$999,RES_WatHeat!$B$2:$B$999,"="&amp;$A$2,RES_WatHeat!$C$2:$C$999,"="&amp;'INS-UPD WaterHeat'!$A13),"")</f>
        <v>0.014064842944620022</v>
      </c>
      <c r="AJ13" s="2">
        <f>IFERROR(AVERAGEIFS(RES_WatHeat!AM$2:AM$999,RES_WatHeat!$B$2:$B$999,"="&amp;$A$2,RES_WatHeat!$C$2:$C$999,"="&amp;'INS-UPD WaterHeat'!$A13),"")</f>
        <v>0.028214428889068149</v>
      </c>
      <c r="AK13" s="2">
        <f>IFERROR(AVERAGEIFS(RES_WatHeat!AN$2:AN$999,RES_WatHeat!$B$2:$B$999,"="&amp;$A$2,RES_WatHeat!$C$2:$C$999,"="&amp;'INS-UPD WaterHeat'!$A13),"")</f>
        <v>0.047032194879768591</v>
      </c>
      <c r="AL13" s="2">
        <f>IFERROR(AVERAGEIFS(RES_WatHeat!AO$2:AO$999,RES_WatHeat!$B$2:$B$999,"="&amp;$A$2,RES_WatHeat!$C$2:$C$999,"="&amp;'INS-UPD WaterHeat'!$A13),"")</f>
        <v>0.028011482827720077</v>
      </c>
      <c r="AM13" s="2">
        <f>IFERROR(AVERAGEIFS(RES_WatHeat!AP$2:AP$999,RES_WatHeat!$B$2:$B$999,"="&amp;$A$2,RES_WatHeat!$C$2:$C$999,"="&amp;'INS-UPD WaterHeat'!$A13),"")</f>
        <v>0.045224274917437961</v>
      </c>
      <c r="AN13" s="2">
        <f>IFERROR(AVERAGEIFS(RES_WatHeat!AQ$2:AQ$999,RES_WatHeat!$B$2:$B$999,"="&amp;$A$2,RES_WatHeat!$C$2:$C$999,"="&amp;'INS-UPD WaterHeat'!$A13),"")</f>
        <v>0.018770354579914984</v>
      </c>
      <c r="AO13" s="2">
        <f>IFERROR(AVERAGEIFS(RES_WatHeat!AR$2:AR$999,RES_WatHeat!$B$2:$B$999,"="&amp;$A$2,RES_WatHeat!$C$2:$C$999,"="&amp;'INS-UPD WaterHeat'!$A13),"")</f>
        <v>0.021143386714261386</v>
      </c>
      <c r="AP13" s="2">
        <f>IFERROR(AVERAGEIFS(RES_WatHeat!AS$2:AS$999,RES_WatHeat!$B$2:$B$999,"="&amp;$A$2,RES_WatHeat!$C$2:$C$999,"="&amp;'INS-UPD WaterHeat'!$A13),"")</f>
        <v>0.028365911350903585</v>
      </c>
      <c r="AQ13" s="2">
        <f>IFERROR(AVERAGEIFS(RES_WatHeat!AT$2:AT$999,RES_WatHeat!$B$2:$B$999,"="&amp;$A$2,RES_WatHeat!$C$2:$C$999,"="&amp;'INS-UPD WaterHeat'!$A13),"")</f>
        <v>0.037763576258386659</v>
      </c>
      <c r="AR13" s="2">
        <f>IFERROR(AVERAGEIFS(RES_WatHeat!AU$2:AU$999,RES_WatHeat!$B$2:$B$999,"="&amp;$A$2,RES_WatHeat!$C$2:$C$999,"="&amp;'INS-UPD WaterHeat'!$A13),"")</f>
        <v>0.028665449731375549</v>
      </c>
      <c r="AS13" s="41">
        <f>IFERROR(AVERAGEIFS(RES_WatHeat!AV$2:AV$999,RES_WatHeat!$B$2:$B$999,"="&amp;$A$2,RES_WatHeat!$C$2:$C$999,"="&amp;'INS-UPD WaterHeat'!$A13),"")</f>
        <v>0.028112917486528749</v>
      </c>
    </row>
    <row r="14" spans="1:45" ht="15">
      <c r="A14" s="3" t="s">
        <v>72</v>
      </c>
      <c r="C14" t="s">
        <v>52</v>
      </c>
      <c r="D14" t="str">
        <f t="shared" si="2" ref="D14:D21">A14</f>
        <v>R_ES-WH-DH_EL*</v>
      </c>
      <c r="H14" s="40">
        <f t="shared" si="1"/>
        <v>0.062717137613232082</v>
      </c>
      <c r="I14" s="2">
        <f>IFERROR(AVERAGEIFS(RES_WatHeat!L$2:L$999,RES_WatHeat!$B$2:$B$999,"="&amp;$A$2,RES_WatHeat!$C$2:$C$999,"="&amp;'INS-UPD WaterHeat'!$A14),"")</f>
        <v>0.074446737732642501</v>
      </c>
      <c r="J14" s="2">
        <f>IFERROR(AVERAGEIFS(RES_WatHeat!M$2:M$999,RES_WatHeat!$B$2:$B$999,"="&amp;$A$2,RES_WatHeat!$C$2:$C$999,"="&amp;'INS-UPD WaterHeat'!$A14),"")</f>
        <v>0.078491369723458701</v>
      </c>
      <c r="K14" s="2">
        <f>IFERROR(AVERAGEIFS(RES_WatHeat!N$2:N$999,RES_WatHeat!$B$2:$B$999,"="&amp;$A$2,RES_WatHeat!$C$2:$C$999,"="&amp;'INS-UPD WaterHeat'!$A14),"")</f>
        <v>0.039277240185949303</v>
      </c>
      <c r="L14" s="2">
        <f>IFERROR(AVERAGEIFS(RES_WatHeat!O$2:O$999,RES_WatHeat!$B$2:$B$999,"="&amp;$A$2,RES_WatHeat!$C$2:$C$999,"="&amp;'INS-UPD WaterHeat'!$A14),"")</f>
        <v>0.0664632943758144</v>
      </c>
      <c r="M14" s="2">
        <f>IFERROR(AVERAGEIFS(RES_WatHeat!P$2:P$999,RES_WatHeat!$B$2:$B$999,"="&amp;$A$2,RES_WatHeat!$C$2:$C$999,"="&amp;'INS-UPD WaterHeat'!$A14),"")</f>
        <v>0.0529177428841218</v>
      </c>
      <c r="N14" s="2">
        <f>IFERROR(AVERAGEIFS(RES_WatHeat!Q$2:Q$999,RES_WatHeat!$B$2:$B$999,"="&amp;$A$2,RES_WatHeat!$C$2:$C$999,"="&amp;'INS-UPD WaterHeat'!$A14),"")</f>
        <v>0.059369352942716003</v>
      </c>
      <c r="O14" s="2">
        <f>IFERROR(AVERAGEIFS(RES_WatHeat!R$2:R$999,RES_WatHeat!$B$2:$B$999,"="&amp;$A$2,RES_WatHeat!$C$2:$C$999,"="&amp;'INS-UPD WaterHeat'!$A14),"")</f>
        <v>0.066049845035010005</v>
      </c>
      <c r="P14" s="2">
        <f>IFERROR(AVERAGEIFS(RES_WatHeat!S$2:S$999,RES_WatHeat!$B$2:$B$999,"="&amp;$A$2,RES_WatHeat!$C$2:$C$999,"="&amp;'INS-UPD WaterHeat'!$A14),"")</f>
        <v>0.049711265378558203</v>
      </c>
      <c r="Q14" s="2">
        <f>IFERROR(AVERAGEIFS(RES_WatHeat!T$2:T$999,RES_WatHeat!$B$2:$B$999,"="&amp;$A$2,RES_WatHeat!$C$2:$C$999,"="&amp;'INS-UPD WaterHeat'!$A14),"")</f>
        <v>0.0642490076600538</v>
      </c>
      <c r="R14" s="2">
        <f>IFERROR(AVERAGEIFS(RES_WatHeat!U$2:U$999,RES_WatHeat!$B$2:$B$999,"="&amp;$A$2,RES_WatHeat!$C$2:$C$999,"="&amp;'INS-UPD WaterHeat'!$A14),"")</f>
        <v>0.067828580050303705</v>
      </c>
      <c r="S14" s="2">
        <f>IFERROR(AVERAGEIFS(RES_WatHeat!V$2:V$999,RES_WatHeat!$B$2:$B$999,"="&amp;$A$2,RES_WatHeat!$C$2:$C$999,"="&amp;'INS-UPD WaterHeat'!$A14),"")</f>
        <v>0.0623505147438458</v>
      </c>
      <c r="T14" s="2">
        <f>IFERROR(AVERAGEIFS(RES_WatHeat!W$2:W$999,RES_WatHeat!$B$2:$B$999,"="&amp;$A$2,RES_WatHeat!$C$2:$C$999,"="&amp;'INS-UPD WaterHeat'!$A14),"")</f>
        <v>0.072708373052845499</v>
      </c>
      <c r="U14" s="2">
        <f>IFERROR(AVERAGEIFS(RES_WatHeat!X$2:X$999,RES_WatHeat!$B$2:$B$999,"="&amp;$A$2,RES_WatHeat!$C$2:$C$999,"="&amp;'INS-UPD WaterHeat'!$A14),"")</f>
        <v>0.0837886205195503</v>
      </c>
      <c r="V14" s="2">
        <f>IFERROR(AVERAGEIFS(RES_WatHeat!Y$2:Y$999,RES_WatHeat!$B$2:$B$999,"="&amp;$A$2,RES_WatHeat!$C$2:$C$999,"="&amp;'INS-UPD WaterHeat'!$A14),"")</f>
        <v>0.079248900609897296</v>
      </c>
      <c r="W14" s="2">
        <f>IFERROR(AVERAGEIFS(RES_WatHeat!Z$2:Z$999,RES_WatHeat!$B$2:$B$999,"="&amp;$A$2,RES_WatHeat!$C$2:$C$999,"="&amp;'INS-UPD WaterHeat'!$A14),"")</f>
        <v>0.069440436357540394</v>
      </c>
      <c r="X14" s="2">
        <f>IFERROR(AVERAGEIFS(RES_WatHeat!AA$2:AA$999,RES_WatHeat!$B$2:$B$999,"="&amp;$A$2,RES_WatHeat!$C$2:$C$999,"="&amp;'INS-UPD WaterHeat'!$A14),"")</f>
        <v>0.0428133021589472</v>
      </c>
      <c r="Y14" s="2">
        <f>IFERROR(AVERAGEIFS(RES_WatHeat!AB$2:AB$999,RES_WatHeat!$B$2:$B$999,"="&amp;$A$2,RES_WatHeat!$C$2:$C$999,"="&amp;'INS-UPD WaterHeat'!$A14),"")</f>
        <v>0.037224746442202701</v>
      </c>
      <c r="Z14" s="2">
        <f>IFERROR(AVERAGEIFS(RES_WatHeat!AC$2:AC$999,RES_WatHeat!$B$2:$B$999,"="&amp;$A$2,RES_WatHeat!$C$2:$C$999,"="&amp;'INS-UPD WaterHeat'!$A14),"")</f>
        <v>0.0750094601787335</v>
      </c>
      <c r="AA14" s="2">
        <f>IFERROR(AVERAGEIFS(RES_WatHeat!AD$2:AD$999,RES_WatHeat!$B$2:$B$999,"="&amp;$A$2,RES_WatHeat!$C$2:$C$999,"="&amp;'INS-UPD WaterHeat'!$A14),"")</f>
        <v>0.073475606254575901</v>
      </c>
      <c r="AB14" s="2">
        <f>IFERROR(AVERAGEIFS(RES_WatHeat!AE$2:AE$999,RES_WatHeat!$B$2:$B$999,"="&amp;$A$2,RES_WatHeat!$C$2:$C$999,"="&amp;'INS-UPD WaterHeat'!$A14),"")</f>
        <v>0.058901158976574303</v>
      </c>
      <c r="AC14" s="2">
        <f>IFERROR(AVERAGEIFS(RES_WatHeat!AF$2:AF$999,RES_WatHeat!$B$2:$B$999,"="&amp;$A$2,RES_WatHeat!$C$2:$C$999,"="&amp;'INS-UPD WaterHeat'!$A14),"")</f>
        <v>0.029886118983464601</v>
      </c>
      <c r="AD14" s="2">
        <f>IFERROR(AVERAGEIFS(RES_WatHeat!AG$2:AG$999,RES_WatHeat!$B$2:$B$999,"="&amp;$A$2,RES_WatHeat!$C$2:$C$999,"="&amp;'INS-UPD WaterHeat'!$A14),"")</f>
        <v>0.051222443893096201</v>
      </c>
      <c r="AE14" s="2">
        <f>IFERROR(AVERAGEIFS(RES_WatHeat!AH$2:AH$999,RES_WatHeat!$B$2:$B$999,"="&amp;$A$2,RES_WatHeat!$C$2:$C$999,"="&amp;'INS-UPD WaterHeat'!$A14),"")</f>
        <v>0.053446412547824999</v>
      </c>
      <c r="AF14" s="2">
        <f>IFERROR(AVERAGEIFS(RES_WatHeat!AI$2:AI$999,RES_WatHeat!$B$2:$B$999,"="&amp;$A$2,RES_WatHeat!$C$2:$C$999,"="&amp;'INS-UPD WaterHeat'!$A14),"")</f>
        <v>0.071860701057355203</v>
      </c>
      <c r="AG14" s="2">
        <f>IFERROR(AVERAGEIFS(RES_WatHeat!AJ$2:AJ$999,RES_WatHeat!$B$2:$B$999,"="&amp;$A$2,RES_WatHeat!$C$2:$C$999,"="&amp;'INS-UPD WaterHeat'!$A14),"")</f>
        <v>0.052944876990986302</v>
      </c>
      <c r="AH14" s="2">
        <f>IFERROR(AVERAGEIFS(RES_WatHeat!AK$2:AK$999,RES_WatHeat!$B$2:$B$999,"="&amp;$A$2,RES_WatHeat!$C$2:$C$999,"="&amp;'INS-UPD WaterHeat'!$A14),"")</f>
        <v>0.0437078216278372</v>
      </c>
      <c r="AI14" s="2">
        <f>IFERROR(AVERAGEIFS(RES_WatHeat!AL$2:AL$999,RES_WatHeat!$B$2:$B$999,"="&amp;$A$2,RES_WatHeat!$C$2:$C$999,"="&amp;'INS-UPD WaterHeat'!$A14),"")</f>
        <v>0.032148212444845801</v>
      </c>
      <c r="AJ14" s="2">
        <f>IFERROR(AVERAGEIFS(RES_WatHeat!AM$2:AM$999,RES_WatHeat!$B$2:$B$999,"="&amp;$A$2,RES_WatHeat!$C$2:$C$999,"="&amp;'INS-UPD WaterHeat'!$A14),"")</f>
        <v>0.064490123175012903</v>
      </c>
      <c r="AK14" s="2">
        <f>IFERROR(AVERAGEIFS(RES_WatHeat!AN$2:AN$999,RES_WatHeat!$B$2:$B$999,"="&amp;$A$2,RES_WatHeat!$C$2:$C$999,"="&amp;'INS-UPD WaterHeat'!$A14),"")</f>
        <v>0.107502159725185</v>
      </c>
      <c r="AL14" s="2">
        <f>IFERROR(AVERAGEIFS(RES_WatHeat!AO$2:AO$999,RES_WatHeat!$B$2:$B$999,"="&amp;$A$2,RES_WatHeat!$C$2:$C$999,"="&amp;'INS-UPD WaterHeat'!$A14),"")</f>
        <v>0.064026246463360206</v>
      </c>
      <c r="AM14" s="2">
        <f>IFERROR(AVERAGEIFS(RES_WatHeat!AP$2:AP$999,RES_WatHeat!$B$2:$B$999,"="&amp;$A$2,RES_WatHeat!$C$2:$C$999,"="&amp;'INS-UPD WaterHeat'!$A14),"")</f>
        <v>0.10336977123985799</v>
      </c>
      <c r="AN14" s="2">
        <f>IFERROR(AVERAGEIFS(RES_WatHeat!AQ$2:AQ$999,RES_WatHeat!$B$2:$B$999,"="&amp;$A$2,RES_WatHeat!$C$2:$C$999,"="&amp;'INS-UPD WaterHeat'!$A14),"")</f>
        <v>0.042903667611234202</v>
      </c>
      <c r="AO14" s="2">
        <f>IFERROR(AVERAGEIFS(RES_WatHeat!AR$2:AR$999,RES_WatHeat!$B$2:$B$999,"="&amp;$A$2,RES_WatHeat!$C$2:$C$999,"="&amp;'INS-UPD WaterHeat'!$A14),"")</f>
        <v>0.048327741061168897</v>
      </c>
      <c r="AP14" s="2">
        <f>IFERROR(AVERAGEIFS(RES_WatHeat!AS$2:AS$999,RES_WatHeat!$B$2:$B$999,"="&amp;$A$2,RES_WatHeat!$C$2:$C$999,"="&amp;'INS-UPD WaterHeat'!$A14),"")</f>
        <v>0.064836368802065295</v>
      </c>
      <c r="AQ14" s="2">
        <f>IFERROR(AVERAGEIFS(RES_WatHeat!AT$2:AT$999,RES_WatHeat!$B$2:$B$999,"="&amp;$A$2,RES_WatHeat!$C$2:$C$999,"="&amp;'INS-UPD WaterHeat'!$A14),"")</f>
        <v>0.0863167457334552</v>
      </c>
      <c r="AR14" s="2">
        <f>IFERROR(AVERAGEIFS(RES_WatHeat!AU$2:AU$999,RES_WatHeat!$B$2:$B$999,"="&amp;$A$2,RES_WatHeat!$C$2:$C$999,"="&amp;'INS-UPD WaterHeat'!$A14),"")</f>
        <v>0.065521027957429798</v>
      </c>
      <c r="AS14" s="41">
        <f>IFERROR(AVERAGEIFS(RES_WatHeat!AV$2:AV$999,RES_WatHeat!$B$2:$B$999,"="&amp;$A$2,RES_WatHeat!$C$2:$C$999,"="&amp;'INS-UPD WaterHeat'!$A14),"")</f>
        <v>0.064258097112065704</v>
      </c>
    </row>
    <row r="15" spans="1:45" ht="15">
      <c r="A15" s="3" t="s">
        <v>73</v>
      </c>
      <c r="C15" t="s">
        <v>52</v>
      </c>
      <c r="D15" t="str">
        <f t="shared" si="2"/>
        <v>R_ES-WH-DH_GA*</v>
      </c>
      <c r="H15" s="40">
        <f t="shared" si="1"/>
        <v>0.026132140672180035</v>
      </c>
      <c r="I15" s="2">
        <f>IFERROR(AVERAGEIFS(RES_WatHeat!L$2:L$999,RES_WatHeat!$B$2:$B$999,"="&amp;$A$2,RES_WatHeat!$C$2:$C$999,"="&amp;'INS-UPD WaterHeat'!$A15),"")</f>
        <v>0.031019474055267698</v>
      </c>
      <c r="J15" s="2">
        <f>IFERROR(AVERAGEIFS(RES_WatHeat!M$2:M$999,RES_WatHeat!$B$2:$B$999,"="&amp;$A$2,RES_WatHeat!$C$2:$C$999,"="&amp;'INS-UPD WaterHeat'!$A15),"")</f>
        <v>0.032704737384774502</v>
      </c>
      <c r="K15" s="2">
        <f>IFERROR(AVERAGEIFS(RES_WatHeat!N$2:N$999,RES_WatHeat!$B$2:$B$999,"="&amp;$A$2,RES_WatHeat!$C$2:$C$999,"="&amp;'INS-UPD WaterHeat'!$A15),"")</f>
        <v>0.016365516744145499</v>
      </c>
      <c r="L15" s="2">
        <f>IFERROR(AVERAGEIFS(RES_WatHeat!O$2:O$999,RES_WatHeat!$B$2:$B$999,"="&amp;$A$2,RES_WatHeat!$C$2:$C$999,"="&amp;'INS-UPD WaterHeat'!$A15),"")</f>
        <v>0.027693039323256001</v>
      </c>
      <c r="M15" s="2">
        <f>IFERROR(AVERAGEIFS(RES_WatHeat!P$2:P$999,RES_WatHeat!$B$2:$B$999,"="&amp;$A$2,RES_WatHeat!$C$2:$C$999,"="&amp;'INS-UPD WaterHeat'!$A15),"")</f>
        <v>0.022049059535050701</v>
      </c>
      <c r="N15" s="2">
        <f>IFERROR(AVERAGEIFS(RES_WatHeat!Q$2:Q$999,RES_WatHeat!$B$2:$B$999,"="&amp;$A$2,RES_WatHeat!$C$2:$C$999,"="&amp;'INS-UPD WaterHeat'!$A15),"")</f>
        <v>0.0247372303927983</v>
      </c>
      <c r="O15" s="2">
        <f>IFERROR(AVERAGEIFS(RES_WatHeat!R$2:R$999,RES_WatHeat!$B$2:$B$999,"="&amp;$A$2,RES_WatHeat!$C$2:$C$999,"="&amp;'INS-UPD WaterHeat'!$A15),"")</f>
        <v>0.027520768764587498</v>
      </c>
      <c r="P15" s="2">
        <f>IFERROR(AVERAGEIFS(RES_WatHeat!S$2:S$999,RES_WatHeat!$B$2:$B$999,"="&amp;$A$2,RES_WatHeat!$C$2:$C$999,"="&amp;'INS-UPD WaterHeat'!$A15),"")</f>
        <v>0.020713027241065898</v>
      </c>
      <c r="Q15" s="2">
        <f>IFERROR(AVERAGEIFS(RES_WatHeat!T$2:T$999,RES_WatHeat!$B$2:$B$999,"="&amp;$A$2,RES_WatHeat!$C$2:$C$999,"="&amp;'INS-UPD WaterHeat'!$A15),"")</f>
        <v>0.0267704198583558</v>
      </c>
      <c r="R15" s="2">
        <f>IFERROR(AVERAGEIFS(RES_WatHeat!U$2:U$999,RES_WatHeat!$B$2:$B$999,"="&amp;$A$2,RES_WatHeat!$C$2:$C$999,"="&amp;'INS-UPD WaterHeat'!$A15),"")</f>
        <v>0.028261908354293201</v>
      </c>
      <c r="S15" s="2">
        <f>IFERROR(AVERAGEIFS(RES_WatHeat!V$2:V$999,RES_WatHeat!$B$2:$B$999,"="&amp;$A$2,RES_WatHeat!$C$2:$C$999,"="&amp;'INS-UPD WaterHeat'!$A15),"")</f>
        <v>0.025979381143269101</v>
      </c>
      <c r="T15" s="2">
        <f>IFERROR(AVERAGEIFS(RES_WatHeat!W$2:W$999,RES_WatHeat!$B$2:$B$999,"="&amp;$A$2,RES_WatHeat!$C$2:$C$999,"="&amp;'INS-UPD WaterHeat'!$A15),"")</f>
        <v>0.030295155438685599</v>
      </c>
      <c r="U15" s="2">
        <f>IFERROR(AVERAGEIFS(RES_WatHeat!X$2:X$999,RES_WatHeat!$B$2:$B$999,"="&amp;$A$2,RES_WatHeat!$C$2:$C$999,"="&amp;'INS-UPD WaterHeat'!$A15),"")</f>
        <v>0.034911925216479303</v>
      </c>
      <c r="V15" s="2">
        <f>IFERROR(AVERAGEIFS(RES_WatHeat!Y$2:Y$999,RES_WatHeat!$B$2:$B$999,"="&amp;$A$2,RES_WatHeat!$C$2:$C$999,"="&amp;'INS-UPD WaterHeat'!$A15),"")</f>
        <v>0.0330203752541239</v>
      </c>
      <c r="W15" s="2">
        <f>IFERROR(AVERAGEIFS(RES_WatHeat!Z$2:Z$999,RES_WatHeat!$B$2:$B$999,"="&amp;$A$2,RES_WatHeat!$C$2:$C$999,"="&amp;'INS-UPD WaterHeat'!$A15),"")</f>
        <v>0.0289335151489752</v>
      </c>
      <c r="X15" s="2">
        <f>IFERROR(AVERAGEIFS(RES_WatHeat!AA$2:AA$999,RES_WatHeat!$B$2:$B$999,"="&amp;$A$2,RES_WatHeat!$C$2:$C$999,"="&amp;'INS-UPD WaterHeat'!$A15),"")</f>
        <v>0.017838875899561301</v>
      </c>
      <c r="Y15" s="2">
        <f>IFERROR(AVERAGEIFS(RES_WatHeat!AB$2:AB$999,RES_WatHeat!$B$2:$B$999,"="&amp;$A$2,RES_WatHeat!$C$2:$C$999,"="&amp;'INS-UPD WaterHeat'!$A15),"")</f>
        <v>0.0155103110175844</v>
      </c>
      <c r="Z15" s="2">
        <f>IFERROR(AVERAGEIFS(RES_WatHeat!AC$2:AC$999,RES_WatHeat!$B$2:$B$999,"="&amp;$A$2,RES_WatHeat!$C$2:$C$999,"="&amp;'INS-UPD WaterHeat'!$A15),"")</f>
        <v>0.031253941741138998</v>
      </c>
      <c r="AA15" s="2">
        <f>IFERROR(AVERAGEIFS(RES_WatHeat!AD$2:AD$999,RES_WatHeat!$B$2:$B$999,"="&amp;$A$2,RES_WatHeat!$C$2:$C$999,"="&amp;'INS-UPD WaterHeat'!$A15),"")</f>
        <v>0.030614835939406601</v>
      </c>
      <c r="AB15" s="2">
        <f>IFERROR(AVERAGEIFS(RES_WatHeat!AE$2:AE$999,RES_WatHeat!$B$2:$B$999,"="&amp;$A$2,RES_WatHeat!$C$2:$C$999,"="&amp;'INS-UPD WaterHeat'!$A15),"")</f>
        <v>0.024542149573572598</v>
      </c>
      <c r="AC15" s="2">
        <f>IFERROR(AVERAGEIFS(RES_WatHeat!AF$2:AF$999,RES_WatHeat!$B$2:$B$999,"="&amp;$A$2,RES_WatHeat!$C$2:$C$999,"="&amp;'INS-UPD WaterHeat'!$A15),"")</f>
        <v>0.0124525495764436</v>
      </c>
      <c r="AD15" s="2">
        <f>IFERROR(AVERAGEIFS(RES_WatHeat!AG$2:AG$999,RES_WatHeat!$B$2:$B$999,"="&amp;$A$2,RES_WatHeat!$C$2:$C$999,"="&amp;'INS-UPD WaterHeat'!$A15),"")</f>
        <v>0.021342684955456701</v>
      </c>
      <c r="AE15" s="2">
        <f>IFERROR(AVERAGEIFS(RES_WatHeat!AH$2:AH$999,RES_WatHeat!$B$2:$B$999,"="&amp;$A$2,RES_WatHeat!$C$2:$C$999,"="&amp;'INS-UPD WaterHeat'!$A15),"")</f>
        <v>0.022269338561593702</v>
      </c>
      <c r="AF15" s="2">
        <f>IFERROR(AVERAGEIFS(RES_WatHeat!AI$2:AI$999,RES_WatHeat!$B$2:$B$999,"="&amp;$A$2,RES_WatHeat!$C$2:$C$999,"="&amp;'INS-UPD WaterHeat'!$A15),"")</f>
        <v>0.029941958773897999</v>
      </c>
      <c r="AG15" s="2">
        <f>IFERROR(AVERAGEIFS(RES_WatHeat!AJ$2:AJ$999,RES_WatHeat!$B$2:$B$999,"="&amp;$A$2,RES_WatHeat!$C$2:$C$999,"="&amp;'INS-UPD WaterHeat'!$A15),"")</f>
        <v>0.022060365412910999</v>
      </c>
      <c r="AH15" s="2">
        <f>IFERROR(AVERAGEIFS(RES_WatHeat!AK$2:AK$999,RES_WatHeat!$B$2:$B$999,"="&amp;$A$2,RES_WatHeat!$C$2:$C$999,"="&amp;'INS-UPD WaterHeat'!$A15),"")</f>
        <v>0.0182115923449322</v>
      </c>
      <c r="AI15" s="2">
        <f>IFERROR(AVERAGEIFS(RES_WatHeat!AL$2:AL$999,RES_WatHeat!$B$2:$B$999,"="&amp;$A$2,RES_WatHeat!$C$2:$C$999,"="&amp;'INS-UPD WaterHeat'!$A15),"")</f>
        <v>0.0133950885186857</v>
      </c>
      <c r="AJ15" s="2">
        <f>IFERROR(AVERAGEIFS(RES_WatHeat!AM$2:AM$999,RES_WatHeat!$B$2:$B$999,"="&amp;$A$2,RES_WatHeat!$C$2:$C$999,"="&amp;'INS-UPD WaterHeat'!$A15),"")</f>
        <v>0.026870884656255398</v>
      </c>
      <c r="AK15" s="2">
        <f>IFERROR(AVERAGEIFS(RES_WatHeat!AN$2:AN$999,RES_WatHeat!$B$2:$B$999,"="&amp;$A$2,RES_WatHeat!$C$2:$C$999,"="&amp;'INS-UPD WaterHeat'!$A15),"")</f>
        <v>0.044792566552160601</v>
      </c>
      <c r="AL15" s="2">
        <f>IFERROR(AVERAGEIFS(RES_WatHeat!AO$2:AO$999,RES_WatHeat!$B$2:$B$999,"="&amp;$A$2,RES_WatHeat!$C$2:$C$999,"="&amp;'INS-UPD WaterHeat'!$A15),"")</f>
        <v>0.026677602693066699</v>
      </c>
      <c r="AM15" s="2">
        <f>IFERROR(AVERAGEIFS(RES_WatHeat!AP$2:AP$999,RES_WatHeat!$B$2:$B$999,"="&amp;$A$2,RES_WatHeat!$C$2:$C$999,"="&amp;'INS-UPD WaterHeat'!$A15),"")</f>
        <v>0.043070738016607601</v>
      </c>
      <c r="AN15" s="2">
        <f>IFERROR(AVERAGEIFS(RES_WatHeat!AQ$2:AQ$999,RES_WatHeat!$B$2:$B$999,"="&amp;$A$2,RES_WatHeat!$C$2:$C$999,"="&amp;'INS-UPD WaterHeat'!$A15),"")</f>
        <v>0.017876528171347598</v>
      </c>
      <c r="AO15" s="2">
        <f>IFERROR(AVERAGEIFS(RES_WatHeat!AR$2:AR$999,RES_WatHeat!$B$2:$B$999,"="&amp;$A$2,RES_WatHeat!$C$2:$C$999,"="&amp;'INS-UPD WaterHeat'!$A15),"")</f>
        <v>0.0201365587754871</v>
      </c>
      <c r="AP15" s="2">
        <f>IFERROR(AVERAGEIFS(RES_WatHeat!AS$2:AS$999,RES_WatHeat!$B$2:$B$999,"="&amp;$A$2,RES_WatHeat!$C$2:$C$999,"="&amp;'INS-UPD WaterHeat'!$A15),"")</f>
        <v>0.0270151536675272</v>
      </c>
      <c r="AQ15" s="2">
        <f>IFERROR(AVERAGEIFS(RES_WatHeat!AT$2:AT$999,RES_WatHeat!$B$2:$B$999,"="&amp;$A$2,RES_WatHeat!$C$2:$C$999,"="&amp;'INS-UPD WaterHeat'!$A15),"")</f>
        <v>0.035965310722272999</v>
      </c>
      <c r="AR15" s="2">
        <f>IFERROR(AVERAGEIFS(RES_WatHeat!AU$2:AU$999,RES_WatHeat!$B$2:$B$999,"="&amp;$A$2,RES_WatHeat!$C$2:$C$999,"="&amp;'INS-UPD WaterHeat'!$A15),"")</f>
        <v>0.027300428315595801</v>
      </c>
      <c r="AS15" s="41">
        <f>IFERROR(AVERAGEIFS(RES_WatHeat!AV$2:AV$999,RES_WatHeat!$B$2:$B$999,"="&amp;$A$2,RES_WatHeat!$C$2:$C$999,"="&amp;'INS-UPD WaterHeat'!$A15),"")</f>
        <v>0.0267742071300274</v>
      </c>
    </row>
    <row r="16" spans="1:45" ht="15">
      <c r="A16" s="3" t="s">
        <v>74</v>
      </c>
      <c r="C16" t="s">
        <v>52</v>
      </c>
      <c r="D16" t="str">
        <f t="shared" si="2"/>
        <v>R_ES-WH-DH_HE*</v>
      </c>
      <c r="H16" s="40">
        <f t="shared" si="1"/>
        <v>0.020905712537744037</v>
      </c>
      <c r="I16" s="2">
        <f>IFERROR(AVERAGEIFS(RES_WatHeat!L$2:L$999,RES_WatHeat!$B$2:$B$999,"="&amp;$A$2,RES_WatHeat!$C$2:$C$999,"="&amp;'INS-UPD WaterHeat'!$A16),"")</f>
        <v>0.024815579244214198</v>
      </c>
      <c r="J16" s="2">
        <f>IFERROR(AVERAGEIFS(RES_WatHeat!M$2:M$999,RES_WatHeat!$B$2:$B$999,"="&amp;$A$2,RES_WatHeat!$C$2:$C$999,"="&amp;'INS-UPD WaterHeat'!$A16),"")</f>
        <v>0.026163789907819601</v>
      </c>
      <c r="K16" s="2">
        <f>IFERROR(AVERAGEIFS(RES_WatHeat!N$2:N$999,RES_WatHeat!$B$2:$B$999,"="&amp;$A$2,RES_WatHeat!$C$2:$C$999,"="&amp;'INS-UPD WaterHeat'!$A16),"")</f>
        <v>0.0130924133953164</v>
      </c>
      <c r="L16" s="2">
        <f>IFERROR(AVERAGEIFS(RES_WatHeat!O$2:O$999,RES_WatHeat!$B$2:$B$999,"="&amp;$A$2,RES_WatHeat!$C$2:$C$999,"="&amp;'INS-UPD WaterHeat'!$A16),"")</f>
        <v>0.022154431458604799</v>
      </c>
      <c r="M16" s="2">
        <f>IFERROR(AVERAGEIFS(RES_WatHeat!P$2:P$999,RES_WatHeat!$B$2:$B$999,"="&amp;$A$2,RES_WatHeat!$C$2:$C$999,"="&amp;'INS-UPD WaterHeat'!$A16),"")</f>
        <v>0.017639247628040599</v>
      </c>
      <c r="N16" s="2">
        <f>IFERROR(AVERAGEIFS(RES_WatHeat!Q$2:Q$999,RES_WatHeat!$B$2:$B$999,"="&amp;$A$2,RES_WatHeat!$C$2:$C$999,"="&amp;'INS-UPD WaterHeat'!$A16),"")</f>
        <v>0.019789784314238699</v>
      </c>
      <c r="O16" s="2">
        <f>IFERROR(AVERAGEIFS(RES_WatHeat!R$2:R$999,RES_WatHeat!$B$2:$B$999,"="&amp;$A$2,RES_WatHeat!$C$2:$C$999,"="&amp;'INS-UPD WaterHeat'!$A16),"")</f>
        <v>0.022016615011670002</v>
      </c>
      <c r="P16" s="2">
        <f>IFERROR(AVERAGEIFS(RES_WatHeat!S$2:S$999,RES_WatHeat!$B$2:$B$999,"="&amp;$A$2,RES_WatHeat!$C$2:$C$999,"="&amp;'INS-UPD WaterHeat'!$A16),"")</f>
        <v>0.016570421792852699</v>
      </c>
      <c r="Q16" s="2">
        <f>IFERROR(AVERAGEIFS(RES_WatHeat!T$2:T$999,RES_WatHeat!$B$2:$B$999,"="&amp;$A$2,RES_WatHeat!$C$2:$C$999,"="&amp;'INS-UPD WaterHeat'!$A16),"")</f>
        <v>0.021416335886684599</v>
      </c>
      <c r="R16" s="2">
        <f>IFERROR(AVERAGEIFS(RES_WatHeat!U$2:U$999,RES_WatHeat!$B$2:$B$999,"="&amp;$A$2,RES_WatHeat!$C$2:$C$999,"="&amp;'INS-UPD WaterHeat'!$A16),"")</f>
        <v>0.022609526683434598</v>
      </c>
      <c r="S16" s="2">
        <f>IFERROR(AVERAGEIFS(RES_WatHeat!V$2:V$999,RES_WatHeat!$B$2:$B$999,"="&amp;$A$2,RES_WatHeat!$C$2:$C$999,"="&amp;'INS-UPD WaterHeat'!$A16),"")</f>
        <v>0.020783504914615301</v>
      </c>
      <c r="T16" s="2">
        <f>IFERROR(AVERAGEIFS(RES_WatHeat!W$2:W$999,RES_WatHeat!$B$2:$B$999,"="&amp;$A$2,RES_WatHeat!$C$2:$C$999,"="&amp;'INS-UPD WaterHeat'!$A16),"")</f>
        <v>0.024236124350948501</v>
      </c>
      <c r="U16" s="2">
        <f>IFERROR(AVERAGEIFS(RES_WatHeat!X$2:X$999,RES_WatHeat!$B$2:$B$999,"="&amp;$A$2,RES_WatHeat!$C$2:$C$999,"="&amp;'INS-UPD WaterHeat'!$A16),"")</f>
        <v>0.027929540173183401</v>
      </c>
      <c r="V16" s="2">
        <f>IFERROR(AVERAGEIFS(RES_WatHeat!Y$2:Y$999,RES_WatHeat!$B$2:$B$999,"="&amp;$A$2,RES_WatHeat!$C$2:$C$999,"="&amp;'INS-UPD WaterHeat'!$A16),"")</f>
        <v>0.0264163002032991</v>
      </c>
      <c r="W16" s="2">
        <f>IFERROR(AVERAGEIFS(RES_WatHeat!Z$2:Z$999,RES_WatHeat!$B$2:$B$999,"="&amp;$A$2,RES_WatHeat!$C$2:$C$999,"="&amp;'INS-UPD WaterHeat'!$A16),"")</f>
        <v>0.023146812119180099</v>
      </c>
      <c r="X16" s="2">
        <f>IFERROR(AVERAGEIFS(RES_WatHeat!AA$2:AA$999,RES_WatHeat!$B$2:$B$999,"="&amp;$A$2,RES_WatHeat!$C$2:$C$999,"="&amp;'INS-UPD WaterHeat'!$A16),"")</f>
        <v>0.014271100719649101</v>
      </c>
      <c r="Y16" s="2">
        <f>IFERROR(AVERAGEIFS(RES_WatHeat!AB$2:AB$999,RES_WatHeat!$B$2:$B$999,"="&amp;$A$2,RES_WatHeat!$C$2:$C$999,"="&amp;'INS-UPD WaterHeat'!$A16),"")</f>
        <v>0.0124082488140676</v>
      </c>
      <c r="Z16" s="2">
        <f>IFERROR(AVERAGEIFS(RES_WatHeat!AC$2:AC$999,RES_WatHeat!$B$2:$B$999,"="&amp;$A$2,RES_WatHeat!$C$2:$C$999,"="&amp;'INS-UPD WaterHeat'!$A16),"")</f>
        <v>0.0250031533929112</v>
      </c>
      <c r="AA16" s="2">
        <f>IFERROR(AVERAGEIFS(RES_WatHeat!AD$2:AD$999,RES_WatHeat!$B$2:$B$999,"="&amp;$A$2,RES_WatHeat!$C$2:$C$999,"="&amp;'INS-UPD WaterHeat'!$A16),"")</f>
        <v>0.0244918687515253</v>
      </c>
      <c r="AB16" s="2">
        <f>IFERROR(AVERAGEIFS(RES_WatHeat!AE$2:AE$999,RES_WatHeat!$B$2:$B$999,"="&amp;$A$2,RES_WatHeat!$C$2:$C$999,"="&amp;'INS-UPD WaterHeat'!$A16),"")</f>
        <v>0.019633719658858101</v>
      </c>
      <c r="AC16" s="2">
        <f>IFERROR(AVERAGEIFS(RES_WatHeat!AF$2:AF$999,RES_WatHeat!$B$2:$B$999,"="&amp;$A$2,RES_WatHeat!$C$2:$C$999,"="&amp;'INS-UPD WaterHeat'!$A16),"")</f>
        <v>0.0099620396611548607</v>
      </c>
      <c r="AD16" s="2">
        <f>IFERROR(AVERAGEIFS(RES_WatHeat!AG$2:AG$999,RES_WatHeat!$B$2:$B$999,"="&amp;$A$2,RES_WatHeat!$C$2:$C$999,"="&amp;'INS-UPD WaterHeat'!$A16),"")</f>
        <v>0.017074147964365401</v>
      </c>
      <c r="AE16" s="2">
        <f>IFERROR(AVERAGEIFS(RES_WatHeat!AH$2:AH$999,RES_WatHeat!$B$2:$B$999,"="&amp;$A$2,RES_WatHeat!$C$2:$C$999,"="&amp;'INS-UPD WaterHeat'!$A16),"")</f>
        <v>0.017815470849275001</v>
      </c>
      <c r="AF16" s="2">
        <f>IFERROR(AVERAGEIFS(RES_WatHeat!AI$2:AI$999,RES_WatHeat!$B$2:$B$999,"="&amp;$A$2,RES_WatHeat!$C$2:$C$999,"="&amp;'INS-UPD WaterHeat'!$A16),"")</f>
        <v>0.0239535670191184</v>
      </c>
      <c r="AG16" s="2">
        <f>IFERROR(AVERAGEIFS(RES_WatHeat!AJ$2:AJ$999,RES_WatHeat!$B$2:$B$999,"="&amp;$A$2,RES_WatHeat!$C$2:$C$999,"="&amp;'INS-UPD WaterHeat'!$A16),"")</f>
        <v>0.017648292330328798</v>
      </c>
      <c r="AH16" s="2">
        <f>IFERROR(AVERAGEIFS(RES_WatHeat!AK$2:AK$999,RES_WatHeat!$B$2:$B$999,"="&amp;$A$2,RES_WatHeat!$C$2:$C$999,"="&amp;'INS-UPD WaterHeat'!$A16),"")</f>
        <v>0.0145692738759457</v>
      </c>
      <c r="AI16" s="2">
        <f>IFERROR(AVERAGEIFS(RES_WatHeat!AL$2:AL$999,RES_WatHeat!$B$2:$B$999,"="&amp;$A$2,RES_WatHeat!$C$2:$C$999,"="&amp;'INS-UPD WaterHeat'!$A16),"")</f>
        <v>0.010716070814948599</v>
      </c>
      <c r="AJ16" s="2">
        <f>IFERROR(AVERAGEIFS(RES_WatHeat!AM$2:AM$999,RES_WatHeat!$B$2:$B$999,"="&amp;$A$2,RES_WatHeat!$C$2:$C$999,"="&amp;'INS-UPD WaterHeat'!$A16),"")</f>
        <v>0.0214967077250043</v>
      </c>
      <c r="AK16" s="2">
        <f>IFERROR(AVERAGEIFS(RES_WatHeat!AN$2:AN$999,RES_WatHeat!$B$2:$B$999,"="&amp;$A$2,RES_WatHeat!$C$2:$C$999,"="&amp;'INS-UPD WaterHeat'!$A16),"")</f>
        <v>0.035834053241728503</v>
      </c>
      <c r="AL16" s="2">
        <f>IFERROR(AVERAGEIFS(RES_WatHeat!AO$2:AO$999,RES_WatHeat!$B$2:$B$999,"="&amp;$A$2,RES_WatHeat!$C$2:$C$999,"="&amp;'INS-UPD WaterHeat'!$A16),"")</f>
        <v>0.0213420821544534</v>
      </c>
      <c r="AM16" s="2">
        <f>IFERROR(AVERAGEIFS(RES_WatHeat!AP$2:AP$999,RES_WatHeat!$B$2:$B$999,"="&amp;$A$2,RES_WatHeat!$C$2:$C$999,"="&amp;'INS-UPD WaterHeat'!$A16),"")</f>
        <v>0.034456590413286102</v>
      </c>
      <c r="AN16" s="2">
        <f>IFERROR(AVERAGEIFS(RES_WatHeat!AQ$2:AQ$999,RES_WatHeat!$B$2:$B$999,"="&amp;$A$2,RES_WatHeat!$C$2:$C$999,"="&amp;'INS-UPD WaterHeat'!$A16),"")</f>
        <v>0.0143012225370781</v>
      </c>
      <c r="AO16" s="2">
        <f>IFERROR(AVERAGEIFS(RES_WatHeat!AR$2:AR$999,RES_WatHeat!$B$2:$B$999,"="&amp;$A$2,RES_WatHeat!$C$2:$C$999,"="&amp;'INS-UPD WaterHeat'!$A16),"")</f>
        <v>0.0161092470203896</v>
      </c>
      <c r="AP16" s="2">
        <f>IFERROR(AVERAGEIFS(RES_WatHeat!AS$2:AS$999,RES_WatHeat!$B$2:$B$999,"="&amp;$A$2,RES_WatHeat!$C$2:$C$999,"="&amp;'INS-UPD WaterHeat'!$A16),"")</f>
        <v>0.021612122934021798</v>
      </c>
      <c r="AQ16" s="2">
        <f>IFERROR(AVERAGEIFS(RES_WatHeat!AT$2:AT$999,RES_WatHeat!$B$2:$B$999,"="&amp;$A$2,RES_WatHeat!$C$2:$C$999,"="&amp;'INS-UPD WaterHeat'!$A16),"")</f>
        <v>0.028772248577818401</v>
      </c>
      <c r="AR16" s="2">
        <f>IFERROR(AVERAGEIFS(RES_WatHeat!AU$2:AU$999,RES_WatHeat!$B$2:$B$999,"="&amp;$A$2,RES_WatHeat!$C$2:$C$999,"="&amp;'INS-UPD WaterHeat'!$A16),"")</f>
        <v>0.021840342652476599</v>
      </c>
      <c r="AS16" s="41">
        <f>IFERROR(AVERAGEIFS(RES_WatHeat!AV$2:AV$999,RES_WatHeat!$B$2:$B$999,"="&amp;$A$2,RES_WatHeat!$C$2:$C$999,"="&amp;'INS-UPD WaterHeat'!$A16),"")</f>
        <v>0.021419365704021899</v>
      </c>
    </row>
    <row r="17" spans="1:45" ht="15">
      <c r="A17" s="3" t="s">
        <v>75</v>
      </c>
      <c r="C17" t="s">
        <v>52</v>
      </c>
      <c r="D17" t="str">
        <f t="shared" si="2"/>
        <v>R_ES-WH-DH_OI*</v>
      </c>
      <c r="H17" s="40">
        <f t="shared" si="1"/>
        <v>0.020905712537744037</v>
      </c>
      <c r="I17" s="2">
        <f>IFERROR(AVERAGEIFS(RES_WatHeat!L$2:L$999,RES_WatHeat!$B$2:$B$999,"="&amp;$A$2,RES_WatHeat!$C$2:$C$999,"="&amp;'INS-UPD WaterHeat'!$A17),"")</f>
        <v>0.024815579244214198</v>
      </c>
      <c r="J17" s="2">
        <f>IFERROR(AVERAGEIFS(RES_WatHeat!M$2:M$999,RES_WatHeat!$B$2:$B$999,"="&amp;$A$2,RES_WatHeat!$C$2:$C$999,"="&amp;'INS-UPD WaterHeat'!$A17),"")</f>
        <v>0.026163789907819601</v>
      </c>
      <c r="K17" s="2">
        <f>IFERROR(AVERAGEIFS(RES_WatHeat!N$2:N$999,RES_WatHeat!$B$2:$B$999,"="&amp;$A$2,RES_WatHeat!$C$2:$C$999,"="&amp;'INS-UPD WaterHeat'!$A17),"")</f>
        <v>0.0130924133953164</v>
      </c>
      <c r="L17" s="2">
        <f>IFERROR(AVERAGEIFS(RES_WatHeat!O$2:O$999,RES_WatHeat!$B$2:$B$999,"="&amp;$A$2,RES_WatHeat!$C$2:$C$999,"="&amp;'INS-UPD WaterHeat'!$A17),"")</f>
        <v>0.022154431458604799</v>
      </c>
      <c r="M17" s="2">
        <f>IFERROR(AVERAGEIFS(RES_WatHeat!P$2:P$999,RES_WatHeat!$B$2:$B$999,"="&amp;$A$2,RES_WatHeat!$C$2:$C$999,"="&amp;'INS-UPD WaterHeat'!$A17),"")</f>
        <v>0.017639247628040599</v>
      </c>
      <c r="N17" s="2">
        <f>IFERROR(AVERAGEIFS(RES_WatHeat!Q$2:Q$999,RES_WatHeat!$B$2:$B$999,"="&amp;$A$2,RES_WatHeat!$C$2:$C$999,"="&amp;'INS-UPD WaterHeat'!$A17),"")</f>
        <v>0.019789784314238699</v>
      </c>
      <c r="O17" s="2">
        <f>IFERROR(AVERAGEIFS(RES_WatHeat!R$2:R$999,RES_WatHeat!$B$2:$B$999,"="&amp;$A$2,RES_WatHeat!$C$2:$C$999,"="&amp;'INS-UPD WaterHeat'!$A17),"")</f>
        <v>0.022016615011670002</v>
      </c>
      <c r="P17" s="2">
        <f>IFERROR(AVERAGEIFS(RES_WatHeat!S$2:S$999,RES_WatHeat!$B$2:$B$999,"="&amp;$A$2,RES_WatHeat!$C$2:$C$999,"="&amp;'INS-UPD WaterHeat'!$A17),"")</f>
        <v>0.016570421792852699</v>
      </c>
      <c r="Q17" s="2">
        <f>IFERROR(AVERAGEIFS(RES_WatHeat!T$2:T$999,RES_WatHeat!$B$2:$B$999,"="&amp;$A$2,RES_WatHeat!$C$2:$C$999,"="&amp;'INS-UPD WaterHeat'!$A17),"")</f>
        <v>0.021416335886684599</v>
      </c>
      <c r="R17" s="2">
        <f>IFERROR(AVERAGEIFS(RES_WatHeat!U$2:U$999,RES_WatHeat!$B$2:$B$999,"="&amp;$A$2,RES_WatHeat!$C$2:$C$999,"="&amp;'INS-UPD WaterHeat'!$A17),"")</f>
        <v>0.022609526683434598</v>
      </c>
      <c r="S17" s="2">
        <f>IFERROR(AVERAGEIFS(RES_WatHeat!V$2:V$999,RES_WatHeat!$B$2:$B$999,"="&amp;$A$2,RES_WatHeat!$C$2:$C$999,"="&amp;'INS-UPD WaterHeat'!$A17),"")</f>
        <v>0.020783504914615301</v>
      </c>
      <c r="T17" s="2">
        <f>IFERROR(AVERAGEIFS(RES_WatHeat!W$2:W$999,RES_WatHeat!$B$2:$B$999,"="&amp;$A$2,RES_WatHeat!$C$2:$C$999,"="&amp;'INS-UPD WaterHeat'!$A17),"")</f>
        <v>0.024236124350948501</v>
      </c>
      <c r="U17" s="2">
        <f>IFERROR(AVERAGEIFS(RES_WatHeat!X$2:X$999,RES_WatHeat!$B$2:$B$999,"="&amp;$A$2,RES_WatHeat!$C$2:$C$999,"="&amp;'INS-UPD WaterHeat'!$A17),"")</f>
        <v>0.027929540173183401</v>
      </c>
      <c r="V17" s="2">
        <f>IFERROR(AVERAGEIFS(RES_WatHeat!Y$2:Y$999,RES_WatHeat!$B$2:$B$999,"="&amp;$A$2,RES_WatHeat!$C$2:$C$999,"="&amp;'INS-UPD WaterHeat'!$A17),"")</f>
        <v>0.0264163002032991</v>
      </c>
      <c r="W17" s="2">
        <f>IFERROR(AVERAGEIFS(RES_WatHeat!Z$2:Z$999,RES_WatHeat!$B$2:$B$999,"="&amp;$A$2,RES_WatHeat!$C$2:$C$999,"="&amp;'INS-UPD WaterHeat'!$A17),"")</f>
        <v>0.023146812119180099</v>
      </c>
      <c r="X17" s="2">
        <f>IFERROR(AVERAGEIFS(RES_WatHeat!AA$2:AA$999,RES_WatHeat!$B$2:$B$999,"="&amp;$A$2,RES_WatHeat!$C$2:$C$999,"="&amp;'INS-UPD WaterHeat'!$A17),"")</f>
        <v>0.014271100719649101</v>
      </c>
      <c r="Y17" s="2">
        <f>IFERROR(AVERAGEIFS(RES_WatHeat!AB$2:AB$999,RES_WatHeat!$B$2:$B$999,"="&amp;$A$2,RES_WatHeat!$C$2:$C$999,"="&amp;'INS-UPD WaterHeat'!$A17),"")</f>
        <v>0.0124082488140676</v>
      </c>
      <c r="Z17" s="2">
        <f>IFERROR(AVERAGEIFS(RES_WatHeat!AC$2:AC$999,RES_WatHeat!$B$2:$B$999,"="&amp;$A$2,RES_WatHeat!$C$2:$C$999,"="&amp;'INS-UPD WaterHeat'!$A17),"")</f>
        <v>0.0250031533929112</v>
      </c>
      <c r="AA17" s="2">
        <f>IFERROR(AVERAGEIFS(RES_WatHeat!AD$2:AD$999,RES_WatHeat!$B$2:$B$999,"="&amp;$A$2,RES_WatHeat!$C$2:$C$999,"="&amp;'INS-UPD WaterHeat'!$A17),"")</f>
        <v>0.0244918687515253</v>
      </c>
      <c r="AB17" s="2">
        <f>IFERROR(AVERAGEIFS(RES_WatHeat!AE$2:AE$999,RES_WatHeat!$B$2:$B$999,"="&amp;$A$2,RES_WatHeat!$C$2:$C$999,"="&amp;'INS-UPD WaterHeat'!$A17),"")</f>
        <v>0.019633719658858101</v>
      </c>
      <c r="AC17" s="2">
        <f>IFERROR(AVERAGEIFS(RES_WatHeat!AF$2:AF$999,RES_WatHeat!$B$2:$B$999,"="&amp;$A$2,RES_WatHeat!$C$2:$C$999,"="&amp;'INS-UPD WaterHeat'!$A17),"")</f>
        <v>0.0099620396611548607</v>
      </c>
      <c r="AD17" s="2">
        <f>IFERROR(AVERAGEIFS(RES_WatHeat!AG$2:AG$999,RES_WatHeat!$B$2:$B$999,"="&amp;$A$2,RES_WatHeat!$C$2:$C$999,"="&amp;'INS-UPD WaterHeat'!$A17),"")</f>
        <v>0.017074147964365401</v>
      </c>
      <c r="AE17" s="2">
        <f>IFERROR(AVERAGEIFS(RES_WatHeat!AH$2:AH$999,RES_WatHeat!$B$2:$B$999,"="&amp;$A$2,RES_WatHeat!$C$2:$C$999,"="&amp;'INS-UPD WaterHeat'!$A17),"")</f>
        <v>0.017815470849275001</v>
      </c>
      <c r="AF17" s="2">
        <f>IFERROR(AVERAGEIFS(RES_WatHeat!AI$2:AI$999,RES_WatHeat!$B$2:$B$999,"="&amp;$A$2,RES_WatHeat!$C$2:$C$999,"="&amp;'INS-UPD WaterHeat'!$A17),"")</f>
        <v>0.0239535670191184</v>
      </c>
      <c r="AG17" s="2">
        <f>IFERROR(AVERAGEIFS(RES_WatHeat!AJ$2:AJ$999,RES_WatHeat!$B$2:$B$999,"="&amp;$A$2,RES_WatHeat!$C$2:$C$999,"="&amp;'INS-UPD WaterHeat'!$A17),"")</f>
        <v>0.017648292330328798</v>
      </c>
      <c r="AH17" s="2">
        <f>IFERROR(AVERAGEIFS(RES_WatHeat!AK$2:AK$999,RES_WatHeat!$B$2:$B$999,"="&amp;$A$2,RES_WatHeat!$C$2:$C$999,"="&amp;'INS-UPD WaterHeat'!$A17),"")</f>
        <v>0.0145692738759457</v>
      </c>
      <c r="AI17" s="2">
        <f>IFERROR(AVERAGEIFS(RES_WatHeat!AL$2:AL$999,RES_WatHeat!$B$2:$B$999,"="&amp;$A$2,RES_WatHeat!$C$2:$C$999,"="&amp;'INS-UPD WaterHeat'!$A17),"")</f>
        <v>0.010716070814948599</v>
      </c>
      <c r="AJ17" s="2">
        <f>IFERROR(AVERAGEIFS(RES_WatHeat!AM$2:AM$999,RES_WatHeat!$B$2:$B$999,"="&amp;$A$2,RES_WatHeat!$C$2:$C$999,"="&amp;'INS-UPD WaterHeat'!$A17),"")</f>
        <v>0.0214967077250043</v>
      </c>
      <c r="AK17" s="2">
        <f>IFERROR(AVERAGEIFS(RES_WatHeat!AN$2:AN$999,RES_WatHeat!$B$2:$B$999,"="&amp;$A$2,RES_WatHeat!$C$2:$C$999,"="&amp;'INS-UPD WaterHeat'!$A17),"")</f>
        <v>0.035834053241728503</v>
      </c>
      <c r="AL17" s="2">
        <f>IFERROR(AVERAGEIFS(RES_WatHeat!AO$2:AO$999,RES_WatHeat!$B$2:$B$999,"="&amp;$A$2,RES_WatHeat!$C$2:$C$999,"="&amp;'INS-UPD WaterHeat'!$A17),"")</f>
        <v>0.0213420821544534</v>
      </c>
      <c r="AM17" s="2">
        <f>IFERROR(AVERAGEIFS(RES_WatHeat!AP$2:AP$999,RES_WatHeat!$B$2:$B$999,"="&amp;$A$2,RES_WatHeat!$C$2:$C$999,"="&amp;'INS-UPD WaterHeat'!$A17),"")</f>
        <v>0.034456590413286102</v>
      </c>
      <c r="AN17" s="2">
        <f>IFERROR(AVERAGEIFS(RES_WatHeat!AQ$2:AQ$999,RES_WatHeat!$B$2:$B$999,"="&amp;$A$2,RES_WatHeat!$C$2:$C$999,"="&amp;'INS-UPD WaterHeat'!$A17),"")</f>
        <v>0.0143012225370781</v>
      </c>
      <c r="AO17" s="2">
        <f>IFERROR(AVERAGEIFS(RES_WatHeat!AR$2:AR$999,RES_WatHeat!$B$2:$B$999,"="&amp;$A$2,RES_WatHeat!$C$2:$C$999,"="&amp;'INS-UPD WaterHeat'!$A17),"")</f>
        <v>0.0161092470203896</v>
      </c>
      <c r="AP17" s="2">
        <f>IFERROR(AVERAGEIFS(RES_WatHeat!AS$2:AS$999,RES_WatHeat!$B$2:$B$999,"="&amp;$A$2,RES_WatHeat!$C$2:$C$999,"="&amp;'INS-UPD WaterHeat'!$A17),"")</f>
        <v>0.021612122934021798</v>
      </c>
      <c r="AQ17" s="2">
        <f>IFERROR(AVERAGEIFS(RES_WatHeat!AT$2:AT$999,RES_WatHeat!$B$2:$B$999,"="&amp;$A$2,RES_WatHeat!$C$2:$C$999,"="&amp;'INS-UPD WaterHeat'!$A17),"")</f>
        <v>0.028772248577818401</v>
      </c>
      <c r="AR17" s="2">
        <f>IFERROR(AVERAGEIFS(RES_WatHeat!AU$2:AU$999,RES_WatHeat!$B$2:$B$999,"="&amp;$A$2,RES_WatHeat!$C$2:$C$999,"="&amp;'INS-UPD WaterHeat'!$A17),"")</f>
        <v>0.021840342652476599</v>
      </c>
      <c r="AS17" s="41">
        <f>IFERROR(AVERAGEIFS(RES_WatHeat!AV$2:AV$999,RES_WatHeat!$B$2:$B$999,"="&amp;$A$2,RES_WatHeat!$C$2:$C$999,"="&amp;'INS-UPD WaterHeat'!$A17),"")</f>
        <v>0.021419365704021899</v>
      </c>
    </row>
    <row r="18" spans="1:45" ht="15">
      <c r="A18" s="3" t="s">
        <v>76</v>
      </c>
      <c r="C18" t="s">
        <v>52</v>
      </c>
      <c r="D18" t="str">
        <f t="shared" si="2"/>
        <v>R_ES-WH-DH_B*</v>
      </c>
      <c r="H18" s="40">
        <f t="shared" si="1"/>
        <v>0.020905712537744037</v>
      </c>
      <c r="I18" s="2">
        <f>IFERROR(AVERAGEIFS(RES_WatHeat!L$2:L$999,RES_WatHeat!$B$2:$B$999,"="&amp;$A$2,RES_WatHeat!$C$2:$C$999,"="&amp;'INS-UPD WaterHeat'!$A18),"")</f>
        <v>0.024815579244214198</v>
      </c>
      <c r="J18" s="2">
        <f>IFERROR(AVERAGEIFS(RES_WatHeat!M$2:M$999,RES_WatHeat!$B$2:$B$999,"="&amp;$A$2,RES_WatHeat!$C$2:$C$999,"="&amp;'INS-UPD WaterHeat'!$A18),"")</f>
        <v>0.026163789907819601</v>
      </c>
      <c r="K18" s="2">
        <f>IFERROR(AVERAGEIFS(RES_WatHeat!N$2:N$999,RES_WatHeat!$B$2:$B$999,"="&amp;$A$2,RES_WatHeat!$C$2:$C$999,"="&amp;'INS-UPD WaterHeat'!$A18),"")</f>
        <v>0.0130924133953164</v>
      </c>
      <c r="L18" s="2">
        <f>IFERROR(AVERAGEIFS(RES_WatHeat!O$2:O$999,RES_WatHeat!$B$2:$B$999,"="&amp;$A$2,RES_WatHeat!$C$2:$C$999,"="&amp;'INS-UPD WaterHeat'!$A18),"")</f>
        <v>0.022154431458604799</v>
      </c>
      <c r="M18" s="2">
        <f>IFERROR(AVERAGEIFS(RES_WatHeat!P$2:P$999,RES_WatHeat!$B$2:$B$999,"="&amp;$A$2,RES_WatHeat!$C$2:$C$999,"="&amp;'INS-UPD WaterHeat'!$A18),"")</f>
        <v>0.017639247628040599</v>
      </c>
      <c r="N18" s="2">
        <f>IFERROR(AVERAGEIFS(RES_WatHeat!Q$2:Q$999,RES_WatHeat!$B$2:$B$999,"="&amp;$A$2,RES_WatHeat!$C$2:$C$999,"="&amp;'INS-UPD WaterHeat'!$A18),"")</f>
        <v>0.019789784314238699</v>
      </c>
      <c r="O18" s="2">
        <f>IFERROR(AVERAGEIFS(RES_WatHeat!R$2:R$999,RES_WatHeat!$B$2:$B$999,"="&amp;$A$2,RES_WatHeat!$C$2:$C$999,"="&amp;'INS-UPD WaterHeat'!$A18),"")</f>
        <v>0.022016615011670002</v>
      </c>
      <c r="P18" s="2">
        <f>IFERROR(AVERAGEIFS(RES_WatHeat!S$2:S$999,RES_WatHeat!$B$2:$B$999,"="&amp;$A$2,RES_WatHeat!$C$2:$C$999,"="&amp;'INS-UPD WaterHeat'!$A18),"")</f>
        <v>0.016570421792852699</v>
      </c>
      <c r="Q18" s="2">
        <f>IFERROR(AVERAGEIFS(RES_WatHeat!T$2:T$999,RES_WatHeat!$B$2:$B$999,"="&amp;$A$2,RES_WatHeat!$C$2:$C$999,"="&amp;'INS-UPD WaterHeat'!$A18),"")</f>
        <v>0.021416335886684599</v>
      </c>
      <c r="R18" s="2">
        <f>IFERROR(AVERAGEIFS(RES_WatHeat!U$2:U$999,RES_WatHeat!$B$2:$B$999,"="&amp;$A$2,RES_WatHeat!$C$2:$C$999,"="&amp;'INS-UPD WaterHeat'!$A18),"")</f>
        <v>0.022609526683434598</v>
      </c>
      <c r="S18" s="2">
        <f>IFERROR(AVERAGEIFS(RES_WatHeat!V$2:V$999,RES_WatHeat!$B$2:$B$999,"="&amp;$A$2,RES_WatHeat!$C$2:$C$999,"="&amp;'INS-UPD WaterHeat'!$A18),"")</f>
        <v>0.020783504914615301</v>
      </c>
      <c r="T18" s="2">
        <f>IFERROR(AVERAGEIFS(RES_WatHeat!W$2:W$999,RES_WatHeat!$B$2:$B$999,"="&amp;$A$2,RES_WatHeat!$C$2:$C$999,"="&amp;'INS-UPD WaterHeat'!$A18),"")</f>
        <v>0.024236124350948501</v>
      </c>
      <c r="U18" s="2">
        <f>IFERROR(AVERAGEIFS(RES_WatHeat!X$2:X$999,RES_WatHeat!$B$2:$B$999,"="&amp;$A$2,RES_WatHeat!$C$2:$C$999,"="&amp;'INS-UPD WaterHeat'!$A18),"")</f>
        <v>0.027929540173183401</v>
      </c>
      <c r="V18" s="2">
        <f>IFERROR(AVERAGEIFS(RES_WatHeat!Y$2:Y$999,RES_WatHeat!$B$2:$B$999,"="&amp;$A$2,RES_WatHeat!$C$2:$C$999,"="&amp;'INS-UPD WaterHeat'!$A18),"")</f>
        <v>0.0264163002032991</v>
      </c>
      <c r="W18" s="2">
        <f>IFERROR(AVERAGEIFS(RES_WatHeat!Z$2:Z$999,RES_WatHeat!$B$2:$B$999,"="&amp;$A$2,RES_WatHeat!$C$2:$C$999,"="&amp;'INS-UPD WaterHeat'!$A18),"")</f>
        <v>0.023146812119180099</v>
      </c>
      <c r="X18" s="2">
        <f>IFERROR(AVERAGEIFS(RES_WatHeat!AA$2:AA$999,RES_WatHeat!$B$2:$B$999,"="&amp;$A$2,RES_WatHeat!$C$2:$C$999,"="&amp;'INS-UPD WaterHeat'!$A18),"")</f>
        <v>0.014271100719649101</v>
      </c>
      <c r="Y18" s="2">
        <f>IFERROR(AVERAGEIFS(RES_WatHeat!AB$2:AB$999,RES_WatHeat!$B$2:$B$999,"="&amp;$A$2,RES_WatHeat!$C$2:$C$999,"="&amp;'INS-UPD WaterHeat'!$A18),"")</f>
        <v>0.0124082488140676</v>
      </c>
      <c r="Z18" s="2">
        <f>IFERROR(AVERAGEIFS(RES_WatHeat!AC$2:AC$999,RES_WatHeat!$B$2:$B$999,"="&amp;$A$2,RES_WatHeat!$C$2:$C$999,"="&amp;'INS-UPD WaterHeat'!$A18),"")</f>
        <v>0.0250031533929112</v>
      </c>
      <c r="AA18" s="2">
        <f>IFERROR(AVERAGEIFS(RES_WatHeat!AD$2:AD$999,RES_WatHeat!$B$2:$B$999,"="&amp;$A$2,RES_WatHeat!$C$2:$C$999,"="&amp;'INS-UPD WaterHeat'!$A18),"")</f>
        <v>0.0244918687515253</v>
      </c>
      <c r="AB18" s="2">
        <f>IFERROR(AVERAGEIFS(RES_WatHeat!AE$2:AE$999,RES_WatHeat!$B$2:$B$999,"="&amp;$A$2,RES_WatHeat!$C$2:$C$999,"="&amp;'INS-UPD WaterHeat'!$A18),"")</f>
        <v>0.019633719658858101</v>
      </c>
      <c r="AC18" s="2">
        <f>IFERROR(AVERAGEIFS(RES_WatHeat!AF$2:AF$999,RES_WatHeat!$B$2:$B$999,"="&amp;$A$2,RES_WatHeat!$C$2:$C$999,"="&amp;'INS-UPD WaterHeat'!$A18),"")</f>
        <v>0.0099620396611548607</v>
      </c>
      <c r="AD18" s="2">
        <f>IFERROR(AVERAGEIFS(RES_WatHeat!AG$2:AG$999,RES_WatHeat!$B$2:$B$999,"="&amp;$A$2,RES_WatHeat!$C$2:$C$999,"="&amp;'INS-UPD WaterHeat'!$A18),"")</f>
        <v>0.017074147964365401</v>
      </c>
      <c r="AE18" s="2">
        <f>IFERROR(AVERAGEIFS(RES_WatHeat!AH$2:AH$999,RES_WatHeat!$B$2:$B$999,"="&amp;$A$2,RES_WatHeat!$C$2:$C$999,"="&amp;'INS-UPD WaterHeat'!$A18),"")</f>
        <v>0.017815470849275001</v>
      </c>
      <c r="AF18" s="2">
        <f>IFERROR(AVERAGEIFS(RES_WatHeat!AI$2:AI$999,RES_WatHeat!$B$2:$B$999,"="&amp;$A$2,RES_WatHeat!$C$2:$C$999,"="&amp;'INS-UPD WaterHeat'!$A18),"")</f>
        <v>0.0239535670191184</v>
      </c>
      <c r="AG18" s="2">
        <f>IFERROR(AVERAGEIFS(RES_WatHeat!AJ$2:AJ$999,RES_WatHeat!$B$2:$B$999,"="&amp;$A$2,RES_WatHeat!$C$2:$C$999,"="&amp;'INS-UPD WaterHeat'!$A18),"")</f>
        <v>0.017648292330328798</v>
      </c>
      <c r="AH18" s="2">
        <f>IFERROR(AVERAGEIFS(RES_WatHeat!AK$2:AK$999,RES_WatHeat!$B$2:$B$999,"="&amp;$A$2,RES_WatHeat!$C$2:$C$999,"="&amp;'INS-UPD WaterHeat'!$A18),"")</f>
        <v>0.0145692738759457</v>
      </c>
      <c r="AI18" s="2">
        <f>IFERROR(AVERAGEIFS(RES_WatHeat!AL$2:AL$999,RES_WatHeat!$B$2:$B$999,"="&amp;$A$2,RES_WatHeat!$C$2:$C$999,"="&amp;'INS-UPD WaterHeat'!$A18),"")</f>
        <v>0.010716070814948599</v>
      </c>
      <c r="AJ18" s="2">
        <f>IFERROR(AVERAGEIFS(RES_WatHeat!AM$2:AM$999,RES_WatHeat!$B$2:$B$999,"="&amp;$A$2,RES_WatHeat!$C$2:$C$999,"="&amp;'INS-UPD WaterHeat'!$A18),"")</f>
        <v>0.0214967077250043</v>
      </c>
      <c r="AK18" s="2">
        <f>IFERROR(AVERAGEIFS(RES_WatHeat!AN$2:AN$999,RES_WatHeat!$B$2:$B$999,"="&amp;$A$2,RES_WatHeat!$C$2:$C$999,"="&amp;'INS-UPD WaterHeat'!$A18),"")</f>
        <v>0.035834053241728503</v>
      </c>
      <c r="AL18" s="2">
        <f>IFERROR(AVERAGEIFS(RES_WatHeat!AO$2:AO$999,RES_WatHeat!$B$2:$B$999,"="&amp;$A$2,RES_WatHeat!$C$2:$C$999,"="&amp;'INS-UPD WaterHeat'!$A18),"")</f>
        <v>0.0213420821544534</v>
      </c>
      <c r="AM18" s="2">
        <f>IFERROR(AVERAGEIFS(RES_WatHeat!AP$2:AP$999,RES_WatHeat!$B$2:$B$999,"="&amp;$A$2,RES_WatHeat!$C$2:$C$999,"="&amp;'INS-UPD WaterHeat'!$A18),"")</f>
        <v>0.034456590413286102</v>
      </c>
      <c r="AN18" s="2">
        <f>IFERROR(AVERAGEIFS(RES_WatHeat!AQ$2:AQ$999,RES_WatHeat!$B$2:$B$999,"="&amp;$A$2,RES_WatHeat!$C$2:$C$999,"="&amp;'INS-UPD WaterHeat'!$A18),"")</f>
        <v>0.0143012225370781</v>
      </c>
      <c r="AO18" s="2">
        <f>IFERROR(AVERAGEIFS(RES_WatHeat!AR$2:AR$999,RES_WatHeat!$B$2:$B$999,"="&amp;$A$2,RES_WatHeat!$C$2:$C$999,"="&amp;'INS-UPD WaterHeat'!$A18),"")</f>
        <v>0.0161092470203896</v>
      </c>
      <c r="AP18" s="2">
        <f>IFERROR(AVERAGEIFS(RES_WatHeat!AS$2:AS$999,RES_WatHeat!$B$2:$B$999,"="&amp;$A$2,RES_WatHeat!$C$2:$C$999,"="&amp;'INS-UPD WaterHeat'!$A18),"")</f>
        <v>0.021612122934021798</v>
      </c>
      <c r="AQ18" s="2">
        <f>IFERROR(AVERAGEIFS(RES_WatHeat!AT$2:AT$999,RES_WatHeat!$B$2:$B$999,"="&amp;$A$2,RES_WatHeat!$C$2:$C$999,"="&amp;'INS-UPD WaterHeat'!$A18),"")</f>
        <v>0.028772248577818401</v>
      </c>
      <c r="AR18" s="2">
        <f>IFERROR(AVERAGEIFS(RES_WatHeat!AU$2:AU$999,RES_WatHeat!$B$2:$B$999,"="&amp;$A$2,RES_WatHeat!$C$2:$C$999,"="&amp;'INS-UPD WaterHeat'!$A18),"")</f>
        <v>0.021840342652476599</v>
      </c>
      <c r="AS18" s="41">
        <f>IFERROR(AVERAGEIFS(RES_WatHeat!AV$2:AV$999,RES_WatHeat!$B$2:$B$999,"="&amp;$A$2,RES_WatHeat!$C$2:$C$999,"="&amp;'INS-UPD WaterHeat'!$A18),"")</f>
        <v>0.021419365704021899</v>
      </c>
    </row>
    <row r="19" spans="1:45" ht="15">
      <c r="A19" s="3" t="s">
        <v>77</v>
      </c>
      <c r="C19" t="s">
        <v>52</v>
      </c>
      <c r="D19" t="str">
        <f t="shared" si="2"/>
        <v>R_ES-WH-DH_CO*</v>
      </c>
      <c r="H19" s="40">
        <f t="shared" si="1"/>
        <v>0.020905712537744037</v>
      </c>
      <c r="I19" s="2">
        <f>IFERROR(AVERAGEIFS(RES_WatHeat!L$2:L$999,RES_WatHeat!$B$2:$B$999,"="&amp;$A$2,RES_WatHeat!$C$2:$C$999,"="&amp;'INS-UPD WaterHeat'!$A19),"")</f>
        <v>0.024815579244214198</v>
      </c>
      <c r="J19" s="2">
        <f>IFERROR(AVERAGEIFS(RES_WatHeat!M$2:M$999,RES_WatHeat!$B$2:$B$999,"="&amp;$A$2,RES_WatHeat!$C$2:$C$999,"="&amp;'INS-UPD WaterHeat'!$A19),"")</f>
        <v>0.026163789907819601</v>
      </c>
      <c r="K19" s="2">
        <f>IFERROR(AVERAGEIFS(RES_WatHeat!N$2:N$999,RES_WatHeat!$B$2:$B$999,"="&amp;$A$2,RES_WatHeat!$C$2:$C$999,"="&amp;'INS-UPD WaterHeat'!$A19),"")</f>
        <v>0.0130924133953164</v>
      </c>
      <c r="L19" s="2">
        <f>IFERROR(AVERAGEIFS(RES_WatHeat!O$2:O$999,RES_WatHeat!$B$2:$B$999,"="&amp;$A$2,RES_WatHeat!$C$2:$C$999,"="&amp;'INS-UPD WaterHeat'!$A19),"")</f>
        <v>0.022154431458604799</v>
      </c>
      <c r="M19" s="2">
        <f>IFERROR(AVERAGEIFS(RES_WatHeat!P$2:P$999,RES_WatHeat!$B$2:$B$999,"="&amp;$A$2,RES_WatHeat!$C$2:$C$999,"="&amp;'INS-UPD WaterHeat'!$A19),"")</f>
        <v>0.017639247628040599</v>
      </c>
      <c r="N19" s="2">
        <f>IFERROR(AVERAGEIFS(RES_WatHeat!Q$2:Q$999,RES_WatHeat!$B$2:$B$999,"="&amp;$A$2,RES_WatHeat!$C$2:$C$999,"="&amp;'INS-UPD WaterHeat'!$A19),"")</f>
        <v>0.019789784314238699</v>
      </c>
      <c r="O19" s="2">
        <f>IFERROR(AVERAGEIFS(RES_WatHeat!R$2:R$999,RES_WatHeat!$B$2:$B$999,"="&amp;$A$2,RES_WatHeat!$C$2:$C$999,"="&amp;'INS-UPD WaterHeat'!$A19),"")</f>
        <v>0.022016615011670002</v>
      </c>
      <c r="P19" s="2">
        <f>IFERROR(AVERAGEIFS(RES_WatHeat!S$2:S$999,RES_WatHeat!$B$2:$B$999,"="&amp;$A$2,RES_WatHeat!$C$2:$C$999,"="&amp;'INS-UPD WaterHeat'!$A19),"")</f>
        <v>0.016570421792852699</v>
      </c>
      <c r="Q19" s="2">
        <f>IFERROR(AVERAGEIFS(RES_WatHeat!T$2:T$999,RES_WatHeat!$B$2:$B$999,"="&amp;$A$2,RES_WatHeat!$C$2:$C$999,"="&amp;'INS-UPD WaterHeat'!$A19),"")</f>
        <v>0.021416335886684599</v>
      </c>
      <c r="R19" s="2">
        <f>IFERROR(AVERAGEIFS(RES_WatHeat!U$2:U$999,RES_WatHeat!$B$2:$B$999,"="&amp;$A$2,RES_WatHeat!$C$2:$C$999,"="&amp;'INS-UPD WaterHeat'!$A19),"")</f>
        <v>0.022609526683434598</v>
      </c>
      <c r="S19" s="2">
        <f>IFERROR(AVERAGEIFS(RES_WatHeat!V$2:V$999,RES_WatHeat!$B$2:$B$999,"="&amp;$A$2,RES_WatHeat!$C$2:$C$999,"="&amp;'INS-UPD WaterHeat'!$A19),"")</f>
        <v>0.020783504914615301</v>
      </c>
      <c r="T19" s="2">
        <f>IFERROR(AVERAGEIFS(RES_WatHeat!W$2:W$999,RES_WatHeat!$B$2:$B$999,"="&amp;$A$2,RES_WatHeat!$C$2:$C$999,"="&amp;'INS-UPD WaterHeat'!$A19),"")</f>
        <v>0.024236124350948501</v>
      </c>
      <c r="U19" s="2">
        <f>IFERROR(AVERAGEIFS(RES_WatHeat!X$2:X$999,RES_WatHeat!$B$2:$B$999,"="&amp;$A$2,RES_WatHeat!$C$2:$C$999,"="&amp;'INS-UPD WaterHeat'!$A19),"")</f>
        <v>0.027929540173183401</v>
      </c>
      <c r="V19" s="2">
        <f>IFERROR(AVERAGEIFS(RES_WatHeat!Y$2:Y$999,RES_WatHeat!$B$2:$B$999,"="&amp;$A$2,RES_WatHeat!$C$2:$C$999,"="&amp;'INS-UPD WaterHeat'!$A19),"")</f>
        <v>0.0264163002032991</v>
      </c>
      <c r="W19" s="2">
        <f>IFERROR(AVERAGEIFS(RES_WatHeat!Z$2:Z$999,RES_WatHeat!$B$2:$B$999,"="&amp;$A$2,RES_WatHeat!$C$2:$C$999,"="&amp;'INS-UPD WaterHeat'!$A19),"")</f>
        <v>0.023146812119180099</v>
      </c>
      <c r="X19" s="2">
        <f>IFERROR(AVERAGEIFS(RES_WatHeat!AA$2:AA$999,RES_WatHeat!$B$2:$B$999,"="&amp;$A$2,RES_WatHeat!$C$2:$C$999,"="&amp;'INS-UPD WaterHeat'!$A19),"")</f>
        <v>0.014271100719649101</v>
      </c>
      <c r="Y19" s="2">
        <f>IFERROR(AVERAGEIFS(RES_WatHeat!AB$2:AB$999,RES_WatHeat!$B$2:$B$999,"="&amp;$A$2,RES_WatHeat!$C$2:$C$999,"="&amp;'INS-UPD WaterHeat'!$A19),"")</f>
        <v>0.0124082488140676</v>
      </c>
      <c r="Z19" s="2">
        <f>IFERROR(AVERAGEIFS(RES_WatHeat!AC$2:AC$999,RES_WatHeat!$B$2:$B$999,"="&amp;$A$2,RES_WatHeat!$C$2:$C$999,"="&amp;'INS-UPD WaterHeat'!$A19),"")</f>
        <v>0.0250031533929112</v>
      </c>
      <c r="AA19" s="2">
        <f>IFERROR(AVERAGEIFS(RES_WatHeat!AD$2:AD$999,RES_WatHeat!$B$2:$B$999,"="&amp;$A$2,RES_WatHeat!$C$2:$C$999,"="&amp;'INS-UPD WaterHeat'!$A19),"")</f>
        <v>0.0244918687515253</v>
      </c>
      <c r="AB19" s="2">
        <f>IFERROR(AVERAGEIFS(RES_WatHeat!AE$2:AE$999,RES_WatHeat!$B$2:$B$999,"="&amp;$A$2,RES_WatHeat!$C$2:$C$999,"="&amp;'INS-UPD WaterHeat'!$A19),"")</f>
        <v>0.019633719658858101</v>
      </c>
      <c r="AC19" s="2">
        <f>IFERROR(AVERAGEIFS(RES_WatHeat!AF$2:AF$999,RES_WatHeat!$B$2:$B$999,"="&amp;$A$2,RES_WatHeat!$C$2:$C$999,"="&amp;'INS-UPD WaterHeat'!$A19),"")</f>
        <v>0.0099620396611548607</v>
      </c>
      <c r="AD19" s="2">
        <f>IFERROR(AVERAGEIFS(RES_WatHeat!AG$2:AG$999,RES_WatHeat!$B$2:$B$999,"="&amp;$A$2,RES_WatHeat!$C$2:$C$999,"="&amp;'INS-UPD WaterHeat'!$A19),"")</f>
        <v>0.017074147964365401</v>
      </c>
      <c r="AE19" s="2">
        <f>IFERROR(AVERAGEIFS(RES_WatHeat!AH$2:AH$999,RES_WatHeat!$B$2:$B$999,"="&amp;$A$2,RES_WatHeat!$C$2:$C$999,"="&amp;'INS-UPD WaterHeat'!$A19),"")</f>
        <v>0.017815470849275001</v>
      </c>
      <c r="AF19" s="2">
        <f>IFERROR(AVERAGEIFS(RES_WatHeat!AI$2:AI$999,RES_WatHeat!$B$2:$B$999,"="&amp;$A$2,RES_WatHeat!$C$2:$C$999,"="&amp;'INS-UPD WaterHeat'!$A19),"")</f>
        <v>0.0239535670191184</v>
      </c>
      <c r="AG19" s="2">
        <f>IFERROR(AVERAGEIFS(RES_WatHeat!AJ$2:AJ$999,RES_WatHeat!$B$2:$B$999,"="&amp;$A$2,RES_WatHeat!$C$2:$C$999,"="&amp;'INS-UPD WaterHeat'!$A19),"")</f>
        <v>0.017648292330328798</v>
      </c>
      <c r="AH19" s="2">
        <f>IFERROR(AVERAGEIFS(RES_WatHeat!AK$2:AK$999,RES_WatHeat!$B$2:$B$999,"="&amp;$A$2,RES_WatHeat!$C$2:$C$999,"="&amp;'INS-UPD WaterHeat'!$A19),"")</f>
        <v>0.0145692738759457</v>
      </c>
      <c r="AI19" s="2">
        <f>IFERROR(AVERAGEIFS(RES_WatHeat!AL$2:AL$999,RES_WatHeat!$B$2:$B$999,"="&amp;$A$2,RES_WatHeat!$C$2:$C$999,"="&amp;'INS-UPD WaterHeat'!$A19),"")</f>
        <v>0.010716070814948599</v>
      </c>
      <c r="AJ19" s="2">
        <f>IFERROR(AVERAGEIFS(RES_WatHeat!AM$2:AM$999,RES_WatHeat!$B$2:$B$999,"="&amp;$A$2,RES_WatHeat!$C$2:$C$999,"="&amp;'INS-UPD WaterHeat'!$A19),"")</f>
        <v>0.0214967077250043</v>
      </c>
      <c r="AK19" s="2">
        <f>IFERROR(AVERAGEIFS(RES_WatHeat!AN$2:AN$999,RES_WatHeat!$B$2:$B$999,"="&amp;$A$2,RES_WatHeat!$C$2:$C$999,"="&amp;'INS-UPD WaterHeat'!$A19),"")</f>
        <v>0.035834053241728503</v>
      </c>
      <c r="AL19" s="2">
        <f>IFERROR(AVERAGEIFS(RES_WatHeat!AO$2:AO$999,RES_WatHeat!$B$2:$B$999,"="&amp;$A$2,RES_WatHeat!$C$2:$C$999,"="&amp;'INS-UPD WaterHeat'!$A19),"")</f>
        <v>0.0213420821544534</v>
      </c>
      <c r="AM19" s="2">
        <f>IFERROR(AVERAGEIFS(RES_WatHeat!AP$2:AP$999,RES_WatHeat!$B$2:$B$999,"="&amp;$A$2,RES_WatHeat!$C$2:$C$999,"="&amp;'INS-UPD WaterHeat'!$A19),"")</f>
        <v>0.034456590413286102</v>
      </c>
      <c r="AN19" s="2">
        <f>IFERROR(AVERAGEIFS(RES_WatHeat!AQ$2:AQ$999,RES_WatHeat!$B$2:$B$999,"="&amp;$A$2,RES_WatHeat!$C$2:$C$999,"="&amp;'INS-UPD WaterHeat'!$A19),"")</f>
        <v>0.0143012225370781</v>
      </c>
      <c r="AO19" s="2">
        <f>IFERROR(AVERAGEIFS(RES_WatHeat!AR$2:AR$999,RES_WatHeat!$B$2:$B$999,"="&amp;$A$2,RES_WatHeat!$C$2:$C$999,"="&amp;'INS-UPD WaterHeat'!$A19),"")</f>
        <v>0.0161092470203896</v>
      </c>
      <c r="AP19" s="2">
        <f>IFERROR(AVERAGEIFS(RES_WatHeat!AS$2:AS$999,RES_WatHeat!$B$2:$B$999,"="&amp;$A$2,RES_WatHeat!$C$2:$C$999,"="&amp;'INS-UPD WaterHeat'!$A19),"")</f>
        <v>0.021612122934021798</v>
      </c>
      <c r="AQ19" s="2">
        <f>IFERROR(AVERAGEIFS(RES_WatHeat!AT$2:AT$999,RES_WatHeat!$B$2:$B$999,"="&amp;$A$2,RES_WatHeat!$C$2:$C$999,"="&amp;'INS-UPD WaterHeat'!$A19),"")</f>
        <v>0.028772248577818401</v>
      </c>
      <c r="AR19" s="2">
        <f>IFERROR(AVERAGEIFS(RES_WatHeat!AU$2:AU$999,RES_WatHeat!$B$2:$B$999,"="&amp;$A$2,RES_WatHeat!$C$2:$C$999,"="&amp;'INS-UPD WaterHeat'!$A19),"")</f>
        <v>0.021840342652476599</v>
      </c>
      <c r="AS19" s="41">
        <f>IFERROR(AVERAGEIFS(RES_WatHeat!AV$2:AV$999,RES_WatHeat!$B$2:$B$999,"="&amp;$A$2,RES_WatHeat!$C$2:$C$999,"="&amp;'INS-UPD WaterHeat'!$A19),"")</f>
        <v>0.021419365704021899</v>
      </c>
    </row>
    <row r="20" spans="1:45" ht="15">
      <c r="A20" s="3" t="s">
        <v>78</v>
      </c>
      <c r="C20" t="s">
        <v>52</v>
      </c>
      <c r="D20" t="str">
        <f t="shared" si="2"/>
        <v>R_ES-WH-DH_LP*</v>
      </c>
      <c r="H20" s="40">
        <f t="shared" si="1"/>
        <v>0.026132140672180035</v>
      </c>
      <c r="I20" s="2">
        <f>IFERROR(AVERAGEIFS(RES_WatHeat!L$2:L$999,RES_WatHeat!$B$2:$B$999,"="&amp;$A$2,RES_WatHeat!$C$2:$C$999,"="&amp;'INS-UPD WaterHeat'!$A20),"")</f>
        <v>0.031019474055267698</v>
      </c>
      <c r="J20" s="2">
        <f>IFERROR(AVERAGEIFS(RES_WatHeat!M$2:M$999,RES_WatHeat!$B$2:$B$999,"="&amp;$A$2,RES_WatHeat!$C$2:$C$999,"="&amp;'INS-UPD WaterHeat'!$A20),"")</f>
        <v>0.032704737384774502</v>
      </c>
      <c r="K20" s="2">
        <f>IFERROR(AVERAGEIFS(RES_WatHeat!N$2:N$999,RES_WatHeat!$B$2:$B$999,"="&amp;$A$2,RES_WatHeat!$C$2:$C$999,"="&amp;'INS-UPD WaterHeat'!$A20),"")</f>
        <v>0.016365516744145499</v>
      </c>
      <c r="L20" s="2">
        <f>IFERROR(AVERAGEIFS(RES_WatHeat!O$2:O$999,RES_WatHeat!$B$2:$B$999,"="&amp;$A$2,RES_WatHeat!$C$2:$C$999,"="&amp;'INS-UPD WaterHeat'!$A20),"")</f>
        <v>0.027693039323256001</v>
      </c>
      <c r="M20" s="2">
        <f>IFERROR(AVERAGEIFS(RES_WatHeat!P$2:P$999,RES_WatHeat!$B$2:$B$999,"="&amp;$A$2,RES_WatHeat!$C$2:$C$999,"="&amp;'INS-UPD WaterHeat'!$A20),"")</f>
        <v>0.022049059535050701</v>
      </c>
      <c r="N20" s="2">
        <f>IFERROR(AVERAGEIFS(RES_WatHeat!Q$2:Q$999,RES_WatHeat!$B$2:$B$999,"="&amp;$A$2,RES_WatHeat!$C$2:$C$999,"="&amp;'INS-UPD WaterHeat'!$A20),"")</f>
        <v>0.0247372303927983</v>
      </c>
      <c r="O20" s="2">
        <f>IFERROR(AVERAGEIFS(RES_WatHeat!R$2:R$999,RES_WatHeat!$B$2:$B$999,"="&amp;$A$2,RES_WatHeat!$C$2:$C$999,"="&amp;'INS-UPD WaterHeat'!$A20),"")</f>
        <v>0.027520768764587498</v>
      </c>
      <c r="P20" s="2">
        <f>IFERROR(AVERAGEIFS(RES_WatHeat!S$2:S$999,RES_WatHeat!$B$2:$B$999,"="&amp;$A$2,RES_WatHeat!$C$2:$C$999,"="&amp;'INS-UPD WaterHeat'!$A20),"")</f>
        <v>0.020713027241065898</v>
      </c>
      <c r="Q20" s="2">
        <f>IFERROR(AVERAGEIFS(RES_WatHeat!T$2:T$999,RES_WatHeat!$B$2:$B$999,"="&amp;$A$2,RES_WatHeat!$C$2:$C$999,"="&amp;'INS-UPD WaterHeat'!$A20),"")</f>
        <v>0.0267704198583558</v>
      </c>
      <c r="R20" s="2">
        <f>IFERROR(AVERAGEIFS(RES_WatHeat!U$2:U$999,RES_WatHeat!$B$2:$B$999,"="&amp;$A$2,RES_WatHeat!$C$2:$C$999,"="&amp;'INS-UPD WaterHeat'!$A20),"")</f>
        <v>0.028261908354293201</v>
      </c>
      <c r="S20" s="2">
        <f>IFERROR(AVERAGEIFS(RES_WatHeat!V$2:V$999,RES_WatHeat!$B$2:$B$999,"="&amp;$A$2,RES_WatHeat!$C$2:$C$999,"="&amp;'INS-UPD WaterHeat'!$A20),"")</f>
        <v>0.025979381143269101</v>
      </c>
      <c r="T20" s="2">
        <f>IFERROR(AVERAGEIFS(RES_WatHeat!W$2:W$999,RES_WatHeat!$B$2:$B$999,"="&amp;$A$2,RES_WatHeat!$C$2:$C$999,"="&amp;'INS-UPD WaterHeat'!$A20),"")</f>
        <v>0.030295155438685599</v>
      </c>
      <c r="U20" s="2">
        <f>IFERROR(AVERAGEIFS(RES_WatHeat!X$2:X$999,RES_WatHeat!$B$2:$B$999,"="&amp;$A$2,RES_WatHeat!$C$2:$C$999,"="&amp;'INS-UPD WaterHeat'!$A20),"")</f>
        <v>0.034911925216479303</v>
      </c>
      <c r="V20" s="2">
        <f>IFERROR(AVERAGEIFS(RES_WatHeat!Y$2:Y$999,RES_WatHeat!$B$2:$B$999,"="&amp;$A$2,RES_WatHeat!$C$2:$C$999,"="&amp;'INS-UPD WaterHeat'!$A20),"")</f>
        <v>0.0330203752541239</v>
      </c>
      <c r="W20" s="2">
        <f>IFERROR(AVERAGEIFS(RES_WatHeat!Z$2:Z$999,RES_WatHeat!$B$2:$B$999,"="&amp;$A$2,RES_WatHeat!$C$2:$C$999,"="&amp;'INS-UPD WaterHeat'!$A20),"")</f>
        <v>0.0289335151489752</v>
      </c>
      <c r="X20" s="2">
        <f>IFERROR(AVERAGEIFS(RES_WatHeat!AA$2:AA$999,RES_WatHeat!$B$2:$B$999,"="&amp;$A$2,RES_WatHeat!$C$2:$C$999,"="&amp;'INS-UPD WaterHeat'!$A20),"")</f>
        <v>0.017838875899561301</v>
      </c>
      <c r="Y20" s="2">
        <f>IFERROR(AVERAGEIFS(RES_WatHeat!AB$2:AB$999,RES_WatHeat!$B$2:$B$999,"="&amp;$A$2,RES_WatHeat!$C$2:$C$999,"="&amp;'INS-UPD WaterHeat'!$A20),"")</f>
        <v>0.0155103110175844</v>
      </c>
      <c r="Z20" s="2">
        <f>IFERROR(AVERAGEIFS(RES_WatHeat!AC$2:AC$999,RES_WatHeat!$B$2:$B$999,"="&amp;$A$2,RES_WatHeat!$C$2:$C$999,"="&amp;'INS-UPD WaterHeat'!$A20),"")</f>
        <v>0.031253941741138998</v>
      </c>
      <c r="AA20" s="2">
        <f>IFERROR(AVERAGEIFS(RES_WatHeat!AD$2:AD$999,RES_WatHeat!$B$2:$B$999,"="&amp;$A$2,RES_WatHeat!$C$2:$C$999,"="&amp;'INS-UPD WaterHeat'!$A20),"")</f>
        <v>0.030614835939406601</v>
      </c>
      <c r="AB20" s="2">
        <f>IFERROR(AVERAGEIFS(RES_WatHeat!AE$2:AE$999,RES_WatHeat!$B$2:$B$999,"="&amp;$A$2,RES_WatHeat!$C$2:$C$999,"="&amp;'INS-UPD WaterHeat'!$A20),"")</f>
        <v>0.024542149573572598</v>
      </c>
      <c r="AC20" s="2">
        <f>IFERROR(AVERAGEIFS(RES_WatHeat!AF$2:AF$999,RES_WatHeat!$B$2:$B$999,"="&amp;$A$2,RES_WatHeat!$C$2:$C$999,"="&amp;'INS-UPD WaterHeat'!$A20),"")</f>
        <v>0.0124525495764436</v>
      </c>
      <c r="AD20" s="2">
        <f>IFERROR(AVERAGEIFS(RES_WatHeat!AG$2:AG$999,RES_WatHeat!$B$2:$B$999,"="&amp;$A$2,RES_WatHeat!$C$2:$C$999,"="&amp;'INS-UPD WaterHeat'!$A20),"")</f>
        <v>0.021342684955456701</v>
      </c>
      <c r="AE20" s="2">
        <f>IFERROR(AVERAGEIFS(RES_WatHeat!AH$2:AH$999,RES_WatHeat!$B$2:$B$999,"="&amp;$A$2,RES_WatHeat!$C$2:$C$999,"="&amp;'INS-UPD WaterHeat'!$A20),"")</f>
        <v>0.022269338561593702</v>
      </c>
      <c r="AF20" s="2">
        <f>IFERROR(AVERAGEIFS(RES_WatHeat!AI$2:AI$999,RES_WatHeat!$B$2:$B$999,"="&amp;$A$2,RES_WatHeat!$C$2:$C$999,"="&amp;'INS-UPD WaterHeat'!$A20),"")</f>
        <v>0.029941958773897999</v>
      </c>
      <c r="AG20" s="2">
        <f>IFERROR(AVERAGEIFS(RES_WatHeat!AJ$2:AJ$999,RES_WatHeat!$B$2:$B$999,"="&amp;$A$2,RES_WatHeat!$C$2:$C$999,"="&amp;'INS-UPD WaterHeat'!$A20),"")</f>
        <v>0.022060365412910999</v>
      </c>
      <c r="AH20" s="2">
        <f>IFERROR(AVERAGEIFS(RES_WatHeat!AK$2:AK$999,RES_WatHeat!$B$2:$B$999,"="&amp;$A$2,RES_WatHeat!$C$2:$C$999,"="&amp;'INS-UPD WaterHeat'!$A20),"")</f>
        <v>0.0182115923449322</v>
      </c>
      <c r="AI20" s="2">
        <f>IFERROR(AVERAGEIFS(RES_WatHeat!AL$2:AL$999,RES_WatHeat!$B$2:$B$999,"="&amp;$A$2,RES_WatHeat!$C$2:$C$999,"="&amp;'INS-UPD WaterHeat'!$A20),"")</f>
        <v>0.0133950885186857</v>
      </c>
      <c r="AJ20" s="2">
        <f>IFERROR(AVERAGEIFS(RES_WatHeat!AM$2:AM$999,RES_WatHeat!$B$2:$B$999,"="&amp;$A$2,RES_WatHeat!$C$2:$C$999,"="&amp;'INS-UPD WaterHeat'!$A20),"")</f>
        <v>0.026870884656255398</v>
      </c>
      <c r="AK20" s="2">
        <f>IFERROR(AVERAGEIFS(RES_WatHeat!AN$2:AN$999,RES_WatHeat!$B$2:$B$999,"="&amp;$A$2,RES_WatHeat!$C$2:$C$999,"="&amp;'INS-UPD WaterHeat'!$A20),"")</f>
        <v>0.044792566552160601</v>
      </c>
      <c r="AL20" s="2">
        <f>IFERROR(AVERAGEIFS(RES_WatHeat!AO$2:AO$999,RES_WatHeat!$B$2:$B$999,"="&amp;$A$2,RES_WatHeat!$C$2:$C$999,"="&amp;'INS-UPD WaterHeat'!$A20),"")</f>
        <v>0.026677602693066699</v>
      </c>
      <c r="AM20" s="2">
        <f>IFERROR(AVERAGEIFS(RES_WatHeat!AP$2:AP$999,RES_WatHeat!$B$2:$B$999,"="&amp;$A$2,RES_WatHeat!$C$2:$C$999,"="&amp;'INS-UPD WaterHeat'!$A20),"")</f>
        <v>0.043070738016607601</v>
      </c>
      <c r="AN20" s="2">
        <f>IFERROR(AVERAGEIFS(RES_WatHeat!AQ$2:AQ$999,RES_WatHeat!$B$2:$B$999,"="&amp;$A$2,RES_WatHeat!$C$2:$C$999,"="&amp;'INS-UPD WaterHeat'!$A20),"")</f>
        <v>0.017876528171347598</v>
      </c>
      <c r="AO20" s="2">
        <f>IFERROR(AVERAGEIFS(RES_WatHeat!AR$2:AR$999,RES_WatHeat!$B$2:$B$999,"="&amp;$A$2,RES_WatHeat!$C$2:$C$999,"="&amp;'INS-UPD WaterHeat'!$A20),"")</f>
        <v>0.0201365587754871</v>
      </c>
      <c r="AP20" s="2">
        <f>IFERROR(AVERAGEIFS(RES_WatHeat!AS$2:AS$999,RES_WatHeat!$B$2:$B$999,"="&amp;$A$2,RES_WatHeat!$C$2:$C$999,"="&amp;'INS-UPD WaterHeat'!$A20),"")</f>
        <v>0.0270151536675272</v>
      </c>
      <c r="AQ20" s="2">
        <f>IFERROR(AVERAGEIFS(RES_WatHeat!AT$2:AT$999,RES_WatHeat!$B$2:$B$999,"="&amp;$A$2,RES_WatHeat!$C$2:$C$999,"="&amp;'INS-UPD WaterHeat'!$A20),"")</f>
        <v>0.035965310722272999</v>
      </c>
      <c r="AR20" s="2">
        <f>IFERROR(AVERAGEIFS(RES_WatHeat!AU$2:AU$999,RES_WatHeat!$B$2:$B$999,"="&amp;$A$2,RES_WatHeat!$C$2:$C$999,"="&amp;'INS-UPD WaterHeat'!$A20),"")</f>
        <v>0.027300428315595801</v>
      </c>
      <c r="AS20" s="41">
        <f>IFERROR(AVERAGEIFS(RES_WatHeat!AV$2:AV$999,RES_WatHeat!$B$2:$B$999,"="&amp;$A$2,RES_WatHeat!$C$2:$C$999,"="&amp;'INS-UPD WaterHeat'!$A20),"")</f>
        <v>0.0267742071300274</v>
      </c>
    </row>
    <row r="21" spans="1:45" ht="15">
      <c r="A21" s="5" t="s">
        <v>79</v>
      </c>
      <c r="C21" t="s">
        <v>52</v>
      </c>
      <c r="D21" t="str">
        <f t="shared" si="2"/>
        <v>R_ES-WH-DH_GE*</v>
      </c>
      <c r="H21" s="40">
        <f>H20</f>
        <v>0.026132140672180035</v>
      </c>
      <c r="I21" s="2" t="str">
        <f>IFERROR(AVERAGEIFS(RES_WatHeat!L$2:L$999,RES_WatHeat!$B$2:$B$999,"="&amp;$A$2,RES_WatHeat!$C$2:$C$999,"="&amp;'INS-UPD WaterHeat'!$A21),"")</f>
        <v/>
      </c>
      <c r="J21" s="2" t="str">
        <f>IFERROR(AVERAGEIFS(RES_WatHeat!M$2:M$999,RES_WatHeat!$B$2:$B$999,"="&amp;$A$2,RES_WatHeat!$C$2:$C$999,"="&amp;'INS-UPD WaterHeat'!$A21),"")</f>
        <v/>
      </c>
      <c r="K21" s="2" t="str">
        <f>IFERROR(AVERAGEIFS(RES_WatHeat!N$2:N$999,RES_WatHeat!$B$2:$B$999,"="&amp;$A$2,RES_WatHeat!$C$2:$C$999,"="&amp;'INS-UPD WaterHeat'!$A21),"")</f>
        <v/>
      </c>
      <c r="L21" s="2" t="str">
        <f>IFERROR(AVERAGEIFS(RES_WatHeat!O$2:O$999,RES_WatHeat!$B$2:$B$999,"="&amp;$A$2,RES_WatHeat!$C$2:$C$999,"="&amp;'INS-UPD WaterHeat'!$A21),"")</f>
        <v/>
      </c>
      <c r="M21" s="2" t="str">
        <f>IFERROR(AVERAGEIFS(RES_WatHeat!P$2:P$999,RES_WatHeat!$B$2:$B$999,"="&amp;$A$2,RES_WatHeat!$C$2:$C$999,"="&amp;'INS-UPD WaterHeat'!$A21),"")</f>
        <v/>
      </c>
      <c r="N21" s="2" t="str">
        <f>IFERROR(AVERAGEIFS(RES_WatHeat!Q$2:Q$999,RES_WatHeat!$B$2:$B$999,"="&amp;$A$2,RES_WatHeat!$C$2:$C$999,"="&amp;'INS-UPD WaterHeat'!$A21),"")</f>
        <v/>
      </c>
      <c r="O21" s="2" t="str">
        <f>IFERROR(AVERAGEIFS(RES_WatHeat!R$2:R$999,RES_WatHeat!$B$2:$B$999,"="&amp;$A$2,RES_WatHeat!$C$2:$C$999,"="&amp;'INS-UPD WaterHeat'!$A21),"")</f>
        <v/>
      </c>
      <c r="P21" s="2" t="str">
        <f>IFERROR(AVERAGEIFS(RES_WatHeat!S$2:S$999,RES_WatHeat!$B$2:$B$999,"="&amp;$A$2,RES_WatHeat!$C$2:$C$999,"="&amp;'INS-UPD WaterHeat'!$A21),"")</f>
        <v/>
      </c>
      <c r="Q21" s="2" t="str">
        <f>IFERROR(AVERAGEIFS(RES_WatHeat!T$2:T$999,RES_WatHeat!$B$2:$B$999,"="&amp;$A$2,RES_WatHeat!$C$2:$C$999,"="&amp;'INS-UPD WaterHeat'!$A21),"")</f>
        <v/>
      </c>
      <c r="R21" s="2" t="str">
        <f>IFERROR(AVERAGEIFS(RES_WatHeat!U$2:U$999,RES_WatHeat!$B$2:$B$999,"="&amp;$A$2,RES_WatHeat!$C$2:$C$999,"="&amp;'INS-UPD WaterHeat'!$A21),"")</f>
        <v/>
      </c>
      <c r="S21" s="2" t="str">
        <f>IFERROR(AVERAGEIFS(RES_WatHeat!V$2:V$999,RES_WatHeat!$B$2:$B$999,"="&amp;$A$2,RES_WatHeat!$C$2:$C$999,"="&amp;'INS-UPD WaterHeat'!$A21),"")</f>
        <v/>
      </c>
      <c r="T21" s="2" t="str">
        <f>IFERROR(AVERAGEIFS(RES_WatHeat!W$2:W$999,RES_WatHeat!$B$2:$B$999,"="&amp;$A$2,RES_WatHeat!$C$2:$C$999,"="&amp;'INS-UPD WaterHeat'!$A21),"")</f>
        <v/>
      </c>
      <c r="U21" s="2" t="str">
        <f>IFERROR(AVERAGEIFS(RES_WatHeat!X$2:X$999,RES_WatHeat!$B$2:$B$999,"="&amp;$A$2,RES_WatHeat!$C$2:$C$999,"="&amp;'INS-UPD WaterHeat'!$A21),"")</f>
        <v/>
      </c>
      <c r="V21" s="2" t="str">
        <f>IFERROR(AVERAGEIFS(RES_WatHeat!Y$2:Y$999,RES_WatHeat!$B$2:$B$999,"="&amp;$A$2,RES_WatHeat!$C$2:$C$999,"="&amp;'INS-UPD WaterHeat'!$A21),"")</f>
        <v/>
      </c>
      <c r="W21" s="2" t="str">
        <f>IFERROR(AVERAGEIFS(RES_WatHeat!Z$2:Z$999,RES_WatHeat!$B$2:$B$999,"="&amp;$A$2,RES_WatHeat!$C$2:$C$999,"="&amp;'INS-UPD WaterHeat'!$A21),"")</f>
        <v/>
      </c>
      <c r="X21" s="2" t="str">
        <f>IFERROR(AVERAGEIFS(RES_WatHeat!AA$2:AA$999,RES_WatHeat!$B$2:$B$999,"="&amp;$A$2,RES_WatHeat!$C$2:$C$999,"="&amp;'INS-UPD WaterHeat'!$A21),"")</f>
        <v/>
      </c>
      <c r="Y21" s="2" t="str">
        <f>IFERROR(AVERAGEIFS(RES_WatHeat!AB$2:AB$999,RES_WatHeat!$B$2:$B$999,"="&amp;$A$2,RES_WatHeat!$C$2:$C$999,"="&amp;'INS-UPD WaterHeat'!$A21),"")</f>
        <v/>
      </c>
      <c r="Z21" s="2" t="str">
        <f>IFERROR(AVERAGEIFS(RES_WatHeat!AC$2:AC$999,RES_WatHeat!$B$2:$B$999,"="&amp;$A$2,RES_WatHeat!$C$2:$C$999,"="&amp;'INS-UPD WaterHeat'!$A21),"")</f>
        <v/>
      </c>
      <c r="AA21" s="2" t="str">
        <f>IFERROR(AVERAGEIFS(RES_WatHeat!AD$2:AD$999,RES_WatHeat!$B$2:$B$999,"="&amp;$A$2,RES_WatHeat!$C$2:$C$999,"="&amp;'INS-UPD WaterHeat'!$A21),"")</f>
        <v/>
      </c>
      <c r="AB21" s="2" t="str">
        <f>IFERROR(AVERAGEIFS(RES_WatHeat!AE$2:AE$999,RES_WatHeat!$B$2:$B$999,"="&amp;$A$2,RES_WatHeat!$C$2:$C$999,"="&amp;'INS-UPD WaterHeat'!$A21),"")</f>
        <v/>
      </c>
      <c r="AC21" s="2" t="str">
        <f>IFERROR(AVERAGEIFS(RES_WatHeat!AF$2:AF$999,RES_WatHeat!$B$2:$B$999,"="&amp;$A$2,RES_WatHeat!$C$2:$C$999,"="&amp;'INS-UPD WaterHeat'!$A21),"")</f>
        <v/>
      </c>
      <c r="AD21" s="2" t="str">
        <f>IFERROR(AVERAGEIFS(RES_WatHeat!AG$2:AG$999,RES_WatHeat!$B$2:$B$999,"="&amp;$A$2,RES_WatHeat!$C$2:$C$999,"="&amp;'INS-UPD WaterHeat'!$A21),"")</f>
        <v/>
      </c>
      <c r="AE21" s="2" t="str">
        <f>IFERROR(AVERAGEIFS(RES_WatHeat!AH$2:AH$999,RES_WatHeat!$B$2:$B$999,"="&amp;$A$2,RES_WatHeat!$C$2:$C$999,"="&amp;'INS-UPD WaterHeat'!$A21),"")</f>
        <v/>
      </c>
      <c r="AF21" s="2" t="str">
        <f>IFERROR(AVERAGEIFS(RES_WatHeat!AI$2:AI$999,RES_WatHeat!$B$2:$B$999,"="&amp;$A$2,RES_WatHeat!$C$2:$C$999,"="&amp;'INS-UPD WaterHeat'!$A21),"")</f>
        <v/>
      </c>
      <c r="AG21" s="2" t="str">
        <f>IFERROR(AVERAGEIFS(RES_WatHeat!AJ$2:AJ$999,RES_WatHeat!$B$2:$B$999,"="&amp;$A$2,RES_WatHeat!$C$2:$C$999,"="&amp;'INS-UPD WaterHeat'!$A21),"")</f>
        <v/>
      </c>
      <c r="AH21" s="2" t="str">
        <f>IFERROR(AVERAGEIFS(RES_WatHeat!AK$2:AK$999,RES_WatHeat!$B$2:$B$999,"="&amp;$A$2,RES_WatHeat!$C$2:$C$999,"="&amp;'INS-UPD WaterHeat'!$A21),"")</f>
        <v/>
      </c>
      <c r="AI21" s="2" t="str">
        <f>IFERROR(AVERAGEIFS(RES_WatHeat!AL$2:AL$999,RES_WatHeat!$B$2:$B$999,"="&amp;$A$2,RES_WatHeat!$C$2:$C$999,"="&amp;'INS-UPD WaterHeat'!$A21),"")</f>
        <v/>
      </c>
      <c r="AJ21" s="2" t="str">
        <f>IFERROR(AVERAGEIFS(RES_WatHeat!AM$2:AM$999,RES_WatHeat!$B$2:$B$999,"="&amp;$A$2,RES_WatHeat!$C$2:$C$999,"="&amp;'INS-UPD WaterHeat'!$A21),"")</f>
        <v/>
      </c>
      <c r="AK21" s="2" t="str">
        <f>IFERROR(AVERAGEIFS(RES_WatHeat!AN$2:AN$999,RES_WatHeat!$B$2:$B$999,"="&amp;$A$2,RES_WatHeat!$C$2:$C$999,"="&amp;'INS-UPD WaterHeat'!$A21),"")</f>
        <v/>
      </c>
      <c r="AL21" s="2" t="str">
        <f>IFERROR(AVERAGEIFS(RES_WatHeat!AO$2:AO$999,RES_WatHeat!$B$2:$B$999,"="&amp;$A$2,RES_WatHeat!$C$2:$C$999,"="&amp;'INS-UPD WaterHeat'!$A21),"")</f>
        <v/>
      </c>
      <c r="AM21" s="2" t="str">
        <f>IFERROR(AVERAGEIFS(RES_WatHeat!AP$2:AP$999,RES_WatHeat!$B$2:$B$999,"="&amp;$A$2,RES_WatHeat!$C$2:$C$999,"="&amp;'INS-UPD WaterHeat'!$A21),"")</f>
        <v/>
      </c>
      <c r="AN21" s="2" t="str">
        <f>IFERROR(AVERAGEIFS(RES_WatHeat!AQ$2:AQ$999,RES_WatHeat!$B$2:$B$999,"="&amp;$A$2,RES_WatHeat!$C$2:$C$999,"="&amp;'INS-UPD WaterHeat'!$A21),"")</f>
        <v/>
      </c>
      <c r="AO21" s="2" t="str">
        <f>IFERROR(AVERAGEIFS(RES_WatHeat!AR$2:AR$999,RES_WatHeat!$B$2:$B$999,"="&amp;$A$2,RES_WatHeat!$C$2:$C$999,"="&amp;'INS-UPD WaterHeat'!$A21),"")</f>
        <v/>
      </c>
      <c r="AP21" s="2" t="str">
        <f>IFERROR(AVERAGEIFS(RES_WatHeat!AS$2:AS$999,RES_WatHeat!$B$2:$B$999,"="&amp;$A$2,RES_WatHeat!$C$2:$C$999,"="&amp;'INS-UPD WaterHeat'!$A21),"")</f>
        <v/>
      </c>
      <c r="AQ21" s="2" t="str">
        <f>IFERROR(AVERAGEIFS(RES_WatHeat!AT$2:AT$999,RES_WatHeat!$B$2:$B$999,"="&amp;$A$2,RES_WatHeat!$C$2:$C$999,"="&amp;'INS-UPD WaterHeat'!$A21),"")</f>
        <v/>
      </c>
      <c r="AR21" s="2" t="str">
        <f>IFERROR(AVERAGEIFS(RES_WatHeat!AU$2:AU$999,RES_WatHeat!$B$2:$B$999,"="&amp;$A$2,RES_WatHeat!$C$2:$C$999,"="&amp;'INS-UPD WaterHeat'!$A21),"")</f>
        <v/>
      </c>
      <c r="AS21" s="41" t="str">
        <f>IFERROR(AVERAGEIFS(RES_WatHeat!AV$2:AV$999,RES_WatHeat!$B$2:$B$999,"="&amp;$A$2,RES_WatHeat!$C$2:$C$999,"="&amp;'INS-UPD WaterHeat'!$A21),"")</f>
        <v/>
      </c>
    </row>
    <row r="22" spans="1:45" ht="15">
      <c r="A22" s="3" t="s">
        <v>62</v>
      </c>
      <c r="C22" t="s">
        <v>52</v>
      </c>
      <c r="D22" t="str">
        <f>A22</f>
        <v>R_ES-WH-SD_*</v>
      </c>
      <c r="H22" s="40">
        <f t="shared" si="1"/>
        <v>0.027438747705789041</v>
      </c>
      <c r="I22" s="2">
        <f>IFERROR(AVERAGEIFS(RES_WatHeat!L$2:L$999,RES_WatHeat!$B$2:$B$999,"="&amp;$A$2,RES_WatHeat!$C$2:$C$999,"="&amp;'INS-UPD WaterHeat'!$A22),"")</f>
        <v>0.032570447758031112</v>
      </c>
      <c r="J22" s="2">
        <f>IFERROR(AVERAGEIFS(RES_WatHeat!M$2:M$999,RES_WatHeat!$B$2:$B$999,"="&amp;$A$2,RES_WatHeat!$C$2:$C$999,"="&amp;'INS-UPD WaterHeat'!$A22),"")</f>
        <v>0.034339974254013209</v>
      </c>
      <c r="K22" s="2">
        <f>IFERROR(AVERAGEIFS(RES_WatHeat!N$2:N$999,RES_WatHeat!$B$2:$B$999,"="&amp;$A$2,RES_WatHeat!$C$2:$C$999,"="&amp;'INS-UPD WaterHeat'!$A22),"")</f>
        <v>0.017183792581352785</v>
      </c>
      <c r="L22" s="2">
        <f>IFERROR(AVERAGEIFS(RES_WatHeat!O$2:O$999,RES_WatHeat!$B$2:$B$999,"="&amp;$A$2,RES_WatHeat!$C$2:$C$999,"="&amp;'INS-UPD WaterHeat'!$A22),"")</f>
        <v>0.029077691289418794</v>
      </c>
      <c r="M22" s="2">
        <f>IFERROR(AVERAGEIFS(RES_WatHeat!P$2:P$999,RES_WatHeat!$B$2:$B$999,"="&amp;$A$2,RES_WatHeat!$C$2:$C$999,"="&amp;'INS-UPD WaterHeat'!$A22),"")</f>
        <v>0.023151512511803276</v>
      </c>
      <c r="N22" s="2">
        <f>IFERROR(AVERAGEIFS(RES_WatHeat!Q$2:Q$999,RES_WatHeat!$B$2:$B$999,"="&amp;$A$2,RES_WatHeat!$C$2:$C$999,"="&amp;'INS-UPD WaterHeat'!$A22),"")</f>
        <v>0.025974091912438262</v>
      </c>
      <c r="O22" s="2">
        <f>IFERROR(AVERAGEIFS(RES_WatHeat!R$2:R$999,RES_WatHeat!$B$2:$B$999,"="&amp;$A$2,RES_WatHeat!$C$2:$C$999,"="&amp;'INS-UPD WaterHeat'!$A22),"")</f>
        <v>0.028896807202816878</v>
      </c>
      <c r="P22" s="2">
        <f>IFERROR(AVERAGEIFS(RES_WatHeat!S$2:S$999,RES_WatHeat!$B$2:$B$999,"="&amp;$A$2,RES_WatHeat!$C$2:$C$999,"="&amp;'INS-UPD WaterHeat'!$A22),"")</f>
        <v>0.021748678603119187</v>
      </c>
      <c r="Q22" s="2">
        <f>IFERROR(AVERAGEIFS(RES_WatHeat!T$2:T$999,RES_WatHeat!$B$2:$B$999,"="&amp;$A$2,RES_WatHeat!$C$2:$C$999,"="&amp;'INS-UPD WaterHeat'!$A22),"")</f>
        <v>0.028108940851273551</v>
      </c>
      <c r="R22" s="2">
        <f>IFERROR(AVERAGEIFS(RES_WatHeat!U$2:U$999,RES_WatHeat!$B$2:$B$999,"="&amp;$A$2,RES_WatHeat!$C$2:$C$999,"="&amp;'INS-UPD WaterHeat'!$A22),"")</f>
        <v>0.029675003772007883</v>
      </c>
      <c r="S22" s="2">
        <f>IFERROR(AVERAGEIFS(RES_WatHeat!V$2:V$999,RES_WatHeat!$B$2:$B$999,"="&amp;$A$2,RES_WatHeat!$C$2:$C$999,"="&amp;'INS-UPD WaterHeat'!$A22),"")</f>
        <v>0.027278350200432559</v>
      </c>
      <c r="T22" s="2">
        <f>IFERROR(AVERAGEIFS(RES_WatHeat!W$2:W$999,RES_WatHeat!$B$2:$B$999,"="&amp;$A$2,RES_WatHeat!$C$2:$C$999,"="&amp;'INS-UPD WaterHeat'!$A22),"")</f>
        <v>0.031809913210619892</v>
      </c>
      <c r="U22" s="2">
        <f>IFERROR(AVERAGEIFS(RES_WatHeat!X$2:X$999,RES_WatHeat!$B$2:$B$999,"="&amp;$A$2,RES_WatHeat!$C$2:$C$999,"="&amp;'INS-UPD WaterHeat'!$A22),"")</f>
        <v>0.036657521477303244</v>
      </c>
      <c r="V22" s="2">
        <f>IFERROR(AVERAGEIFS(RES_WatHeat!Y$2:Y$999,RES_WatHeat!$B$2:$B$999,"="&amp;$A$2,RES_WatHeat!$C$2:$C$999,"="&amp;'INS-UPD WaterHeat'!$A22),"")</f>
        <v>0.034671394016830073</v>
      </c>
      <c r="W22" s="2">
        <f>IFERROR(AVERAGEIFS(RES_WatHeat!Z$2:Z$999,RES_WatHeat!$B$2:$B$999,"="&amp;$A$2,RES_WatHeat!$C$2:$C$999,"="&amp;'INS-UPD WaterHeat'!$A22),"")</f>
        <v>0.03038019090642391</v>
      </c>
      <c r="X22" s="2">
        <f>IFERROR(AVERAGEIFS(RES_WatHeat!AA$2:AA$999,RES_WatHeat!$B$2:$B$999,"="&amp;$A$2,RES_WatHeat!$C$2:$C$999,"="&amp;'INS-UPD WaterHeat'!$A22),"")</f>
        <v>0.018730819694539415</v>
      </c>
      <c r="Y22" s="2">
        <f>IFERROR(AVERAGEIFS(RES_WatHeat!AB$2:AB$999,RES_WatHeat!$B$2:$B$999,"="&amp;$A$2,RES_WatHeat!$C$2:$C$999,"="&amp;'INS-UPD WaterHeat'!$A22),"")</f>
        <v>0.016285826568463689</v>
      </c>
      <c r="Z22" s="2">
        <f>IFERROR(AVERAGEIFS(RES_WatHeat!AC$2:AC$999,RES_WatHeat!$B$2:$B$999,"="&amp;$A$2,RES_WatHeat!$C$2:$C$999,"="&amp;'INS-UPD WaterHeat'!$A22),"")</f>
        <v>0.032816638828195938</v>
      </c>
      <c r="AA22" s="2">
        <f>IFERROR(AVERAGEIFS(RES_WatHeat!AD$2:AD$999,RES_WatHeat!$B$2:$B$999,"="&amp;$A$2,RES_WatHeat!$C$2:$C$999,"="&amp;'INS-UPD WaterHeat'!$A22),"")</f>
        <v>0.032145577736376954</v>
      </c>
      <c r="AB22" s="2">
        <f>IFERROR(AVERAGEIFS(RES_WatHeat!AE$2:AE$999,RES_WatHeat!$B$2:$B$999,"="&amp;$A$2,RES_WatHeat!$C$2:$C$999,"="&amp;'INS-UPD WaterHeat'!$A22),"")</f>
        <v>0.025769257052251252</v>
      </c>
      <c r="AC22" s="2">
        <f>IFERROR(AVERAGEIFS(RES_WatHeat!AF$2:AF$999,RES_WatHeat!$B$2:$B$999,"="&amp;$A$2,RES_WatHeat!$C$2:$C$999,"="&amp;'INS-UPD WaterHeat'!$A22),"")</f>
        <v>0.013075177055265761</v>
      </c>
      <c r="AD22" s="2">
        <f>IFERROR(AVERAGEIFS(RES_WatHeat!AG$2:AG$999,RES_WatHeat!$B$2:$B$999,"="&amp;$A$2,RES_WatHeat!$C$2:$C$999,"="&amp;'INS-UPD WaterHeat'!$A22),"")</f>
        <v>0.022409819203229576</v>
      </c>
      <c r="AE22" s="2">
        <f>IFERROR(AVERAGEIFS(RES_WatHeat!AH$2:AH$999,RES_WatHeat!$B$2:$B$999,"="&amp;$A$2,RES_WatHeat!$C$2:$C$999,"="&amp;'INS-UPD WaterHeat'!$A22),"")</f>
        <v>0.023382805489673426</v>
      </c>
      <c r="AF22" s="2">
        <f>IFERROR(AVERAGEIFS(RES_WatHeat!AI$2:AI$999,RES_WatHeat!$B$2:$B$999,"="&amp;$A$2,RES_WatHeat!$C$2:$C$999,"="&amp;'INS-UPD WaterHeat'!$A22),"")</f>
        <v>0.031439056712592901</v>
      </c>
      <c r="AG22" s="2">
        <f>IFERROR(AVERAGEIFS(RES_WatHeat!AJ$2:AJ$999,RES_WatHeat!$B$2:$B$999,"="&amp;$A$2,RES_WatHeat!$C$2:$C$999,"="&amp;'INS-UPD WaterHeat'!$A22),"")</f>
        <v>0.023163383683556537</v>
      </c>
      <c r="AH22" s="2">
        <f>IFERROR(AVERAGEIFS(RES_WatHeat!AK$2:AK$999,RES_WatHeat!$B$2:$B$999,"="&amp;$A$2,RES_WatHeat!$C$2:$C$999,"="&amp;'INS-UPD WaterHeat'!$A22),"")</f>
        <v>0.019122171962178761</v>
      </c>
      <c r="AI22" s="2">
        <f>IFERROR(AVERAGEIFS(RES_WatHeat!AL$2:AL$999,RES_WatHeat!$B$2:$B$999,"="&amp;$A$2,RES_WatHeat!$C$2:$C$999,"="&amp;'INS-UPD WaterHeat'!$A22),"")</f>
        <v>0.014064842944620022</v>
      </c>
      <c r="AJ22" s="2">
        <f>IFERROR(AVERAGEIFS(RES_WatHeat!AM$2:AM$999,RES_WatHeat!$B$2:$B$999,"="&amp;$A$2,RES_WatHeat!$C$2:$C$999,"="&amp;'INS-UPD WaterHeat'!$A22),"")</f>
        <v>0.028214428889068149</v>
      </c>
      <c r="AK22" s="2">
        <f>IFERROR(AVERAGEIFS(RES_WatHeat!AN$2:AN$999,RES_WatHeat!$B$2:$B$999,"="&amp;$A$2,RES_WatHeat!$C$2:$C$999,"="&amp;'INS-UPD WaterHeat'!$A22),"")</f>
        <v>0.047032194879768591</v>
      </c>
      <c r="AL22" s="2">
        <f>IFERROR(AVERAGEIFS(RES_WatHeat!AO$2:AO$999,RES_WatHeat!$B$2:$B$999,"="&amp;$A$2,RES_WatHeat!$C$2:$C$999,"="&amp;'INS-UPD WaterHeat'!$A22),"")</f>
        <v>0.028011482827720077</v>
      </c>
      <c r="AM22" s="2">
        <f>IFERROR(AVERAGEIFS(RES_WatHeat!AP$2:AP$999,RES_WatHeat!$B$2:$B$999,"="&amp;$A$2,RES_WatHeat!$C$2:$C$999,"="&amp;'INS-UPD WaterHeat'!$A22),"")</f>
        <v>0.045224274917437961</v>
      </c>
      <c r="AN22" s="2">
        <f>IFERROR(AVERAGEIFS(RES_WatHeat!AQ$2:AQ$999,RES_WatHeat!$B$2:$B$999,"="&amp;$A$2,RES_WatHeat!$C$2:$C$999,"="&amp;'INS-UPD WaterHeat'!$A22),"")</f>
        <v>0.018770354579914984</v>
      </c>
      <c r="AO22" s="2">
        <f>IFERROR(AVERAGEIFS(RES_WatHeat!AR$2:AR$999,RES_WatHeat!$B$2:$B$999,"="&amp;$A$2,RES_WatHeat!$C$2:$C$999,"="&amp;'INS-UPD WaterHeat'!$A22),"")</f>
        <v>0.021143386714261386</v>
      </c>
      <c r="AP22" s="2">
        <f>IFERROR(AVERAGEIFS(RES_WatHeat!AS$2:AS$999,RES_WatHeat!$B$2:$B$999,"="&amp;$A$2,RES_WatHeat!$C$2:$C$999,"="&amp;'INS-UPD WaterHeat'!$A22),"")</f>
        <v>0.028365911350903585</v>
      </c>
      <c r="AQ22" s="2">
        <f>IFERROR(AVERAGEIFS(RES_WatHeat!AT$2:AT$999,RES_WatHeat!$B$2:$B$999,"="&amp;$A$2,RES_WatHeat!$C$2:$C$999,"="&amp;'INS-UPD WaterHeat'!$A22),"")</f>
        <v>0.037763576258386659</v>
      </c>
      <c r="AR22" s="2">
        <f>IFERROR(AVERAGEIFS(RES_WatHeat!AU$2:AU$999,RES_WatHeat!$B$2:$B$999,"="&amp;$A$2,RES_WatHeat!$C$2:$C$999,"="&amp;'INS-UPD WaterHeat'!$A22),"")</f>
        <v>0.028665449731375549</v>
      </c>
      <c r="AS22" s="41">
        <f>IFERROR(AVERAGEIFS(RES_WatHeat!AV$2:AV$999,RES_WatHeat!$B$2:$B$999,"="&amp;$A$2,RES_WatHeat!$C$2:$C$999,"="&amp;'INS-UPD WaterHeat'!$A22),"")</f>
        <v>0.028112917486528749</v>
      </c>
    </row>
    <row r="23" spans="1:45" ht="15">
      <c r="A23" s="3" t="s">
        <v>80</v>
      </c>
      <c r="C23" t="s">
        <v>52</v>
      </c>
      <c r="D23" t="str">
        <f t="shared" si="3" ref="D23:D30">A23</f>
        <v>R_ES-WH-SD_EL*</v>
      </c>
      <c r="H23" s="40">
        <f t="shared" si="1"/>
        <v>0.062717137613232082</v>
      </c>
      <c r="I23" s="2">
        <f>IFERROR(AVERAGEIFS(RES_WatHeat!L$2:L$999,RES_WatHeat!$B$2:$B$999,"="&amp;$A$2,RES_WatHeat!$C$2:$C$999,"="&amp;'INS-UPD WaterHeat'!$A23),"")</f>
        <v>0.074446737732642501</v>
      </c>
      <c r="J23" s="2">
        <f>IFERROR(AVERAGEIFS(RES_WatHeat!M$2:M$999,RES_WatHeat!$B$2:$B$999,"="&amp;$A$2,RES_WatHeat!$C$2:$C$999,"="&amp;'INS-UPD WaterHeat'!$A23),"")</f>
        <v>0.078491369723458701</v>
      </c>
      <c r="K23" s="2">
        <f>IFERROR(AVERAGEIFS(RES_WatHeat!N$2:N$999,RES_WatHeat!$B$2:$B$999,"="&amp;$A$2,RES_WatHeat!$C$2:$C$999,"="&amp;'INS-UPD WaterHeat'!$A23),"")</f>
        <v>0.039277240185949303</v>
      </c>
      <c r="L23" s="2">
        <f>IFERROR(AVERAGEIFS(RES_WatHeat!O$2:O$999,RES_WatHeat!$B$2:$B$999,"="&amp;$A$2,RES_WatHeat!$C$2:$C$999,"="&amp;'INS-UPD WaterHeat'!$A23),"")</f>
        <v>0.0664632943758144</v>
      </c>
      <c r="M23" s="2">
        <f>IFERROR(AVERAGEIFS(RES_WatHeat!P$2:P$999,RES_WatHeat!$B$2:$B$999,"="&amp;$A$2,RES_WatHeat!$C$2:$C$999,"="&amp;'INS-UPD WaterHeat'!$A23),"")</f>
        <v>0.0529177428841218</v>
      </c>
      <c r="N23" s="2">
        <f>IFERROR(AVERAGEIFS(RES_WatHeat!Q$2:Q$999,RES_WatHeat!$B$2:$B$999,"="&amp;$A$2,RES_WatHeat!$C$2:$C$999,"="&amp;'INS-UPD WaterHeat'!$A23),"")</f>
        <v>0.059369352942716003</v>
      </c>
      <c r="O23" s="2">
        <f>IFERROR(AVERAGEIFS(RES_WatHeat!R$2:R$999,RES_WatHeat!$B$2:$B$999,"="&amp;$A$2,RES_WatHeat!$C$2:$C$999,"="&amp;'INS-UPD WaterHeat'!$A23),"")</f>
        <v>0.066049845035010005</v>
      </c>
      <c r="P23" s="2">
        <f>IFERROR(AVERAGEIFS(RES_WatHeat!S$2:S$999,RES_WatHeat!$B$2:$B$999,"="&amp;$A$2,RES_WatHeat!$C$2:$C$999,"="&amp;'INS-UPD WaterHeat'!$A23),"")</f>
        <v>0.049711265378558203</v>
      </c>
      <c r="Q23" s="2">
        <f>IFERROR(AVERAGEIFS(RES_WatHeat!T$2:T$999,RES_WatHeat!$B$2:$B$999,"="&amp;$A$2,RES_WatHeat!$C$2:$C$999,"="&amp;'INS-UPD WaterHeat'!$A23),"")</f>
        <v>0.0642490076600538</v>
      </c>
      <c r="R23" s="2">
        <f>IFERROR(AVERAGEIFS(RES_WatHeat!U$2:U$999,RES_WatHeat!$B$2:$B$999,"="&amp;$A$2,RES_WatHeat!$C$2:$C$999,"="&amp;'INS-UPD WaterHeat'!$A23),"")</f>
        <v>0.067828580050303705</v>
      </c>
      <c r="S23" s="2">
        <f>IFERROR(AVERAGEIFS(RES_WatHeat!V$2:V$999,RES_WatHeat!$B$2:$B$999,"="&amp;$A$2,RES_WatHeat!$C$2:$C$999,"="&amp;'INS-UPD WaterHeat'!$A23),"")</f>
        <v>0.0623505147438458</v>
      </c>
      <c r="T23" s="2">
        <f>IFERROR(AVERAGEIFS(RES_WatHeat!W$2:W$999,RES_WatHeat!$B$2:$B$999,"="&amp;$A$2,RES_WatHeat!$C$2:$C$999,"="&amp;'INS-UPD WaterHeat'!$A23),"")</f>
        <v>0.072708373052845499</v>
      </c>
      <c r="U23" s="2">
        <f>IFERROR(AVERAGEIFS(RES_WatHeat!X$2:X$999,RES_WatHeat!$B$2:$B$999,"="&amp;$A$2,RES_WatHeat!$C$2:$C$999,"="&amp;'INS-UPD WaterHeat'!$A23),"")</f>
        <v>0.0837886205195503</v>
      </c>
      <c r="V23" s="2">
        <f>IFERROR(AVERAGEIFS(RES_WatHeat!Y$2:Y$999,RES_WatHeat!$B$2:$B$999,"="&amp;$A$2,RES_WatHeat!$C$2:$C$999,"="&amp;'INS-UPD WaterHeat'!$A23),"")</f>
        <v>0.079248900609897296</v>
      </c>
      <c r="W23" s="2">
        <f>IFERROR(AVERAGEIFS(RES_WatHeat!Z$2:Z$999,RES_WatHeat!$B$2:$B$999,"="&amp;$A$2,RES_WatHeat!$C$2:$C$999,"="&amp;'INS-UPD WaterHeat'!$A23),"")</f>
        <v>0.069440436357540394</v>
      </c>
      <c r="X23" s="2">
        <f>IFERROR(AVERAGEIFS(RES_WatHeat!AA$2:AA$999,RES_WatHeat!$B$2:$B$999,"="&amp;$A$2,RES_WatHeat!$C$2:$C$999,"="&amp;'INS-UPD WaterHeat'!$A23),"")</f>
        <v>0.0428133021589472</v>
      </c>
      <c r="Y23" s="2">
        <f>IFERROR(AVERAGEIFS(RES_WatHeat!AB$2:AB$999,RES_WatHeat!$B$2:$B$999,"="&amp;$A$2,RES_WatHeat!$C$2:$C$999,"="&amp;'INS-UPD WaterHeat'!$A23),"")</f>
        <v>0.037224746442202701</v>
      </c>
      <c r="Z23" s="2">
        <f>IFERROR(AVERAGEIFS(RES_WatHeat!AC$2:AC$999,RES_WatHeat!$B$2:$B$999,"="&amp;$A$2,RES_WatHeat!$C$2:$C$999,"="&amp;'INS-UPD WaterHeat'!$A23),"")</f>
        <v>0.0750094601787335</v>
      </c>
      <c r="AA23" s="2">
        <f>IFERROR(AVERAGEIFS(RES_WatHeat!AD$2:AD$999,RES_WatHeat!$B$2:$B$999,"="&amp;$A$2,RES_WatHeat!$C$2:$C$999,"="&amp;'INS-UPD WaterHeat'!$A23),"")</f>
        <v>0.073475606254575901</v>
      </c>
      <c r="AB23" s="2">
        <f>IFERROR(AVERAGEIFS(RES_WatHeat!AE$2:AE$999,RES_WatHeat!$B$2:$B$999,"="&amp;$A$2,RES_WatHeat!$C$2:$C$999,"="&amp;'INS-UPD WaterHeat'!$A23),"")</f>
        <v>0.058901158976574303</v>
      </c>
      <c r="AC23" s="2">
        <f>IFERROR(AVERAGEIFS(RES_WatHeat!AF$2:AF$999,RES_WatHeat!$B$2:$B$999,"="&amp;$A$2,RES_WatHeat!$C$2:$C$999,"="&amp;'INS-UPD WaterHeat'!$A23),"")</f>
        <v>0.029886118983464601</v>
      </c>
      <c r="AD23" s="2">
        <f>IFERROR(AVERAGEIFS(RES_WatHeat!AG$2:AG$999,RES_WatHeat!$B$2:$B$999,"="&amp;$A$2,RES_WatHeat!$C$2:$C$999,"="&amp;'INS-UPD WaterHeat'!$A23),"")</f>
        <v>0.051222443893096201</v>
      </c>
      <c r="AE23" s="2">
        <f>IFERROR(AVERAGEIFS(RES_WatHeat!AH$2:AH$999,RES_WatHeat!$B$2:$B$999,"="&amp;$A$2,RES_WatHeat!$C$2:$C$999,"="&amp;'INS-UPD WaterHeat'!$A23),"")</f>
        <v>0.053446412547824999</v>
      </c>
      <c r="AF23" s="2">
        <f>IFERROR(AVERAGEIFS(RES_WatHeat!AI$2:AI$999,RES_WatHeat!$B$2:$B$999,"="&amp;$A$2,RES_WatHeat!$C$2:$C$999,"="&amp;'INS-UPD WaterHeat'!$A23),"")</f>
        <v>0.071860701057355203</v>
      </c>
      <c r="AG23" s="2">
        <f>IFERROR(AVERAGEIFS(RES_WatHeat!AJ$2:AJ$999,RES_WatHeat!$B$2:$B$999,"="&amp;$A$2,RES_WatHeat!$C$2:$C$999,"="&amp;'INS-UPD WaterHeat'!$A23),"")</f>
        <v>0.052944876990986302</v>
      </c>
      <c r="AH23" s="2">
        <f>IFERROR(AVERAGEIFS(RES_WatHeat!AK$2:AK$999,RES_WatHeat!$B$2:$B$999,"="&amp;$A$2,RES_WatHeat!$C$2:$C$999,"="&amp;'INS-UPD WaterHeat'!$A23),"")</f>
        <v>0.0437078216278372</v>
      </c>
      <c r="AI23" s="2">
        <f>IFERROR(AVERAGEIFS(RES_WatHeat!AL$2:AL$999,RES_WatHeat!$B$2:$B$999,"="&amp;$A$2,RES_WatHeat!$C$2:$C$999,"="&amp;'INS-UPD WaterHeat'!$A23),"")</f>
        <v>0.032148212444845801</v>
      </c>
      <c r="AJ23" s="2">
        <f>IFERROR(AVERAGEIFS(RES_WatHeat!AM$2:AM$999,RES_WatHeat!$B$2:$B$999,"="&amp;$A$2,RES_WatHeat!$C$2:$C$999,"="&amp;'INS-UPD WaterHeat'!$A23),"")</f>
        <v>0.064490123175012903</v>
      </c>
      <c r="AK23" s="2">
        <f>IFERROR(AVERAGEIFS(RES_WatHeat!AN$2:AN$999,RES_WatHeat!$B$2:$B$999,"="&amp;$A$2,RES_WatHeat!$C$2:$C$999,"="&amp;'INS-UPD WaterHeat'!$A23),"")</f>
        <v>0.107502159725185</v>
      </c>
      <c r="AL23" s="2">
        <f>IFERROR(AVERAGEIFS(RES_WatHeat!AO$2:AO$999,RES_WatHeat!$B$2:$B$999,"="&amp;$A$2,RES_WatHeat!$C$2:$C$999,"="&amp;'INS-UPD WaterHeat'!$A23),"")</f>
        <v>0.064026246463360206</v>
      </c>
      <c r="AM23" s="2">
        <f>IFERROR(AVERAGEIFS(RES_WatHeat!AP$2:AP$999,RES_WatHeat!$B$2:$B$999,"="&amp;$A$2,RES_WatHeat!$C$2:$C$999,"="&amp;'INS-UPD WaterHeat'!$A23),"")</f>
        <v>0.10336977123985799</v>
      </c>
      <c r="AN23" s="2">
        <f>IFERROR(AVERAGEIFS(RES_WatHeat!AQ$2:AQ$999,RES_WatHeat!$B$2:$B$999,"="&amp;$A$2,RES_WatHeat!$C$2:$C$999,"="&amp;'INS-UPD WaterHeat'!$A23),"")</f>
        <v>0.042903667611234202</v>
      </c>
      <c r="AO23" s="2">
        <f>IFERROR(AVERAGEIFS(RES_WatHeat!AR$2:AR$999,RES_WatHeat!$B$2:$B$999,"="&amp;$A$2,RES_WatHeat!$C$2:$C$999,"="&amp;'INS-UPD WaterHeat'!$A23),"")</f>
        <v>0.048327741061168897</v>
      </c>
      <c r="AP23" s="2">
        <f>IFERROR(AVERAGEIFS(RES_WatHeat!AS$2:AS$999,RES_WatHeat!$B$2:$B$999,"="&amp;$A$2,RES_WatHeat!$C$2:$C$999,"="&amp;'INS-UPD WaterHeat'!$A23),"")</f>
        <v>0.064836368802065295</v>
      </c>
      <c r="AQ23" s="2">
        <f>IFERROR(AVERAGEIFS(RES_WatHeat!AT$2:AT$999,RES_WatHeat!$B$2:$B$999,"="&amp;$A$2,RES_WatHeat!$C$2:$C$999,"="&amp;'INS-UPD WaterHeat'!$A23),"")</f>
        <v>0.0863167457334552</v>
      </c>
      <c r="AR23" s="2">
        <f>IFERROR(AVERAGEIFS(RES_WatHeat!AU$2:AU$999,RES_WatHeat!$B$2:$B$999,"="&amp;$A$2,RES_WatHeat!$C$2:$C$999,"="&amp;'INS-UPD WaterHeat'!$A23),"")</f>
        <v>0.065521027957429798</v>
      </c>
      <c r="AS23" s="41">
        <f>IFERROR(AVERAGEIFS(RES_WatHeat!AV$2:AV$999,RES_WatHeat!$B$2:$B$999,"="&amp;$A$2,RES_WatHeat!$C$2:$C$999,"="&amp;'INS-UPD WaterHeat'!$A23),"")</f>
        <v>0.064258097112065704</v>
      </c>
    </row>
    <row r="24" spans="1:45" ht="15">
      <c r="A24" s="3" t="s">
        <v>81</v>
      </c>
      <c r="C24" t="s">
        <v>52</v>
      </c>
      <c r="D24" t="str">
        <f t="shared" si="3"/>
        <v>R_ES-WH-SD_GA*</v>
      </c>
      <c r="H24" s="40">
        <f t="shared" si="1"/>
        <v>0.026132140672180035</v>
      </c>
      <c r="I24" s="2">
        <f>IFERROR(AVERAGEIFS(RES_WatHeat!L$2:L$999,RES_WatHeat!$B$2:$B$999,"="&amp;$A$2,RES_WatHeat!$C$2:$C$999,"="&amp;'INS-UPD WaterHeat'!$A24),"")</f>
        <v>0.031019474055267698</v>
      </c>
      <c r="J24" s="2">
        <f>IFERROR(AVERAGEIFS(RES_WatHeat!M$2:M$999,RES_WatHeat!$B$2:$B$999,"="&amp;$A$2,RES_WatHeat!$C$2:$C$999,"="&amp;'INS-UPD WaterHeat'!$A24),"")</f>
        <v>0.032704737384774502</v>
      </c>
      <c r="K24" s="2">
        <f>IFERROR(AVERAGEIFS(RES_WatHeat!N$2:N$999,RES_WatHeat!$B$2:$B$999,"="&amp;$A$2,RES_WatHeat!$C$2:$C$999,"="&amp;'INS-UPD WaterHeat'!$A24),"")</f>
        <v>0.016365516744145499</v>
      </c>
      <c r="L24" s="2">
        <f>IFERROR(AVERAGEIFS(RES_WatHeat!O$2:O$999,RES_WatHeat!$B$2:$B$999,"="&amp;$A$2,RES_WatHeat!$C$2:$C$999,"="&amp;'INS-UPD WaterHeat'!$A24),"")</f>
        <v>0.027693039323256001</v>
      </c>
      <c r="M24" s="2">
        <f>IFERROR(AVERAGEIFS(RES_WatHeat!P$2:P$999,RES_WatHeat!$B$2:$B$999,"="&amp;$A$2,RES_WatHeat!$C$2:$C$999,"="&amp;'INS-UPD WaterHeat'!$A24),"")</f>
        <v>0.022049059535050701</v>
      </c>
      <c r="N24" s="2">
        <f>IFERROR(AVERAGEIFS(RES_WatHeat!Q$2:Q$999,RES_WatHeat!$B$2:$B$999,"="&amp;$A$2,RES_WatHeat!$C$2:$C$999,"="&amp;'INS-UPD WaterHeat'!$A24),"")</f>
        <v>0.0247372303927983</v>
      </c>
      <c r="O24" s="2">
        <f>IFERROR(AVERAGEIFS(RES_WatHeat!R$2:R$999,RES_WatHeat!$B$2:$B$999,"="&amp;$A$2,RES_WatHeat!$C$2:$C$999,"="&amp;'INS-UPD WaterHeat'!$A24),"")</f>
        <v>0.027520768764587498</v>
      </c>
      <c r="P24" s="2">
        <f>IFERROR(AVERAGEIFS(RES_WatHeat!S$2:S$999,RES_WatHeat!$B$2:$B$999,"="&amp;$A$2,RES_WatHeat!$C$2:$C$999,"="&amp;'INS-UPD WaterHeat'!$A24),"")</f>
        <v>0.020713027241065898</v>
      </c>
      <c r="Q24" s="2">
        <f>IFERROR(AVERAGEIFS(RES_WatHeat!T$2:T$999,RES_WatHeat!$B$2:$B$999,"="&amp;$A$2,RES_WatHeat!$C$2:$C$999,"="&amp;'INS-UPD WaterHeat'!$A24),"")</f>
        <v>0.0267704198583558</v>
      </c>
      <c r="R24" s="2">
        <f>IFERROR(AVERAGEIFS(RES_WatHeat!U$2:U$999,RES_WatHeat!$B$2:$B$999,"="&amp;$A$2,RES_WatHeat!$C$2:$C$999,"="&amp;'INS-UPD WaterHeat'!$A24),"")</f>
        <v>0.028261908354293201</v>
      </c>
      <c r="S24" s="2">
        <f>IFERROR(AVERAGEIFS(RES_WatHeat!V$2:V$999,RES_WatHeat!$B$2:$B$999,"="&amp;$A$2,RES_WatHeat!$C$2:$C$999,"="&amp;'INS-UPD WaterHeat'!$A24),"")</f>
        <v>0.025979381143269101</v>
      </c>
      <c r="T24" s="2">
        <f>IFERROR(AVERAGEIFS(RES_WatHeat!W$2:W$999,RES_WatHeat!$B$2:$B$999,"="&amp;$A$2,RES_WatHeat!$C$2:$C$999,"="&amp;'INS-UPD WaterHeat'!$A24),"")</f>
        <v>0.030295155438685599</v>
      </c>
      <c r="U24" s="2">
        <f>IFERROR(AVERAGEIFS(RES_WatHeat!X$2:X$999,RES_WatHeat!$B$2:$B$999,"="&amp;$A$2,RES_WatHeat!$C$2:$C$999,"="&amp;'INS-UPD WaterHeat'!$A24),"")</f>
        <v>0.034911925216479303</v>
      </c>
      <c r="V24" s="2">
        <f>IFERROR(AVERAGEIFS(RES_WatHeat!Y$2:Y$999,RES_WatHeat!$B$2:$B$999,"="&amp;$A$2,RES_WatHeat!$C$2:$C$999,"="&amp;'INS-UPD WaterHeat'!$A24),"")</f>
        <v>0.0330203752541239</v>
      </c>
      <c r="W24" s="2">
        <f>IFERROR(AVERAGEIFS(RES_WatHeat!Z$2:Z$999,RES_WatHeat!$B$2:$B$999,"="&amp;$A$2,RES_WatHeat!$C$2:$C$999,"="&amp;'INS-UPD WaterHeat'!$A24),"")</f>
        <v>0.0289335151489752</v>
      </c>
      <c r="X24" s="2">
        <f>IFERROR(AVERAGEIFS(RES_WatHeat!AA$2:AA$999,RES_WatHeat!$B$2:$B$999,"="&amp;$A$2,RES_WatHeat!$C$2:$C$999,"="&amp;'INS-UPD WaterHeat'!$A24),"")</f>
        <v>0.017838875899561301</v>
      </c>
      <c r="Y24" s="2">
        <f>IFERROR(AVERAGEIFS(RES_WatHeat!AB$2:AB$999,RES_WatHeat!$B$2:$B$999,"="&amp;$A$2,RES_WatHeat!$C$2:$C$999,"="&amp;'INS-UPD WaterHeat'!$A24),"")</f>
        <v>0.0155103110175844</v>
      </c>
      <c r="Z24" s="2">
        <f>IFERROR(AVERAGEIFS(RES_WatHeat!AC$2:AC$999,RES_WatHeat!$B$2:$B$999,"="&amp;$A$2,RES_WatHeat!$C$2:$C$999,"="&amp;'INS-UPD WaterHeat'!$A24),"")</f>
        <v>0.031253941741138998</v>
      </c>
      <c r="AA24" s="2">
        <f>IFERROR(AVERAGEIFS(RES_WatHeat!AD$2:AD$999,RES_WatHeat!$B$2:$B$999,"="&amp;$A$2,RES_WatHeat!$C$2:$C$999,"="&amp;'INS-UPD WaterHeat'!$A24),"")</f>
        <v>0.030614835939406601</v>
      </c>
      <c r="AB24" s="2">
        <f>IFERROR(AVERAGEIFS(RES_WatHeat!AE$2:AE$999,RES_WatHeat!$B$2:$B$999,"="&amp;$A$2,RES_WatHeat!$C$2:$C$999,"="&amp;'INS-UPD WaterHeat'!$A24),"")</f>
        <v>0.024542149573572598</v>
      </c>
      <c r="AC24" s="2">
        <f>IFERROR(AVERAGEIFS(RES_WatHeat!AF$2:AF$999,RES_WatHeat!$B$2:$B$999,"="&amp;$A$2,RES_WatHeat!$C$2:$C$999,"="&amp;'INS-UPD WaterHeat'!$A24),"")</f>
        <v>0.0124525495764436</v>
      </c>
      <c r="AD24" s="2">
        <f>IFERROR(AVERAGEIFS(RES_WatHeat!AG$2:AG$999,RES_WatHeat!$B$2:$B$999,"="&amp;$A$2,RES_WatHeat!$C$2:$C$999,"="&amp;'INS-UPD WaterHeat'!$A24),"")</f>
        <v>0.021342684955456701</v>
      </c>
      <c r="AE24" s="2">
        <f>IFERROR(AVERAGEIFS(RES_WatHeat!AH$2:AH$999,RES_WatHeat!$B$2:$B$999,"="&amp;$A$2,RES_WatHeat!$C$2:$C$999,"="&amp;'INS-UPD WaterHeat'!$A24),"")</f>
        <v>0.022269338561593702</v>
      </c>
      <c r="AF24" s="2">
        <f>IFERROR(AVERAGEIFS(RES_WatHeat!AI$2:AI$999,RES_WatHeat!$B$2:$B$999,"="&amp;$A$2,RES_WatHeat!$C$2:$C$999,"="&amp;'INS-UPD WaterHeat'!$A24),"")</f>
        <v>0.029941958773897999</v>
      </c>
      <c r="AG24" s="2">
        <f>IFERROR(AVERAGEIFS(RES_WatHeat!AJ$2:AJ$999,RES_WatHeat!$B$2:$B$999,"="&amp;$A$2,RES_WatHeat!$C$2:$C$999,"="&amp;'INS-UPD WaterHeat'!$A24),"")</f>
        <v>0.022060365412910999</v>
      </c>
      <c r="AH24" s="2">
        <f>IFERROR(AVERAGEIFS(RES_WatHeat!AK$2:AK$999,RES_WatHeat!$B$2:$B$999,"="&amp;$A$2,RES_WatHeat!$C$2:$C$999,"="&amp;'INS-UPD WaterHeat'!$A24),"")</f>
        <v>0.0182115923449322</v>
      </c>
      <c r="AI24" s="2">
        <f>IFERROR(AVERAGEIFS(RES_WatHeat!AL$2:AL$999,RES_WatHeat!$B$2:$B$999,"="&amp;$A$2,RES_WatHeat!$C$2:$C$999,"="&amp;'INS-UPD WaterHeat'!$A24),"")</f>
        <v>0.0133950885186857</v>
      </c>
      <c r="AJ24" s="2">
        <f>IFERROR(AVERAGEIFS(RES_WatHeat!AM$2:AM$999,RES_WatHeat!$B$2:$B$999,"="&amp;$A$2,RES_WatHeat!$C$2:$C$999,"="&amp;'INS-UPD WaterHeat'!$A24),"")</f>
        <v>0.026870884656255398</v>
      </c>
      <c r="AK24" s="2">
        <f>IFERROR(AVERAGEIFS(RES_WatHeat!AN$2:AN$999,RES_WatHeat!$B$2:$B$999,"="&amp;$A$2,RES_WatHeat!$C$2:$C$999,"="&amp;'INS-UPD WaterHeat'!$A24),"")</f>
        <v>0.044792566552160601</v>
      </c>
      <c r="AL24" s="2">
        <f>IFERROR(AVERAGEIFS(RES_WatHeat!AO$2:AO$999,RES_WatHeat!$B$2:$B$999,"="&amp;$A$2,RES_WatHeat!$C$2:$C$999,"="&amp;'INS-UPD WaterHeat'!$A24),"")</f>
        <v>0.026677602693066699</v>
      </c>
      <c r="AM24" s="2">
        <f>IFERROR(AVERAGEIFS(RES_WatHeat!AP$2:AP$999,RES_WatHeat!$B$2:$B$999,"="&amp;$A$2,RES_WatHeat!$C$2:$C$999,"="&amp;'INS-UPD WaterHeat'!$A24),"")</f>
        <v>0.043070738016607601</v>
      </c>
      <c r="AN24" s="2">
        <f>IFERROR(AVERAGEIFS(RES_WatHeat!AQ$2:AQ$999,RES_WatHeat!$B$2:$B$999,"="&amp;$A$2,RES_WatHeat!$C$2:$C$999,"="&amp;'INS-UPD WaterHeat'!$A24),"")</f>
        <v>0.017876528171347598</v>
      </c>
      <c r="AO24" s="2">
        <f>IFERROR(AVERAGEIFS(RES_WatHeat!AR$2:AR$999,RES_WatHeat!$B$2:$B$999,"="&amp;$A$2,RES_WatHeat!$C$2:$C$999,"="&amp;'INS-UPD WaterHeat'!$A24),"")</f>
        <v>0.0201365587754871</v>
      </c>
      <c r="AP24" s="2">
        <f>IFERROR(AVERAGEIFS(RES_WatHeat!AS$2:AS$999,RES_WatHeat!$B$2:$B$999,"="&amp;$A$2,RES_WatHeat!$C$2:$C$999,"="&amp;'INS-UPD WaterHeat'!$A24),"")</f>
        <v>0.0270151536675272</v>
      </c>
      <c r="AQ24" s="2">
        <f>IFERROR(AVERAGEIFS(RES_WatHeat!AT$2:AT$999,RES_WatHeat!$B$2:$B$999,"="&amp;$A$2,RES_WatHeat!$C$2:$C$999,"="&amp;'INS-UPD WaterHeat'!$A24),"")</f>
        <v>0.035965310722272999</v>
      </c>
      <c r="AR24" s="2">
        <f>IFERROR(AVERAGEIFS(RES_WatHeat!AU$2:AU$999,RES_WatHeat!$B$2:$B$999,"="&amp;$A$2,RES_WatHeat!$C$2:$C$999,"="&amp;'INS-UPD WaterHeat'!$A24),"")</f>
        <v>0.027300428315595801</v>
      </c>
      <c r="AS24" s="41">
        <f>IFERROR(AVERAGEIFS(RES_WatHeat!AV$2:AV$999,RES_WatHeat!$B$2:$B$999,"="&amp;$A$2,RES_WatHeat!$C$2:$C$999,"="&amp;'INS-UPD WaterHeat'!$A24),"")</f>
        <v>0.0267742071300274</v>
      </c>
    </row>
    <row r="25" spans="1:45" ht="15">
      <c r="A25" s="3" t="s">
        <v>82</v>
      </c>
      <c r="C25" t="s">
        <v>52</v>
      </c>
      <c r="D25" t="str">
        <f t="shared" si="3"/>
        <v>R_ES-WH-SD_HE*</v>
      </c>
      <c r="H25" s="40">
        <f t="shared" si="1"/>
        <v>0.020905712537744037</v>
      </c>
      <c r="I25" s="2">
        <f>IFERROR(AVERAGEIFS(RES_WatHeat!L$2:L$999,RES_WatHeat!$B$2:$B$999,"="&amp;$A$2,RES_WatHeat!$C$2:$C$999,"="&amp;'INS-UPD WaterHeat'!$A25),"")</f>
        <v>0.024815579244214198</v>
      </c>
      <c r="J25" s="2">
        <f>IFERROR(AVERAGEIFS(RES_WatHeat!M$2:M$999,RES_WatHeat!$B$2:$B$999,"="&amp;$A$2,RES_WatHeat!$C$2:$C$999,"="&amp;'INS-UPD WaterHeat'!$A25),"")</f>
        <v>0.026163789907819601</v>
      </c>
      <c r="K25" s="2">
        <f>IFERROR(AVERAGEIFS(RES_WatHeat!N$2:N$999,RES_WatHeat!$B$2:$B$999,"="&amp;$A$2,RES_WatHeat!$C$2:$C$999,"="&amp;'INS-UPD WaterHeat'!$A25),"")</f>
        <v>0.0130924133953164</v>
      </c>
      <c r="L25" s="2">
        <f>IFERROR(AVERAGEIFS(RES_WatHeat!O$2:O$999,RES_WatHeat!$B$2:$B$999,"="&amp;$A$2,RES_WatHeat!$C$2:$C$999,"="&amp;'INS-UPD WaterHeat'!$A25),"")</f>
        <v>0.022154431458604799</v>
      </c>
      <c r="M25" s="2">
        <f>IFERROR(AVERAGEIFS(RES_WatHeat!P$2:P$999,RES_WatHeat!$B$2:$B$999,"="&amp;$A$2,RES_WatHeat!$C$2:$C$999,"="&amp;'INS-UPD WaterHeat'!$A25),"")</f>
        <v>0.017639247628040599</v>
      </c>
      <c r="N25" s="2">
        <f>IFERROR(AVERAGEIFS(RES_WatHeat!Q$2:Q$999,RES_WatHeat!$B$2:$B$999,"="&amp;$A$2,RES_WatHeat!$C$2:$C$999,"="&amp;'INS-UPD WaterHeat'!$A25),"")</f>
        <v>0.019789784314238699</v>
      </c>
      <c r="O25" s="2">
        <f>IFERROR(AVERAGEIFS(RES_WatHeat!R$2:R$999,RES_WatHeat!$B$2:$B$999,"="&amp;$A$2,RES_WatHeat!$C$2:$C$999,"="&amp;'INS-UPD WaterHeat'!$A25),"")</f>
        <v>0.022016615011670002</v>
      </c>
      <c r="P25" s="2">
        <f>IFERROR(AVERAGEIFS(RES_WatHeat!S$2:S$999,RES_WatHeat!$B$2:$B$999,"="&amp;$A$2,RES_WatHeat!$C$2:$C$999,"="&amp;'INS-UPD WaterHeat'!$A25),"")</f>
        <v>0.016570421792852699</v>
      </c>
      <c r="Q25" s="2">
        <f>IFERROR(AVERAGEIFS(RES_WatHeat!T$2:T$999,RES_WatHeat!$B$2:$B$999,"="&amp;$A$2,RES_WatHeat!$C$2:$C$999,"="&amp;'INS-UPD WaterHeat'!$A25),"")</f>
        <v>0.021416335886684599</v>
      </c>
      <c r="R25" s="2">
        <f>IFERROR(AVERAGEIFS(RES_WatHeat!U$2:U$999,RES_WatHeat!$B$2:$B$999,"="&amp;$A$2,RES_WatHeat!$C$2:$C$999,"="&amp;'INS-UPD WaterHeat'!$A25),"")</f>
        <v>0.022609526683434598</v>
      </c>
      <c r="S25" s="2">
        <f>IFERROR(AVERAGEIFS(RES_WatHeat!V$2:V$999,RES_WatHeat!$B$2:$B$999,"="&amp;$A$2,RES_WatHeat!$C$2:$C$999,"="&amp;'INS-UPD WaterHeat'!$A25),"")</f>
        <v>0.020783504914615301</v>
      </c>
      <c r="T25" s="2">
        <f>IFERROR(AVERAGEIFS(RES_WatHeat!W$2:W$999,RES_WatHeat!$B$2:$B$999,"="&amp;$A$2,RES_WatHeat!$C$2:$C$999,"="&amp;'INS-UPD WaterHeat'!$A25),"")</f>
        <v>0.024236124350948501</v>
      </c>
      <c r="U25" s="2">
        <f>IFERROR(AVERAGEIFS(RES_WatHeat!X$2:X$999,RES_WatHeat!$B$2:$B$999,"="&amp;$A$2,RES_WatHeat!$C$2:$C$999,"="&amp;'INS-UPD WaterHeat'!$A25),"")</f>
        <v>0.027929540173183401</v>
      </c>
      <c r="V25" s="2">
        <f>IFERROR(AVERAGEIFS(RES_WatHeat!Y$2:Y$999,RES_WatHeat!$B$2:$B$999,"="&amp;$A$2,RES_WatHeat!$C$2:$C$999,"="&amp;'INS-UPD WaterHeat'!$A25),"")</f>
        <v>0.0264163002032991</v>
      </c>
      <c r="W25" s="2">
        <f>IFERROR(AVERAGEIFS(RES_WatHeat!Z$2:Z$999,RES_WatHeat!$B$2:$B$999,"="&amp;$A$2,RES_WatHeat!$C$2:$C$999,"="&amp;'INS-UPD WaterHeat'!$A25),"")</f>
        <v>0.023146812119180099</v>
      </c>
      <c r="X25" s="2">
        <f>IFERROR(AVERAGEIFS(RES_WatHeat!AA$2:AA$999,RES_WatHeat!$B$2:$B$999,"="&amp;$A$2,RES_WatHeat!$C$2:$C$999,"="&amp;'INS-UPD WaterHeat'!$A25),"")</f>
        <v>0.014271100719649101</v>
      </c>
      <c r="Y25" s="2">
        <f>IFERROR(AVERAGEIFS(RES_WatHeat!AB$2:AB$999,RES_WatHeat!$B$2:$B$999,"="&amp;$A$2,RES_WatHeat!$C$2:$C$999,"="&amp;'INS-UPD WaterHeat'!$A25),"")</f>
        <v>0.0124082488140676</v>
      </c>
      <c r="Z25" s="2">
        <f>IFERROR(AVERAGEIFS(RES_WatHeat!AC$2:AC$999,RES_WatHeat!$B$2:$B$999,"="&amp;$A$2,RES_WatHeat!$C$2:$C$999,"="&amp;'INS-UPD WaterHeat'!$A25),"")</f>
        <v>0.0250031533929112</v>
      </c>
      <c r="AA25" s="2">
        <f>IFERROR(AVERAGEIFS(RES_WatHeat!AD$2:AD$999,RES_WatHeat!$B$2:$B$999,"="&amp;$A$2,RES_WatHeat!$C$2:$C$999,"="&amp;'INS-UPD WaterHeat'!$A25),"")</f>
        <v>0.0244918687515253</v>
      </c>
      <c r="AB25" s="2">
        <f>IFERROR(AVERAGEIFS(RES_WatHeat!AE$2:AE$999,RES_WatHeat!$B$2:$B$999,"="&amp;$A$2,RES_WatHeat!$C$2:$C$999,"="&amp;'INS-UPD WaterHeat'!$A25),"")</f>
        <v>0.019633719658858101</v>
      </c>
      <c r="AC25" s="2">
        <f>IFERROR(AVERAGEIFS(RES_WatHeat!AF$2:AF$999,RES_WatHeat!$B$2:$B$999,"="&amp;$A$2,RES_WatHeat!$C$2:$C$999,"="&amp;'INS-UPD WaterHeat'!$A25),"")</f>
        <v>0.0099620396611548607</v>
      </c>
      <c r="AD25" s="2">
        <f>IFERROR(AVERAGEIFS(RES_WatHeat!AG$2:AG$999,RES_WatHeat!$B$2:$B$999,"="&amp;$A$2,RES_WatHeat!$C$2:$C$999,"="&amp;'INS-UPD WaterHeat'!$A25),"")</f>
        <v>0.017074147964365401</v>
      </c>
      <c r="AE25" s="2">
        <f>IFERROR(AVERAGEIFS(RES_WatHeat!AH$2:AH$999,RES_WatHeat!$B$2:$B$999,"="&amp;$A$2,RES_WatHeat!$C$2:$C$999,"="&amp;'INS-UPD WaterHeat'!$A25),"")</f>
        <v>0.017815470849275001</v>
      </c>
      <c r="AF25" s="2">
        <f>IFERROR(AVERAGEIFS(RES_WatHeat!AI$2:AI$999,RES_WatHeat!$B$2:$B$999,"="&amp;$A$2,RES_WatHeat!$C$2:$C$999,"="&amp;'INS-UPD WaterHeat'!$A25),"")</f>
        <v>0.0239535670191184</v>
      </c>
      <c r="AG25" s="2">
        <f>IFERROR(AVERAGEIFS(RES_WatHeat!AJ$2:AJ$999,RES_WatHeat!$B$2:$B$999,"="&amp;$A$2,RES_WatHeat!$C$2:$C$999,"="&amp;'INS-UPD WaterHeat'!$A25),"")</f>
        <v>0.017648292330328798</v>
      </c>
      <c r="AH25" s="2">
        <f>IFERROR(AVERAGEIFS(RES_WatHeat!AK$2:AK$999,RES_WatHeat!$B$2:$B$999,"="&amp;$A$2,RES_WatHeat!$C$2:$C$999,"="&amp;'INS-UPD WaterHeat'!$A25),"")</f>
        <v>0.0145692738759457</v>
      </c>
      <c r="AI25" s="2">
        <f>IFERROR(AVERAGEIFS(RES_WatHeat!AL$2:AL$999,RES_WatHeat!$B$2:$B$999,"="&amp;$A$2,RES_WatHeat!$C$2:$C$999,"="&amp;'INS-UPD WaterHeat'!$A25),"")</f>
        <v>0.010716070814948599</v>
      </c>
      <c r="AJ25" s="2">
        <f>IFERROR(AVERAGEIFS(RES_WatHeat!AM$2:AM$999,RES_WatHeat!$B$2:$B$999,"="&amp;$A$2,RES_WatHeat!$C$2:$C$999,"="&amp;'INS-UPD WaterHeat'!$A25),"")</f>
        <v>0.0214967077250043</v>
      </c>
      <c r="AK25" s="2">
        <f>IFERROR(AVERAGEIFS(RES_WatHeat!AN$2:AN$999,RES_WatHeat!$B$2:$B$999,"="&amp;$A$2,RES_WatHeat!$C$2:$C$999,"="&amp;'INS-UPD WaterHeat'!$A25),"")</f>
        <v>0.035834053241728503</v>
      </c>
      <c r="AL25" s="2">
        <f>IFERROR(AVERAGEIFS(RES_WatHeat!AO$2:AO$999,RES_WatHeat!$B$2:$B$999,"="&amp;$A$2,RES_WatHeat!$C$2:$C$999,"="&amp;'INS-UPD WaterHeat'!$A25),"")</f>
        <v>0.0213420821544534</v>
      </c>
      <c r="AM25" s="2">
        <f>IFERROR(AVERAGEIFS(RES_WatHeat!AP$2:AP$999,RES_WatHeat!$B$2:$B$999,"="&amp;$A$2,RES_WatHeat!$C$2:$C$999,"="&amp;'INS-UPD WaterHeat'!$A25),"")</f>
        <v>0.034456590413286102</v>
      </c>
      <c r="AN25" s="2">
        <f>IFERROR(AVERAGEIFS(RES_WatHeat!AQ$2:AQ$999,RES_WatHeat!$B$2:$B$999,"="&amp;$A$2,RES_WatHeat!$C$2:$C$999,"="&amp;'INS-UPD WaterHeat'!$A25),"")</f>
        <v>0.0143012225370781</v>
      </c>
      <c r="AO25" s="2">
        <f>IFERROR(AVERAGEIFS(RES_WatHeat!AR$2:AR$999,RES_WatHeat!$B$2:$B$999,"="&amp;$A$2,RES_WatHeat!$C$2:$C$999,"="&amp;'INS-UPD WaterHeat'!$A25),"")</f>
        <v>0.0161092470203896</v>
      </c>
      <c r="AP25" s="2">
        <f>IFERROR(AVERAGEIFS(RES_WatHeat!AS$2:AS$999,RES_WatHeat!$B$2:$B$999,"="&amp;$A$2,RES_WatHeat!$C$2:$C$999,"="&amp;'INS-UPD WaterHeat'!$A25),"")</f>
        <v>0.021612122934021798</v>
      </c>
      <c r="AQ25" s="2">
        <f>IFERROR(AVERAGEIFS(RES_WatHeat!AT$2:AT$999,RES_WatHeat!$B$2:$B$999,"="&amp;$A$2,RES_WatHeat!$C$2:$C$999,"="&amp;'INS-UPD WaterHeat'!$A25),"")</f>
        <v>0.028772248577818401</v>
      </c>
      <c r="AR25" s="2">
        <f>IFERROR(AVERAGEIFS(RES_WatHeat!AU$2:AU$999,RES_WatHeat!$B$2:$B$999,"="&amp;$A$2,RES_WatHeat!$C$2:$C$999,"="&amp;'INS-UPD WaterHeat'!$A25),"")</f>
        <v>0.021840342652476599</v>
      </c>
      <c r="AS25" s="41">
        <f>IFERROR(AVERAGEIFS(RES_WatHeat!AV$2:AV$999,RES_WatHeat!$B$2:$B$999,"="&amp;$A$2,RES_WatHeat!$C$2:$C$999,"="&amp;'INS-UPD WaterHeat'!$A25),"")</f>
        <v>0.021419365704021899</v>
      </c>
    </row>
    <row r="26" spans="1:45" ht="15">
      <c r="A26" s="3" t="s">
        <v>83</v>
      </c>
      <c r="C26" t="s">
        <v>52</v>
      </c>
      <c r="D26" t="str">
        <f t="shared" si="3"/>
        <v>R_ES-WH-SD_OI*</v>
      </c>
      <c r="H26" s="40">
        <f t="shared" si="1"/>
        <v>0.020905712537744037</v>
      </c>
      <c r="I26" s="2">
        <f>IFERROR(AVERAGEIFS(RES_WatHeat!L$2:L$999,RES_WatHeat!$B$2:$B$999,"="&amp;$A$2,RES_WatHeat!$C$2:$C$999,"="&amp;'INS-UPD WaterHeat'!$A26),"")</f>
        <v>0.024815579244214198</v>
      </c>
      <c r="J26" s="2">
        <f>IFERROR(AVERAGEIFS(RES_WatHeat!M$2:M$999,RES_WatHeat!$B$2:$B$999,"="&amp;$A$2,RES_WatHeat!$C$2:$C$999,"="&amp;'INS-UPD WaterHeat'!$A26),"")</f>
        <v>0.026163789907819601</v>
      </c>
      <c r="K26" s="2">
        <f>IFERROR(AVERAGEIFS(RES_WatHeat!N$2:N$999,RES_WatHeat!$B$2:$B$999,"="&amp;$A$2,RES_WatHeat!$C$2:$C$999,"="&amp;'INS-UPD WaterHeat'!$A26),"")</f>
        <v>0.0130924133953164</v>
      </c>
      <c r="L26" s="2">
        <f>IFERROR(AVERAGEIFS(RES_WatHeat!O$2:O$999,RES_WatHeat!$B$2:$B$999,"="&amp;$A$2,RES_WatHeat!$C$2:$C$999,"="&amp;'INS-UPD WaterHeat'!$A26),"")</f>
        <v>0.022154431458604799</v>
      </c>
      <c r="M26" s="2">
        <f>IFERROR(AVERAGEIFS(RES_WatHeat!P$2:P$999,RES_WatHeat!$B$2:$B$999,"="&amp;$A$2,RES_WatHeat!$C$2:$C$999,"="&amp;'INS-UPD WaterHeat'!$A26),"")</f>
        <v>0.017639247628040599</v>
      </c>
      <c r="N26" s="2">
        <f>IFERROR(AVERAGEIFS(RES_WatHeat!Q$2:Q$999,RES_WatHeat!$B$2:$B$999,"="&amp;$A$2,RES_WatHeat!$C$2:$C$999,"="&amp;'INS-UPD WaterHeat'!$A26),"")</f>
        <v>0.019789784314238699</v>
      </c>
      <c r="O26" s="2">
        <f>IFERROR(AVERAGEIFS(RES_WatHeat!R$2:R$999,RES_WatHeat!$B$2:$B$999,"="&amp;$A$2,RES_WatHeat!$C$2:$C$999,"="&amp;'INS-UPD WaterHeat'!$A26),"")</f>
        <v>0.022016615011670002</v>
      </c>
      <c r="P26" s="2">
        <f>IFERROR(AVERAGEIFS(RES_WatHeat!S$2:S$999,RES_WatHeat!$B$2:$B$999,"="&amp;$A$2,RES_WatHeat!$C$2:$C$999,"="&amp;'INS-UPD WaterHeat'!$A26),"")</f>
        <v>0.016570421792852699</v>
      </c>
      <c r="Q26" s="2">
        <f>IFERROR(AVERAGEIFS(RES_WatHeat!T$2:T$999,RES_WatHeat!$B$2:$B$999,"="&amp;$A$2,RES_WatHeat!$C$2:$C$999,"="&amp;'INS-UPD WaterHeat'!$A26),"")</f>
        <v>0.021416335886684599</v>
      </c>
      <c r="R26" s="2">
        <f>IFERROR(AVERAGEIFS(RES_WatHeat!U$2:U$999,RES_WatHeat!$B$2:$B$999,"="&amp;$A$2,RES_WatHeat!$C$2:$C$999,"="&amp;'INS-UPD WaterHeat'!$A26),"")</f>
        <v>0.022609526683434598</v>
      </c>
      <c r="S26" s="2">
        <f>IFERROR(AVERAGEIFS(RES_WatHeat!V$2:V$999,RES_WatHeat!$B$2:$B$999,"="&amp;$A$2,RES_WatHeat!$C$2:$C$999,"="&amp;'INS-UPD WaterHeat'!$A26),"")</f>
        <v>0.020783504914615301</v>
      </c>
      <c r="T26" s="2">
        <f>IFERROR(AVERAGEIFS(RES_WatHeat!W$2:W$999,RES_WatHeat!$B$2:$B$999,"="&amp;$A$2,RES_WatHeat!$C$2:$C$999,"="&amp;'INS-UPD WaterHeat'!$A26),"")</f>
        <v>0.024236124350948501</v>
      </c>
      <c r="U26" s="2">
        <f>IFERROR(AVERAGEIFS(RES_WatHeat!X$2:X$999,RES_WatHeat!$B$2:$B$999,"="&amp;$A$2,RES_WatHeat!$C$2:$C$999,"="&amp;'INS-UPD WaterHeat'!$A26),"")</f>
        <v>0.027929540173183401</v>
      </c>
      <c r="V26" s="2">
        <f>IFERROR(AVERAGEIFS(RES_WatHeat!Y$2:Y$999,RES_WatHeat!$B$2:$B$999,"="&amp;$A$2,RES_WatHeat!$C$2:$C$999,"="&amp;'INS-UPD WaterHeat'!$A26),"")</f>
        <v>0.0264163002032991</v>
      </c>
      <c r="W26" s="2">
        <f>IFERROR(AVERAGEIFS(RES_WatHeat!Z$2:Z$999,RES_WatHeat!$B$2:$B$999,"="&amp;$A$2,RES_WatHeat!$C$2:$C$999,"="&amp;'INS-UPD WaterHeat'!$A26),"")</f>
        <v>0.023146812119180099</v>
      </c>
      <c r="X26" s="2">
        <f>IFERROR(AVERAGEIFS(RES_WatHeat!AA$2:AA$999,RES_WatHeat!$B$2:$B$999,"="&amp;$A$2,RES_WatHeat!$C$2:$C$999,"="&amp;'INS-UPD WaterHeat'!$A26),"")</f>
        <v>0.014271100719649101</v>
      </c>
      <c r="Y26" s="2">
        <f>IFERROR(AVERAGEIFS(RES_WatHeat!AB$2:AB$999,RES_WatHeat!$B$2:$B$999,"="&amp;$A$2,RES_WatHeat!$C$2:$C$999,"="&amp;'INS-UPD WaterHeat'!$A26),"")</f>
        <v>0.0124082488140676</v>
      </c>
      <c r="Z26" s="2">
        <f>IFERROR(AVERAGEIFS(RES_WatHeat!AC$2:AC$999,RES_WatHeat!$B$2:$B$999,"="&amp;$A$2,RES_WatHeat!$C$2:$C$999,"="&amp;'INS-UPD WaterHeat'!$A26),"")</f>
        <v>0.0250031533929112</v>
      </c>
      <c r="AA26" s="2">
        <f>IFERROR(AVERAGEIFS(RES_WatHeat!AD$2:AD$999,RES_WatHeat!$B$2:$B$999,"="&amp;$A$2,RES_WatHeat!$C$2:$C$999,"="&amp;'INS-UPD WaterHeat'!$A26),"")</f>
        <v>0.0244918687515253</v>
      </c>
      <c r="AB26" s="2">
        <f>IFERROR(AVERAGEIFS(RES_WatHeat!AE$2:AE$999,RES_WatHeat!$B$2:$B$999,"="&amp;$A$2,RES_WatHeat!$C$2:$C$999,"="&amp;'INS-UPD WaterHeat'!$A26),"")</f>
        <v>0.019633719658858101</v>
      </c>
      <c r="AC26" s="2">
        <f>IFERROR(AVERAGEIFS(RES_WatHeat!AF$2:AF$999,RES_WatHeat!$B$2:$B$999,"="&amp;$A$2,RES_WatHeat!$C$2:$C$999,"="&amp;'INS-UPD WaterHeat'!$A26),"")</f>
        <v>0.0099620396611548607</v>
      </c>
      <c r="AD26" s="2">
        <f>IFERROR(AVERAGEIFS(RES_WatHeat!AG$2:AG$999,RES_WatHeat!$B$2:$B$999,"="&amp;$A$2,RES_WatHeat!$C$2:$C$999,"="&amp;'INS-UPD WaterHeat'!$A26),"")</f>
        <v>0.017074147964365401</v>
      </c>
      <c r="AE26" s="2">
        <f>IFERROR(AVERAGEIFS(RES_WatHeat!AH$2:AH$999,RES_WatHeat!$B$2:$B$999,"="&amp;$A$2,RES_WatHeat!$C$2:$C$999,"="&amp;'INS-UPD WaterHeat'!$A26),"")</f>
        <v>0.017815470849275001</v>
      </c>
      <c r="AF26" s="2">
        <f>IFERROR(AVERAGEIFS(RES_WatHeat!AI$2:AI$999,RES_WatHeat!$B$2:$B$999,"="&amp;$A$2,RES_WatHeat!$C$2:$C$999,"="&amp;'INS-UPD WaterHeat'!$A26),"")</f>
        <v>0.0239535670191184</v>
      </c>
      <c r="AG26" s="2">
        <f>IFERROR(AVERAGEIFS(RES_WatHeat!AJ$2:AJ$999,RES_WatHeat!$B$2:$B$999,"="&amp;$A$2,RES_WatHeat!$C$2:$C$999,"="&amp;'INS-UPD WaterHeat'!$A26),"")</f>
        <v>0.017648292330328798</v>
      </c>
      <c r="AH26" s="2">
        <f>IFERROR(AVERAGEIFS(RES_WatHeat!AK$2:AK$999,RES_WatHeat!$B$2:$B$999,"="&amp;$A$2,RES_WatHeat!$C$2:$C$999,"="&amp;'INS-UPD WaterHeat'!$A26),"")</f>
        <v>0.0145692738759457</v>
      </c>
      <c r="AI26" s="2">
        <f>IFERROR(AVERAGEIFS(RES_WatHeat!AL$2:AL$999,RES_WatHeat!$B$2:$B$999,"="&amp;$A$2,RES_WatHeat!$C$2:$C$999,"="&amp;'INS-UPD WaterHeat'!$A26),"")</f>
        <v>0.010716070814948599</v>
      </c>
      <c r="AJ26" s="2">
        <f>IFERROR(AVERAGEIFS(RES_WatHeat!AM$2:AM$999,RES_WatHeat!$B$2:$B$999,"="&amp;$A$2,RES_WatHeat!$C$2:$C$999,"="&amp;'INS-UPD WaterHeat'!$A26),"")</f>
        <v>0.0214967077250043</v>
      </c>
      <c r="AK26" s="2">
        <f>IFERROR(AVERAGEIFS(RES_WatHeat!AN$2:AN$999,RES_WatHeat!$B$2:$B$999,"="&amp;$A$2,RES_WatHeat!$C$2:$C$999,"="&amp;'INS-UPD WaterHeat'!$A26),"")</f>
        <v>0.035834053241728503</v>
      </c>
      <c r="AL26" s="2">
        <f>IFERROR(AVERAGEIFS(RES_WatHeat!AO$2:AO$999,RES_WatHeat!$B$2:$B$999,"="&amp;$A$2,RES_WatHeat!$C$2:$C$999,"="&amp;'INS-UPD WaterHeat'!$A26),"")</f>
        <v>0.0213420821544534</v>
      </c>
      <c r="AM26" s="2">
        <f>IFERROR(AVERAGEIFS(RES_WatHeat!AP$2:AP$999,RES_WatHeat!$B$2:$B$999,"="&amp;$A$2,RES_WatHeat!$C$2:$C$999,"="&amp;'INS-UPD WaterHeat'!$A26),"")</f>
        <v>0.034456590413286102</v>
      </c>
      <c r="AN26" s="2">
        <f>IFERROR(AVERAGEIFS(RES_WatHeat!AQ$2:AQ$999,RES_WatHeat!$B$2:$B$999,"="&amp;$A$2,RES_WatHeat!$C$2:$C$999,"="&amp;'INS-UPD WaterHeat'!$A26),"")</f>
        <v>0.0143012225370781</v>
      </c>
      <c r="AO26" s="2">
        <f>IFERROR(AVERAGEIFS(RES_WatHeat!AR$2:AR$999,RES_WatHeat!$B$2:$B$999,"="&amp;$A$2,RES_WatHeat!$C$2:$C$999,"="&amp;'INS-UPD WaterHeat'!$A26),"")</f>
        <v>0.0161092470203896</v>
      </c>
      <c r="AP26" s="2">
        <f>IFERROR(AVERAGEIFS(RES_WatHeat!AS$2:AS$999,RES_WatHeat!$B$2:$B$999,"="&amp;$A$2,RES_WatHeat!$C$2:$C$999,"="&amp;'INS-UPD WaterHeat'!$A26),"")</f>
        <v>0.021612122934021798</v>
      </c>
      <c r="AQ26" s="2">
        <f>IFERROR(AVERAGEIFS(RES_WatHeat!AT$2:AT$999,RES_WatHeat!$B$2:$B$999,"="&amp;$A$2,RES_WatHeat!$C$2:$C$999,"="&amp;'INS-UPD WaterHeat'!$A26),"")</f>
        <v>0.028772248577818401</v>
      </c>
      <c r="AR26" s="2">
        <f>IFERROR(AVERAGEIFS(RES_WatHeat!AU$2:AU$999,RES_WatHeat!$B$2:$B$999,"="&amp;$A$2,RES_WatHeat!$C$2:$C$999,"="&amp;'INS-UPD WaterHeat'!$A26),"")</f>
        <v>0.021840342652476599</v>
      </c>
      <c r="AS26" s="41">
        <f>IFERROR(AVERAGEIFS(RES_WatHeat!AV$2:AV$999,RES_WatHeat!$B$2:$B$999,"="&amp;$A$2,RES_WatHeat!$C$2:$C$999,"="&amp;'INS-UPD WaterHeat'!$A26),"")</f>
        <v>0.021419365704021899</v>
      </c>
    </row>
    <row r="27" spans="1:45" ht="15">
      <c r="A27" s="3" t="s">
        <v>84</v>
      </c>
      <c r="C27" t="s">
        <v>52</v>
      </c>
      <c r="D27" t="str">
        <f t="shared" si="3"/>
        <v>R_ES-WH-SD_B*</v>
      </c>
      <c r="H27" s="40">
        <f>AVERAGE(I27:AV27)</f>
        <v>0.020905712537744037</v>
      </c>
      <c r="I27" s="2">
        <f>IFERROR(AVERAGEIFS(RES_WatHeat!L$2:L$999,RES_WatHeat!$B$2:$B$999,"="&amp;$A$2,RES_WatHeat!$C$2:$C$999,"="&amp;'INS-UPD WaterHeat'!$A27),"")</f>
        <v>0.024815579244214198</v>
      </c>
      <c r="J27" s="2">
        <f>IFERROR(AVERAGEIFS(RES_WatHeat!M$2:M$999,RES_WatHeat!$B$2:$B$999,"="&amp;$A$2,RES_WatHeat!$C$2:$C$999,"="&amp;'INS-UPD WaterHeat'!$A27),"")</f>
        <v>0.026163789907819601</v>
      </c>
      <c r="K27" s="2">
        <f>IFERROR(AVERAGEIFS(RES_WatHeat!N$2:N$999,RES_WatHeat!$B$2:$B$999,"="&amp;$A$2,RES_WatHeat!$C$2:$C$999,"="&amp;'INS-UPD WaterHeat'!$A27),"")</f>
        <v>0.0130924133953164</v>
      </c>
      <c r="L27" s="2">
        <f>IFERROR(AVERAGEIFS(RES_WatHeat!O$2:O$999,RES_WatHeat!$B$2:$B$999,"="&amp;$A$2,RES_WatHeat!$C$2:$C$999,"="&amp;'INS-UPD WaterHeat'!$A27),"")</f>
        <v>0.022154431458604799</v>
      </c>
      <c r="M27" s="2">
        <f>IFERROR(AVERAGEIFS(RES_WatHeat!P$2:P$999,RES_WatHeat!$B$2:$B$999,"="&amp;$A$2,RES_WatHeat!$C$2:$C$999,"="&amp;'INS-UPD WaterHeat'!$A27),"")</f>
        <v>0.017639247628040599</v>
      </c>
      <c r="N27" s="2">
        <f>IFERROR(AVERAGEIFS(RES_WatHeat!Q$2:Q$999,RES_WatHeat!$B$2:$B$999,"="&amp;$A$2,RES_WatHeat!$C$2:$C$999,"="&amp;'INS-UPD WaterHeat'!$A27),"")</f>
        <v>0.019789784314238699</v>
      </c>
      <c r="O27" s="2">
        <f>IFERROR(AVERAGEIFS(RES_WatHeat!R$2:R$999,RES_WatHeat!$B$2:$B$999,"="&amp;$A$2,RES_WatHeat!$C$2:$C$999,"="&amp;'INS-UPD WaterHeat'!$A27),"")</f>
        <v>0.022016615011670002</v>
      </c>
      <c r="P27" s="2">
        <f>IFERROR(AVERAGEIFS(RES_WatHeat!S$2:S$999,RES_WatHeat!$B$2:$B$999,"="&amp;$A$2,RES_WatHeat!$C$2:$C$999,"="&amp;'INS-UPD WaterHeat'!$A27),"")</f>
        <v>0.016570421792852699</v>
      </c>
      <c r="Q27" s="2">
        <f>IFERROR(AVERAGEIFS(RES_WatHeat!T$2:T$999,RES_WatHeat!$B$2:$B$999,"="&amp;$A$2,RES_WatHeat!$C$2:$C$999,"="&amp;'INS-UPD WaterHeat'!$A27),"")</f>
        <v>0.021416335886684599</v>
      </c>
      <c r="R27" s="2">
        <f>IFERROR(AVERAGEIFS(RES_WatHeat!U$2:U$999,RES_WatHeat!$B$2:$B$999,"="&amp;$A$2,RES_WatHeat!$C$2:$C$999,"="&amp;'INS-UPD WaterHeat'!$A27),"")</f>
        <v>0.022609526683434598</v>
      </c>
      <c r="S27" s="2">
        <f>IFERROR(AVERAGEIFS(RES_WatHeat!V$2:V$999,RES_WatHeat!$B$2:$B$999,"="&amp;$A$2,RES_WatHeat!$C$2:$C$999,"="&amp;'INS-UPD WaterHeat'!$A27),"")</f>
        <v>0.020783504914615301</v>
      </c>
      <c r="T27" s="2">
        <f>IFERROR(AVERAGEIFS(RES_WatHeat!W$2:W$999,RES_WatHeat!$B$2:$B$999,"="&amp;$A$2,RES_WatHeat!$C$2:$C$999,"="&amp;'INS-UPD WaterHeat'!$A27),"")</f>
        <v>0.024236124350948501</v>
      </c>
      <c r="U27" s="2">
        <f>IFERROR(AVERAGEIFS(RES_WatHeat!X$2:X$999,RES_WatHeat!$B$2:$B$999,"="&amp;$A$2,RES_WatHeat!$C$2:$C$999,"="&amp;'INS-UPD WaterHeat'!$A27),"")</f>
        <v>0.027929540173183401</v>
      </c>
      <c r="V27" s="2">
        <f>IFERROR(AVERAGEIFS(RES_WatHeat!Y$2:Y$999,RES_WatHeat!$B$2:$B$999,"="&amp;$A$2,RES_WatHeat!$C$2:$C$999,"="&amp;'INS-UPD WaterHeat'!$A27),"")</f>
        <v>0.0264163002032991</v>
      </c>
      <c r="W27" s="2">
        <f>IFERROR(AVERAGEIFS(RES_WatHeat!Z$2:Z$999,RES_WatHeat!$B$2:$B$999,"="&amp;$A$2,RES_WatHeat!$C$2:$C$999,"="&amp;'INS-UPD WaterHeat'!$A27),"")</f>
        <v>0.023146812119180099</v>
      </c>
      <c r="X27" s="2">
        <f>IFERROR(AVERAGEIFS(RES_WatHeat!AA$2:AA$999,RES_WatHeat!$B$2:$B$999,"="&amp;$A$2,RES_WatHeat!$C$2:$C$999,"="&amp;'INS-UPD WaterHeat'!$A27),"")</f>
        <v>0.014271100719649101</v>
      </c>
      <c r="Y27" s="2">
        <f>IFERROR(AVERAGEIFS(RES_WatHeat!AB$2:AB$999,RES_WatHeat!$B$2:$B$999,"="&amp;$A$2,RES_WatHeat!$C$2:$C$999,"="&amp;'INS-UPD WaterHeat'!$A27),"")</f>
        <v>0.0124082488140676</v>
      </c>
      <c r="Z27" s="2">
        <f>IFERROR(AVERAGEIFS(RES_WatHeat!AC$2:AC$999,RES_WatHeat!$B$2:$B$999,"="&amp;$A$2,RES_WatHeat!$C$2:$C$999,"="&amp;'INS-UPD WaterHeat'!$A27),"")</f>
        <v>0.0250031533929112</v>
      </c>
      <c r="AA27" s="2">
        <f>IFERROR(AVERAGEIFS(RES_WatHeat!AD$2:AD$999,RES_WatHeat!$B$2:$B$999,"="&amp;$A$2,RES_WatHeat!$C$2:$C$999,"="&amp;'INS-UPD WaterHeat'!$A27),"")</f>
        <v>0.0244918687515253</v>
      </c>
      <c r="AB27" s="2">
        <f>IFERROR(AVERAGEIFS(RES_WatHeat!AE$2:AE$999,RES_WatHeat!$B$2:$B$999,"="&amp;$A$2,RES_WatHeat!$C$2:$C$999,"="&amp;'INS-UPD WaterHeat'!$A27),"")</f>
        <v>0.019633719658858101</v>
      </c>
      <c r="AC27" s="2">
        <f>IFERROR(AVERAGEIFS(RES_WatHeat!AF$2:AF$999,RES_WatHeat!$B$2:$B$999,"="&amp;$A$2,RES_WatHeat!$C$2:$C$999,"="&amp;'INS-UPD WaterHeat'!$A27),"")</f>
        <v>0.0099620396611548607</v>
      </c>
      <c r="AD27" s="2">
        <f>IFERROR(AVERAGEIFS(RES_WatHeat!AG$2:AG$999,RES_WatHeat!$B$2:$B$999,"="&amp;$A$2,RES_WatHeat!$C$2:$C$999,"="&amp;'INS-UPD WaterHeat'!$A27),"")</f>
        <v>0.017074147964365401</v>
      </c>
      <c r="AE27" s="2">
        <f>IFERROR(AVERAGEIFS(RES_WatHeat!AH$2:AH$999,RES_WatHeat!$B$2:$B$999,"="&amp;$A$2,RES_WatHeat!$C$2:$C$999,"="&amp;'INS-UPD WaterHeat'!$A27),"")</f>
        <v>0.017815470849275001</v>
      </c>
      <c r="AF27" s="2">
        <f>IFERROR(AVERAGEIFS(RES_WatHeat!AI$2:AI$999,RES_WatHeat!$B$2:$B$999,"="&amp;$A$2,RES_WatHeat!$C$2:$C$999,"="&amp;'INS-UPD WaterHeat'!$A27),"")</f>
        <v>0.0239535670191184</v>
      </c>
      <c r="AG27" s="2">
        <f>IFERROR(AVERAGEIFS(RES_WatHeat!AJ$2:AJ$999,RES_WatHeat!$B$2:$B$999,"="&amp;$A$2,RES_WatHeat!$C$2:$C$999,"="&amp;'INS-UPD WaterHeat'!$A27),"")</f>
        <v>0.017648292330328798</v>
      </c>
      <c r="AH27" s="2">
        <f>IFERROR(AVERAGEIFS(RES_WatHeat!AK$2:AK$999,RES_WatHeat!$B$2:$B$999,"="&amp;$A$2,RES_WatHeat!$C$2:$C$999,"="&amp;'INS-UPD WaterHeat'!$A27),"")</f>
        <v>0.0145692738759457</v>
      </c>
      <c r="AI27" s="2">
        <f>IFERROR(AVERAGEIFS(RES_WatHeat!AL$2:AL$999,RES_WatHeat!$B$2:$B$999,"="&amp;$A$2,RES_WatHeat!$C$2:$C$999,"="&amp;'INS-UPD WaterHeat'!$A27),"")</f>
        <v>0.010716070814948599</v>
      </c>
      <c r="AJ27" s="2">
        <f>IFERROR(AVERAGEIFS(RES_WatHeat!AM$2:AM$999,RES_WatHeat!$B$2:$B$999,"="&amp;$A$2,RES_WatHeat!$C$2:$C$999,"="&amp;'INS-UPD WaterHeat'!$A27),"")</f>
        <v>0.0214967077250043</v>
      </c>
      <c r="AK27" s="2">
        <f>IFERROR(AVERAGEIFS(RES_WatHeat!AN$2:AN$999,RES_WatHeat!$B$2:$B$999,"="&amp;$A$2,RES_WatHeat!$C$2:$C$999,"="&amp;'INS-UPD WaterHeat'!$A27),"")</f>
        <v>0.035834053241728503</v>
      </c>
      <c r="AL27" s="2">
        <f>IFERROR(AVERAGEIFS(RES_WatHeat!AO$2:AO$999,RES_WatHeat!$B$2:$B$999,"="&amp;$A$2,RES_WatHeat!$C$2:$C$999,"="&amp;'INS-UPD WaterHeat'!$A27),"")</f>
        <v>0.0213420821544534</v>
      </c>
      <c r="AM27" s="2">
        <f>IFERROR(AVERAGEIFS(RES_WatHeat!AP$2:AP$999,RES_WatHeat!$B$2:$B$999,"="&amp;$A$2,RES_WatHeat!$C$2:$C$999,"="&amp;'INS-UPD WaterHeat'!$A27),"")</f>
        <v>0.034456590413286102</v>
      </c>
      <c r="AN27" s="2">
        <f>IFERROR(AVERAGEIFS(RES_WatHeat!AQ$2:AQ$999,RES_WatHeat!$B$2:$B$999,"="&amp;$A$2,RES_WatHeat!$C$2:$C$999,"="&amp;'INS-UPD WaterHeat'!$A27),"")</f>
        <v>0.0143012225370781</v>
      </c>
      <c r="AO27" s="2">
        <f>IFERROR(AVERAGEIFS(RES_WatHeat!AR$2:AR$999,RES_WatHeat!$B$2:$B$999,"="&amp;$A$2,RES_WatHeat!$C$2:$C$999,"="&amp;'INS-UPD WaterHeat'!$A27),"")</f>
        <v>0.0161092470203896</v>
      </c>
      <c r="AP27" s="2">
        <f>IFERROR(AVERAGEIFS(RES_WatHeat!AS$2:AS$999,RES_WatHeat!$B$2:$B$999,"="&amp;$A$2,RES_WatHeat!$C$2:$C$999,"="&amp;'INS-UPD WaterHeat'!$A27),"")</f>
        <v>0.021612122934021798</v>
      </c>
      <c r="AQ27" s="2">
        <f>IFERROR(AVERAGEIFS(RES_WatHeat!AT$2:AT$999,RES_WatHeat!$B$2:$B$999,"="&amp;$A$2,RES_WatHeat!$C$2:$C$999,"="&amp;'INS-UPD WaterHeat'!$A27),"")</f>
        <v>0.028772248577818401</v>
      </c>
      <c r="AR27" s="2">
        <f>IFERROR(AVERAGEIFS(RES_WatHeat!AU$2:AU$999,RES_WatHeat!$B$2:$B$999,"="&amp;$A$2,RES_WatHeat!$C$2:$C$999,"="&amp;'INS-UPD WaterHeat'!$A27),"")</f>
        <v>0.021840342652476599</v>
      </c>
      <c r="AS27" s="41">
        <f>IFERROR(AVERAGEIFS(RES_WatHeat!AV$2:AV$999,RES_WatHeat!$B$2:$B$999,"="&amp;$A$2,RES_WatHeat!$C$2:$C$999,"="&amp;'INS-UPD WaterHeat'!$A27),"")</f>
        <v>0.021419365704021899</v>
      </c>
    </row>
    <row r="28" spans="1:45" ht="15">
      <c r="A28" s="3" t="s">
        <v>85</v>
      </c>
      <c r="C28" t="s">
        <v>52</v>
      </c>
      <c r="D28" t="str">
        <f t="shared" si="3"/>
        <v>R_ES-WH-SD_CO*</v>
      </c>
      <c r="H28" s="40">
        <f>AVERAGE(I28:AV28)</f>
        <v>0.020905712537744037</v>
      </c>
      <c r="I28" s="2">
        <f>IFERROR(AVERAGEIFS(RES_WatHeat!L$2:L$999,RES_WatHeat!$B$2:$B$999,"="&amp;$A$2,RES_WatHeat!$C$2:$C$999,"="&amp;'INS-UPD WaterHeat'!$A28),"")</f>
        <v>0.024815579244214198</v>
      </c>
      <c r="J28" s="2">
        <f>IFERROR(AVERAGEIFS(RES_WatHeat!M$2:M$999,RES_WatHeat!$B$2:$B$999,"="&amp;$A$2,RES_WatHeat!$C$2:$C$999,"="&amp;'INS-UPD WaterHeat'!$A28),"")</f>
        <v>0.026163789907819601</v>
      </c>
      <c r="K28" s="2">
        <f>IFERROR(AVERAGEIFS(RES_WatHeat!N$2:N$999,RES_WatHeat!$B$2:$B$999,"="&amp;$A$2,RES_WatHeat!$C$2:$C$999,"="&amp;'INS-UPD WaterHeat'!$A28),"")</f>
        <v>0.0130924133953164</v>
      </c>
      <c r="L28" s="2">
        <f>IFERROR(AVERAGEIFS(RES_WatHeat!O$2:O$999,RES_WatHeat!$B$2:$B$999,"="&amp;$A$2,RES_WatHeat!$C$2:$C$999,"="&amp;'INS-UPD WaterHeat'!$A28),"")</f>
        <v>0.022154431458604799</v>
      </c>
      <c r="M28" s="2">
        <f>IFERROR(AVERAGEIFS(RES_WatHeat!P$2:P$999,RES_WatHeat!$B$2:$B$999,"="&amp;$A$2,RES_WatHeat!$C$2:$C$999,"="&amp;'INS-UPD WaterHeat'!$A28),"")</f>
        <v>0.017639247628040599</v>
      </c>
      <c r="N28" s="2">
        <f>IFERROR(AVERAGEIFS(RES_WatHeat!Q$2:Q$999,RES_WatHeat!$B$2:$B$999,"="&amp;$A$2,RES_WatHeat!$C$2:$C$999,"="&amp;'INS-UPD WaterHeat'!$A28),"")</f>
        <v>0.019789784314238699</v>
      </c>
      <c r="O28" s="2">
        <f>IFERROR(AVERAGEIFS(RES_WatHeat!R$2:R$999,RES_WatHeat!$B$2:$B$999,"="&amp;$A$2,RES_WatHeat!$C$2:$C$999,"="&amp;'INS-UPD WaterHeat'!$A28),"")</f>
        <v>0.022016615011670002</v>
      </c>
      <c r="P28" s="2">
        <f>IFERROR(AVERAGEIFS(RES_WatHeat!S$2:S$999,RES_WatHeat!$B$2:$B$999,"="&amp;$A$2,RES_WatHeat!$C$2:$C$999,"="&amp;'INS-UPD WaterHeat'!$A28),"")</f>
        <v>0.016570421792852699</v>
      </c>
      <c r="Q28" s="2">
        <f>IFERROR(AVERAGEIFS(RES_WatHeat!T$2:T$999,RES_WatHeat!$B$2:$B$999,"="&amp;$A$2,RES_WatHeat!$C$2:$C$999,"="&amp;'INS-UPD WaterHeat'!$A28),"")</f>
        <v>0.021416335886684599</v>
      </c>
      <c r="R28" s="2">
        <f>IFERROR(AVERAGEIFS(RES_WatHeat!U$2:U$999,RES_WatHeat!$B$2:$B$999,"="&amp;$A$2,RES_WatHeat!$C$2:$C$999,"="&amp;'INS-UPD WaterHeat'!$A28),"")</f>
        <v>0.022609526683434598</v>
      </c>
      <c r="S28" s="2">
        <f>IFERROR(AVERAGEIFS(RES_WatHeat!V$2:V$999,RES_WatHeat!$B$2:$B$999,"="&amp;$A$2,RES_WatHeat!$C$2:$C$999,"="&amp;'INS-UPD WaterHeat'!$A28),"")</f>
        <v>0.020783504914615301</v>
      </c>
      <c r="T28" s="2">
        <f>IFERROR(AVERAGEIFS(RES_WatHeat!W$2:W$999,RES_WatHeat!$B$2:$B$999,"="&amp;$A$2,RES_WatHeat!$C$2:$C$999,"="&amp;'INS-UPD WaterHeat'!$A28),"")</f>
        <v>0.024236124350948501</v>
      </c>
      <c r="U28" s="2">
        <f>IFERROR(AVERAGEIFS(RES_WatHeat!X$2:X$999,RES_WatHeat!$B$2:$B$999,"="&amp;$A$2,RES_WatHeat!$C$2:$C$999,"="&amp;'INS-UPD WaterHeat'!$A28),"")</f>
        <v>0.027929540173183401</v>
      </c>
      <c r="V28" s="2">
        <f>IFERROR(AVERAGEIFS(RES_WatHeat!Y$2:Y$999,RES_WatHeat!$B$2:$B$999,"="&amp;$A$2,RES_WatHeat!$C$2:$C$999,"="&amp;'INS-UPD WaterHeat'!$A28),"")</f>
        <v>0.0264163002032991</v>
      </c>
      <c r="W28" s="2">
        <f>IFERROR(AVERAGEIFS(RES_WatHeat!Z$2:Z$999,RES_WatHeat!$B$2:$B$999,"="&amp;$A$2,RES_WatHeat!$C$2:$C$999,"="&amp;'INS-UPD WaterHeat'!$A28),"")</f>
        <v>0.023146812119180099</v>
      </c>
      <c r="X28" s="2">
        <f>IFERROR(AVERAGEIFS(RES_WatHeat!AA$2:AA$999,RES_WatHeat!$B$2:$B$999,"="&amp;$A$2,RES_WatHeat!$C$2:$C$999,"="&amp;'INS-UPD WaterHeat'!$A28),"")</f>
        <v>0.014271100719649101</v>
      </c>
      <c r="Y28" s="2">
        <f>IFERROR(AVERAGEIFS(RES_WatHeat!AB$2:AB$999,RES_WatHeat!$B$2:$B$999,"="&amp;$A$2,RES_WatHeat!$C$2:$C$999,"="&amp;'INS-UPD WaterHeat'!$A28),"")</f>
        <v>0.0124082488140676</v>
      </c>
      <c r="Z28" s="2">
        <f>IFERROR(AVERAGEIFS(RES_WatHeat!AC$2:AC$999,RES_WatHeat!$B$2:$B$999,"="&amp;$A$2,RES_WatHeat!$C$2:$C$999,"="&amp;'INS-UPD WaterHeat'!$A28),"")</f>
        <v>0.0250031533929112</v>
      </c>
      <c r="AA28" s="2">
        <f>IFERROR(AVERAGEIFS(RES_WatHeat!AD$2:AD$999,RES_WatHeat!$B$2:$B$999,"="&amp;$A$2,RES_WatHeat!$C$2:$C$999,"="&amp;'INS-UPD WaterHeat'!$A28),"")</f>
        <v>0.0244918687515253</v>
      </c>
      <c r="AB28" s="2">
        <f>IFERROR(AVERAGEIFS(RES_WatHeat!AE$2:AE$999,RES_WatHeat!$B$2:$B$999,"="&amp;$A$2,RES_WatHeat!$C$2:$C$999,"="&amp;'INS-UPD WaterHeat'!$A28),"")</f>
        <v>0.019633719658858101</v>
      </c>
      <c r="AC28" s="2">
        <f>IFERROR(AVERAGEIFS(RES_WatHeat!AF$2:AF$999,RES_WatHeat!$B$2:$B$999,"="&amp;$A$2,RES_WatHeat!$C$2:$C$999,"="&amp;'INS-UPD WaterHeat'!$A28),"")</f>
        <v>0.0099620396611548607</v>
      </c>
      <c r="AD28" s="2">
        <f>IFERROR(AVERAGEIFS(RES_WatHeat!AG$2:AG$999,RES_WatHeat!$B$2:$B$999,"="&amp;$A$2,RES_WatHeat!$C$2:$C$999,"="&amp;'INS-UPD WaterHeat'!$A28),"")</f>
        <v>0.017074147964365401</v>
      </c>
      <c r="AE28" s="2">
        <f>IFERROR(AVERAGEIFS(RES_WatHeat!AH$2:AH$999,RES_WatHeat!$B$2:$B$999,"="&amp;$A$2,RES_WatHeat!$C$2:$C$999,"="&amp;'INS-UPD WaterHeat'!$A28),"")</f>
        <v>0.017815470849275001</v>
      </c>
      <c r="AF28" s="2">
        <f>IFERROR(AVERAGEIFS(RES_WatHeat!AI$2:AI$999,RES_WatHeat!$B$2:$B$999,"="&amp;$A$2,RES_WatHeat!$C$2:$C$999,"="&amp;'INS-UPD WaterHeat'!$A28),"")</f>
        <v>0.0239535670191184</v>
      </c>
      <c r="AG28" s="2">
        <f>IFERROR(AVERAGEIFS(RES_WatHeat!AJ$2:AJ$999,RES_WatHeat!$B$2:$B$999,"="&amp;$A$2,RES_WatHeat!$C$2:$C$999,"="&amp;'INS-UPD WaterHeat'!$A28),"")</f>
        <v>0.017648292330328798</v>
      </c>
      <c r="AH28" s="2">
        <f>IFERROR(AVERAGEIFS(RES_WatHeat!AK$2:AK$999,RES_WatHeat!$B$2:$B$999,"="&amp;$A$2,RES_WatHeat!$C$2:$C$999,"="&amp;'INS-UPD WaterHeat'!$A28),"")</f>
        <v>0.0145692738759457</v>
      </c>
      <c r="AI28" s="2">
        <f>IFERROR(AVERAGEIFS(RES_WatHeat!AL$2:AL$999,RES_WatHeat!$B$2:$B$999,"="&amp;$A$2,RES_WatHeat!$C$2:$C$999,"="&amp;'INS-UPD WaterHeat'!$A28),"")</f>
        <v>0.010716070814948599</v>
      </c>
      <c r="AJ28" s="2">
        <f>IFERROR(AVERAGEIFS(RES_WatHeat!AM$2:AM$999,RES_WatHeat!$B$2:$B$999,"="&amp;$A$2,RES_WatHeat!$C$2:$C$999,"="&amp;'INS-UPD WaterHeat'!$A28),"")</f>
        <v>0.0214967077250043</v>
      </c>
      <c r="AK28" s="2">
        <f>IFERROR(AVERAGEIFS(RES_WatHeat!AN$2:AN$999,RES_WatHeat!$B$2:$B$999,"="&amp;$A$2,RES_WatHeat!$C$2:$C$999,"="&amp;'INS-UPD WaterHeat'!$A28),"")</f>
        <v>0.035834053241728503</v>
      </c>
      <c r="AL28" s="2">
        <f>IFERROR(AVERAGEIFS(RES_WatHeat!AO$2:AO$999,RES_WatHeat!$B$2:$B$999,"="&amp;$A$2,RES_WatHeat!$C$2:$C$999,"="&amp;'INS-UPD WaterHeat'!$A28),"")</f>
        <v>0.0213420821544534</v>
      </c>
      <c r="AM28" s="2">
        <f>IFERROR(AVERAGEIFS(RES_WatHeat!AP$2:AP$999,RES_WatHeat!$B$2:$B$999,"="&amp;$A$2,RES_WatHeat!$C$2:$C$999,"="&amp;'INS-UPD WaterHeat'!$A28),"")</f>
        <v>0.034456590413286102</v>
      </c>
      <c r="AN28" s="2">
        <f>IFERROR(AVERAGEIFS(RES_WatHeat!AQ$2:AQ$999,RES_WatHeat!$B$2:$B$999,"="&amp;$A$2,RES_WatHeat!$C$2:$C$999,"="&amp;'INS-UPD WaterHeat'!$A28),"")</f>
        <v>0.0143012225370781</v>
      </c>
      <c r="AO28" s="2">
        <f>IFERROR(AVERAGEIFS(RES_WatHeat!AR$2:AR$999,RES_WatHeat!$B$2:$B$999,"="&amp;$A$2,RES_WatHeat!$C$2:$C$999,"="&amp;'INS-UPD WaterHeat'!$A28),"")</f>
        <v>0.0161092470203896</v>
      </c>
      <c r="AP28" s="2">
        <f>IFERROR(AVERAGEIFS(RES_WatHeat!AS$2:AS$999,RES_WatHeat!$B$2:$B$999,"="&amp;$A$2,RES_WatHeat!$C$2:$C$999,"="&amp;'INS-UPD WaterHeat'!$A28),"")</f>
        <v>0.021612122934021798</v>
      </c>
      <c r="AQ28" s="2">
        <f>IFERROR(AVERAGEIFS(RES_WatHeat!AT$2:AT$999,RES_WatHeat!$B$2:$B$999,"="&amp;$A$2,RES_WatHeat!$C$2:$C$999,"="&amp;'INS-UPD WaterHeat'!$A28),"")</f>
        <v>0.028772248577818401</v>
      </c>
      <c r="AR28" s="2">
        <f>IFERROR(AVERAGEIFS(RES_WatHeat!AU$2:AU$999,RES_WatHeat!$B$2:$B$999,"="&amp;$A$2,RES_WatHeat!$C$2:$C$999,"="&amp;'INS-UPD WaterHeat'!$A28),"")</f>
        <v>0.021840342652476599</v>
      </c>
      <c r="AS28" s="41">
        <f>IFERROR(AVERAGEIFS(RES_WatHeat!AV$2:AV$999,RES_WatHeat!$B$2:$B$999,"="&amp;$A$2,RES_WatHeat!$C$2:$C$999,"="&amp;'INS-UPD WaterHeat'!$A28),"")</f>
        <v>0.021419365704021899</v>
      </c>
    </row>
    <row r="29" spans="1:45" ht="15">
      <c r="A29" s="3" t="s">
        <v>86</v>
      </c>
      <c r="C29" t="s">
        <v>52</v>
      </c>
      <c r="D29" t="str">
        <f t="shared" si="3"/>
        <v>R_ES-WH-SD_LP*</v>
      </c>
      <c r="H29" s="40">
        <f>AVERAGE(I29:AV29)</f>
        <v>0.026132140672180035</v>
      </c>
      <c r="I29" s="2">
        <f>IFERROR(AVERAGEIFS(RES_WatHeat!L$2:L$999,RES_WatHeat!$B$2:$B$999,"="&amp;$A$2,RES_WatHeat!$C$2:$C$999,"="&amp;'INS-UPD WaterHeat'!$A29),"")</f>
        <v>0.031019474055267698</v>
      </c>
      <c r="J29" s="2">
        <f>IFERROR(AVERAGEIFS(RES_WatHeat!M$2:M$999,RES_WatHeat!$B$2:$B$999,"="&amp;$A$2,RES_WatHeat!$C$2:$C$999,"="&amp;'INS-UPD WaterHeat'!$A29),"")</f>
        <v>0.032704737384774502</v>
      </c>
      <c r="K29" s="2">
        <f>IFERROR(AVERAGEIFS(RES_WatHeat!N$2:N$999,RES_WatHeat!$B$2:$B$999,"="&amp;$A$2,RES_WatHeat!$C$2:$C$999,"="&amp;'INS-UPD WaterHeat'!$A29),"")</f>
        <v>0.016365516744145499</v>
      </c>
      <c r="L29" s="2">
        <f>IFERROR(AVERAGEIFS(RES_WatHeat!O$2:O$999,RES_WatHeat!$B$2:$B$999,"="&amp;$A$2,RES_WatHeat!$C$2:$C$999,"="&amp;'INS-UPD WaterHeat'!$A29),"")</f>
        <v>0.027693039323256001</v>
      </c>
      <c r="M29" s="2">
        <f>IFERROR(AVERAGEIFS(RES_WatHeat!P$2:P$999,RES_WatHeat!$B$2:$B$999,"="&amp;$A$2,RES_WatHeat!$C$2:$C$999,"="&amp;'INS-UPD WaterHeat'!$A29),"")</f>
        <v>0.022049059535050701</v>
      </c>
      <c r="N29" s="2">
        <f>IFERROR(AVERAGEIFS(RES_WatHeat!Q$2:Q$999,RES_WatHeat!$B$2:$B$999,"="&amp;$A$2,RES_WatHeat!$C$2:$C$999,"="&amp;'INS-UPD WaterHeat'!$A29),"")</f>
        <v>0.0247372303927983</v>
      </c>
      <c r="O29" s="2">
        <f>IFERROR(AVERAGEIFS(RES_WatHeat!R$2:R$999,RES_WatHeat!$B$2:$B$999,"="&amp;$A$2,RES_WatHeat!$C$2:$C$999,"="&amp;'INS-UPD WaterHeat'!$A29),"")</f>
        <v>0.027520768764587498</v>
      </c>
      <c r="P29" s="2">
        <f>IFERROR(AVERAGEIFS(RES_WatHeat!S$2:S$999,RES_WatHeat!$B$2:$B$999,"="&amp;$A$2,RES_WatHeat!$C$2:$C$999,"="&amp;'INS-UPD WaterHeat'!$A29),"")</f>
        <v>0.020713027241065898</v>
      </c>
      <c r="Q29" s="2">
        <f>IFERROR(AVERAGEIFS(RES_WatHeat!T$2:T$999,RES_WatHeat!$B$2:$B$999,"="&amp;$A$2,RES_WatHeat!$C$2:$C$999,"="&amp;'INS-UPD WaterHeat'!$A29),"")</f>
        <v>0.0267704198583558</v>
      </c>
      <c r="R29" s="2">
        <f>IFERROR(AVERAGEIFS(RES_WatHeat!U$2:U$999,RES_WatHeat!$B$2:$B$999,"="&amp;$A$2,RES_WatHeat!$C$2:$C$999,"="&amp;'INS-UPD WaterHeat'!$A29),"")</f>
        <v>0.028261908354293201</v>
      </c>
      <c r="S29" s="2">
        <f>IFERROR(AVERAGEIFS(RES_WatHeat!V$2:V$999,RES_WatHeat!$B$2:$B$999,"="&amp;$A$2,RES_WatHeat!$C$2:$C$999,"="&amp;'INS-UPD WaterHeat'!$A29),"")</f>
        <v>0.025979381143269101</v>
      </c>
      <c r="T29" s="2">
        <f>IFERROR(AVERAGEIFS(RES_WatHeat!W$2:W$999,RES_WatHeat!$B$2:$B$999,"="&amp;$A$2,RES_WatHeat!$C$2:$C$999,"="&amp;'INS-UPD WaterHeat'!$A29),"")</f>
        <v>0.030295155438685599</v>
      </c>
      <c r="U29" s="2">
        <f>IFERROR(AVERAGEIFS(RES_WatHeat!X$2:X$999,RES_WatHeat!$B$2:$B$999,"="&amp;$A$2,RES_WatHeat!$C$2:$C$999,"="&amp;'INS-UPD WaterHeat'!$A29),"")</f>
        <v>0.034911925216479303</v>
      </c>
      <c r="V29" s="2">
        <f>IFERROR(AVERAGEIFS(RES_WatHeat!Y$2:Y$999,RES_WatHeat!$B$2:$B$999,"="&amp;$A$2,RES_WatHeat!$C$2:$C$999,"="&amp;'INS-UPD WaterHeat'!$A29),"")</f>
        <v>0.0330203752541239</v>
      </c>
      <c r="W29" s="2">
        <f>IFERROR(AVERAGEIFS(RES_WatHeat!Z$2:Z$999,RES_WatHeat!$B$2:$B$999,"="&amp;$A$2,RES_WatHeat!$C$2:$C$999,"="&amp;'INS-UPD WaterHeat'!$A29),"")</f>
        <v>0.0289335151489752</v>
      </c>
      <c r="X29" s="2">
        <f>IFERROR(AVERAGEIFS(RES_WatHeat!AA$2:AA$999,RES_WatHeat!$B$2:$B$999,"="&amp;$A$2,RES_WatHeat!$C$2:$C$999,"="&amp;'INS-UPD WaterHeat'!$A29),"")</f>
        <v>0.017838875899561301</v>
      </c>
      <c r="Y29" s="2">
        <f>IFERROR(AVERAGEIFS(RES_WatHeat!AB$2:AB$999,RES_WatHeat!$B$2:$B$999,"="&amp;$A$2,RES_WatHeat!$C$2:$C$999,"="&amp;'INS-UPD WaterHeat'!$A29),"")</f>
        <v>0.0155103110175844</v>
      </c>
      <c r="Z29" s="2">
        <f>IFERROR(AVERAGEIFS(RES_WatHeat!AC$2:AC$999,RES_WatHeat!$B$2:$B$999,"="&amp;$A$2,RES_WatHeat!$C$2:$C$999,"="&amp;'INS-UPD WaterHeat'!$A29),"")</f>
        <v>0.031253941741138998</v>
      </c>
      <c r="AA29" s="2">
        <f>IFERROR(AVERAGEIFS(RES_WatHeat!AD$2:AD$999,RES_WatHeat!$B$2:$B$999,"="&amp;$A$2,RES_WatHeat!$C$2:$C$999,"="&amp;'INS-UPD WaterHeat'!$A29),"")</f>
        <v>0.030614835939406601</v>
      </c>
      <c r="AB29" s="2">
        <f>IFERROR(AVERAGEIFS(RES_WatHeat!AE$2:AE$999,RES_WatHeat!$B$2:$B$999,"="&amp;$A$2,RES_WatHeat!$C$2:$C$999,"="&amp;'INS-UPD WaterHeat'!$A29),"")</f>
        <v>0.024542149573572598</v>
      </c>
      <c r="AC29" s="2">
        <f>IFERROR(AVERAGEIFS(RES_WatHeat!AF$2:AF$999,RES_WatHeat!$B$2:$B$999,"="&amp;$A$2,RES_WatHeat!$C$2:$C$999,"="&amp;'INS-UPD WaterHeat'!$A29),"")</f>
        <v>0.0124525495764436</v>
      </c>
      <c r="AD29" s="2">
        <f>IFERROR(AVERAGEIFS(RES_WatHeat!AG$2:AG$999,RES_WatHeat!$B$2:$B$999,"="&amp;$A$2,RES_WatHeat!$C$2:$C$999,"="&amp;'INS-UPD WaterHeat'!$A29),"")</f>
        <v>0.021342684955456701</v>
      </c>
      <c r="AE29" s="2">
        <f>IFERROR(AVERAGEIFS(RES_WatHeat!AH$2:AH$999,RES_WatHeat!$B$2:$B$999,"="&amp;$A$2,RES_WatHeat!$C$2:$C$999,"="&amp;'INS-UPD WaterHeat'!$A29),"")</f>
        <v>0.022269338561593702</v>
      </c>
      <c r="AF29" s="2">
        <f>IFERROR(AVERAGEIFS(RES_WatHeat!AI$2:AI$999,RES_WatHeat!$B$2:$B$999,"="&amp;$A$2,RES_WatHeat!$C$2:$C$999,"="&amp;'INS-UPD WaterHeat'!$A29),"")</f>
        <v>0.029941958773897999</v>
      </c>
      <c r="AG29" s="2">
        <f>IFERROR(AVERAGEIFS(RES_WatHeat!AJ$2:AJ$999,RES_WatHeat!$B$2:$B$999,"="&amp;$A$2,RES_WatHeat!$C$2:$C$999,"="&amp;'INS-UPD WaterHeat'!$A29),"")</f>
        <v>0.022060365412910999</v>
      </c>
      <c r="AH29" s="2">
        <f>IFERROR(AVERAGEIFS(RES_WatHeat!AK$2:AK$999,RES_WatHeat!$B$2:$B$999,"="&amp;$A$2,RES_WatHeat!$C$2:$C$999,"="&amp;'INS-UPD WaterHeat'!$A29),"")</f>
        <v>0.0182115923449322</v>
      </c>
      <c r="AI29" s="2">
        <f>IFERROR(AVERAGEIFS(RES_WatHeat!AL$2:AL$999,RES_WatHeat!$B$2:$B$999,"="&amp;$A$2,RES_WatHeat!$C$2:$C$999,"="&amp;'INS-UPD WaterHeat'!$A29),"")</f>
        <v>0.0133950885186857</v>
      </c>
      <c r="AJ29" s="2">
        <f>IFERROR(AVERAGEIFS(RES_WatHeat!AM$2:AM$999,RES_WatHeat!$B$2:$B$999,"="&amp;$A$2,RES_WatHeat!$C$2:$C$999,"="&amp;'INS-UPD WaterHeat'!$A29),"")</f>
        <v>0.026870884656255398</v>
      </c>
      <c r="AK29" s="2">
        <f>IFERROR(AVERAGEIFS(RES_WatHeat!AN$2:AN$999,RES_WatHeat!$B$2:$B$999,"="&amp;$A$2,RES_WatHeat!$C$2:$C$999,"="&amp;'INS-UPD WaterHeat'!$A29),"")</f>
        <v>0.044792566552160601</v>
      </c>
      <c r="AL29" s="2">
        <f>IFERROR(AVERAGEIFS(RES_WatHeat!AO$2:AO$999,RES_WatHeat!$B$2:$B$999,"="&amp;$A$2,RES_WatHeat!$C$2:$C$999,"="&amp;'INS-UPD WaterHeat'!$A29),"")</f>
        <v>0.026677602693066699</v>
      </c>
      <c r="AM29" s="2">
        <f>IFERROR(AVERAGEIFS(RES_WatHeat!AP$2:AP$999,RES_WatHeat!$B$2:$B$999,"="&amp;$A$2,RES_WatHeat!$C$2:$C$999,"="&amp;'INS-UPD WaterHeat'!$A29),"")</f>
        <v>0.043070738016607601</v>
      </c>
      <c r="AN29" s="2">
        <f>IFERROR(AVERAGEIFS(RES_WatHeat!AQ$2:AQ$999,RES_WatHeat!$B$2:$B$999,"="&amp;$A$2,RES_WatHeat!$C$2:$C$999,"="&amp;'INS-UPD WaterHeat'!$A29),"")</f>
        <v>0.017876528171347598</v>
      </c>
      <c r="AO29" s="2">
        <f>IFERROR(AVERAGEIFS(RES_WatHeat!AR$2:AR$999,RES_WatHeat!$B$2:$B$999,"="&amp;$A$2,RES_WatHeat!$C$2:$C$999,"="&amp;'INS-UPD WaterHeat'!$A29),"")</f>
        <v>0.0201365587754871</v>
      </c>
      <c r="AP29" s="2">
        <f>IFERROR(AVERAGEIFS(RES_WatHeat!AS$2:AS$999,RES_WatHeat!$B$2:$B$999,"="&amp;$A$2,RES_WatHeat!$C$2:$C$999,"="&amp;'INS-UPD WaterHeat'!$A29),"")</f>
        <v>0.0270151536675272</v>
      </c>
      <c r="AQ29" s="2">
        <f>IFERROR(AVERAGEIFS(RES_WatHeat!AT$2:AT$999,RES_WatHeat!$B$2:$B$999,"="&amp;$A$2,RES_WatHeat!$C$2:$C$999,"="&amp;'INS-UPD WaterHeat'!$A29),"")</f>
        <v>0.035965310722272999</v>
      </c>
      <c r="AR29" s="2">
        <f>IFERROR(AVERAGEIFS(RES_WatHeat!AU$2:AU$999,RES_WatHeat!$B$2:$B$999,"="&amp;$A$2,RES_WatHeat!$C$2:$C$999,"="&amp;'INS-UPD WaterHeat'!$A29),"")</f>
        <v>0.027300428315595801</v>
      </c>
      <c r="AS29" s="41">
        <f>IFERROR(AVERAGEIFS(RES_WatHeat!AV$2:AV$999,RES_WatHeat!$B$2:$B$999,"="&amp;$A$2,RES_WatHeat!$C$2:$C$999,"="&amp;'INS-UPD WaterHeat'!$A29),"")</f>
        <v>0.0267742071300274</v>
      </c>
    </row>
    <row r="30" spans="1:45" ht="15">
      <c r="A30" s="5" t="s">
        <v>87</v>
      </c>
      <c r="C30" t="s">
        <v>52</v>
      </c>
      <c r="D30" t="str">
        <f t="shared" si="3"/>
        <v>R_ES-WH-SD_GE*</v>
      </c>
      <c r="H30" s="42">
        <f>H29</f>
        <v>0.026132140672180035</v>
      </c>
      <c r="I30" s="43" t="str">
        <f>IFERROR(AVERAGEIFS(RES_WatHeat!L$2:L$999,RES_WatHeat!$B$2:$B$999,"="&amp;$A$2,RES_WatHeat!$C$2:$C$999,"="&amp;'INS-UPD WaterHeat'!$A30),"")</f>
        <v/>
      </c>
      <c r="J30" s="43" t="str">
        <f>IFERROR(AVERAGEIFS(RES_WatHeat!M$2:M$999,RES_WatHeat!$B$2:$B$999,"="&amp;$A$2,RES_WatHeat!$C$2:$C$999,"="&amp;'INS-UPD WaterHeat'!$A30),"")</f>
        <v/>
      </c>
      <c r="K30" s="43" t="str">
        <f>IFERROR(AVERAGEIFS(RES_WatHeat!N$2:N$999,RES_WatHeat!$B$2:$B$999,"="&amp;$A$2,RES_WatHeat!$C$2:$C$999,"="&amp;'INS-UPD WaterHeat'!$A30),"")</f>
        <v/>
      </c>
      <c r="L30" s="43" t="str">
        <f>IFERROR(AVERAGEIFS(RES_WatHeat!O$2:O$999,RES_WatHeat!$B$2:$B$999,"="&amp;$A$2,RES_WatHeat!$C$2:$C$999,"="&amp;'INS-UPD WaterHeat'!$A30),"")</f>
        <v/>
      </c>
      <c r="M30" s="43" t="str">
        <f>IFERROR(AVERAGEIFS(RES_WatHeat!P$2:P$999,RES_WatHeat!$B$2:$B$999,"="&amp;$A$2,RES_WatHeat!$C$2:$C$999,"="&amp;'INS-UPD WaterHeat'!$A30),"")</f>
        <v/>
      </c>
      <c r="N30" s="43" t="str">
        <f>IFERROR(AVERAGEIFS(RES_WatHeat!Q$2:Q$999,RES_WatHeat!$B$2:$B$999,"="&amp;$A$2,RES_WatHeat!$C$2:$C$999,"="&amp;'INS-UPD WaterHeat'!$A30),"")</f>
        <v/>
      </c>
      <c r="O30" s="43" t="str">
        <f>IFERROR(AVERAGEIFS(RES_WatHeat!R$2:R$999,RES_WatHeat!$B$2:$B$999,"="&amp;$A$2,RES_WatHeat!$C$2:$C$999,"="&amp;'INS-UPD WaterHeat'!$A30),"")</f>
        <v/>
      </c>
      <c r="P30" s="43" t="str">
        <f>IFERROR(AVERAGEIFS(RES_WatHeat!S$2:S$999,RES_WatHeat!$B$2:$B$999,"="&amp;$A$2,RES_WatHeat!$C$2:$C$999,"="&amp;'INS-UPD WaterHeat'!$A30),"")</f>
        <v/>
      </c>
      <c r="Q30" s="43" t="str">
        <f>IFERROR(AVERAGEIFS(RES_WatHeat!T$2:T$999,RES_WatHeat!$B$2:$B$999,"="&amp;$A$2,RES_WatHeat!$C$2:$C$999,"="&amp;'INS-UPD WaterHeat'!$A30),"")</f>
        <v/>
      </c>
      <c r="R30" s="43" t="str">
        <f>IFERROR(AVERAGEIFS(RES_WatHeat!U$2:U$999,RES_WatHeat!$B$2:$B$999,"="&amp;$A$2,RES_WatHeat!$C$2:$C$999,"="&amp;'INS-UPD WaterHeat'!$A30),"")</f>
        <v/>
      </c>
      <c r="S30" s="43" t="str">
        <f>IFERROR(AVERAGEIFS(RES_WatHeat!V$2:V$999,RES_WatHeat!$B$2:$B$999,"="&amp;$A$2,RES_WatHeat!$C$2:$C$999,"="&amp;'INS-UPD WaterHeat'!$A30),"")</f>
        <v/>
      </c>
      <c r="T30" s="43" t="str">
        <f>IFERROR(AVERAGEIFS(RES_WatHeat!W$2:W$999,RES_WatHeat!$B$2:$B$999,"="&amp;$A$2,RES_WatHeat!$C$2:$C$999,"="&amp;'INS-UPD WaterHeat'!$A30),"")</f>
        <v/>
      </c>
      <c r="U30" s="43" t="str">
        <f>IFERROR(AVERAGEIFS(RES_WatHeat!X$2:X$999,RES_WatHeat!$B$2:$B$999,"="&amp;$A$2,RES_WatHeat!$C$2:$C$999,"="&amp;'INS-UPD WaterHeat'!$A30),"")</f>
        <v/>
      </c>
      <c r="V30" s="43" t="str">
        <f>IFERROR(AVERAGEIFS(RES_WatHeat!Y$2:Y$999,RES_WatHeat!$B$2:$B$999,"="&amp;$A$2,RES_WatHeat!$C$2:$C$999,"="&amp;'INS-UPD WaterHeat'!$A30),"")</f>
        <v/>
      </c>
      <c r="W30" s="43" t="str">
        <f>IFERROR(AVERAGEIFS(RES_WatHeat!Z$2:Z$999,RES_WatHeat!$B$2:$B$999,"="&amp;$A$2,RES_WatHeat!$C$2:$C$999,"="&amp;'INS-UPD WaterHeat'!$A30),"")</f>
        <v/>
      </c>
      <c r="X30" s="43" t="str">
        <f>IFERROR(AVERAGEIFS(RES_WatHeat!AA$2:AA$999,RES_WatHeat!$B$2:$B$999,"="&amp;$A$2,RES_WatHeat!$C$2:$C$999,"="&amp;'INS-UPD WaterHeat'!$A30),"")</f>
        <v/>
      </c>
      <c r="Y30" s="43" t="str">
        <f>IFERROR(AVERAGEIFS(RES_WatHeat!AB$2:AB$999,RES_WatHeat!$B$2:$B$999,"="&amp;$A$2,RES_WatHeat!$C$2:$C$999,"="&amp;'INS-UPD WaterHeat'!$A30),"")</f>
        <v/>
      </c>
      <c r="Z30" s="43" t="str">
        <f>IFERROR(AVERAGEIFS(RES_WatHeat!AC$2:AC$999,RES_WatHeat!$B$2:$B$999,"="&amp;$A$2,RES_WatHeat!$C$2:$C$999,"="&amp;'INS-UPD WaterHeat'!$A30),"")</f>
        <v/>
      </c>
      <c r="AA30" s="43" t="str">
        <f>IFERROR(AVERAGEIFS(RES_WatHeat!AD$2:AD$999,RES_WatHeat!$B$2:$B$999,"="&amp;$A$2,RES_WatHeat!$C$2:$C$999,"="&amp;'INS-UPD WaterHeat'!$A30),"")</f>
        <v/>
      </c>
      <c r="AB30" s="43" t="str">
        <f>IFERROR(AVERAGEIFS(RES_WatHeat!AE$2:AE$999,RES_WatHeat!$B$2:$B$999,"="&amp;$A$2,RES_WatHeat!$C$2:$C$999,"="&amp;'INS-UPD WaterHeat'!$A30),"")</f>
        <v/>
      </c>
      <c r="AC30" s="43" t="str">
        <f>IFERROR(AVERAGEIFS(RES_WatHeat!AF$2:AF$999,RES_WatHeat!$B$2:$B$999,"="&amp;$A$2,RES_WatHeat!$C$2:$C$999,"="&amp;'INS-UPD WaterHeat'!$A30),"")</f>
        <v/>
      </c>
      <c r="AD30" s="43" t="str">
        <f>IFERROR(AVERAGEIFS(RES_WatHeat!AG$2:AG$999,RES_WatHeat!$B$2:$B$999,"="&amp;$A$2,RES_WatHeat!$C$2:$C$999,"="&amp;'INS-UPD WaterHeat'!$A30),"")</f>
        <v/>
      </c>
      <c r="AE30" s="43" t="str">
        <f>IFERROR(AVERAGEIFS(RES_WatHeat!AH$2:AH$999,RES_WatHeat!$B$2:$B$999,"="&amp;$A$2,RES_WatHeat!$C$2:$C$999,"="&amp;'INS-UPD WaterHeat'!$A30),"")</f>
        <v/>
      </c>
      <c r="AF30" s="43" t="str">
        <f>IFERROR(AVERAGEIFS(RES_WatHeat!AI$2:AI$999,RES_WatHeat!$B$2:$B$999,"="&amp;$A$2,RES_WatHeat!$C$2:$C$999,"="&amp;'INS-UPD WaterHeat'!$A30),"")</f>
        <v/>
      </c>
      <c r="AG30" s="43" t="str">
        <f>IFERROR(AVERAGEIFS(RES_WatHeat!AJ$2:AJ$999,RES_WatHeat!$B$2:$B$999,"="&amp;$A$2,RES_WatHeat!$C$2:$C$999,"="&amp;'INS-UPD WaterHeat'!$A30),"")</f>
        <v/>
      </c>
      <c r="AH30" s="43" t="str">
        <f>IFERROR(AVERAGEIFS(RES_WatHeat!AK$2:AK$999,RES_WatHeat!$B$2:$B$999,"="&amp;$A$2,RES_WatHeat!$C$2:$C$999,"="&amp;'INS-UPD WaterHeat'!$A30),"")</f>
        <v/>
      </c>
      <c r="AI30" s="43" t="str">
        <f>IFERROR(AVERAGEIFS(RES_WatHeat!AL$2:AL$999,RES_WatHeat!$B$2:$B$999,"="&amp;$A$2,RES_WatHeat!$C$2:$C$999,"="&amp;'INS-UPD WaterHeat'!$A30),"")</f>
        <v/>
      </c>
      <c r="AJ30" s="43" t="str">
        <f>IFERROR(AVERAGEIFS(RES_WatHeat!AM$2:AM$999,RES_WatHeat!$B$2:$B$999,"="&amp;$A$2,RES_WatHeat!$C$2:$C$999,"="&amp;'INS-UPD WaterHeat'!$A30),"")</f>
        <v/>
      </c>
      <c r="AK30" s="43" t="str">
        <f>IFERROR(AVERAGEIFS(RES_WatHeat!AN$2:AN$999,RES_WatHeat!$B$2:$B$999,"="&amp;$A$2,RES_WatHeat!$C$2:$C$999,"="&amp;'INS-UPD WaterHeat'!$A30),"")</f>
        <v/>
      </c>
      <c r="AL30" s="43" t="str">
        <f>IFERROR(AVERAGEIFS(RES_WatHeat!AO$2:AO$999,RES_WatHeat!$B$2:$B$999,"="&amp;$A$2,RES_WatHeat!$C$2:$C$999,"="&amp;'INS-UPD WaterHeat'!$A30),"")</f>
        <v/>
      </c>
      <c r="AM30" s="43" t="str">
        <f>IFERROR(AVERAGEIFS(RES_WatHeat!AP$2:AP$999,RES_WatHeat!$B$2:$B$999,"="&amp;$A$2,RES_WatHeat!$C$2:$C$999,"="&amp;'INS-UPD WaterHeat'!$A30),"")</f>
        <v/>
      </c>
      <c r="AN30" s="43" t="str">
        <f>IFERROR(AVERAGEIFS(RES_WatHeat!AQ$2:AQ$999,RES_WatHeat!$B$2:$B$999,"="&amp;$A$2,RES_WatHeat!$C$2:$C$999,"="&amp;'INS-UPD WaterHeat'!$A30),"")</f>
        <v/>
      </c>
      <c r="AO30" s="43" t="str">
        <f>IFERROR(AVERAGEIFS(RES_WatHeat!AR$2:AR$999,RES_WatHeat!$B$2:$B$999,"="&amp;$A$2,RES_WatHeat!$C$2:$C$999,"="&amp;'INS-UPD WaterHeat'!$A30),"")</f>
        <v/>
      </c>
      <c r="AP30" s="43" t="str">
        <f>IFERROR(AVERAGEIFS(RES_WatHeat!AS$2:AS$999,RES_WatHeat!$B$2:$B$999,"="&amp;$A$2,RES_WatHeat!$C$2:$C$999,"="&amp;'INS-UPD WaterHeat'!$A30),"")</f>
        <v/>
      </c>
      <c r="AQ30" s="43" t="str">
        <f>IFERROR(AVERAGEIFS(RES_WatHeat!AT$2:AT$999,RES_WatHeat!$B$2:$B$999,"="&amp;$A$2,RES_WatHeat!$C$2:$C$999,"="&amp;'INS-UPD WaterHeat'!$A30),"")</f>
        <v/>
      </c>
      <c r="AR30" s="43" t="str">
        <f>IFERROR(AVERAGEIFS(RES_WatHeat!AU$2:AU$999,RES_WatHeat!$B$2:$B$999,"="&amp;$A$2,RES_WatHeat!$C$2:$C$999,"="&amp;'INS-UPD WaterHeat'!$A30),"")</f>
        <v/>
      </c>
      <c r="AS30" s="44" t="str">
        <f>IFERROR(AVERAGEIFS(RES_WatHeat!AV$2:AV$999,RES_WatHeat!$B$2:$B$999,"="&amp;$A$2,RES_WatHeat!$C$2:$C$999,"="&amp;'INS-UPD WaterHeat'!$A30),"")</f>
        <v/>
      </c>
    </row>
    <row r="34" spans="1:46" ht="12.7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</row>
    <row r="35" spans="1:1" ht="12.75">
      <c r="A35" t="s">
        <v>188</v>
      </c>
    </row>
    <row r="36" spans="1:3" ht="15">
      <c r="A36" s="6" t="s">
        <v>29</v>
      </c>
      <c r="C36" s="4" t="s">
        <v>51</v>
      </c>
    </row>
    <row r="37" spans="3:45" ht="12.75">
      <c r="C37" t="s">
        <v>35</v>
      </c>
      <c r="D37" t="s">
        <v>48</v>
      </c>
      <c r="E37" t="s">
        <v>43</v>
      </c>
      <c r="F37" t="s">
        <v>39</v>
      </c>
      <c r="G37" t="s">
        <v>49</v>
      </c>
      <c r="H37" t="s">
        <v>46</v>
      </c>
      <c r="I37" t="str">
        <f>RES_SpHeat!L$1</f>
        <v>AL</v>
      </c>
      <c r="J37" t="str">
        <f>RES_SpHeat!M$1</f>
        <v>AT</v>
      </c>
      <c r="K37" t="str">
        <f>RES_SpHeat!N$1</f>
        <v>BA</v>
      </c>
      <c r="L37" t="str">
        <f>RES_SpHeat!O$1</f>
        <v>BE</v>
      </c>
      <c r="M37" t="str">
        <f>RES_SpHeat!P$1</f>
        <v>BG</v>
      </c>
      <c r="N37" t="str">
        <f>RES_SpHeat!Q$1</f>
        <v>CH</v>
      </c>
      <c r="O37" t="str">
        <f>RES_SpHeat!R$1</f>
        <v>CY</v>
      </c>
      <c r="P37" t="str">
        <f>RES_SpHeat!S$1</f>
        <v>CZ</v>
      </c>
      <c r="Q37" t="str">
        <f>RES_SpHeat!T$1</f>
        <v>DE</v>
      </c>
      <c r="R37" t="str">
        <f>RES_SpHeat!U$1</f>
        <v>DK</v>
      </c>
      <c r="S37" t="str">
        <f>RES_SpHeat!V$1</f>
        <v>EE</v>
      </c>
      <c r="T37" t="str">
        <f>RES_SpHeat!W$1</f>
        <v>EL</v>
      </c>
      <c r="U37" t="str">
        <f>RES_SpHeat!X$1</f>
        <v>ES</v>
      </c>
      <c r="V37" t="str">
        <f>RES_SpHeat!Y$1</f>
        <v>FI</v>
      </c>
      <c r="W37" t="str">
        <f>RES_SpHeat!Z$1</f>
        <v>FR</v>
      </c>
      <c r="X37" t="str">
        <f>RES_SpHeat!AA$1</f>
        <v>HR</v>
      </c>
      <c r="Y37" t="str">
        <f>RES_SpHeat!AB$1</f>
        <v>HU</v>
      </c>
      <c r="Z37" t="str">
        <f>RES_SpHeat!AC$1</f>
        <v>IE</v>
      </c>
      <c r="AA37" t="str">
        <f>RES_SpHeat!AD$1</f>
        <v>IS</v>
      </c>
      <c r="AB37" t="str">
        <f>RES_SpHeat!AE$1</f>
        <v>IT</v>
      </c>
      <c r="AC37" t="str">
        <f>RES_SpHeat!AF$1</f>
        <v>KS</v>
      </c>
      <c r="AD37" t="str">
        <f>RES_SpHeat!AG$1</f>
        <v>LT</v>
      </c>
      <c r="AE37" t="str">
        <f>RES_SpHeat!AH$1</f>
        <v>LU</v>
      </c>
      <c r="AF37" t="str">
        <f>RES_SpHeat!AI$1</f>
        <v>LV</v>
      </c>
      <c r="AG37" t="str">
        <f>RES_SpHeat!AJ$1</f>
        <v>ME</v>
      </c>
      <c r="AH37" t="str">
        <f>RES_SpHeat!AK$1</f>
        <v>MK</v>
      </c>
      <c r="AI37" t="str">
        <f>RES_SpHeat!AL$1</f>
        <v>MT</v>
      </c>
      <c r="AJ37" t="str">
        <f>RES_SpHeat!AM$1</f>
        <v>NL</v>
      </c>
      <c r="AK37" t="str">
        <f>RES_SpHeat!AN$1</f>
        <v>NO</v>
      </c>
      <c r="AL37" t="str">
        <f>RES_SpHeat!AO$1</f>
        <v>PL</v>
      </c>
      <c r="AM37" t="str">
        <f>RES_SpHeat!AP$1</f>
        <v>PT</v>
      </c>
      <c r="AN37" t="str">
        <f>RES_SpHeat!AQ$1</f>
        <v>RO</v>
      </c>
      <c r="AO37" t="str">
        <f>RES_SpHeat!AR$1</f>
        <v>RS</v>
      </c>
      <c r="AP37" t="str">
        <f>RES_SpHeat!AS$1</f>
        <v>SE</v>
      </c>
      <c r="AQ37" t="str">
        <f>RES_SpHeat!AT$1</f>
        <v>SI</v>
      </c>
      <c r="AR37" t="str">
        <f>RES_SpHeat!AU$1</f>
        <v>SK</v>
      </c>
      <c r="AS37" t="str">
        <f>RES_SpHeat!AV$1</f>
        <v>UK</v>
      </c>
    </row>
    <row r="38" spans="1:45" ht="12.75">
      <c r="A38" t="s">
        <v>122</v>
      </c>
      <c r="C38" t="s">
        <v>29</v>
      </c>
      <c r="D38" t="str">
        <f>A38</f>
        <v>C_ES-SH-HO_BI*</v>
      </c>
      <c r="H38" s="53"/>
      <c r="I38" s="45" t="str">
        <f>'INS-UPD Heat'!I59</f>
        <v>*1</v>
      </c>
      <c r="J38" s="45" t="str">
        <f>'INS-UPD Heat'!J59</f>
        <v>*1.13273935601115</v>
      </c>
      <c r="K38" s="45" t="str">
        <f>'INS-UPD Heat'!K59</f>
        <v>*1</v>
      </c>
      <c r="L38" s="45" t="str">
        <f>'INS-UPD Heat'!L59</f>
        <v>*1.16287202779621</v>
      </c>
      <c r="M38" s="45" t="str">
        <f>'INS-UPD Heat'!M59</f>
        <v>*0.951947404871184</v>
      </c>
      <c r="N38" s="45" t="str">
        <f>'INS-UPD Heat'!N59</f>
        <v>*1</v>
      </c>
      <c r="O38" s="45" t="str">
        <f>'INS-UPD Heat'!O59</f>
        <v>*0.891684624593808</v>
      </c>
      <c r="P38" s="45" t="str">
        <f>'INS-UPD Heat'!P59</f>
        <v>*1.03230037990426</v>
      </c>
      <c r="Q38" s="45" t="str">
        <f>'INS-UPD Heat'!Q59</f>
        <v>*0.5</v>
      </c>
      <c r="R38" s="45" t="str">
        <f>'INS-UPD Heat'!R59</f>
        <v>*1.0825169264074</v>
      </c>
      <c r="S38" s="45" t="str">
        <f>'INS-UPD Heat'!S59</f>
        <v>*1.03229644898342</v>
      </c>
      <c r="T38" s="45" t="str">
        <f>'INS-UPD Heat'!T59</f>
        <v>*1</v>
      </c>
      <c r="U38" s="45" t="str">
        <f>'INS-UPD Heat'!U59</f>
        <v>*0.982080090991512</v>
      </c>
      <c r="V38" s="45" t="str">
        <f>'INS-UPD Heat'!V59</f>
        <v>*1.0423429136333</v>
      </c>
      <c r="W38" s="45" t="str">
        <f>'INS-UPD Heat'!W59</f>
        <v>*1.08252106666226</v>
      </c>
      <c r="X38" s="45" t="str">
        <f>'INS-UPD Heat'!X59</f>
        <v>*1.05238453545451</v>
      </c>
      <c r="Y38" s="45" t="str">
        <f>'INS-UPD Heat'!Y59</f>
        <v>*1.05238966451752</v>
      </c>
      <c r="Z38" s="45" t="str">
        <f>'INS-UPD Heat'!Z59</f>
        <v>*1.1026073590249</v>
      </c>
      <c r="AA38" s="45" t="str">
        <f>'INS-UPD Heat'!AA59</f>
        <v>*1.0825169264074</v>
      </c>
      <c r="AB38" s="45" t="str">
        <f>'INS-UPD Heat'!AB59</f>
        <v>*1</v>
      </c>
      <c r="AC38" s="45" t="str">
        <f>'INS-UPD Heat'!AC59</f>
        <v>*1</v>
      </c>
      <c r="AD38" s="45" t="str">
        <f>'INS-UPD Heat'!AD59</f>
        <v>*1.03230017588431</v>
      </c>
      <c r="AE38" s="45" t="str">
        <f>'INS-UPD Heat'!AE59</f>
        <v>*1</v>
      </c>
      <c r="AF38" s="45" t="str">
        <f>'INS-UPD Heat'!AF59</f>
        <v>*1.07247594152106</v>
      </c>
      <c r="AG38" s="45" t="str">
        <f>'INS-UPD Heat'!AG59</f>
        <v>*1</v>
      </c>
      <c r="AH38" s="45" t="str">
        <f>'INS-UPD Heat'!AH59</f>
        <v>*1</v>
      </c>
      <c r="AI38" s="45" t="str">
        <f>'INS-UPD Heat'!AI59</f>
        <v>*1</v>
      </c>
      <c r="AJ38" s="45" t="str">
        <f>'INS-UPD Heat'!AJ59</f>
        <v>*1.16287284644911</v>
      </c>
      <c r="AK38" s="45" t="str">
        <f>'INS-UPD Heat'!AK59</f>
        <v>*1.0825169264074</v>
      </c>
      <c r="AL38" s="45" t="str">
        <f>'INS-UPD Heat'!AL59</f>
        <v>*1.07247406151033</v>
      </c>
      <c r="AM38" s="45" t="str">
        <f>'INS-UPD Heat'!AM59</f>
        <v>*1</v>
      </c>
      <c r="AN38" s="45" t="str">
        <f>'INS-UPD Heat'!AN59</f>
        <v>*1</v>
      </c>
      <c r="AO38" s="45" t="str">
        <f>'INS-UPD Heat'!AO59</f>
        <v>*1</v>
      </c>
      <c r="AP38" s="45" t="str">
        <f>'INS-UPD Heat'!AP59</f>
        <v>*1.03229798151806</v>
      </c>
      <c r="AQ38" s="45" t="str">
        <f>'INS-UPD Heat'!AQ59</f>
        <v>*1</v>
      </c>
      <c r="AR38" s="45" t="str">
        <f>'INS-UPD Heat'!AR59</f>
        <v>*1.05238916181003</v>
      </c>
      <c r="AS38" s="47" t="str">
        <f>'INS-UPD Heat'!AS59</f>
        <v>*1.08252104532776</v>
      </c>
    </row>
    <row r="39" spans="1:45" ht="12.75">
      <c r="A39" t="s">
        <v>123</v>
      </c>
      <c r="C39" t="s">
        <v>29</v>
      </c>
      <c r="D39" t="str">
        <f t="shared" si="4" ref="D39:D85">A39</f>
        <v>C_ES-SH-HO_HE*</v>
      </c>
      <c r="H39" s="54"/>
      <c r="I39" t="str">
        <f>'INS-UPD Heat'!I60</f>
        <v>*0.880504783355962</v>
      </c>
      <c r="J39" t="str">
        <f>'INS-UPD Heat'!J60</f>
        <v>*0.957548618872751</v>
      </c>
      <c r="K39" t="str">
        <f>'INS-UPD Heat'!K60</f>
        <v>*0.880504783355962</v>
      </c>
      <c r="L39" t="str">
        <f>'INS-UPD Heat'!L60</f>
        <v>*0.983020646759874</v>
      </c>
      <c r="M39" t="str">
        <f>'INS-UPD Heat'!M60</f>
        <v>*0.804718937699145</v>
      </c>
      <c r="N39" t="str">
        <f>'INS-UPD Heat'!N60</f>
        <v>*1</v>
      </c>
      <c r="O39" t="str">
        <f>'INS-UPD Heat'!O60</f>
        <v>*0.880504783355962</v>
      </c>
      <c r="P39" t="str">
        <f>'INS-UPD Heat'!P60</f>
        <v>*0.872644275983274</v>
      </c>
      <c r="Q39" t="str">
        <f>'INS-UPD Heat'!Q60</f>
        <v>*0.908569737634899</v>
      </c>
      <c r="R39" t="str">
        <f>'INS-UPD Heat'!R60</f>
        <v>*0.915095212233637</v>
      </c>
      <c r="S39" t="str">
        <f>'INS-UPD Heat'!S60</f>
        <v>*0.872642655737943</v>
      </c>
      <c r="T39" t="str">
        <f>'INS-UPD Heat'!T60</f>
        <v>*0.880504783355962</v>
      </c>
      <c r="U39" t="str">
        <f>'INS-UPD Heat'!U60</f>
        <v>*0.880504783355962</v>
      </c>
      <c r="V39" t="str">
        <f>'INS-UPD Heat'!V60</f>
        <v>*0.881131477151944</v>
      </c>
      <c r="W39" t="str">
        <f>'INS-UPD Heat'!W60</f>
        <v>*0.915093124359608</v>
      </c>
      <c r="X39" t="str">
        <f>'INS-UPD Heat'!X60</f>
        <v>*0.889625250941913</v>
      </c>
      <c r="Y39" t="str">
        <f>'INS-UPD Heat'!Y60</f>
        <v>*0.889623372740061</v>
      </c>
      <c r="Z39" t="str">
        <f>'INS-UPD Heat'!Z60</f>
        <v>*0.880504783355962</v>
      </c>
      <c r="AA39" t="str">
        <f>'INS-UPD Heat'!AA60</f>
        <v>*0.915095212233637</v>
      </c>
      <c r="AB39" t="str">
        <f>'INS-UPD Heat'!AB60</f>
        <v>*0.915095341838966</v>
      </c>
      <c r="AC39" t="str">
        <f>'INS-UPD Heat'!AC60</f>
        <v>*0.880504783355962</v>
      </c>
      <c r="AD39" t="str">
        <f>'INS-UPD Heat'!AD60</f>
        <v>*0.872640325737902</v>
      </c>
      <c r="AE39" t="str">
        <f>'INS-UPD Heat'!AE60</f>
        <v>*0.915097225102635</v>
      </c>
      <c r="AF39" t="str">
        <f>'INS-UPD Heat'!AF60</f>
        <v>*0.906602703277204</v>
      </c>
      <c r="AG39" t="str">
        <f>'INS-UPD Heat'!AG60</f>
        <v>*0.880504783355962</v>
      </c>
      <c r="AH39" t="str">
        <f>'INS-UPD Heat'!AH60</f>
        <v>*0.880504783355962</v>
      </c>
      <c r="AI39" t="str">
        <f>'INS-UPD Heat'!AI60</f>
        <v>*0.880504783355962</v>
      </c>
      <c r="AJ39" t="str">
        <f>'INS-UPD Heat'!AJ60</f>
        <v>*0.983021041372418</v>
      </c>
      <c r="AK39" t="str">
        <f>'INS-UPD Heat'!AK60</f>
        <v>*0.915095212233637</v>
      </c>
      <c r="AL39" t="str">
        <f>'INS-UPD Heat'!AL60</f>
        <v>*0.906604639952111</v>
      </c>
      <c r="AM39" t="str">
        <f>'INS-UPD Heat'!AM60</f>
        <v>*0.855664327496265</v>
      </c>
      <c r="AN39" t="str">
        <f>'INS-UPD Heat'!AN60</f>
        <v>*0.89386936286641</v>
      </c>
      <c r="AO39" t="str">
        <f>'INS-UPD Heat'!AO60</f>
        <v>*0.880504783355962</v>
      </c>
      <c r="AP39" t="str">
        <f>'INS-UPD Heat'!AP60</f>
        <v>*0.872640441278991</v>
      </c>
      <c r="AQ39" t="str">
        <f>'INS-UPD Heat'!AQ60</f>
        <v>*0.949060077873277</v>
      </c>
      <c r="AR39" t="str">
        <f>'INS-UPD Heat'!AR60</f>
        <v>*0.889625648915354</v>
      </c>
      <c r="AS39" s="49" t="str">
        <f>'INS-UPD Heat'!AS60</f>
        <v>*0.915096287669067</v>
      </c>
    </row>
    <row r="40" spans="1:45" ht="12.75">
      <c r="A40" t="s">
        <v>124</v>
      </c>
      <c r="C40" t="s">
        <v>29</v>
      </c>
      <c r="D40" t="str">
        <f t="shared" si="4"/>
        <v>C_ES-SH-HO_EL*</v>
      </c>
      <c r="H40" s="54"/>
      <c r="I40" t="str">
        <f>'INS-UPD Heat'!I61</f>
        <v>*0.814695640040816</v>
      </c>
      <c r="J40" t="str">
        <f>'INS-UPD Heat'!J61</f>
        <v>*0.866863618757606</v>
      </c>
      <c r="K40" t="str">
        <f>'INS-UPD Heat'!K61</f>
        <v>*0.814695640040816</v>
      </c>
      <c r="L40" t="str">
        <f>'INS-UPD Heat'!L61</f>
        <v>*0.829770066565543</v>
      </c>
      <c r="M40" t="str">
        <f>'INS-UPD Heat'!M61</f>
        <v>*0.670139292549879</v>
      </c>
      <c r="N40" t="str">
        <f>'INS-UPD Heat'!N61</f>
        <v>*1</v>
      </c>
      <c r="O40" t="str">
        <f>'INS-UPD Heat'!O61</f>
        <v>*0.806570689531818</v>
      </c>
      <c r="P40" t="str">
        <f>'INS-UPD Heat'!P61</f>
        <v>*0.783236858692403</v>
      </c>
      <c r="Q40" t="str">
        <f>'INS-UPD Heat'!Q61</f>
        <v>*1.16338718199139</v>
      </c>
      <c r="R40" t="str">
        <f>'INS-UPD Heat'!R61</f>
        <v>*0.964160419172593</v>
      </c>
      <c r="S40" t="str">
        <f>'INS-UPD Heat'!S61</f>
        <v>*0.707243659269144</v>
      </c>
      <c r="T40" t="str">
        <f>'INS-UPD Heat'!T61</f>
        <v>*0.814695640040816</v>
      </c>
      <c r="U40" t="str">
        <f>'INS-UPD Heat'!U61</f>
        <v>*0.880205881297254</v>
      </c>
      <c r="V40" t="str">
        <f>'INS-UPD Heat'!V61</f>
        <v>*0.915248470397476</v>
      </c>
      <c r="W40" t="str">
        <f>'INS-UPD Heat'!W61</f>
        <v>*0.982636396644647</v>
      </c>
      <c r="X40" t="str">
        <f>'INS-UPD Heat'!X61</f>
        <v>*0.731393580117313</v>
      </c>
      <c r="Y40" t="str">
        <f>'INS-UPD Heat'!Y61</f>
        <v>*0.847123481616257</v>
      </c>
      <c r="Z40" t="str">
        <f>'INS-UPD Heat'!Z61</f>
        <v>*0.856585176139782</v>
      </c>
      <c r="AA40" t="str">
        <f>'INS-UPD Heat'!AA61</f>
        <v>*0.964160419172593</v>
      </c>
      <c r="AB40" t="str">
        <f>'INS-UPD Heat'!AB61</f>
        <v>*0.975703024004163</v>
      </c>
      <c r="AC40" t="str">
        <f>'INS-UPD Heat'!AC61</f>
        <v>*0.814695640040816</v>
      </c>
      <c r="AD40" t="str">
        <f>'INS-UPD Heat'!AD61</f>
        <v>*0.801302174406614</v>
      </c>
      <c r="AE40" t="str">
        <f>'INS-UPD Heat'!AE61</f>
        <v>*1.04929722822849</v>
      </c>
      <c r="AF40" t="str">
        <f>'INS-UPD Heat'!AF61</f>
        <v>*0.802607320234305</v>
      </c>
      <c r="AG40" t="str">
        <f>'INS-UPD Heat'!AG61</f>
        <v>*0.814695640040816</v>
      </c>
      <c r="AH40" t="str">
        <f>'INS-UPD Heat'!AH61</f>
        <v>*0.814695640040816</v>
      </c>
      <c r="AI40" t="str">
        <f>'INS-UPD Heat'!AI61</f>
        <v>*0.662075744685471</v>
      </c>
      <c r="AJ40" t="str">
        <f>'INS-UPD Heat'!AJ61</f>
        <v>*1.09991267506868</v>
      </c>
      <c r="AK40" t="str">
        <f>'INS-UPD Heat'!AK61</f>
        <v>*0.964160419172593</v>
      </c>
      <c r="AL40" t="str">
        <f>'INS-UPD Heat'!AL61</f>
        <v>*0.973806550892689</v>
      </c>
      <c r="AM40" t="str">
        <f>'INS-UPD Heat'!AM61</f>
        <v>*0.840908698492736</v>
      </c>
      <c r="AN40" t="str">
        <f>'INS-UPD Heat'!AN61</f>
        <v>*0.752940453106604</v>
      </c>
      <c r="AO40" t="str">
        <f>'INS-UPD Heat'!AO61</f>
        <v>*0.814695640040816</v>
      </c>
      <c r="AP40" t="str">
        <f>'INS-UPD Heat'!AP61</f>
        <v>*0.885880097942198</v>
      </c>
      <c r="AQ40" t="str">
        <f>'INS-UPD Heat'!AQ61</f>
        <v>*0.839394722196866</v>
      </c>
      <c r="AR40" t="str">
        <f>'INS-UPD Heat'!AR61</f>
        <v>*0.812611601321336</v>
      </c>
      <c r="AS40" s="49" t="str">
        <f>'INS-UPD Heat'!AS61</f>
        <v>*1.05673460932283</v>
      </c>
    </row>
    <row r="41" spans="1:45" ht="12.75">
      <c r="A41" t="s">
        <v>125</v>
      </c>
      <c r="C41" t="s">
        <v>29</v>
      </c>
      <c r="D41" t="str">
        <f t="shared" si="4"/>
        <v>C_ES-SH-HO_GA*</v>
      </c>
      <c r="H41" s="54"/>
      <c r="I41" t="str">
        <f>'INS-UPD Heat'!I62</f>
        <v>*0.751789844164435</v>
      </c>
      <c r="J41" t="str">
        <f>'INS-UPD Heat'!J62</f>
        <v>*0.958971368982325</v>
      </c>
      <c r="K41" t="str">
        <f>'INS-UPD Heat'!K62</f>
        <v>*0.751789844164435</v>
      </c>
      <c r="L41" t="str">
        <f>'INS-UPD Heat'!L62</f>
        <v>*0.98247021598169</v>
      </c>
      <c r="M41" t="str">
        <f>'INS-UPD Heat'!M62</f>
        <v>*0.801022925677764</v>
      </c>
      <c r="N41" t="str">
        <f>'INS-UPD Heat'!N62</f>
        <v>*1</v>
      </c>
      <c r="O41" t="str">
        <f>'INS-UPD Heat'!O62</f>
        <v>*0.750312177594846</v>
      </c>
      <c r="P41" t="str">
        <f>'INS-UPD Heat'!P62</f>
        <v>*0.870852828625521</v>
      </c>
      <c r="Q41" t="str">
        <f>'INS-UPD Heat'!Q62</f>
        <v>*0.766721004074585</v>
      </c>
      <c r="R41" t="str">
        <f>'INS-UPD Heat'!R62</f>
        <v>*0.916481590266539</v>
      </c>
      <c r="S41" t="str">
        <f>'INS-UPD Heat'!S62</f>
        <v>*0.868634629976933</v>
      </c>
      <c r="T41" t="str">
        <f>'INS-UPD Heat'!T62</f>
        <v>*0.751789844164435</v>
      </c>
      <c r="U41" t="str">
        <f>'INS-UPD Heat'!U62</f>
        <v>*0.831402561906822</v>
      </c>
      <c r="V41" t="str">
        <f>'INS-UPD Heat'!V62</f>
        <v>*0.877090057188528</v>
      </c>
      <c r="W41" t="str">
        <f>'INS-UPD Heat'!W62</f>
        <v>*0.913903595895035</v>
      </c>
      <c r="X41" t="str">
        <f>'INS-UPD Heat'!X62</f>
        <v>*0.887582361489164</v>
      </c>
      <c r="Y41" t="str">
        <f>'INS-UPD Heat'!Y62</f>
        <v>*0.88826694111973</v>
      </c>
      <c r="Z41" t="str">
        <f>'INS-UPD Heat'!Z62</f>
        <v>*0.932017066676991</v>
      </c>
      <c r="AA41" t="str">
        <f>'INS-UPD Heat'!AA62</f>
        <v>*0.916481590266539</v>
      </c>
      <c r="AB41" t="str">
        <f>'INS-UPD Heat'!AB62</f>
        <v>*0.912611573794044</v>
      </c>
      <c r="AC41" t="str">
        <f>'INS-UPD Heat'!AC62</f>
        <v>*0.751789844164435</v>
      </c>
      <c r="AD41" t="str">
        <f>'INS-UPD Heat'!AD62</f>
        <v>*0.868636514902445</v>
      </c>
      <c r="AE41" t="str">
        <f>'INS-UPD Heat'!AE62</f>
        <v>*0.916280573443744</v>
      </c>
      <c r="AF41" t="str">
        <f>'INS-UPD Heat'!AF62</f>
        <v>*0.902440555603779</v>
      </c>
      <c r="AG41" t="str">
        <f>'INS-UPD Heat'!AG62</f>
        <v>*0.751789844164435</v>
      </c>
      <c r="AH41" t="str">
        <f>'INS-UPD Heat'!AH62</f>
        <v>*0.751789844164435</v>
      </c>
      <c r="AI41" t="str">
        <f>'INS-UPD Heat'!AI62</f>
        <v>*0.782553232285825</v>
      </c>
      <c r="AJ41" t="str">
        <f>'INS-UPD Heat'!AJ62</f>
        <v>*0.983432278118349</v>
      </c>
      <c r="AK41" t="str">
        <f>'INS-UPD Heat'!AK62</f>
        <v>*0.916481590266539</v>
      </c>
      <c r="AL41" t="str">
        <f>'INS-UPD Heat'!AL62</f>
        <v>*0.907097458133649</v>
      </c>
      <c r="AM41" t="str">
        <f>'INS-UPD Heat'!AM62</f>
        <v>*0.858910478986323</v>
      </c>
      <c r="AN41" t="str">
        <f>'INS-UPD Heat'!AN62</f>
        <v>*0.890676709498201</v>
      </c>
      <c r="AO41" t="str">
        <f>'INS-UPD Heat'!AO62</f>
        <v>*0.751789844164435</v>
      </c>
      <c r="AP41" t="str">
        <f>'INS-UPD Heat'!AP62</f>
        <v>*0.868634823876442</v>
      </c>
      <c r="AQ41" t="str">
        <f>'INS-UPD Heat'!AQ62</f>
        <v>*0.944703220399034</v>
      </c>
      <c r="AR41" t="str">
        <f>'INS-UPD Heat'!AR62</f>
        <v>*0.887897908847503</v>
      </c>
      <c r="AS41" s="49" t="str">
        <f>'INS-UPD Heat'!AS62</f>
        <v>*0.915420971135312</v>
      </c>
    </row>
    <row r="42" spans="1:45" ht="12.75">
      <c r="A42" t="s">
        <v>126</v>
      </c>
      <c r="C42" t="s">
        <v>29</v>
      </c>
      <c r="D42" t="str">
        <f t="shared" si="4"/>
        <v>C_ES-SH-HO_OI*</v>
      </c>
      <c r="H42" s="54"/>
      <c r="I42" t="str">
        <f>'INS-UPD Heat'!I63</f>
        <v>*0.753773411000091</v>
      </c>
      <c r="J42" t="str">
        <f>'INS-UPD Heat'!J63</f>
        <v>*0.957544163772634</v>
      </c>
      <c r="K42" t="str">
        <f>'INS-UPD Heat'!K63</f>
        <v>*0.753773411000091</v>
      </c>
      <c r="L42" t="str">
        <f>'INS-UPD Heat'!L63</f>
        <v>*0.983016992017122</v>
      </c>
      <c r="M42" t="str">
        <f>'INS-UPD Heat'!M63</f>
        <v>*0.804716585177828</v>
      </c>
      <c r="N42" t="str">
        <f>'INS-UPD Heat'!N63</f>
        <v>*1</v>
      </c>
      <c r="O42" t="str">
        <f>'INS-UPD Heat'!O63</f>
        <v>*0.753771965014407</v>
      </c>
      <c r="P42" t="str">
        <f>'INS-UPD Heat'!P63</f>
        <v>*0.872640058113471</v>
      </c>
      <c r="Q42" t="str">
        <f>'INS-UPD Heat'!Q63</f>
        <v>*0.715500925014401</v>
      </c>
      <c r="R42" t="str">
        <f>'INS-UPD Heat'!R63</f>
        <v>*0.915094452005067</v>
      </c>
      <c r="S42" t="str">
        <f>'INS-UPD Heat'!S63</f>
        <v>*0.872638584269094</v>
      </c>
      <c r="T42" t="str">
        <f>'INS-UPD Heat'!T63</f>
        <v>*0.753773411000091</v>
      </c>
      <c r="U42" t="str">
        <f>'INS-UPD Heat'!U63</f>
        <v>*0.830188634260304</v>
      </c>
      <c r="V42" t="str">
        <f>'INS-UPD Heat'!V63</f>
        <v>*0.881132627863442</v>
      </c>
      <c r="W42" t="str">
        <f>'INS-UPD Heat'!W63</f>
        <v>*0.915094198262907</v>
      </c>
      <c r="X42" t="str">
        <f>'INS-UPD Heat'!X63</f>
        <v>*0.889621616188381</v>
      </c>
      <c r="Y42" t="str">
        <f>'INS-UPD Heat'!Y63</f>
        <v>*0.768692227740908</v>
      </c>
      <c r="Z42" t="str">
        <f>'INS-UPD Heat'!Z63</f>
        <v>*0.932072829532384</v>
      </c>
      <c r="AA42" t="str">
        <f>'INS-UPD Heat'!AA63</f>
        <v>*0.915094452005067</v>
      </c>
      <c r="AB42" t="str">
        <f>'INS-UPD Heat'!AB63</f>
        <v>*0.915090313213233</v>
      </c>
      <c r="AC42" t="str">
        <f>'INS-UPD Heat'!AC63</f>
        <v>*0.753773411000091</v>
      </c>
      <c r="AD42" t="str">
        <f>'INS-UPD Heat'!AD63</f>
        <v>*0.872642317322356</v>
      </c>
      <c r="AE42" t="str">
        <f>'INS-UPD Heat'!AE63</f>
        <v>*0.915091850300005</v>
      </c>
      <c r="AF42" t="str">
        <f>'INS-UPD Heat'!AF63</f>
        <v>*0.906603397591183</v>
      </c>
      <c r="AG42" t="str">
        <f>'INS-UPD Heat'!AG63</f>
        <v>*0.753773411000091</v>
      </c>
      <c r="AH42" t="str">
        <f>'INS-UPD Heat'!AH63</f>
        <v>*0.753773411000091</v>
      </c>
      <c r="AI42" t="str">
        <f>'INS-UPD Heat'!AI63</f>
        <v>*0.768692227740908</v>
      </c>
      <c r="AJ42" t="str">
        <f>'INS-UPD Heat'!AJ63</f>
        <v>*0.983020136421328</v>
      </c>
      <c r="AK42" t="str">
        <f>'INS-UPD Heat'!AK63</f>
        <v>*0.915094452005067</v>
      </c>
      <c r="AL42" t="str">
        <f>'INS-UPD Heat'!AL63</f>
        <v>*0.906603703265176</v>
      </c>
      <c r="AM42" t="str">
        <f>'INS-UPD Heat'!AM63</f>
        <v>*0.855661126516543</v>
      </c>
      <c r="AN42" t="str">
        <f>'INS-UPD Heat'!AN63</f>
        <v>*0.893867563595842</v>
      </c>
      <c r="AO42" t="str">
        <f>'INS-UPD Heat'!AO63</f>
        <v>*0.753773411000091</v>
      </c>
      <c r="AP42" t="str">
        <f>'INS-UPD Heat'!AP63</f>
        <v>*0.872639506876678</v>
      </c>
      <c r="AQ42" t="str">
        <f>'INS-UPD Heat'!AQ63</f>
        <v>*0.94905683960654</v>
      </c>
      <c r="AR42" t="str">
        <f>'INS-UPD Heat'!AR63</f>
        <v>*0.889623028548323</v>
      </c>
      <c r="AS42" s="49" t="str">
        <f>'INS-UPD Heat'!AS63</f>
        <v>*0.915091716306065</v>
      </c>
    </row>
    <row r="43" spans="1:45" ht="12.75">
      <c r="A43" t="s">
        <v>127</v>
      </c>
      <c r="C43" t="s">
        <v>29</v>
      </c>
      <c r="D43" t="str">
        <f t="shared" si="4"/>
        <v>C_ES-SH-HO_GE*</v>
      </c>
      <c r="H43" s="54"/>
      <c r="I43" t="str">
        <f>'INS-UPD Heat'!I64</f>
        <v>*1</v>
      </c>
      <c r="J43" t="str">
        <f>'INS-UPD Heat'!J64</f>
        <v>*1.18071512418715</v>
      </c>
      <c r="K43" t="str">
        <f>'INS-UPD Heat'!K64</f>
        <v>*1</v>
      </c>
      <c r="L43" t="str">
        <f>'INS-UPD Heat'!L64</f>
        <v>*1</v>
      </c>
      <c r="M43" t="str">
        <f>'INS-UPD Heat'!M64</f>
        <v>*0.992265584693816</v>
      </c>
      <c r="N43" t="str">
        <f>'INS-UPD Heat'!N64</f>
        <v>*1</v>
      </c>
      <c r="O43" t="str">
        <f>'INS-UPD Heat'!O64</f>
        <v>*1</v>
      </c>
      <c r="P43" t="str">
        <f>'INS-UPD Heat'!P64</f>
        <v>*1</v>
      </c>
      <c r="Q43" t="str">
        <f>'INS-UPD Heat'!Q64</f>
        <v>*0.7</v>
      </c>
      <c r="R43" t="str">
        <f>'INS-UPD Heat'!R64</f>
        <v>*1</v>
      </c>
      <c r="S43" t="str">
        <f>'INS-UPD Heat'!S64</f>
        <v>*1</v>
      </c>
      <c r="T43" t="str">
        <f>'INS-UPD Heat'!T64</f>
        <v>*1</v>
      </c>
      <c r="U43" t="str">
        <f>'INS-UPD Heat'!U64</f>
        <v>*1.02367221742178</v>
      </c>
      <c r="V43" t="str">
        <f>'INS-UPD Heat'!V64</f>
        <v>*1</v>
      </c>
      <c r="W43" t="str">
        <f>'INS-UPD Heat'!W64</f>
        <v>*1.12836642882944</v>
      </c>
      <c r="X43" t="str">
        <f>'INS-UPD Heat'!X64</f>
        <v>*1.09695901278096</v>
      </c>
      <c r="Y43" t="str">
        <f>'INS-UPD Heat'!Y64</f>
        <v>*1.09695874032411</v>
      </c>
      <c r="Z43" t="str">
        <f>'INS-UPD Heat'!Z64</f>
        <v>*1</v>
      </c>
      <c r="AA43" t="str">
        <f>'INS-UPD Heat'!AA64</f>
        <v>*1</v>
      </c>
      <c r="AB43" t="str">
        <f>'INS-UPD Heat'!AB64</f>
        <v>*1.12836780488483</v>
      </c>
      <c r="AC43" t="str">
        <f>'INS-UPD Heat'!AC64</f>
        <v>*1</v>
      </c>
      <c r="AD43" t="str">
        <f>'INS-UPD Heat'!AD64</f>
        <v>*1</v>
      </c>
      <c r="AE43" t="str">
        <f>'INS-UPD Heat'!AE64</f>
        <v>*1</v>
      </c>
      <c r="AF43" t="str">
        <f>'INS-UPD Heat'!AF64</f>
        <v>*1</v>
      </c>
      <c r="AG43" t="str">
        <f>'INS-UPD Heat'!AG64</f>
        <v>*1</v>
      </c>
      <c r="AH43" t="str">
        <f>'INS-UPD Heat'!AH64</f>
        <v>*1</v>
      </c>
      <c r="AI43" t="str">
        <f>'INS-UPD Heat'!AI64</f>
        <v>*1</v>
      </c>
      <c r="AJ43" t="str">
        <f>'INS-UPD Heat'!AJ64</f>
        <v>*1</v>
      </c>
      <c r="AK43" t="str">
        <f>'INS-UPD Heat'!AK64</f>
        <v>*1</v>
      </c>
      <c r="AL43" t="str">
        <f>'INS-UPD Heat'!AL64</f>
        <v>*1.11789847320821</v>
      </c>
      <c r="AM43" t="str">
        <f>'INS-UPD Heat'!AM64</f>
        <v>*1.05508137432188</v>
      </c>
      <c r="AN43" t="str">
        <f>'INS-UPD Heat'!AN64</f>
        <v>*1.10219424337653</v>
      </c>
      <c r="AO43" t="str">
        <f>'INS-UPD Heat'!AO64</f>
        <v>*1</v>
      </c>
      <c r="AP43" t="str">
        <f>'INS-UPD Heat'!AP64</f>
        <v>*1</v>
      </c>
      <c r="AQ43" t="str">
        <f>'INS-UPD Heat'!AQ64</f>
        <v>*1.17024478027022</v>
      </c>
      <c r="AR43" t="str">
        <f>'INS-UPD Heat'!AR64</f>
        <v>*1.0969585751785</v>
      </c>
      <c r="AS43" s="49" t="str">
        <f>'INS-UPD Heat'!AS64</f>
        <v>*1.12836656997825</v>
      </c>
    </row>
    <row r="44" spans="1:45" ht="12.75">
      <c r="A44" t="s">
        <v>128</v>
      </c>
      <c r="C44" t="s">
        <v>29</v>
      </c>
      <c r="D44" t="str">
        <f t="shared" si="4"/>
        <v>C_ES-SH-HO_LP*</v>
      </c>
      <c r="H44" s="54"/>
      <c r="I44" t="str">
        <f>'INS-UPD Heat'!I65</f>
        <v>*1</v>
      </c>
      <c r="J44" t="str">
        <f>'INS-UPD Heat'!J65</f>
        <v>*1</v>
      </c>
      <c r="K44" t="str">
        <f>'INS-UPD Heat'!K65</f>
        <v>*1</v>
      </c>
      <c r="L44" t="str">
        <f>'INS-UPD Heat'!L65</f>
        <v>*1</v>
      </c>
      <c r="M44" t="str">
        <f>'INS-UPD Heat'!M65</f>
        <v>*1</v>
      </c>
      <c r="N44" t="str">
        <f>'INS-UPD Heat'!N65</f>
        <v>*1</v>
      </c>
      <c r="O44" t="str">
        <f>'INS-UPD Heat'!O65</f>
        <v>*1</v>
      </c>
      <c r="P44" t="str">
        <f>'INS-UPD Heat'!P65</f>
        <v>*1</v>
      </c>
      <c r="Q44" t="str">
        <f>'INS-UPD Heat'!Q65</f>
        <v>*0.666666666666667</v>
      </c>
      <c r="R44" t="str">
        <f>'INS-UPD Heat'!R65</f>
        <v>*1</v>
      </c>
      <c r="S44" t="str">
        <f>'INS-UPD Heat'!S65</f>
        <v>*1</v>
      </c>
      <c r="T44" t="str">
        <f>'INS-UPD Heat'!T65</f>
        <v>*1</v>
      </c>
      <c r="U44" t="str">
        <f>'INS-UPD Heat'!U65</f>
        <v>*1</v>
      </c>
      <c r="V44" t="str">
        <f>'INS-UPD Heat'!V65</f>
        <v>*1</v>
      </c>
      <c r="W44" t="str">
        <f>'INS-UPD Heat'!W65</f>
        <v>*1</v>
      </c>
      <c r="X44" t="str">
        <f>'INS-UPD Heat'!X65</f>
        <v>*1</v>
      </c>
      <c r="Y44" t="str">
        <f>'INS-UPD Heat'!Y65</f>
        <v>*1</v>
      </c>
      <c r="Z44" t="str">
        <f>'INS-UPD Heat'!Z65</f>
        <v>*1</v>
      </c>
      <c r="AA44" t="str">
        <f>'INS-UPD Heat'!AA65</f>
        <v>*1</v>
      </c>
      <c r="AB44" t="str">
        <f>'INS-UPD Heat'!AB65</f>
        <v>*1.00831519600226</v>
      </c>
      <c r="AC44" t="str">
        <f>'INS-UPD Heat'!AC65</f>
        <v>*1</v>
      </c>
      <c r="AD44" t="str">
        <f>'INS-UPD Heat'!AD65</f>
        <v>*1</v>
      </c>
      <c r="AE44" t="str">
        <f>'INS-UPD Heat'!AE65</f>
        <v>*1.00831336713657</v>
      </c>
      <c r="AF44" t="str">
        <f>'INS-UPD Heat'!AF65</f>
        <v>*1</v>
      </c>
      <c r="AG44" t="str">
        <f>'INS-UPD Heat'!AG65</f>
        <v>*1</v>
      </c>
      <c r="AH44" t="str">
        <f>'INS-UPD Heat'!AH65</f>
        <v>*1</v>
      </c>
      <c r="AI44" t="str">
        <f>'INS-UPD Heat'!AI65</f>
        <v>*1</v>
      </c>
      <c r="AJ44" t="str">
        <f>'INS-UPD Heat'!AJ65</f>
        <v>*1</v>
      </c>
      <c r="AK44" t="str">
        <f>'INS-UPD Heat'!AK65</f>
        <v>*1</v>
      </c>
      <c r="AL44" t="str">
        <f>'INS-UPD Heat'!AL65</f>
        <v>*1</v>
      </c>
      <c r="AM44" t="str">
        <f>'INS-UPD Heat'!AM65</f>
        <v>*1</v>
      </c>
      <c r="AN44" t="str">
        <f>'INS-UPD Heat'!AN65</f>
        <v>*1</v>
      </c>
      <c r="AO44" t="str">
        <f>'INS-UPD Heat'!AO65</f>
        <v>*1</v>
      </c>
      <c r="AP44" t="str">
        <f>'INS-UPD Heat'!AP65</f>
        <v>*1</v>
      </c>
      <c r="AQ44" t="str">
        <f>'INS-UPD Heat'!AQ65</f>
        <v>*1.045737981492</v>
      </c>
      <c r="AR44" t="str">
        <f>'INS-UPD Heat'!AR65</f>
        <v>*1</v>
      </c>
      <c r="AS44" s="49" t="str">
        <f>'INS-UPD Heat'!AS65</f>
        <v>*1</v>
      </c>
    </row>
    <row r="45" spans="1:45" ht="12.75">
      <c r="A45" t="s">
        <v>129</v>
      </c>
      <c r="C45" t="s">
        <v>29</v>
      </c>
      <c r="D45" t="str">
        <f t="shared" si="4"/>
        <v>C_ES-SH-HO_CO*</v>
      </c>
      <c r="H45" s="54"/>
      <c r="I45" t="str">
        <f>'INS-UPD Heat'!I66</f>
        <v>*0.806322012647686</v>
      </c>
      <c r="J45" t="str">
        <f>'INS-UPD Heat'!J66</f>
        <v>*0.957546566204691</v>
      </c>
      <c r="K45" t="str">
        <f>'INS-UPD Heat'!K66</f>
        <v>*0.806322012647686</v>
      </c>
      <c r="L45" t="str">
        <f>'INS-UPD Heat'!L66</f>
        <v>*0.806322012647686</v>
      </c>
      <c r="M45" t="str">
        <f>'INS-UPD Heat'!M66</f>
        <v>*0.804719068299585</v>
      </c>
      <c r="N45" t="str">
        <f>'INS-UPD Heat'!N66</f>
        <v>*1</v>
      </c>
      <c r="O45" t="str">
        <f>'INS-UPD Heat'!O66</f>
        <v>*0.806322012647686</v>
      </c>
      <c r="P45" t="str">
        <f>'INS-UPD Heat'!P66</f>
        <v>*0.872641433460454</v>
      </c>
      <c r="Q45" t="str">
        <f>'INS-UPD Heat'!Q66</f>
        <v>*0.620099652691077</v>
      </c>
      <c r="R45" t="str">
        <f>'INS-UPD Heat'!R66</f>
        <v>*0.806322012647686</v>
      </c>
      <c r="S45" t="str">
        <f>'INS-UPD Heat'!S66</f>
        <v>*0.872643446827971</v>
      </c>
      <c r="T45" t="str">
        <f>'INS-UPD Heat'!T66</f>
        <v>*0.806322012647686</v>
      </c>
      <c r="U45" t="str">
        <f>'INS-UPD Heat'!U66</f>
        <v>*0.830187692790597</v>
      </c>
      <c r="V45" t="str">
        <f>'INS-UPD Heat'!V66</f>
        <v>*0.88113082387544</v>
      </c>
      <c r="W45" t="str">
        <f>'INS-UPD Heat'!W66</f>
        <v>*0.806322012647686</v>
      </c>
      <c r="X45" t="str">
        <f>'INS-UPD Heat'!X66</f>
        <v>*0.889623229961177</v>
      </c>
      <c r="Y45" t="str">
        <f>'INS-UPD Heat'!Y66</f>
        <v>*0.889620935555759</v>
      </c>
      <c r="Z45" t="str">
        <f>'INS-UPD Heat'!Z66</f>
        <v>*0.806322012647686</v>
      </c>
      <c r="AA45" t="str">
        <f>'INS-UPD Heat'!AA66</f>
        <v>*0.806322012647686</v>
      </c>
      <c r="AB45" t="str">
        <f>'INS-UPD Heat'!AB66</f>
        <v>*0.806322012647686</v>
      </c>
      <c r="AC45" t="str">
        <f>'INS-UPD Heat'!AC66</f>
        <v>*0.806322012647686</v>
      </c>
      <c r="AD45" t="str">
        <f>'INS-UPD Heat'!AD66</f>
        <v>*0.87264257545149</v>
      </c>
      <c r="AE45" t="str">
        <f>'INS-UPD Heat'!AE66</f>
        <v>*0.806322012647686</v>
      </c>
      <c r="AF45" t="str">
        <f>'INS-UPD Heat'!AF66</f>
        <v>*0.906603887155439</v>
      </c>
      <c r="AG45" t="str">
        <f>'INS-UPD Heat'!AG66</f>
        <v>*0.806322012647686</v>
      </c>
      <c r="AH45" t="str">
        <f>'INS-UPD Heat'!AH66</f>
        <v>*0.806322012647686</v>
      </c>
      <c r="AI45" t="str">
        <f>'INS-UPD Heat'!AI66</f>
        <v>*0.806322012647686</v>
      </c>
      <c r="AJ45" t="str">
        <f>'INS-UPD Heat'!AJ66</f>
        <v>*0.983019632318116</v>
      </c>
      <c r="AK45" t="str">
        <f>'INS-UPD Heat'!AK66</f>
        <v>*0.806322012647686</v>
      </c>
      <c r="AL45" t="str">
        <f>'INS-UPD Heat'!AL66</f>
        <v>*0.906604351626599</v>
      </c>
      <c r="AM45" t="str">
        <f>'INS-UPD Heat'!AM66</f>
        <v>*0.806322012647686</v>
      </c>
      <c r="AN45" t="str">
        <f>'INS-UPD Heat'!AN66</f>
        <v>*0.89386762861896</v>
      </c>
      <c r="AO45" t="str">
        <f>'INS-UPD Heat'!AO66</f>
        <v>*0.806322012647686</v>
      </c>
      <c r="AP45" t="str">
        <f>'INS-UPD Heat'!AP66</f>
        <v>*0.806322012647686</v>
      </c>
      <c r="AQ45" t="str">
        <f>'INS-UPD Heat'!AQ66</f>
        <v>*0.806322012647686</v>
      </c>
      <c r="AR45" t="str">
        <f>'INS-UPD Heat'!AR66</f>
        <v>*0.889622985856844</v>
      </c>
      <c r="AS45" s="49" t="str">
        <f>'INS-UPD Heat'!AS66</f>
        <v>*0.915091066360072</v>
      </c>
    </row>
    <row r="46" spans="1:45" ht="12.75">
      <c r="A46" t="s">
        <v>130</v>
      </c>
      <c r="C46" t="s">
        <v>29</v>
      </c>
      <c r="D46" t="str">
        <f t="shared" si="4"/>
        <v>C_ES-SH-HR_BI*</v>
      </c>
      <c r="H46" s="54"/>
      <c r="I46" t="str">
        <f>'INS-UPD Heat'!I67</f>
        <v>*1</v>
      </c>
      <c r="J46" t="str">
        <f>'INS-UPD Heat'!J67</f>
        <v>*1.13273935601115</v>
      </c>
      <c r="K46" t="str">
        <f>'INS-UPD Heat'!K67</f>
        <v>*1</v>
      </c>
      <c r="L46" t="str">
        <f>'INS-UPD Heat'!L67</f>
        <v>*1.16287202779621</v>
      </c>
      <c r="M46" t="str">
        <f>'INS-UPD Heat'!M67</f>
        <v>*0.951947404871184</v>
      </c>
      <c r="N46" t="str">
        <f>'INS-UPD Heat'!N67</f>
        <v>*1</v>
      </c>
      <c r="O46" t="str">
        <f>'INS-UPD Heat'!O67</f>
        <v>*0.891684624593808</v>
      </c>
      <c r="P46" t="str">
        <f>'INS-UPD Heat'!P67</f>
        <v>*1.03230037990426</v>
      </c>
      <c r="Q46" t="str">
        <f>'INS-UPD Heat'!Q67</f>
        <v>*0.5</v>
      </c>
      <c r="R46" t="str">
        <f>'INS-UPD Heat'!R67</f>
        <v>*1.0825169264074</v>
      </c>
      <c r="S46" t="str">
        <f>'INS-UPD Heat'!S67</f>
        <v>*1.03229644898342</v>
      </c>
      <c r="T46" t="str">
        <f>'INS-UPD Heat'!T67</f>
        <v>*1</v>
      </c>
      <c r="U46" t="str">
        <f>'INS-UPD Heat'!U67</f>
        <v>*0.982080090991512</v>
      </c>
      <c r="V46" t="str">
        <f>'INS-UPD Heat'!V67</f>
        <v>*1.0423429136333</v>
      </c>
      <c r="W46" t="str">
        <f>'INS-UPD Heat'!W67</f>
        <v>*1.08252106666226</v>
      </c>
      <c r="X46" t="str">
        <f>'INS-UPD Heat'!X67</f>
        <v>*1.05238453545451</v>
      </c>
      <c r="Y46" t="str">
        <f>'INS-UPD Heat'!Y67</f>
        <v>*1.05238966451752</v>
      </c>
      <c r="Z46" t="str">
        <f>'INS-UPD Heat'!Z67</f>
        <v>*1.1026073590249</v>
      </c>
      <c r="AA46" t="str">
        <f>'INS-UPD Heat'!AA67</f>
        <v>*1.0825169264074</v>
      </c>
      <c r="AB46" t="str">
        <f>'INS-UPD Heat'!AB67</f>
        <v>*1</v>
      </c>
      <c r="AC46" t="str">
        <f>'INS-UPD Heat'!AC67</f>
        <v>*1</v>
      </c>
      <c r="AD46" t="str">
        <f>'INS-UPD Heat'!AD67</f>
        <v>*1.03230017588431</v>
      </c>
      <c r="AE46" t="str">
        <f>'INS-UPD Heat'!AE67</f>
        <v>*1</v>
      </c>
      <c r="AF46" t="str">
        <f>'INS-UPD Heat'!AF67</f>
        <v>*1.07247594152106</v>
      </c>
      <c r="AG46" t="str">
        <f>'INS-UPD Heat'!AG67</f>
        <v>*1</v>
      </c>
      <c r="AH46" t="str">
        <f>'INS-UPD Heat'!AH67</f>
        <v>*1</v>
      </c>
      <c r="AI46" t="str">
        <f>'INS-UPD Heat'!AI67</f>
        <v>*1</v>
      </c>
      <c r="AJ46" t="str">
        <f>'INS-UPD Heat'!AJ67</f>
        <v>*1.16287284644911</v>
      </c>
      <c r="AK46" t="str">
        <f>'INS-UPD Heat'!AK67</f>
        <v>*1.0825169264074</v>
      </c>
      <c r="AL46" t="str">
        <f>'INS-UPD Heat'!AL67</f>
        <v>*1.07247406151033</v>
      </c>
      <c r="AM46" t="str">
        <f>'INS-UPD Heat'!AM67</f>
        <v>*1</v>
      </c>
      <c r="AN46" t="str">
        <f>'INS-UPD Heat'!AN67</f>
        <v>*1</v>
      </c>
      <c r="AO46" t="str">
        <f>'INS-UPD Heat'!AO67</f>
        <v>*1</v>
      </c>
      <c r="AP46" t="str">
        <f>'INS-UPD Heat'!AP67</f>
        <v>*1.03229798151806</v>
      </c>
      <c r="AQ46" t="str">
        <f>'INS-UPD Heat'!AQ67</f>
        <v>*1</v>
      </c>
      <c r="AR46" t="str">
        <f>'INS-UPD Heat'!AR67</f>
        <v>*1.05238916181003</v>
      </c>
      <c r="AS46" s="49" t="str">
        <f>'INS-UPD Heat'!AS67</f>
        <v>*1.08252104532776</v>
      </c>
    </row>
    <row r="47" spans="1:45" ht="12.75">
      <c r="A47" t="s">
        <v>131</v>
      </c>
      <c r="C47" t="s">
        <v>29</v>
      </c>
      <c r="D47" t="str">
        <f t="shared" si="4"/>
        <v>C_ES-SH-HR_HE*</v>
      </c>
      <c r="H47" s="54"/>
      <c r="I47" t="str">
        <f>'INS-UPD Heat'!I68</f>
        <v>*0.880504783355962</v>
      </c>
      <c r="J47" t="str">
        <f>'INS-UPD Heat'!J68</f>
        <v>*0.957548618872751</v>
      </c>
      <c r="K47" t="str">
        <f>'INS-UPD Heat'!K68</f>
        <v>*0.880504783355962</v>
      </c>
      <c r="L47" t="str">
        <f>'INS-UPD Heat'!L68</f>
        <v>*0.983020646759874</v>
      </c>
      <c r="M47" t="str">
        <f>'INS-UPD Heat'!M68</f>
        <v>*0.804718937699145</v>
      </c>
      <c r="N47" t="str">
        <f>'INS-UPD Heat'!N68</f>
        <v>*1</v>
      </c>
      <c r="O47" t="str">
        <f>'INS-UPD Heat'!O68</f>
        <v>*0.880504783355962</v>
      </c>
      <c r="P47" t="str">
        <f>'INS-UPD Heat'!P68</f>
        <v>*0.872644275983274</v>
      </c>
      <c r="Q47" t="str">
        <f>'INS-UPD Heat'!Q68</f>
        <v>*0.908569737634899</v>
      </c>
      <c r="R47" t="str">
        <f>'INS-UPD Heat'!R68</f>
        <v>*0.915095212233637</v>
      </c>
      <c r="S47" t="str">
        <f>'INS-UPD Heat'!S68</f>
        <v>*0.872642655737943</v>
      </c>
      <c r="T47" t="str">
        <f>'INS-UPD Heat'!T68</f>
        <v>*0.880504783355962</v>
      </c>
      <c r="U47" t="str">
        <f>'INS-UPD Heat'!U68</f>
        <v>*0.880504783355962</v>
      </c>
      <c r="V47" t="str">
        <f>'INS-UPD Heat'!V68</f>
        <v>*0.881131477151944</v>
      </c>
      <c r="W47" t="str">
        <f>'INS-UPD Heat'!W68</f>
        <v>*0.915093124359608</v>
      </c>
      <c r="X47" t="str">
        <f>'INS-UPD Heat'!X68</f>
        <v>*0.889625250941913</v>
      </c>
      <c r="Y47" t="str">
        <f>'INS-UPD Heat'!Y68</f>
        <v>*0.889623372740061</v>
      </c>
      <c r="Z47" t="str">
        <f>'INS-UPD Heat'!Z68</f>
        <v>*0.880504783355962</v>
      </c>
      <c r="AA47" t="str">
        <f>'INS-UPD Heat'!AA68</f>
        <v>*0.915095212233637</v>
      </c>
      <c r="AB47" t="str">
        <f>'INS-UPD Heat'!AB68</f>
        <v>*0.915095341838966</v>
      </c>
      <c r="AC47" t="str">
        <f>'INS-UPD Heat'!AC68</f>
        <v>*0.880504783355962</v>
      </c>
      <c r="AD47" t="str">
        <f>'INS-UPD Heat'!AD68</f>
        <v>*0.872640325737902</v>
      </c>
      <c r="AE47" t="str">
        <f>'INS-UPD Heat'!AE68</f>
        <v>*0.915097225102635</v>
      </c>
      <c r="AF47" t="str">
        <f>'INS-UPD Heat'!AF68</f>
        <v>*0.906602703277204</v>
      </c>
      <c r="AG47" t="str">
        <f>'INS-UPD Heat'!AG68</f>
        <v>*0.880504783355962</v>
      </c>
      <c r="AH47" t="str">
        <f>'INS-UPD Heat'!AH68</f>
        <v>*0.880504783355962</v>
      </c>
      <c r="AI47" t="str">
        <f>'INS-UPD Heat'!AI68</f>
        <v>*0.880504783355962</v>
      </c>
      <c r="AJ47" t="str">
        <f>'INS-UPD Heat'!AJ68</f>
        <v>*0.983021041372418</v>
      </c>
      <c r="AK47" t="str">
        <f>'INS-UPD Heat'!AK68</f>
        <v>*0.915095212233637</v>
      </c>
      <c r="AL47" t="str">
        <f>'INS-UPD Heat'!AL68</f>
        <v>*0.906604639952111</v>
      </c>
      <c r="AM47" t="str">
        <f>'INS-UPD Heat'!AM68</f>
        <v>*0.855664327496265</v>
      </c>
      <c r="AN47" t="str">
        <f>'INS-UPD Heat'!AN68</f>
        <v>*0.89386936286641</v>
      </c>
      <c r="AO47" t="str">
        <f>'INS-UPD Heat'!AO68</f>
        <v>*0.880504783355962</v>
      </c>
      <c r="AP47" t="str">
        <f>'INS-UPD Heat'!AP68</f>
        <v>*0.872640441278991</v>
      </c>
      <c r="AQ47" t="str">
        <f>'INS-UPD Heat'!AQ68</f>
        <v>*0.949060077873277</v>
      </c>
      <c r="AR47" t="str">
        <f>'INS-UPD Heat'!AR68</f>
        <v>*0.889625648915354</v>
      </c>
      <c r="AS47" s="49" t="str">
        <f>'INS-UPD Heat'!AS68</f>
        <v>*0.915096287669067</v>
      </c>
    </row>
    <row r="48" spans="1:45" ht="12.75">
      <c r="A48" t="s">
        <v>132</v>
      </c>
      <c r="C48" t="s">
        <v>29</v>
      </c>
      <c r="D48" t="str">
        <f t="shared" si="4"/>
        <v>C_ES-SH-HR_EL*</v>
      </c>
      <c r="H48" s="54"/>
      <c r="I48" t="str">
        <f>'INS-UPD Heat'!I69</f>
        <v>*0.814695640040816</v>
      </c>
      <c r="J48" t="str">
        <f>'INS-UPD Heat'!J69</f>
        <v>*0.866863618757606</v>
      </c>
      <c r="K48" t="str">
        <f>'INS-UPD Heat'!K69</f>
        <v>*0.814695640040816</v>
      </c>
      <c r="L48" t="str">
        <f>'INS-UPD Heat'!L69</f>
        <v>*0.829770066565543</v>
      </c>
      <c r="M48" t="str">
        <f>'INS-UPD Heat'!M69</f>
        <v>*0.670139292549879</v>
      </c>
      <c r="N48" t="str">
        <f>'INS-UPD Heat'!N69</f>
        <v>*1</v>
      </c>
      <c r="O48" t="str">
        <f>'INS-UPD Heat'!O69</f>
        <v>*0.806570689531818</v>
      </c>
      <c r="P48" t="str">
        <f>'INS-UPD Heat'!P69</f>
        <v>*0.783236858692403</v>
      </c>
      <c r="Q48" t="str">
        <f>'INS-UPD Heat'!Q69</f>
        <v>*1.16338718199139</v>
      </c>
      <c r="R48" t="str">
        <f>'INS-UPD Heat'!R69</f>
        <v>*0.964160419172593</v>
      </c>
      <c r="S48" t="str">
        <f>'INS-UPD Heat'!S69</f>
        <v>*0.707243659269144</v>
      </c>
      <c r="T48" t="str">
        <f>'INS-UPD Heat'!T69</f>
        <v>*0.814695640040816</v>
      </c>
      <c r="U48" t="str">
        <f>'INS-UPD Heat'!U69</f>
        <v>*0.880205881297254</v>
      </c>
      <c r="V48" t="str">
        <f>'INS-UPD Heat'!V69</f>
        <v>*0.915248470397476</v>
      </c>
      <c r="W48" t="str">
        <f>'INS-UPD Heat'!W69</f>
        <v>*0.982636396644647</v>
      </c>
      <c r="X48" t="str">
        <f>'INS-UPD Heat'!X69</f>
        <v>*0.731393580117313</v>
      </c>
      <c r="Y48" t="str">
        <f>'INS-UPD Heat'!Y69</f>
        <v>*0.847123481616257</v>
      </c>
      <c r="Z48" t="str">
        <f>'INS-UPD Heat'!Z69</f>
        <v>*0.856585176139782</v>
      </c>
      <c r="AA48" t="str">
        <f>'INS-UPD Heat'!AA69</f>
        <v>*0.964160419172593</v>
      </c>
      <c r="AB48" t="str">
        <f>'INS-UPD Heat'!AB69</f>
        <v>*0.975703024004163</v>
      </c>
      <c r="AC48" t="str">
        <f>'INS-UPD Heat'!AC69</f>
        <v>*0.814695640040816</v>
      </c>
      <c r="AD48" t="str">
        <f>'INS-UPD Heat'!AD69</f>
        <v>*0.801302174406614</v>
      </c>
      <c r="AE48" t="str">
        <f>'INS-UPD Heat'!AE69</f>
        <v>*1.04929722822849</v>
      </c>
      <c r="AF48" t="str">
        <f>'INS-UPD Heat'!AF69</f>
        <v>*0.802607320234305</v>
      </c>
      <c r="AG48" t="str">
        <f>'INS-UPD Heat'!AG69</f>
        <v>*0.814695640040816</v>
      </c>
      <c r="AH48" t="str">
        <f>'INS-UPD Heat'!AH69</f>
        <v>*0.814695640040816</v>
      </c>
      <c r="AI48" t="str">
        <f>'INS-UPD Heat'!AI69</f>
        <v>*0.662075744685471</v>
      </c>
      <c r="AJ48" t="str">
        <f>'INS-UPD Heat'!AJ69</f>
        <v>*1.09991267506868</v>
      </c>
      <c r="AK48" t="str">
        <f>'INS-UPD Heat'!AK69</f>
        <v>*0.964160419172593</v>
      </c>
      <c r="AL48" t="str">
        <f>'INS-UPD Heat'!AL69</f>
        <v>*0.973806550892689</v>
      </c>
      <c r="AM48" t="str">
        <f>'INS-UPD Heat'!AM69</f>
        <v>*0.840908698492736</v>
      </c>
      <c r="AN48" t="str">
        <f>'INS-UPD Heat'!AN69</f>
        <v>*0.752940453106604</v>
      </c>
      <c r="AO48" t="str">
        <f>'INS-UPD Heat'!AO69</f>
        <v>*0.814695640040816</v>
      </c>
      <c r="AP48" t="str">
        <f>'INS-UPD Heat'!AP69</f>
        <v>*0.885880097942198</v>
      </c>
      <c r="AQ48" t="str">
        <f>'INS-UPD Heat'!AQ69</f>
        <v>*0.839394722196866</v>
      </c>
      <c r="AR48" t="str">
        <f>'INS-UPD Heat'!AR69</f>
        <v>*0.812611601321336</v>
      </c>
      <c r="AS48" s="49" t="str">
        <f>'INS-UPD Heat'!AS69</f>
        <v>*1.05673460932283</v>
      </c>
    </row>
    <row r="49" spans="1:45" ht="12.75">
      <c r="A49" t="s">
        <v>133</v>
      </c>
      <c r="C49" t="s">
        <v>29</v>
      </c>
      <c r="D49" t="str">
        <f t="shared" si="4"/>
        <v>C_ES-SH-HR_GA*</v>
      </c>
      <c r="H49" s="54"/>
      <c r="I49" t="str">
        <f>'INS-UPD Heat'!I70</f>
        <v>*0.751789844164435</v>
      </c>
      <c r="J49" t="str">
        <f>'INS-UPD Heat'!J70</f>
        <v>*0.958971368982325</v>
      </c>
      <c r="K49" t="str">
        <f>'INS-UPD Heat'!K70</f>
        <v>*0.751789844164435</v>
      </c>
      <c r="L49" t="str">
        <f>'INS-UPD Heat'!L70</f>
        <v>*0.98247021598169</v>
      </c>
      <c r="M49" t="str">
        <f>'INS-UPD Heat'!M70</f>
        <v>*0.801022925677764</v>
      </c>
      <c r="N49" t="str">
        <f>'INS-UPD Heat'!N70</f>
        <v>*1</v>
      </c>
      <c r="O49" t="str">
        <f>'INS-UPD Heat'!O70</f>
        <v>*0.750312177594846</v>
      </c>
      <c r="P49" t="str">
        <f>'INS-UPD Heat'!P70</f>
        <v>*0.870852828625521</v>
      </c>
      <c r="Q49" t="str">
        <f>'INS-UPD Heat'!Q70</f>
        <v>*0.766721004074585</v>
      </c>
      <c r="R49" t="str">
        <f>'INS-UPD Heat'!R70</f>
        <v>*0.916481590266539</v>
      </c>
      <c r="S49" t="str">
        <f>'INS-UPD Heat'!S70</f>
        <v>*0.868634629976933</v>
      </c>
      <c r="T49" t="str">
        <f>'INS-UPD Heat'!T70</f>
        <v>*0.751789844164435</v>
      </c>
      <c r="U49" t="str">
        <f>'INS-UPD Heat'!U70</f>
        <v>*0.831402561906822</v>
      </c>
      <c r="V49" t="str">
        <f>'INS-UPD Heat'!V70</f>
        <v>*0.877090057188528</v>
      </c>
      <c r="W49" t="str">
        <f>'INS-UPD Heat'!W70</f>
        <v>*0.913903595895035</v>
      </c>
      <c r="X49" t="str">
        <f>'INS-UPD Heat'!X70</f>
        <v>*0.887582361489164</v>
      </c>
      <c r="Y49" t="str">
        <f>'INS-UPD Heat'!Y70</f>
        <v>*0.88826694111973</v>
      </c>
      <c r="Z49" t="str">
        <f>'INS-UPD Heat'!Z70</f>
        <v>*0.932017066676991</v>
      </c>
      <c r="AA49" t="str">
        <f>'INS-UPD Heat'!AA70</f>
        <v>*0.916481590266539</v>
      </c>
      <c r="AB49" t="str">
        <f>'INS-UPD Heat'!AB70</f>
        <v>*0.912611573794044</v>
      </c>
      <c r="AC49" t="str">
        <f>'INS-UPD Heat'!AC70</f>
        <v>*0.751789844164435</v>
      </c>
      <c r="AD49" t="str">
        <f>'INS-UPD Heat'!AD70</f>
        <v>*0.868636514902445</v>
      </c>
      <c r="AE49" t="str">
        <f>'INS-UPD Heat'!AE70</f>
        <v>*0.916280573443744</v>
      </c>
      <c r="AF49" t="str">
        <f>'INS-UPD Heat'!AF70</f>
        <v>*0.902440555603779</v>
      </c>
      <c r="AG49" t="str">
        <f>'INS-UPD Heat'!AG70</f>
        <v>*0.751789844164435</v>
      </c>
      <c r="AH49" t="str">
        <f>'INS-UPD Heat'!AH70</f>
        <v>*0.751789844164435</v>
      </c>
      <c r="AI49" t="str">
        <f>'INS-UPD Heat'!AI70</f>
        <v>*0.782553232285825</v>
      </c>
      <c r="AJ49" t="str">
        <f>'INS-UPD Heat'!AJ70</f>
        <v>*0.983432278118349</v>
      </c>
      <c r="AK49" t="str">
        <f>'INS-UPD Heat'!AK70</f>
        <v>*0.916481590266539</v>
      </c>
      <c r="AL49" t="str">
        <f>'INS-UPD Heat'!AL70</f>
        <v>*0.907097458133649</v>
      </c>
      <c r="AM49" t="str">
        <f>'INS-UPD Heat'!AM70</f>
        <v>*0.858910478986323</v>
      </c>
      <c r="AN49" t="str">
        <f>'INS-UPD Heat'!AN70</f>
        <v>*0.890676709498201</v>
      </c>
      <c r="AO49" t="str">
        <f>'INS-UPD Heat'!AO70</f>
        <v>*0.751789844164435</v>
      </c>
      <c r="AP49" t="str">
        <f>'INS-UPD Heat'!AP70</f>
        <v>*0.868634823876442</v>
      </c>
      <c r="AQ49" t="str">
        <f>'INS-UPD Heat'!AQ70</f>
        <v>*0.944703220399034</v>
      </c>
      <c r="AR49" t="str">
        <f>'INS-UPD Heat'!AR70</f>
        <v>*0.887897908847503</v>
      </c>
      <c r="AS49" s="49" t="str">
        <f>'INS-UPD Heat'!AS70</f>
        <v>*0.915420971135312</v>
      </c>
    </row>
    <row r="50" spans="1:45" ht="12.75">
      <c r="A50" t="s">
        <v>134</v>
      </c>
      <c r="C50" t="s">
        <v>29</v>
      </c>
      <c r="D50" t="str">
        <f t="shared" si="4"/>
        <v>C_ES-SH-HR_OI*</v>
      </c>
      <c r="H50" s="54"/>
      <c r="I50" t="str">
        <f>'INS-UPD Heat'!I71</f>
        <v>*0.753773411000091</v>
      </c>
      <c r="J50" t="str">
        <f>'INS-UPD Heat'!J71</f>
        <v>*0.957544163772634</v>
      </c>
      <c r="K50" t="str">
        <f>'INS-UPD Heat'!K71</f>
        <v>*0.753773411000091</v>
      </c>
      <c r="L50" t="str">
        <f>'INS-UPD Heat'!L71</f>
        <v>*0.983016992017122</v>
      </c>
      <c r="M50" t="str">
        <f>'INS-UPD Heat'!M71</f>
        <v>*0.804716585177828</v>
      </c>
      <c r="N50" t="str">
        <f>'INS-UPD Heat'!N71</f>
        <v>*1</v>
      </c>
      <c r="O50" t="str">
        <f>'INS-UPD Heat'!O71</f>
        <v>*0.753771965014407</v>
      </c>
      <c r="P50" t="str">
        <f>'INS-UPD Heat'!P71</f>
        <v>*0.872640058113471</v>
      </c>
      <c r="Q50" t="str">
        <f>'INS-UPD Heat'!Q71</f>
        <v>*0.715500925014401</v>
      </c>
      <c r="R50" t="str">
        <f>'INS-UPD Heat'!R71</f>
        <v>*0.915094452005067</v>
      </c>
      <c r="S50" t="str">
        <f>'INS-UPD Heat'!S71</f>
        <v>*0.872638584269094</v>
      </c>
      <c r="T50" t="str">
        <f>'INS-UPD Heat'!T71</f>
        <v>*0.753773411000091</v>
      </c>
      <c r="U50" t="str">
        <f>'INS-UPD Heat'!U71</f>
        <v>*0.830188634260304</v>
      </c>
      <c r="V50" t="str">
        <f>'INS-UPD Heat'!V71</f>
        <v>*0.881132627863442</v>
      </c>
      <c r="W50" t="str">
        <f>'INS-UPD Heat'!W71</f>
        <v>*0.915094198262907</v>
      </c>
      <c r="X50" t="str">
        <f>'INS-UPD Heat'!X71</f>
        <v>*0.889621616188381</v>
      </c>
      <c r="Y50" t="str">
        <f>'INS-UPD Heat'!Y71</f>
        <v>*0.768692227740908</v>
      </c>
      <c r="Z50" t="str">
        <f>'INS-UPD Heat'!Z71</f>
        <v>*0.932072829532384</v>
      </c>
      <c r="AA50" t="str">
        <f>'INS-UPD Heat'!AA71</f>
        <v>*0.915094452005067</v>
      </c>
      <c r="AB50" t="str">
        <f>'INS-UPD Heat'!AB71</f>
        <v>*0.915090313213233</v>
      </c>
      <c r="AC50" t="str">
        <f>'INS-UPD Heat'!AC71</f>
        <v>*0.753773411000091</v>
      </c>
      <c r="AD50" t="str">
        <f>'INS-UPD Heat'!AD71</f>
        <v>*0.872642317322356</v>
      </c>
      <c r="AE50" t="str">
        <f>'INS-UPD Heat'!AE71</f>
        <v>*0.915091850300005</v>
      </c>
      <c r="AF50" t="str">
        <f>'INS-UPD Heat'!AF71</f>
        <v>*0.906603397591183</v>
      </c>
      <c r="AG50" t="str">
        <f>'INS-UPD Heat'!AG71</f>
        <v>*0.753773411000091</v>
      </c>
      <c r="AH50" t="str">
        <f>'INS-UPD Heat'!AH71</f>
        <v>*0.753773411000091</v>
      </c>
      <c r="AI50" t="str">
        <f>'INS-UPD Heat'!AI71</f>
        <v>*0.768692227740908</v>
      </c>
      <c r="AJ50" t="str">
        <f>'INS-UPD Heat'!AJ71</f>
        <v>*0.983020136421328</v>
      </c>
      <c r="AK50" t="str">
        <f>'INS-UPD Heat'!AK71</f>
        <v>*0.915094452005067</v>
      </c>
      <c r="AL50" t="str">
        <f>'INS-UPD Heat'!AL71</f>
        <v>*0.906603703265176</v>
      </c>
      <c r="AM50" t="str">
        <f>'INS-UPD Heat'!AM71</f>
        <v>*0.855661126516543</v>
      </c>
      <c r="AN50" t="str">
        <f>'INS-UPD Heat'!AN71</f>
        <v>*0.893867563595842</v>
      </c>
      <c r="AO50" t="str">
        <f>'INS-UPD Heat'!AO71</f>
        <v>*0.753773411000091</v>
      </c>
      <c r="AP50" t="str">
        <f>'INS-UPD Heat'!AP71</f>
        <v>*0.872639506876678</v>
      </c>
      <c r="AQ50" t="str">
        <f>'INS-UPD Heat'!AQ71</f>
        <v>*0.94905683960654</v>
      </c>
      <c r="AR50" t="str">
        <f>'INS-UPD Heat'!AR71</f>
        <v>*0.889623028548323</v>
      </c>
      <c r="AS50" s="49" t="str">
        <f>'INS-UPD Heat'!AS71</f>
        <v>*0.915091716306065</v>
      </c>
    </row>
    <row r="51" spans="1:45" ht="12.75">
      <c r="A51" t="s">
        <v>135</v>
      </c>
      <c r="C51" t="s">
        <v>29</v>
      </c>
      <c r="D51" t="str">
        <f t="shared" si="4"/>
        <v>C_ES-SH-HR_GE*</v>
      </c>
      <c r="H51" s="54"/>
      <c r="I51" t="str">
        <f>'INS-UPD Heat'!I72</f>
        <v>*1</v>
      </c>
      <c r="J51" t="str">
        <f>'INS-UPD Heat'!J72</f>
        <v>*1.18071512418715</v>
      </c>
      <c r="K51" t="str">
        <f>'INS-UPD Heat'!K72</f>
        <v>*1</v>
      </c>
      <c r="L51" t="str">
        <f>'INS-UPD Heat'!L72</f>
        <v>*1</v>
      </c>
      <c r="M51" t="str">
        <f>'INS-UPD Heat'!M72</f>
        <v>*0.992265584693816</v>
      </c>
      <c r="N51" t="str">
        <f>'INS-UPD Heat'!N72</f>
        <v>*1</v>
      </c>
      <c r="O51" t="str">
        <f>'INS-UPD Heat'!O72</f>
        <v>*1</v>
      </c>
      <c r="P51" t="str">
        <f>'INS-UPD Heat'!P72</f>
        <v>*1</v>
      </c>
      <c r="Q51" t="str">
        <f>'INS-UPD Heat'!Q72</f>
        <v>*0.7</v>
      </c>
      <c r="R51" t="str">
        <f>'INS-UPD Heat'!R72</f>
        <v>*1</v>
      </c>
      <c r="S51" t="str">
        <f>'INS-UPD Heat'!S72</f>
        <v>*1</v>
      </c>
      <c r="T51" t="str">
        <f>'INS-UPD Heat'!T72</f>
        <v>*1</v>
      </c>
      <c r="U51" t="str">
        <f>'INS-UPD Heat'!U72</f>
        <v>*1.02367221742178</v>
      </c>
      <c r="V51" t="str">
        <f>'INS-UPD Heat'!V72</f>
        <v>*1</v>
      </c>
      <c r="W51" t="str">
        <f>'INS-UPD Heat'!W72</f>
        <v>*1.12836642882944</v>
      </c>
      <c r="X51" t="str">
        <f>'INS-UPD Heat'!X72</f>
        <v>*1.09695901278096</v>
      </c>
      <c r="Y51" t="str">
        <f>'INS-UPD Heat'!Y72</f>
        <v>*1.09695874032411</v>
      </c>
      <c r="Z51" t="str">
        <f>'INS-UPD Heat'!Z72</f>
        <v>*1</v>
      </c>
      <c r="AA51" t="str">
        <f>'INS-UPD Heat'!AA72</f>
        <v>*1</v>
      </c>
      <c r="AB51" t="str">
        <f>'INS-UPD Heat'!AB72</f>
        <v>*1.12836780488483</v>
      </c>
      <c r="AC51" t="str">
        <f>'INS-UPD Heat'!AC72</f>
        <v>*1</v>
      </c>
      <c r="AD51" t="str">
        <f>'INS-UPD Heat'!AD72</f>
        <v>*1</v>
      </c>
      <c r="AE51" t="str">
        <f>'INS-UPD Heat'!AE72</f>
        <v>*1</v>
      </c>
      <c r="AF51" t="str">
        <f>'INS-UPD Heat'!AF72</f>
        <v>*1</v>
      </c>
      <c r="AG51" t="str">
        <f>'INS-UPD Heat'!AG72</f>
        <v>*1</v>
      </c>
      <c r="AH51" t="str">
        <f>'INS-UPD Heat'!AH72</f>
        <v>*1</v>
      </c>
      <c r="AI51" t="str">
        <f>'INS-UPD Heat'!AI72</f>
        <v>*1</v>
      </c>
      <c r="AJ51" t="str">
        <f>'INS-UPD Heat'!AJ72</f>
        <v>*1</v>
      </c>
      <c r="AK51" t="str">
        <f>'INS-UPD Heat'!AK72</f>
        <v>*1</v>
      </c>
      <c r="AL51" t="str">
        <f>'INS-UPD Heat'!AL72</f>
        <v>*1.11789847320821</v>
      </c>
      <c r="AM51" t="str">
        <f>'INS-UPD Heat'!AM72</f>
        <v>*1.05508137432188</v>
      </c>
      <c r="AN51" t="str">
        <f>'INS-UPD Heat'!AN72</f>
        <v>*1.10219424337653</v>
      </c>
      <c r="AO51" t="str">
        <f>'INS-UPD Heat'!AO72</f>
        <v>*1</v>
      </c>
      <c r="AP51" t="str">
        <f>'INS-UPD Heat'!AP72</f>
        <v>*1</v>
      </c>
      <c r="AQ51" t="str">
        <f>'INS-UPD Heat'!AQ72</f>
        <v>*1.17024478027022</v>
      </c>
      <c r="AR51" t="str">
        <f>'INS-UPD Heat'!AR72</f>
        <v>*1.0969585751785</v>
      </c>
      <c r="AS51" s="49" t="str">
        <f>'INS-UPD Heat'!AS72</f>
        <v>*1.12836656997825</v>
      </c>
    </row>
    <row r="52" spans="1:45" ht="12.75">
      <c r="A52" t="s">
        <v>136</v>
      </c>
      <c r="C52" t="s">
        <v>29</v>
      </c>
      <c r="D52" t="str">
        <f t="shared" si="4"/>
        <v>C_ES-SH-HR_LP*</v>
      </c>
      <c r="H52" s="54"/>
      <c r="I52" t="str">
        <f>'INS-UPD Heat'!I73</f>
        <v>*1</v>
      </c>
      <c r="J52" t="str">
        <f>'INS-UPD Heat'!J73</f>
        <v>*1</v>
      </c>
      <c r="K52" t="str">
        <f>'INS-UPD Heat'!K73</f>
        <v>*1</v>
      </c>
      <c r="L52" t="str">
        <f>'INS-UPD Heat'!L73</f>
        <v>*1</v>
      </c>
      <c r="M52" t="str">
        <f>'INS-UPD Heat'!M73</f>
        <v>*1</v>
      </c>
      <c r="N52" t="str">
        <f>'INS-UPD Heat'!N73</f>
        <v>*1</v>
      </c>
      <c r="O52" t="str">
        <f>'INS-UPD Heat'!O73</f>
        <v>*1</v>
      </c>
      <c r="P52" t="str">
        <f>'INS-UPD Heat'!P73</f>
        <v>*1</v>
      </c>
      <c r="Q52" t="str">
        <f>'INS-UPD Heat'!Q73</f>
        <v>*0.666666666666667</v>
      </c>
      <c r="R52" t="str">
        <f>'INS-UPD Heat'!R73</f>
        <v>*1</v>
      </c>
      <c r="S52" t="str">
        <f>'INS-UPD Heat'!S73</f>
        <v>*1</v>
      </c>
      <c r="T52" t="str">
        <f>'INS-UPD Heat'!T73</f>
        <v>*1</v>
      </c>
      <c r="U52" t="str">
        <f>'INS-UPD Heat'!U73</f>
        <v>*1</v>
      </c>
      <c r="V52" t="str">
        <f>'INS-UPD Heat'!V73</f>
        <v>*1</v>
      </c>
      <c r="W52" t="str">
        <f>'INS-UPD Heat'!W73</f>
        <v>*1</v>
      </c>
      <c r="X52" t="str">
        <f>'INS-UPD Heat'!X73</f>
        <v>*1</v>
      </c>
      <c r="Y52" t="str">
        <f>'INS-UPD Heat'!Y73</f>
        <v>*1</v>
      </c>
      <c r="Z52" t="str">
        <f>'INS-UPD Heat'!Z73</f>
        <v>*1</v>
      </c>
      <c r="AA52" t="str">
        <f>'INS-UPD Heat'!AA73</f>
        <v>*1</v>
      </c>
      <c r="AB52" t="str">
        <f>'INS-UPD Heat'!AB73</f>
        <v>*1.00831519600226</v>
      </c>
      <c r="AC52" t="str">
        <f>'INS-UPD Heat'!AC73</f>
        <v>*1</v>
      </c>
      <c r="AD52" t="str">
        <f>'INS-UPD Heat'!AD73</f>
        <v>*1</v>
      </c>
      <c r="AE52" t="str">
        <f>'INS-UPD Heat'!AE73</f>
        <v>*1.00831336713657</v>
      </c>
      <c r="AF52" t="str">
        <f>'INS-UPD Heat'!AF73</f>
        <v>*1</v>
      </c>
      <c r="AG52" t="str">
        <f>'INS-UPD Heat'!AG73</f>
        <v>*1</v>
      </c>
      <c r="AH52" t="str">
        <f>'INS-UPD Heat'!AH73</f>
        <v>*1</v>
      </c>
      <c r="AI52" t="str">
        <f>'INS-UPD Heat'!AI73</f>
        <v>*1</v>
      </c>
      <c r="AJ52" t="str">
        <f>'INS-UPD Heat'!AJ73</f>
        <v>*1</v>
      </c>
      <c r="AK52" t="str">
        <f>'INS-UPD Heat'!AK73</f>
        <v>*1</v>
      </c>
      <c r="AL52" t="str">
        <f>'INS-UPD Heat'!AL73</f>
        <v>*1</v>
      </c>
      <c r="AM52" t="str">
        <f>'INS-UPD Heat'!AM73</f>
        <v>*1</v>
      </c>
      <c r="AN52" t="str">
        <f>'INS-UPD Heat'!AN73</f>
        <v>*1</v>
      </c>
      <c r="AO52" t="str">
        <f>'INS-UPD Heat'!AO73</f>
        <v>*1</v>
      </c>
      <c r="AP52" t="str">
        <f>'INS-UPD Heat'!AP73</f>
        <v>*1</v>
      </c>
      <c r="AQ52" t="str">
        <f>'INS-UPD Heat'!AQ73</f>
        <v>*1.045737981492</v>
      </c>
      <c r="AR52" t="str">
        <f>'INS-UPD Heat'!AR73</f>
        <v>*1</v>
      </c>
      <c r="AS52" s="49" t="str">
        <f>'INS-UPD Heat'!AS73</f>
        <v>*1</v>
      </c>
    </row>
    <row r="53" spans="1:45" ht="12.75">
      <c r="A53" t="s">
        <v>137</v>
      </c>
      <c r="C53" t="s">
        <v>29</v>
      </c>
      <c r="D53" t="str">
        <f t="shared" si="4"/>
        <v>C_ES-SH-HR_CO*</v>
      </c>
      <c r="H53" s="54"/>
      <c r="I53" t="str">
        <f>'INS-UPD Heat'!I74</f>
        <v>*0.806322012647686</v>
      </c>
      <c r="J53" t="str">
        <f>'INS-UPD Heat'!J74</f>
        <v>*0.957546566204691</v>
      </c>
      <c r="K53" t="str">
        <f>'INS-UPD Heat'!K74</f>
        <v>*0.806322012647686</v>
      </c>
      <c r="L53" t="str">
        <f>'INS-UPD Heat'!L74</f>
        <v>*0.806322012647686</v>
      </c>
      <c r="M53" t="str">
        <f>'INS-UPD Heat'!M74</f>
        <v>*0.804719068299585</v>
      </c>
      <c r="N53" t="str">
        <f>'INS-UPD Heat'!N74</f>
        <v>*1</v>
      </c>
      <c r="O53" t="str">
        <f>'INS-UPD Heat'!O74</f>
        <v>*0.806322012647686</v>
      </c>
      <c r="P53" t="str">
        <f>'INS-UPD Heat'!P74</f>
        <v>*0.872641433460454</v>
      </c>
      <c r="Q53" t="str">
        <f>'INS-UPD Heat'!Q74</f>
        <v>*0.620099652691077</v>
      </c>
      <c r="R53" t="str">
        <f>'INS-UPD Heat'!R74</f>
        <v>*0.806322012647686</v>
      </c>
      <c r="S53" t="str">
        <f>'INS-UPD Heat'!S74</f>
        <v>*0.872643446827971</v>
      </c>
      <c r="T53" t="str">
        <f>'INS-UPD Heat'!T74</f>
        <v>*0.806322012647686</v>
      </c>
      <c r="U53" t="str">
        <f>'INS-UPD Heat'!U74</f>
        <v>*0.830187692790597</v>
      </c>
      <c r="V53" t="str">
        <f>'INS-UPD Heat'!V74</f>
        <v>*0.88113082387544</v>
      </c>
      <c r="W53" t="str">
        <f>'INS-UPD Heat'!W74</f>
        <v>*0.806322012647686</v>
      </c>
      <c r="X53" t="str">
        <f>'INS-UPD Heat'!X74</f>
        <v>*0.889623229961177</v>
      </c>
      <c r="Y53" t="str">
        <f>'INS-UPD Heat'!Y74</f>
        <v>*0.889620935555759</v>
      </c>
      <c r="Z53" t="str">
        <f>'INS-UPD Heat'!Z74</f>
        <v>*0.806322012647686</v>
      </c>
      <c r="AA53" t="str">
        <f>'INS-UPD Heat'!AA74</f>
        <v>*0.806322012647686</v>
      </c>
      <c r="AB53" t="str">
        <f>'INS-UPD Heat'!AB74</f>
        <v>*0.806322012647686</v>
      </c>
      <c r="AC53" t="str">
        <f>'INS-UPD Heat'!AC74</f>
        <v>*0.806322012647686</v>
      </c>
      <c r="AD53" t="str">
        <f>'INS-UPD Heat'!AD74</f>
        <v>*0.87264257545149</v>
      </c>
      <c r="AE53" t="str">
        <f>'INS-UPD Heat'!AE74</f>
        <v>*0.806322012647686</v>
      </c>
      <c r="AF53" t="str">
        <f>'INS-UPD Heat'!AF74</f>
        <v>*0.906603887155439</v>
      </c>
      <c r="AG53" t="str">
        <f>'INS-UPD Heat'!AG74</f>
        <v>*0.806322012647686</v>
      </c>
      <c r="AH53" t="str">
        <f>'INS-UPD Heat'!AH74</f>
        <v>*0.806322012647686</v>
      </c>
      <c r="AI53" t="str">
        <f>'INS-UPD Heat'!AI74</f>
        <v>*0.806322012647686</v>
      </c>
      <c r="AJ53" t="str">
        <f>'INS-UPD Heat'!AJ74</f>
        <v>*0.983019632318116</v>
      </c>
      <c r="AK53" t="str">
        <f>'INS-UPD Heat'!AK74</f>
        <v>*0.806322012647686</v>
      </c>
      <c r="AL53" t="str">
        <f>'INS-UPD Heat'!AL74</f>
        <v>*0.906604351626599</v>
      </c>
      <c r="AM53" t="str">
        <f>'INS-UPD Heat'!AM74</f>
        <v>*0.806322012647686</v>
      </c>
      <c r="AN53" t="str">
        <f>'INS-UPD Heat'!AN74</f>
        <v>*0.89386762861896</v>
      </c>
      <c r="AO53" t="str">
        <f>'INS-UPD Heat'!AO74</f>
        <v>*0.806322012647686</v>
      </c>
      <c r="AP53" t="str">
        <f>'INS-UPD Heat'!AP74</f>
        <v>*0.806322012647686</v>
      </c>
      <c r="AQ53" t="str">
        <f>'INS-UPD Heat'!AQ74</f>
        <v>*0.806322012647686</v>
      </c>
      <c r="AR53" t="str">
        <f>'INS-UPD Heat'!AR74</f>
        <v>*0.889622985856844</v>
      </c>
      <c r="AS53" s="49" t="str">
        <f>'INS-UPD Heat'!AS74</f>
        <v>*0.915091066360072</v>
      </c>
    </row>
    <row r="54" spans="1:45" ht="12.75">
      <c r="A54" t="s">
        <v>138</v>
      </c>
      <c r="C54" t="s">
        <v>29</v>
      </c>
      <c r="D54" t="str">
        <f t="shared" si="4"/>
        <v>C_ES-SH-SR_BI*</v>
      </c>
      <c r="H54" s="54"/>
      <c r="I54" t="str">
        <f>'INS-UPD Heat'!I75</f>
        <v>*1</v>
      </c>
      <c r="J54" t="str">
        <f>'INS-UPD Heat'!J75</f>
        <v>*1.13273935601115</v>
      </c>
      <c r="K54" t="str">
        <f>'INS-UPD Heat'!K75</f>
        <v>*1</v>
      </c>
      <c r="L54" t="str">
        <f>'INS-UPD Heat'!L75</f>
        <v>*1.16287202779621</v>
      </c>
      <c r="M54" t="str">
        <f>'INS-UPD Heat'!M75</f>
        <v>*0.951947404871184</v>
      </c>
      <c r="N54" t="str">
        <f>'INS-UPD Heat'!N75</f>
        <v>*1</v>
      </c>
      <c r="O54" t="str">
        <f>'INS-UPD Heat'!O75</f>
        <v>*0.891684624593808</v>
      </c>
      <c r="P54" t="str">
        <f>'INS-UPD Heat'!P75</f>
        <v>*1.03230037990426</v>
      </c>
      <c r="Q54" t="str">
        <f>'INS-UPD Heat'!Q75</f>
        <v>*0.5</v>
      </c>
      <c r="R54" t="str">
        <f>'INS-UPD Heat'!R75</f>
        <v>*1.0825169264074</v>
      </c>
      <c r="S54" t="str">
        <f>'INS-UPD Heat'!S75</f>
        <v>*1.03229644898342</v>
      </c>
      <c r="T54" t="str">
        <f>'INS-UPD Heat'!T75</f>
        <v>*1</v>
      </c>
      <c r="U54" t="str">
        <f>'INS-UPD Heat'!U75</f>
        <v>*0.982080090991512</v>
      </c>
      <c r="V54" t="str">
        <f>'INS-UPD Heat'!V75</f>
        <v>*1.0423429136333</v>
      </c>
      <c r="W54" t="str">
        <f>'INS-UPD Heat'!W75</f>
        <v>*1.08252106666226</v>
      </c>
      <c r="X54" t="str">
        <f>'INS-UPD Heat'!X75</f>
        <v>*1.05238453545451</v>
      </c>
      <c r="Y54" t="str">
        <f>'INS-UPD Heat'!Y75</f>
        <v>*1.05238966451752</v>
      </c>
      <c r="Z54" t="str">
        <f>'INS-UPD Heat'!Z75</f>
        <v>*1.1026073590249</v>
      </c>
      <c r="AA54" t="str">
        <f>'INS-UPD Heat'!AA75</f>
        <v>*1.0825169264074</v>
      </c>
      <c r="AB54" t="str">
        <f>'INS-UPD Heat'!AB75</f>
        <v>*1</v>
      </c>
      <c r="AC54" t="str">
        <f>'INS-UPD Heat'!AC75</f>
        <v>*1</v>
      </c>
      <c r="AD54" t="str">
        <f>'INS-UPD Heat'!AD75</f>
        <v>*1.03230017588431</v>
      </c>
      <c r="AE54" t="str">
        <f>'INS-UPD Heat'!AE75</f>
        <v>*1</v>
      </c>
      <c r="AF54" t="str">
        <f>'INS-UPD Heat'!AF75</f>
        <v>*1.07247594152106</v>
      </c>
      <c r="AG54" t="str">
        <f>'INS-UPD Heat'!AG75</f>
        <v>*1</v>
      </c>
      <c r="AH54" t="str">
        <f>'INS-UPD Heat'!AH75</f>
        <v>*1</v>
      </c>
      <c r="AI54" t="str">
        <f>'INS-UPD Heat'!AI75</f>
        <v>*1</v>
      </c>
      <c r="AJ54" t="str">
        <f>'INS-UPD Heat'!AJ75</f>
        <v>*1.16287284644911</v>
      </c>
      <c r="AK54" t="str">
        <f>'INS-UPD Heat'!AK75</f>
        <v>*1.0825169264074</v>
      </c>
      <c r="AL54" t="str">
        <f>'INS-UPD Heat'!AL75</f>
        <v>*1.07247406151033</v>
      </c>
      <c r="AM54" t="str">
        <f>'INS-UPD Heat'!AM75</f>
        <v>*1</v>
      </c>
      <c r="AN54" t="str">
        <f>'INS-UPD Heat'!AN75</f>
        <v>*1</v>
      </c>
      <c r="AO54" t="str">
        <f>'INS-UPD Heat'!AO75</f>
        <v>*1</v>
      </c>
      <c r="AP54" t="str">
        <f>'INS-UPD Heat'!AP75</f>
        <v>*1.03229798151806</v>
      </c>
      <c r="AQ54" t="str">
        <f>'INS-UPD Heat'!AQ75</f>
        <v>*1</v>
      </c>
      <c r="AR54" t="str">
        <f>'INS-UPD Heat'!AR75</f>
        <v>*1.05238916181003</v>
      </c>
      <c r="AS54" s="49" t="str">
        <f>'INS-UPD Heat'!AS75</f>
        <v>*1.08252104532776</v>
      </c>
    </row>
    <row r="55" spans="1:45" ht="12.75">
      <c r="A55" t="s">
        <v>139</v>
      </c>
      <c r="C55" t="s">
        <v>29</v>
      </c>
      <c r="D55" t="str">
        <f t="shared" si="4"/>
        <v>C_ES-SH-SR_HE*</v>
      </c>
      <c r="H55" s="54"/>
      <c r="I55" t="str">
        <f>'INS-UPD Heat'!I76</f>
        <v>*0.880504783355962</v>
      </c>
      <c r="J55" t="str">
        <f>'INS-UPD Heat'!J76</f>
        <v>*0.957548618872751</v>
      </c>
      <c r="K55" t="str">
        <f>'INS-UPD Heat'!K76</f>
        <v>*0.880504783355962</v>
      </c>
      <c r="L55" t="str">
        <f>'INS-UPD Heat'!L76</f>
        <v>*0.983020646759874</v>
      </c>
      <c r="M55" t="str">
        <f>'INS-UPD Heat'!M76</f>
        <v>*0.804718937699145</v>
      </c>
      <c r="N55" t="str">
        <f>'INS-UPD Heat'!N76</f>
        <v>*1</v>
      </c>
      <c r="O55" t="str">
        <f>'INS-UPD Heat'!O76</f>
        <v>*0.880504783355962</v>
      </c>
      <c r="P55" t="str">
        <f>'INS-UPD Heat'!P76</f>
        <v>*0.872644275983274</v>
      </c>
      <c r="Q55" t="str">
        <f>'INS-UPD Heat'!Q76</f>
        <v>*0.908569737634899</v>
      </c>
      <c r="R55" t="str">
        <f>'INS-UPD Heat'!R76</f>
        <v>*0.915095212233637</v>
      </c>
      <c r="S55" t="str">
        <f>'INS-UPD Heat'!S76</f>
        <v>*0.872642655737943</v>
      </c>
      <c r="T55" t="str">
        <f>'INS-UPD Heat'!T76</f>
        <v>*0.880504783355962</v>
      </c>
      <c r="U55" t="str">
        <f>'INS-UPD Heat'!U76</f>
        <v>*0.880504783355962</v>
      </c>
      <c r="V55" t="str">
        <f>'INS-UPD Heat'!V76</f>
        <v>*0.881131477151944</v>
      </c>
      <c r="W55" t="str">
        <f>'INS-UPD Heat'!W76</f>
        <v>*0.915093124359608</v>
      </c>
      <c r="X55" t="str">
        <f>'INS-UPD Heat'!X76</f>
        <v>*0.889625250941913</v>
      </c>
      <c r="Y55" t="str">
        <f>'INS-UPD Heat'!Y76</f>
        <v>*0.889623372740061</v>
      </c>
      <c r="Z55" t="str">
        <f>'INS-UPD Heat'!Z76</f>
        <v>*0.880504783355962</v>
      </c>
      <c r="AA55" t="str">
        <f>'INS-UPD Heat'!AA76</f>
        <v>*0.915095212233637</v>
      </c>
      <c r="AB55" t="str">
        <f>'INS-UPD Heat'!AB76</f>
        <v>*0.915095341838966</v>
      </c>
      <c r="AC55" t="str">
        <f>'INS-UPD Heat'!AC76</f>
        <v>*0.880504783355962</v>
      </c>
      <c r="AD55" t="str">
        <f>'INS-UPD Heat'!AD76</f>
        <v>*0.872640325737902</v>
      </c>
      <c r="AE55" t="str">
        <f>'INS-UPD Heat'!AE76</f>
        <v>*0.915097225102635</v>
      </c>
      <c r="AF55" t="str">
        <f>'INS-UPD Heat'!AF76</f>
        <v>*0.906602703277204</v>
      </c>
      <c r="AG55" t="str">
        <f>'INS-UPD Heat'!AG76</f>
        <v>*0.880504783355962</v>
      </c>
      <c r="AH55" t="str">
        <f>'INS-UPD Heat'!AH76</f>
        <v>*0.880504783355962</v>
      </c>
      <c r="AI55" t="str">
        <f>'INS-UPD Heat'!AI76</f>
        <v>*0.880504783355962</v>
      </c>
      <c r="AJ55" t="str">
        <f>'INS-UPD Heat'!AJ76</f>
        <v>*0.983021041372418</v>
      </c>
      <c r="AK55" t="str">
        <f>'INS-UPD Heat'!AK76</f>
        <v>*0.915095212233637</v>
      </c>
      <c r="AL55" t="str">
        <f>'INS-UPD Heat'!AL76</f>
        <v>*0.906604639952111</v>
      </c>
      <c r="AM55" t="str">
        <f>'INS-UPD Heat'!AM76</f>
        <v>*0.855664327496265</v>
      </c>
      <c r="AN55" t="str">
        <f>'INS-UPD Heat'!AN76</f>
        <v>*0.89386936286641</v>
      </c>
      <c r="AO55" t="str">
        <f>'INS-UPD Heat'!AO76</f>
        <v>*0.880504783355962</v>
      </c>
      <c r="AP55" t="str">
        <f>'INS-UPD Heat'!AP76</f>
        <v>*0.872640441278991</v>
      </c>
      <c r="AQ55" t="str">
        <f>'INS-UPD Heat'!AQ76</f>
        <v>*0.949060077873277</v>
      </c>
      <c r="AR55" t="str">
        <f>'INS-UPD Heat'!AR76</f>
        <v>*0.889625648915354</v>
      </c>
      <c r="AS55" s="49" t="str">
        <f>'INS-UPD Heat'!AS76</f>
        <v>*0.915096287669067</v>
      </c>
    </row>
    <row r="56" spans="1:45" ht="12.75">
      <c r="A56" t="s">
        <v>140</v>
      </c>
      <c r="C56" t="s">
        <v>29</v>
      </c>
      <c r="D56" t="str">
        <f t="shared" si="4"/>
        <v>C_ES-SH-SR_EL*</v>
      </c>
      <c r="H56" s="54"/>
      <c r="I56" t="str">
        <f>'INS-UPD Heat'!I77</f>
        <v>*0.814695640040816</v>
      </c>
      <c r="J56" t="str">
        <f>'INS-UPD Heat'!J77</f>
        <v>*0.866863618757606</v>
      </c>
      <c r="K56" t="str">
        <f>'INS-UPD Heat'!K77</f>
        <v>*0.814695640040816</v>
      </c>
      <c r="L56" t="str">
        <f>'INS-UPD Heat'!L77</f>
        <v>*0.829770066565543</v>
      </c>
      <c r="M56" t="str">
        <f>'INS-UPD Heat'!M77</f>
        <v>*0.670139292549879</v>
      </c>
      <c r="N56" t="str">
        <f>'INS-UPD Heat'!N77</f>
        <v>*1</v>
      </c>
      <c r="O56" t="str">
        <f>'INS-UPD Heat'!O77</f>
        <v>*0.806570689531818</v>
      </c>
      <c r="P56" t="str">
        <f>'INS-UPD Heat'!P77</f>
        <v>*0.783236858692403</v>
      </c>
      <c r="Q56" t="str">
        <f>'INS-UPD Heat'!Q77</f>
        <v>*1.16338718199139</v>
      </c>
      <c r="R56" t="str">
        <f>'INS-UPD Heat'!R77</f>
        <v>*0.964160419172593</v>
      </c>
      <c r="S56" t="str">
        <f>'INS-UPD Heat'!S77</f>
        <v>*0.707243659269144</v>
      </c>
      <c r="T56" t="str">
        <f>'INS-UPD Heat'!T77</f>
        <v>*0.814695640040816</v>
      </c>
      <c r="U56" t="str">
        <f>'INS-UPD Heat'!U77</f>
        <v>*0.880205881297254</v>
      </c>
      <c r="V56" t="str">
        <f>'INS-UPD Heat'!V77</f>
        <v>*0.915248470397476</v>
      </c>
      <c r="W56" t="str">
        <f>'INS-UPD Heat'!W77</f>
        <v>*0.982636396644647</v>
      </c>
      <c r="X56" t="str">
        <f>'INS-UPD Heat'!X77</f>
        <v>*0.731393580117313</v>
      </c>
      <c r="Y56" t="str">
        <f>'INS-UPD Heat'!Y77</f>
        <v>*0.847123481616257</v>
      </c>
      <c r="Z56" t="str">
        <f>'INS-UPD Heat'!Z77</f>
        <v>*0.856585176139782</v>
      </c>
      <c r="AA56" t="str">
        <f>'INS-UPD Heat'!AA77</f>
        <v>*0.964160419172593</v>
      </c>
      <c r="AB56" t="str">
        <f>'INS-UPD Heat'!AB77</f>
        <v>*0.975703024004163</v>
      </c>
      <c r="AC56" t="str">
        <f>'INS-UPD Heat'!AC77</f>
        <v>*0.814695640040816</v>
      </c>
      <c r="AD56" t="str">
        <f>'INS-UPD Heat'!AD77</f>
        <v>*0.801302174406614</v>
      </c>
      <c r="AE56" t="str">
        <f>'INS-UPD Heat'!AE77</f>
        <v>*1.04929722822849</v>
      </c>
      <c r="AF56" t="str">
        <f>'INS-UPD Heat'!AF77</f>
        <v>*0.802607320234305</v>
      </c>
      <c r="AG56" t="str">
        <f>'INS-UPD Heat'!AG77</f>
        <v>*0.814695640040816</v>
      </c>
      <c r="AH56" t="str">
        <f>'INS-UPD Heat'!AH77</f>
        <v>*0.814695640040816</v>
      </c>
      <c r="AI56" t="str">
        <f>'INS-UPD Heat'!AI77</f>
        <v>*0.662075744685471</v>
      </c>
      <c r="AJ56" t="str">
        <f>'INS-UPD Heat'!AJ77</f>
        <v>*1.09991267506868</v>
      </c>
      <c r="AK56" t="str">
        <f>'INS-UPD Heat'!AK77</f>
        <v>*0.964160419172593</v>
      </c>
      <c r="AL56" t="str">
        <f>'INS-UPD Heat'!AL77</f>
        <v>*0.973806550892689</v>
      </c>
      <c r="AM56" t="str">
        <f>'INS-UPD Heat'!AM77</f>
        <v>*0.840908698492736</v>
      </c>
      <c r="AN56" t="str">
        <f>'INS-UPD Heat'!AN77</f>
        <v>*0.752940453106604</v>
      </c>
      <c r="AO56" t="str">
        <f>'INS-UPD Heat'!AO77</f>
        <v>*0.814695640040816</v>
      </c>
      <c r="AP56" t="str">
        <f>'INS-UPD Heat'!AP77</f>
        <v>*0.885880097942198</v>
      </c>
      <c r="AQ56" t="str">
        <f>'INS-UPD Heat'!AQ77</f>
        <v>*0.839394722196866</v>
      </c>
      <c r="AR56" t="str">
        <f>'INS-UPD Heat'!AR77</f>
        <v>*0.812611601321336</v>
      </c>
      <c r="AS56" s="49" t="str">
        <f>'INS-UPD Heat'!AS77</f>
        <v>*1.05673460932283</v>
      </c>
    </row>
    <row r="57" spans="1:45" ht="12.75">
      <c r="A57" t="s">
        <v>141</v>
      </c>
      <c r="C57" t="s">
        <v>29</v>
      </c>
      <c r="D57" t="str">
        <f t="shared" si="4"/>
        <v>C_ES-SH-SR_GA*</v>
      </c>
      <c r="H57" s="54"/>
      <c r="I57" t="str">
        <f>'INS-UPD Heat'!I78</f>
        <v>*0.751789844164435</v>
      </c>
      <c r="J57" t="str">
        <f>'INS-UPD Heat'!J78</f>
        <v>*0.958971368982325</v>
      </c>
      <c r="K57" t="str">
        <f>'INS-UPD Heat'!K78</f>
        <v>*0.751789844164435</v>
      </c>
      <c r="L57" t="str">
        <f>'INS-UPD Heat'!L78</f>
        <v>*0.98247021598169</v>
      </c>
      <c r="M57" t="str">
        <f>'INS-UPD Heat'!M78</f>
        <v>*0.801022925677764</v>
      </c>
      <c r="N57" t="str">
        <f>'INS-UPD Heat'!N78</f>
        <v>*1</v>
      </c>
      <c r="O57" t="str">
        <f>'INS-UPD Heat'!O78</f>
        <v>*0.750312177594846</v>
      </c>
      <c r="P57" t="str">
        <f>'INS-UPD Heat'!P78</f>
        <v>*0.870852828625521</v>
      </c>
      <c r="Q57" t="str">
        <f>'INS-UPD Heat'!Q78</f>
        <v>*0.766721004074585</v>
      </c>
      <c r="R57" t="str">
        <f>'INS-UPD Heat'!R78</f>
        <v>*0.916481590266539</v>
      </c>
      <c r="S57" t="str">
        <f>'INS-UPD Heat'!S78</f>
        <v>*0.868634629976933</v>
      </c>
      <c r="T57" t="str">
        <f>'INS-UPD Heat'!T78</f>
        <v>*0.751789844164435</v>
      </c>
      <c r="U57" t="str">
        <f>'INS-UPD Heat'!U78</f>
        <v>*0.831402561906822</v>
      </c>
      <c r="V57" t="str">
        <f>'INS-UPD Heat'!V78</f>
        <v>*0.877090057188528</v>
      </c>
      <c r="W57" t="str">
        <f>'INS-UPD Heat'!W78</f>
        <v>*0.913903595895035</v>
      </c>
      <c r="X57" t="str">
        <f>'INS-UPD Heat'!X78</f>
        <v>*0.887582361489164</v>
      </c>
      <c r="Y57" t="str">
        <f>'INS-UPD Heat'!Y78</f>
        <v>*0.88826694111973</v>
      </c>
      <c r="Z57" t="str">
        <f>'INS-UPD Heat'!Z78</f>
        <v>*0.932017066676991</v>
      </c>
      <c r="AA57" t="str">
        <f>'INS-UPD Heat'!AA78</f>
        <v>*0.916481590266539</v>
      </c>
      <c r="AB57" t="str">
        <f>'INS-UPD Heat'!AB78</f>
        <v>*0.912611573794044</v>
      </c>
      <c r="AC57" t="str">
        <f>'INS-UPD Heat'!AC78</f>
        <v>*0.751789844164435</v>
      </c>
      <c r="AD57" t="str">
        <f>'INS-UPD Heat'!AD78</f>
        <v>*0.868636514902445</v>
      </c>
      <c r="AE57" t="str">
        <f>'INS-UPD Heat'!AE78</f>
        <v>*0.916280573443744</v>
      </c>
      <c r="AF57" t="str">
        <f>'INS-UPD Heat'!AF78</f>
        <v>*0.902440555603779</v>
      </c>
      <c r="AG57" t="str">
        <f>'INS-UPD Heat'!AG78</f>
        <v>*0.751789844164435</v>
      </c>
      <c r="AH57" t="str">
        <f>'INS-UPD Heat'!AH78</f>
        <v>*0.751789844164435</v>
      </c>
      <c r="AI57" t="str">
        <f>'INS-UPD Heat'!AI78</f>
        <v>*0.782553232285825</v>
      </c>
      <c r="AJ57" t="str">
        <f>'INS-UPD Heat'!AJ78</f>
        <v>*0.983432278118349</v>
      </c>
      <c r="AK57" t="str">
        <f>'INS-UPD Heat'!AK78</f>
        <v>*0.916481590266539</v>
      </c>
      <c r="AL57" t="str">
        <f>'INS-UPD Heat'!AL78</f>
        <v>*0.907097458133649</v>
      </c>
      <c r="AM57" t="str">
        <f>'INS-UPD Heat'!AM78</f>
        <v>*0.858910478986323</v>
      </c>
      <c r="AN57" t="str">
        <f>'INS-UPD Heat'!AN78</f>
        <v>*0.890676709498201</v>
      </c>
      <c r="AO57" t="str">
        <f>'INS-UPD Heat'!AO78</f>
        <v>*0.751789844164435</v>
      </c>
      <c r="AP57" t="str">
        <f>'INS-UPD Heat'!AP78</f>
        <v>*0.868634823876442</v>
      </c>
      <c r="AQ57" t="str">
        <f>'INS-UPD Heat'!AQ78</f>
        <v>*0.944703220399034</v>
      </c>
      <c r="AR57" t="str">
        <f>'INS-UPD Heat'!AR78</f>
        <v>*0.887897908847503</v>
      </c>
      <c r="AS57" s="49" t="str">
        <f>'INS-UPD Heat'!AS78</f>
        <v>*0.915420971135312</v>
      </c>
    </row>
    <row r="58" spans="1:45" ht="12.75">
      <c r="A58" t="s">
        <v>142</v>
      </c>
      <c r="C58" t="s">
        <v>29</v>
      </c>
      <c r="D58" t="str">
        <f t="shared" si="4"/>
        <v>C_ES-SH-SR_OI*</v>
      </c>
      <c r="H58" s="54"/>
      <c r="I58" t="str">
        <f>'INS-UPD Heat'!I79</f>
        <v>*0.753773411000091</v>
      </c>
      <c r="J58" t="str">
        <f>'INS-UPD Heat'!J79</f>
        <v>*0.957544163772634</v>
      </c>
      <c r="K58" t="str">
        <f>'INS-UPD Heat'!K79</f>
        <v>*0.753773411000091</v>
      </c>
      <c r="L58" t="str">
        <f>'INS-UPD Heat'!L79</f>
        <v>*0.983016992017122</v>
      </c>
      <c r="M58" t="str">
        <f>'INS-UPD Heat'!M79</f>
        <v>*0.804716585177828</v>
      </c>
      <c r="N58" t="str">
        <f>'INS-UPD Heat'!N79</f>
        <v>*1</v>
      </c>
      <c r="O58" t="str">
        <f>'INS-UPD Heat'!O79</f>
        <v>*0.753771965014407</v>
      </c>
      <c r="P58" t="str">
        <f>'INS-UPD Heat'!P79</f>
        <v>*0.872640058113471</v>
      </c>
      <c r="Q58" t="str">
        <f>'INS-UPD Heat'!Q79</f>
        <v>*0.715500925014401</v>
      </c>
      <c r="R58" t="str">
        <f>'INS-UPD Heat'!R79</f>
        <v>*0.915094452005067</v>
      </c>
      <c r="S58" t="str">
        <f>'INS-UPD Heat'!S79</f>
        <v>*0.872638584269094</v>
      </c>
      <c r="T58" t="str">
        <f>'INS-UPD Heat'!T79</f>
        <v>*0.753773411000091</v>
      </c>
      <c r="U58" t="str">
        <f>'INS-UPD Heat'!U79</f>
        <v>*0.830188634260304</v>
      </c>
      <c r="V58" t="str">
        <f>'INS-UPD Heat'!V79</f>
        <v>*0.881132627863442</v>
      </c>
      <c r="W58" t="str">
        <f>'INS-UPD Heat'!W79</f>
        <v>*0.915094198262907</v>
      </c>
      <c r="X58" t="str">
        <f>'INS-UPD Heat'!X79</f>
        <v>*0.889621616188381</v>
      </c>
      <c r="Y58" t="str">
        <f>'INS-UPD Heat'!Y79</f>
        <v>*0.768692227740908</v>
      </c>
      <c r="Z58" t="str">
        <f>'INS-UPD Heat'!Z79</f>
        <v>*0.932072829532384</v>
      </c>
      <c r="AA58" t="str">
        <f>'INS-UPD Heat'!AA79</f>
        <v>*0.915094452005067</v>
      </c>
      <c r="AB58" t="str">
        <f>'INS-UPD Heat'!AB79</f>
        <v>*0.915090313213233</v>
      </c>
      <c r="AC58" t="str">
        <f>'INS-UPD Heat'!AC79</f>
        <v>*0.753773411000091</v>
      </c>
      <c r="AD58" t="str">
        <f>'INS-UPD Heat'!AD79</f>
        <v>*0.872642317322356</v>
      </c>
      <c r="AE58" t="str">
        <f>'INS-UPD Heat'!AE79</f>
        <v>*0.915091850300005</v>
      </c>
      <c r="AF58" t="str">
        <f>'INS-UPD Heat'!AF79</f>
        <v>*0.906603397591183</v>
      </c>
      <c r="AG58" t="str">
        <f>'INS-UPD Heat'!AG79</f>
        <v>*0.753773411000091</v>
      </c>
      <c r="AH58" t="str">
        <f>'INS-UPD Heat'!AH79</f>
        <v>*0.753773411000091</v>
      </c>
      <c r="AI58" t="str">
        <f>'INS-UPD Heat'!AI79</f>
        <v>*0.768692227740908</v>
      </c>
      <c r="AJ58" t="str">
        <f>'INS-UPD Heat'!AJ79</f>
        <v>*0.983020136421328</v>
      </c>
      <c r="AK58" t="str">
        <f>'INS-UPD Heat'!AK79</f>
        <v>*0.915094452005067</v>
      </c>
      <c r="AL58" t="str">
        <f>'INS-UPD Heat'!AL79</f>
        <v>*0.906603703265176</v>
      </c>
      <c r="AM58" t="str">
        <f>'INS-UPD Heat'!AM79</f>
        <v>*0.855661126516543</v>
      </c>
      <c r="AN58" t="str">
        <f>'INS-UPD Heat'!AN79</f>
        <v>*0.893867563595842</v>
      </c>
      <c r="AO58" t="str">
        <f>'INS-UPD Heat'!AO79</f>
        <v>*0.753773411000091</v>
      </c>
      <c r="AP58" t="str">
        <f>'INS-UPD Heat'!AP79</f>
        <v>*0.872639506876678</v>
      </c>
      <c r="AQ58" t="str">
        <f>'INS-UPD Heat'!AQ79</f>
        <v>*0.94905683960654</v>
      </c>
      <c r="AR58" t="str">
        <f>'INS-UPD Heat'!AR79</f>
        <v>*0.889623028548323</v>
      </c>
      <c r="AS58" s="49" t="str">
        <f>'INS-UPD Heat'!AS79</f>
        <v>*0.915091716306065</v>
      </c>
    </row>
    <row r="59" spans="1:45" ht="12.75">
      <c r="A59" t="s">
        <v>143</v>
      </c>
      <c r="C59" t="s">
        <v>29</v>
      </c>
      <c r="D59" t="str">
        <f t="shared" si="4"/>
        <v>C_ES-SH-SR_GE*</v>
      </c>
      <c r="H59" s="54"/>
      <c r="I59" t="str">
        <f>'INS-UPD Heat'!I80</f>
        <v>*1</v>
      </c>
      <c r="J59" t="str">
        <f>'INS-UPD Heat'!J80</f>
        <v>*1.18071512418715</v>
      </c>
      <c r="K59" t="str">
        <f>'INS-UPD Heat'!K80</f>
        <v>*1</v>
      </c>
      <c r="L59" t="str">
        <f>'INS-UPD Heat'!L80</f>
        <v>*1</v>
      </c>
      <c r="M59" t="str">
        <f>'INS-UPD Heat'!M80</f>
        <v>*0.992265584693816</v>
      </c>
      <c r="N59" t="str">
        <f>'INS-UPD Heat'!N80</f>
        <v>*1</v>
      </c>
      <c r="O59" t="str">
        <f>'INS-UPD Heat'!O80</f>
        <v>*1</v>
      </c>
      <c r="P59" t="str">
        <f>'INS-UPD Heat'!P80</f>
        <v>*1</v>
      </c>
      <c r="Q59" t="str">
        <f>'INS-UPD Heat'!Q80</f>
        <v>*0.7</v>
      </c>
      <c r="R59" t="str">
        <f>'INS-UPD Heat'!R80</f>
        <v>*1</v>
      </c>
      <c r="S59" t="str">
        <f>'INS-UPD Heat'!S80</f>
        <v>*1</v>
      </c>
      <c r="T59" t="str">
        <f>'INS-UPD Heat'!T80</f>
        <v>*1</v>
      </c>
      <c r="U59" t="str">
        <f>'INS-UPD Heat'!U80</f>
        <v>*1.02367221742178</v>
      </c>
      <c r="V59" t="str">
        <f>'INS-UPD Heat'!V80</f>
        <v>*1</v>
      </c>
      <c r="W59" t="str">
        <f>'INS-UPD Heat'!W80</f>
        <v>*1.12836642882944</v>
      </c>
      <c r="X59" t="str">
        <f>'INS-UPD Heat'!X80</f>
        <v>*1.09695901278096</v>
      </c>
      <c r="Y59" t="str">
        <f>'INS-UPD Heat'!Y80</f>
        <v>*1.09695874032411</v>
      </c>
      <c r="Z59" t="str">
        <f>'INS-UPD Heat'!Z80</f>
        <v>*1</v>
      </c>
      <c r="AA59" t="str">
        <f>'INS-UPD Heat'!AA80</f>
        <v>*1</v>
      </c>
      <c r="AB59" t="str">
        <f>'INS-UPD Heat'!AB80</f>
        <v>*1.12836780488483</v>
      </c>
      <c r="AC59" t="str">
        <f>'INS-UPD Heat'!AC80</f>
        <v>*1</v>
      </c>
      <c r="AD59" t="str">
        <f>'INS-UPD Heat'!AD80</f>
        <v>*1</v>
      </c>
      <c r="AE59" t="str">
        <f>'INS-UPD Heat'!AE80</f>
        <v>*1</v>
      </c>
      <c r="AF59" t="str">
        <f>'INS-UPD Heat'!AF80</f>
        <v>*1</v>
      </c>
      <c r="AG59" t="str">
        <f>'INS-UPD Heat'!AG80</f>
        <v>*1</v>
      </c>
      <c r="AH59" t="str">
        <f>'INS-UPD Heat'!AH80</f>
        <v>*1</v>
      </c>
      <c r="AI59" t="str">
        <f>'INS-UPD Heat'!AI80</f>
        <v>*1</v>
      </c>
      <c r="AJ59" t="str">
        <f>'INS-UPD Heat'!AJ80</f>
        <v>*1</v>
      </c>
      <c r="AK59" t="str">
        <f>'INS-UPD Heat'!AK80</f>
        <v>*1</v>
      </c>
      <c r="AL59" t="str">
        <f>'INS-UPD Heat'!AL80</f>
        <v>*1.11789847320821</v>
      </c>
      <c r="AM59" t="str">
        <f>'INS-UPD Heat'!AM80</f>
        <v>*1.05508137432188</v>
      </c>
      <c r="AN59" t="str">
        <f>'INS-UPD Heat'!AN80</f>
        <v>*1.10219424337653</v>
      </c>
      <c r="AO59" t="str">
        <f>'INS-UPD Heat'!AO80</f>
        <v>*1</v>
      </c>
      <c r="AP59" t="str">
        <f>'INS-UPD Heat'!AP80</f>
        <v>*1</v>
      </c>
      <c r="AQ59" t="str">
        <f>'INS-UPD Heat'!AQ80</f>
        <v>*1.17024478027022</v>
      </c>
      <c r="AR59" t="str">
        <f>'INS-UPD Heat'!AR80</f>
        <v>*1.0969585751785</v>
      </c>
      <c r="AS59" s="49" t="str">
        <f>'INS-UPD Heat'!AS80</f>
        <v>*1.12836656997825</v>
      </c>
    </row>
    <row r="60" spans="1:45" ht="12.75">
      <c r="A60" t="s">
        <v>144</v>
      </c>
      <c r="C60" t="s">
        <v>29</v>
      </c>
      <c r="D60" t="str">
        <f t="shared" si="4"/>
        <v>C_ES-SH-SR_LP*</v>
      </c>
      <c r="H60" s="54"/>
      <c r="I60" t="str">
        <f>'INS-UPD Heat'!I81</f>
        <v>*1</v>
      </c>
      <c r="J60" t="str">
        <f>'INS-UPD Heat'!J81</f>
        <v>*1</v>
      </c>
      <c r="K60" t="str">
        <f>'INS-UPD Heat'!K81</f>
        <v>*1</v>
      </c>
      <c r="L60" t="str">
        <f>'INS-UPD Heat'!L81</f>
        <v>*1</v>
      </c>
      <c r="M60" t="str">
        <f>'INS-UPD Heat'!M81</f>
        <v>*1</v>
      </c>
      <c r="N60" t="str">
        <f>'INS-UPD Heat'!N81</f>
        <v>*1</v>
      </c>
      <c r="O60" t="str">
        <f>'INS-UPD Heat'!O81</f>
        <v>*1</v>
      </c>
      <c r="P60" t="str">
        <f>'INS-UPD Heat'!P81</f>
        <v>*1</v>
      </c>
      <c r="Q60" t="str">
        <f>'INS-UPD Heat'!Q81</f>
        <v>*0.666666666666667</v>
      </c>
      <c r="R60" t="str">
        <f>'INS-UPD Heat'!R81</f>
        <v>*1</v>
      </c>
      <c r="S60" t="str">
        <f>'INS-UPD Heat'!S81</f>
        <v>*1</v>
      </c>
      <c r="T60" t="str">
        <f>'INS-UPD Heat'!T81</f>
        <v>*1</v>
      </c>
      <c r="U60" t="str">
        <f>'INS-UPD Heat'!U81</f>
        <v>*1</v>
      </c>
      <c r="V60" t="str">
        <f>'INS-UPD Heat'!V81</f>
        <v>*1</v>
      </c>
      <c r="W60" t="str">
        <f>'INS-UPD Heat'!W81</f>
        <v>*1</v>
      </c>
      <c r="X60" t="str">
        <f>'INS-UPD Heat'!X81</f>
        <v>*1</v>
      </c>
      <c r="Y60" t="str">
        <f>'INS-UPD Heat'!Y81</f>
        <v>*1</v>
      </c>
      <c r="Z60" t="str">
        <f>'INS-UPD Heat'!Z81</f>
        <v>*1</v>
      </c>
      <c r="AA60" t="str">
        <f>'INS-UPD Heat'!AA81</f>
        <v>*1</v>
      </c>
      <c r="AB60" t="str">
        <f>'INS-UPD Heat'!AB81</f>
        <v>*1.00831519600226</v>
      </c>
      <c r="AC60" t="str">
        <f>'INS-UPD Heat'!AC81</f>
        <v>*1</v>
      </c>
      <c r="AD60" t="str">
        <f>'INS-UPD Heat'!AD81</f>
        <v>*1</v>
      </c>
      <c r="AE60" t="str">
        <f>'INS-UPD Heat'!AE81</f>
        <v>*1.00831336713657</v>
      </c>
      <c r="AF60" t="str">
        <f>'INS-UPD Heat'!AF81</f>
        <v>*1</v>
      </c>
      <c r="AG60" t="str">
        <f>'INS-UPD Heat'!AG81</f>
        <v>*1</v>
      </c>
      <c r="AH60" t="str">
        <f>'INS-UPD Heat'!AH81</f>
        <v>*1</v>
      </c>
      <c r="AI60" t="str">
        <f>'INS-UPD Heat'!AI81</f>
        <v>*1</v>
      </c>
      <c r="AJ60" t="str">
        <f>'INS-UPD Heat'!AJ81</f>
        <v>*1</v>
      </c>
      <c r="AK60" t="str">
        <f>'INS-UPD Heat'!AK81</f>
        <v>*1</v>
      </c>
      <c r="AL60" t="str">
        <f>'INS-UPD Heat'!AL81</f>
        <v>*1</v>
      </c>
      <c r="AM60" t="str">
        <f>'INS-UPD Heat'!AM81</f>
        <v>*1</v>
      </c>
      <c r="AN60" t="str">
        <f>'INS-UPD Heat'!AN81</f>
        <v>*1</v>
      </c>
      <c r="AO60" t="str">
        <f>'INS-UPD Heat'!AO81</f>
        <v>*1</v>
      </c>
      <c r="AP60" t="str">
        <f>'INS-UPD Heat'!AP81</f>
        <v>*1</v>
      </c>
      <c r="AQ60" t="str">
        <f>'INS-UPD Heat'!AQ81</f>
        <v>*1.045737981492</v>
      </c>
      <c r="AR60" t="str">
        <f>'INS-UPD Heat'!AR81</f>
        <v>*1</v>
      </c>
      <c r="AS60" s="49" t="str">
        <f>'INS-UPD Heat'!AS81</f>
        <v>*1</v>
      </c>
    </row>
    <row r="61" spans="1:45" ht="12.75">
      <c r="A61" t="s">
        <v>145</v>
      </c>
      <c r="C61" t="s">
        <v>29</v>
      </c>
      <c r="D61" t="str">
        <f t="shared" si="4"/>
        <v>C_ES-SH-SR_CO*</v>
      </c>
      <c r="H61" s="54"/>
      <c r="I61" t="str">
        <f>'INS-UPD Heat'!I82</f>
        <v>*0.806322012647686</v>
      </c>
      <c r="J61" t="str">
        <f>'INS-UPD Heat'!J82</f>
        <v>*0.957546566204691</v>
      </c>
      <c r="K61" t="str">
        <f>'INS-UPD Heat'!K82</f>
        <v>*0.806322012647686</v>
      </c>
      <c r="L61" t="str">
        <f>'INS-UPD Heat'!L82</f>
        <v>*0.806322012647686</v>
      </c>
      <c r="M61" t="str">
        <f>'INS-UPD Heat'!M82</f>
        <v>*0.804719068299585</v>
      </c>
      <c r="N61" t="str">
        <f>'INS-UPD Heat'!N82</f>
        <v>*1</v>
      </c>
      <c r="O61" t="str">
        <f>'INS-UPD Heat'!O82</f>
        <v>*0.806322012647686</v>
      </c>
      <c r="P61" t="str">
        <f>'INS-UPD Heat'!P82</f>
        <v>*0.872641433460454</v>
      </c>
      <c r="Q61" t="str">
        <f>'INS-UPD Heat'!Q82</f>
        <v>*0.620099652691077</v>
      </c>
      <c r="R61" t="str">
        <f>'INS-UPD Heat'!R82</f>
        <v>*0.806322012647686</v>
      </c>
      <c r="S61" t="str">
        <f>'INS-UPD Heat'!S82</f>
        <v>*0.872643446827971</v>
      </c>
      <c r="T61" t="str">
        <f>'INS-UPD Heat'!T82</f>
        <v>*0.806322012647686</v>
      </c>
      <c r="U61" t="str">
        <f>'INS-UPD Heat'!U82</f>
        <v>*0.830187692790597</v>
      </c>
      <c r="V61" t="str">
        <f>'INS-UPD Heat'!V82</f>
        <v>*0.88113082387544</v>
      </c>
      <c r="W61" t="str">
        <f>'INS-UPD Heat'!W82</f>
        <v>*0.806322012647686</v>
      </c>
      <c r="X61" t="str">
        <f>'INS-UPD Heat'!X82</f>
        <v>*0.889623229961177</v>
      </c>
      <c r="Y61" t="str">
        <f>'INS-UPD Heat'!Y82</f>
        <v>*0.889620935555759</v>
      </c>
      <c r="Z61" t="str">
        <f>'INS-UPD Heat'!Z82</f>
        <v>*0.806322012647686</v>
      </c>
      <c r="AA61" t="str">
        <f>'INS-UPD Heat'!AA82</f>
        <v>*0.806322012647686</v>
      </c>
      <c r="AB61" t="str">
        <f>'INS-UPD Heat'!AB82</f>
        <v>*0.806322012647686</v>
      </c>
      <c r="AC61" t="str">
        <f>'INS-UPD Heat'!AC82</f>
        <v>*0.806322012647686</v>
      </c>
      <c r="AD61" t="str">
        <f>'INS-UPD Heat'!AD82</f>
        <v>*0.87264257545149</v>
      </c>
      <c r="AE61" t="str">
        <f>'INS-UPD Heat'!AE82</f>
        <v>*0.806322012647686</v>
      </c>
      <c r="AF61" t="str">
        <f>'INS-UPD Heat'!AF82</f>
        <v>*0.906603887155439</v>
      </c>
      <c r="AG61" t="str">
        <f>'INS-UPD Heat'!AG82</f>
        <v>*0.806322012647686</v>
      </c>
      <c r="AH61" t="str">
        <f>'INS-UPD Heat'!AH82</f>
        <v>*0.806322012647686</v>
      </c>
      <c r="AI61" t="str">
        <f>'INS-UPD Heat'!AI82</f>
        <v>*0.806322012647686</v>
      </c>
      <c r="AJ61" t="str">
        <f>'INS-UPD Heat'!AJ82</f>
        <v>*0.983019632318116</v>
      </c>
      <c r="AK61" t="str">
        <f>'INS-UPD Heat'!AK82</f>
        <v>*0.806322012647686</v>
      </c>
      <c r="AL61" t="str">
        <f>'INS-UPD Heat'!AL82</f>
        <v>*0.906604351626599</v>
      </c>
      <c r="AM61" t="str">
        <f>'INS-UPD Heat'!AM82</f>
        <v>*0.806322012647686</v>
      </c>
      <c r="AN61" t="str">
        <f>'INS-UPD Heat'!AN82</f>
        <v>*0.89386762861896</v>
      </c>
      <c r="AO61" t="str">
        <f>'INS-UPD Heat'!AO82</f>
        <v>*0.806322012647686</v>
      </c>
      <c r="AP61" t="str">
        <f>'INS-UPD Heat'!AP82</f>
        <v>*0.806322012647686</v>
      </c>
      <c r="AQ61" t="str">
        <f>'INS-UPD Heat'!AQ82</f>
        <v>*0.806322012647686</v>
      </c>
      <c r="AR61" t="str">
        <f>'INS-UPD Heat'!AR82</f>
        <v>*0.889622985856844</v>
      </c>
      <c r="AS61" s="49" t="str">
        <f>'INS-UPD Heat'!AS82</f>
        <v>*0.915091066360072</v>
      </c>
    </row>
    <row r="62" spans="1:45" ht="12.75">
      <c r="A62" t="s">
        <v>146</v>
      </c>
      <c r="C62" t="s">
        <v>29</v>
      </c>
      <c r="D62" t="str">
        <f t="shared" si="4"/>
        <v>C_ES-SH-SL_BI*</v>
      </c>
      <c r="H62" s="54"/>
      <c r="I62" t="str">
        <f>'INS-UPD Heat'!I83</f>
        <v>*1</v>
      </c>
      <c r="J62" t="str">
        <f>'INS-UPD Heat'!J83</f>
        <v>*1.13273935601115</v>
      </c>
      <c r="K62" t="str">
        <f>'INS-UPD Heat'!K83</f>
        <v>*1</v>
      </c>
      <c r="L62" t="str">
        <f>'INS-UPD Heat'!L83</f>
        <v>*1.16287202779621</v>
      </c>
      <c r="M62" t="str">
        <f>'INS-UPD Heat'!M83</f>
        <v>*0.951947404871184</v>
      </c>
      <c r="N62" t="str">
        <f>'INS-UPD Heat'!N83</f>
        <v>*1</v>
      </c>
      <c r="O62" t="str">
        <f>'INS-UPD Heat'!O83</f>
        <v>*0.891684624593808</v>
      </c>
      <c r="P62" t="str">
        <f>'INS-UPD Heat'!P83</f>
        <v>*1.03230037990426</v>
      </c>
      <c r="Q62" t="str">
        <f>'INS-UPD Heat'!Q83</f>
        <v>*0.5</v>
      </c>
      <c r="R62" t="str">
        <f>'INS-UPD Heat'!R83</f>
        <v>*1.0825169264074</v>
      </c>
      <c r="S62" t="str">
        <f>'INS-UPD Heat'!S83</f>
        <v>*1.03229644898342</v>
      </c>
      <c r="T62" t="str">
        <f>'INS-UPD Heat'!T83</f>
        <v>*1</v>
      </c>
      <c r="U62" t="str">
        <f>'INS-UPD Heat'!U83</f>
        <v>*0.982080090991512</v>
      </c>
      <c r="V62" t="str">
        <f>'INS-UPD Heat'!V83</f>
        <v>*1.0423429136333</v>
      </c>
      <c r="W62" t="str">
        <f>'INS-UPD Heat'!W83</f>
        <v>*1.08252106666226</v>
      </c>
      <c r="X62" t="str">
        <f>'INS-UPD Heat'!X83</f>
        <v>*1.05238453545451</v>
      </c>
      <c r="Y62" t="str">
        <f>'INS-UPD Heat'!Y83</f>
        <v>*1.05238966451752</v>
      </c>
      <c r="Z62" t="str">
        <f>'INS-UPD Heat'!Z83</f>
        <v>*1.1026073590249</v>
      </c>
      <c r="AA62" t="str">
        <f>'INS-UPD Heat'!AA83</f>
        <v>*1.0825169264074</v>
      </c>
      <c r="AB62" t="str">
        <f>'INS-UPD Heat'!AB83</f>
        <v>*1</v>
      </c>
      <c r="AC62" t="str">
        <f>'INS-UPD Heat'!AC83</f>
        <v>*1</v>
      </c>
      <c r="AD62" t="str">
        <f>'INS-UPD Heat'!AD83</f>
        <v>*1.03230017588431</v>
      </c>
      <c r="AE62" t="str">
        <f>'INS-UPD Heat'!AE83</f>
        <v>*1</v>
      </c>
      <c r="AF62" t="str">
        <f>'INS-UPD Heat'!AF83</f>
        <v>*1.07247594152106</v>
      </c>
      <c r="AG62" t="str">
        <f>'INS-UPD Heat'!AG83</f>
        <v>*1</v>
      </c>
      <c r="AH62" t="str">
        <f>'INS-UPD Heat'!AH83</f>
        <v>*1</v>
      </c>
      <c r="AI62" t="str">
        <f>'INS-UPD Heat'!AI83</f>
        <v>*1</v>
      </c>
      <c r="AJ62" t="str">
        <f>'INS-UPD Heat'!AJ83</f>
        <v>*1.16287284644911</v>
      </c>
      <c r="AK62" t="str">
        <f>'INS-UPD Heat'!AK83</f>
        <v>*1.0825169264074</v>
      </c>
      <c r="AL62" t="str">
        <f>'INS-UPD Heat'!AL83</f>
        <v>*1.07247406151033</v>
      </c>
      <c r="AM62" t="str">
        <f>'INS-UPD Heat'!AM83</f>
        <v>*1</v>
      </c>
      <c r="AN62" t="str">
        <f>'INS-UPD Heat'!AN83</f>
        <v>*1</v>
      </c>
      <c r="AO62" t="str">
        <f>'INS-UPD Heat'!AO83</f>
        <v>*1</v>
      </c>
      <c r="AP62" t="str">
        <f>'INS-UPD Heat'!AP83</f>
        <v>*1.03229798151806</v>
      </c>
      <c r="AQ62" t="str">
        <f>'INS-UPD Heat'!AQ83</f>
        <v>*1</v>
      </c>
      <c r="AR62" t="str">
        <f>'INS-UPD Heat'!AR83</f>
        <v>*1.05238916181003</v>
      </c>
      <c r="AS62" s="49" t="str">
        <f>'INS-UPD Heat'!AS83</f>
        <v>*1.08252104532776</v>
      </c>
    </row>
    <row r="63" spans="1:45" ht="12.75">
      <c r="A63" t="s">
        <v>147</v>
      </c>
      <c r="C63" t="s">
        <v>29</v>
      </c>
      <c r="D63" t="str">
        <f t="shared" si="4"/>
        <v>C_ES-SH-SL_HE*</v>
      </c>
      <c r="H63" s="54"/>
      <c r="I63" t="str">
        <f>'INS-UPD Heat'!I84</f>
        <v>*0.880504783355962</v>
      </c>
      <c r="J63" t="str">
        <f>'INS-UPD Heat'!J84</f>
        <v>*0.957548618872751</v>
      </c>
      <c r="K63" t="str">
        <f>'INS-UPD Heat'!K84</f>
        <v>*0.880504783355962</v>
      </c>
      <c r="L63" t="str">
        <f>'INS-UPD Heat'!L84</f>
        <v>*0.983020646759874</v>
      </c>
      <c r="M63" t="str">
        <f>'INS-UPD Heat'!M84</f>
        <v>*0.804718937699145</v>
      </c>
      <c r="N63" t="str">
        <f>'INS-UPD Heat'!N84</f>
        <v>*1</v>
      </c>
      <c r="O63" t="str">
        <f>'INS-UPD Heat'!O84</f>
        <v>*0.880504783355962</v>
      </c>
      <c r="P63" t="str">
        <f>'INS-UPD Heat'!P84</f>
        <v>*0.872644275983274</v>
      </c>
      <c r="Q63" t="str">
        <f>'INS-UPD Heat'!Q84</f>
        <v>*0.908569737634899</v>
      </c>
      <c r="R63" t="str">
        <f>'INS-UPD Heat'!R84</f>
        <v>*0.915095212233637</v>
      </c>
      <c r="S63" t="str">
        <f>'INS-UPD Heat'!S84</f>
        <v>*0.872642655737943</v>
      </c>
      <c r="T63" t="str">
        <f>'INS-UPD Heat'!T84</f>
        <v>*0.880504783355962</v>
      </c>
      <c r="U63" t="str">
        <f>'INS-UPD Heat'!U84</f>
        <v>*0.880504783355962</v>
      </c>
      <c r="V63" t="str">
        <f>'INS-UPD Heat'!V84</f>
        <v>*0.881131477151944</v>
      </c>
      <c r="W63" t="str">
        <f>'INS-UPD Heat'!W84</f>
        <v>*0.915093124359608</v>
      </c>
      <c r="X63" t="str">
        <f>'INS-UPD Heat'!X84</f>
        <v>*0.889625250941913</v>
      </c>
      <c r="Y63" t="str">
        <f>'INS-UPD Heat'!Y84</f>
        <v>*0.889623372740061</v>
      </c>
      <c r="Z63" t="str">
        <f>'INS-UPD Heat'!Z84</f>
        <v>*0.880504783355962</v>
      </c>
      <c r="AA63" t="str">
        <f>'INS-UPD Heat'!AA84</f>
        <v>*0.915095212233637</v>
      </c>
      <c r="AB63" t="str">
        <f>'INS-UPD Heat'!AB84</f>
        <v>*0.915095341838966</v>
      </c>
      <c r="AC63" t="str">
        <f>'INS-UPD Heat'!AC84</f>
        <v>*0.880504783355962</v>
      </c>
      <c r="AD63" t="str">
        <f>'INS-UPD Heat'!AD84</f>
        <v>*0.872640325737902</v>
      </c>
      <c r="AE63" t="str">
        <f>'INS-UPD Heat'!AE84</f>
        <v>*0.915097225102635</v>
      </c>
      <c r="AF63" t="str">
        <f>'INS-UPD Heat'!AF84</f>
        <v>*0.906602703277204</v>
      </c>
      <c r="AG63" t="str">
        <f>'INS-UPD Heat'!AG84</f>
        <v>*0.880504783355962</v>
      </c>
      <c r="AH63" t="str">
        <f>'INS-UPD Heat'!AH84</f>
        <v>*0.880504783355962</v>
      </c>
      <c r="AI63" t="str">
        <f>'INS-UPD Heat'!AI84</f>
        <v>*0.880504783355962</v>
      </c>
      <c r="AJ63" t="str">
        <f>'INS-UPD Heat'!AJ84</f>
        <v>*0.983021041372418</v>
      </c>
      <c r="AK63" t="str">
        <f>'INS-UPD Heat'!AK84</f>
        <v>*0.915095212233637</v>
      </c>
      <c r="AL63" t="str">
        <f>'INS-UPD Heat'!AL84</f>
        <v>*0.906604639952111</v>
      </c>
      <c r="AM63" t="str">
        <f>'INS-UPD Heat'!AM84</f>
        <v>*0.855664327496265</v>
      </c>
      <c r="AN63" t="str">
        <f>'INS-UPD Heat'!AN84</f>
        <v>*0.89386936286641</v>
      </c>
      <c r="AO63" t="str">
        <f>'INS-UPD Heat'!AO84</f>
        <v>*0.880504783355962</v>
      </c>
      <c r="AP63" t="str">
        <f>'INS-UPD Heat'!AP84</f>
        <v>*0.872640441278991</v>
      </c>
      <c r="AQ63" t="str">
        <f>'INS-UPD Heat'!AQ84</f>
        <v>*0.949060077873277</v>
      </c>
      <c r="AR63" t="str">
        <f>'INS-UPD Heat'!AR84</f>
        <v>*0.889625648915354</v>
      </c>
      <c r="AS63" s="49" t="str">
        <f>'INS-UPD Heat'!AS84</f>
        <v>*0.915096287669067</v>
      </c>
    </row>
    <row r="64" spans="1:45" ht="12.75">
      <c r="A64" t="s">
        <v>148</v>
      </c>
      <c r="C64" t="s">
        <v>29</v>
      </c>
      <c r="D64" t="str">
        <f t="shared" si="4"/>
        <v>C_ES-SH-SL_EL*</v>
      </c>
      <c r="H64" s="54"/>
      <c r="I64" t="str">
        <f>'INS-UPD Heat'!I85</f>
        <v>*0.814695640040816</v>
      </c>
      <c r="J64" t="str">
        <f>'INS-UPD Heat'!J85</f>
        <v>*0.866863618757606</v>
      </c>
      <c r="K64" t="str">
        <f>'INS-UPD Heat'!K85</f>
        <v>*0.814695640040816</v>
      </c>
      <c r="L64" t="str">
        <f>'INS-UPD Heat'!L85</f>
        <v>*0.829770066565543</v>
      </c>
      <c r="M64" t="str">
        <f>'INS-UPD Heat'!M85</f>
        <v>*0.670139292549879</v>
      </c>
      <c r="N64" t="str">
        <f>'INS-UPD Heat'!N85</f>
        <v>*1</v>
      </c>
      <c r="O64" t="str">
        <f>'INS-UPD Heat'!O85</f>
        <v>*0.806570689531818</v>
      </c>
      <c r="P64" t="str">
        <f>'INS-UPD Heat'!P85</f>
        <v>*0.783236858692403</v>
      </c>
      <c r="Q64" t="str">
        <f>'INS-UPD Heat'!Q85</f>
        <v>*1.16338718199139</v>
      </c>
      <c r="R64" t="str">
        <f>'INS-UPD Heat'!R85</f>
        <v>*0.964160419172593</v>
      </c>
      <c r="S64" t="str">
        <f>'INS-UPD Heat'!S85</f>
        <v>*0.707243659269144</v>
      </c>
      <c r="T64" t="str">
        <f>'INS-UPD Heat'!T85</f>
        <v>*0.814695640040816</v>
      </c>
      <c r="U64" t="str">
        <f>'INS-UPD Heat'!U85</f>
        <v>*0.880205881297254</v>
      </c>
      <c r="V64" t="str">
        <f>'INS-UPD Heat'!V85</f>
        <v>*0.915248470397476</v>
      </c>
      <c r="W64" t="str">
        <f>'INS-UPD Heat'!W85</f>
        <v>*0.982636396644647</v>
      </c>
      <c r="X64" t="str">
        <f>'INS-UPD Heat'!X85</f>
        <v>*0.731393580117313</v>
      </c>
      <c r="Y64" t="str">
        <f>'INS-UPD Heat'!Y85</f>
        <v>*0.847123481616257</v>
      </c>
      <c r="Z64" t="str">
        <f>'INS-UPD Heat'!Z85</f>
        <v>*0.856585176139782</v>
      </c>
      <c r="AA64" t="str">
        <f>'INS-UPD Heat'!AA85</f>
        <v>*0.964160419172593</v>
      </c>
      <c r="AB64" t="str">
        <f>'INS-UPD Heat'!AB85</f>
        <v>*0.975703024004163</v>
      </c>
      <c r="AC64" t="str">
        <f>'INS-UPD Heat'!AC85</f>
        <v>*0.814695640040816</v>
      </c>
      <c r="AD64" t="str">
        <f>'INS-UPD Heat'!AD85</f>
        <v>*0.801302174406614</v>
      </c>
      <c r="AE64" t="str">
        <f>'INS-UPD Heat'!AE85</f>
        <v>*1.04929722822849</v>
      </c>
      <c r="AF64" t="str">
        <f>'INS-UPD Heat'!AF85</f>
        <v>*0.802607320234305</v>
      </c>
      <c r="AG64" t="str">
        <f>'INS-UPD Heat'!AG85</f>
        <v>*0.814695640040816</v>
      </c>
      <c r="AH64" t="str">
        <f>'INS-UPD Heat'!AH85</f>
        <v>*0.814695640040816</v>
      </c>
      <c r="AI64" t="str">
        <f>'INS-UPD Heat'!AI85</f>
        <v>*0.662075744685471</v>
      </c>
      <c r="AJ64" t="str">
        <f>'INS-UPD Heat'!AJ85</f>
        <v>*1.09991267506868</v>
      </c>
      <c r="AK64" t="str">
        <f>'INS-UPD Heat'!AK85</f>
        <v>*0.964160419172593</v>
      </c>
      <c r="AL64" t="str">
        <f>'INS-UPD Heat'!AL85</f>
        <v>*0.973806550892689</v>
      </c>
      <c r="AM64" t="str">
        <f>'INS-UPD Heat'!AM85</f>
        <v>*0.840908698492736</v>
      </c>
      <c r="AN64" t="str">
        <f>'INS-UPD Heat'!AN85</f>
        <v>*0.752940453106604</v>
      </c>
      <c r="AO64" t="str">
        <f>'INS-UPD Heat'!AO85</f>
        <v>*0.814695640040816</v>
      </c>
      <c r="AP64" t="str">
        <f>'INS-UPD Heat'!AP85</f>
        <v>*0.885880097942198</v>
      </c>
      <c r="AQ64" t="str">
        <f>'INS-UPD Heat'!AQ85</f>
        <v>*0.839394722196866</v>
      </c>
      <c r="AR64" t="str">
        <f>'INS-UPD Heat'!AR85</f>
        <v>*0.812611601321336</v>
      </c>
      <c r="AS64" s="49" t="str">
        <f>'INS-UPD Heat'!AS85</f>
        <v>*1.05673460932283</v>
      </c>
    </row>
    <row r="65" spans="1:45" ht="12.75">
      <c r="A65" t="s">
        <v>149</v>
      </c>
      <c r="C65" t="s">
        <v>29</v>
      </c>
      <c r="D65" t="str">
        <f t="shared" si="4"/>
        <v>C_ES-SH-SL_GA*</v>
      </c>
      <c r="H65" s="54"/>
      <c r="I65" t="str">
        <f>'INS-UPD Heat'!I86</f>
        <v>*0.751789844164435</v>
      </c>
      <c r="J65" t="str">
        <f>'INS-UPD Heat'!J86</f>
        <v>*0.958971368982325</v>
      </c>
      <c r="K65" t="str">
        <f>'INS-UPD Heat'!K86</f>
        <v>*0.751789844164435</v>
      </c>
      <c r="L65" t="str">
        <f>'INS-UPD Heat'!L86</f>
        <v>*0.98247021598169</v>
      </c>
      <c r="M65" t="str">
        <f>'INS-UPD Heat'!M86</f>
        <v>*0.801022925677764</v>
      </c>
      <c r="N65" t="str">
        <f>'INS-UPD Heat'!N86</f>
        <v>*1</v>
      </c>
      <c r="O65" t="str">
        <f>'INS-UPD Heat'!O86</f>
        <v>*0.750312177594846</v>
      </c>
      <c r="P65" t="str">
        <f>'INS-UPD Heat'!P86</f>
        <v>*0.870852828625521</v>
      </c>
      <c r="Q65" t="str">
        <f>'INS-UPD Heat'!Q86</f>
        <v>*0.766721004074585</v>
      </c>
      <c r="R65" t="str">
        <f>'INS-UPD Heat'!R86</f>
        <v>*0.916481590266539</v>
      </c>
      <c r="S65" t="str">
        <f>'INS-UPD Heat'!S86</f>
        <v>*0.868634629976933</v>
      </c>
      <c r="T65" t="str">
        <f>'INS-UPD Heat'!T86</f>
        <v>*0.751789844164435</v>
      </c>
      <c r="U65" t="str">
        <f>'INS-UPD Heat'!U86</f>
        <v>*0.831402561906822</v>
      </c>
      <c r="V65" t="str">
        <f>'INS-UPD Heat'!V86</f>
        <v>*0.877090057188528</v>
      </c>
      <c r="W65" t="str">
        <f>'INS-UPD Heat'!W86</f>
        <v>*0.913903595895035</v>
      </c>
      <c r="X65" t="str">
        <f>'INS-UPD Heat'!X86</f>
        <v>*0.887582361489164</v>
      </c>
      <c r="Y65" t="str">
        <f>'INS-UPD Heat'!Y86</f>
        <v>*0.88826694111973</v>
      </c>
      <c r="Z65" t="str">
        <f>'INS-UPD Heat'!Z86</f>
        <v>*0.932017066676991</v>
      </c>
      <c r="AA65" t="str">
        <f>'INS-UPD Heat'!AA86</f>
        <v>*0.916481590266539</v>
      </c>
      <c r="AB65" t="str">
        <f>'INS-UPD Heat'!AB86</f>
        <v>*0.912611573794044</v>
      </c>
      <c r="AC65" t="str">
        <f>'INS-UPD Heat'!AC86</f>
        <v>*0.751789844164435</v>
      </c>
      <c r="AD65" t="str">
        <f>'INS-UPD Heat'!AD86</f>
        <v>*0.868636514902445</v>
      </c>
      <c r="AE65" t="str">
        <f>'INS-UPD Heat'!AE86</f>
        <v>*0.916280573443744</v>
      </c>
      <c r="AF65" t="str">
        <f>'INS-UPD Heat'!AF86</f>
        <v>*0.902440555603779</v>
      </c>
      <c r="AG65" t="str">
        <f>'INS-UPD Heat'!AG86</f>
        <v>*0.751789844164435</v>
      </c>
      <c r="AH65" t="str">
        <f>'INS-UPD Heat'!AH86</f>
        <v>*0.751789844164435</v>
      </c>
      <c r="AI65" t="str">
        <f>'INS-UPD Heat'!AI86</f>
        <v>*0.782553232285825</v>
      </c>
      <c r="AJ65" t="str">
        <f>'INS-UPD Heat'!AJ86</f>
        <v>*0.983432278118349</v>
      </c>
      <c r="AK65" t="str">
        <f>'INS-UPD Heat'!AK86</f>
        <v>*0.916481590266539</v>
      </c>
      <c r="AL65" t="str">
        <f>'INS-UPD Heat'!AL86</f>
        <v>*0.907097458133649</v>
      </c>
      <c r="AM65" t="str">
        <f>'INS-UPD Heat'!AM86</f>
        <v>*0.858910478986323</v>
      </c>
      <c r="AN65" t="str">
        <f>'INS-UPD Heat'!AN86</f>
        <v>*0.890676709498201</v>
      </c>
      <c r="AO65" t="str">
        <f>'INS-UPD Heat'!AO86</f>
        <v>*0.751789844164435</v>
      </c>
      <c r="AP65" t="str">
        <f>'INS-UPD Heat'!AP86</f>
        <v>*0.868634823876442</v>
      </c>
      <c r="AQ65" t="str">
        <f>'INS-UPD Heat'!AQ86</f>
        <v>*0.944703220399034</v>
      </c>
      <c r="AR65" t="str">
        <f>'INS-UPD Heat'!AR86</f>
        <v>*0.887897908847503</v>
      </c>
      <c r="AS65" s="49" t="str">
        <f>'INS-UPD Heat'!AS86</f>
        <v>*0.915420971135312</v>
      </c>
    </row>
    <row r="66" spans="1:45" ht="12.75">
      <c r="A66" t="s">
        <v>150</v>
      </c>
      <c r="C66" t="s">
        <v>29</v>
      </c>
      <c r="D66" t="str">
        <f t="shared" si="4"/>
        <v>C_ES-SH-SL_OI*</v>
      </c>
      <c r="H66" s="54"/>
      <c r="I66" t="str">
        <f>'INS-UPD Heat'!I87</f>
        <v>*0.753773411000091</v>
      </c>
      <c r="J66" t="str">
        <f>'INS-UPD Heat'!J87</f>
        <v>*0.957544163772634</v>
      </c>
      <c r="K66" t="str">
        <f>'INS-UPD Heat'!K87</f>
        <v>*0.753773411000091</v>
      </c>
      <c r="L66" t="str">
        <f>'INS-UPD Heat'!L87</f>
        <v>*0.983016992017122</v>
      </c>
      <c r="M66" t="str">
        <f>'INS-UPD Heat'!M87</f>
        <v>*0.804716585177828</v>
      </c>
      <c r="N66" t="str">
        <f>'INS-UPD Heat'!N87</f>
        <v>*1</v>
      </c>
      <c r="O66" t="str">
        <f>'INS-UPD Heat'!O87</f>
        <v>*0.753771965014407</v>
      </c>
      <c r="P66" t="str">
        <f>'INS-UPD Heat'!P87</f>
        <v>*0.872640058113471</v>
      </c>
      <c r="Q66" t="str">
        <f>'INS-UPD Heat'!Q87</f>
        <v>*0.715500925014401</v>
      </c>
      <c r="R66" t="str">
        <f>'INS-UPD Heat'!R87</f>
        <v>*0.915094452005067</v>
      </c>
      <c r="S66" t="str">
        <f>'INS-UPD Heat'!S87</f>
        <v>*0.872638584269094</v>
      </c>
      <c r="T66" t="str">
        <f>'INS-UPD Heat'!T87</f>
        <v>*0.753773411000091</v>
      </c>
      <c r="U66" t="str">
        <f>'INS-UPD Heat'!U87</f>
        <v>*0.830188634260304</v>
      </c>
      <c r="V66" t="str">
        <f>'INS-UPD Heat'!V87</f>
        <v>*0.881132627863442</v>
      </c>
      <c r="W66" t="str">
        <f>'INS-UPD Heat'!W87</f>
        <v>*0.915094198262907</v>
      </c>
      <c r="X66" t="str">
        <f>'INS-UPD Heat'!X87</f>
        <v>*0.889621616188381</v>
      </c>
      <c r="Y66" t="str">
        <f>'INS-UPD Heat'!Y87</f>
        <v>*0.768692227740908</v>
      </c>
      <c r="Z66" t="str">
        <f>'INS-UPD Heat'!Z87</f>
        <v>*0.932072829532384</v>
      </c>
      <c r="AA66" t="str">
        <f>'INS-UPD Heat'!AA87</f>
        <v>*0.915094452005067</v>
      </c>
      <c r="AB66" t="str">
        <f>'INS-UPD Heat'!AB87</f>
        <v>*0.915090313213233</v>
      </c>
      <c r="AC66" t="str">
        <f>'INS-UPD Heat'!AC87</f>
        <v>*0.753773411000091</v>
      </c>
      <c r="AD66" t="str">
        <f>'INS-UPD Heat'!AD87</f>
        <v>*0.872642317322356</v>
      </c>
      <c r="AE66" t="str">
        <f>'INS-UPD Heat'!AE87</f>
        <v>*0.915091850300005</v>
      </c>
      <c r="AF66" t="str">
        <f>'INS-UPD Heat'!AF87</f>
        <v>*0.906603397591183</v>
      </c>
      <c r="AG66" t="str">
        <f>'INS-UPD Heat'!AG87</f>
        <v>*0.753773411000091</v>
      </c>
      <c r="AH66" t="str">
        <f>'INS-UPD Heat'!AH87</f>
        <v>*0.753773411000091</v>
      </c>
      <c r="AI66" t="str">
        <f>'INS-UPD Heat'!AI87</f>
        <v>*0.768692227740908</v>
      </c>
      <c r="AJ66" t="str">
        <f>'INS-UPD Heat'!AJ87</f>
        <v>*0.983020136421328</v>
      </c>
      <c r="AK66" t="str">
        <f>'INS-UPD Heat'!AK87</f>
        <v>*0.915094452005067</v>
      </c>
      <c r="AL66" t="str">
        <f>'INS-UPD Heat'!AL87</f>
        <v>*0.906603703265176</v>
      </c>
      <c r="AM66" t="str">
        <f>'INS-UPD Heat'!AM87</f>
        <v>*0.855661126516543</v>
      </c>
      <c r="AN66" t="str">
        <f>'INS-UPD Heat'!AN87</f>
        <v>*0.893867563595842</v>
      </c>
      <c r="AO66" t="str">
        <f>'INS-UPD Heat'!AO87</f>
        <v>*0.753773411000091</v>
      </c>
      <c r="AP66" t="str">
        <f>'INS-UPD Heat'!AP87</f>
        <v>*0.872639506876678</v>
      </c>
      <c r="AQ66" t="str">
        <f>'INS-UPD Heat'!AQ87</f>
        <v>*0.94905683960654</v>
      </c>
      <c r="AR66" t="str">
        <f>'INS-UPD Heat'!AR87</f>
        <v>*0.889623028548323</v>
      </c>
      <c r="AS66" s="49" t="str">
        <f>'INS-UPD Heat'!AS87</f>
        <v>*0.915091716306065</v>
      </c>
    </row>
    <row r="67" spans="1:45" ht="12.75">
      <c r="A67" t="s">
        <v>151</v>
      </c>
      <c r="C67" t="s">
        <v>29</v>
      </c>
      <c r="D67" t="str">
        <f t="shared" si="4"/>
        <v>C_ES-SH-SL_GE*</v>
      </c>
      <c r="H67" s="54"/>
      <c r="I67" t="str">
        <f>'INS-UPD Heat'!I88</f>
        <v>*1</v>
      </c>
      <c r="J67" t="str">
        <f>'INS-UPD Heat'!J88</f>
        <v>*1.18071512418715</v>
      </c>
      <c r="K67" t="str">
        <f>'INS-UPD Heat'!K88</f>
        <v>*1</v>
      </c>
      <c r="L67" t="str">
        <f>'INS-UPD Heat'!L88</f>
        <v>*1</v>
      </c>
      <c r="M67" t="str">
        <f>'INS-UPD Heat'!M88</f>
        <v>*0.992265584693816</v>
      </c>
      <c r="N67" t="str">
        <f>'INS-UPD Heat'!N88</f>
        <v>*1</v>
      </c>
      <c r="O67" t="str">
        <f>'INS-UPD Heat'!O88</f>
        <v>*1</v>
      </c>
      <c r="P67" t="str">
        <f>'INS-UPD Heat'!P88</f>
        <v>*1</v>
      </c>
      <c r="Q67" t="str">
        <f>'INS-UPD Heat'!Q88</f>
        <v>*0.7</v>
      </c>
      <c r="R67" t="str">
        <f>'INS-UPD Heat'!R88</f>
        <v>*1</v>
      </c>
      <c r="S67" t="str">
        <f>'INS-UPD Heat'!S88</f>
        <v>*1</v>
      </c>
      <c r="T67" t="str">
        <f>'INS-UPD Heat'!T88</f>
        <v>*1</v>
      </c>
      <c r="U67" t="str">
        <f>'INS-UPD Heat'!U88</f>
        <v>*1.02367221742178</v>
      </c>
      <c r="V67" t="str">
        <f>'INS-UPD Heat'!V88</f>
        <v>*1</v>
      </c>
      <c r="W67" t="str">
        <f>'INS-UPD Heat'!W88</f>
        <v>*1.12836642882944</v>
      </c>
      <c r="X67" t="str">
        <f>'INS-UPD Heat'!X88</f>
        <v>*1.09695901278096</v>
      </c>
      <c r="Y67" t="str">
        <f>'INS-UPD Heat'!Y88</f>
        <v>*1.09695874032411</v>
      </c>
      <c r="Z67" t="str">
        <f>'INS-UPD Heat'!Z88</f>
        <v>*1</v>
      </c>
      <c r="AA67" t="str">
        <f>'INS-UPD Heat'!AA88</f>
        <v>*1</v>
      </c>
      <c r="AB67" t="str">
        <f>'INS-UPD Heat'!AB88</f>
        <v>*1.12836780488483</v>
      </c>
      <c r="AC67" t="str">
        <f>'INS-UPD Heat'!AC88</f>
        <v>*1</v>
      </c>
      <c r="AD67" t="str">
        <f>'INS-UPD Heat'!AD88</f>
        <v>*1</v>
      </c>
      <c r="AE67" t="str">
        <f>'INS-UPD Heat'!AE88</f>
        <v>*1</v>
      </c>
      <c r="AF67" t="str">
        <f>'INS-UPD Heat'!AF88</f>
        <v>*1</v>
      </c>
      <c r="AG67" t="str">
        <f>'INS-UPD Heat'!AG88</f>
        <v>*1</v>
      </c>
      <c r="AH67" t="str">
        <f>'INS-UPD Heat'!AH88</f>
        <v>*1</v>
      </c>
      <c r="AI67" t="str">
        <f>'INS-UPD Heat'!AI88</f>
        <v>*1</v>
      </c>
      <c r="AJ67" t="str">
        <f>'INS-UPD Heat'!AJ88</f>
        <v>*1</v>
      </c>
      <c r="AK67" t="str">
        <f>'INS-UPD Heat'!AK88</f>
        <v>*1</v>
      </c>
      <c r="AL67" t="str">
        <f>'INS-UPD Heat'!AL88</f>
        <v>*1.11789847320821</v>
      </c>
      <c r="AM67" t="str">
        <f>'INS-UPD Heat'!AM88</f>
        <v>*1.05508137432188</v>
      </c>
      <c r="AN67" t="str">
        <f>'INS-UPD Heat'!AN88</f>
        <v>*1.10219424337653</v>
      </c>
      <c r="AO67" t="str">
        <f>'INS-UPD Heat'!AO88</f>
        <v>*1</v>
      </c>
      <c r="AP67" t="str">
        <f>'INS-UPD Heat'!AP88</f>
        <v>*1</v>
      </c>
      <c r="AQ67" t="str">
        <f>'INS-UPD Heat'!AQ88</f>
        <v>*1.17024478027022</v>
      </c>
      <c r="AR67" t="str">
        <f>'INS-UPD Heat'!AR88</f>
        <v>*1.0969585751785</v>
      </c>
      <c r="AS67" s="49" t="str">
        <f>'INS-UPD Heat'!AS88</f>
        <v>*1.12836656997825</v>
      </c>
    </row>
    <row r="68" spans="1:45" ht="12.75">
      <c r="A68" t="s">
        <v>152</v>
      </c>
      <c r="C68" t="s">
        <v>29</v>
      </c>
      <c r="D68" t="str">
        <f t="shared" si="4"/>
        <v>C_ES-SH-SL_LP*</v>
      </c>
      <c r="H68" s="54"/>
      <c r="I68" t="str">
        <f>'INS-UPD Heat'!I89</f>
        <v>*1</v>
      </c>
      <c r="J68" t="str">
        <f>'INS-UPD Heat'!J89</f>
        <v>*1</v>
      </c>
      <c r="K68" t="str">
        <f>'INS-UPD Heat'!K89</f>
        <v>*1</v>
      </c>
      <c r="L68" t="str">
        <f>'INS-UPD Heat'!L89</f>
        <v>*1</v>
      </c>
      <c r="M68" t="str">
        <f>'INS-UPD Heat'!M89</f>
        <v>*1</v>
      </c>
      <c r="N68" t="str">
        <f>'INS-UPD Heat'!N89</f>
        <v>*1</v>
      </c>
      <c r="O68" t="str">
        <f>'INS-UPD Heat'!O89</f>
        <v>*1</v>
      </c>
      <c r="P68" t="str">
        <f>'INS-UPD Heat'!P89</f>
        <v>*1</v>
      </c>
      <c r="Q68" t="str">
        <f>'INS-UPD Heat'!Q89</f>
        <v>*0.666666666666667</v>
      </c>
      <c r="R68" t="str">
        <f>'INS-UPD Heat'!R89</f>
        <v>*1</v>
      </c>
      <c r="S68" t="str">
        <f>'INS-UPD Heat'!S89</f>
        <v>*1</v>
      </c>
      <c r="T68" t="str">
        <f>'INS-UPD Heat'!T89</f>
        <v>*1</v>
      </c>
      <c r="U68" t="str">
        <f>'INS-UPD Heat'!U89</f>
        <v>*1</v>
      </c>
      <c r="V68" t="str">
        <f>'INS-UPD Heat'!V89</f>
        <v>*1</v>
      </c>
      <c r="W68" t="str">
        <f>'INS-UPD Heat'!W89</f>
        <v>*1</v>
      </c>
      <c r="X68" t="str">
        <f>'INS-UPD Heat'!X89</f>
        <v>*1</v>
      </c>
      <c r="Y68" t="str">
        <f>'INS-UPD Heat'!Y89</f>
        <v>*1</v>
      </c>
      <c r="Z68" t="str">
        <f>'INS-UPD Heat'!Z89</f>
        <v>*1</v>
      </c>
      <c r="AA68" t="str">
        <f>'INS-UPD Heat'!AA89</f>
        <v>*1</v>
      </c>
      <c r="AB68" t="str">
        <f>'INS-UPD Heat'!AB89</f>
        <v>*1.00831519600226</v>
      </c>
      <c r="AC68" t="str">
        <f>'INS-UPD Heat'!AC89</f>
        <v>*1</v>
      </c>
      <c r="AD68" t="str">
        <f>'INS-UPD Heat'!AD89</f>
        <v>*1</v>
      </c>
      <c r="AE68" t="str">
        <f>'INS-UPD Heat'!AE89</f>
        <v>*1.00831336713657</v>
      </c>
      <c r="AF68" t="str">
        <f>'INS-UPD Heat'!AF89</f>
        <v>*1</v>
      </c>
      <c r="AG68" t="str">
        <f>'INS-UPD Heat'!AG89</f>
        <v>*1</v>
      </c>
      <c r="AH68" t="str">
        <f>'INS-UPD Heat'!AH89</f>
        <v>*1</v>
      </c>
      <c r="AI68" t="str">
        <f>'INS-UPD Heat'!AI89</f>
        <v>*1</v>
      </c>
      <c r="AJ68" t="str">
        <f>'INS-UPD Heat'!AJ89</f>
        <v>*1</v>
      </c>
      <c r="AK68" t="str">
        <f>'INS-UPD Heat'!AK89</f>
        <v>*1</v>
      </c>
      <c r="AL68" t="str">
        <f>'INS-UPD Heat'!AL89</f>
        <v>*1</v>
      </c>
      <c r="AM68" t="str">
        <f>'INS-UPD Heat'!AM89</f>
        <v>*1</v>
      </c>
      <c r="AN68" t="str">
        <f>'INS-UPD Heat'!AN89</f>
        <v>*1</v>
      </c>
      <c r="AO68" t="str">
        <f>'INS-UPD Heat'!AO89</f>
        <v>*1</v>
      </c>
      <c r="AP68" t="str">
        <f>'INS-UPD Heat'!AP89</f>
        <v>*1</v>
      </c>
      <c r="AQ68" t="str">
        <f>'INS-UPD Heat'!AQ89</f>
        <v>*1.045737981492</v>
      </c>
      <c r="AR68" t="str">
        <f>'INS-UPD Heat'!AR89</f>
        <v>*1</v>
      </c>
      <c r="AS68" s="49" t="str">
        <f>'INS-UPD Heat'!AS89</f>
        <v>*1</v>
      </c>
    </row>
    <row r="69" spans="1:45" ht="12.75">
      <c r="A69" t="s">
        <v>153</v>
      </c>
      <c r="C69" t="s">
        <v>29</v>
      </c>
      <c r="D69" t="str">
        <f t="shared" si="4"/>
        <v>C_ES-SH-SL_CO*</v>
      </c>
      <c r="H69" s="54"/>
      <c r="I69" t="str">
        <f>'INS-UPD Heat'!I90</f>
        <v>*0.806322012647686</v>
      </c>
      <c r="J69" t="str">
        <f>'INS-UPD Heat'!J90</f>
        <v>*0.957546566204691</v>
      </c>
      <c r="K69" t="str">
        <f>'INS-UPD Heat'!K90</f>
        <v>*0.806322012647686</v>
      </c>
      <c r="L69" t="str">
        <f>'INS-UPD Heat'!L90</f>
        <v>*0.806322012647686</v>
      </c>
      <c r="M69" t="str">
        <f>'INS-UPD Heat'!M90</f>
        <v>*0.804719068299585</v>
      </c>
      <c r="N69" t="str">
        <f>'INS-UPD Heat'!N90</f>
        <v>*1</v>
      </c>
      <c r="O69" t="str">
        <f>'INS-UPD Heat'!O90</f>
        <v>*0.806322012647686</v>
      </c>
      <c r="P69" t="str">
        <f>'INS-UPD Heat'!P90</f>
        <v>*0.872641433460454</v>
      </c>
      <c r="Q69" t="str">
        <f>'INS-UPD Heat'!Q90</f>
        <v>*0.620099652691077</v>
      </c>
      <c r="R69" t="str">
        <f>'INS-UPD Heat'!R90</f>
        <v>*0.806322012647686</v>
      </c>
      <c r="S69" t="str">
        <f>'INS-UPD Heat'!S90</f>
        <v>*0.872643446827971</v>
      </c>
      <c r="T69" t="str">
        <f>'INS-UPD Heat'!T90</f>
        <v>*0.806322012647686</v>
      </c>
      <c r="U69" t="str">
        <f>'INS-UPD Heat'!U90</f>
        <v>*0.830187692790597</v>
      </c>
      <c r="V69" t="str">
        <f>'INS-UPD Heat'!V90</f>
        <v>*0.88113082387544</v>
      </c>
      <c r="W69" t="str">
        <f>'INS-UPD Heat'!W90</f>
        <v>*0.806322012647686</v>
      </c>
      <c r="X69" t="str">
        <f>'INS-UPD Heat'!X90</f>
        <v>*0.889623229961177</v>
      </c>
      <c r="Y69" t="str">
        <f>'INS-UPD Heat'!Y90</f>
        <v>*0.889620935555759</v>
      </c>
      <c r="Z69" t="str">
        <f>'INS-UPD Heat'!Z90</f>
        <v>*0.806322012647686</v>
      </c>
      <c r="AA69" t="str">
        <f>'INS-UPD Heat'!AA90</f>
        <v>*0.806322012647686</v>
      </c>
      <c r="AB69" t="str">
        <f>'INS-UPD Heat'!AB90</f>
        <v>*0.806322012647686</v>
      </c>
      <c r="AC69" t="str">
        <f>'INS-UPD Heat'!AC90</f>
        <v>*0.806322012647686</v>
      </c>
      <c r="AD69" t="str">
        <f>'INS-UPD Heat'!AD90</f>
        <v>*0.87264257545149</v>
      </c>
      <c r="AE69" t="str">
        <f>'INS-UPD Heat'!AE90</f>
        <v>*0.806322012647686</v>
      </c>
      <c r="AF69" t="str">
        <f>'INS-UPD Heat'!AF90</f>
        <v>*0.906603887155439</v>
      </c>
      <c r="AG69" t="str">
        <f>'INS-UPD Heat'!AG90</f>
        <v>*0.806322012647686</v>
      </c>
      <c r="AH69" t="str">
        <f>'INS-UPD Heat'!AH90</f>
        <v>*0.806322012647686</v>
      </c>
      <c r="AI69" t="str">
        <f>'INS-UPD Heat'!AI90</f>
        <v>*0.806322012647686</v>
      </c>
      <c r="AJ69" t="str">
        <f>'INS-UPD Heat'!AJ90</f>
        <v>*0.983019632318116</v>
      </c>
      <c r="AK69" t="str">
        <f>'INS-UPD Heat'!AK90</f>
        <v>*0.806322012647686</v>
      </c>
      <c r="AL69" t="str">
        <f>'INS-UPD Heat'!AL90</f>
        <v>*0.906604351626599</v>
      </c>
      <c r="AM69" t="str">
        <f>'INS-UPD Heat'!AM90</f>
        <v>*0.806322012647686</v>
      </c>
      <c r="AN69" t="str">
        <f>'INS-UPD Heat'!AN90</f>
        <v>*0.89386762861896</v>
      </c>
      <c r="AO69" t="str">
        <f>'INS-UPD Heat'!AO90</f>
        <v>*0.806322012647686</v>
      </c>
      <c r="AP69" t="str">
        <f>'INS-UPD Heat'!AP90</f>
        <v>*0.806322012647686</v>
      </c>
      <c r="AQ69" t="str">
        <f>'INS-UPD Heat'!AQ90</f>
        <v>*0.806322012647686</v>
      </c>
      <c r="AR69" t="str">
        <f>'INS-UPD Heat'!AR90</f>
        <v>*0.889622985856844</v>
      </c>
      <c r="AS69" s="49" t="str">
        <f>'INS-UPD Heat'!AS90</f>
        <v>*0.915091066360072</v>
      </c>
    </row>
    <row r="70" spans="1:45" ht="12.75">
      <c r="A70" t="s">
        <v>154</v>
      </c>
      <c r="C70" t="s">
        <v>29</v>
      </c>
      <c r="D70" t="str">
        <f t="shared" si="4"/>
        <v>C_ES-SH-SS_BI*</v>
      </c>
      <c r="H70" s="54"/>
      <c r="I70" t="str">
        <f>'INS-UPD Heat'!I91</f>
        <v>*1</v>
      </c>
      <c r="J70" t="str">
        <f>'INS-UPD Heat'!J91</f>
        <v>*1.13273935601115</v>
      </c>
      <c r="K70" t="str">
        <f>'INS-UPD Heat'!K91</f>
        <v>*1</v>
      </c>
      <c r="L70" t="str">
        <f>'INS-UPD Heat'!L91</f>
        <v>*1.16287202779621</v>
      </c>
      <c r="M70" t="str">
        <f>'INS-UPD Heat'!M91</f>
        <v>*0.951947404871184</v>
      </c>
      <c r="N70" t="str">
        <f>'INS-UPD Heat'!N91</f>
        <v>*1</v>
      </c>
      <c r="O70" t="str">
        <f>'INS-UPD Heat'!O91</f>
        <v>*0.891684624593808</v>
      </c>
      <c r="P70" t="str">
        <f>'INS-UPD Heat'!P91</f>
        <v>*1.03230037990426</v>
      </c>
      <c r="Q70" t="str">
        <f>'INS-UPD Heat'!Q91</f>
        <v>*0.5</v>
      </c>
      <c r="R70" t="str">
        <f>'INS-UPD Heat'!R91</f>
        <v>*1.0825169264074</v>
      </c>
      <c r="S70" t="str">
        <f>'INS-UPD Heat'!S91</f>
        <v>*1.03229644898342</v>
      </c>
      <c r="T70" t="str">
        <f>'INS-UPD Heat'!T91</f>
        <v>*1</v>
      </c>
      <c r="U70" t="str">
        <f>'INS-UPD Heat'!U91</f>
        <v>*0.982080090991512</v>
      </c>
      <c r="V70" t="str">
        <f>'INS-UPD Heat'!V91</f>
        <v>*1.0423429136333</v>
      </c>
      <c r="W70" t="str">
        <f>'INS-UPD Heat'!W91</f>
        <v>*1.08252106666226</v>
      </c>
      <c r="X70" t="str">
        <f>'INS-UPD Heat'!X91</f>
        <v>*1.05238453545451</v>
      </c>
      <c r="Y70" t="str">
        <f>'INS-UPD Heat'!Y91</f>
        <v>*1.05238966451752</v>
      </c>
      <c r="Z70" t="str">
        <f>'INS-UPD Heat'!Z91</f>
        <v>*1.1026073590249</v>
      </c>
      <c r="AA70" t="str">
        <f>'INS-UPD Heat'!AA91</f>
        <v>*1.0825169264074</v>
      </c>
      <c r="AB70" t="str">
        <f>'INS-UPD Heat'!AB91</f>
        <v>*1</v>
      </c>
      <c r="AC70" t="str">
        <f>'INS-UPD Heat'!AC91</f>
        <v>*1</v>
      </c>
      <c r="AD70" t="str">
        <f>'INS-UPD Heat'!AD91</f>
        <v>*1.03230017588431</v>
      </c>
      <c r="AE70" t="str">
        <f>'INS-UPD Heat'!AE91</f>
        <v>*1</v>
      </c>
      <c r="AF70" t="str">
        <f>'INS-UPD Heat'!AF91</f>
        <v>*1.07247594152106</v>
      </c>
      <c r="AG70" t="str">
        <f>'INS-UPD Heat'!AG91</f>
        <v>*1</v>
      </c>
      <c r="AH70" t="str">
        <f>'INS-UPD Heat'!AH91</f>
        <v>*1</v>
      </c>
      <c r="AI70" t="str">
        <f>'INS-UPD Heat'!AI91</f>
        <v>*1</v>
      </c>
      <c r="AJ70" t="str">
        <f>'INS-UPD Heat'!AJ91</f>
        <v>*1.16287284644911</v>
      </c>
      <c r="AK70" t="str">
        <f>'INS-UPD Heat'!AK91</f>
        <v>*1.0825169264074</v>
      </c>
      <c r="AL70" t="str">
        <f>'INS-UPD Heat'!AL91</f>
        <v>*1.07247406151033</v>
      </c>
      <c r="AM70" t="str">
        <f>'INS-UPD Heat'!AM91</f>
        <v>*1</v>
      </c>
      <c r="AN70" t="str">
        <f>'INS-UPD Heat'!AN91</f>
        <v>*1</v>
      </c>
      <c r="AO70" t="str">
        <f>'INS-UPD Heat'!AO91</f>
        <v>*1</v>
      </c>
      <c r="AP70" t="str">
        <f>'INS-UPD Heat'!AP91</f>
        <v>*1.03229798151806</v>
      </c>
      <c r="AQ70" t="str">
        <f>'INS-UPD Heat'!AQ91</f>
        <v>*1</v>
      </c>
      <c r="AR70" t="str">
        <f>'INS-UPD Heat'!AR91</f>
        <v>*1.05238916181003</v>
      </c>
      <c r="AS70" s="49" t="str">
        <f>'INS-UPD Heat'!AS91</f>
        <v>*1.08252104532776</v>
      </c>
    </row>
    <row r="71" spans="1:45" ht="12.75">
      <c r="A71" t="s">
        <v>155</v>
      </c>
      <c r="C71" t="s">
        <v>29</v>
      </c>
      <c r="D71" t="str">
        <f t="shared" si="4"/>
        <v>C_ES-SH-SS_HE*</v>
      </c>
      <c r="H71" s="54"/>
      <c r="I71" t="str">
        <f>'INS-UPD Heat'!I92</f>
        <v>*0.880504783355962</v>
      </c>
      <c r="J71" t="str">
        <f>'INS-UPD Heat'!J92</f>
        <v>*0.957548618872751</v>
      </c>
      <c r="K71" t="str">
        <f>'INS-UPD Heat'!K92</f>
        <v>*0.880504783355962</v>
      </c>
      <c r="L71" t="str">
        <f>'INS-UPD Heat'!L92</f>
        <v>*0.983020646759874</v>
      </c>
      <c r="M71" t="str">
        <f>'INS-UPD Heat'!M92</f>
        <v>*0.804718937699145</v>
      </c>
      <c r="N71" t="str">
        <f>'INS-UPD Heat'!N92</f>
        <v>*1</v>
      </c>
      <c r="O71" t="str">
        <f>'INS-UPD Heat'!O92</f>
        <v>*0.880504783355962</v>
      </c>
      <c r="P71" t="str">
        <f>'INS-UPD Heat'!P92</f>
        <v>*0.872644275983274</v>
      </c>
      <c r="Q71" t="str">
        <f>'INS-UPD Heat'!Q92</f>
        <v>*0.908569737634899</v>
      </c>
      <c r="R71" t="str">
        <f>'INS-UPD Heat'!R92</f>
        <v>*0.915095212233637</v>
      </c>
      <c r="S71" t="str">
        <f>'INS-UPD Heat'!S92</f>
        <v>*0.872642655737943</v>
      </c>
      <c r="T71" t="str">
        <f>'INS-UPD Heat'!T92</f>
        <v>*0.880504783355962</v>
      </c>
      <c r="U71" t="str">
        <f>'INS-UPD Heat'!U92</f>
        <v>*0.880504783355962</v>
      </c>
      <c r="V71" t="str">
        <f>'INS-UPD Heat'!V92</f>
        <v>*0.881131477151944</v>
      </c>
      <c r="W71" t="str">
        <f>'INS-UPD Heat'!W92</f>
        <v>*0.915093124359608</v>
      </c>
      <c r="X71" t="str">
        <f>'INS-UPD Heat'!X92</f>
        <v>*0.889625250941913</v>
      </c>
      <c r="Y71" t="str">
        <f>'INS-UPD Heat'!Y92</f>
        <v>*0.889623372740061</v>
      </c>
      <c r="Z71" t="str">
        <f>'INS-UPD Heat'!Z92</f>
        <v>*0.880504783355962</v>
      </c>
      <c r="AA71" t="str">
        <f>'INS-UPD Heat'!AA92</f>
        <v>*0.915095212233637</v>
      </c>
      <c r="AB71" t="str">
        <f>'INS-UPD Heat'!AB92</f>
        <v>*0.915095341838966</v>
      </c>
      <c r="AC71" t="str">
        <f>'INS-UPD Heat'!AC92</f>
        <v>*0.880504783355962</v>
      </c>
      <c r="AD71" t="str">
        <f>'INS-UPD Heat'!AD92</f>
        <v>*0.872640325737902</v>
      </c>
      <c r="AE71" t="str">
        <f>'INS-UPD Heat'!AE92</f>
        <v>*0.915097225102635</v>
      </c>
      <c r="AF71" t="str">
        <f>'INS-UPD Heat'!AF92</f>
        <v>*0.906602703277204</v>
      </c>
      <c r="AG71" t="str">
        <f>'INS-UPD Heat'!AG92</f>
        <v>*0.880504783355962</v>
      </c>
      <c r="AH71" t="str">
        <f>'INS-UPD Heat'!AH92</f>
        <v>*0.880504783355962</v>
      </c>
      <c r="AI71" t="str">
        <f>'INS-UPD Heat'!AI92</f>
        <v>*0.880504783355962</v>
      </c>
      <c r="AJ71" t="str">
        <f>'INS-UPD Heat'!AJ92</f>
        <v>*0.983021041372418</v>
      </c>
      <c r="AK71" t="str">
        <f>'INS-UPD Heat'!AK92</f>
        <v>*0.915095212233637</v>
      </c>
      <c r="AL71" t="str">
        <f>'INS-UPD Heat'!AL92</f>
        <v>*0.906604639952111</v>
      </c>
      <c r="AM71" t="str">
        <f>'INS-UPD Heat'!AM92</f>
        <v>*0.855664327496265</v>
      </c>
      <c r="AN71" t="str">
        <f>'INS-UPD Heat'!AN92</f>
        <v>*0.89386936286641</v>
      </c>
      <c r="AO71" t="str">
        <f>'INS-UPD Heat'!AO92</f>
        <v>*0.880504783355962</v>
      </c>
      <c r="AP71" t="str">
        <f>'INS-UPD Heat'!AP92</f>
        <v>*0.872640441278991</v>
      </c>
      <c r="AQ71" t="str">
        <f>'INS-UPD Heat'!AQ92</f>
        <v>*0.949060077873277</v>
      </c>
      <c r="AR71" t="str">
        <f>'INS-UPD Heat'!AR92</f>
        <v>*0.889625648915354</v>
      </c>
      <c r="AS71" s="49" t="str">
        <f>'INS-UPD Heat'!AS92</f>
        <v>*0.915096287669067</v>
      </c>
    </row>
    <row r="72" spans="1:45" ht="12.75">
      <c r="A72" t="s">
        <v>156</v>
      </c>
      <c r="C72" t="s">
        <v>29</v>
      </c>
      <c r="D72" t="str">
        <f t="shared" si="4"/>
        <v>C_ES-SH-SS_EL*</v>
      </c>
      <c r="H72" s="54"/>
      <c r="I72" t="str">
        <f>'INS-UPD Heat'!I93</f>
        <v>*0.814695640040816</v>
      </c>
      <c r="J72" t="str">
        <f>'INS-UPD Heat'!J93</f>
        <v>*0.866863618757606</v>
      </c>
      <c r="K72" t="str">
        <f>'INS-UPD Heat'!K93</f>
        <v>*0.814695640040816</v>
      </c>
      <c r="L72" t="str">
        <f>'INS-UPD Heat'!L93</f>
        <v>*0.829770066565543</v>
      </c>
      <c r="M72" t="str">
        <f>'INS-UPD Heat'!M93</f>
        <v>*0.670139292549879</v>
      </c>
      <c r="N72" t="str">
        <f>'INS-UPD Heat'!N93</f>
        <v>*1</v>
      </c>
      <c r="O72" t="str">
        <f>'INS-UPD Heat'!O93</f>
        <v>*0.806570689531818</v>
      </c>
      <c r="P72" t="str">
        <f>'INS-UPD Heat'!P93</f>
        <v>*0.783236858692403</v>
      </c>
      <c r="Q72" t="str">
        <f>'INS-UPD Heat'!Q93</f>
        <v>*1.16338718199139</v>
      </c>
      <c r="R72" t="str">
        <f>'INS-UPD Heat'!R93</f>
        <v>*0.964160419172593</v>
      </c>
      <c r="S72" t="str">
        <f>'INS-UPD Heat'!S93</f>
        <v>*0.707243659269144</v>
      </c>
      <c r="T72" t="str">
        <f>'INS-UPD Heat'!T93</f>
        <v>*0.814695640040816</v>
      </c>
      <c r="U72" t="str">
        <f>'INS-UPD Heat'!U93</f>
        <v>*0.880205881297254</v>
      </c>
      <c r="V72" t="str">
        <f>'INS-UPD Heat'!V93</f>
        <v>*0.915248470397476</v>
      </c>
      <c r="W72" t="str">
        <f>'INS-UPD Heat'!W93</f>
        <v>*0.982636396644647</v>
      </c>
      <c r="X72" t="str">
        <f>'INS-UPD Heat'!X93</f>
        <v>*0.731393580117313</v>
      </c>
      <c r="Y72" t="str">
        <f>'INS-UPD Heat'!Y93</f>
        <v>*0.847123481616257</v>
      </c>
      <c r="Z72" t="str">
        <f>'INS-UPD Heat'!Z93</f>
        <v>*0.856585176139782</v>
      </c>
      <c r="AA72" t="str">
        <f>'INS-UPD Heat'!AA93</f>
        <v>*0.964160419172593</v>
      </c>
      <c r="AB72" t="str">
        <f>'INS-UPD Heat'!AB93</f>
        <v>*0.975703024004163</v>
      </c>
      <c r="AC72" t="str">
        <f>'INS-UPD Heat'!AC93</f>
        <v>*0.814695640040816</v>
      </c>
      <c r="AD72" t="str">
        <f>'INS-UPD Heat'!AD93</f>
        <v>*0.801302174406614</v>
      </c>
      <c r="AE72" t="str">
        <f>'INS-UPD Heat'!AE93</f>
        <v>*1.04929722822849</v>
      </c>
      <c r="AF72" t="str">
        <f>'INS-UPD Heat'!AF93</f>
        <v>*0.802607320234305</v>
      </c>
      <c r="AG72" t="str">
        <f>'INS-UPD Heat'!AG93</f>
        <v>*0.814695640040816</v>
      </c>
      <c r="AH72" t="str">
        <f>'INS-UPD Heat'!AH93</f>
        <v>*0.814695640040816</v>
      </c>
      <c r="AI72" t="str">
        <f>'INS-UPD Heat'!AI93</f>
        <v>*0.662075744685471</v>
      </c>
      <c r="AJ72" t="str">
        <f>'INS-UPD Heat'!AJ93</f>
        <v>*1.09991267506868</v>
      </c>
      <c r="AK72" t="str">
        <f>'INS-UPD Heat'!AK93</f>
        <v>*0.964160419172593</v>
      </c>
      <c r="AL72" t="str">
        <f>'INS-UPD Heat'!AL93</f>
        <v>*0.973806550892689</v>
      </c>
      <c r="AM72" t="str">
        <f>'INS-UPD Heat'!AM93</f>
        <v>*0.840908698492736</v>
      </c>
      <c r="AN72" t="str">
        <f>'INS-UPD Heat'!AN93</f>
        <v>*0.752940453106604</v>
      </c>
      <c r="AO72" t="str">
        <f>'INS-UPD Heat'!AO93</f>
        <v>*0.814695640040816</v>
      </c>
      <c r="AP72" t="str">
        <f>'INS-UPD Heat'!AP93</f>
        <v>*0.885880097942198</v>
      </c>
      <c r="AQ72" t="str">
        <f>'INS-UPD Heat'!AQ93</f>
        <v>*0.839394722196866</v>
      </c>
      <c r="AR72" t="str">
        <f>'INS-UPD Heat'!AR93</f>
        <v>*0.812611601321336</v>
      </c>
      <c r="AS72" s="49" t="str">
        <f>'INS-UPD Heat'!AS93</f>
        <v>*1.05673460932283</v>
      </c>
    </row>
    <row r="73" spans="1:45" ht="12.75">
      <c r="A73" t="s">
        <v>157</v>
      </c>
      <c r="C73" t="s">
        <v>29</v>
      </c>
      <c r="D73" t="str">
        <f t="shared" si="4"/>
        <v>C_ES-SH-SS_GA*</v>
      </c>
      <c r="H73" s="54"/>
      <c r="I73" t="str">
        <f>'INS-UPD Heat'!I94</f>
        <v>*0.751789844164435</v>
      </c>
      <c r="J73" t="str">
        <f>'INS-UPD Heat'!J94</f>
        <v>*0.958971368982325</v>
      </c>
      <c r="K73" t="str">
        <f>'INS-UPD Heat'!K94</f>
        <v>*0.751789844164435</v>
      </c>
      <c r="L73" t="str">
        <f>'INS-UPD Heat'!L94</f>
        <v>*0.98247021598169</v>
      </c>
      <c r="M73" t="str">
        <f>'INS-UPD Heat'!M94</f>
        <v>*0.801022925677764</v>
      </c>
      <c r="N73" t="str">
        <f>'INS-UPD Heat'!N94</f>
        <v>*1</v>
      </c>
      <c r="O73" t="str">
        <f>'INS-UPD Heat'!O94</f>
        <v>*0.750312177594846</v>
      </c>
      <c r="P73" t="str">
        <f>'INS-UPD Heat'!P94</f>
        <v>*0.870852828625521</v>
      </c>
      <c r="Q73" t="str">
        <f>'INS-UPD Heat'!Q94</f>
        <v>*0.766721004074585</v>
      </c>
      <c r="R73" t="str">
        <f>'INS-UPD Heat'!R94</f>
        <v>*0.916481590266539</v>
      </c>
      <c r="S73" t="str">
        <f>'INS-UPD Heat'!S94</f>
        <v>*0.868634629976933</v>
      </c>
      <c r="T73" t="str">
        <f>'INS-UPD Heat'!T94</f>
        <v>*0.751789844164435</v>
      </c>
      <c r="U73" t="str">
        <f>'INS-UPD Heat'!U94</f>
        <v>*0.831402561906822</v>
      </c>
      <c r="V73" t="str">
        <f>'INS-UPD Heat'!V94</f>
        <v>*0.877090057188528</v>
      </c>
      <c r="W73" t="str">
        <f>'INS-UPD Heat'!W94</f>
        <v>*0.913903595895035</v>
      </c>
      <c r="X73" t="str">
        <f>'INS-UPD Heat'!X94</f>
        <v>*0.887582361489164</v>
      </c>
      <c r="Y73" t="str">
        <f>'INS-UPD Heat'!Y94</f>
        <v>*0.88826694111973</v>
      </c>
      <c r="Z73" t="str">
        <f>'INS-UPD Heat'!Z94</f>
        <v>*0.932017066676991</v>
      </c>
      <c r="AA73" t="str">
        <f>'INS-UPD Heat'!AA94</f>
        <v>*0.916481590266539</v>
      </c>
      <c r="AB73" t="str">
        <f>'INS-UPD Heat'!AB94</f>
        <v>*0.912611573794044</v>
      </c>
      <c r="AC73" t="str">
        <f>'INS-UPD Heat'!AC94</f>
        <v>*0.751789844164435</v>
      </c>
      <c r="AD73" t="str">
        <f>'INS-UPD Heat'!AD94</f>
        <v>*0.868636514902445</v>
      </c>
      <c r="AE73" t="str">
        <f>'INS-UPD Heat'!AE94</f>
        <v>*0.916280573443744</v>
      </c>
      <c r="AF73" t="str">
        <f>'INS-UPD Heat'!AF94</f>
        <v>*0.902440555603779</v>
      </c>
      <c r="AG73" t="str">
        <f>'INS-UPD Heat'!AG94</f>
        <v>*0.751789844164435</v>
      </c>
      <c r="AH73" t="str">
        <f>'INS-UPD Heat'!AH94</f>
        <v>*0.751789844164435</v>
      </c>
      <c r="AI73" t="str">
        <f>'INS-UPD Heat'!AI94</f>
        <v>*0.782553232285825</v>
      </c>
      <c r="AJ73" t="str">
        <f>'INS-UPD Heat'!AJ94</f>
        <v>*0.983432278118349</v>
      </c>
      <c r="AK73" t="str">
        <f>'INS-UPD Heat'!AK94</f>
        <v>*0.916481590266539</v>
      </c>
      <c r="AL73" t="str">
        <f>'INS-UPD Heat'!AL94</f>
        <v>*0.907097458133649</v>
      </c>
      <c r="AM73" t="str">
        <f>'INS-UPD Heat'!AM94</f>
        <v>*0.858910478986323</v>
      </c>
      <c r="AN73" t="str">
        <f>'INS-UPD Heat'!AN94</f>
        <v>*0.890676709498201</v>
      </c>
      <c r="AO73" t="str">
        <f>'INS-UPD Heat'!AO94</f>
        <v>*0.751789844164435</v>
      </c>
      <c r="AP73" t="str">
        <f>'INS-UPD Heat'!AP94</f>
        <v>*0.868634823876442</v>
      </c>
      <c r="AQ73" t="str">
        <f>'INS-UPD Heat'!AQ94</f>
        <v>*0.944703220399034</v>
      </c>
      <c r="AR73" t="str">
        <f>'INS-UPD Heat'!AR94</f>
        <v>*0.887897908847503</v>
      </c>
      <c r="AS73" s="49" t="str">
        <f>'INS-UPD Heat'!AS94</f>
        <v>*0.915420971135312</v>
      </c>
    </row>
    <row r="74" spans="1:45" ht="12.75">
      <c r="A74" t="s">
        <v>158</v>
      </c>
      <c r="C74" t="s">
        <v>29</v>
      </c>
      <c r="D74" t="str">
        <f t="shared" si="4"/>
        <v>C_ES-SH-SS_OI*</v>
      </c>
      <c r="H74" s="54"/>
      <c r="I74" t="str">
        <f>'INS-UPD Heat'!I95</f>
        <v>*0.753773411000091</v>
      </c>
      <c r="J74" t="str">
        <f>'INS-UPD Heat'!J95</f>
        <v>*0.957544163772634</v>
      </c>
      <c r="K74" t="str">
        <f>'INS-UPD Heat'!K95</f>
        <v>*0.753773411000091</v>
      </c>
      <c r="L74" t="str">
        <f>'INS-UPD Heat'!L95</f>
        <v>*0.983016992017122</v>
      </c>
      <c r="M74" t="str">
        <f>'INS-UPD Heat'!M95</f>
        <v>*0.804716585177828</v>
      </c>
      <c r="N74" t="str">
        <f>'INS-UPD Heat'!N95</f>
        <v>*1</v>
      </c>
      <c r="O74" t="str">
        <f>'INS-UPD Heat'!O95</f>
        <v>*0.753771965014407</v>
      </c>
      <c r="P74" t="str">
        <f>'INS-UPD Heat'!P95</f>
        <v>*0.872640058113471</v>
      </c>
      <c r="Q74" t="str">
        <f>'INS-UPD Heat'!Q95</f>
        <v>*0.715500925014401</v>
      </c>
      <c r="R74" t="str">
        <f>'INS-UPD Heat'!R95</f>
        <v>*0.915094452005067</v>
      </c>
      <c r="S74" t="str">
        <f>'INS-UPD Heat'!S95</f>
        <v>*0.872638584269094</v>
      </c>
      <c r="T74" t="str">
        <f>'INS-UPD Heat'!T95</f>
        <v>*0.753773411000091</v>
      </c>
      <c r="U74" t="str">
        <f>'INS-UPD Heat'!U95</f>
        <v>*0.830188634260304</v>
      </c>
      <c r="V74" t="str">
        <f>'INS-UPD Heat'!V95</f>
        <v>*0.881132627863442</v>
      </c>
      <c r="W74" t="str">
        <f>'INS-UPD Heat'!W95</f>
        <v>*0.915094198262907</v>
      </c>
      <c r="X74" t="str">
        <f>'INS-UPD Heat'!X95</f>
        <v>*0.889621616188381</v>
      </c>
      <c r="Y74" t="str">
        <f>'INS-UPD Heat'!Y95</f>
        <v>*0.768692227740908</v>
      </c>
      <c r="Z74" t="str">
        <f>'INS-UPD Heat'!Z95</f>
        <v>*0.932072829532384</v>
      </c>
      <c r="AA74" t="str">
        <f>'INS-UPD Heat'!AA95</f>
        <v>*0.915094452005067</v>
      </c>
      <c r="AB74" t="str">
        <f>'INS-UPD Heat'!AB95</f>
        <v>*0.915090313213233</v>
      </c>
      <c r="AC74" t="str">
        <f>'INS-UPD Heat'!AC95</f>
        <v>*0.753773411000091</v>
      </c>
      <c r="AD74" t="str">
        <f>'INS-UPD Heat'!AD95</f>
        <v>*0.872642317322356</v>
      </c>
      <c r="AE74" t="str">
        <f>'INS-UPD Heat'!AE95</f>
        <v>*0.915091850300005</v>
      </c>
      <c r="AF74" t="str">
        <f>'INS-UPD Heat'!AF95</f>
        <v>*0.906603397591183</v>
      </c>
      <c r="AG74" t="str">
        <f>'INS-UPD Heat'!AG95</f>
        <v>*0.753773411000091</v>
      </c>
      <c r="AH74" t="str">
        <f>'INS-UPD Heat'!AH95</f>
        <v>*0.753773411000091</v>
      </c>
      <c r="AI74" t="str">
        <f>'INS-UPD Heat'!AI95</f>
        <v>*0.768692227740908</v>
      </c>
      <c r="AJ74" t="str">
        <f>'INS-UPD Heat'!AJ95</f>
        <v>*0.983020136421328</v>
      </c>
      <c r="AK74" t="str">
        <f>'INS-UPD Heat'!AK95</f>
        <v>*0.915094452005067</v>
      </c>
      <c r="AL74" t="str">
        <f>'INS-UPD Heat'!AL95</f>
        <v>*0.906603703265176</v>
      </c>
      <c r="AM74" t="str">
        <f>'INS-UPD Heat'!AM95</f>
        <v>*0.855661126516543</v>
      </c>
      <c r="AN74" t="str">
        <f>'INS-UPD Heat'!AN95</f>
        <v>*0.893867563595842</v>
      </c>
      <c r="AO74" t="str">
        <f>'INS-UPD Heat'!AO95</f>
        <v>*0.753773411000091</v>
      </c>
      <c r="AP74" t="str">
        <f>'INS-UPD Heat'!AP95</f>
        <v>*0.872639506876678</v>
      </c>
      <c r="AQ74" t="str">
        <f>'INS-UPD Heat'!AQ95</f>
        <v>*0.94905683960654</v>
      </c>
      <c r="AR74" t="str">
        <f>'INS-UPD Heat'!AR95</f>
        <v>*0.889623028548323</v>
      </c>
      <c r="AS74" s="49" t="str">
        <f>'INS-UPD Heat'!AS95</f>
        <v>*0.915091716306065</v>
      </c>
    </row>
    <row r="75" spans="1:45" ht="12.75">
      <c r="A75" t="s">
        <v>159</v>
      </c>
      <c r="C75" t="s">
        <v>29</v>
      </c>
      <c r="D75" t="str">
        <f t="shared" si="4"/>
        <v>C_ES-SH-SS_GE*</v>
      </c>
      <c r="H75" s="54"/>
      <c r="I75" t="str">
        <f>'INS-UPD Heat'!I96</f>
        <v>*1</v>
      </c>
      <c r="J75" t="str">
        <f>'INS-UPD Heat'!J96</f>
        <v>*1.18071512418715</v>
      </c>
      <c r="K75" t="str">
        <f>'INS-UPD Heat'!K96</f>
        <v>*1</v>
      </c>
      <c r="L75" t="str">
        <f>'INS-UPD Heat'!L96</f>
        <v>*1</v>
      </c>
      <c r="M75" t="str">
        <f>'INS-UPD Heat'!M96</f>
        <v>*0.992265584693816</v>
      </c>
      <c r="N75" t="str">
        <f>'INS-UPD Heat'!N96</f>
        <v>*1</v>
      </c>
      <c r="O75" t="str">
        <f>'INS-UPD Heat'!O96</f>
        <v>*1</v>
      </c>
      <c r="P75" t="str">
        <f>'INS-UPD Heat'!P96</f>
        <v>*1</v>
      </c>
      <c r="Q75" t="str">
        <f>'INS-UPD Heat'!Q96</f>
        <v>*0.7</v>
      </c>
      <c r="R75" t="str">
        <f>'INS-UPD Heat'!R96</f>
        <v>*1</v>
      </c>
      <c r="S75" t="str">
        <f>'INS-UPD Heat'!S96</f>
        <v>*1</v>
      </c>
      <c r="T75" t="str">
        <f>'INS-UPD Heat'!T96</f>
        <v>*1</v>
      </c>
      <c r="U75" t="str">
        <f>'INS-UPD Heat'!U96</f>
        <v>*1.02367221742178</v>
      </c>
      <c r="V75" t="str">
        <f>'INS-UPD Heat'!V96</f>
        <v>*1</v>
      </c>
      <c r="W75" t="str">
        <f>'INS-UPD Heat'!W96</f>
        <v>*1.12836642882944</v>
      </c>
      <c r="X75" t="str">
        <f>'INS-UPD Heat'!X96</f>
        <v>*1.09695901278096</v>
      </c>
      <c r="Y75" t="str">
        <f>'INS-UPD Heat'!Y96</f>
        <v>*1.09695874032411</v>
      </c>
      <c r="Z75" t="str">
        <f>'INS-UPD Heat'!Z96</f>
        <v>*1</v>
      </c>
      <c r="AA75" t="str">
        <f>'INS-UPD Heat'!AA96</f>
        <v>*1</v>
      </c>
      <c r="AB75" t="str">
        <f>'INS-UPD Heat'!AB96</f>
        <v>*1.12836780488483</v>
      </c>
      <c r="AC75" t="str">
        <f>'INS-UPD Heat'!AC96</f>
        <v>*1</v>
      </c>
      <c r="AD75" t="str">
        <f>'INS-UPD Heat'!AD96</f>
        <v>*1</v>
      </c>
      <c r="AE75" t="str">
        <f>'INS-UPD Heat'!AE96</f>
        <v>*1</v>
      </c>
      <c r="AF75" t="str">
        <f>'INS-UPD Heat'!AF96</f>
        <v>*1</v>
      </c>
      <c r="AG75" t="str">
        <f>'INS-UPD Heat'!AG96</f>
        <v>*1</v>
      </c>
      <c r="AH75" t="str">
        <f>'INS-UPD Heat'!AH96</f>
        <v>*1</v>
      </c>
      <c r="AI75" t="str">
        <f>'INS-UPD Heat'!AI96</f>
        <v>*1</v>
      </c>
      <c r="AJ75" t="str">
        <f>'INS-UPD Heat'!AJ96</f>
        <v>*1</v>
      </c>
      <c r="AK75" t="str">
        <f>'INS-UPD Heat'!AK96</f>
        <v>*1</v>
      </c>
      <c r="AL75" t="str">
        <f>'INS-UPD Heat'!AL96</f>
        <v>*1.11789847320821</v>
      </c>
      <c r="AM75" t="str">
        <f>'INS-UPD Heat'!AM96</f>
        <v>*1.05508137432188</v>
      </c>
      <c r="AN75" t="str">
        <f>'INS-UPD Heat'!AN96</f>
        <v>*1.10219424337653</v>
      </c>
      <c r="AO75" t="str">
        <f>'INS-UPD Heat'!AO96</f>
        <v>*1</v>
      </c>
      <c r="AP75" t="str">
        <f>'INS-UPD Heat'!AP96</f>
        <v>*1</v>
      </c>
      <c r="AQ75" t="str">
        <f>'INS-UPD Heat'!AQ96</f>
        <v>*1.17024478027022</v>
      </c>
      <c r="AR75" t="str">
        <f>'INS-UPD Heat'!AR96</f>
        <v>*1.0969585751785</v>
      </c>
      <c r="AS75" s="49" t="str">
        <f>'INS-UPD Heat'!AS96</f>
        <v>*1.12836656997825</v>
      </c>
    </row>
    <row r="76" spans="1:45" ht="12.75">
      <c r="A76" t="s">
        <v>160</v>
      </c>
      <c r="C76" t="s">
        <v>29</v>
      </c>
      <c r="D76" t="str">
        <f t="shared" si="4"/>
        <v>C_ES-SH-SS_LP*</v>
      </c>
      <c r="H76" s="54"/>
      <c r="I76" t="str">
        <f>'INS-UPD Heat'!I97</f>
        <v>*1</v>
      </c>
      <c r="J76" t="str">
        <f>'INS-UPD Heat'!J97</f>
        <v>*1</v>
      </c>
      <c r="K76" t="str">
        <f>'INS-UPD Heat'!K97</f>
        <v>*1</v>
      </c>
      <c r="L76" t="str">
        <f>'INS-UPD Heat'!L97</f>
        <v>*1</v>
      </c>
      <c r="M76" t="str">
        <f>'INS-UPD Heat'!M97</f>
        <v>*1</v>
      </c>
      <c r="N76" t="str">
        <f>'INS-UPD Heat'!N97</f>
        <v>*1</v>
      </c>
      <c r="O76" t="str">
        <f>'INS-UPD Heat'!O97</f>
        <v>*1</v>
      </c>
      <c r="P76" t="str">
        <f>'INS-UPD Heat'!P97</f>
        <v>*1</v>
      </c>
      <c r="Q76" t="str">
        <f>'INS-UPD Heat'!Q97</f>
        <v>*0.666666666666667</v>
      </c>
      <c r="R76" t="str">
        <f>'INS-UPD Heat'!R97</f>
        <v>*1</v>
      </c>
      <c r="S76" t="str">
        <f>'INS-UPD Heat'!S97</f>
        <v>*1</v>
      </c>
      <c r="T76" t="str">
        <f>'INS-UPD Heat'!T97</f>
        <v>*1</v>
      </c>
      <c r="U76" t="str">
        <f>'INS-UPD Heat'!U97</f>
        <v>*1</v>
      </c>
      <c r="V76" t="str">
        <f>'INS-UPD Heat'!V97</f>
        <v>*1</v>
      </c>
      <c r="W76" t="str">
        <f>'INS-UPD Heat'!W97</f>
        <v>*1</v>
      </c>
      <c r="X76" t="str">
        <f>'INS-UPD Heat'!X97</f>
        <v>*1</v>
      </c>
      <c r="Y76" t="str">
        <f>'INS-UPD Heat'!Y97</f>
        <v>*1</v>
      </c>
      <c r="Z76" t="str">
        <f>'INS-UPD Heat'!Z97</f>
        <v>*1</v>
      </c>
      <c r="AA76" t="str">
        <f>'INS-UPD Heat'!AA97</f>
        <v>*1</v>
      </c>
      <c r="AB76" t="str">
        <f>'INS-UPD Heat'!AB97</f>
        <v>*1.00831519600226</v>
      </c>
      <c r="AC76" t="str">
        <f>'INS-UPD Heat'!AC97</f>
        <v>*1</v>
      </c>
      <c r="AD76" t="str">
        <f>'INS-UPD Heat'!AD97</f>
        <v>*1</v>
      </c>
      <c r="AE76" t="str">
        <f>'INS-UPD Heat'!AE97</f>
        <v>*1.00831336713657</v>
      </c>
      <c r="AF76" t="str">
        <f>'INS-UPD Heat'!AF97</f>
        <v>*1</v>
      </c>
      <c r="AG76" t="str">
        <f>'INS-UPD Heat'!AG97</f>
        <v>*1</v>
      </c>
      <c r="AH76" t="str">
        <f>'INS-UPD Heat'!AH97</f>
        <v>*1</v>
      </c>
      <c r="AI76" t="str">
        <f>'INS-UPD Heat'!AI97</f>
        <v>*1</v>
      </c>
      <c r="AJ76" t="str">
        <f>'INS-UPD Heat'!AJ97</f>
        <v>*1</v>
      </c>
      <c r="AK76" t="str">
        <f>'INS-UPD Heat'!AK97</f>
        <v>*1</v>
      </c>
      <c r="AL76" t="str">
        <f>'INS-UPD Heat'!AL97</f>
        <v>*1</v>
      </c>
      <c r="AM76" t="str">
        <f>'INS-UPD Heat'!AM97</f>
        <v>*1</v>
      </c>
      <c r="AN76" t="str">
        <f>'INS-UPD Heat'!AN97</f>
        <v>*1</v>
      </c>
      <c r="AO76" t="str">
        <f>'INS-UPD Heat'!AO97</f>
        <v>*1</v>
      </c>
      <c r="AP76" t="str">
        <f>'INS-UPD Heat'!AP97</f>
        <v>*1</v>
      </c>
      <c r="AQ76" t="str">
        <f>'INS-UPD Heat'!AQ97</f>
        <v>*1.045737981492</v>
      </c>
      <c r="AR76" t="str">
        <f>'INS-UPD Heat'!AR97</f>
        <v>*1</v>
      </c>
      <c r="AS76" s="49" t="str">
        <f>'INS-UPD Heat'!AS97</f>
        <v>*1</v>
      </c>
    </row>
    <row r="77" spans="1:45" ht="12.75">
      <c r="A77" t="s">
        <v>161</v>
      </c>
      <c r="C77" t="s">
        <v>29</v>
      </c>
      <c r="D77" t="str">
        <f t="shared" si="4"/>
        <v>C_ES-SH-SS_CO*</v>
      </c>
      <c r="H77" s="54"/>
      <c r="I77" t="str">
        <f>'INS-UPD Heat'!I98</f>
        <v>*0.806322012647686</v>
      </c>
      <c r="J77" t="str">
        <f>'INS-UPD Heat'!J98</f>
        <v>*0.957546566204691</v>
      </c>
      <c r="K77" t="str">
        <f>'INS-UPD Heat'!K98</f>
        <v>*0.806322012647686</v>
      </c>
      <c r="L77" t="str">
        <f>'INS-UPD Heat'!L98</f>
        <v>*0.806322012647686</v>
      </c>
      <c r="M77" t="str">
        <f>'INS-UPD Heat'!M98</f>
        <v>*0.804719068299585</v>
      </c>
      <c r="N77" t="str">
        <f>'INS-UPD Heat'!N98</f>
        <v>*1</v>
      </c>
      <c r="O77" t="str">
        <f>'INS-UPD Heat'!O98</f>
        <v>*0.806322012647686</v>
      </c>
      <c r="P77" t="str">
        <f>'INS-UPD Heat'!P98</f>
        <v>*0.872641433460454</v>
      </c>
      <c r="Q77" t="str">
        <f>'INS-UPD Heat'!Q98</f>
        <v>*0.620099652691077</v>
      </c>
      <c r="R77" t="str">
        <f>'INS-UPD Heat'!R98</f>
        <v>*0.806322012647686</v>
      </c>
      <c r="S77" t="str">
        <f>'INS-UPD Heat'!S98</f>
        <v>*0.872643446827971</v>
      </c>
      <c r="T77" t="str">
        <f>'INS-UPD Heat'!T98</f>
        <v>*0.806322012647686</v>
      </c>
      <c r="U77" t="str">
        <f>'INS-UPD Heat'!U98</f>
        <v>*0.830187692790597</v>
      </c>
      <c r="V77" t="str">
        <f>'INS-UPD Heat'!V98</f>
        <v>*0.88113082387544</v>
      </c>
      <c r="W77" t="str">
        <f>'INS-UPD Heat'!W98</f>
        <v>*0.806322012647686</v>
      </c>
      <c r="X77" t="str">
        <f>'INS-UPD Heat'!X98</f>
        <v>*0.889623229961177</v>
      </c>
      <c r="Y77" t="str">
        <f>'INS-UPD Heat'!Y98</f>
        <v>*0.889620935555759</v>
      </c>
      <c r="Z77" t="str">
        <f>'INS-UPD Heat'!Z98</f>
        <v>*0.806322012647686</v>
      </c>
      <c r="AA77" t="str">
        <f>'INS-UPD Heat'!AA98</f>
        <v>*0.806322012647686</v>
      </c>
      <c r="AB77" t="str">
        <f>'INS-UPD Heat'!AB98</f>
        <v>*0.806322012647686</v>
      </c>
      <c r="AC77" t="str">
        <f>'INS-UPD Heat'!AC98</f>
        <v>*0.806322012647686</v>
      </c>
      <c r="AD77" t="str">
        <f>'INS-UPD Heat'!AD98</f>
        <v>*0.87264257545149</v>
      </c>
      <c r="AE77" t="str">
        <f>'INS-UPD Heat'!AE98</f>
        <v>*0.806322012647686</v>
      </c>
      <c r="AF77" t="str">
        <f>'INS-UPD Heat'!AF98</f>
        <v>*0.906603887155439</v>
      </c>
      <c r="AG77" t="str">
        <f>'INS-UPD Heat'!AG98</f>
        <v>*0.806322012647686</v>
      </c>
      <c r="AH77" t="str">
        <f>'INS-UPD Heat'!AH98</f>
        <v>*0.806322012647686</v>
      </c>
      <c r="AI77" t="str">
        <f>'INS-UPD Heat'!AI98</f>
        <v>*0.806322012647686</v>
      </c>
      <c r="AJ77" t="str">
        <f>'INS-UPD Heat'!AJ98</f>
        <v>*0.983019632318116</v>
      </c>
      <c r="AK77" t="str">
        <f>'INS-UPD Heat'!AK98</f>
        <v>*0.806322012647686</v>
      </c>
      <c r="AL77" t="str">
        <f>'INS-UPD Heat'!AL98</f>
        <v>*0.906604351626599</v>
      </c>
      <c r="AM77" t="str">
        <f>'INS-UPD Heat'!AM98</f>
        <v>*0.806322012647686</v>
      </c>
      <c r="AN77" t="str">
        <f>'INS-UPD Heat'!AN98</f>
        <v>*0.89386762861896</v>
      </c>
      <c r="AO77" t="str">
        <f>'INS-UPD Heat'!AO98</f>
        <v>*0.806322012647686</v>
      </c>
      <c r="AP77" t="str">
        <f>'INS-UPD Heat'!AP98</f>
        <v>*0.806322012647686</v>
      </c>
      <c r="AQ77" t="str">
        <f>'INS-UPD Heat'!AQ98</f>
        <v>*0.806322012647686</v>
      </c>
      <c r="AR77" t="str">
        <f>'INS-UPD Heat'!AR98</f>
        <v>*0.889622985856844</v>
      </c>
      <c r="AS77" s="49" t="str">
        <f>'INS-UPD Heat'!AS98</f>
        <v>*0.915091066360072</v>
      </c>
    </row>
    <row r="78" spans="1:45" ht="12.75">
      <c r="A78" t="s">
        <v>162</v>
      </c>
      <c r="C78" t="s">
        <v>29</v>
      </c>
      <c r="D78" t="str">
        <f t="shared" si="4"/>
        <v>C_ES-SH-OF_BI*</v>
      </c>
      <c r="H78" s="54"/>
      <c r="I78" t="str">
        <f>'INS-UPD Heat'!I99</f>
        <v>*1</v>
      </c>
      <c r="J78" t="str">
        <f>'INS-UPD Heat'!J99</f>
        <v>*1.13273935601115</v>
      </c>
      <c r="K78" t="str">
        <f>'INS-UPD Heat'!K99</f>
        <v>*1</v>
      </c>
      <c r="L78" t="str">
        <f>'INS-UPD Heat'!L99</f>
        <v>*1.16287202779621</v>
      </c>
      <c r="M78" t="str">
        <f>'INS-UPD Heat'!M99</f>
        <v>*0.951947404871184</v>
      </c>
      <c r="N78" t="str">
        <f>'INS-UPD Heat'!N99</f>
        <v>*1</v>
      </c>
      <c r="O78" t="str">
        <f>'INS-UPD Heat'!O99</f>
        <v>*0.891684624593808</v>
      </c>
      <c r="P78" t="str">
        <f>'INS-UPD Heat'!P99</f>
        <v>*1.03230037990426</v>
      </c>
      <c r="Q78" t="str">
        <f>'INS-UPD Heat'!Q99</f>
        <v>*0.5</v>
      </c>
      <c r="R78" t="str">
        <f>'INS-UPD Heat'!R99</f>
        <v>*1.0825169264074</v>
      </c>
      <c r="S78" t="str">
        <f>'INS-UPD Heat'!S99</f>
        <v>*1.03229644898342</v>
      </c>
      <c r="T78" t="str">
        <f>'INS-UPD Heat'!T99</f>
        <v>*1</v>
      </c>
      <c r="U78" t="str">
        <f>'INS-UPD Heat'!U99</f>
        <v>*0.982080090991512</v>
      </c>
      <c r="V78" t="str">
        <f>'INS-UPD Heat'!V99</f>
        <v>*1.0423429136333</v>
      </c>
      <c r="W78" t="str">
        <f>'INS-UPD Heat'!W99</f>
        <v>*1.08252106666226</v>
      </c>
      <c r="X78" t="str">
        <f>'INS-UPD Heat'!X99</f>
        <v>*1.05238453545451</v>
      </c>
      <c r="Y78" t="str">
        <f>'INS-UPD Heat'!Y99</f>
        <v>*1.05238966451752</v>
      </c>
      <c r="Z78" t="str">
        <f>'INS-UPD Heat'!Z99</f>
        <v>*1.1026073590249</v>
      </c>
      <c r="AA78" t="str">
        <f>'INS-UPD Heat'!AA99</f>
        <v>*1.0825169264074</v>
      </c>
      <c r="AB78" t="str">
        <f>'INS-UPD Heat'!AB99</f>
        <v>*1</v>
      </c>
      <c r="AC78" t="str">
        <f>'INS-UPD Heat'!AC99</f>
        <v>*1</v>
      </c>
      <c r="AD78" t="str">
        <f>'INS-UPD Heat'!AD99</f>
        <v>*1.03230017588431</v>
      </c>
      <c r="AE78" t="str">
        <f>'INS-UPD Heat'!AE99</f>
        <v>*1</v>
      </c>
      <c r="AF78" t="str">
        <f>'INS-UPD Heat'!AF99</f>
        <v>*1.07247594152106</v>
      </c>
      <c r="AG78" t="str">
        <f>'INS-UPD Heat'!AG99</f>
        <v>*1</v>
      </c>
      <c r="AH78" t="str">
        <f>'INS-UPD Heat'!AH99</f>
        <v>*1</v>
      </c>
      <c r="AI78" t="str">
        <f>'INS-UPD Heat'!AI99</f>
        <v>*1</v>
      </c>
      <c r="AJ78" t="str">
        <f>'INS-UPD Heat'!AJ99</f>
        <v>*1.16287284644911</v>
      </c>
      <c r="AK78" t="str">
        <f>'INS-UPD Heat'!AK99</f>
        <v>*1.0825169264074</v>
      </c>
      <c r="AL78" t="str">
        <f>'INS-UPD Heat'!AL99</f>
        <v>*1.07247406151033</v>
      </c>
      <c r="AM78" t="str">
        <f>'INS-UPD Heat'!AM99</f>
        <v>*1</v>
      </c>
      <c r="AN78" t="str">
        <f>'INS-UPD Heat'!AN99</f>
        <v>*1</v>
      </c>
      <c r="AO78" t="str">
        <f>'INS-UPD Heat'!AO99</f>
        <v>*1</v>
      </c>
      <c r="AP78" t="str">
        <f>'INS-UPD Heat'!AP99</f>
        <v>*1.03229798151806</v>
      </c>
      <c r="AQ78" t="str">
        <f>'INS-UPD Heat'!AQ99</f>
        <v>*1</v>
      </c>
      <c r="AR78" t="str">
        <f>'INS-UPD Heat'!AR99</f>
        <v>*1.05238916181003</v>
      </c>
      <c r="AS78" s="49" t="str">
        <f>'INS-UPD Heat'!AS99</f>
        <v>*1.08252104532776</v>
      </c>
    </row>
    <row r="79" spans="1:45" ht="12.75">
      <c r="A79" t="s">
        <v>163</v>
      </c>
      <c r="C79" t="s">
        <v>29</v>
      </c>
      <c r="D79" t="str">
        <f t="shared" si="4"/>
        <v>C_ES-SH-OF_HE*</v>
      </c>
      <c r="H79" s="54"/>
      <c r="I79" t="str">
        <f>'INS-UPD Heat'!I100</f>
        <v>*0.880504783355962</v>
      </c>
      <c r="J79" t="str">
        <f>'INS-UPD Heat'!J100</f>
        <v>*0.957548618872751</v>
      </c>
      <c r="K79" t="str">
        <f>'INS-UPD Heat'!K100</f>
        <v>*0.880504783355962</v>
      </c>
      <c r="L79" t="str">
        <f>'INS-UPD Heat'!L100</f>
        <v>*0.983020646759874</v>
      </c>
      <c r="M79" t="str">
        <f>'INS-UPD Heat'!M100</f>
        <v>*0.804718937699145</v>
      </c>
      <c r="N79" t="str">
        <f>'INS-UPD Heat'!N100</f>
        <v>*1</v>
      </c>
      <c r="O79" t="str">
        <f>'INS-UPD Heat'!O100</f>
        <v>*0.880504783355962</v>
      </c>
      <c r="P79" t="str">
        <f>'INS-UPD Heat'!P100</f>
        <v>*0.872644275983274</v>
      </c>
      <c r="Q79" t="str">
        <f>'INS-UPD Heat'!Q100</f>
        <v>*0.908569737634899</v>
      </c>
      <c r="R79" t="str">
        <f>'INS-UPD Heat'!R100</f>
        <v>*0.915095212233637</v>
      </c>
      <c r="S79" t="str">
        <f>'INS-UPD Heat'!S100</f>
        <v>*0.872642655737943</v>
      </c>
      <c r="T79" t="str">
        <f>'INS-UPD Heat'!T100</f>
        <v>*0.880504783355962</v>
      </c>
      <c r="U79" t="str">
        <f>'INS-UPD Heat'!U100</f>
        <v>*0.880504783355962</v>
      </c>
      <c r="V79" t="str">
        <f>'INS-UPD Heat'!V100</f>
        <v>*0.881131477151944</v>
      </c>
      <c r="W79" t="str">
        <f>'INS-UPD Heat'!W100</f>
        <v>*0.915093124359608</v>
      </c>
      <c r="X79" t="str">
        <f>'INS-UPD Heat'!X100</f>
        <v>*0.889625250941913</v>
      </c>
      <c r="Y79" t="str">
        <f>'INS-UPD Heat'!Y100</f>
        <v>*0.889623372740061</v>
      </c>
      <c r="Z79" t="str">
        <f>'INS-UPD Heat'!Z100</f>
        <v>*0.880504783355962</v>
      </c>
      <c r="AA79" t="str">
        <f>'INS-UPD Heat'!AA100</f>
        <v>*0.915095212233637</v>
      </c>
      <c r="AB79" t="str">
        <f>'INS-UPD Heat'!AB100</f>
        <v>*0.915095341838966</v>
      </c>
      <c r="AC79" t="str">
        <f>'INS-UPD Heat'!AC100</f>
        <v>*0.880504783355962</v>
      </c>
      <c r="AD79" t="str">
        <f>'INS-UPD Heat'!AD100</f>
        <v>*0.872640325737902</v>
      </c>
      <c r="AE79" t="str">
        <f>'INS-UPD Heat'!AE100</f>
        <v>*0.915097225102635</v>
      </c>
      <c r="AF79" t="str">
        <f>'INS-UPD Heat'!AF100</f>
        <v>*0.906602703277204</v>
      </c>
      <c r="AG79" t="str">
        <f>'INS-UPD Heat'!AG100</f>
        <v>*0.880504783355962</v>
      </c>
      <c r="AH79" t="str">
        <f>'INS-UPD Heat'!AH100</f>
        <v>*0.880504783355962</v>
      </c>
      <c r="AI79" t="str">
        <f>'INS-UPD Heat'!AI100</f>
        <v>*0.880504783355962</v>
      </c>
      <c r="AJ79" t="str">
        <f>'INS-UPD Heat'!AJ100</f>
        <v>*0.983021041372418</v>
      </c>
      <c r="AK79" t="str">
        <f>'INS-UPD Heat'!AK100</f>
        <v>*0.915095212233637</v>
      </c>
      <c r="AL79" t="str">
        <f>'INS-UPD Heat'!AL100</f>
        <v>*0.906604639952111</v>
      </c>
      <c r="AM79" t="str">
        <f>'INS-UPD Heat'!AM100</f>
        <v>*0.855664327496265</v>
      </c>
      <c r="AN79" t="str">
        <f>'INS-UPD Heat'!AN100</f>
        <v>*0.89386936286641</v>
      </c>
      <c r="AO79" t="str">
        <f>'INS-UPD Heat'!AO100</f>
        <v>*0.880504783355962</v>
      </c>
      <c r="AP79" t="str">
        <f>'INS-UPD Heat'!AP100</f>
        <v>*0.872640441278991</v>
      </c>
      <c r="AQ79" t="str">
        <f>'INS-UPD Heat'!AQ100</f>
        <v>*0.949060077873277</v>
      </c>
      <c r="AR79" t="str">
        <f>'INS-UPD Heat'!AR100</f>
        <v>*0.889625648915354</v>
      </c>
      <c r="AS79" s="49" t="str">
        <f>'INS-UPD Heat'!AS100</f>
        <v>*0.915096287669067</v>
      </c>
    </row>
    <row r="80" spans="1:45" ht="12.75">
      <c r="A80" t="s">
        <v>164</v>
      </c>
      <c r="C80" t="s">
        <v>29</v>
      </c>
      <c r="D80" t="str">
        <f t="shared" si="4"/>
        <v>C_ES-SH-OF_EL*</v>
      </c>
      <c r="H80" s="54"/>
      <c r="I80" t="str">
        <f>'INS-UPD Heat'!I101</f>
        <v>*0.814695640040816</v>
      </c>
      <c r="J80" t="str">
        <f>'INS-UPD Heat'!J101</f>
        <v>*0.866863618757606</v>
      </c>
      <c r="K80" t="str">
        <f>'INS-UPD Heat'!K101</f>
        <v>*0.814695640040816</v>
      </c>
      <c r="L80" t="str">
        <f>'INS-UPD Heat'!L101</f>
        <v>*0.829770066565543</v>
      </c>
      <c r="M80" t="str">
        <f>'INS-UPD Heat'!M101</f>
        <v>*0.670139292549879</v>
      </c>
      <c r="N80" t="str">
        <f>'INS-UPD Heat'!N101</f>
        <v>*1</v>
      </c>
      <c r="O80" t="str">
        <f>'INS-UPD Heat'!O101</f>
        <v>*0.806570689531818</v>
      </c>
      <c r="P80" t="str">
        <f>'INS-UPD Heat'!P101</f>
        <v>*0.783236858692403</v>
      </c>
      <c r="Q80" t="str">
        <f>'INS-UPD Heat'!Q101</f>
        <v>*1.16338718199139</v>
      </c>
      <c r="R80" t="str">
        <f>'INS-UPD Heat'!R101</f>
        <v>*0.964160419172593</v>
      </c>
      <c r="S80" t="str">
        <f>'INS-UPD Heat'!S101</f>
        <v>*0.707243659269144</v>
      </c>
      <c r="T80" t="str">
        <f>'INS-UPD Heat'!T101</f>
        <v>*0.814695640040816</v>
      </c>
      <c r="U80" t="str">
        <f>'INS-UPD Heat'!U101</f>
        <v>*0.880205881297254</v>
      </c>
      <c r="V80" t="str">
        <f>'INS-UPD Heat'!V101</f>
        <v>*0.915248470397476</v>
      </c>
      <c r="W80" t="str">
        <f>'INS-UPD Heat'!W101</f>
        <v>*0.982636396644647</v>
      </c>
      <c r="X80" t="str">
        <f>'INS-UPD Heat'!X101</f>
        <v>*0.731393580117313</v>
      </c>
      <c r="Y80" t="str">
        <f>'INS-UPD Heat'!Y101</f>
        <v>*0.847123481616257</v>
      </c>
      <c r="Z80" t="str">
        <f>'INS-UPD Heat'!Z101</f>
        <v>*0.856585176139782</v>
      </c>
      <c r="AA80" t="str">
        <f>'INS-UPD Heat'!AA101</f>
        <v>*0.964160419172593</v>
      </c>
      <c r="AB80" t="str">
        <f>'INS-UPD Heat'!AB101</f>
        <v>*0.975703024004163</v>
      </c>
      <c r="AC80" t="str">
        <f>'INS-UPD Heat'!AC101</f>
        <v>*0.814695640040816</v>
      </c>
      <c r="AD80" t="str">
        <f>'INS-UPD Heat'!AD101</f>
        <v>*0.801302174406614</v>
      </c>
      <c r="AE80" t="str">
        <f>'INS-UPD Heat'!AE101</f>
        <v>*1.04929722822849</v>
      </c>
      <c r="AF80" t="str">
        <f>'INS-UPD Heat'!AF101</f>
        <v>*0.802607320234305</v>
      </c>
      <c r="AG80" t="str">
        <f>'INS-UPD Heat'!AG101</f>
        <v>*0.814695640040816</v>
      </c>
      <c r="AH80" t="str">
        <f>'INS-UPD Heat'!AH101</f>
        <v>*0.814695640040816</v>
      </c>
      <c r="AI80" t="str">
        <f>'INS-UPD Heat'!AI101</f>
        <v>*0.662075744685471</v>
      </c>
      <c r="AJ80" t="str">
        <f>'INS-UPD Heat'!AJ101</f>
        <v>*1.09991267506868</v>
      </c>
      <c r="AK80" t="str">
        <f>'INS-UPD Heat'!AK101</f>
        <v>*0.964160419172593</v>
      </c>
      <c r="AL80" t="str">
        <f>'INS-UPD Heat'!AL101</f>
        <v>*0.973806550892689</v>
      </c>
      <c r="AM80" t="str">
        <f>'INS-UPD Heat'!AM101</f>
        <v>*0.840908698492736</v>
      </c>
      <c r="AN80" t="str">
        <f>'INS-UPD Heat'!AN101</f>
        <v>*0.752940453106604</v>
      </c>
      <c r="AO80" t="str">
        <f>'INS-UPD Heat'!AO101</f>
        <v>*0.814695640040816</v>
      </c>
      <c r="AP80" t="str">
        <f>'INS-UPD Heat'!AP101</f>
        <v>*0.885880097942198</v>
      </c>
      <c r="AQ80" t="str">
        <f>'INS-UPD Heat'!AQ101</f>
        <v>*0.839394722196866</v>
      </c>
      <c r="AR80" t="str">
        <f>'INS-UPD Heat'!AR101</f>
        <v>*0.812611601321336</v>
      </c>
      <c r="AS80" s="49" t="str">
        <f>'INS-UPD Heat'!AS101</f>
        <v>*1.05673460932283</v>
      </c>
    </row>
    <row r="81" spans="1:45" ht="12.75">
      <c r="A81" t="s">
        <v>165</v>
      </c>
      <c r="C81" t="s">
        <v>29</v>
      </c>
      <c r="D81" t="str">
        <f t="shared" si="4"/>
        <v>C_ES-SH-OF_GA*</v>
      </c>
      <c r="H81" s="54"/>
      <c r="I81" t="str">
        <f>'INS-UPD Heat'!I102</f>
        <v>*0.751789844164435</v>
      </c>
      <c r="J81" t="str">
        <f>'INS-UPD Heat'!J102</f>
        <v>*0.958971368982325</v>
      </c>
      <c r="K81" t="str">
        <f>'INS-UPD Heat'!K102</f>
        <v>*0.751789844164435</v>
      </c>
      <c r="L81" t="str">
        <f>'INS-UPD Heat'!L102</f>
        <v>*0.98247021598169</v>
      </c>
      <c r="M81" t="str">
        <f>'INS-UPD Heat'!M102</f>
        <v>*0.801022925677764</v>
      </c>
      <c r="N81" t="str">
        <f>'INS-UPD Heat'!N102</f>
        <v>*1</v>
      </c>
      <c r="O81" t="str">
        <f>'INS-UPD Heat'!O102</f>
        <v>*0.750312177594846</v>
      </c>
      <c r="P81" t="str">
        <f>'INS-UPD Heat'!P102</f>
        <v>*0.870852828625521</v>
      </c>
      <c r="Q81" t="str">
        <f>'INS-UPD Heat'!Q102</f>
        <v>*0.766721004074585</v>
      </c>
      <c r="R81" t="str">
        <f>'INS-UPD Heat'!R102</f>
        <v>*0.916481590266539</v>
      </c>
      <c r="S81" t="str">
        <f>'INS-UPD Heat'!S102</f>
        <v>*0.868634629976933</v>
      </c>
      <c r="T81" t="str">
        <f>'INS-UPD Heat'!T102</f>
        <v>*0.751789844164435</v>
      </c>
      <c r="U81" t="str">
        <f>'INS-UPD Heat'!U102</f>
        <v>*0.831402561906822</v>
      </c>
      <c r="V81" t="str">
        <f>'INS-UPD Heat'!V102</f>
        <v>*0.877090057188528</v>
      </c>
      <c r="W81" t="str">
        <f>'INS-UPD Heat'!W102</f>
        <v>*0.913903595895035</v>
      </c>
      <c r="X81" t="str">
        <f>'INS-UPD Heat'!X102</f>
        <v>*0.887582361489164</v>
      </c>
      <c r="Y81" t="str">
        <f>'INS-UPD Heat'!Y102</f>
        <v>*0.88826694111973</v>
      </c>
      <c r="Z81" t="str">
        <f>'INS-UPD Heat'!Z102</f>
        <v>*0.932017066676991</v>
      </c>
      <c r="AA81" t="str">
        <f>'INS-UPD Heat'!AA102</f>
        <v>*0.916481590266539</v>
      </c>
      <c r="AB81" t="str">
        <f>'INS-UPD Heat'!AB102</f>
        <v>*0.912611573794044</v>
      </c>
      <c r="AC81" t="str">
        <f>'INS-UPD Heat'!AC102</f>
        <v>*0.751789844164435</v>
      </c>
      <c r="AD81" t="str">
        <f>'INS-UPD Heat'!AD102</f>
        <v>*0.868636514902445</v>
      </c>
      <c r="AE81" t="str">
        <f>'INS-UPD Heat'!AE102</f>
        <v>*0.916280573443744</v>
      </c>
      <c r="AF81" t="str">
        <f>'INS-UPD Heat'!AF102</f>
        <v>*0.902440555603779</v>
      </c>
      <c r="AG81" t="str">
        <f>'INS-UPD Heat'!AG102</f>
        <v>*0.751789844164435</v>
      </c>
      <c r="AH81" t="str">
        <f>'INS-UPD Heat'!AH102</f>
        <v>*0.751789844164435</v>
      </c>
      <c r="AI81" t="str">
        <f>'INS-UPD Heat'!AI102</f>
        <v>*0.782553232285825</v>
      </c>
      <c r="AJ81" t="str">
        <f>'INS-UPD Heat'!AJ102</f>
        <v>*0.983432278118349</v>
      </c>
      <c r="AK81" t="str">
        <f>'INS-UPD Heat'!AK102</f>
        <v>*0.916481590266539</v>
      </c>
      <c r="AL81" t="str">
        <f>'INS-UPD Heat'!AL102</f>
        <v>*0.907097458133649</v>
      </c>
      <c r="AM81" t="str">
        <f>'INS-UPD Heat'!AM102</f>
        <v>*0.858910478986323</v>
      </c>
      <c r="AN81" t="str">
        <f>'INS-UPD Heat'!AN102</f>
        <v>*0.890676709498201</v>
      </c>
      <c r="AO81" t="str">
        <f>'INS-UPD Heat'!AO102</f>
        <v>*0.751789844164435</v>
      </c>
      <c r="AP81" t="str">
        <f>'INS-UPD Heat'!AP102</f>
        <v>*0.868634823876442</v>
      </c>
      <c r="AQ81" t="str">
        <f>'INS-UPD Heat'!AQ102</f>
        <v>*0.944703220399034</v>
      </c>
      <c r="AR81" t="str">
        <f>'INS-UPD Heat'!AR102</f>
        <v>*0.887897908847503</v>
      </c>
      <c r="AS81" s="49" t="str">
        <f>'INS-UPD Heat'!AS102</f>
        <v>*0.915420971135312</v>
      </c>
    </row>
    <row r="82" spans="1:45" ht="12.75">
      <c r="A82" t="s">
        <v>166</v>
      </c>
      <c r="C82" t="s">
        <v>29</v>
      </c>
      <c r="D82" t="str">
        <f t="shared" si="4"/>
        <v>C_ES-SH-OF_OI*</v>
      </c>
      <c r="H82" s="54"/>
      <c r="I82" t="str">
        <f>'INS-UPD Heat'!I103</f>
        <v>*0.753773411000091</v>
      </c>
      <c r="J82" t="str">
        <f>'INS-UPD Heat'!J103</f>
        <v>*0.957544163772634</v>
      </c>
      <c r="K82" t="str">
        <f>'INS-UPD Heat'!K103</f>
        <v>*0.753773411000091</v>
      </c>
      <c r="L82" t="str">
        <f>'INS-UPD Heat'!L103</f>
        <v>*0.983016992017122</v>
      </c>
      <c r="M82" t="str">
        <f>'INS-UPD Heat'!M103</f>
        <v>*0.804716585177828</v>
      </c>
      <c r="N82" t="str">
        <f>'INS-UPD Heat'!N103</f>
        <v>*1</v>
      </c>
      <c r="O82" t="str">
        <f>'INS-UPD Heat'!O103</f>
        <v>*0.753771965014407</v>
      </c>
      <c r="P82" t="str">
        <f>'INS-UPD Heat'!P103</f>
        <v>*0.872640058113471</v>
      </c>
      <c r="Q82" t="str">
        <f>'INS-UPD Heat'!Q103</f>
        <v>*0.715500925014401</v>
      </c>
      <c r="R82" t="str">
        <f>'INS-UPD Heat'!R103</f>
        <v>*0.915094452005067</v>
      </c>
      <c r="S82" t="str">
        <f>'INS-UPD Heat'!S103</f>
        <v>*0.872638584269094</v>
      </c>
      <c r="T82" t="str">
        <f>'INS-UPD Heat'!T103</f>
        <v>*0.753773411000091</v>
      </c>
      <c r="U82" t="str">
        <f>'INS-UPD Heat'!U103</f>
        <v>*0.830188634260304</v>
      </c>
      <c r="V82" t="str">
        <f>'INS-UPD Heat'!V103</f>
        <v>*0.881132627863442</v>
      </c>
      <c r="W82" t="str">
        <f>'INS-UPD Heat'!W103</f>
        <v>*0.915094198262907</v>
      </c>
      <c r="X82" t="str">
        <f>'INS-UPD Heat'!X103</f>
        <v>*0.889621616188381</v>
      </c>
      <c r="Y82" t="str">
        <f>'INS-UPD Heat'!Y103</f>
        <v>*0.768692227740908</v>
      </c>
      <c r="Z82" t="str">
        <f>'INS-UPD Heat'!Z103</f>
        <v>*0.932072829532384</v>
      </c>
      <c r="AA82" t="str">
        <f>'INS-UPD Heat'!AA103</f>
        <v>*0.915094452005067</v>
      </c>
      <c r="AB82" t="str">
        <f>'INS-UPD Heat'!AB103</f>
        <v>*0.915090313213233</v>
      </c>
      <c r="AC82" t="str">
        <f>'INS-UPD Heat'!AC103</f>
        <v>*0.753773411000091</v>
      </c>
      <c r="AD82" t="str">
        <f>'INS-UPD Heat'!AD103</f>
        <v>*0.872642317322356</v>
      </c>
      <c r="AE82" t="str">
        <f>'INS-UPD Heat'!AE103</f>
        <v>*0.915091850300005</v>
      </c>
      <c r="AF82" t="str">
        <f>'INS-UPD Heat'!AF103</f>
        <v>*0.906603397591183</v>
      </c>
      <c r="AG82" t="str">
        <f>'INS-UPD Heat'!AG103</f>
        <v>*0.753773411000091</v>
      </c>
      <c r="AH82" t="str">
        <f>'INS-UPD Heat'!AH103</f>
        <v>*0.753773411000091</v>
      </c>
      <c r="AI82" t="str">
        <f>'INS-UPD Heat'!AI103</f>
        <v>*0.768692227740908</v>
      </c>
      <c r="AJ82" t="str">
        <f>'INS-UPD Heat'!AJ103</f>
        <v>*0.983020136421328</v>
      </c>
      <c r="AK82" t="str">
        <f>'INS-UPD Heat'!AK103</f>
        <v>*0.915094452005067</v>
      </c>
      <c r="AL82" t="str">
        <f>'INS-UPD Heat'!AL103</f>
        <v>*0.906603703265176</v>
      </c>
      <c r="AM82" t="str">
        <f>'INS-UPD Heat'!AM103</f>
        <v>*0.855661126516543</v>
      </c>
      <c r="AN82" t="str">
        <f>'INS-UPD Heat'!AN103</f>
        <v>*0.893867563595842</v>
      </c>
      <c r="AO82" t="str">
        <f>'INS-UPD Heat'!AO103</f>
        <v>*0.753773411000091</v>
      </c>
      <c r="AP82" t="str">
        <f>'INS-UPD Heat'!AP103</f>
        <v>*0.872639506876678</v>
      </c>
      <c r="AQ82" t="str">
        <f>'INS-UPD Heat'!AQ103</f>
        <v>*0.94905683960654</v>
      </c>
      <c r="AR82" t="str">
        <f>'INS-UPD Heat'!AR103</f>
        <v>*0.889623028548323</v>
      </c>
      <c r="AS82" s="49" t="str">
        <f>'INS-UPD Heat'!AS103</f>
        <v>*0.915091716306065</v>
      </c>
    </row>
    <row r="83" spans="1:45" ht="12.75">
      <c r="A83" t="s">
        <v>167</v>
      </c>
      <c r="C83" t="s">
        <v>29</v>
      </c>
      <c r="D83" t="str">
        <f t="shared" si="4"/>
        <v>C_ES-SH-OF_GE*</v>
      </c>
      <c r="H83" s="54"/>
      <c r="I83" t="str">
        <f>'INS-UPD Heat'!I104</f>
        <v>*1</v>
      </c>
      <c r="J83" t="str">
        <f>'INS-UPD Heat'!J104</f>
        <v>*1.18071512418715</v>
      </c>
      <c r="K83" t="str">
        <f>'INS-UPD Heat'!K104</f>
        <v>*1</v>
      </c>
      <c r="L83" t="str">
        <f>'INS-UPD Heat'!L104</f>
        <v>*1</v>
      </c>
      <c r="M83" t="str">
        <f>'INS-UPD Heat'!M104</f>
        <v>*0.992265584693816</v>
      </c>
      <c r="N83" t="str">
        <f>'INS-UPD Heat'!N104</f>
        <v>*1</v>
      </c>
      <c r="O83" t="str">
        <f>'INS-UPD Heat'!O104</f>
        <v>*1</v>
      </c>
      <c r="P83" t="str">
        <f>'INS-UPD Heat'!P104</f>
        <v>*1</v>
      </c>
      <c r="Q83" t="str">
        <f>'INS-UPD Heat'!Q104</f>
        <v>*0.7</v>
      </c>
      <c r="R83" t="str">
        <f>'INS-UPD Heat'!R104</f>
        <v>*1</v>
      </c>
      <c r="S83" t="str">
        <f>'INS-UPD Heat'!S104</f>
        <v>*1</v>
      </c>
      <c r="T83" t="str">
        <f>'INS-UPD Heat'!T104</f>
        <v>*1</v>
      </c>
      <c r="U83" t="str">
        <f>'INS-UPD Heat'!U104</f>
        <v>*1.02367221742178</v>
      </c>
      <c r="V83" t="str">
        <f>'INS-UPD Heat'!V104</f>
        <v>*1</v>
      </c>
      <c r="W83" t="str">
        <f>'INS-UPD Heat'!W104</f>
        <v>*1.12836642882944</v>
      </c>
      <c r="X83" t="str">
        <f>'INS-UPD Heat'!X104</f>
        <v>*1.09695901278096</v>
      </c>
      <c r="Y83" t="str">
        <f>'INS-UPD Heat'!Y104</f>
        <v>*1.09695874032411</v>
      </c>
      <c r="Z83" t="str">
        <f>'INS-UPD Heat'!Z104</f>
        <v>*1</v>
      </c>
      <c r="AA83" t="str">
        <f>'INS-UPD Heat'!AA104</f>
        <v>*1</v>
      </c>
      <c r="AB83" t="str">
        <f>'INS-UPD Heat'!AB104</f>
        <v>*1.12836780488483</v>
      </c>
      <c r="AC83" t="str">
        <f>'INS-UPD Heat'!AC104</f>
        <v>*1</v>
      </c>
      <c r="AD83" t="str">
        <f>'INS-UPD Heat'!AD104</f>
        <v>*1</v>
      </c>
      <c r="AE83" t="str">
        <f>'INS-UPD Heat'!AE104</f>
        <v>*1</v>
      </c>
      <c r="AF83" t="str">
        <f>'INS-UPD Heat'!AF104</f>
        <v>*1</v>
      </c>
      <c r="AG83" t="str">
        <f>'INS-UPD Heat'!AG104</f>
        <v>*1</v>
      </c>
      <c r="AH83" t="str">
        <f>'INS-UPD Heat'!AH104</f>
        <v>*1</v>
      </c>
      <c r="AI83" t="str">
        <f>'INS-UPD Heat'!AI104</f>
        <v>*1</v>
      </c>
      <c r="AJ83" t="str">
        <f>'INS-UPD Heat'!AJ104</f>
        <v>*1</v>
      </c>
      <c r="AK83" t="str">
        <f>'INS-UPD Heat'!AK104</f>
        <v>*1</v>
      </c>
      <c r="AL83" t="str">
        <f>'INS-UPD Heat'!AL104</f>
        <v>*1.11789847320821</v>
      </c>
      <c r="AM83" t="str">
        <f>'INS-UPD Heat'!AM104</f>
        <v>*1.05508137432188</v>
      </c>
      <c r="AN83" t="str">
        <f>'INS-UPD Heat'!AN104</f>
        <v>*1.10219424337653</v>
      </c>
      <c r="AO83" t="str">
        <f>'INS-UPD Heat'!AO104</f>
        <v>*1</v>
      </c>
      <c r="AP83" t="str">
        <f>'INS-UPD Heat'!AP104</f>
        <v>*1</v>
      </c>
      <c r="AQ83" t="str">
        <f>'INS-UPD Heat'!AQ104</f>
        <v>*1.17024478027022</v>
      </c>
      <c r="AR83" t="str">
        <f>'INS-UPD Heat'!AR104</f>
        <v>*1.0969585751785</v>
      </c>
      <c r="AS83" s="49" t="str">
        <f>'INS-UPD Heat'!AS104</f>
        <v>*1.12836656997825</v>
      </c>
    </row>
    <row r="84" spans="1:45" ht="12.75">
      <c r="A84" t="s">
        <v>168</v>
      </c>
      <c r="C84" t="s">
        <v>29</v>
      </c>
      <c r="D84" t="str">
        <f t="shared" si="4"/>
        <v>C_ES-SH-OF_LP*</v>
      </c>
      <c r="H84" s="54"/>
      <c r="I84" t="str">
        <f>'INS-UPD Heat'!I105</f>
        <v>*1</v>
      </c>
      <c r="J84" t="str">
        <f>'INS-UPD Heat'!J105</f>
        <v>*1</v>
      </c>
      <c r="K84" t="str">
        <f>'INS-UPD Heat'!K105</f>
        <v>*1</v>
      </c>
      <c r="L84" t="str">
        <f>'INS-UPD Heat'!L105</f>
        <v>*1</v>
      </c>
      <c r="M84" t="str">
        <f>'INS-UPD Heat'!M105</f>
        <v>*1</v>
      </c>
      <c r="N84" t="str">
        <f>'INS-UPD Heat'!N105</f>
        <v>*1</v>
      </c>
      <c r="O84" t="str">
        <f>'INS-UPD Heat'!O105</f>
        <v>*1</v>
      </c>
      <c r="P84" t="str">
        <f>'INS-UPD Heat'!P105</f>
        <v>*1</v>
      </c>
      <c r="Q84" t="str">
        <f>'INS-UPD Heat'!Q105</f>
        <v>*0.666666666666667</v>
      </c>
      <c r="R84" t="str">
        <f>'INS-UPD Heat'!R105</f>
        <v>*1</v>
      </c>
      <c r="S84" t="str">
        <f>'INS-UPD Heat'!S105</f>
        <v>*1</v>
      </c>
      <c r="T84" t="str">
        <f>'INS-UPD Heat'!T105</f>
        <v>*1</v>
      </c>
      <c r="U84" t="str">
        <f>'INS-UPD Heat'!U105</f>
        <v>*1</v>
      </c>
      <c r="V84" t="str">
        <f>'INS-UPD Heat'!V105</f>
        <v>*1</v>
      </c>
      <c r="W84" t="str">
        <f>'INS-UPD Heat'!W105</f>
        <v>*1</v>
      </c>
      <c r="X84" t="str">
        <f>'INS-UPD Heat'!X105</f>
        <v>*1</v>
      </c>
      <c r="Y84" t="str">
        <f>'INS-UPD Heat'!Y105</f>
        <v>*1</v>
      </c>
      <c r="Z84" t="str">
        <f>'INS-UPD Heat'!Z105</f>
        <v>*1</v>
      </c>
      <c r="AA84" t="str">
        <f>'INS-UPD Heat'!AA105</f>
        <v>*1</v>
      </c>
      <c r="AB84" t="str">
        <f>'INS-UPD Heat'!AB105</f>
        <v>*1.00831519600226</v>
      </c>
      <c r="AC84" t="str">
        <f>'INS-UPD Heat'!AC105</f>
        <v>*1</v>
      </c>
      <c r="AD84" t="str">
        <f>'INS-UPD Heat'!AD105</f>
        <v>*1</v>
      </c>
      <c r="AE84" t="str">
        <f>'INS-UPD Heat'!AE105</f>
        <v>*1.00831336713657</v>
      </c>
      <c r="AF84" t="str">
        <f>'INS-UPD Heat'!AF105</f>
        <v>*1</v>
      </c>
      <c r="AG84" t="str">
        <f>'INS-UPD Heat'!AG105</f>
        <v>*1</v>
      </c>
      <c r="AH84" t="str">
        <f>'INS-UPD Heat'!AH105</f>
        <v>*1</v>
      </c>
      <c r="AI84" t="str">
        <f>'INS-UPD Heat'!AI105</f>
        <v>*1</v>
      </c>
      <c r="AJ84" t="str">
        <f>'INS-UPD Heat'!AJ105</f>
        <v>*1</v>
      </c>
      <c r="AK84" t="str">
        <f>'INS-UPD Heat'!AK105</f>
        <v>*1</v>
      </c>
      <c r="AL84" t="str">
        <f>'INS-UPD Heat'!AL105</f>
        <v>*1</v>
      </c>
      <c r="AM84" t="str">
        <f>'INS-UPD Heat'!AM105</f>
        <v>*1</v>
      </c>
      <c r="AN84" t="str">
        <f>'INS-UPD Heat'!AN105</f>
        <v>*1</v>
      </c>
      <c r="AO84" t="str">
        <f>'INS-UPD Heat'!AO105</f>
        <v>*1</v>
      </c>
      <c r="AP84" t="str">
        <f>'INS-UPD Heat'!AP105</f>
        <v>*1</v>
      </c>
      <c r="AQ84" t="str">
        <f>'INS-UPD Heat'!AQ105</f>
        <v>*1.045737981492</v>
      </c>
      <c r="AR84" t="str">
        <f>'INS-UPD Heat'!AR105</f>
        <v>*1</v>
      </c>
      <c r="AS84" s="49" t="str">
        <f>'INS-UPD Heat'!AS105</f>
        <v>*1</v>
      </c>
    </row>
    <row r="85" spans="1:45" ht="12.75">
      <c r="A85" t="s">
        <v>169</v>
      </c>
      <c r="C85" t="s">
        <v>29</v>
      </c>
      <c r="D85" t="str">
        <f t="shared" si="4"/>
        <v>C_ES-SH-OF_CO*</v>
      </c>
      <c r="H85" s="55"/>
      <c r="I85" s="50" t="str">
        <f>'INS-UPD Heat'!I106</f>
        <v>*0.806322012647686</v>
      </c>
      <c r="J85" s="50" t="str">
        <f>'INS-UPD Heat'!J106</f>
        <v>*0.957546566204691</v>
      </c>
      <c r="K85" s="50" t="str">
        <f>'INS-UPD Heat'!K106</f>
        <v>*0.806322012647686</v>
      </c>
      <c r="L85" s="50" t="str">
        <f>'INS-UPD Heat'!L106</f>
        <v>*0.806322012647686</v>
      </c>
      <c r="M85" s="50" t="str">
        <f>'INS-UPD Heat'!M106</f>
        <v>*0.804719068299585</v>
      </c>
      <c r="N85" s="50" t="str">
        <f>'INS-UPD Heat'!N106</f>
        <v>*1</v>
      </c>
      <c r="O85" s="50" t="str">
        <f>'INS-UPD Heat'!O106</f>
        <v>*0.806322012647686</v>
      </c>
      <c r="P85" s="50" t="str">
        <f>'INS-UPD Heat'!P106</f>
        <v>*0.872641433460454</v>
      </c>
      <c r="Q85" s="50" t="str">
        <f>'INS-UPD Heat'!Q106</f>
        <v>*0.620099652691077</v>
      </c>
      <c r="R85" s="50" t="str">
        <f>'INS-UPD Heat'!R106</f>
        <v>*0.806322012647686</v>
      </c>
      <c r="S85" s="50" t="str">
        <f>'INS-UPD Heat'!S106</f>
        <v>*0.872643446827971</v>
      </c>
      <c r="T85" s="50" t="str">
        <f>'INS-UPD Heat'!T106</f>
        <v>*0.806322012647686</v>
      </c>
      <c r="U85" s="50" t="str">
        <f>'INS-UPD Heat'!U106</f>
        <v>*0.830187692790597</v>
      </c>
      <c r="V85" s="50" t="str">
        <f>'INS-UPD Heat'!V106</f>
        <v>*0.88113082387544</v>
      </c>
      <c r="W85" s="50" t="str">
        <f>'INS-UPD Heat'!W106</f>
        <v>*0.806322012647686</v>
      </c>
      <c r="X85" s="50" t="str">
        <f>'INS-UPD Heat'!X106</f>
        <v>*0.889623229961177</v>
      </c>
      <c r="Y85" s="50" t="str">
        <f>'INS-UPD Heat'!Y106</f>
        <v>*0.889620935555759</v>
      </c>
      <c r="Z85" s="50" t="str">
        <f>'INS-UPD Heat'!Z106</f>
        <v>*0.806322012647686</v>
      </c>
      <c r="AA85" s="50" t="str">
        <f>'INS-UPD Heat'!AA106</f>
        <v>*0.806322012647686</v>
      </c>
      <c r="AB85" s="50" t="str">
        <f>'INS-UPD Heat'!AB106</f>
        <v>*0.806322012647686</v>
      </c>
      <c r="AC85" s="50" t="str">
        <f>'INS-UPD Heat'!AC106</f>
        <v>*0.806322012647686</v>
      </c>
      <c r="AD85" s="50" t="str">
        <f>'INS-UPD Heat'!AD106</f>
        <v>*0.87264257545149</v>
      </c>
      <c r="AE85" s="50" t="str">
        <f>'INS-UPD Heat'!AE106</f>
        <v>*0.806322012647686</v>
      </c>
      <c r="AF85" s="50" t="str">
        <f>'INS-UPD Heat'!AF106</f>
        <v>*0.906603887155439</v>
      </c>
      <c r="AG85" s="50" t="str">
        <f>'INS-UPD Heat'!AG106</f>
        <v>*0.806322012647686</v>
      </c>
      <c r="AH85" s="50" t="str">
        <f>'INS-UPD Heat'!AH106</f>
        <v>*0.806322012647686</v>
      </c>
      <c r="AI85" s="50" t="str">
        <f>'INS-UPD Heat'!AI106</f>
        <v>*0.806322012647686</v>
      </c>
      <c r="AJ85" s="50" t="str">
        <f>'INS-UPD Heat'!AJ106</f>
        <v>*0.983019632318116</v>
      </c>
      <c r="AK85" s="50" t="str">
        <f>'INS-UPD Heat'!AK106</f>
        <v>*0.806322012647686</v>
      </c>
      <c r="AL85" s="50" t="str">
        <f>'INS-UPD Heat'!AL106</f>
        <v>*0.906604351626599</v>
      </c>
      <c r="AM85" s="50" t="str">
        <f>'INS-UPD Heat'!AM106</f>
        <v>*0.806322012647686</v>
      </c>
      <c r="AN85" s="50" t="str">
        <f>'INS-UPD Heat'!AN106</f>
        <v>*0.89386762861896</v>
      </c>
      <c r="AO85" s="50" t="str">
        <f>'INS-UPD Heat'!AO106</f>
        <v>*0.806322012647686</v>
      </c>
      <c r="AP85" s="50" t="str">
        <f>'INS-UPD Heat'!AP106</f>
        <v>*0.806322012647686</v>
      </c>
      <c r="AQ85" s="50" t="str">
        <f>'INS-UPD Heat'!AQ106</f>
        <v>*0.806322012647686</v>
      </c>
      <c r="AR85" s="50" t="str">
        <f>'INS-UPD Heat'!AR106</f>
        <v>*0.889622985856844</v>
      </c>
      <c r="AS85" s="52" t="str">
        <f>'INS-UPD Heat'!AS106</f>
        <v>*0.915091066360072</v>
      </c>
    </row>
    <row r="88" spans="1:1" ht="12.75">
      <c r="A88" t="s">
        <v>188</v>
      </c>
    </row>
    <row r="89" spans="3:3" ht="12.75">
      <c r="C89" s="4" t="s">
        <v>51</v>
      </c>
    </row>
    <row r="90" spans="3:45" ht="12.75">
      <c r="C90" t="s">
        <v>35</v>
      </c>
      <c r="D90" t="s">
        <v>48</v>
      </c>
      <c r="E90" t="s">
        <v>43</v>
      </c>
      <c r="F90" t="s">
        <v>39</v>
      </c>
      <c r="G90" t="s">
        <v>49</v>
      </c>
      <c r="H90" t="s">
        <v>46</v>
      </c>
      <c r="I90" t="str">
        <f>RES_SpHeat!L$1</f>
        <v>AL</v>
      </c>
      <c r="J90" t="str">
        <f>RES_SpHeat!M$1</f>
        <v>AT</v>
      </c>
      <c r="K90" t="str">
        <f>RES_SpHeat!N$1</f>
        <v>BA</v>
      </c>
      <c r="L90" t="str">
        <f>RES_SpHeat!O$1</f>
        <v>BE</v>
      </c>
      <c r="M90" t="str">
        <f>RES_SpHeat!P$1</f>
        <v>BG</v>
      </c>
      <c r="N90" t="str">
        <f>RES_SpHeat!Q$1</f>
        <v>CH</v>
      </c>
      <c r="O90" t="str">
        <f>RES_SpHeat!R$1</f>
        <v>CY</v>
      </c>
      <c r="P90" t="str">
        <f>RES_SpHeat!S$1</f>
        <v>CZ</v>
      </c>
      <c r="Q90" t="str">
        <f>RES_SpHeat!T$1</f>
        <v>DE</v>
      </c>
      <c r="R90" t="str">
        <f>RES_SpHeat!U$1</f>
        <v>DK</v>
      </c>
      <c r="S90" t="str">
        <f>RES_SpHeat!V$1</f>
        <v>EE</v>
      </c>
      <c r="T90" t="str">
        <f>RES_SpHeat!W$1</f>
        <v>EL</v>
      </c>
      <c r="U90" t="str">
        <f>RES_SpHeat!X$1</f>
        <v>ES</v>
      </c>
      <c r="V90" t="str">
        <f>RES_SpHeat!Y$1</f>
        <v>FI</v>
      </c>
      <c r="W90" t="str">
        <f>RES_SpHeat!Z$1</f>
        <v>FR</v>
      </c>
      <c r="X90" t="str">
        <f>RES_SpHeat!AA$1</f>
        <v>HR</v>
      </c>
      <c r="Y90" t="str">
        <f>RES_SpHeat!AB$1</f>
        <v>HU</v>
      </c>
      <c r="Z90" t="str">
        <f>RES_SpHeat!AC$1</f>
        <v>IE</v>
      </c>
      <c r="AA90" t="str">
        <f>RES_SpHeat!AD$1</f>
        <v>IS</v>
      </c>
      <c r="AB90" t="str">
        <f>RES_SpHeat!AE$1</f>
        <v>IT</v>
      </c>
      <c r="AC90" t="str">
        <f>RES_SpHeat!AF$1</f>
        <v>KS</v>
      </c>
      <c r="AD90" t="str">
        <f>RES_SpHeat!AG$1</f>
        <v>LT</v>
      </c>
      <c r="AE90" t="str">
        <f>RES_SpHeat!AH$1</f>
        <v>LU</v>
      </c>
      <c r="AF90" t="str">
        <f>RES_SpHeat!AI$1</f>
        <v>LV</v>
      </c>
      <c r="AG90" t="str">
        <f>RES_SpHeat!AJ$1</f>
        <v>ME</v>
      </c>
      <c r="AH90" t="str">
        <f>RES_SpHeat!AK$1</f>
        <v>MK</v>
      </c>
      <c r="AI90" t="str">
        <f>RES_SpHeat!AL$1</f>
        <v>MT</v>
      </c>
      <c r="AJ90" t="str">
        <f>RES_SpHeat!AM$1</f>
        <v>NL</v>
      </c>
      <c r="AK90" t="str">
        <f>RES_SpHeat!AN$1</f>
        <v>NO</v>
      </c>
      <c r="AL90" t="str">
        <f>RES_SpHeat!AO$1</f>
        <v>PL</v>
      </c>
      <c r="AM90" t="str">
        <f>RES_SpHeat!AP$1</f>
        <v>PT</v>
      </c>
      <c r="AN90" t="str">
        <f>RES_SpHeat!AQ$1</f>
        <v>RO</v>
      </c>
      <c r="AO90" t="str">
        <f>RES_SpHeat!AR$1</f>
        <v>RS</v>
      </c>
      <c r="AP90" t="str">
        <f>RES_SpHeat!AS$1</f>
        <v>SE</v>
      </c>
      <c r="AQ90" t="str">
        <f>RES_SpHeat!AT$1</f>
        <v>SI</v>
      </c>
      <c r="AR90" t="str">
        <f>RES_SpHeat!AU$1</f>
        <v>SK</v>
      </c>
      <c r="AS90" t="str">
        <f>RES_SpHeat!AV$1</f>
        <v>UK</v>
      </c>
    </row>
    <row r="91" spans="1:50" ht="12.75">
      <c r="A91" t="str">
        <f>A38</f>
        <v>C_ES-SH-HO_BI*</v>
      </c>
      <c r="C91" t="s">
        <v>60</v>
      </c>
      <c r="D91" t="str">
        <f>A91</f>
        <v>C_ES-SH-HO_BI*</v>
      </c>
      <c r="F91" t="s">
        <v>170</v>
      </c>
      <c r="H91" s="53"/>
      <c r="I91" s="45" t="str">
        <f t="shared" si="5" ref="I91:I138">I38</f>
        <v>*1</v>
      </c>
      <c r="J91" s="45" t="str">
        <f t="shared" si="6" ref="J91:AS98">J38</f>
        <v>*1.13273935601115</v>
      </c>
      <c r="K91" s="45" t="str">
        <f t="shared" si="6"/>
        <v>*1</v>
      </c>
      <c r="L91" s="45" t="str">
        <f t="shared" si="6"/>
        <v>*1.16287202779621</v>
      </c>
      <c r="M91" s="45" t="str">
        <f t="shared" si="6"/>
        <v>*0.951947404871184</v>
      </c>
      <c r="N91" s="45" t="str">
        <f t="shared" si="6"/>
        <v>*1</v>
      </c>
      <c r="O91" s="45" t="str">
        <f t="shared" si="6"/>
        <v>*0.891684624593808</v>
      </c>
      <c r="P91" s="45" t="str">
        <f t="shared" si="6"/>
        <v>*1.03230037990426</v>
      </c>
      <c r="Q91" s="45" t="str">
        <f t="shared" si="6"/>
        <v>*0.5</v>
      </c>
      <c r="R91" s="45" t="str">
        <f t="shared" si="6"/>
        <v>*1.0825169264074</v>
      </c>
      <c r="S91" s="45" t="str">
        <f t="shared" si="6"/>
        <v>*1.03229644898342</v>
      </c>
      <c r="T91" s="45" t="str">
        <f t="shared" si="6"/>
        <v>*1</v>
      </c>
      <c r="U91" s="45" t="str">
        <f t="shared" si="6"/>
        <v>*0.982080090991512</v>
      </c>
      <c r="V91" s="45" t="str">
        <f t="shared" si="6"/>
        <v>*1.0423429136333</v>
      </c>
      <c r="W91" s="45" t="str">
        <f t="shared" si="6"/>
        <v>*1.08252106666226</v>
      </c>
      <c r="X91" s="45" t="str">
        <f t="shared" si="6"/>
        <v>*1.05238453545451</v>
      </c>
      <c r="Y91" s="45" t="str">
        <f t="shared" si="6"/>
        <v>*1.05238966451752</v>
      </c>
      <c r="Z91" s="45" t="str">
        <f t="shared" si="6"/>
        <v>*1.1026073590249</v>
      </c>
      <c r="AA91" s="45" t="str">
        <f t="shared" si="6"/>
        <v>*1.0825169264074</v>
      </c>
      <c r="AB91" s="45" t="str">
        <f t="shared" si="6"/>
        <v>*1</v>
      </c>
      <c r="AC91" s="45" t="str">
        <f t="shared" si="6"/>
        <v>*1</v>
      </c>
      <c r="AD91" s="45" t="str">
        <f t="shared" si="6"/>
        <v>*1.03230017588431</v>
      </c>
      <c r="AE91" s="45" t="str">
        <f t="shared" si="6"/>
        <v>*1</v>
      </c>
      <c r="AF91" s="45" t="str">
        <f t="shared" si="6"/>
        <v>*1.07247594152106</v>
      </c>
      <c r="AG91" s="45" t="str">
        <f t="shared" si="6"/>
        <v>*1</v>
      </c>
      <c r="AH91" s="45" t="str">
        <f t="shared" si="6"/>
        <v>*1</v>
      </c>
      <c r="AI91" s="45" t="str">
        <f t="shared" si="6"/>
        <v>*1</v>
      </c>
      <c r="AJ91" s="45" t="str">
        <f t="shared" si="6"/>
        <v>*1.16287284644911</v>
      </c>
      <c r="AK91" s="45" t="str">
        <f t="shared" si="6"/>
        <v>*1.0825169264074</v>
      </c>
      <c r="AL91" s="45" t="str">
        <f t="shared" si="6"/>
        <v>*1.07247406151033</v>
      </c>
      <c r="AM91" s="45" t="str">
        <f t="shared" si="6"/>
        <v>*1</v>
      </c>
      <c r="AN91" s="45" t="str">
        <f t="shared" si="6"/>
        <v>*1</v>
      </c>
      <c r="AO91" s="45" t="str">
        <f t="shared" si="6"/>
        <v>*1</v>
      </c>
      <c r="AP91" s="45" t="str">
        <f t="shared" si="6"/>
        <v>*1.03229798151806</v>
      </c>
      <c r="AQ91" s="45" t="str">
        <f t="shared" si="6"/>
        <v>*1</v>
      </c>
      <c r="AR91" s="45" t="str">
        <f t="shared" si="6"/>
        <v>*1.05238916181003</v>
      </c>
      <c r="AS91" s="47" t="str">
        <f t="shared" si="6"/>
        <v>*1.08252104532776</v>
      </c>
      <c r="AX91">
        <f>'INS-UPD Heat'!AX6</f>
        <v>0.56636967800557603</v>
      </c>
    </row>
    <row r="92" spans="1:50" ht="12.75">
      <c r="A92" t="str">
        <f t="shared" si="7" ref="A92:A138">A39</f>
        <v>C_ES-SH-HO_HE*</v>
      </c>
      <c r="C92" t="s">
        <v>60</v>
      </c>
      <c r="D92" t="str">
        <f t="shared" si="8" ref="D92:D138">A92</f>
        <v>C_ES-SH-HO_HE*</v>
      </c>
      <c r="F92" t="s">
        <v>170</v>
      </c>
      <c r="H92" s="54"/>
      <c r="I92" t="str">
        <f t="shared" si="5"/>
        <v>*0.880504783355962</v>
      </c>
      <c r="J92" t="str">
        <f t="shared" si="9" ref="J92:X92">J39</f>
        <v>*0.957548618872751</v>
      </c>
      <c r="K92" t="str">
        <f t="shared" si="9"/>
        <v>*0.880504783355962</v>
      </c>
      <c r="L92" t="str">
        <f t="shared" si="9"/>
        <v>*0.983020646759874</v>
      </c>
      <c r="M92" t="str">
        <f t="shared" si="9"/>
        <v>*0.804718937699145</v>
      </c>
      <c r="N92" t="str">
        <f t="shared" si="9"/>
        <v>*1</v>
      </c>
      <c r="O92" t="str">
        <f t="shared" si="9"/>
        <v>*0.880504783355962</v>
      </c>
      <c r="P92" t="str">
        <f t="shared" si="9"/>
        <v>*0.872644275983274</v>
      </c>
      <c r="Q92" t="str">
        <f t="shared" si="9"/>
        <v>*0.908569737634899</v>
      </c>
      <c r="R92" t="str">
        <f t="shared" si="9"/>
        <v>*0.915095212233637</v>
      </c>
      <c r="S92" t="str">
        <f t="shared" si="9"/>
        <v>*0.872642655737943</v>
      </c>
      <c r="T92" t="str">
        <f t="shared" si="9"/>
        <v>*0.880504783355962</v>
      </c>
      <c r="U92" t="str">
        <f t="shared" si="9"/>
        <v>*0.880504783355962</v>
      </c>
      <c r="V92" t="str">
        <f t="shared" si="9"/>
        <v>*0.881131477151944</v>
      </c>
      <c r="W92" t="str">
        <f t="shared" si="9"/>
        <v>*0.915093124359608</v>
      </c>
      <c r="X92" t="str">
        <f t="shared" si="9"/>
        <v>*0.889625250941913</v>
      </c>
      <c r="Y92" t="str">
        <f t="shared" si="6"/>
        <v>*0.889623372740061</v>
      </c>
      <c r="Z92" t="str">
        <f t="shared" si="6"/>
        <v>*0.880504783355962</v>
      </c>
      <c r="AA92" t="str">
        <f t="shared" si="6"/>
        <v>*0.915095212233637</v>
      </c>
      <c r="AB92" t="str">
        <f t="shared" si="6"/>
        <v>*0.915095341838966</v>
      </c>
      <c r="AC92" t="str">
        <f t="shared" si="6"/>
        <v>*0.880504783355962</v>
      </c>
      <c r="AD92" t="str">
        <f t="shared" si="6"/>
        <v>*0.872640325737902</v>
      </c>
      <c r="AE92" t="str">
        <f t="shared" si="6"/>
        <v>*0.915097225102635</v>
      </c>
      <c r="AF92" t="str">
        <f t="shared" si="6"/>
        <v>*0.906602703277204</v>
      </c>
      <c r="AG92" t="str">
        <f t="shared" si="6"/>
        <v>*0.880504783355962</v>
      </c>
      <c r="AH92" t="str">
        <f t="shared" si="6"/>
        <v>*0.880504783355962</v>
      </c>
      <c r="AI92" t="str">
        <f t="shared" si="6"/>
        <v>*0.880504783355962</v>
      </c>
      <c r="AJ92" t="str">
        <f t="shared" si="6"/>
        <v>*0.983021041372418</v>
      </c>
      <c r="AK92" t="str">
        <f t="shared" si="6"/>
        <v>*0.915095212233637</v>
      </c>
      <c r="AL92" t="str">
        <f t="shared" si="6"/>
        <v>*0.906604639952111</v>
      </c>
      <c r="AM92" t="str">
        <f t="shared" si="6"/>
        <v>*0.855664327496265</v>
      </c>
      <c r="AN92" t="str">
        <f t="shared" si="6"/>
        <v>*0.89386936286641</v>
      </c>
      <c r="AO92" t="str">
        <f t="shared" si="6"/>
        <v>*0.880504783355962</v>
      </c>
      <c r="AP92" t="str">
        <f t="shared" si="6"/>
        <v>*0.872640441278991</v>
      </c>
      <c r="AQ92" t="str">
        <f t="shared" si="6"/>
        <v>*0.949060077873277</v>
      </c>
      <c r="AR92" t="str">
        <f t="shared" si="6"/>
        <v>*0.889625648915354</v>
      </c>
      <c r="AS92" s="49" t="str">
        <f t="shared" si="6"/>
        <v>*0.915096287669067</v>
      </c>
      <c r="AX92">
        <f>'INS-UPD Heat'!AX7</f>
        <v>0.869999697421875</v>
      </c>
    </row>
    <row r="93" spans="1:50" ht="12.75">
      <c r="A93" t="str">
        <f t="shared" si="7"/>
        <v>C_ES-SH-HO_EL*</v>
      </c>
      <c r="C93" t="s">
        <v>60</v>
      </c>
      <c r="D93" t="str">
        <f t="shared" si="8"/>
        <v>C_ES-SH-HO_EL*</v>
      </c>
      <c r="F93" t="s">
        <v>170</v>
      </c>
      <c r="H93" s="54"/>
      <c r="I93" t="str">
        <f t="shared" si="5"/>
        <v>*0.814695640040816</v>
      </c>
      <c r="J93" t="str">
        <f t="shared" si="6"/>
        <v>*0.866863618757606</v>
      </c>
      <c r="K93" t="str">
        <f t="shared" si="6"/>
        <v>*0.814695640040816</v>
      </c>
      <c r="L93" t="str">
        <f t="shared" si="6"/>
        <v>*0.829770066565543</v>
      </c>
      <c r="M93" t="str">
        <f t="shared" si="6"/>
        <v>*0.670139292549879</v>
      </c>
      <c r="N93" t="str">
        <f t="shared" si="6"/>
        <v>*1</v>
      </c>
      <c r="O93" t="str">
        <f t="shared" si="6"/>
        <v>*0.806570689531818</v>
      </c>
      <c r="P93" t="str">
        <f t="shared" si="6"/>
        <v>*0.783236858692403</v>
      </c>
      <c r="Q93" t="str">
        <f t="shared" si="6"/>
        <v>*1.16338718199139</v>
      </c>
      <c r="R93" t="str">
        <f t="shared" si="6"/>
        <v>*0.964160419172593</v>
      </c>
      <c r="S93" t="str">
        <f t="shared" si="6"/>
        <v>*0.707243659269144</v>
      </c>
      <c r="T93" t="str">
        <f t="shared" si="6"/>
        <v>*0.814695640040816</v>
      </c>
      <c r="U93" t="str">
        <f t="shared" si="6"/>
        <v>*0.880205881297254</v>
      </c>
      <c r="V93" t="str">
        <f t="shared" si="6"/>
        <v>*0.915248470397476</v>
      </c>
      <c r="W93" t="str">
        <f t="shared" si="6"/>
        <v>*0.982636396644647</v>
      </c>
      <c r="X93" t="str">
        <f t="shared" si="6"/>
        <v>*0.731393580117313</v>
      </c>
      <c r="Y93" t="str">
        <f t="shared" si="6"/>
        <v>*0.847123481616257</v>
      </c>
      <c r="Z93" t="str">
        <f t="shared" si="6"/>
        <v>*0.856585176139782</v>
      </c>
      <c r="AA93" t="str">
        <f t="shared" si="6"/>
        <v>*0.964160419172593</v>
      </c>
      <c r="AB93" t="str">
        <f t="shared" si="6"/>
        <v>*0.975703024004163</v>
      </c>
      <c r="AC93" t="str">
        <f t="shared" si="6"/>
        <v>*0.814695640040816</v>
      </c>
      <c r="AD93" t="str">
        <f t="shared" si="6"/>
        <v>*0.801302174406614</v>
      </c>
      <c r="AE93" t="str">
        <f t="shared" si="6"/>
        <v>*1.04929722822849</v>
      </c>
      <c r="AF93" t="str">
        <f t="shared" si="6"/>
        <v>*0.802607320234305</v>
      </c>
      <c r="AG93" t="str">
        <f t="shared" si="6"/>
        <v>*0.814695640040816</v>
      </c>
      <c r="AH93" t="str">
        <f t="shared" si="6"/>
        <v>*0.814695640040816</v>
      </c>
      <c r="AI93" t="str">
        <f t="shared" si="6"/>
        <v>*0.662075744685471</v>
      </c>
      <c r="AJ93" t="str">
        <f t="shared" si="6"/>
        <v>*1.09991267506868</v>
      </c>
      <c r="AK93" t="str">
        <f t="shared" si="6"/>
        <v>*0.964160419172593</v>
      </c>
      <c r="AL93" t="str">
        <f t="shared" si="6"/>
        <v>*0.973806550892689</v>
      </c>
      <c r="AM93" t="str">
        <f t="shared" si="6"/>
        <v>*0.840908698492736</v>
      </c>
      <c r="AN93" t="str">
        <f t="shared" si="6"/>
        <v>*0.752940453106604</v>
      </c>
      <c r="AO93" t="str">
        <f t="shared" si="6"/>
        <v>*0.814695640040816</v>
      </c>
      <c r="AP93" t="str">
        <f t="shared" si="6"/>
        <v>*0.885880097942198</v>
      </c>
      <c r="AQ93" t="str">
        <f t="shared" si="6"/>
        <v>*0.839394722196866</v>
      </c>
      <c r="AR93" t="str">
        <f t="shared" si="6"/>
        <v>*0.812611601321336</v>
      </c>
      <c r="AS93" s="49" t="str">
        <f t="shared" si="6"/>
        <v>*1.05673460932283</v>
      </c>
      <c r="AX93">
        <f>'INS-UPD Heat'!AX8</f>
        <v>1.0084980225972699</v>
      </c>
    </row>
    <row r="94" spans="1:50" ht="12.75">
      <c r="A94" t="str">
        <f t="shared" si="7"/>
        <v>C_ES-SH-HO_GA*</v>
      </c>
      <c r="C94" t="s">
        <v>60</v>
      </c>
      <c r="D94" t="str">
        <f t="shared" si="8"/>
        <v>C_ES-SH-HO_GA*</v>
      </c>
      <c r="F94" t="s">
        <v>170</v>
      </c>
      <c r="H94" s="54"/>
      <c r="I94" t="str">
        <f t="shared" si="5"/>
        <v>*0.751789844164435</v>
      </c>
      <c r="J94" t="str">
        <f t="shared" si="6"/>
        <v>*0.958971368982325</v>
      </c>
      <c r="K94" t="str">
        <f t="shared" si="6"/>
        <v>*0.751789844164435</v>
      </c>
      <c r="L94" t="str">
        <f t="shared" si="6"/>
        <v>*0.98247021598169</v>
      </c>
      <c r="M94" t="str">
        <f t="shared" si="6"/>
        <v>*0.801022925677764</v>
      </c>
      <c r="N94" t="str">
        <f t="shared" si="6"/>
        <v>*1</v>
      </c>
      <c r="O94" t="str">
        <f t="shared" si="6"/>
        <v>*0.750312177594846</v>
      </c>
      <c r="P94" t="str">
        <f t="shared" si="6"/>
        <v>*0.870852828625521</v>
      </c>
      <c r="Q94" t="str">
        <f t="shared" si="6"/>
        <v>*0.766721004074585</v>
      </c>
      <c r="R94" t="str">
        <f t="shared" si="6"/>
        <v>*0.916481590266539</v>
      </c>
      <c r="S94" t="str">
        <f t="shared" si="6"/>
        <v>*0.868634629976933</v>
      </c>
      <c r="T94" t="str">
        <f t="shared" si="6"/>
        <v>*0.751789844164435</v>
      </c>
      <c r="U94" t="str">
        <f t="shared" si="6"/>
        <v>*0.831402561906822</v>
      </c>
      <c r="V94" t="str">
        <f t="shared" si="6"/>
        <v>*0.877090057188528</v>
      </c>
      <c r="W94" t="str">
        <f t="shared" si="6"/>
        <v>*0.913903595895035</v>
      </c>
      <c r="X94" t="str">
        <f t="shared" si="6"/>
        <v>*0.887582361489164</v>
      </c>
      <c r="Y94" t="str">
        <f t="shared" si="6"/>
        <v>*0.88826694111973</v>
      </c>
      <c r="Z94" t="str">
        <f t="shared" si="6"/>
        <v>*0.932017066676991</v>
      </c>
      <c r="AA94" t="str">
        <f t="shared" si="6"/>
        <v>*0.916481590266539</v>
      </c>
      <c r="AB94" t="str">
        <f t="shared" si="6"/>
        <v>*0.912611573794044</v>
      </c>
      <c r="AC94" t="str">
        <f t="shared" si="6"/>
        <v>*0.751789844164435</v>
      </c>
      <c r="AD94" t="str">
        <f t="shared" si="6"/>
        <v>*0.868636514902445</v>
      </c>
      <c r="AE94" t="str">
        <f t="shared" si="6"/>
        <v>*0.916280573443744</v>
      </c>
      <c r="AF94" t="str">
        <f t="shared" si="6"/>
        <v>*0.902440555603779</v>
      </c>
      <c r="AG94" t="str">
        <f t="shared" si="6"/>
        <v>*0.751789844164435</v>
      </c>
      <c r="AH94" t="str">
        <f t="shared" si="6"/>
        <v>*0.751789844164435</v>
      </c>
      <c r="AI94" t="str">
        <f t="shared" si="6"/>
        <v>*0.782553232285825</v>
      </c>
      <c r="AJ94" t="str">
        <f t="shared" si="6"/>
        <v>*0.983432278118349</v>
      </c>
      <c r="AK94" t="str">
        <f t="shared" si="6"/>
        <v>*0.916481590266539</v>
      </c>
      <c r="AL94" t="str">
        <f t="shared" si="6"/>
        <v>*0.907097458133649</v>
      </c>
      <c r="AM94" t="str">
        <f t="shared" si="6"/>
        <v>*0.858910478986323</v>
      </c>
      <c r="AN94" t="str">
        <f t="shared" si="6"/>
        <v>*0.890676709498201</v>
      </c>
      <c r="AO94" t="str">
        <f t="shared" si="6"/>
        <v>*0.751789844164435</v>
      </c>
      <c r="AP94" t="str">
        <f t="shared" si="6"/>
        <v>*0.868634823876442</v>
      </c>
      <c r="AQ94" t="str">
        <f t="shared" si="6"/>
        <v>*0.944703220399034</v>
      </c>
      <c r="AR94" t="str">
        <f t="shared" si="6"/>
        <v>*0.887897908847503</v>
      </c>
      <c r="AS94" s="49" t="str">
        <f t="shared" si="6"/>
        <v>*0.915420971135312</v>
      </c>
      <c r="AX94">
        <f>'INS-UPD Heat'!AX9</f>
        <v>0.73526349090490795</v>
      </c>
    </row>
    <row r="95" spans="1:50" ht="12.75">
      <c r="A95" t="str">
        <f t="shared" si="7"/>
        <v>C_ES-SH-HO_OI*</v>
      </c>
      <c r="C95" t="s">
        <v>60</v>
      </c>
      <c r="D95" t="str">
        <f t="shared" si="8"/>
        <v>C_ES-SH-HO_OI*</v>
      </c>
      <c r="F95" t="s">
        <v>170</v>
      </c>
      <c r="H95" s="54"/>
      <c r="I95" t="str">
        <f t="shared" si="5"/>
        <v>*0.753773411000091</v>
      </c>
      <c r="J95" t="str">
        <f t="shared" si="6"/>
        <v>*0.957544163772634</v>
      </c>
      <c r="K95" t="str">
        <f t="shared" si="6"/>
        <v>*0.753773411000091</v>
      </c>
      <c r="L95" t="str">
        <f t="shared" si="6"/>
        <v>*0.983016992017122</v>
      </c>
      <c r="M95" t="str">
        <f t="shared" si="6"/>
        <v>*0.804716585177828</v>
      </c>
      <c r="N95" t="str">
        <f t="shared" si="6"/>
        <v>*1</v>
      </c>
      <c r="O95" t="str">
        <f t="shared" si="6"/>
        <v>*0.753771965014407</v>
      </c>
      <c r="P95" t="str">
        <f t="shared" si="6"/>
        <v>*0.872640058113471</v>
      </c>
      <c r="Q95" t="str">
        <f t="shared" si="6"/>
        <v>*0.715500925014401</v>
      </c>
      <c r="R95" t="str">
        <f t="shared" si="6"/>
        <v>*0.915094452005067</v>
      </c>
      <c r="S95" t="str">
        <f t="shared" si="6"/>
        <v>*0.872638584269094</v>
      </c>
      <c r="T95" t="str">
        <f t="shared" si="6"/>
        <v>*0.753773411000091</v>
      </c>
      <c r="U95" t="str">
        <f t="shared" si="6"/>
        <v>*0.830188634260304</v>
      </c>
      <c r="V95" t="str">
        <f t="shared" si="6"/>
        <v>*0.881132627863442</v>
      </c>
      <c r="W95" t="str">
        <f t="shared" si="6"/>
        <v>*0.915094198262907</v>
      </c>
      <c r="X95" t="str">
        <f t="shared" si="6"/>
        <v>*0.889621616188381</v>
      </c>
      <c r="Y95" t="str">
        <f t="shared" si="6"/>
        <v>*0.768692227740908</v>
      </c>
      <c r="Z95" t="str">
        <f t="shared" si="6"/>
        <v>*0.932072829532384</v>
      </c>
      <c r="AA95" t="str">
        <f t="shared" si="6"/>
        <v>*0.915094452005067</v>
      </c>
      <c r="AB95" t="str">
        <f t="shared" si="6"/>
        <v>*0.915090313213233</v>
      </c>
      <c r="AC95" t="str">
        <f t="shared" si="6"/>
        <v>*0.753773411000091</v>
      </c>
      <c r="AD95" t="str">
        <f t="shared" si="6"/>
        <v>*0.872642317322356</v>
      </c>
      <c r="AE95" t="str">
        <f t="shared" si="6"/>
        <v>*0.915091850300005</v>
      </c>
      <c r="AF95" t="str">
        <f t="shared" si="6"/>
        <v>*0.906603397591183</v>
      </c>
      <c r="AG95" t="str">
        <f t="shared" si="6"/>
        <v>*0.753773411000091</v>
      </c>
      <c r="AH95" t="str">
        <f t="shared" si="6"/>
        <v>*0.753773411000091</v>
      </c>
      <c r="AI95" t="str">
        <f t="shared" si="6"/>
        <v>*0.768692227740908</v>
      </c>
      <c r="AJ95" t="str">
        <f t="shared" si="6"/>
        <v>*0.983020136421328</v>
      </c>
      <c r="AK95" t="str">
        <f t="shared" si="6"/>
        <v>*0.915094452005067</v>
      </c>
      <c r="AL95" t="str">
        <f t="shared" si="6"/>
        <v>*0.906603703265176</v>
      </c>
      <c r="AM95" t="str">
        <f t="shared" si="6"/>
        <v>*0.855661126516543</v>
      </c>
      <c r="AN95" t="str">
        <f t="shared" si="6"/>
        <v>*0.893867563595842</v>
      </c>
      <c r="AO95" t="str">
        <f t="shared" si="6"/>
        <v>*0.753773411000091</v>
      </c>
      <c r="AP95" t="str">
        <f t="shared" si="6"/>
        <v>*0.872639506876678</v>
      </c>
      <c r="AQ95" t="str">
        <f t="shared" si="6"/>
        <v>*0.94905683960654</v>
      </c>
      <c r="AR95" t="str">
        <f t="shared" si="6"/>
        <v>*0.889623028548323</v>
      </c>
      <c r="AS95" s="49" t="str">
        <f t="shared" si="6"/>
        <v>*0.915091716306065</v>
      </c>
      <c r="AX95">
        <f>'INS-UPD Heat'!AX10</f>
        <v>0.68512373492146095</v>
      </c>
    </row>
    <row r="96" spans="1:50" ht="12.75">
      <c r="A96" t="str">
        <f t="shared" si="7"/>
        <v>C_ES-SH-HO_GE*</v>
      </c>
      <c r="C96" t="s">
        <v>60</v>
      </c>
      <c r="D96" t="str">
        <f t="shared" si="8"/>
        <v>C_ES-SH-HO_GE*</v>
      </c>
      <c r="F96" t="s">
        <v>170</v>
      </c>
      <c r="H96" s="54"/>
      <c r="I96" t="str">
        <f t="shared" si="5"/>
        <v>*1</v>
      </c>
      <c r="J96" t="str">
        <f t="shared" si="6"/>
        <v>*1.18071512418715</v>
      </c>
      <c r="K96" t="str">
        <f t="shared" si="6"/>
        <v>*1</v>
      </c>
      <c r="L96" t="str">
        <f t="shared" si="6"/>
        <v>*1</v>
      </c>
      <c r="M96" t="str">
        <f t="shared" si="6"/>
        <v>*0.992265584693816</v>
      </c>
      <c r="N96" t="str">
        <f t="shared" si="6"/>
        <v>*1</v>
      </c>
      <c r="O96" t="str">
        <f t="shared" si="6"/>
        <v>*1</v>
      </c>
      <c r="P96" t="str">
        <f t="shared" si="6"/>
        <v>*1</v>
      </c>
      <c r="Q96" t="str">
        <f t="shared" si="6"/>
        <v>*0.7</v>
      </c>
      <c r="R96" t="str">
        <f t="shared" si="6"/>
        <v>*1</v>
      </c>
      <c r="S96" t="str">
        <f t="shared" si="6"/>
        <v>*1</v>
      </c>
      <c r="T96" t="str">
        <f t="shared" si="6"/>
        <v>*1</v>
      </c>
      <c r="U96" t="str">
        <f t="shared" si="6"/>
        <v>*1.02367221742178</v>
      </c>
      <c r="V96" t="str">
        <f t="shared" si="6"/>
        <v>*1</v>
      </c>
      <c r="W96" t="str">
        <f t="shared" si="6"/>
        <v>*1.12836642882944</v>
      </c>
      <c r="X96" t="str">
        <f t="shared" si="6"/>
        <v>*1.09695901278096</v>
      </c>
      <c r="Y96" t="str">
        <f t="shared" si="6"/>
        <v>*1.09695874032411</v>
      </c>
      <c r="Z96" t="str">
        <f t="shared" si="6"/>
        <v>*1</v>
      </c>
      <c r="AA96" t="str">
        <f t="shared" si="6"/>
        <v>*1</v>
      </c>
      <c r="AB96" t="str">
        <f t="shared" si="6"/>
        <v>*1.12836780488483</v>
      </c>
      <c r="AC96" t="str">
        <f t="shared" si="6"/>
        <v>*1</v>
      </c>
      <c r="AD96" t="str">
        <f t="shared" si="6"/>
        <v>*1</v>
      </c>
      <c r="AE96" t="str">
        <f t="shared" si="6"/>
        <v>*1</v>
      </c>
      <c r="AF96" t="str">
        <f t="shared" si="6"/>
        <v>*1</v>
      </c>
      <c r="AG96" t="str">
        <f t="shared" si="6"/>
        <v>*1</v>
      </c>
      <c r="AH96" t="str">
        <f t="shared" si="6"/>
        <v>*1</v>
      </c>
      <c r="AI96" t="str">
        <f t="shared" si="6"/>
        <v>*1</v>
      </c>
      <c r="AJ96" t="str">
        <f t="shared" si="6"/>
        <v>*1</v>
      </c>
      <c r="AK96" t="str">
        <f t="shared" si="6"/>
        <v>*1</v>
      </c>
      <c r="AL96" t="str">
        <f t="shared" si="6"/>
        <v>*1.11789847320821</v>
      </c>
      <c r="AM96" t="str">
        <f t="shared" si="6"/>
        <v>*1.05508137432188</v>
      </c>
      <c r="AN96" t="str">
        <f t="shared" si="6"/>
        <v>*1.10219424337653</v>
      </c>
      <c r="AO96" t="str">
        <f t="shared" si="6"/>
        <v>*1</v>
      </c>
      <c r="AP96" t="str">
        <f t="shared" si="6"/>
        <v>*1</v>
      </c>
      <c r="AQ96" t="str">
        <f t="shared" si="6"/>
        <v>*1.17024478027022</v>
      </c>
      <c r="AR96" t="str">
        <f t="shared" si="6"/>
        <v>*1.0969585751785</v>
      </c>
      <c r="AS96" s="49" t="str">
        <f t="shared" si="6"/>
        <v>*1.12836656997825</v>
      </c>
      <c r="AX96">
        <f>'INS-UPD Heat'!AX11</f>
        <v>0.82650058693100303</v>
      </c>
    </row>
    <row r="97" spans="1:50" ht="12.75">
      <c r="A97" t="str">
        <f t="shared" si="7"/>
        <v>C_ES-SH-HO_LP*</v>
      </c>
      <c r="C97" t="s">
        <v>60</v>
      </c>
      <c r="D97" t="str">
        <f t="shared" si="8"/>
        <v>C_ES-SH-HO_LP*</v>
      </c>
      <c r="F97" t="s">
        <v>170</v>
      </c>
      <c r="H97" s="54"/>
      <c r="I97" t="str">
        <f t="shared" si="5"/>
        <v>*1</v>
      </c>
      <c r="J97" t="str">
        <f t="shared" si="6"/>
        <v>*1</v>
      </c>
      <c r="K97" t="str">
        <f t="shared" si="6"/>
        <v>*1</v>
      </c>
      <c r="L97" t="str">
        <f t="shared" si="6"/>
        <v>*1</v>
      </c>
      <c r="M97" t="str">
        <f t="shared" si="6"/>
        <v>*1</v>
      </c>
      <c r="N97" t="str">
        <f t="shared" si="6"/>
        <v>*1</v>
      </c>
      <c r="O97" t="str">
        <f t="shared" si="6"/>
        <v>*1</v>
      </c>
      <c r="P97" t="str">
        <f t="shared" si="6"/>
        <v>*1</v>
      </c>
      <c r="Q97" t="str">
        <f t="shared" si="6"/>
        <v>*0.666666666666667</v>
      </c>
      <c r="R97" t="str">
        <f t="shared" si="6"/>
        <v>*1</v>
      </c>
      <c r="S97" t="str">
        <f t="shared" si="6"/>
        <v>*1</v>
      </c>
      <c r="T97" t="str">
        <f t="shared" si="6"/>
        <v>*1</v>
      </c>
      <c r="U97" t="str">
        <f t="shared" si="6"/>
        <v>*1</v>
      </c>
      <c r="V97" t="str">
        <f t="shared" si="6"/>
        <v>*1</v>
      </c>
      <c r="W97" t="str">
        <f t="shared" si="6"/>
        <v>*1</v>
      </c>
      <c r="X97" t="str">
        <f t="shared" si="6"/>
        <v>*1</v>
      </c>
      <c r="Y97" t="str">
        <f t="shared" si="6"/>
        <v>*1</v>
      </c>
      <c r="Z97" t="str">
        <f t="shared" si="6"/>
        <v>*1</v>
      </c>
      <c r="AA97" t="str">
        <f t="shared" si="6"/>
        <v>*1</v>
      </c>
      <c r="AB97" t="str">
        <f t="shared" si="6"/>
        <v>*1.00831519600226</v>
      </c>
      <c r="AC97" t="str">
        <f t="shared" si="6"/>
        <v>*1</v>
      </c>
      <c r="AD97" t="str">
        <f t="shared" si="6"/>
        <v>*1</v>
      </c>
      <c r="AE97" t="str">
        <f t="shared" si="6"/>
        <v>*1.00831336713657</v>
      </c>
      <c r="AF97" t="str">
        <f t="shared" si="6"/>
        <v>*1</v>
      </c>
      <c r="AG97" t="str">
        <f t="shared" si="6"/>
        <v>*1</v>
      </c>
      <c r="AH97" t="str">
        <f t="shared" si="6"/>
        <v>*1</v>
      </c>
      <c r="AI97" t="str">
        <f t="shared" si="6"/>
        <v>*1</v>
      </c>
      <c r="AJ97" t="str">
        <f t="shared" si="6"/>
        <v>*1</v>
      </c>
      <c r="AK97" t="str">
        <f t="shared" si="6"/>
        <v>*1</v>
      </c>
      <c r="AL97" t="str">
        <f t="shared" si="6"/>
        <v>*1</v>
      </c>
      <c r="AM97" t="str">
        <f t="shared" si="6"/>
        <v>*1</v>
      </c>
      <c r="AN97" t="str">
        <f t="shared" si="6"/>
        <v>*1</v>
      </c>
      <c r="AO97" t="str">
        <f t="shared" si="6"/>
        <v>*1</v>
      </c>
      <c r="AP97" t="str">
        <f t="shared" si="6"/>
        <v>*1</v>
      </c>
      <c r="AQ97" t="str">
        <f t="shared" si="6"/>
        <v>*1.045737981492</v>
      </c>
      <c r="AR97" t="str">
        <f t="shared" si="6"/>
        <v>*1</v>
      </c>
      <c r="AS97" s="49" t="str">
        <f t="shared" si="6"/>
        <v>*1</v>
      </c>
      <c r="AX97">
        <f>'INS-UPD Heat'!AX12</f>
        <v>0.66666666666666696</v>
      </c>
    </row>
    <row r="98" spans="1:50" ht="12.75">
      <c r="A98" t="str">
        <f t="shared" si="7"/>
        <v>C_ES-SH-HO_CO*</v>
      </c>
      <c r="C98" t="s">
        <v>60</v>
      </c>
      <c r="D98" t="str">
        <f t="shared" si="8"/>
        <v>C_ES-SH-HO_CO*</v>
      </c>
      <c r="F98" t="s">
        <v>170</v>
      </c>
      <c r="H98" s="54"/>
      <c r="I98" t="str">
        <f t="shared" si="5"/>
        <v>*0.806322012647686</v>
      </c>
      <c r="J98" t="str">
        <f t="shared" si="6"/>
        <v>*0.957546566204691</v>
      </c>
      <c r="K98" t="str">
        <f t="shared" si="6"/>
        <v>*0.806322012647686</v>
      </c>
      <c r="L98" t="str">
        <f t="shared" si="6"/>
        <v>*0.806322012647686</v>
      </c>
      <c r="M98" t="str">
        <f t="shared" si="6"/>
        <v>*0.804719068299585</v>
      </c>
      <c r="N98" t="str">
        <f t="shared" si="6"/>
        <v>*1</v>
      </c>
      <c r="O98" t="str">
        <f t="shared" si="6"/>
        <v>*0.806322012647686</v>
      </c>
      <c r="P98" t="str">
        <f t="shared" si="6"/>
        <v>*0.872641433460454</v>
      </c>
      <c r="Q98" t="str">
        <f t="shared" si="6"/>
        <v>*0.620099652691077</v>
      </c>
      <c r="R98" t="str">
        <f t="shared" si="6"/>
        <v>*0.806322012647686</v>
      </c>
      <c r="S98" t="str">
        <f t="shared" si="6"/>
        <v>*0.872643446827971</v>
      </c>
      <c r="T98" t="str">
        <f t="shared" si="6"/>
        <v>*0.806322012647686</v>
      </c>
      <c r="U98" t="str">
        <f t="shared" si="6"/>
        <v>*0.830187692790597</v>
      </c>
      <c r="V98" t="str">
        <f t="shared" si="6"/>
        <v>*0.88113082387544</v>
      </c>
      <c r="W98" t="str">
        <f t="shared" si="6"/>
        <v>*0.806322012647686</v>
      </c>
      <c r="X98" t="str">
        <f t="shared" si="6"/>
        <v>*0.889623229961177</v>
      </c>
      <c r="Y98" t="str">
        <f t="shared" si="6"/>
        <v>*0.889620935555759</v>
      </c>
      <c r="Z98" t="str">
        <f t="shared" si="6"/>
        <v>*0.806322012647686</v>
      </c>
      <c r="AA98" t="str">
        <f t="shared" si="6"/>
        <v>*0.806322012647686</v>
      </c>
      <c r="AB98" t="str">
        <f t="shared" si="10" ref="J98:AS105">AB45</f>
        <v>*0.806322012647686</v>
      </c>
      <c r="AC98" t="str">
        <f t="shared" si="10"/>
        <v>*0.806322012647686</v>
      </c>
      <c r="AD98" t="str">
        <f t="shared" si="10"/>
        <v>*0.87264257545149</v>
      </c>
      <c r="AE98" t="str">
        <f t="shared" si="10"/>
        <v>*0.806322012647686</v>
      </c>
      <c r="AF98" t="str">
        <f t="shared" si="10"/>
        <v>*0.906603887155439</v>
      </c>
      <c r="AG98" t="str">
        <f t="shared" si="10"/>
        <v>*0.806322012647686</v>
      </c>
      <c r="AH98" t="str">
        <f t="shared" si="10"/>
        <v>*0.806322012647686</v>
      </c>
      <c r="AI98" t="str">
        <f t="shared" si="10"/>
        <v>*0.806322012647686</v>
      </c>
      <c r="AJ98" t="str">
        <f t="shared" si="10"/>
        <v>*0.983019632318116</v>
      </c>
      <c r="AK98" t="str">
        <f t="shared" si="10"/>
        <v>*0.806322012647686</v>
      </c>
      <c r="AL98" t="str">
        <f t="shared" si="10"/>
        <v>*0.906604351626599</v>
      </c>
      <c r="AM98" t="str">
        <f t="shared" si="10"/>
        <v>*0.806322012647686</v>
      </c>
      <c r="AN98" t="str">
        <f t="shared" si="10"/>
        <v>*0.89386762861896</v>
      </c>
      <c r="AO98" t="str">
        <f t="shared" si="10"/>
        <v>*0.806322012647686</v>
      </c>
      <c r="AP98" t="str">
        <f t="shared" si="10"/>
        <v>*0.806322012647686</v>
      </c>
      <c r="AQ98" t="str">
        <f t="shared" si="10"/>
        <v>*0.806322012647686</v>
      </c>
      <c r="AR98" t="str">
        <f t="shared" si="10"/>
        <v>*0.889622985856844</v>
      </c>
      <c r="AS98" s="49" t="str">
        <f t="shared" si="10"/>
        <v>*0.915091066360072</v>
      </c>
      <c r="AX98">
        <f>'INS-UPD Heat'!AX13</f>
        <v>0.59377429313906205</v>
      </c>
    </row>
    <row r="99" spans="1:50" ht="12.75">
      <c r="A99" t="str">
        <f t="shared" si="7"/>
        <v>C_ES-SH-HR_BI*</v>
      </c>
      <c r="C99" t="s">
        <v>60</v>
      </c>
      <c r="D99" t="str">
        <f t="shared" si="8"/>
        <v>C_ES-SH-HR_BI*</v>
      </c>
      <c r="F99" t="s">
        <v>171</v>
      </c>
      <c r="H99" s="54"/>
      <c r="I99" t="str">
        <f t="shared" si="5"/>
        <v>*1</v>
      </c>
      <c r="J99" t="str">
        <f t="shared" si="10"/>
        <v>*1.13273935601115</v>
      </c>
      <c r="K99" t="str">
        <f t="shared" si="10"/>
        <v>*1</v>
      </c>
      <c r="L99" t="str">
        <f t="shared" si="10"/>
        <v>*1.16287202779621</v>
      </c>
      <c r="M99" t="str">
        <f t="shared" si="10"/>
        <v>*0.951947404871184</v>
      </c>
      <c r="N99" t="str">
        <f t="shared" si="10"/>
        <v>*1</v>
      </c>
      <c r="O99" t="str">
        <f t="shared" si="10"/>
        <v>*0.891684624593808</v>
      </c>
      <c r="P99" t="str">
        <f t="shared" si="10"/>
        <v>*1.03230037990426</v>
      </c>
      <c r="Q99" t="str">
        <f t="shared" si="10"/>
        <v>*0.5</v>
      </c>
      <c r="R99" t="str">
        <f t="shared" si="10"/>
        <v>*1.0825169264074</v>
      </c>
      <c r="S99" t="str">
        <f t="shared" si="10"/>
        <v>*1.03229644898342</v>
      </c>
      <c r="T99" t="str">
        <f t="shared" si="10"/>
        <v>*1</v>
      </c>
      <c r="U99" t="str">
        <f t="shared" si="10"/>
        <v>*0.982080090991512</v>
      </c>
      <c r="V99" t="str">
        <f t="shared" si="10"/>
        <v>*1.0423429136333</v>
      </c>
      <c r="W99" t="str">
        <f t="shared" si="10"/>
        <v>*1.08252106666226</v>
      </c>
      <c r="X99" t="str">
        <f t="shared" si="10"/>
        <v>*1.05238453545451</v>
      </c>
      <c r="Y99" t="str">
        <f t="shared" si="10"/>
        <v>*1.05238966451752</v>
      </c>
      <c r="Z99" t="str">
        <f t="shared" si="10"/>
        <v>*1.1026073590249</v>
      </c>
      <c r="AA99" t="str">
        <f t="shared" si="10"/>
        <v>*1.0825169264074</v>
      </c>
      <c r="AB99" t="str">
        <f t="shared" si="10"/>
        <v>*1</v>
      </c>
      <c r="AC99" t="str">
        <f t="shared" si="10"/>
        <v>*1</v>
      </c>
      <c r="AD99" t="str">
        <f t="shared" si="10"/>
        <v>*1.03230017588431</v>
      </c>
      <c r="AE99" t="str">
        <f t="shared" si="10"/>
        <v>*1</v>
      </c>
      <c r="AF99" t="str">
        <f t="shared" si="10"/>
        <v>*1.07247594152106</v>
      </c>
      <c r="AG99" t="str">
        <f t="shared" si="10"/>
        <v>*1</v>
      </c>
      <c r="AH99" t="str">
        <f t="shared" si="10"/>
        <v>*1</v>
      </c>
      <c r="AI99" t="str">
        <f t="shared" si="10"/>
        <v>*1</v>
      </c>
      <c r="AJ99" t="str">
        <f t="shared" si="10"/>
        <v>*1.16287284644911</v>
      </c>
      <c r="AK99" t="str">
        <f t="shared" si="10"/>
        <v>*1.0825169264074</v>
      </c>
      <c r="AL99" t="str">
        <f t="shared" si="10"/>
        <v>*1.07247406151033</v>
      </c>
      <c r="AM99" t="str">
        <f t="shared" si="10"/>
        <v>*1</v>
      </c>
      <c r="AN99" t="str">
        <f t="shared" si="10"/>
        <v>*1</v>
      </c>
      <c r="AO99" t="str">
        <f t="shared" si="10"/>
        <v>*1</v>
      </c>
      <c r="AP99" t="str">
        <f t="shared" si="10"/>
        <v>*1.03229798151806</v>
      </c>
      <c r="AQ99" t="str">
        <f t="shared" si="10"/>
        <v>*1</v>
      </c>
      <c r="AR99" t="str">
        <f t="shared" si="10"/>
        <v>*1.05238916181003</v>
      </c>
      <c r="AS99" s="49" t="str">
        <f t="shared" si="10"/>
        <v>*1.08252104532776</v>
      </c>
      <c r="AX99">
        <f>'INS-UPD Heat'!AX14</f>
        <v>0.56636967800557603</v>
      </c>
    </row>
    <row r="100" spans="1:50" ht="12.75">
      <c r="A100" t="str">
        <f t="shared" si="7"/>
        <v>C_ES-SH-HR_HE*</v>
      </c>
      <c r="C100" t="s">
        <v>60</v>
      </c>
      <c r="D100" t="str">
        <f t="shared" si="8"/>
        <v>C_ES-SH-HR_HE*</v>
      </c>
      <c r="F100" t="s">
        <v>171</v>
      </c>
      <c r="H100" s="54"/>
      <c r="I100" t="str">
        <f t="shared" si="5"/>
        <v>*0.880504783355962</v>
      </c>
      <c r="J100" t="str">
        <f t="shared" si="10"/>
        <v>*0.957548618872751</v>
      </c>
      <c r="K100" t="str">
        <f t="shared" si="10"/>
        <v>*0.880504783355962</v>
      </c>
      <c r="L100" t="str">
        <f t="shared" si="10"/>
        <v>*0.983020646759874</v>
      </c>
      <c r="M100" t="str">
        <f t="shared" si="10"/>
        <v>*0.804718937699145</v>
      </c>
      <c r="N100" t="str">
        <f t="shared" si="10"/>
        <v>*1</v>
      </c>
      <c r="O100" t="str">
        <f t="shared" si="10"/>
        <v>*0.880504783355962</v>
      </c>
      <c r="P100" t="str">
        <f t="shared" si="10"/>
        <v>*0.872644275983274</v>
      </c>
      <c r="Q100" t="str">
        <f t="shared" si="10"/>
        <v>*0.908569737634899</v>
      </c>
      <c r="R100" t="str">
        <f t="shared" si="10"/>
        <v>*0.915095212233637</v>
      </c>
      <c r="S100" t="str">
        <f t="shared" si="10"/>
        <v>*0.872642655737943</v>
      </c>
      <c r="T100" t="str">
        <f t="shared" si="10"/>
        <v>*0.880504783355962</v>
      </c>
      <c r="U100" t="str">
        <f t="shared" si="10"/>
        <v>*0.880504783355962</v>
      </c>
      <c r="V100" t="str">
        <f t="shared" si="10"/>
        <v>*0.881131477151944</v>
      </c>
      <c r="W100" t="str">
        <f t="shared" si="10"/>
        <v>*0.915093124359608</v>
      </c>
      <c r="X100" t="str">
        <f t="shared" si="10"/>
        <v>*0.889625250941913</v>
      </c>
      <c r="Y100" t="str">
        <f t="shared" si="10"/>
        <v>*0.889623372740061</v>
      </c>
      <c r="Z100" t="str">
        <f t="shared" si="10"/>
        <v>*0.880504783355962</v>
      </c>
      <c r="AA100" t="str">
        <f t="shared" si="10"/>
        <v>*0.915095212233637</v>
      </c>
      <c r="AB100" t="str">
        <f t="shared" si="10"/>
        <v>*0.915095341838966</v>
      </c>
      <c r="AC100" t="str">
        <f t="shared" si="10"/>
        <v>*0.880504783355962</v>
      </c>
      <c r="AD100" t="str">
        <f t="shared" si="10"/>
        <v>*0.872640325737902</v>
      </c>
      <c r="AE100" t="str">
        <f t="shared" si="10"/>
        <v>*0.915097225102635</v>
      </c>
      <c r="AF100" t="str">
        <f t="shared" si="10"/>
        <v>*0.906602703277204</v>
      </c>
      <c r="AG100" t="str">
        <f t="shared" si="10"/>
        <v>*0.880504783355962</v>
      </c>
      <c r="AH100" t="str">
        <f t="shared" si="10"/>
        <v>*0.880504783355962</v>
      </c>
      <c r="AI100" t="str">
        <f t="shared" si="10"/>
        <v>*0.880504783355962</v>
      </c>
      <c r="AJ100" t="str">
        <f t="shared" si="10"/>
        <v>*0.983021041372418</v>
      </c>
      <c r="AK100" t="str">
        <f t="shared" si="10"/>
        <v>*0.915095212233637</v>
      </c>
      <c r="AL100" t="str">
        <f t="shared" si="10"/>
        <v>*0.906604639952111</v>
      </c>
      <c r="AM100" t="str">
        <f t="shared" si="10"/>
        <v>*0.855664327496265</v>
      </c>
      <c r="AN100" t="str">
        <f t="shared" si="10"/>
        <v>*0.89386936286641</v>
      </c>
      <c r="AO100" t="str">
        <f t="shared" si="10"/>
        <v>*0.880504783355962</v>
      </c>
      <c r="AP100" t="str">
        <f t="shared" si="10"/>
        <v>*0.872640441278991</v>
      </c>
      <c r="AQ100" t="str">
        <f t="shared" si="10"/>
        <v>*0.949060077873277</v>
      </c>
      <c r="AR100" t="str">
        <f t="shared" si="10"/>
        <v>*0.889625648915354</v>
      </c>
      <c r="AS100" s="49" t="str">
        <f t="shared" si="10"/>
        <v>*0.915096287669067</v>
      </c>
      <c r="AX100">
        <f>'INS-UPD Heat'!AX15</f>
        <v>0.869999697421875</v>
      </c>
    </row>
    <row r="101" spans="1:50" ht="12.75">
      <c r="A101" t="str">
        <f t="shared" si="7"/>
        <v>C_ES-SH-HR_EL*</v>
      </c>
      <c r="C101" t="s">
        <v>60</v>
      </c>
      <c r="D101" t="str">
        <f t="shared" si="8"/>
        <v>C_ES-SH-HR_EL*</v>
      </c>
      <c r="F101" t="s">
        <v>171</v>
      </c>
      <c r="H101" s="54"/>
      <c r="I101" t="str">
        <f t="shared" si="5"/>
        <v>*0.814695640040816</v>
      </c>
      <c r="J101" t="str">
        <f t="shared" si="10"/>
        <v>*0.866863618757606</v>
      </c>
      <c r="K101" t="str">
        <f t="shared" si="10"/>
        <v>*0.814695640040816</v>
      </c>
      <c r="L101" t="str">
        <f t="shared" si="10"/>
        <v>*0.829770066565543</v>
      </c>
      <c r="M101" t="str">
        <f t="shared" si="10"/>
        <v>*0.670139292549879</v>
      </c>
      <c r="N101" t="str">
        <f t="shared" si="10"/>
        <v>*1</v>
      </c>
      <c r="O101" t="str">
        <f t="shared" si="10"/>
        <v>*0.806570689531818</v>
      </c>
      <c r="P101" t="str">
        <f t="shared" si="10"/>
        <v>*0.783236858692403</v>
      </c>
      <c r="Q101" t="str">
        <f t="shared" si="10"/>
        <v>*1.16338718199139</v>
      </c>
      <c r="R101" t="str">
        <f t="shared" si="10"/>
        <v>*0.964160419172593</v>
      </c>
      <c r="S101" t="str">
        <f t="shared" si="10"/>
        <v>*0.707243659269144</v>
      </c>
      <c r="T101" t="str">
        <f t="shared" si="10"/>
        <v>*0.814695640040816</v>
      </c>
      <c r="U101" t="str">
        <f t="shared" si="10"/>
        <v>*0.880205881297254</v>
      </c>
      <c r="V101" t="str">
        <f t="shared" si="10"/>
        <v>*0.915248470397476</v>
      </c>
      <c r="W101" t="str">
        <f t="shared" si="10"/>
        <v>*0.982636396644647</v>
      </c>
      <c r="X101" t="str">
        <f t="shared" si="10"/>
        <v>*0.731393580117313</v>
      </c>
      <c r="Y101" t="str">
        <f t="shared" si="10"/>
        <v>*0.847123481616257</v>
      </c>
      <c r="Z101" t="str">
        <f t="shared" si="10"/>
        <v>*0.856585176139782</v>
      </c>
      <c r="AA101" t="str">
        <f t="shared" si="10"/>
        <v>*0.964160419172593</v>
      </c>
      <c r="AB101" t="str">
        <f t="shared" si="10"/>
        <v>*0.975703024004163</v>
      </c>
      <c r="AC101" t="str">
        <f t="shared" si="10"/>
        <v>*0.814695640040816</v>
      </c>
      <c r="AD101" t="str">
        <f t="shared" si="10"/>
        <v>*0.801302174406614</v>
      </c>
      <c r="AE101" t="str">
        <f t="shared" si="10"/>
        <v>*1.04929722822849</v>
      </c>
      <c r="AF101" t="str">
        <f t="shared" si="10"/>
        <v>*0.802607320234305</v>
      </c>
      <c r="AG101" t="str">
        <f t="shared" si="10"/>
        <v>*0.814695640040816</v>
      </c>
      <c r="AH101" t="str">
        <f t="shared" si="10"/>
        <v>*0.814695640040816</v>
      </c>
      <c r="AI101" t="str">
        <f t="shared" si="10"/>
        <v>*0.662075744685471</v>
      </c>
      <c r="AJ101" t="str">
        <f t="shared" si="10"/>
        <v>*1.09991267506868</v>
      </c>
      <c r="AK101" t="str">
        <f t="shared" si="10"/>
        <v>*0.964160419172593</v>
      </c>
      <c r="AL101" t="str">
        <f t="shared" si="10"/>
        <v>*0.973806550892689</v>
      </c>
      <c r="AM101" t="str">
        <f t="shared" si="10"/>
        <v>*0.840908698492736</v>
      </c>
      <c r="AN101" t="str">
        <f t="shared" si="10"/>
        <v>*0.752940453106604</v>
      </c>
      <c r="AO101" t="str">
        <f t="shared" si="10"/>
        <v>*0.814695640040816</v>
      </c>
      <c r="AP101" t="str">
        <f t="shared" si="10"/>
        <v>*0.885880097942198</v>
      </c>
      <c r="AQ101" t="str">
        <f t="shared" si="10"/>
        <v>*0.839394722196866</v>
      </c>
      <c r="AR101" t="str">
        <f t="shared" si="10"/>
        <v>*0.812611601321336</v>
      </c>
      <c r="AS101" s="49" t="str">
        <f t="shared" si="10"/>
        <v>*1.05673460932283</v>
      </c>
      <c r="AX101">
        <f>'INS-UPD Heat'!AX16</f>
        <v>1.0084980225972699</v>
      </c>
    </row>
    <row r="102" spans="1:50" ht="12.75">
      <c r="A102" t="str">
        <f t="shared" si="7"/>
        <v>C_ES-SH-HR_GA*</v>
      </c>
      <c r="C102" t="s">
        <v>60</v>
      </c>
      <c r="D102" t="str">
        <f t="shared" si="8"/>
        <v>C_ES-SH-HR_GA*</v>
      </c>
      <c r="F102" t="s">
        <v>171</v>
      </c>
      <c r="H102" s="54"/>
      <c r="I102" t="str">
        <f t="shared" si="5"/>
        <v>*0.751789844164435</v>
      </c>
      <c r="J102" t="str">
        <f t="shared" si="10"/>
        <v>*0.958971368982325</v>
      </c>
      <c r="K102" t="str">
        <f t="shared" si="10"/>
        <v>*0.751789844164435</v>
      </c>
      <c r="L102" t="str">
        <f t="shared" si="10"/>
        <v>*0.98247021598169</v>
      </c>
      <c r="M102" t="str">
        <f t="shared" si="10"/>
        <v>*0.801022925677764</v>
      </c>
      <c r="N102" t="str">
        <f t="shared" si="10"/>
        <v>*1</v>
      </c>
      <c r="O102" t="str">
        <f t="shared" si="10"/>
        <v>*0.750312177594846</v>
      </c>
      <c r="P102" t="str">
        <f t="shared" si="10"/>
        <v>*0.870852828625521</v>
      </c>
      <c r="Q102" t="str">
        <f t="shared" si="10"/>
        <v>*0.766721004074585</v>
      </c>
      <c r="R102" t="str">
        <f t="shared" si="10"/>
        <v>*0.916481590266539</v>
      </c>
      <c r="S102" t="str">
        <f t="shared" si="10"/>
        <v>*0.868634629976933</v>
      </c>
      <c r="T102" t="str">
        <f t="shared" si="10"/>
        <v>*0.751789844164435</v>
      </c>
      <c r="U102" t="str">
        <f t="shared" si="10"/>
        <v>*0.831402561906822</v>
      </c>
      <c r="V102" t="str">
        <f t="shared" si="10"/>
        <v>*0.877090057188528</v>
      </c>
      <c r="W102" t="str">
        <f t="shared" si="10"/>
        <v>*0.913903595895035</v>
      </c>
      <c r="X102" t="str">
        <f t="shared" si="10"/>
        <v>*0.887582361489164</v>
      </c>
      <c r="Y102" t="str">
        <f t="shared" si="10"/>
        <v>*0.88826694111973</v>
      </c>
      <c r="Z102" t="str">
        <f t="shared" si="10"/>
        <v>*0.932017066676991</v>
      </c>
      <c r="AA102" t="str">
        <f t="shared" si="10"/>
        <v>*0.916481590266539</v>
      </c>
      <c r="AB102" t="str">
        <f t="shared" si="10"/>
        <v>*0.912611573794044</v>
      </c>
      <c r="AC102" t="str">
        <f t="shared" si="10"/>
        <v>*0.751789844164435</v>
      </c>
      <c r="AD102" t="str">
        <f t="shared" si="10"/>
        <v>*0.868636514902445</v>
      </c>
      <c r="AE102" t="str">
        <f t="shared" si="10"/>
        <v>*0.916280573443744</v>
      </c>
      <c r="AF102" t="str">
        <f t="shared" si="10"/>
        <v>*0.902440555603779</v>
      </c>
      <c r="AG102" t="str">
        <f t="shared" si="10"/>
        <v>*0.751789844164435</v>
      </c>
      <c r="AH102" t="str">
        <f t="shared" si="10"/>
        <v>*0.751789844164435</v>
      </c>
      <c r="AI102" t="str">
        <f t="shared" si="10"/>
        <v>*0.782553232285825</v>
      </c>
      <c r="AJ102" t="str">
        <f t="shared" si="10"/>
        <v>*0.983432278118349</v>
      </c>
      <c r="AK102" t="str">
        <f t="shared" si="10"/>
        <v>*0.916481590266539</v>
      </c>
      <c r="AL102" t="str">
        <f t="shared" si="10"/>
        <v>*0.907097458133649</v>
      </c>
      <c r="AM102" t="str">
        <f t="shared" si="10"/>
        <v>*0.858910478986323</v>
      </c>
      <c r="AN102" t="str">
        <f t="shared" si="10"/>
        <v>*0.890676709498201</v>
      </c>
      <c r="AO102" t="str">
        <f t="shared" si="10"/>
        <v>*0.751789844164435</v>
      </c>
      <c r="AP102" t="str">
        <f t="shared" si="10"/>
        <v>*0.868634823876442</v>
      </c>
      <c r="AQ102" t="str">
        <f t="shared" si="10"/>
        <v>*0.944703220399034</v>
      </c>
      <c r="AR102" t="str">
        <f t="shared" si="10"/>
        <v>*0.887897908847503</v>
      </c>
      <c r="AS102" s="49" t="str">
        <f t="shared" si="10"/>
        <v>*0.915420971135312</v>
      </c>
      <c r="AX102">
        <f>'INS-UPD Heat'!AX17</f>
        <v>0.73526349090490795</v>
      </c>
    </row>
    <row r="103" spans="1:50" ht="12.75">
      <c r="A103" t="str">
        <f t="shared" si="7"/>
        <v>C_ES-SH-HR_OI*</v>
      </c>
      <c r="C103" t="s">
        <v>60</v>
      </c>
      <c r="D103" t="str">
        <f t="shared" si="8"/>
        <v>C_ES-SH-HR_OI*</v>
      </c>
      <c r="F103" t="s">
        <v>171</v>
      </c>
      <c r="H103" s="54"/>
      <c r="I103" t="str">
        <f t="shared" si="5"/>
        <v>*0.753773411000091</v>
      </c>
      <c r="J103" t="str">
        <f t="shared" si="10"/>
        <v>*0.957544163772634</v>
      </c>
      <c r="K103" t="str">
        <f t="shared" si="10"/>
        <v>*0.753773411000091</v>
      </c>
      <c r="L103" t="str">
        <f t="shared" si="10"/>
        <v>*0.983016992017122</v>
      </c>
      <c r="M103" t="str">
        <f t="shared" si="10"/>
        <v>*0.804716585177828</v>
      </c>
      <c r="N103" t="str">
        <f t="shared" si="10"/>
        <v>*1</v>
      </c>
      <c r="O103" t="str">
        <f t="shared" si="10"/>
        <v>*0.753771965014407</v>
      </c>
      <c r="P103" t="str">
        <f t="shared" si="10"/>
        <v>*0.872640058113471</v>
      </c>
      <c r="Q103" t="str">
        <f t="shared" si="10"/>
        <v>*0.715500925014401</v>
      </c>
      <c r="R103" t="str">
        <f t="shared" si="10"/>
        <v>*0.915094452005067</v>
      </c>
      <c r="S103" t="str">
        <f t="shared" si="10"/>
        <v>*0.872638584269094</v>
      </c>
      <c r="T103" t="str">
        <f t="shared" si="10"/>
        <v>*0.753773411000091</v>
      </c>
      <c r="U103" t="str">
        <f t="shared" si="10"/>
        <v>*0.830188634260304</v>
      </c>
      <c r="V103" t="str">
        <f t="shared" si="10"/>
        <v>*0.881132627863442</v>
      </c>
      <c r="W103" t="str">
        <f t="shared" si="10"/>
        <v>*0.915094198262907</v>
      </c>
      <c r="X103" t="str">
        <f t="shared" si="10"/>
        <v>*0.889621616188381</v>
      </c>
      <c r="Y103" t="str">
        <f t="shared" si="10"/>
        <v>*0.768692227740908</v>
      </c>
      <c r="Z103" t="str">
        <f t="shared" si="10"/>
        <v>*0.932072829532384</v>
      </c>
      <c r="AA103" t="str">
        <f t="shared" si="10"/>
        <v>*0.915094452005067</v>
      </c>
      <c r="AB103" t="str">
        <f t="shared" si="10"/>
        <v>*0.915090313213233</v>
      </c>
      <c r="AC103" t="str">
        <f t="shared" si="10"/>
        <v>*0.753773411000091</v>
      </c>
      <c r="AD103" t="str">
        <f t="shared" si="10"/>
        <v>*0.872642317322356</v>
      </c>
      <c r="AE103" t="str">
        <f t="shared" si="10"/>
        <v>*0.915091850300005</v>
      </c>
      <c r="AF103" t="str">
        <f t="shared" si="10"/>
        <v>*0.906603397591183</v>
      </c>
      <c r="AG103" t="str">
        <f t="shared" si="10"/>
        <v>*0.753773411000091</v>
      </c>
      <c r="AH103" t="str">
        <f t="shared" si="10"/>
        <v>*0.753773411000091</v>
      </c>
      <c r="AI103" t="str">
        <f t="shared" si="10"/>
        <v>*0.768692227740908</v>
      </c>
      <c r="AJ103" t="str">
        <f t="shared" si="10"/>
        <v>*0.983020136421328</v>
      </c>
      <c r="AK103" t="str">
        <f t="shared" si="10"/>
        <v>*0.915094452005067</v>
      </c>
      <c r="AL103" t="str">
        <f t="shared" si="10"/>
        <v>*0.906603703265176</v>
      </c>
      <c r="AM103" t="str">
        <f t="shared" si="10"/>
        <v>*0.855661126516543</v>
      </c>
      <c r="AN103" t="str">
        <f t="shared" si="10"/>
        <v>*0.893867563595842</v>
      </c>
      <c r="AO103" t="str">
        <f t="shared" si="10"/>
        <v>*0.753773411000091</v>
      </c>
      <c r="AP103" t="str">
        <f t="shared" si="10"/>
        <v>*0.872639506876678</v>
      </c>
      <c r="AQ103" t="str">
        <f t="shared" si="10"/>
        <v>*0.94905683960654</v>
      </c>
      <c r="AR103" t="str">
        <f t="shared" si="10"/>
        <v>*0.889623028548323</v>
      </c>
      <c r="AS103" s="49" t="str">
        <f t="shared" si="10"/>
        <v>*0.915091716306065</v>
      </c>
      <c r="AX103">
        <f>'INS-UPD Heat'!AX18</f>
        <v>0.68512373492146095</v>
      </c>
    </row>
    <row r="104" spans="1:50" ht="12.75">
      <c r="A104" t="str">
        <f t="shared" si="7"/>
        <v>C_ES-SH-HR_GE*</v>
      </c>
      <c r="C104" t="s">
        <v>60</v>
      </c>
      <c r="D104" t="str">
        <f t="shared" si="8"/>
        <v>C_ES-SH-HR_GE*</v>
      </c>
      <c r="F104" t="s">
        <v>171</v>
      </c>
      <c r="H104" s="54"/>
      <c r="I104" t="str">
        <f t="shared" si="5"/>
        <v>*1</v>
      </c>
      <c r="J104" t="str">
        <f t="shared" si="10"/>
        <v>*1.18071512418715</v>
      </c>
      <c r="K104" t="str">
        <f t="shared" si="10"/>
        <v>*1</v>
      </c>
      <c r="L104" t="str">
        <f t="shared" si="10"/>
        <v>*1</v>
      </c>
      <c r="M104" t="str">
        <f t="shared" si="10"/>
        <v>*0.992265584693816</v>
      </c>
      <c r="N104" t="str">
        <f t="shared" si="10"/>
        <v>*1</v>
      </c>
      <c r="O104" t="str">
        <f t="shared" si="10"/>
        <v>*1</v>
      </c>
      <c r="P104" t="str">
        <f t="shared" si="10"/>
        <v>*1</v>
      </c>
      <c r="Q104" t="str">
        <f t="shared" si="10"/>
        <v>*0.7</v>
      </c>
      <c r="R104" t="str">
        <f t="shared" si="10"/>
        <v>*1</v>
      </c>
      <c r="S104" t="str">
        <f t="shared" si="10"/>
        <v>*1</v>
      </c>
      <c r="T104" t="str">
        <f t="shared" si="10"/>
        <v>*1</v>
      </c>
      <c r="U104" t="str">
        <f t="shared" si="10"/>
        <v>*1.02367221742178</v>
      </c>
      <c r="V104" t="str">
        <f t="shared" si="10"/>
        <v>*1</v>
      </c>
      <c r="W104" t="str">
        <f t="shared" si="10"/>
        <v>*1.12836642882944</v>
      </c>
      <c r="X104" t="str">
        <f t="shared" si="10"/>
        <v>*1.09695901278096</v>
      </c>
      <c r="Y104" t="str">
        <f t="shared" si="10"/>
        <v>*1.09695874032411</v>
      </c>
      <c r="Z104" t="str">
        <f t="shared" si="10"/>
        <v>*1</v>
      </c>
      <c r="AA104" t="str">
        <f t="shared" si="10"/>
        <v>*1</v>
      </c>
      <c r="AB104" t="str">
        <f t="shared" si="10"/>
        <v>*1.12836780488483</v>
      </c>
      <c r="AC104" t="str">
        <f t="shared" si="10"/>
        <v>*1</v>
      </c>
      <c r="AD104" t="str">
        <f t="shared" si="10"/>
        <v>*1</v>
      </c>
      <c r="AE104" t="str">
        <f t="shared" si="10"/>
        <v>*1</v>
      </c>
      <c r="AF104" t="str">
        <f t="shared" si="10"/>
        <v>*1</v>
      </c>
      <c r="AG104" t="str">
        <f t="shared" si="10"/>
        <v>*1</v>
      </c>
      <c r="AH104" t="str">
        <f t="shared" si="10"/>
        <v>*1</v>
      </c>
      <c r="AI104" t="str">
        <f t="shared" si="10"/>
        <v>*1</v>
      </c>
      <c r="AJ104" t="str">
        <f t="shared" si="10"/>
        <v>*1</v>
      </c>
      <c r="AK104" t="str">
        <f t="shared" si="10"/>
        <v>*1</v>
      </c>
      <c r="AL104" t="str">
        <f t="shared" si="10"/>
        <v>*1.11789847320821</v>
      </c>
      <c r="AM104" t="str">
        <f t="shared" si="10"/>
        <v>*1.05508137432188</v>
      </c>
      <c r="AN104" t="str">
        <f t="shared" si="10"/>
        <v>*1.10219424337653</v>
      </c>
      <c r="AO104" t="str">
        <f t="shared" si="10"/>
        <v>*1</v>
      </c>
      <c r="AP104" t="str">
        <f t="shared" si="10"/>
        <v>*1</v>
      </c>
      <c r="AQ104" t="str">
        <f t="shared" si="10"/>
        <v>*1.17024478027022</v>
      </c>
      <c r="AR104" t="str">
        <f t="shared" si="10"/>
        <v>*1.0969585751785</v>
      </c>
      <c r="AS104" s="49" t="str">
        <f t="shared" si="10"/>
        <v>*1.12836656997825</v>
      </c>
      <c r="AX104">
        <f>'INS-UPD Heat'!AX19</f>
        <v>0.82650058693100303</v>
      </c>
    </row>
    <row r="105" spans="1:50" ht="12.75">
      <c r="A105" t="str">
        <f t="shared" si="7"/>
        <v>C_ES-SH-HR_LP*</v>
      </c>
      <c r="C105" t="s">
        <v>60</v>
      </c>
      <c r="D105" t="str">
        <f t="shared" si="8"/>
        <v>C_ES-SH-HR_LP*</v>
      </c>
      <c r="F105" t="s">
        <v>171</v>
      </c>
      <c r="H105" s="54"/>
      <c r="I105" t="str">
        <f t="shared" si="5"/>
        <v>*1</v>
      </c>
      <c r="J105" t="str">
        <f t="shared" si="10"/>
        <v>*1</v>
      </c>
      <c r="K105" t="str">
        <f t="shared" si="10"/>
        <v>*1</v>
      </c>
      <c r="L105" t="str">
        <f t="shared" si="10"/>
        <v>*1</v>
      </c>
      <c r="M105" t="str">
        <f t="shared" si="10"/>
        <v>*1</v>
      </c>
      <c r="N105" t="str">
        <f t="shared" si="10"/>
        <v>*1</v>
      </c>
      <c r="O105" t="str">
        <f t="shared" si="10"/>
        <v>*1</v>
      </c>
      <c r="P105" t="str">
        <f t="shared" si="10"/>
        <v>*1</v>
      </c>
      <c r="Q105" t="str">
        <f t="shared" si="10"/>
        <v>*0.666666666666667</v>
      </c>
      <c r="R105" t="str">
        <f t="shared" si="10"/>
        <v>*1</v>
      </c>
      <c r="S105" t="str">
        <f t="shared" si="10"/>
        <v>*1</v>
      </c>
      <c r="T105" t="str">
        <f t="shared" si="10"/>
        <v>*1</v>
      </c>
      <c r="U105" t="str">
        <f t="shared" si="10"/>
        <v>*1</v>
      </c>
      <c r="V105" t="str">
        <f t="shared" si="10"/>
        <v>*1</v>
      </c>
      <c r="W105" t="str">
        <f t="shared" si="10"/>
        <v>*1</v>
      </c>
      <c r="X105" t="str">
        <f t="shared" si="10"/>
        <v>*1</v>
      </c>
      <c r="Y105" t="str">
        <f t="shared" si="10"/>
        <v>*1</v>
      </c>
      <c r="Z105" t="str">
        <f t="shared" si="10"/>
        <v>*1</v>
      </c>
      <c r="AA105" t="str">
        <f t="shared" si="10"/>
        <v>*1</v>
      </c>
      <c r="AB105" t="str">
        <f t="shared" si="10"/>
        <v>*1.00831519600226</v>
      </c>
      <c r="AC105" t="str">
        <f t="shared" si="10"/>
        <v>*1</v>
      </c>
      <c r="AD105" t="str">
        <f t="shared" si="10"/>
        <v>*1</v>
      </c>
      <c r="AE105" t="str">
        <f t="shared" si="11" ref="J105:AS112">AE52</f>
        <v>*1.00831336713657</v>
      </c>
      <c r="AF105" t="str">
        <f t="shared" si="11"/>
        <v>*1</v>
      </c>
      <c r="AG105" t="str">
        <f t="shared" si="11"/>
        <v>*1</v>
      </c>
      <c r="AH105" t="str">
        <f t="shared" si="11"/>
        <v>*1</v>
      </c>
      <c r="AI105" t="str">
        <f t="shared" si="11"/>
        <v>*1</v>
      </c>
      <c r="AJ105" t="str">
        <f t="shared" si="11"/>
        <v>*1</v>
      </c>
      <c r="AK105" t="str">
        <f t="shared" si="11"/>
        <v>*1</v>
      </c>
      <c r="AL105" t="str">
        <f t="shared" si="11"/>
        <v>*1</v>
      </c>
      <c r="AM105" t="str">
        <f t="shared" si="11"/>
        <v>*1</v>
      </c>
      <c r="AN105" t="str">
        <f t="shared" si="11"/>
        <v>*1</v>
      </c>
      <c r="AO105" t="str">
        <f t="shared" si="11"/>
        <v>*1</v>
      </c>
      <c r="AP105" t="str">
        <f t="shared" si="11"/>
        <v>*1</v>
      </c>
      <c r="AQ105" t="str">
        <f t="shared" si="11"/>
        <v>*1.045737981492</v>
      </c>
      <c r="AR105" t="str">
        <f t="shared" si="11"/>
        <v>*1</v>
      </c>
      <c r="AS105" s="49" t="str">
        <f t="shared" si="11"/>
        <v>*1</v>
      </c>
      <c r="AX105">
        <f>'INS-UPD Heat'!AX20</f>
        <v>0.66666666666666696</v>
      </c>
    </row>
    <row r="106" spans="1:50" ht="12.75">
      <c r="A106" t="str">
        <f t="shared" si="7"/>
        <v>C_ES-SH-HR_CO*</v>
      </c>
      <c r="C106" t="s">
        <v>60</v>
      </c>
      <c r="D106" t="str">
        <f t="shared" si="8"/>
        <v>C_ES-SH-HR_CO*</v>
      </c>
      <c r="F106" t="s">
        <v>171</v>
      </c>
      <c r="H106" s="54"/>
      <c r="I106" t="str">
        <f t="shared" si="5"/>
        <v>*0.806322012647686</v>
      </c>
      <c r="J106" t="str">
        <f t="shared" si="11"/>
        <v>*0.957546566204691</v>
      </c>
      <c r="K106" t="str">
        <f t="shared" si="11"/>
        <v>*0.806322012647686</v>
      </c>
      <c r="L106" t="str">
        <f t="shared" si="11"/>
        <v>*0.806322012647686</v>
      </c>
      <c r="M106" t="str">
        <f t="shared" si="11"/>
        <v>*0.804719068299585</v>
      </c>
      <c r="N106" t="str">
        <f t="shared" si="11"/>
        <v>*1</v>
      </c>
      <c r="O106" t="str">
        <f t="shared" si="11"/>
        <v>*0.806322012647686</v>
      </c>
      <c r="P106" t="str">
        <f t="shared" si="11"/>
        <v>*0.872641433460454</v>
      </c>
      <c r="Q106" t="str">
        <f t="shared" si="11"/>
        <v>*0.620099652691077</v>
      </c>
      <c r="R106" t="str">
        <f t="shared" si="11"/>
        <v>*0.806322012647686</v>
      </c>
      <c r="S106" t="str">
        <f t="shared" si="11"/>
        <v>*0.872643446827971</v>
      </c>
      <c r="T106" t="str">
        <f t="shared" si="11"/>
        <v>*0.806322012647686</v>
      </c>
      <c r="U106" t="str">
        <f t="shared" si="11"/>
        <v>*0.830187692790597</v>
      </c>
      <c r="V106" t="str">
        <f t="shared" si="11"/>
        <v>*0.88113082387544</v>
      </c>
      <c r="W106" t="str">
        <f t="shared" si="11"/>
        <v>*0.806322012647686</v>
      </c>
      <c r="X106" t="str">
        <f t="shared" si="11"/>
        <v>*0.889623229961177</v>
      </c>
      <c r="Y106" t="str">
        <f t="shared" si="11"/>
        <v>*0.889620935555759</v>
      </c>
      <c r="Z106" t="str">
        <f t="shared" si="11"/>
        <v>*0.806322012647686</v>
      </c>
      <c r="AA106" t="str">
        <f t="shared" si="11"/>
        <v>*0.806322012647686</v>
      </c>
      <c r="AB106" t="str">
        <f t="shared" si="11"/>
        <v>*0.806322012647686</v>
      </c>
      <c r="AC106" t="str">
        <f t="shared" si="11"/>
        <v>*0.806322012647686</v>
      </c>
      <c r="AD106" t="str">
        <f t="shared" si="11"/>
        <v>*0.87264257545149</v>
      </c>
      <c r="AE106" t="str">
        <f t="shared" si="11"/>
        <v>*0.806322012647686</v>
      </c>
      <c r="AF106" t="str">
        <f t="shared" si="11"/>
        <v>*0.906603887155439</v>
      </c>
      <c r="AG106" t="str">
        <f t="shared" si="11"/>
        <v>*0.806322012647686</v>
      </c>
      <c r="AH106" t="str">
        <f t="shared" si="11"/>
        <v>*0.806322012647686</v>
      </c>
      <c r="AI106" t="str">
        <f t="shared" si="11"/>
        <v>*0.806322012647686</v>
      </c>
      <c r="AJ106" t="str">
        <f t="shared" si="11"/>
        <v>*0.983019632318116</v>
      </c>
      <c r="AK106" t="str">
        <f t="shared" si="11"/>
        <v>*0.806322012647686</v>
      </c>
      <c r="AL106" t="str">
        <f t="shared" si="11"/>
        <v>*0.906604351626599</v>
      </c>
      <c r="AM106" t="str">
        <f t="shared" si="11"/>
        <v>*0.806322012647686</v>
      </c>
      <c r="AN106" t="str">
        <f t="shared" si="11"/>
        <v>*0.89386762861896</v>
      </c>
      <c r="AO106" t="str">
        <f t="shared" si="11"/>
        <v>*0.806322012647686</v>
      </c>
      <c r="AP106" t="str">
        <f t="shared" si="11"/>
        <v>*0.806322012647686</v>
      </c>
      <c r="AQ106" t="str">
        <f t="shared" si="11"/>
        <v>*0.806322012647686</v>
      </c>
      <c r="AR106" t="str">
        <f t="shared" si="11"/>
        <v>*0.889622985856844</v>
      </c>
      <c r="AS106" s="49" t="str">
        <f t="shared" si="11"/>
        <v>*0.915091066360072</v>
      </c>
      <c r="AX106">
        <f>'INS-UPD Heat'!AX21</f>
        <v>0.59377429313906205</v>
      </c>
    </row>
    <row r="107" spans="1:50" ht="12.75">
      <c r="A107" t="str">
        <f t="shared" si="7"/>
        <v>C_ES-SH-SR_BI*</v>
      </c>
      <c r="C107" t="s">
        <v>60</v>
      </c>
      <c r="D107" t="str">
        <f t="shared" si="8"/>
        <v>C_ES-SH-SR_BI*</v>
      </c>
      <c r="F107" t="s">
        <v>172</v>
      </c>
      <c r="H107" s="54"/>
      <c r="I107" t="str">
        <f t="shared" si="5"/>
        <v>*1</v>
      </c>
      <c r="J107" t="str">
        <f t="shared" si="11"/>
        <v>*1.13273935601115</v>
      </c>
      <c r="K107" t="str">
        <f t="shared" si="11"/>
        <v>*1</v>
      </c>
      <c r="L107" t="str">
        <f t="shared" si="11"/>
        <v>*1.16287202779621</v>
      </c>
      <c r="M107" t="str">
        <f t="shared" si="11"/>
        <v>*0.951947404871184</v>
      </c>
      <c r="N107" t="str">
        <f t="shared" si="11"/>
        <v>*1</v>
      </c>
      <c r="O107" t="str">
        <f t="shared" si="11"/>
        <v>*0.891684624593808</v>
      </c>
      <c r="P107" t="str">
        <f t="shared" si="11"/>
        <v>*1.03230037990426</v>
      </c>
      <c r="Q107" t="str">
        <f t="shared" si="11"/>
        <v>*0.5</v>
      </c>
      <c r="R107" t="str">
        <f t="shared" si="11"/>
        <v>*1.0825169264074</v>
      </c>
      <c r="S107" t="str">
        <f t="shared" si="11"/>
        <v>*1.03229644898342</v>
      </c>
      <c r="T107" t="str">
        <f t="shared" si="11"/>
        <v>*1</v>
      </c>
      <c r="U107" t="str">
        <f t="shared" si="11"/>
        <v>*0.982080090991512</v>
      </c>
      <c r="V107" t="str">
        <f t="shared" si="11"/>
        <v>*1.0423429136333</v>
      </c>
      <c r="W107" t="str">
        <f t="shared" si="11"/>
        <v>*1.08252106666226</v>
      </c>
      <c r="X107" t="str">
        <f t="shared" si="11"/>
        <v>*1.05238453545451</v>
      </c>
      <c r="Y107" t="str">
        <f t="shared" si="11"/>
        <v>*1.05238966451752</v>
      </c>
      <c r="Z107" t="str">
        <f t="shared" si="11"/>
        <v>*1.1026073590249</v>
      </c>
      <c r="AA107" t="str">
        <f t="shared" si="11"/>
        <v>*1.0825169264074</v>
      </c>
      <c r="AB107" t="str">
        <f t="shared" si="11"/>
        <v>*1</v>
      </c>
      <c r="AC107" t="str">
        <f t="shared" si="11"/>
        <v>*1</v>
      </c>
      <c r="AD107" t="str">
        <f t="shared" si="11"/>
        <v>*1.03230017588431</v>
      </c>
      <c r="AE107" t="str">
        <f t="shared" si="11"/>
        <v>*1</v>
      </c>
      <c r="AF107" t="str">
        <f t="shared" si="11"/>
        <v>*1.07247594152106</v>
      </c>
      <c r="AG107" t="str">
        <f t="shared" si="11"/>
        <v>*1</v>
      </c>
      <c r="AH107" t="str">
        <f t="shared" si="11"/>
        <v>*1</v>
      </c>
      <c r="AI107" t="str">
        <f t="shared" si="11"/>
        <v>*1</v>
      </c>
      <c r="AJ107" t="str">
        <f t="shared" si="11"/>
        <v>*1.16287284644911</v>
      </c>
      <c r="AK107" t="str">
        <f t="shared" si="11"/>
        <v>*1.0825169264074</v>
      </c>
      <c r="AL107" t="str">
        <f t="shared" si="11"/>
        <v>*1.07247406151033</v>
      </c>
      <c r="AM107" t="str">
        <f t="shared" si="11"/>
        <v>*1</v>
      </c>
      <c r="AN107" t="str">
        <f t="shared" si="11"/>
        <v>*1</v>
      </c>
      <c r="AO107" t="str">
        <f t="shared" si="11"/>
        <v>*1</v>
      </c>
      <c r="AP107" t="str">
        <f t="shared" si="11"/>
        <v>*1.03229798151806</v>
      </c>
      <c r="AQ107" t="str">
        <f t="shared" si="11"/>
        <v>*1</v>
      </c>
      <c r="AR107" t="str">
        <f t="shared" si="11"/>
        <v>*1.05238916181003</v>
      </c>
      <c r="AS107" s="49" t="str">
        <f t="shared" si="11"/>
        <v>*1.08252104532776</v>
      </c>
      <c r="AX107">
        <f>'INS-UPD Heat'!AX22</f>
        <v>0.56636967800557603</v>
      </c>
    </row>
    <row r="108" spans="1:50" ht="12.75">
      <c r="A108" t="str">
        <f t="shared" si="7"/>
        <v>C_ES-SH-SR_HE*</v>
      </c>
      <c r="C108" t="s">
        <v>60</v>
      </c>
      <c r="D108" t="str">
        <f t="shared" si="8"/>
        <v>C_ES-SH-SR_HE*</v>
      </c>
      <c r="F108" t="s">
        <v>172</v>
      </c>
      <c r="H108" s="54"/>
      <c r="I108" t="str">
        <f t="shared" si="5"/>
        <v>*0.880504783355962</v>
      </c>
      <c r="J108" t="str">
        <f t="shared" si="11"/>
        <v>*0.957548618872751</v>
      </c>
      <c r="K108" t="str">
        <f t="shared" si="11"/>
        <v>*0.880504783355962</v>
      </c>
      <c r="L108" t="str">
        <f t="shared" si="11"/>
        <v>*0.983020646759874</v>
      </c>
      <c r="M108" t="str">
        <f t="shared" si="11"/>
        <v>*0.804718937699145</v>
      </c>
      <c r="N108" t="str">
        <f t="shared" si="11"/>
        <v>*1</v>
      </c>
      <c r="O108" t="str">
        <f t="shared" si="11"/>
        <v>*0.880504783355962</v>
      </c>
      <c r="P108" t="str">
        <f t="shared" si="11"/>
        <v>*0.872644275983274</v>
      </c>
      <c r="Q108" t="str">
        <f t="shared" si="11"/>
        <v>*0.908569737634899</v>
      </c>
      <c r="R108" t="str">
        <f t="shared" si="11"/>
        <v>*0.915095212233637</v>
      </c>
      <c r="S108" t="str">
        <f t="shared" si="11"/>
        <v>*0.872642655737943</v>
      </c>
      <c r="T108" t="str">
        <f t="shared" si="11"/>
        <v>*0.880504783355962</v>
      </c>
      <c r="U108" t="str">
        <f t="shared" si="11"/>
        <v>*0.880504783355962</v>
      </c>
      <c r="V108" t="str">
        <f t="shared" si="11"/>
        <v>*0.881131477151944</v>
      </c>
      <c r="W108" t="str">
        <f t="shared" si="11"/>
        <v>*0.915093124359608</v>
      </c>
      <c r="X108" t="str">
        <f t="shared" si="11"/>
        <v>*0.889625250941913</v>
      </c>
      <c r="Y108" t="str">
        <f t="shared" si="11"/>
        <v>*0.889623372740061</v>
      </c>
      <c r="Z108" t="str">
        <f t="shared" si="11"/>
        <v>*0.880504783355962</v>
      </c>
      <c r="AA108" t="str">
        <f t="shared" si="11"/>
        <v>*0.915095212233637</v>
      </c>
      <c r="AB108" t="str">
        <f t="shared" si="11"/>
        <v>*0.915095341838966</v>
      </c>
      <c r="AC108" t="str">
        <f t="shared" si="11"/>
        <v>*0.880504783355962</v>
      </c>
      <c r="AD108" t="str">
        <f t="shared" si="11"/>
        <v>*0.872640325737902</v>
      </c>
      <c r="AE108" t="str">
        <f t="shared" si="11"/>
        <v>*0.915097225102635</v>
      </c>
      <c r="AF108" t="str">
        <f t="shared" si="11"/>
        <v>*0.906602703277204</v>
      </c>
      <c r="AG108" t="str">
        <f t="shared" si="11"/>
        <v>*0.880504783355962</v>
      </c>
      <c r="AH108" t="str">
        <f t="shared" si="11"/>
        <v>*0.880504783355962</v>
      </c>
      <c r="AI108" t="str">
        <f t="shared" si="11"/>
        <v>*0.880504783355962</v>
      </c>
      <c r="AJ108" t="str">
        <f t="shared" si="11"/>
        <v>*0.983021041372418</v>
      </c>
      <c r="AK108" t="str">
        <f t="shared" si="11"/>
        <v>*0.915095212233637</v>
      </c>
      <c r="AL108" t="str">
        <f t="shared" si="11"/>
        <v>*0.906604639952111</v>
      </c>
      <c r="AM108" t="str">
        <f t="shared" si="11"/>
        <v>*0.855664327496265</v>
      </c>
      <c r="AN108" t="str">
        <f t="shared" si="11"/>
        <v>*0.89386936286641</v>
      </c>
      <c r="AO108" t="str">
        <f t="shared" si="11"/>
        <v>*0.880504783355962</v>
      </c>
      <c r="AP108" t="str">
        <f t="shared" si="11"/>
        <v>*0.872640441278991</v>
      </c>
      <c r="AQ108" t="str">
        <f t="shared" si="11"/>
        <v>*0.949060077873277</v>
      </c>
      <c r="AR108" t="str">
        <f t="shared" si="11"/>
        <v>*0.889625648915354</v>
      </c>
      <c r="AS108" s="49" t="str">
        <f t="shared" si="11"/>
        <v>*0.915096287669067</v>
      </c>
      <c r="AX108">
        <f>'INS-UPD Heat'!AX23</f>
        <v>0.869999697421875</v>
      </c>
    </row>
    <row r="109" spans="1:50" ht="12.75">
      <c r="A109" t="str">
        <f t="shared" si="7"/>
        <v>C_ES-SH-SR_EL*</v>
      </c>
      <c r="C109" t="s">
        <v>60</v>
      </c>
      <c r="D109" t="str">
        <f t="shared" si="8"/>
        <v>C_ES-SH-SR_EL*</v>
      </c>
      <c r="F109" t="s">
        <v>172</v>
      </c>
      <c r="H109" s="54"/>
      <c r="I109" t="str">
        <f t="shared" si="5"/>
        <v>*0.814695640040816</v>
      </c>
      <c r="J109" t="str">
        <f t="shared" si="11"/>
        <v>*0.866863618757606</v>
      </c>
      <c r="K109" t="str">
        <f t="shared" si="11"/>
        <v>*0.814695640040816</v>
      </c>
      <c r="L109" t="str">
        <f t="shared" si="11"/>
        <v>*0.829770066565543</v>
      </c>
      <c r="M109" t="str">
        <f t="shared" si="11"/>
        <v>*0.670139292549879</v>
      </c>
      <c r="N109" t="str">
        <f t="shared" si="11"/>
        <v>*1</v>
      </c>
      <c r="O109" t="str">
        <f t="shared" si="11"/>
        <v>*0.806570689531818</v>
      </c>
      <c r="P109" t="str">
        <f t="shared" si="11"/>
        <v>*0.783236858692403</v>
      </c>
      <c r="Q109" t="str">
        <f t="shared" si="11"/>
        <v>*1.16338718199139</v>
      </c>
      <c r="R109" t="str">
        <f t="shared" si="11"/>
        <v>*0.964160419172593</v>
      </c>
      <c r="S109" t="str">
        <f t="shared" si="11"/>
        <v>*0.707243659269144</v>
      </c>
      <c r="T109" t="str">
        <f t="shared" si="11"/>
        <v>*0.814695640040816</v>
      </c>
      <c r="U109" t="str">
        <f t="shared" si="11"/>
        <v>*0.880205881297254</v>
      </c>
      <c r="V109" t="str">
        <f t="shared" si="11"/>
        <v>*0.915248470397476</v>
      </c>
      <c r="W109" t="str">
        <f t="shared" si="11"/>
        <v>*0.982636396644647</v>
      </c>
      <c r="X109" t="str">
        <f t="shared" si="11"/>
        <v>*0.731393580117313</v>
      </c>
      <c r="Y109" t="str">
        <f t="shared" si="11"/>
        <v>*0.847123481616257</v>
      </c>
      <c r="Z109" t="str">
        <f t="shared" si="11"/>
        <v>*0.856585176139782</v>
      </c>
      <c r="AA109" t="str">
        <f t="shared" si="11"/>
        <v>*0.964160419172593</v>
      </c>
      <c r="AB109" t="str">
        <f t="shared" si="11"/>
        <v>*0.975703024004163</v>
      </c>
      <c r="AC109" t="str">
        <f t="shared" si="11"/>
        <v>*0.814695640040816</v>
      </c>
      <c r="AD109" t="str">
        <f t="shared" si="11"/>
        <v>*0.801302174406614</v>
      </c>
      <c r="AE109" t="str">
        <f t="shared" si="11"/>
        <v>*1.04929722822849</v>
      </c>
      <c r="AF109" t="str">
        <f t="shared" si="11"/>
        <v>*0.802607320234305</v>
      </c>
      <c r="AG109" t="str">
        <f t="shared" si="11"/>
        <v>*0.814695640040816</v>
      </c>
      <c r="AH109" t="str">
        <f t="shared" si="11"/>
        <v>*0.814695640040816</v>
      </c>
      <c r="AI109" t="str">
        <f t="shared" si="11"/>
        <v>*0.662075744685471</v>
      </c>
      <c r="AJ109" t="str">
        <f t="shared" si="11"/>
        <v>*1.09991267506868</v>
      </c>
      <c r="AK109" t="str">
        <f t="shared" si="11"/>
        <v>*0.964160419172593</v>
      </c>
      <c r="AL109" t="str">
        <f t="shared" si="11"/>
        <v>*0.973806550892689</v>
      </c>
      <c r="AM109" t="str">
        <f t="shared" si="11"/>
        <v>*0.840908698492736</v>
      </c>
      <c r="AN109" t="str">
        <f t="shared" si="11"/>
        <v>*0.752940453106604</v>
      </c>
      <c r="AO109" t="str">
        <f t="shared" si="11"/>
        <v>*0.814695640040816</v>
      </c>
      <c r="AP109" t="str">
        <f t="shared" si="11"/>
        <v>*0.885880097942198</v>
      </c>
      <c r="AQ109" t="str">
        <f t="shared" si="11"/>
        <v>*0.839394722196866</v>
      </c>
      <c r="AR109" t="str">
        <f t="shared" si="11"/>
        <v>*0.812611601321336</v>
      </c>
      <c r="AS109" s="49" t="str">
        <f t="shared" si="11"/>
        <v>*1.05673460932283</v>
      </c>
      <c r="AX109">
        <f>'INS-UPD Heat'!AX24</f>
        <v>1.0084980225972699</v>
      </c>
    </row>
    <row r="110" spans="1:50" ht="12.75">
      <c r="A110" t="str">
        <f t="shared" si="7"/>
        <v>C_ES-SH-SR_GA*</v>
      </c>
      <c r="C110" t="s">
        <v>60</v>
      </c>
      <c r="D110" t="str">
        <f t="shared" si="8"/>
        <v>C_ES-SH-SR_GA*</v>
      </c>
      <c r="F110" t="s">
        <v>172</v>
      </c>
      <c r="H110" s="54"/>
      <c r="I110" t="str">
        <f t="shared" si="5"/>
        <v>*0.751789844164435</v>
      </c>
      <c r="J110" t="str">
        <f t="shared" si="11"/>
        <v>*0.958971368982325</v>
      </c>
      <c r="K110" t="str">
        <f t="shared" si="11"/>
        <v>*0.751789844164435</v>
      </c>
      <c r="L110" t="str">
        <f t="shared" si="11"/>
        <v>*0.98247021598169</v>
      </c>
      <c r="M110" t="str">
        <f t="shared" si="11"/>
        <v>*0.801022925677764</v>
      </c>
      <c r="N110" t="str">
        <f t="shared" si="11"/>
        <v>*1</v>
      </c>
      <c r="O110" t="str">
        <f t="shared" si="11"/>
        <v>*0.750312177594846</v>
      </c>
      <c r="P110" t="str">
        <f t="shared" si="11"/>
        <v>*0.870852828625521</v>
      </c>
      <c r="Q110" t="str">
        <f t="shared" si="11"/>
        <v>*0.766721004074585</v>
      </c>
      <c r="R110" t="str">
        <f t="shared" si="11"/>
        <v>*0.916481590266539</v>
      </c>
      <c r="S110" t="str">
        <f t="shared" si="11"/>
        <v>*0.868634629976933</v>
      </c>
      <c r="T110" t="str">
        <f t="shared" si="11"/>
        <v>*0.751789844164435</v>
      </c>
      <c r="U110" t="str">
        <f t="shared" si="11"/>
        <v>*0.831402561906822</v>
      </c>
      <c r="V110" t="str">
        <f t="shared" si="11"/>
        <v>*0.877090057188528</v>
      </c>
      <c r="W110" t="str">
        <f t="shared" si="11"/>
        <v>*0.913903595895035</v>
      </c>
      <c r="X110" t="str">
        <f t="shared" si="11"/>
        <v>*0.887582361489164</v>
      </c>
      <c r="Y110" t="str">
        <f t="shared" si="11"/>
        <v>*0.88826694111973</v>
      </c>
      <c r="Z110" t="str">
        <f t="shared" si="11"/>
        <v>*0.932017066676991</v>
      </c>
      <c r="AA110" t="str">
        <f t="shared" si="11"/>
        <v>*0.916481590266539</v>
      </c>
      <c r="AB110" t="str">
        <f t="shared" si="11"/>
        <v>*0.912611573794044</v>
      </c>
      <c r="AC110" t="str">
        <f t="shared" si="11"/>
        <v>*0.751789844164435</v>
      </c>
      <c r="AD110" t="str">
        <f t="shared" si="11"/>
        <v>*0.868636514902445</v>
      </c>
      <c r="AE110" t="str">
        <f t="shared" si="11"/>
        <v>*0.916280573443744</v>
      </c>
      <c r="AF110" t="str">
        <f t="shared" si="11"/>
        <v>*0.902440555603779</v>
      </c>
      <c r="AG110" t="str">
        <f t="shared" si="11"/>
        <v>*0.751789844164435</v>
      </c>
      <c r="AH110" t="str">
        <f t="shared" si="11"/>
        <v>*0.751789844164435</v>
      </c>
      <c r="AI110" t="str">
        <f t="shared" si="11"/>
        <v>*0.782553232285825</v>
      </c>
      <c r="AJ110" t="str">
        <f t="shared" si="11"/>
        <v>*0.983432278118349</v>
      </c>
      <c r="AK110" t="str">
        <f t="shared" si="11"/>
        <v>*0.916481590266539</v>
      </c>
      <c r="AL110" t="str">
        <f t="shared" si="11"/>
        <v>*0.907097458133649</v>
      </c>
      <c r="AM110" t="str">
        <f t="shared" si="11"/>
        <v>*0.858910478986323</v>
      </c>
      <c r="AN110" t="str">
        <f t="shared" si="11"/>
        <v>*0.890676709498201</v>
      </c>
      <c r="AO110" t="str">
        <f t="shared" si="11"/>
        <v>*0.751789844164435</v>
      </c>
      <c r="AP110" t="str">
        <f t="shared" si="11"/>
        <v>*0.868634823876442</v>
      </c>
      <c r="AQ110" t="str">
        <f t="shared" si="11"/>
        <v>*0.944703220399034</v>
      </c>
      <c r="AR110" t="str">
        <f t="shared" si="11"/>
        <v>*0.887897908847503</v>
      </c>
      <c r="AS110" s="49" t="str">
        <f t="shared" si="11"/>
        <v>*0.915420971135312</v>
      </c>
      <c r="AX110">
        <f>'INS-UPD Heat'!AX25</f>
        <v>0.73526349090490795</v>
      </c>
    </row>
    <row r="111" spans="1:50" ht="12.75">
      <c r="A111" t="str">
        <f t="shared" si="7"/>
        <v>C_ES-SH-SR_OI*</v>
      </c>
      <c r="C111" t="s">
        <v>60</v>
      </c>
      <c r="D111" t="str">
        <f t="shared" si="8"/>
        <v>C_ES-SH-SR_OI*</v>
      </c>
      <c r="F111" t="s">
        <v>172</v>
      </c>
      <c r="H111" s="54"/>
      <c r="I111" t="str">
        <f t="shared" si="5"/>
        <v>*0.753773411000091</v>
      </c>
      <c r="J111" t="str">
        <f t="shared" si="11"/>
        <v>*0.957544163772634</v>
      </c>
      <c r="K111" t="str">
        <f t="shared" si="11"/>
        <v>*0.753773411000091</v>
      </c>
      <c r="L111" t="str">
        <f t="shared" si="11"/>
        <v>*0.983016992017122</v>
      </c>
      <c r="M111" t="str">
        <f t="shared" si="11"/>
        <v>*0.804716585177828</v>
      </c>
      <c r="N111" t="str">
        <f t="shared" si="11"/>
        <v>*1</v>
      </c>
      <c r="O111" t="str">
        <f t="shared" si="11"/>
        <v>*0.753771965014407</v>
      </c>
      <c r="P111" t="str">
        <f t="shared" si="11"/>
        <v>*0.872640058113471</v>
      </c>
      <c r="Q111" t="str">
        <f t="shared" si="11"/>
        <v>*0.715500925014401</v>
      </c>
      <c r="R111" t="str">
        <f t="shared" si="11"/>
        <v>*0.915094452005067</v>
      </c>
      <c r="S111" t="str">
        <f t="shared" si="11"/>
        <v>*0.872638584269094</v>
      </c>
      <c r="T111" t="str">
        <f t="shared" si="11"/>
        <v>*0.753773411000091</v>
      </c>
      <c r="U111" t="str">
        <f t="shared" si="11"/>
        <v>*0.830188634260304</v>
      </c>
      <c r="V111" t="str">
        <f t="shared" si="11"/>
        <v>*0.881132627863442</v>
      </c>
      <c r="W111" t="str">
        <f t="shared" si="11"/>
        <v>*0.915094198262907</v>
      </c>
      <c r="X111" t="str">
        <f t="shared" si="11"/>
        <v>*0.889621616188381</v>
      </c>
      <c r="Y111" t="str">
        <f t="shared" si="11"/>
        <v>*0.768692227740908</v>
      </c>
      <c r="Z111" t="str">
        <f t="shared" si="11"/>
        <v>*0.932072829532384</v>
      </c>
      <c r="AA111" t="str">
        <f t="shared" si="11"/>
        <v>*0.915094452005067</v>
      </c>
      <c r="AB111" t="str">
        <f t="shared" si="11"/>
        <v>*0.915090313213233</v>
      </c>
      <c r="AC111" t="str">
        <f t="shared" si="11"/>
        <v>*0.753773411000091</v>
      </c>
      <c r="AD111" t="str">
        <f t="shared" si="11"/>
        <v>*0.872642317322356</v>
      </c>
      <c r="AE111" t="str">
        <f t="shared" si="11"/>
        <v>*0.915091850300005</v>
      </c>
      <c r="AF111" t="str">
        <f t="shared" si="11"/>
        <v>*0.906603397591183</v>
      </c>
      <c r="AG111" t="str">
        <f t="shared" si="11"/>
        <v>*0.753773411000091</v>
      </c>
      <c r="AH111" t="str">
        <f t="shared" si="11"/>
        <v>*0.753773411000091</v>
      </c>
      <c r="AI111" t="str">
        <f t="shared" si="11"/>
        <v>*0.768692227740908</v>
      </c>
      <c r="AJ111" t="str">
        <f t="shared" si="11"/>
        <v>*0.983020136421328</v>
      </c>
      <c r="AK111" t="str">
        <f t="shared" si="11"/>
        <v>*0.915094452005067</v>
      </c>
      <c r="AL111" t="str">
        <f t="shared" si="11"/>
        <v>*0.906603703265176</v>
      </c>
      <c r="AM111" t="str">
        <f t="shared" si="11"/>
        <v>*0.855661126516543</v>
      </c>
      <c r="AN111" t="str">
        <f t="shared" si="11"/>
        <v>*0.893867563595842</v>
      </c>
      <c r="AO111" t="str">
        <f t="shared" si="11"/>
        <v>*0.753773411000091</v>
      </c>
      <c r="AP111" t="str">
        <f t="shared" si="11"/>
        <v>*0.872639506876678</v>
      </c>
      <c r="AQ111" t="str">
        <f t="shared" si="11"/>
        <v>*0.94905683960654</v>
      </c>
      <c r="AR111" t="str">
        <f t="shared" si="11"/>
        <v>*0.889623028548323</v>
      </c>
      <c r="AS111" s="49" t="str">
        <f t="shared" si="11"/>
        <v>*0.915091716306065</v>
      </c>
      <c r="AX111">
        <f>'INS-UPD Heat'!AX26</f>
        <v>0.68512373492146095</v>
      </c>
    </row>
    <row r="112" spans="1:50" ht="12.75">
      <c r="A112" t="str">
        <f t="shared" si="7"/>
        <v>C_ES-SH-SR_GE*</v>
      </c>
      <c r="C112" t="s">
        <v>60</v>
      </c>
      <c r="D112" t="str">
        <f t="shared" si="8"/>
        <v>C_ES-SH-SR_GE*</v>
      </c>
      <c r="F112" t="s">
        <v>172</v>
      </c>
      <c r="H112" s="54"/>
      <c r="I112" t="str">
        <f t="shared" si="5"/>
        <v>*1</v>
      </c>
      <c r="J112" t="str">
        <f t="shared" si="11"/>
        <v>*1.18071512418715</v>
      </c>
      <c r="K112" t="str">
        <f t="shared" si="11"/>
        <v>*1</v>
      </c>
      <c r="L112" t="str">
        <f t="shared" si="11"/>
        <v>*1</v>
      </c>
      <c r="M112" t="str">
        <f t="shared" si="11"/>
        <v>*0.992265584693816</v>
      </c>
      <c r="N112" t="str">
        <f t="shared" si="11"/>
        <v>*1</v>
      </c>
      <c r="O112" t="str">
        <f t="shared" si="11"/>
        <v>*1</v>
      </c>
      <c r="P112" t="str">
        <f t="shared" si="11"/>
        <v>*1</v>
      </c>
      <c r="Q112" t="str">
        <f t="shared" si="11"/>
        <v>*0.7</v>
      </c>
      <c r="R112" t="str">
        <f t="shared" si="11"/>
        <v>*1</v>
      </c>
      <c r="S112" t="str">
        <f t="shared" si="11"/>
        <v>*1</v>
      </c>
      <c r="T112" t="str">
        <f t="shared" si="11"/>
        <v>*1</v>
      </c>
      <c r="U112" t="str">
        <f t="shared" si="11"/>
        <v>*1.02367221742178</v>
      </c>
      <c r="V112" t="str">
        <f t="shared" si="11"/>
        <v>*1</v>
      </c>
      <c r="W112" t="str">
        <f t="shared" si="11"/>
        <v>*1.12836642882944</v>
      </c>
      <c r="X112" t="str">
        <f t="shared" si="11"/>
        <v>*1.09695901278096</v>
      </c>
      <c r="Y112" t="str">
        <f t="shared" si="11"/>
        <v>*1.09695874032411</v>
      </c>
      <c r="Z112" t="str">
        <f t="shared" si="11"/>
        <v>*1</v>
      </c>
      <c r="AA112" t="str">
        <f t="shared" si="11"/>
        <v>*1</v>
      </c>
      <c r="AB112" t="str">
        <f t="shared" si="11"/>
        <v>*1.12836780488483</v>
      </c>
      <c r="AC112" t="str">
        <f t="shared" si="11"/>
        <v>*1</v>
      </c>
      <c r="AD112" t="str">
        <f t="shared" si="11"/>
        <v>*1</v>
      </c>
      <c r="AE112" t="str">
        <f t="shared" si="11"/>
        <v>*1</v>
      </c>
      <c r="AF112" t="str">
        <f t="shared" si="11"/>
        <v>*1</v>
      </c>
      <c r="AG112" t="str">
        <f t="shared" si="11"/>
        <v>*1</v>
      </c>
      <c r="AH112" t="str">
        <f t="shared" si="12" ref="J112:AS119">AH59</f>
        <v>*1</v>
      </c>
      <c r="AI112" t="str">
        <f t="shared" si="12"/>
        <v>*1</v>
      </c>
      <c r="AJ112" t="str">
        <f t="shared" si="12"/>
        <v>*1</v>
      </c>
      <c r="AK112" t="str">
        <f t="shared" si="12"/>
        <v>*1</v>
      </c>
      <c r="AL112" t="str">
        <f t="shared" si="12"/>
        <v>*1.11789847320821</v>
      </c>
      <c r="AM112" t="str">
        <f t="shared" si="12"/>
        <v>*1.05508137432188</v>
      </c>
      <c r="AN112" t="str">
        <f t="shared" si="12"/>
        <v>*1.10219424337653</v>
      </c>
      <c r="AO112" t="str">
        <f t="shared" si="12"/>
        <v>*1</v>
      </c>
      <c r="AP112" t="str">
        <f t="shared" si="12"/>
        <v>*1</v>
      </c>
      <c r="AQ112" t="str">
        <f t="shared" si="12"/>
        <v>*1.17024478027022</v>
      </c>
      <c r="AR112" t="str">
        <f t="shared" si="12"/>
        <v>*1.0969585751785</v>
      </c>
      <c r="AS112" s="49" t="str">
        <f t="shared" si="12"/>
        <v>*1.12836656997825</v>
      </c>
      <c r="AX112">
        <f>'INS-UPD Heat'!AX27</f>
        <v>0.82650058693100303</v>
      </c>
    </row>
    <row r="113" spans="1:50" ht="12.75">
      <c r="A113" t="str">
        <f t="shared" si="7"/>
        <v>C_ES-SH-SR_LP*</v>
      </c>
      <c r="C113" t="s">
        <v>60</v>
      </c>
      <c r="D113" t="str">
        <f t="shared" si="8"/>
        <v>C_ES-SH-SR_LP*</v>
      </c>
      <c r="F113" t="s">
        <v>172</v>
      </c>
      <c r="H113" s="54"/>
      <c r="I113" t="str">
        <f t="shared" si="5"/>
        <v>*1</v>
      </c>
      <c r="J113" t="str">
        <f t="shared" si="12"/>
        <v>*1</v>
      </c>
      <c r="K113" t="str">
        <f t="shared" si="12"/>
        <v>*1</v>
      </c>
      <c r="L113" t="str">
        <f t="shared" si="12"/>
        <v>*1</v>
      </c>
      <c r="M113" t="str">
        <f t="shared" si="12"/>
        <v>*1</v>
      </c>
      <c r="N113" t="str">
        <f t="shared" si="12"/>
        <v>*1</v>
      </c>
      <c r="O113" t="str">
        <f t="shared" si="12"/>
        <v>*1</v>
      </c>
      <c r="P113" t="str">
        <f t="shared" si="12"/>
        <v>*1</v>
      </c>
      <c r="Q113" t="str">
        <f t="shared" si="12"/>
        <v>*0.666666666666667</v>
      </c>
      <c r="R113" t="str">
        <f t="shared" si="12"/>
        <v>*1</v>
      </c>
      <c r="S113" t="str">
        <f t="shared" si="12"/>
        <v>*1</v>
      </c>
      <c r="T113" t="str">
        <f t="shared" si="12"/>
        <v>*1</v>
      </c>
      <c r="U113" t="str">
        <f t="shared" si="12"/>
        <v>*1</v>
      </c>
      <c r="V113" t="str">
        <f t="shared" si="12"/>
        <v>*1</v>
      </c>
      <c r="W113" t="str">
        <f t="shared" si="12"/>
        <v>*1</v>
      </c>
      <c r="X113" t="str">
        <f t="shared" si="12"/>
        <v>*1</v>
      </c>
      <c r="Y113" t="str">
        <f t="shared" si="12"/>
        <v>*1</v>
      </c>
      <c r="Z113" t="str">
        <f t="shared" si="12"/>
        <v>*1</v>
      </c>
      <c r="AA113" t="str">
        <f t="shared" si="12"/>
        <v>*1</v>
      </c>
      <c r="AB113" t="str">
        <f t="shared" si="12"/>
        <v>*1.00831519600226</v>
      </c>
      <c r="AC113" t="str">
        <f t="shared" si="12"/>
        <v>*1</v>
      </c>
      <c r="AD113" t="str">
        <f t="shared" si="12"/>
        <v>*1</v>
      </c>
      <c r="AE113" t="str">
        <f t="shared" si="12"/>
        <v>*1.00831336713657</v>
      </c>
      <c r="AF113" t="str">
        <f t="shared" si="12"/>
        <v>*1</v>
      </c>
      <c r="AG113" t="str">
        <f t="shared" si="12"/>
        <v>*1</v>
      </c>
      <c r="AH113" t="str">
        <f t="shared" si="12"/>
        <v>*1</v>
      </c>
      <c r="AI113" t="str">
        <f t="shared" si="12"/>
        <v>*1</v>
      </c>
      <c r="AJ113" t="str">
        <f t="shared" si="12"/>
        <v>*1</v>
      </c>
      <c r="AK113" t="str">
        <f t="shared" si="12"/>
        <v>*1</v>
      </c>
      <c r="AL113" t="str">
        <f t="shared" si="12"/>
        <v>*1</v>
      </c>
      <c r="AM113" t="str">
        <f t="shared" si="12"/>
        <v>*1</v>
      </c>
      <c r="AN113" t="str">
        <f t="shared" si="12"/>
        <v>*1</v>
      </c>
      <c r="AO113" t="str">
        <f t="shared" si="12"/>
        <v>*1</v>
      </c>
      <c r="AP113" t="str">
        <f t="shared" si="12"/>
        <v>*1</v>
      </c>
      <c r="AQ113" t="str">
        <f t="shared" si="12"/>
        <v>*1.045737981492</v>
      </c>
      <c r="AR113" t="str">
        <f t="shared" si="12"/>
        <v>*1</v>
      </c>
      <c r="AS113" s="49" t="str">
        <f t="shared" si="12"/>
        <v>*1</v>
      </c>
      <c r="AX113">
        <f>'INS-UPD Heat'!AX28</f>
        <v>0.66666666666666696</v>
      </c>
    </row>
    <row r="114" spans="1:50" ht="12.75">
      <c r="A114" t="str">
        <f t="shared" si="7"/>
        <v>C_ES-SH-SR_CO*</v>
      </c>
      <c r="C114" t="s">
        <v>60</v>
      </c>
      <c r="D114" t="str">
        <f t="shared" si="8"/>
        <v>C_ES-SH-SR_CO*</v>
      </c>
      <c r="F114" t="s">
        <v>172</v>
      </c>
      <c r="H114" s="54"/>
      <c r="I114" t="str">
        <f t="shared" si="5"/>
        <v>*0.806322012647686</v>
      </c>
      <c r="J114" t="str">
        <f t="shared" si="12"/>
        <v>*0.957546566204691</v>
      </c>
      <c r="K114" t="str">
        <f t="shared" si="12"/>
        <v>*0.806322012647686</v>
      </c>
      <c r="L114" t="str">
        <f t="shared" si="12"/>
        <v>*0.806322012647686</v>
      </c>
      <c r="M114" t="str">
        <f t="shared" si="12"/>
        <v>*0.804719068299585</v>
      </c>
      <c r="N114" t="str">
        <f t="shared" si="12"/>
        <v>*1</v>
      </c>
      <c r="O114" t="str">
        <f t="shared" si="12"/>
        <v>*0.806322012647686</v>
      </c>
      <c r="P114" t="str">
        <f t="shared" si="12"/>
        <v>*0.872641433460454</v>
      </c>
      <c r="Q114" t="str">
        <f t="shared" si="12"/>
        <v>*0.620099652691077</v>
      </c>
      <c r="R114" t="str">
        <f t="shared" si="12"/>
        <v>*0.806322012647686</v>
      </c>
      <c r="S114" t="str">
        <f t="shared" si="12"/>
        <v>*0.872643446827971</v>
      </c>
      <c r="T114" t="str">
        <f t="shared" si="12"/>
        <v>*0.806322012647686</v>
      </c>
      <c r="U114" t="str">
        <f t="shared" si="12"/>
        <v>*0.830187692790597</v>
      </c>
      <c r="V114" t="str">
        <f t="shared" si="12"/>
        <v>*0.88113082387544</v>
      </c>
      <c r="W114" t="str">
        <f t="shared" si="12"/>
        <v>*0.806322012647686</v>
      </c>
      <c r="X114" t="str">
        <f t="shared" si="12"/>
        <v>*0.889623229961177</v>
      </c>
      <c r="Y114" t="str">
        <f t="shared" si="12"/>
        <v>*0.889620935555759</v>
      </c>
      <c r="Z114" t="str">
        <f t="shared" si="12"/>
        <v>*0.806322012647686</v>
      </c>
      <c r="AA114" t="str">
        <f t="shared" si="12"/>
        <v>*0.806322012647686</v>
      </c>
      <c r="AB114" t="str">
        <f t="shared" si="12"/>
        <v>*0.806322012647686</v>
      </c>
      <c r="AC114" t="str">
        <f t="shared" si="12"/>
        <v>*0.806322012647686</v>
      </c>
      <c r="AD114" t="str">
        <f t="shared" si="12"/>
        <v>*0.87264257545149</v>
      </c>
      <c r="AE114" t="str">
        <f t="shared" si="12"/>
        <v>*0.806322012647686</v>
      </c>
      <c r="AF114" t="str">
        <f t="shared" si="12"/>
        <v>*0.906603887155439</v>
      </c>
      <c r="AG114" t="str">
        <f t="shared" si="12"/>
        <v>*0.806322012647686</v>
      </c>
      <c r="AH114" t="str">
        <f t="shared" si="12"/>
        <v>*0.806322012647686</v>
      </c>
      <c r="AI114" t="str">
        <f t="shared" si="12"/>
        <v>*0.806322012647686</v>
      </c>
      <c r="AJ114" t="str">
        <f t="shared" si="12"/>
        <v>*0.983019632318116</v>
      </c>
      <c r="AK114" t="str">
        <f t="shared" si="12"/>
        <v>*0.806322012647686</v>
      </c>
      <c r="AL114" t="str">
        <f t="shared" si="12"/>
        <v>*0.906604351626599</v>
      </c>
      <c r="AM114" t="str">
        <f t="shared" si="12"/>
        <v>*0.806322012647686</v>
      </c>
      <c r="AN114" t="str">
        <f t="shared" si="12"/>
        <v>*0.89386762861896</v>
      </c>
      <c r="AO114" t="str">
        <f t="shared" si="12"/>
        <v>*0.806322012647686</v>
      </c>
      <c r="AP114" t="str">
        <f t="shared" si="12"/>
        <v>*0.806322012647686</v>
      </c>
      <c r="AQ114" t="str">
        <f t="shared" si="12"/>
        <v>*0.806322012647686</v>
      </c>
      <c r="AR114" t="str">
        <f t="shared" si="12"/>
        <v>*0.889622985856844</v>
      </c>
      <c r="AS114" s="49" t="str">
        <f t="shared" si="12"/>
        <v>*0.915091066360072</v>
      </c>
      <c r="AX114">
        <f>'INS-UPD Heat'!AX29</f>
        <v>0.59377429313906205</v>
      </c>
    </row>
    <row r="115" spans="1:50" ht="12.75">
      <c r="A115" t="str">
        <f t="shared" si="7"/>
        <v>C_ES-SH-SL_BI*</v>
      </c>
      <c r="C115" t="s">
        <v>60</v>
      </c>
      <c r="D115" t="str">
        <f t="shared" si="8"/>
        <v>C_ES-SH-SL_BI*</v>
      </c>
      <c r="F115" t="s">
        <v>173</v>
      </c>
      <c r="H115" s="54"/>
      <c r="I115" t="str">
        <f t="shared" si="5"/>
        <v>*1</v>
      </c>
      <c r="J115" t="str">
        <f t="shared" si="12"/>
        <v>*1.13273935601115</v>
      </c>
      <c r="K115" t="str">
        <f t="shared" si="12"/>
        <v>*1</v>
      </c>
      <c r="L115" t="str">
        <f t="shared" si="12"/>
        <v>*1.16287202779621</v>
      </c>
      <c r="M115" t="str">
        <f t="shared" si="12"/>
        <v>*0.951947404871184</v>
      </c>
      <c r="N115" t="str">
        <f t="shared" si="12"/>
        <v>*1</v>
      </c>
      <c r="O115" t="str">
        <f t="shared" si="12"/>
        <v>*0.891684624593808</v>
      </c>
      <c r="P115" t="str">
        <f t="shared" si="12"/>
        <v>*1.03230037990426</v>
      </c>
      <c r="Q115" t="str">
        <f t="shared" si="12"/>
        <v>*0.5</v>
      </c>
      <c r="R115" t="str">
        <f t="shared" si="12"/>
        <v>*1.0825169264074</v>
      </c>
      <c r="S115" t="str">
        <f t="shared" si="12"/>
        <v>*1.03229644898342</v>
      </c>
      <c r="T115" t="str">
        <f t="shared" si="12"/>
        <v>*1</v>
      </c>
      <c r="U115" t="str">
        <f t="shared" si="12"/>
        <v>*0.982080090991512</v>
      </c>
      <c r="V115" t="str">
        <f t="shared" si="12"/>
        <v>*1.0423429136333</v>
      </c>
      <c r="W115" t="str">
        <f t="shared" si="12"/>
        <v>*1.08252106666226</v>
      </c>
      <c r="X115" t="str">
        <f t="shared" si="12"/>
        <v>*1.05238453545451</v>
      </c>
      <c r="Y115" t="str">
        <f t="shared" si="12"/>
        <v>*1.05238966451752</v>
      </c>
      <c r="Z115" t="str">
        <f t="shared" si="12"/>
        <v>*1.1026073590249</v>
      </c>
      <c r="AA115" t="str">
        <f t="shared" si="12"/>
        <v>*1.0825169264074</v>
      </c>
      <c r="AB115" t="str">
        <f t="shared" si="12"/>
        <v>*1</v>
      </c>
      <c r="AC115" t="str">
        <f t="shared" si="12"/>
        <v>*1</v>
      </c>
      <c r="AD115" t="str">
        <f t="shared" si="12"/>
        <v>*1.03230017588431</v>
      </c>
      <c r="AE115" t="str">
        <f t="shared" si="12"/>
        <v>*1</v>
      </c>
      <c r="AF115" t="str">
        <f t="shared" si="12"/>
        <v>*1.07247594152106</v>
      </c>
      <c r="AG115" t="str">
        <f t="shared" si="12"/>
        <v>*1</v>
      </c>
      <c r="AH115" t="str">
        <f t="shared" si="12"/>
        <v>*1</v>
      </c>
      <c r="AI115" t="str">
        <f t="shared" si="12"/>
        <v>*1</v>
      </c>
      <c r="AJ115" t="str">
        <f t="shared" si="12"/>
        <v>*1.16287284644911</v>
      </c>
      <c r="AK115" t="str">
        <f t="shared" si="12"/>
        <v>*1.0825169264074</v>
      </c>
      <c r="AL115" t="str">
        <f t="shared" si="12"/>
        <v>*1.07247406151033</v>
      </c>
      <c r="AM115" t="str">
        <f t="shared" si="12"/>
        <v>*1</v>
      </c>
      <c r="AN115" t="str">
        <f t="shared" si="12"/>
        <v>*1</v>
      </c>
      <c r="AO115" t="str">
        <f t="shared" si="12"/>
        <v>*1</v>
      </c>
      <c r="AP115" t="str">
        <f t="shared" si="12"/>
        <v>*1.03229798151806</v>
      </c>
      <c r="AQ115" t="str">
        <f t="shared" si="12"/>
        <v>*1</v>
      </c>
      <c r="AR115" t="str">
        <f t="shared" si="12"/>
        <v>*1.05238916181003</v>
      </c>
      <c r="AS115" s="49" t="str">
        <f t="shared" si="12"/>
        <v>*1.08252104532776</v>
      </c>
      <c r="AX115">
        <f>'INS-UPD Heat'!AX30</f>
        <v>0.56636967800557603</v>
      </c>
    </row>
    <row r="116" spans="1:50" ht="12.75">
      <c r="A116" t="str">
        <f t="shared" si="7"/>
        <v>C_ES-SH-SL_HE*</v>
      </c>
      <c r="C116" t="s">
        <v>60</v>
      </c>
      <c r="D116" t="str">
        <f t="shared" si="8"/>
        <v>C_ES-SH-SL_HE*</v>
      </c>
      <c r="F116" t="s">
        <v>173</v>
      </c>
      <c r="H116" s="54"/>
      <c r="I116" t="str">
        <f t="shared" si="5"/>
        <v>*0.880504783355962</v>
      </c>
      <c r="J116" t="str">
        <f t="shared" si="12"/>
        <v>*0.957548618872751</v>
      </c>
      <c r="K116" t="str">
        <f t="shared" si="12"/>
        <v>*0.880504783355962</v>
      </c>
      <c r="L116" t="str">
        <f t="shared" si="12"/>
        <v>*0.983020646759874</v>
      </c>
      <c r="M116" t="str">
        <f t="shared" si="12"/>
        <v>*0.804718937699145</v>
      </c>
      <c r="N116" t="str">
        <f t="shared" si="12"/>
        <v>*1</v>
      </c>
      <c r="O116" t="str">
        <f t="shared" si="12"/>
        <v>*0.880504783355962</v>
      </c>
      <c r="P116" t="str">
        <f t="shared" si="12"/>
        <v>*0.872644275983274</v>
      </c>
      <c r="Q116" t="str">
        <f t="shared" si="12"/>
        <v>*0.908569737634899</v>
      </c>
      <c r="R116" t="str">
        <f t="shared" si="12"/>
        <v>*0.915095212233637</v>
      </c>
      <c r="S116" t="str">
        <f t="shared" si="12"/>
        <v>*0.872642655737943</v>
      </c>
      <c r="T116" t="str">
        <f t="shared" si="12"/>
        <v>*0.880504783355962</v>
      </c>
      <c r="U116" t="str">
        <f t="shared" si="12"/>
        <v>*0.880504783355962</v>
      </c>
      <c r="V116" t="str">
        <f t="shared" si="12"/>
        <v>*0.881131477151944</v>
      </c>
      <c r="W116" t="str">
        <f t="shared" si="12"/>
        <v>*0.915093124359608</v>
      </c>
      <c r="X116" t="str">
        <f t="shared" si="12"/>
        <v>*0.889625250941913</v>
      </c>
      <c r="Y116" t="str">
        <f t="shared" si="12"/>
        <v>*0.889623372740061</v>
      </c>
      <c r="Z116" t="str">
        <f t="shared" si="12"/>
        <v>*0.880504783355962</v>
      </c>
      <c r="AA116" t="str">
        <f t="shared" si="12"/>
        <v>*0.915095212233637</v>
      </c>
      <c r="AB116" t="str">
        <f t="shared" si="12"/>
        <v>*0.915095341838966</v>
      </c>
      <c r="AC116" t="str">
        <f t="shared" si="12"/>
        <v>*0.880504783355962</v>
      </c>
      <c r="AD116" t="str">
        <f t="shared" si="12"/>
        <v>*0.872640325737902</v>
      </c>
      <c r="AE116" t="str">
        <f t="shared" si="12"/>
        <v>*0.915097225102635</v>
      </c>
      <c r="AF116" t="str">
        <f t="shared" si="12"/>
        <v>*0.906602703277204</v>
      </c>
      <c r="AG116" t="str">
        <f t="shared" si="12"/>
        <v>*0.880504783355962</v>
      </c>
      <c r="AH116" t="str">
        <f t="shared" si="12"/>
        <v>*0.880504783355962</v>
      </c>
      <c r="AI116" t="str">
        <f t="shared" si="12"/>
        <v>*0.880504783355962</v>
      </c>
      <c r="AJ116" t="str">
        <f t="shared" si="12"/>
        <v>*0.983021041372418</v>
      </c>
      <c r="AK116" t="str">
        <f t="shared" si="12"/>
        <v>*0.915095212233637</v>
      </c>
      <c r="AL116" t="str">
        <f t="shared" si="12"/>
        <v>*0.906604639952111</v>
      </c>
      <c r="AM116" t="str">
        <f t="shared" si="12"/>
        <v>*0.855664327496265</v>
      </c>
      <c r="AN116" t="str">
        <f t="shared" si="12"/>
        <v>*0.89386936286641</v>
      </c>
      <c r="AO116" t="str">
        <f t="shared" si="12"/>
        <v>*0.880504783355962</v>
      </c>
      <c r="AP116" t="str">
        <f t="shared" si="12"/>
        <v>*0.872640441278991</v>
      </c>
      <c r="AQ116" t="str">
        <f t="shared" si="12"/>
        <v>*0.949060077873277</v>
      </c>
      <c r="AR116" t="str">
        <f t="shared" si="12"/>
        <v>*0.889625648915354</v>
      </c>
      <c r="AS116" s="49" t="str">
        <f t="shared" si="12"/>
        <v>*0.915096287669067</v>
      </c>
      <c r="AX116">
        <f>'INS-UPD Heat'!AX31</f>
        <v>0.869999697421875</v>
      </c>
    </row>
    <row r="117" spans="1:50" ht="12.75">
      <c r="A117" t="str">
        <f t="shared" si="7"/>
        <v>C_ES-SH-SL_EL*</v>
      </c>
      <c r="C117" t="s">
        <v>60</v>
      </c>
      <c r="D117" t="str">
        <f t="shared" si="8"/>
        <v>C_ES-SH-SL_EL*</v>
      </c>
      <c r="F117" t="s">
        <v>173</v>
      </c>
      <c r="H117" s="54"/>
      <c r="I117" t="str">
        <f t="shared" si="5"/>
        <v>*0.814695640040816</v>
      </c>
      <c r="J117" t="str">
        <f t="shared" si="12"/>
        <v>*0.866863618757606</v>
      </c>
      <c r="K117" t="str">
        <f t="shared" si="12"/>
        <v>*0.814695640040816</v>
      </c>
      <c r="L117" t="str">
        <f t="shared" si="12"/>
        <v>*0.829770066565543</v>
      </c>
      <c r="M117" t="str">
        <f t="shared" si="12"/>
        <v>*0.670139292549879</v>
      </c>
      <c r="N117" t="str">
        <f t="shared" si="12"/>
        <v>*1</v>
      </c>
      <c r="O117" t="str">
        <f t="shared" si="12"/>
        <v>*0.806570689531818</v>
      </c>
      <c r="P117" t="str">
        <f t="shared" si="12"/>
        <v>*0.783236858692403</v>
      </c>
      <c r="Q117" t="str">
        <f t="shared" si="12"/>
        <v>*1.16338718199139</v>
      </c>
      <c r="R117" t="str">
        <f t="shared" si="12"/>
        <v>*0.964160419172593</v>
      </c>
      <c r="S117" t="str">
        <f t="shared" si="12"/>
        <v>*0.707243659269144</v>
      </c>
      <c r="T117" t="str">
        <f t="shared" si="12"/>
        <v>*0.814695640040816</v>
      </c>
      <c r="U117" t="str">
        <f t="shared" si="12"/>
        <v>*0.880205881297254</v>
      </c>
      <c r="V117" t="str">
        <f t="shared" si="12"/>
        <v>*0.915248470397476</v>
      </c>
      <c r="W117" t="str">
        <f t="shared" si="12"/>
        <v>*0.982636396644647</v>
      </c>
      <c r="X117" t="str">
        <f t="shared" si="12"/>
        <v>*0.731393580117313</v>
      </c>
      <c r="Y117" t="str">
        <f t="shared" si="12"/>
        <v>*0.847123481616257</v>
      </c>
      <c r="Z117" t="str">
        <f t="shared" si="12"/>
        <v>*0.856585176139782</v>
      </c>
      <c r="AA117" t="str">
        <f t="shared" si="12"/>
        <v>*0.964160419172593</v>
      </c>
      <c r="AB117" t="str">
        <f t="shared" si="12"/>
        <v>*0.975703024004163</v>
      </c>
      <c r="AC117" t="str">
        <f t="shared" si="12"/>
        <v>*0.814695640040816</v>
      </c>
      <c r="AD117" t="str">
        <f t="shared" si="12"/>
        <v>*0.801302174406614</v>
      </c>
      <c r="AE117" t="str">
        <f t="shared" si="12"/>
        <v>*1.04929722822849</v>
      </c>
      <c r="AF117" t="str">
        <f t="shared" si="12"/>
        <v>*0.802607320234305</v>
      </c>
      <c r="AG117" t="str">
        <f t="shared" si="12"/>
        <v>*0.814695640040816</v>
      </c>
      <c r="AH117" t="str">
        <f t="shared" si="12"/>
        <v>*0.814695640040816</v>
      </c>
      <c r="AI117" t="str">
        <f t="shared" si="12"/>
        <v>*0.662075744685471</v>
      </c>
      <c r="AJ117" t="str">
        <f t="shared" si="12"/>
        <v>*1.09991267506868</v>
      </c>
      <c r="AK117" t="str">
        <f t="shared" si="12"/>
        <v>*0.964160419172593</v>
      </c>
      <c r="AL117" t="str">
        <f t="shared" si="12"/>
        <v>*0.973806550892689</v>
      </c>
      <c r="AM117" t="str">
        <f t="shared" si="12"/>
        <v>*0.840908698492736</v>
      </c>
      <c r="AN117" t="str">
        <f t="shared" si="12"/>
        <v>*0.752940453106604</v>
      </c>
      <c r="AO117" t="str">
        <f t="shared" si="12"/>
        <v>*0.814695640040816</v>
      </c>
      <c r="AP117" t="str">
        <f t="shared" si="12"/>
        <v>*0.885880097942198</v>
      </c>
      <c r="AQ117" t="str">
        <f t="shared" si="12"/>
        <v>*0.839394722196866</v>
      </c>
      <c r="AR117" t="str">
        <f t="shared" si="12"/>
        <v>*0.812611601321336</v>
      </c>
      <c r="AS117" s="49" t="str">
        <f t="shared" si="12"/>
        <v>*1.05673460932283</v>
      </c>
      <c r="AX117">
        <f>'INS-UPD Heat'!AX32</f>
        <v>1.0084980225972699</v>
      </c>
    </row>
    <row r="118" spans="1:50" ht="12.75">
      <c r="A118" t="str">
        <f t="shared" si="7"/>
        <v>C_ES-SH-SL_GA*</v>
      </c>
      <c r="C118" t="s">
        <v>60</v>
      </c>
      <c r="D118" t="str">
        <f t="shared" si="8"/>
        <v>C_ES-SH-SL_GA*</v>
      </c>
      <c r="F118" t="s">
        <v>173</v>
      </c>
      <c r="H118" s="54"/>
      <c r="I118" t="str">
        <f t="shared" si="5"/>
        <v>*0.751789844164435</v>
      </c>
      <c r="J118" t="str">
        <f t="shared" si="12"/>
        <v>*0.958971368982325</v>
      </c>
      <c r="K118" t="str">
        <f t="shared" si="12"/>
        <v>*0.751789844164435</v>
      </c>
      <c r="L118" t="str">
        <f t="shared" si="12"/>
        <v>*0.98247021598169</v>
      </c>
      <c r="M118" t="str">
        <f t="shared" si="12"/>
        <v>*0.801022925677764</v>
      </c>
      <c r="N118" t="str">
        <f t="shared" si="12"/>
        <v>*1</v>
      </c>
      <c r="O118" t="str">
        <f t="shared" si="12"/>
        <v>*0.750312177594846</v>
      </c>
      <c r="P118" t="str">
        <f t="shared" si="12"/>
        <v>*0.870852828625521</v>
      </c>
      <c r="Q118" t="str">
        <f t="shared" si="12"/>
        <v>*0.766721004074585</v>
      </c>
      <c r="R118" t="str">
        <f t="shared" si="12"/>
        <v>*0.916481590266539</v>
      </c>
      <c r="S118" t="str">
        <f t="shared" si="12"/>
        <v>*0.868634629976933</v>
      </c>
      <c r="T118" t="str">
        <f t="shared" si="12"/>
        <v>*0.751789844164435</v>
      </c>
      <c r="U118" t="str">
        <f t="shared" si="12"/>
        <v>*0.831402561906822</v>
      </c>
      <c r="V118" t="str">
        <f t="shared" si="12"/>
        <v>*0.877090057188528</v>
      </c>
      <c r="W118" t="str">
        <f t="shared" si="12"/>
        <v>*0.913903595895035</v>
      </c>
      <c r="X118" t="str">
        <f t="shared" si="12"/>
        <v>*0.887582361489164</v>
      </c>
      <c r="Y118" t="str">
        <f t="shared" si="12"/>
        <v>*0.88826694111973</v>
      </c>
      <c r="Z118" t="str">
        <f t="shared" si="12"/>
        <v>*0.932017066676991</v>
      </c>
      <c r="AA118" t="str">
        <f t="shared" si="12"/>
        <v>*0.916481590266539</v>
      </c>
      <c r="AB118" t="str">
        <f t="shared" si="12"/>
        <v>*0.912611573794044</v>
      </c>
      <c r="AC118" t="str">
        <f t="shared" si="12"/>
        <v>*0.751789844164435</v>
      </c>
      <c r="AD118" t="str">
        <f t="shared" si="12"/>
        <v>*0.868636514902445</v>
      </c>
      <c r="AE118" t="str">
        <f t="shared" si="12"/>
        <v>*0.916280573443744</v>
      </c>
      <c r="AF118" t="str">
        <f t="shared" si="12"/>
        <v>*0.902440555603779</v>
      </c>
      <c r="AG118" t="str">
        <f t="shared" si="12"/>
        <v>*0.751789844164435</v>
      </c>
      <c r="AH118" t="str">
        <f t="shared" si="12"/>
        <v>*0.751789844164435</v>
      </c>
      <c r="AI118" t="str">
        <f t="shared" si="12"/>
        <v>*0.782553232285825</v>
      </c>
      <c r="AJ118" t="str">
        <f t="shared" si="12"/>
        <v>*0.983432278118349</v>
      </c>
      <c r="AK118" t="str">
        <f t="shared" si="12"/>
        <v>*0.916481590266539</v>
      </c>
      <c r="AL118" t="str">
        <f t="shared" si="12"/>
        <v>*0.907097458133649</v>
      </c>
      <c r="AM118" t="str">
        <f t="shared" si="12"/>
        <v>*0.858910478986323</v>
      </c>
      <c r="AN118" t="str">
        <f t="shared" si="12"/>
        <v>*0.890676709498201</v>
      </c>
      <c r="AO118" t="str">
        <f t="shared" si="12"/>
        <v>*0.751789844164435</v>
      </c>
      <c r="AP118" t="str">
        <f t="shared" si="12"/>
        <v>*0.868634823876442</v>
      </c>
      <c r="AQ118" t="str">
        <f t="shared" si="12"/>
        <v>*0.944703220399034</v>
      </c>
      <c r="AR118" t="str">
        <f t="shared" si="12"/>
        <v>*0.887897908847503</v>
      </c>
      <c r="AS118" s="49" t="str">
        <f t="shared" si="12"/>
        <v>*0.915420971135312</v>
      </c>
      <c r="AX118">
        <f>'INS-UPD Heat'!AX33</f>
        <v>0.73526349090490795</v>
      </c>
    </row>
    <row r="119" spans="1:50" ht="12.75">
      <c r="A119" t="str">
        <f t="shared" si="7"/>
        <v>C_ES-SH-SL_OI*</v>
      </c>
      <c r="C119" t="s">
        <v>60</v>
      </c>
      <c r="D119" t="str">
        <f t="shared" si="8"/>
        <v>C_ES-SH-SL_OI*</v>
      </c>
      <c r="F119" t="s">
        <v>173</v>
      </c>
      <c r="H119" s="54"/>
      <c r="I119" t="str">
        <f t="shared" si="5"/>
        <v>*0.753773411000091</v>
      </c>
      <c r="J119" t="str">
        <f t="shared" si="12"/>
        <v>*0.957544163772634</v>
      </c>
      <c r="K119" t="str">
        <f t="shared" si="12"/>
        <v>*0.753773411000091</v>
      </c>
      <c r="L119" t="str">
        <f t="shared" si="12"/>
        <v>*0.983016992017122</v>
      </c>
      <c r="M119" t="str">
        <f t="shared" si="12"/>
        <v>*0.804716585177828</v>
      </c>
      <c r="N119" t="str">
        <f t="shared" si="12"/>
        <v>*1</v>
      </c>
      <c r="O119" t="str">
        <f t="shared" si="12"/>
        <v>*0.753771965014407</v>
      </c>
      <c r="P119" t="str">
        <f t="shared" si="12"/>
        <v>*0.872640058113471</v>
      </c>
      <c r="Q119" t="str">
        <f t="shared" si="12"/>
        <v>*0.715500925014401</v>
      </c>
      <c r="R119" t="str">
        <f t="shared" si="12"/>
        <v>*0.915094452005067</v>
      </c>
      <c r="S119" t="str">
        <f t="shared" si="12"/>
        <v>*0.872638584269094</v>
      </c>
      <c r="T119" t="str">
        <f t="shared" si="12"/>
        <v>*0.753773411000091</v>
      </c>
      <c r="U119" t="str">
        <f t="shared" si="12"/>
        <v>*0.830188634260304</v>
      </c>
      <c r="V119" t="str">
        <f t="shared" si="12"/>
        <v>*0.881132627863442</v>
      </c>
      <c r="W119" t="str">
        <f t="shared" si="12"/>
        <v>*0.915094198262907</v>
      </c>
      <c r="X119" t="str">
        <f t="shared" si="12"/>
        <v>*0.889621616188381</v>
      </c>
      <c r="Y119" t="str">
        <f t="shared" si="12"/>
        <v>*0.768692227740908</v>
      </c>
      <c r="Z119" t="str">
        <f t="shared" si="12"/>
        <v>*0.932072829532384</v>
      </c>
      <c r="AA119" t="str">
        <f t="shared" si="12"/>
        <v>*0.915094452005067</v>
      </c>
      <c r="AB119" t="str">
        <f t="shared" si="12"/>
        <v>*0.915090313213233</v>
      </c>
      <c r="AC119" t="str">
        <f t="shared" si="12"/>
        <v>*0.753773411000091</v>
      </c>
      <c r="AD119" t="str">
        <f t="shared" si="12"/>
        <v>*0.872642317322356</v>
      </c>
      <c r="AE119" t="str">
        <f t="shared" si="12"/>
        <v>*0.915091850300005</v>
      </c>
      <c r="AF119" t="str">
        <f t="shared" si="12"/>
        <v>*0.906603397591183</v>
      </c>
      <c r="AG119" t="str">
        <f t="shared" si="12"/>
        <v>*0.753773411000091</v>
      </c>
      <c r="AH119" t="str">
        <f t="shared" si="12"/>
        <v>*0.753773411000091</v>
      </c>
      <c r="AI119" t="str">
        <f t="shared" si="12"/>
        <v>*0.768692227740908</v>
      </c>
      <c r="AJ119" t="str">
        <f t="shared" si="12"/>
        <v>*0.983020136421328</v>
      </c>
      <c r="AK119" t="str">
        <f t="shared" si="13" ref="J119:AS126">AK66</f>
        <v>*0.915094452005067</v>
      </c>
      <c r="AL119" t="str">
        <f t="shared" si="13"/>
        <v>*0.906603703265176</v>
      </c>
      <c r="AM119" t="str">
        <f t="shared" si="13"/>
        <v>*0.855661126516543</v>
      </c>
      <c r="AN119" t="str">
        <f t="shared" si="13"/>
        <v>*0.893867563595842</v>
      </c>
      <c r="AO119" t="str">
        <f t="shared" si="13"/>
        <v>*0.753773411000091</v>
      </c>
      <c r="AP119" t="str">
        <f t="shared" si="13"/>
        <v>*0.872639506876678</v>
      </c>
      <c r="AQ119" t="str">
        <f t="shared" si="13"/>
        <v>*0.94905683960654</v>
      </c>
      <c r="AR119" t="str">
        <f t="shared" si="13"/>
        <v>*0.889623028548323</v>
      </c>
      <c r="AS119" s="49" t="str">
        <f t="shared" si="13"/>
        <v>*0.915091716306065</v>
      </c>
      <c r="AX119">
        <f>'INS-UPD Heat'!AX34</f>
        <v>0.68512373492146095</v>
      </c>
    </row>
    <row r="120" spans="1:50" ht="12.75">
      <c r="A120" t="str">
        <f t="shared" si="7"/>
        <v>C_ES-SH-SL_GE*</v>
      </c>
      <c r="C120" t="s">
        <v>60</v>
      </c>
      <c r="D120" t="str">
        <f t="shared" si="8"/>
        <v>C_ES-SH-SL_GE*</v>
      </c>
      <c r="F120" t="s">
        <v>173</v>
      </c>
      <c r="H120" s="54"/>
      <c r="I120" t="str">
        <f t="shared" si="5"/>
        <v>*1</v>
      </c>
      <c r="J120" t="str">
        <f t="shared" si="13"/>
        <v>*1.18071512418715</v>
      </c>
      <c r="K120" t="str">
        <f t="shared" si="13"/>
        <v>*1</v>
      </c>
      <c r="L120" t="str">
        <f t="shared" si="13"/>
        <v>*1</v>
      </c>
      <c r="M120" t="str">
        <f t="shared" si="13"/>
        <v>*0.992265584693816</v>
      </c>
      <c r="N120" t="str">
        <f t="shared" si="13"/>
        <v>*1</v>
      </c>
      <c r="O120" t="str">
        <f t="shared" si="13"/>
        <v>*1</v>
      </c>
      <c r="P120" t="str">
        <f t="shared" si="13"/>
        <v>*1</v>
      </c>
      <c r="Q120" t="str">
        <f t="shared" si="13"/>
        <v>*0.7</v>
      </c>
      <c r="R120" t="str">
        <f t="shared" si="13"/>
        <v>*1</v>
      </c>
      <c r="S120" t="str">
        <f t="shared" si="13"/>
        <v>*1</v>
      </c>
      <c r="T120" t="str">
        <f t="shared" si="13"/>
        <v>*1</v>
      </c>
      <c r="U120" t="str">
        <f t="shared" si="13"/>
        <v>*1.02367221742178</v>
      </c>
      <c r="V120" t="str">
        <f t="shared" si="13"/>
        <v>*1</v>
      </c>
      <c r="W120" t="str">
        <f t="shared" si="13"/>
        <v>*1.12836642882944</v>
      </c>
      <c r="X120" t="str">
        <f t="shared" si="13"/>
        <v>*1.09695901278096</v>
      </c>
      <c r="Y120" t="str">
        <f t="shared" si="13"/>
        <v>*1.09695874032411</v>
      </c>
      <c r="Z120" t="str">
        <f t="shared" si="13"/>
        <v>*1</v>
      </c>
      <c r="AA120" t="str">
        <f t="shared" si="13"/>
        <v>*1</v>
      </c>
      <c r="AB120" t="str">
        <f t="shared" si="13"/>
        <v>*1.12836780488483</v>
      </c>
      <c r="AC120" t="str">
        <f t="shared" si="13"/>
        <v>*1</v>
      </c>
      <c r="AD120" t="str">
        <f t="shared" si="13"/>
        <v>*1</v>
      </c>
      <c r="AE120" t="str">
        <f t="shared" si="13"/>
        <v>*1</v>
      </c>
      <c r="AF120" t="str">
        <f t="shared" si="13"/>
        <v>*1</v>
      </c>
      <c r="AG120" t="str">
        <f t="shared" si="13"/>
        <v>*1</v>
      </c>
      <c r="AH120" t="str">
        <f t="shared" si="13"/>
        <v>*1</v>
      </c>
      <c r="AI120" t="str">
        <f t="shared" si="13"/>
        <v>*1</v>
      </c>
      <c r="AJ120" t="str">
        <f t="shared" si="13"/>
        <v>*1</v>
      </c>
      <c r="AK120" t="str">
        <f t="shared" si="13"/>
        <v>*1</v>
      </c>
      <c r="AL120" t="str">
        <f t="shared" si="13"/>
        <v>*1.11789847320821</v>
      </c>
      <c r="AM120" t="str">
        <f t="shared" si="13"/>
        <v>*1.05508137432188</v>
      </c>
      <c r="AN120" t="str">
        <f t="shared" si="13"/>
        <v>*1.10219424337653</v>
      </c>
      <c r="AO120" t="str">
        <f t="shared" si="13"/>
        <v>*1</v>
      </c>
      <c r="AP120" t="str">
        <f t="shared" si="13"/>
        <v>*1</v>
      </c>
      <c r="AQ120" t="str">
        <f t="shared" si="13"/>
        <v>*1.17024478027022</v>
      </c>
      <c r="AR120" t="str">
        <f t="shared" si="13"/>
        <v>*1.0969585751785</v>
      </c>
      <c r="AS120" s="49" t="str">
        <f t="shared" si="13"/>
        <v>*1.12836656997825</v>
      </c>
      <c r="AX120">
        <f>'INS-UPD Heat'!AX35</f>
        <v>0.82650058693100303</v>
      </c>
    </row>
    <row r="121" spans="1:50" ht="12.75">
      <c r="A121" t="str">
        <f t="shared" si="7"/>
        <v>C_ES-SH-SL_LP*</v>
      </c>
      <c r="C121" t="s">
        <v>60</v>
      </c>
      <c r="D121" t="str">
        <f t="shared" si="8"/>
        <v>C_ES-SH-SL_LP*</v>
      </c>
      <c r="F121" t="s">
        <v>173</v>
      </c>
      <c r="H121" s="54"/>
      <c r="I121" t="str">
        <f t="shared" si="5"/>
        <v>*1</v>
      </c>
      <c r="J121" t="str">
        <f t="shared" si="13"/>
        <v>*1</v>
      </c>
      <c r="K121" t="str">
        <f t="shared" si="13"/>
        <v>*1</v>
      </c>
      <c r="L121" t="str">
        <f t="shared" si="13"/>
        <v>*1</v>
      </c>
      <c r="M121" t="str">
        <f t="shared" si="13"/>
        <v>*1</v>
      </c>
      <c r="N121" t="str">
        <f t="shared" si="13"/>
        <v>*1</v>
      </c>
      <c r="O121" t="str">
        <f t="shared" si="13"/>
        <v>*1</v>
      </c>
      <c r="P121" t="str">
        <f t="shared" si="13"/>
        <v>*1</v>
      </c>
      <c r="Q121" t="str">
        <f t="shared" si="13"/>
        <v>*0.666666666666667</v>
      </c>
      <c r="R121" t="str">
        <f t="shared" si="13"/>
        <v>*1</v>
      </c>
      <c r="S121" t="str">
        <f t="shared" si="13"/>
        <v>*1</v>
      </c>
      <c r="T121" t="str">
        <f t="shared" si="13"/>
        <v>*1</v>
      </c>
      <c r="U121" t="str">
        <f t="shared" si="13"/>
        <v>*1</v>
      </c>
      <c r="V121" t="str">
        <f t="shared" si="13"/>
        <v>*1</v>
      </c>
      <c r="W121" t="str">
        <f t="shared" si="13"/>
        <v>*1</v>
      </c>
      <c r="X121" t="str">
        <f t="shared" si="13"/>
        <v>*1</v>
      </c>
      <c r="Y121" t="str">
        <f t="shared" si="13"/>
        <v>*1</v>
      </c>
      <c r="Z121" t="str">
        <f t="shared" si="13"/>
        <v>*1</v>
      </c>
      <c r="AA121" t="str">
        <f t="shared" si="13"/>
        <v>*1</v>
      </c>
      <c r="AB121" t="str">
        <f t="shared" si="13"/>
        <v>*1.00831519600226</v>
      </c>
      <c r="AC121" t="str">
        <f t="shared" si="13"/>
        <v>*1</v>
      </c>
      <c r="AD121" t="str">
        <f t="shared" si="13"/>
        <v>*1</v>
      </c>
      <c r="AE121" t="str">
        <f t="shared" si="13"/>
        <v>*1.00831336713657</v>
      </c>
      <c r="AF121" t="str">
        <f t="shared" si="13"/>
        <v>*1</v>
      </c>
      <c r="AG121" t="str">
        <f t="shared" si="13"/>
        <v>*1</v>
      </c>
      <c r="AH121" t="str">
        <f t="shared" si="13"/>
        <v>*1</v>
      </c>
      <c r="AI121" t="str">
        <f t="shared" si="13"/>
        <v>*1</v>
      </c>
      <c r="AJ121" t="str">
        <f t="shared" si="13"/>
        <v>*1</v>
      </c>
      <c r="AK121" t="str">
        <f t="shared" si="13"/>
        <v>*1</v>
      </c>
      <c r="AL121" t="str">
        <f t="shared" si="13"/>
        <v>*1</v>
      </c>
      <c r="AM121" t="str">
        <f t="shared" si="13"/>
        <v>*1</v>
      </c>
      <c r="AN121" t="str">
        <f t="shared" si="13"/>
        <v>*1</v>
      </c>
      <c r="AO121" t="str">
        <f t="shared" si="13"/>
        <v>*1</v>
      </c>
      <c r="AP121" t="str">
        <f t="shared" si="13"/>
        <v>*1</v>
      </c>
      <c r="AQ121" t="str">
        <f t="shared" si="13"/>
        <v>*1.045737981492</v>
      </c>
      <c r="AR121" t="str">
        <f t="shared" si="13"/>
        <v>*1</v>
      </c>
      <c r="AS121" s="49" t="str">
        <f t="shared" si="13"/>
        <v>*1</v>
      </c>
      <c r="AX121">
        <f>'INS-UPD Heat'!AX36</f>
        <v>0.66666666666666696</v>
      </c>
    </row>
    <row r="122" spans="1:50" ht="12.75">
      <c r="A122" t="str">
        <f t="shared" si="7"/>
        <v>C_ES-SH-SL_CO*</v>
      </c>
      <c r="C122" t="s">
        <v>60</v>
      </c>
      <c r="D122" t="str">
        <f t="shared" si="8"/>
        <v>C_ES-SH-SL_CO*</v>
      </c>
      <c r="F122" t="s">
        <v>173</v>
      </c>
      <c r="H122" s="54"/>
      <c r="I122" t="str">
        <f t="shared" si="5"/>
        <v>*0.806322012647686</v>
      </c>
      <c r="J122" t="str">
        <f t="shared" si="13"/>
        <v>*0.957546566204691</v>
      </c>
      <c r="K122" t="str">
        <f t="shared" si="13"/>
        <v>*0.806322012647686</v>
      </c>
      <c r="L122" t="str">
        <f t="shared" si="13"/>
        <v>*0.806322012647686</v>
      </c>
      <c r="M122" t="str">
        <f t="shared" si="13"/>
        <v>*0.804719068299585</v>
      </c>
      <c r="N122" t="str">
        <f t="shared" si="13"/>
        <v>*1</v>
      </c>
      <c r="O122" t="str">
        <f t="shared" si="13"/>
        <v>*0.806322012647686</v>
      </c>
      <c r="P122" t="str">
        <f t="shared" si="13"/>
        <v>*0.872641433460454</v>
      </c>
      <c r="Q122" t="str">
        <f t="shared" si="13"/>
        <v>*0.620099652691077</v>
      </c>
      <c r="R122" t="str">
        <f t="shared" si="13"/>
        <v>*0.806322012647686</v>
      </c>
      <c r="S122" t="str">
        <f t="shared" si="13"/>
        <v>*0.872643446827971</v>
      </c>
      <c r="T122" t="str">
        <f t="shared" si="13"/>
        <v>*0.806322012647686</v>
      </c>
      <c r="U122" t="str">
        <f t="shared" si="13"/>
        <v>*0.830187692790597</v>
      </c>
      <c r="V122" t="str">
        <f t="shared" si="13"/>
        <v>*0.88113082387544</v>
      </c>
      <c r="W122" t="str">
        <f t="shared" si="13"/>
        <v>*0.806322012647686</v>
      </c>
      <c r="X122" t="str">
        <f t="shared" si="13"/>
        <v>*0.889623229961177</v>
      </c>
      <c r="Y122" t="str">
        <f t="shared" si="13"/>
        <v>*0.889620935555759</v>
      </c>
      <c r="Z122" t="str">
        <f t="shared" si="13"/>
        <v>*0.806322012647686</v>
      </c>
      <c r="AA122" t="str">
        <f t="shared" si="13"/>
        <v>*0.806322012647686</v>
      </c>
      <c r="AB122" t="str">
        <f t="shared" si="13"/>
        <v>*0.806322012647686</v>
      </c>
      <c r="AC122" t="str">
        <f t="shared" si="13"/>
        <v>*0.806322012647686</v>
      </c>
      <c r="AD122" t="str">
        <f t="shared" si="13"/>
        <v>*0.87264257545149</v>
      </c>
      <c r="AE122" t="str">
        <f t="shared" si="13"/>
        <v>*0.806322012647686</v>
      </c>
      <c r="AF122" t="str">
        <f t="shared" si="13"/>
        <v>*0.906603887155439</v>
      </c>
      <c r="AG122" t="str">
        <f t="shared" si="13"/>
        <v>*0.806322012647686</v>
      </c>
      <c r="AH122" t="str">
        <f t="shared" si="13"/>
        <v>*0.806322012647686</v>
      </c>
      <c r="AI122" t="str">
        <f t="shared" si="13"/>
        <v>*0.806322012647686</v>
      </c>
      <c r="AJ122" t="str">
        <f t="shared" si="13"/>
        <v>*0.983019632318116</v>
      </c>
      <c r="AK122" t="str">
        <f t="shared" si="13"/>
        <v>*0.806322012647686</v>
      </c>
      <c r="AL122" t="str">
        <f t="shared" si="13"/>
        <v>*0.906604351626599</v>
      </c>
      <c r="AM122" t="str">
        <f t="shared" si="13"/>
        <v>*0.806322012647686</v>
      </c>
      <c r="AN122" t="str">
        <f t="shared" si="13"/>
        <v>*0.89386762861896</v>
      </c>
      <c r="AO122" t="str">
        <f t="shared" si="13"/>
        <v>*0.806322012647686</v>
      </c>
      <c r="AP122" t="str">
        <f t="shared" si="13"/>
        <v>*0.806322012647686</v>
      </c>
      <c r="AQ122" t="str">
        <f t="shared" si="13"/>
        <v>*0.806322012647686</v>
      </c>
      <c r="AR122" t="str">
        <f t="shared" si="13"/>
        <v>*0.889622985856844</v>
      </c>
      <c r="AS122" s="49" t="str">
        <f t="shared" si="13"/>
        <v>*0.915091066360072</v>
      </c>
      <c r="AX122">
        <f>'INS-UPD Heat'!AX37</f>
        <v>0.59377429313906205</v>
      </c>
    </row>
    <row r="123" spans="1:50" ht="12.75">
      <c r="A123" t="str">
        <f t="shared" si="7"/>
        <v>C_ES-SH-SS_BI*</v>
      </c>
      <c r="C123" t="s">
        <v>60</v>
      </c>
      <c r="D123" t="str">
        <f t="shared" si="8"/>
        <v>C_ES-SH-SS_BI*</v>
      </c>
      <c r="F123" t="s">
        <v>174</v>
      </c>
      <c r="H123" s="54"/>
      <c r="I123" t="str">
        <f t="shared" si="5"/>
        <v>*1</v>
      </c>
      <c r="J123" t="str">
        <f t="shared" si="13"/>
        <v>*1.13273935601115</v>
      </c>
      <c r="K123" t="str">
        <f t="shared" si="13"/>
        <v>*1</v>
      </c>
      <c r="L123" t="str">
        <f t="shared" si="13"/>
        <v>*1.16287202779621</v>
      </c>
      <c r="M123" t="str">
        <f t="shared" si="13"/>
        <v>*0.951947404871184</v>
      </c>
      <c r="N123" t="str">
        <f t="shared" si="13"/>
        <v>*1</v>
      </c>
      <c r="O123" t="str">
        <f t="shared" si="13"/>
        <v>*0.891684624593808</v>
      </c>
      <c r="P123" t="str">
        <f t="shared" si="13"/>
        <v>*1.03230037990426</v>
      </c>
      <c r="Q123" t="str">
        <f t="shared" si="13"/>
        <v>*0.5</v>
      </c>
      <c r="R123" t="str">
        <f t="shared" si="13"/>
        <v>*1.0825169264074</v>
      </c>
      <c r="S123" t="str">
        <f t="shared" si="13"/>
        <v>*1.03229644898342</v>
      </c>
      <c r="T123" t="str">
        <f t="shared" si="13"/>
        <v>*1</v>
      </c>
      <c r="U123" t="str">
        <f t="shared" si="13"/>
        <v>*0.982080090991512</v>
      </c>
      <c r="V123" t="str">
        <f t="shared" si="13"/>
        <v>*1.0423429136333</v>
      </c>
      <c r="W123" t="str">
        <f t="shared" si="13"/>
        <v>*1.08252106666226</v>
      </c>
      <c r="X123" t="str">
        <f t="shared" si="13"/>
        <v>*1.05238453545451</v>
      </c>
      <c r="Y123" t="str">
        <f t="shared" si="13"/>
        <v>*1.05238966451752</v>
      </c>
      <c r="Z123" t="str">
        <f t="shared" si="13"/>
        <v>*1.1026073590249</v>
      </c>
      <c r="AA123" t="str">
        <f t="shared" si="13"/>
        <v>*1.0825169264074</v>
      </c>
      <c r="AB123" t="str">
        <f t="shared" si="13"/>
        <v>*1</v>
      </c>
      <c r="AC123" t="str">
        <f t="shared" si="13"/>
        <v>*1</v>
      </c>
      <c r="AD123" t="str">
        <f t="shared" si="13"/>
        <v>*1.03230017588431</v>
      </c>
      <c r="AE123" t="str">
        <f t="shared" si="13"/>
        <v>*1</v>
      </c>
      <c r="AF123" t="str">
        <f t="shared" si="13"/>
        <v>*1.07247594152106</v>
      </c>
      <c r="AG123" t="str">
        <f t="shared" si="13"/>
        <v>*1</v>
      </c>
      <c r="AH123" t="str">
        <f t="shared" si="13"/>
        <v>*1</v>
      </c>
      <c r="AI123" t="str">
        <f t="shared" si="13"/>
        <v>*1</v>
      </c>
      <c r="AJ123" t="str">
        <f t="shared" si="13"/>
        <v>*1.16287284644911</v>
      </c>
      <c r="AK123" t="str">
        <f t="shared" si="13"/>
        <v>*1.0825169264074</v>
      </c>
      <c r="AL123" t="str">
        <f t="shared" si="13"/>
        <v>*1.07247406151033</v>
      </c>
      <c r="AM123" t="str">
        <f t="shared" si="13"/>
        <v>*1</v>
      </c>
      <c r="AN123" t="str">
        <f t="shared" si="13"/>
        <v>*1</v>
      </c>
      <c r="AO123" t="str">
        <f t="shared" si="13"/>
        <v>*1</v>
      </c>
      <c r="AP123" t="str">
        <f t="shared" si="13"/>
        <v>*1.03229798151806</v>
      </c>
      <c r="AQ123" t="str">
        <f t="shared" si="13"/>
        <v>*1</v>
      </c>
      <c r="AR123" t="str">
        <f t="shared" si="13"/>
        <v>*1.05238916181003</v>
      </c>
      <c r="AS123" s="49" t="str">
        <f t="shared" si="13"/>
        <v>*1.08252104532776</v>
      </c>
      <c r="AX123">
        <f>'INS-UPD Heat'!AX38</f>
        <v>0.56636967800557603</v>
      </c>
    </row>
    <row r="124" spans="1:50" ht="12.75">
      <c r="A124" t="str">
        <f t="shared" si="7"/>
        <v>C_ES-SH-SS_HE*</v>
      </c>
      <c r="C124" t="s">
        <v>60</v>
      </c>
      <c r="D124" t="str">
        <f t="shared" si="8"/>
        <v>C_ES-SH-SS_HE*</v>
      </c>
      <c r="F124" t="s">
        <v>174</v>
      </c>
      <c r="H124" s="54"/>
      <c r="I124" t="str">
        <f t="shared" si="5"/>
        <v>*0.880504783355962</v>
      </c>
      <c r="J124" t="str">
        <f t="shared" si="13"/>
        <v>*0.957548618872751</v>
      </c>
      <c r="K124" t="str">
        <f t="shared" si="13"/>
        <v>*0.880504783355962</v>
      </c>
      <c r="L124" t="str">
        <f t="shared" si="13"/>
        <v>*0.983020646759874</v>
      </c>
      <c r="M124" t="str">
        <f t="shared" si="13"/>
        <v>*0.804718937699145</v>
      </c>
      <c r="N124" t="str">
        <f t="shared" si="13"/>
        <v>*1</v>
      </c>
      <c r="O124" t="str">
        <f t="shared" si="13"/>
        <v>*0.880504783355962</v>
      </c>
      <c r="P124" t="str">
        <f t="shared" si="13"/>
        <v>*0.872644275983274</v>
      </c>
      <c r="Q124" t="str">
        <f t="shared" si="13"/>
        <v>*0.908569737634899</v>
      </c>
      <c r="R124" t="str">
        <f t="shared" si="13"/>
        <v>*0.915095212233637</v>
      </c>
      <c r="S124" t="str">
        <f t="shared" si="13"/>
        <v>*0.872642655737943</v>
      </c>
      <c r="T124" t="str">
        <f t="shared" si="13"/>
        <v>*0.880504783355962</v>
      </c>
      <c r="U124" t="str">
        <f t="shared" si="13"/>
        <v>*0.880504783355962</v>
      </c>
      <c r="V124" t="str">
        <f t="shared" si="13"/>
        <v>*0.881131477151944</v>
      </c>
      <c r="W124" t="str">
        <f t="shared" si="13"/>
        <v>*0.915093124359608</v>
      </c>
      <c r="X124" t="str">
        <f t="shared" si="13"/>
        <v>*0.889625250941913</v>
      </c>
      <c r="Y124" t="str">
        <f t="shared" si="13"/>
        <v>*0.889623372740061</v>
      </c>
      <c r="Z124" t="str">
        <f t="shared" si="13"/>
        <v>*0.880504783355962</v>
      </c>
      <c r="AA124" t="str">
        <f t="shared" si="13"/>
        <v>*0.915095212233637</v>
      </c>
      <c r="AB124" t="str">
        <f t="shared" si="13"/>
        <v>*0.915095341838966</v>
      </c>
      <c r="AC124" t="str">
        <f t="shared" si="13"/>
        <v>*0.880504783355962</v>
      </c>
      <c r="AD124" t="str">
        <f t="shared" si="13"/>
        <v>*0.872640325737902</v>
      </c>
      <c r="AE124" t="str">
        <f t="shared" si="13"/>
        <v>*0.915097225102635</v>
      </c>
      <c r="AF124" t="str">
        <f t="shared" si="13"/>
        <v>*0.906602703277204</v>
      </c>
      <c r="AG124" t="str">
        <f t="shared" si="13"/>
        <v>*0.880504783355962</v>
      </c>
      <c r="AH124" t="str">
        <f t="shared" si="13"/>
        <v>*0.880504783355962</v>
      </c>
      <c r="AI124" t="str">
        <f t="shared" si="13"/>
        <v>*0.880504783355962</v>
      </c>
      <c r="AJ124" t="str">
        <f t="shared" si="13"/>
        <v>*0.983021041372418</v>
      </c>
      <c r="AK124" t="str">
        <f t="shared" si="13"/>
        <v>*0.915095212233637</v>
      </c>
      <c r="AL124" t="str">
        <f t="shared" si="13"/>
        <v>*0.906604639952111</v>
      </c>
      <c r="AM124" t="str">
        <f t="shared" si="13"/>
        <v>*0.855664327496265</v>
      </c>
      <c r="AN124" t="str">
        <f t="shared" si="13"/>
        <v>*0.89386936286641</v>
      </c>
      <c r="AO124" t="str">
        <f t="shared" si="13"/>
        <v>*0.880504783355962</v>
      </c>
      <c r="AP124" t="str">
        <f t="shared" si="13"/>
        <v>*0.872640441278991</v>
      </c>
      <c r="AQ124" t="str">
        <f t="shared" si="13"/>
        <v>*0.949060077873277</v>
      </c>
      <c r="AR124" t="str">
        <f t="shared" si="13"/>
        <v>*0.889625648915354</v>
      </c>
      <c r="AS124" s="49" t="str">
        <f t="shared" si="13"/>
        <v>*0.915096287669067</v>
      </c>
      <c r="AX124">
        <f>'INS-UPD Heat'!AX39</f>
        <v>0.869999697421875</v>
      </c>
    </row>
    <row r="125" spans="1:50" ht="12.75">
      <c r="A125" t="str">
        <f t="shared" si="7"/>
        <v>C_ES-SH-SS_EL*</v>
      </c>
      <c r="C125" t="s">
        <v>60</v>
      </c>
      <c r="D125" t="str">
        <f t="shared" si="8"/>
        <v>C_ES-SH-SS_EL*</v>
      </c>
      <c r="F125" t="s">
        <v>174</v>
      </c>
      <c r="H125" s="54"/>
      <c r="I125" t="str">
        <f t="shared" si="5"/>
        <v>*0.814695640040816</v>
      </c>
      <c r="J125" t="str">
        <f t="shared" si="13"/>
        <v>*0.866863618757606</v>
      </c>
      <c r="K125" t="str">
        <f t="shared" si="13"/>
        <v>*0.814695640040816</v>
      </c>
      <c r="L125" t="str">
        <f t="shared" si="13"/>
        <v>*0.829770066565543</v>
      </c>
      <c r="M125" t="str">
        <f t="shared" si="13"/>
        <v>*0.670139292549879</v>
      </c>
      <c r="N125" t="str">
        <f t="shared" si="13"/>
        <v>*1</v>
      </c>
      <c r="O125" t="str">
        <f t="shared" si="13"/>
        <v>*0.806570689531818</v>
      </c>
      <c r="P125" t="str">
        <f t="shared" si="13"/>
        <v>*0.783236858692403</v>
      </c>
      <c r="Q125" t="str">
        <f t="shared" si="13"/>
        <v>*1.16338718199139</v>
      </c>
      <c r="R125" t="str">
        <f t="shared" si="13"/>
        <v>*0.964160419172593</v>
      </c>
      <c r="S125" t="str">
        <f t="shared" si="13"/>
        <v>*0.707243659269144</v>
      </c>
      <c r="T125" t="str">
        <f t="shared" si="13"/>
        <v>*0.814695640040816</v>
      </c>
      <c r="U125" t="str">
        <f t="shared" si="13"/>
        <v>*0.880205881297254</v>
      </c>
      <c r="V125" t="str">
        <f t="shared" si="13"/>
        <v>*0.915248470397476</v>
      </c>
      <c r="W125" t="str">
        <f t="shared" si="13"/>
        <v>*0.982636396644647</v>
      </c>
      <c r="X125" t="str">
        <f t="shared" si="13"/>
        <v>*0.731393580117313</v>
      </c>
      <c r="Y125" t="str">
        <f t="shared" si="13"/>
        <v>*0.847123481616257</v>
      </c>
      <c r="Z125" t="str">
        <f t="shared" si="13"/>
        <v>*0.856585176139782</v>
      </c>
      <c r="AA125" t="str">
        <f t="shared" si="13"/>
        <v>*0.964160419172593</v>
      </c>
      <c r="AB125" t="str">
        <f t="shared" si="13"/>
        <v>*0.975703024004163</v>
      </c>
      <c r="AC125" t="str">
        <f t="shared" si="13"/>
        <v>*0.814695640040816</v>
      </c>
      <c r="AD125" t="str">
        <f t="shared" si="13"/>
        <v>*0.801302174406614</v>
      </c>
      <c r="AE125" t="str">
        <f t="shared" si="13"/>
        <v>*1.04929722822849</v>
      </c>
      <c r="AF125" t="str">
        <f t="shared" si="13"/>
        <v>*0.802607320234305</v>
      </c>
      <c r="AG125" t="str">
        <f t="shared" si="13"/>
        <v>*0.814695640040816</v>
      </c>
      <c r="AH125" t="str">
        <f t="shared" si="13"/>
        <v>*0.814695640040816</v>
      </c>
      <c r="AI125" t="str">
        <f t="shared" si="13"/>
        <v>*0.662075744685471</v>
      </c>
      <c r="AJ125" t="str">
        <f t="shared" si="13"/>
        <v>*1.09991267506868</v>
      </c>
      <c r="AK125" t="str">
        <f t="shared" si="13"/>
        <v>*0.964160419172593</v>
      </c>
      <c r="AL125" t="str">
        <f t="shared" si="13"/>
        <v>*0.973806550892689</v>
      </c>
      <c r="AM125" t="str">
        <f t="shared" si="13"/>
        <v>*0.840908698492736</v>
      </c>
      <c r="AN125" t="str">
        <f t="shared" si="13"/>
        <v>*0.752940453106604</v>
      </c>
      <c r="AO125" t="str">
        <f t="shared" si="13"/>
        <v>*0.814695640040816</v>
      </c>
      <c r="AP125" t="str">
        <f t="shared" si="13"/>
        <v>*0.885880097942198</v>
      </c>
      <c r="AQ125" t="str">
        <f t="shared" si="13"/>
        <v>*0.839394722196866</v>
      </c>
      <c r="AR125" t="str">
        <f t="shared" si="13"/>
        <v>*0.812611601321336</v>
      </c>
      <c r="AS125" s="49" t="str">
        <f t="shared" si="13"/>
        <v>*1.05673460932283</v>
      </c>
      <c r="AX125">
        <f>'INS-UPD Heat'!AX40</f>
        <v>1.0084980225972699</v>
      </c>
    </row>
    <row r="126" spans="1:50" ht="12.75">
      <c r="A126" t="str">
        <f t="shared" si="7"/>
        <v>C_ES-SH-SS_GA*</v>
      </c>
      <c r="C126" t="s">
        <v>60</v>
      </c>
      <c r="D126" t="str">
        <f t="shared" si="8"/>
        <v>C_ES-SH-SS_GA*</v>
      </c>
      <c r="F126" t="s">
        <v>174</v>
      </c>
      <c r="H126" s="54"/>
      <c r="I126" t="str">
        <f t="shared" si="5"/>
        <v>*0.751789844164435</v>
      </c>
      <c r="J126" t="str">
        <f t="shared" si="13"/>
        <v>*0.958971368982325</v>
      </c>
      <c r="K126" t="str">
        <f t="shared" si="13"/>
        <v>*0.751789844164435</v>
      </c>
      <c r="L126" t="str">
        <f t="shared" si="13"/>
        <v>*0.98247021598169</v>
      </c>
      <c r="M126" t="str">
        <f t="shared" si="13"/>
        <v>*0.801022925677764</v>
      </c>
      <c r="N126" t="str">
        <f t="shared" si="13"/>
        <v>*1</v>
      </c>
      <c r="O126" t="str">
        <f t="shared" si="13"/>
        <v>*0.750312177594846</v>
      </c>
      <c r="P126" t="str">
        <f t="shared" si="13"/>
        <v>*0.870852828625521</v>
      </c>
      <c r="Q126" t="str">
        <f t="shared" si="13"/>
        <v>*0.766721004074585</v>
      </c>
      <c r="R126" t="str">
        <f t="shared" si="13"/>
        <v>*0.916481590266539</v>
      </c>
      <c r="S126" t="str">
        <f t="shared" si="13"/>
        <v>*0.868634629976933</v>
      </c>
      <c r="T126" t="str">
        <f t="shared" si="13"/>
        <v>*0.751789844164435</v>
      </c>
      <c r="U126" t="str">
        <f t="shared" si="13"/>
        <v>*0.831402561906822</v>
      </c>
      <c r="V126" t="str">
        <f t="shared" si="13"/>
        <v>*0.877090057188528</v>
      </c>
      <c r="W126" t="str">
        <f t="shared" si="13"/>
        <v>*0.913903595895035</v>
      </c>
      <c r="X126" t="str">
        <f t="shared" si="13"/>
        <v>*0.887582361489164</v>
      </c>
      <c r="Y126" t="str">
        <f t="shared" si="13"/>
        <v>*0.88826694111973</v>
      </c>
      <c r="Z126" t="str">
        <f t="shared" si="13"/>
        <v>*0.932017066676991</v>
      </c>
      <c r="AA126" t="str">
        <f t="shared" si="13"/>
        <v>*0.916481590266539</v>
      </c>
      <c r="AB126" t="str">
        <f t="shared" si="13"/>
        <v>*0.912611573794044</v>
      </c>
      <c r="AC126" t="str">
        <f t="shared" si="13"/>
        <v>*0.751789844164435</v>
      </c>
      <c r="AD126" t="str">
        <f t="shared" si="13"/>
        <v>*0.868636514902445</v>
      </c>
      <c r="AE126" t="str">
        <f t="shared" si="13"/>
        <v>*0.916280573443744</v>
      </c>
      <c r="AF126" t="str">
        <f t="shared" si="13"/>
        <v>*0.902440555603779</v>
      </c>
      <c r="AG126" t="str">
        <f t="shared" si="13"/>
        <v>*0.751789844164435</v>
      </c>
      <c r="AH126" t="str">
        <f t="shared" si="13"/>
        <v>*0.751789844164435</v>
      </c>
      <c r="AI126" t="str">
        <f t="shared" si="13"/>
        <v>*0.782553232285825</v>
      </c>
      <c r="AJ126" t="str">
        <f t="shared" si="13"/>
        <v>*0.983432278118349</v>
      </c>
      <c r="AK126" t="str">
        <f t="shared" si="13"/>
        <v>*0.916481590266539</v>
      </c>
      <c r="AL126" t="str">
        <f t="shared" si="13"/>
        <v>*0.907097458133649</v>
      </c>
      <c r="AM126" t="str">
        <f t="shared" si="13"/>
        <v>*0.858910478986323</v>
      </c>
      <c r="AN126" t="str">
        <f t="shared" si="14" ref="J126:AS133">AN73</f>
        <v>*0.890676709498201</v>
      </c>
      <c r="AO126" t="str">
        <f t="shared" si="14"/>
        <v>*0.751789844164435</v>
      </c>
      <c r="AP126" t="str">
        <f t="shared" si="14"/>
        <v>*0.868634823876442</v>
      </c>
      <c r="AQ126" t="str">
        <f t="shared" si="14"/>
        <v>*0.944703220399034</v>
      </c>
      <c r="AR126" t="str">
        <f t="shared" si="14"/>
        <v>*0.887897908847503</v>
      </c>
      <c r="AS126" s="49" t="str">
        <f t="shared" si="14"/>
        <v>*0.915420971135312</v>
      </c>
      <c r="AX126">
        <f>'INS-UPD Heat'!AX41</f>
        <v>0.73526349090490795</v>
      </c>
    </row>
    <row r="127" spans="1:50" ht="12.75">
      <c r="A127" t="str">
        <f t="shared" si="7"/>
        <v>C_ES-SH-SS_OI*</v>
      </c>
      <c r="C127" t="s">
        <v>60</v>
      </c>
      <c r="D127" t="str">
        <f t="shared" si="8"/>
        <v>C_ES-SH-SS_OI*</v>
      </c>
      <c r="F127" t="s">
        <v>174</v>
      </c>
      <c r="H127" s="54"/>
      <c r="I127" t="str">
        <f t="shared" si="5"/>
        <v>*0.753773411000091</v>
      </c>
      <c r="J127" t="str">
        <f t="shared" si="14"/>
        <v>*0.957544163772634</v>
      </c>
      <c r="K127" t="str">
        <f t="shared" si="14"/>
        <v>*0.753773411000091</v>
      </c>
      <c r="L127" t="str">
        <f t="shared" si="14"/>
        <v>*0.983016992017122</v>
      </c>
      <c r="M127" t="str">
        <f t="shared" si="14"/>
        <v>*0.804716585177828</v>
      </c>
      <c r="N127" t="str">
        <f t="shared" si="14"/>
        <v>*1</v>
      </c>
      <c r="O127" t="str">
        <f t="shared" si="14"/>
        <v>*0.753771965014407</v>
      </c>
      <c r="P127" t="str">
        <f t="shared" si="14"/>
        <v>*0.872640058113471</v>
      </c>
      <c r="Q127" t="str">
        <f t="shared" si="14"/>
        <v>*0.715500925014401</v>
      </c>
      <c r="R127" t="str">
        <f t="shared" si="14"/>
        <v>*0.915094452005067</v>
      </c>
      <c r="S127" t="str">
        <f t="shared" si="14"/>
        <v>*0.872638584269094</v>
      </c>
      <c r="T127" t="str">
        <f t="shared" si="14"/>
        <v>*0.753773411000091</v>
      </c>
      <c r="U127" t="str">
        <f t="shared" si="14"/>
        <v>*0.830188634260304</v>
      </c>
      <c r="V127" t="str">
        <f t="shared" si="14"/>
        <v>*0.881132627863442</v>
      </c>
      <c r="W127" t="str">
        <f t="shared" si="14"/>
        <v>*0.915094198262907</v>
      </c>
      <c r="X127" t="str">
        <f t="shared" si="14"/>
        <v>*0.889621616188381</v>
      </c>
      <c r="Y127" t="str">
        <f t="shared" si="14"/>
        <v>*0.768692227740908</v>
      </c>
      <c r="Z127" t="str">
        <f t="shared" si="14"/>
        <v>*0.932072829532384</v>
      </c>
      <c r="AA127" t="str">
        <f t="shared" si="14"/>
        <v>*0.915094452005067</v>
      </c>
      <c r="AB127" t="str">
        <f t="shared" si="14"/>
        <v>*0.915090313213233</v>
      </c>
      <c r="AC127" t="str">
        <f t="shared" si="14"/>
        <v>*0.753773411000091</v>
      </c>
      <c r="AD127" t="str">
        <f t="shared" si="14"/>
        <v>*0.872642317322356</v>
      </c>
      <c r="AE127" t="str">
        <f t="shared" si="14"/>
        <v>*0.915091850300005</v>
      </c>
      <c r="AF127" t="str">
        <f t="shared" si="14"/>
        <v>*0.906603397591183</v>
      </c>
      <c r="AG127" t="str">
        <f t="shared" si="14"/>
        <v>*0.753773411000091</v>
      </c>
      <c r="AH127" t="str">
        <f t="shared" si="14"/>
        <v>*0.753773411000091</v>
      </c>
      <c r="AI127" t="str">
        <f t="shared" si="14"/>
        <v>*0.768692227740908</v>
      </c>
      <c r="AJ127" t="str">
        <f t="shared" si="14"/>
        <v>*0.983020136421328</v>
      </c>
      <c r="AK127" t="str">
        <f t="shared" si="14"/>
        <v>*0.915094452005067</v>
      </c>
      <c r="AL127" t="str">
        <f t="shared" si="14"/>
        <v>*0.906603703265176</v>
      </c>
      <c r="AM127" t="str">
        <f t="shared" si="14"/>
        <v>*0.855661126516543</v>
      </c>
      <c r="AN127" t="str">
        <f t="shared" si="14"/>
        <v>*0.893867563595842</v>
      </c>
      <c r="AO127" t="str">
        <f t="shared" si="14"/>
        <v>*0.753773411000091</v>
      </c>
      <c r="AP127" t="str">
        <f t="shared" si="14"/>
        <v>*0.872639506876678</v>
      </c>
      <c r="AQ127" t="str">
        <f t="shared" si="14"/>
        <v>*0.94905683960654</v>
      </c>
      <c r="AR127" t="str">
        <f t="shared" si="14"/>
        <v>*0.889623028548323</v>
      </c>
      <c r="AS127" s="49" t="str">
        <f t="shared" si="14"/>
        <v>*0.915091716306065</v>
      </c>
      <c r="AX127">
        <f>'INS-UPD Heat'!AX42</f>
        <v>0.68512373492146095</v>
      </c>
    </row>
    <row r="128" spans="1:50" ht="12.75">
      <c r="A128" t="str">
        <f t="shared" si="7"/>
        <v>C_ES-SH-SS_GE*</v>
      </c>
      <c r="C128" t="s">
        <v>60</v>
      </c>
      <c r="D128" t="str">
        <f t="shared" si="8"/>
        <v>C_ES-SH-SS_GE*</v>
      </c>
      <c r="F128" t="s">
        <v>174</v>
      </c>
      <c r="H128" s="54"/>
      <c r="I128" t="str">
        <f t="shared" si="5"/>
        <v>*1</v>
      </c>
      <c r="J128" t="str">
        <f t="shared" si="14"/>
        <v>*1.18071512418715</v>
      </c>
      <c r="K128" t="str">
        <f t="shared" si="14"/>
        <v>*1</v>
      </c>
      <c r="L128" t="str">
        <f t="shared" si="14"/>
        <v>*1</v>
      </c>
      <c r="M128" t="str">
        <f t="shared" si="14"/>
        <v>*0.992265584693816</v>
      </c>
      <c r="N128" t="str">
        <f t="shared" si="14"/>
        <v>*1</v>
      </c>
      <c r="O128" t="str">
        <f t="shared" si="14"/>
        <v>*1</v>
      </c>
      <c r="P128" t="str">
        <f t="shared" si="14"/>
        <v>*1</v>
      </c>
      <c r="Q128" t="str">
        <f t="shared" si="14"/>
        <v>*0.7</v>
      </c>
      <c r="R128" t="str">
        <f t="shared" si="14"/>
        <v>*1</v>
      </c>
      <c r="S128" t="str">
        <f t="shared" si="14"/>
        <v>*1</v>
      </c>
      <c r="T128" t="str">
        <f t="shared" si="14"/>
        <v>*1</v>
      </c>
      <c r="U128" t="str">
        <f t="shared" si="14"/>
        <v>*1.02367221742178</v>
      </c>
      <c r="V128" t="str">
        <f t="shared" si="14"/>
        <v>*1</v>
      </c>
      <c r="W128" t="str">
        <f t="shared" si="14"/>
        <v>*1.12836642882944</v>
      </c>
      <c r="X128" t="str">
        <f t="shared" si="14"/>
        <v>*1.09695901278096</v>
      </c>
      <c r="Y128" t="str">
        <f t="shared" si="14"/>
        <v>*1.09695874032411</v>
      </c>
      <c r="Z128" t="str">
        <f t="shared" si="14"/>
        <v>*1</v>
      </c>
      <c r="AA128" t="str">
        <f t="shared" si="14"/>
        <v>*1</v>
      </c>
      <c r="AB128" t="str">
        <f t="shared" si="14"/>
        <v>*1.12836780488483</v>
      </c>
      <c r="AC128" t="str">
        <f t="shared" si="14"/>
        <v>*1</v>
      </c>
      <c r="AD128" t="str">
        <f t="shared" si="14"/>
        <v>*1</v>
      </c>
      <c r="AE128" t="str">
        <f t="shared" si="14"/>
        <v>*1</v>
      </c>
      <c r="AF128" t="str">
        <f t="shared" si="14"/>
        <v>*1</v>
      </c>
      <c r="AG128" t="str">
        <f t="shared" si="14"/>
        <v>*1</v>
      </c>
      <c r="AH128" t="str">
        <f t="shared" si="14"/>
        <v>*1</v>
      </c>
      <c r="AI128" t="str">
        <f t="shared" si="14"/>
        <v>*1</v>
      </c>
      <c r="AJ128" t="str">
        <f t="shared" si="14"/>
        <v>*1</v>
      </c>
      <c r="AK128" t="str">
        <f t="shared" si="14"/>
        <v>*1</v>
      </c>
      <c r="AL128" t="str">
        <f t="shared" si="14"/>
        <v>*1.11789847320821</v>
      </c>
      <c r="AM128" t="str">
        <f t="shared" si="14"/>
        <v>*1.05508137432188</v>
      </c>
      <c r="AN128" t="str">
        <f t="shared" si="14"/>
        <v>*1.10219424337653</v>
      </c>
      <c r="AO128" t="str">
        <f t="shared" si="14"/>
        <v>*1</v>
      </c>
      <c r="AP128" t="str">
        <f t="shared" si="14"/>
        <v>*1</v>
      </c>
      <c r="AQ128" t="str">
        <f t="shared" si="14"/>
        <v>*1.17024478027022</v>
      </c>
      <c r="AR128" t="str">
        <f t="shared" si="14"/>
        <v>*1.0969585751785</v>
      </c>
      <c r="AS128" s="49" t="str">
        <f t="shared" si="14"/>
        <v>*1.12836656997825</v>
      </c>
      <c r="AX128">
        <f>'INS-UPD Heat'!AX43</f>
        <v>0.82650058693100303</v>
      </c>
    </row>
    <row r="129" spans="1:50" ht="12.75">
      <c r="A129" t="str">
        <f t="shared" si="7"/>
        <v>C_ES-SH-SS_LP*</v>
      </c>
      <c r="C129" t="s">
        <v>60</v>
      </c>
      <c r="D129" t="str">
        <f t="shared" si="8"/>
        <v>C_ES-SH-SS_LP*</v>
      </c>
      <c r="F129" t="s">
        <v>174</v>
      </c>
      <c r="H129" s="54"/>
      <c r="I129" t="str">
        <f t="shared" si="5"/>
        <v>*1</v>
      </c>
      <c r="J129" t="str">
        <f t="shared" si="14"/>
        <v>*1</v>
      </c>
      <c r="K129" t="str">
        <f t="shared" si="14"/>
        <v>*1</v>
      </c>
      <c r="L129" t="str">
        <f t="shared" si="14"/>
        <v>*1</v>
      </c>
      <c r="M129" t="str">
        <f t="shared" si="14"/>
        <v>*1</v>
      </c>
      <c r="N129" t="str">
        <f t="shared" si="14"/>
        <v>*1</v>
      </c>
      <c r="O129" t="str">
        <f t="shared" si="14"/>
        <v>*1</v>
      </c>
      <c r="P129" t="str">
        <f t="shared" si="14"/>
        <v>*1</v>
      </c>
      <c r="Q129" t="str">
        <f t="shared" si="14"/>
        <v>*0.666666666666667</v>
      </c>
      <c r="R129" t="str">
        <f t="shared" si="14"/>
        <v>*1</v>
      </c>
      <c r="S129" t="str">
        <f t="shared" si="14"/>
        <v>*1</v>
      </c>
      <c r="T129" t="str">
        <f t="shared" si="14"/>
        <v>*1</v>
      </c>
      <c r="U129" t="str">
        <f t="shared" si="14"/>
        <v>*1</v>
      </c>
      <c r="V129" t="str">
        <f t="shared" si="14"/>
        <v>*1</v>
      </c>
      <c r="W129" t="str">
        <f t="shared" si="14"/>
        <v>*1</v>
      </c>
      <c r="X129" t="str">
        <f t="shared" si="14"/>
        <v>*1</v>
      </c>
      <c r="Y129" t="str">
        <f t="shared" si="14"/>
        <v>*1</v>
      </c>
      <c r="Z129" t="str">
        <f t="shared" si="14"/>
        <v>*1</v>
      </c>
      <c r="AA129" t="str">
        <f t="shared" si="14"/>
        <v>*1</v>
      </c>
      <c r="AB129" t="str">
        <f t="shared" si="14"/>
        <v>*1.00831519600226</v>
      </c>
      <c r="AC129" t="str">
        <f t="shared" si="14"/>
        <v>*1</v>
      </c>
      <c r="AD129" t="str">
        <f t="shared" si="14"/>
        <v>*1</v>
      </c>
      <c r="AE129" t="str">
        <f t="shared" si="14"/>
        <v>*1.00831336713657</v>
      </c>
      <c r="AF129" t="str">
        <f t="shared" si="14"/>
        <v>*1</v>
      </c>
      <c r="AG129" t="str">
        <f t="shared" si="14"/>
        <v>*1</v>
      </c>
      <c r="AH129" t="str">
        <f t="shared" si="14"/>
        <v>*1</v>
      </c>
      <c r="AI129" t="str">
        <f t="shared" si="14"/>
        <v>*1</v>
      </c>
      <c r="AJ129" t="str">
        <f t="shared" si="14"/>
        <v>*1</v>
      </c>
      <c r="AK129" t="str">
        <f t="shared" si="14"/>
        <v>*1</v>
      </c>
      <c r="AL129" t="str">
        <f t="shared" si="14"/>
        <v>*1</v>
      </c>
      <c r="AM129" t="str">
        <f t="shared" si="14"/>
        <v>*1</v>
      </c>
      <c r="AN129" t="str">
        <f t="shared" si="14"/>
        <v>*1</v>
      </c>
      <c r="AO129" t="str">
        <f t="shared" si="14"/>
        <v>*1</v>
      </c>
      <c r="AP129" t="str">
        <f t="shared" si="14"/>
        <v>*1</v>
      </c>
      <c r="AQ129" t="str">
        <f t="shared" si="14"/>
        <v>*1.045737981492</v>
      </c>
      <c r="AR129" t="str">
        <f t="shared" si="14"/>
        <v>*1</v>
      </c>
      <c r="AS129" s="49" t="str">
        <f t="shared" si="14"/>
        <v>*1</v>
      </c>
      <c r="AX129">
        <f>'INS-UPD Heat'!AX44</f>
        <v>0.66666666666666696</v>
      </c>
    </row>
    <row r="130" spans="1:50" ht="12.75">
      <c r="A130" t="str">
        <f t="shared" si="7"/>
        <v>C_ES-SH-SS_CO*</v>
      </c>
      <c r="C130" t="s">
        <v>60</v>
      </c>
      <c r="D130" t="str">
        <f t="shared" si="8"/>
        <v>C_ES-SH-SS_CO*</v>
      </c>
      <c r="F130" t="s">
        <v>174</v>
      </c>
      <c r="H130" s="54"/>
      <c r="I130" t="str">
        <f t="shared" si="5"/>
        <v>*0.806322012647686</v>
      </c>
      <c r="J130" t="str">
        <f t="shared" si="14"/>
        <v>*0.957546566204691</v>
      </c>
      <c r="K130" t="str">
        <f t="shared" si="14"/>
        <v>*0.806322012647686</v>
      </c>
      <c r="L130" t="str">
        <f t="shared" si="14"/>
        <v>*0.806322012647686</v>
      </c>
      <c r="M130" t="str">
        <f t="shared" si="14"/>
        <v>*0.804719068299585</v>
      </c>
      <c r="N130" t="str">
        <f t="shared" si="14"/>
        <v>*1</v>
      </c>
      <c r="O130" t="str">
        <f t="shared" si="14"/>
        <v>*0.806322012647686</v>
      </c>
      <c r="P130" t="str">
        <f t="shared" si="14"/>
        <v>*0.872641433460454</v>
      </c>
      <c r="Q130" t="str">
        <f t="shared" si="14"/>
        <v>*0.620099652691077</v>
      </c>
      <c r="R130" t="str">
        <f t="shared" si="14"/>
        <v>*0.806322012647686</v>
      </c>
      <c r="S130" t="str">
        <f t="shared" si="14"/>
        <v>*0.872643446827971</v>
      </c>
      <c r="T130" t="str">
        <f t="shared" si="14"/>
        <v>*0.806322012647686</v>
      </c>
      <c r="U130" t="str">
        <f t="shared" si="14"/>
        <v>*0.830187692790597</v>
      </c>
      <c r="V130" t="str">
        <f t="shared" si="14"/>
        <v>*0.88113082387544</v>
      </c>
      <c r="W130" t="str">
        <f t="shared" si="14"/>
        <v>*0.806322012647686</v>
      </c>
      <c r="X130" t="str">
        <f t="shared" si="14"/>
        <v>*0.889623229961177</v>
      </c>
      <c r="Y130" t="str">
        <f t="shared" si="14"/>
        <v>*0.889620935555759</v>
      </c>
      <c r="Z130" t="str">
        <f t="shared" si="14"/>
        <v>*0.806322012647686</v>
      </c>
      <c r="AA130" t="str">
        <f t="shared" si="14"/>
        <v>*0.806322012647686</v>
      </c>
      <c r="AB130" t="str">
        <f t="shared" si="14"/>
        <v>*0.806322012647686</v>
      </c>
      <c r="AC130" t="str">
        <f t="shared" si="14"/>
        <v>*0.806322012647686</v>
      </c>
      <c r="AD130" t="str">
        <f t="shared" si="14"/>
        <v>*0.87264257545149</v>
      </c>
      <c r="AE130" t="str">
        <f t="shared" si="14"/>
        <v>*0.806322012647686</v>
      </c>
      <c r="AF130" t="str">
        <f t="shared" si="14"/>
        <v>*0.906603887155439</v>
      </c>
      <c r="AG130" t="str">
        <f t="shared" si="14"/>
        <v>*0.806322012647686</v>
      </c>
      <c r="AH130" t="str">
        <f t="shared" si="14"/>
        <v>*0.806322012647686</v>
      </c>
      <c r="AI130" t="str">
        <f t="shared" si="14"/>
        <v>*0.806322012647686</v>
      </c>
      <c r="AJ130" t="str">
        <f t="shared" si="14"/>
        <v>*0.983019632318116</v>
      </c>
      <c r="AK130" t="str">
        <f t="shared" si="14"/>
        <v>*0.806322012647686</v>
      </c>
      <c r="AL130" t="str">
        <f t="shared" si="14"/>
        <v>*0.906604351626599</v>
      </c>
      <c r="AM130" t="str">
        <f t="shared" si="14"/>
        <v>*0.806322012647686</v>
      </c>
      <c r="AN130" t="str">
        <f t="shared" si="14"/>
        <v>*0.89386762861896</v>
      </c>
      <c r="AO130" t="str">
        <f t="shared" si="14"/>
        <v>*0.806322012647686</v>
      </c>
      <c r="AP130" t="str">
        <f t="shared" si="14"/>
        <v>*0.806322012647686</v>
      </c>
      <c r="AQ130" t="str">
        <f t="shared" si="14"/>
        <v>*0.806322012647686</v>
      </c>
      <c r="AR130" t="str">
        <f t="shared" si="14"/>
        <v>*0.889622985856844</v>
      </c>
      <c r="AS130" s="49" t="str">
        <f t="shared" si="14"/>
        <v>*0.915091066360072</v>
      </c>
      <c r="AX130">
        <f>'INS-UPD Heat'!AX45</f>
        <v>0.59377429313906205</v>
      </c>
    </row>
    <row r="131" spans="1:50" ht="12.75">
      <c r="A131" t="str">
        <f t="shared" si="7"/>
        <v>C_ES-SH-OF_BI*</v>
      </c>
      <c r="C131" t="s">
        <v>60</v>
      </c>
      <c r="D131" t="str">
        <f t="shared" si="8"/>
        <v>C_ES-SH-OF_BI*</v>
      </c>
      <c r="F131" t="s">
        <v>175</v>
      </c>
      <c r="H131" s="54"/>
      <c r="I131" t="str">
        <f t="shared" si="5"/>
        <v>*1</v>
      </c>
      <c r="J131" t="str">
        <f t="shared" si="14"/>
        <v>*1.13273935601115</v>
      </c>
      <c r="K131" t="str">
        <f t="shared" si="14"/>
        <v>*1</v>
      </c>
      <c r="L131" t="str">
        <f t="shared" si="14"/>
        <v>*1.16287202779621</v>
      </c>
      <c r="M131" t="str">
        <f t="shared" si="14"/>
        <v>*0.951947404871184</v>
      </c>
      <c r="N131" t="str">
        <f t="shared" si="14"/>
        <v>*1</v>
      </c>
      <c r="O131" t="str">
        <f t="shared" si="14"/>
        <v>*0.891684624593808</v>
      </c>
      <c r="P131" t="str">
        <f t="shared" si="14"/>
        <v>*1.03230037990426</v>
      </c>
      <c r="Q131" t="str">
        <f t="shared" si="14"/>
        <v>*0.5</v>
      </c>
      <c r="R131" t="str">
        <f t="shared" si="14"/>
        <v>*1.0825169264074</v>
      </c>
      <c r="S131" t="str">
        <f t="shared" si="14"/>
        <v>*1.03229644898342</v>
      </c>
      <c r="T131" t="str">
        <f t="shared" si="14"/>
        <v>*1</v>
      </c>
      <c r="U131" t="str">
        <f t="shared" si="14"/>
        <v>*0.982080090991512</v>
      </c>
      <c r="V131" t="str">
        <f t="shared" si="14"/>
        <v>*1.0423429136333</v>
      </c>
      <c r="W131" t="str">
        <f t="shared" si="14"/>
        <v>*1.08252106666226</v>
      </c>
      <c r="X131" t="str">
        <f t="shared" si="14"/>
        <v>*1.05238453545451</v>
      </c>
      <c r="Y131" t="str">
        <f t="shared" si="14"/>
        <v>*1.05238966451752</v>
      </c>
      <c r="Z131" t="str">
        <f t="shared" si="14"/>
        <v>*1.1026073590249</v>
      </c>
      <c r="AA131" t="str">
        <f t="shared" si="14"/>
        <v>*1.0825169264074</v>
      </c>
      <c r="AB131" t="str">
        <f t="shared" si="14"/>
        <v>*1</v>
      </c>
      <c r="AC131" t="str">
        <f t="shared" si="14"/>
        <v>*1</v>
      </c>
      <c r="AD131" t="str">
        <f t="shared" si="14"/>
        <v>*1.03230017588431</v>
      </c>
      <c r="AE131" t="str">
        <f t="shared" si="14"/>
        <v>*1</v>
      </c>
      <c r="AF131" t="str">
        <f t="shared" si="14"/>
        <v>*1.07247594152106</v>
      </c>
      <c r="AG131" t="str">
        <f t="shared" si="14"/>
        <v>*1</v>
      </c>
      <c r="AH131" t="str">
        <f t="shared" si="14"/>
        <v>*1</v>
      </c>
      <c r="AI131" t="str">
        <f t="shared" si="14"/>
        <v>*1</v>
      </c>
      <c r="AJ131" t="str">
        <f t="shared" si="14"/>
        <v>*1.16287284644911</v>
      </c>
      <c r="AK131" t="str">
        <f t="shared" si="14"/>
        <v>*1.0825169264074</v>
      </c>
      <c r="AL131" t="str">
        <f t="shared" si="14"/>
        <v>*1.07247406151033</v>
      </c>
      <c r="AM131" t="str">
        <f t="shared" si="14"/>
        <v>*1</v>
      </c>
      <c r="AN131" t="str">
        <f t="shared" si="14"/>
        <v>*1</v>
      </c>
      <c r="AO131" t="str">
        <f t="shared" si="14"/>
        <v>*1</v>
      </c>
      <c r="AP131" t="str">
        <f t="shared" si="14"/>
        <v>*1.03229798151806</v>
      </c>
      <c r="AQ131" t="str">
        <f t="shared" si="14"/>
        <v>*1</v>
      </c>
      <c r="AR131" t="str">
        <f t="shared" si="14"/>
        <v>*1.05238916181003</v>
      </c>
      <c r="AS131" s="49" t="str">
        <f t="shared" si="14"/>
        <v>*1.08252104532776</v>
      </c>
      <c r="AX131">
        <f>'INS-UPD Heat'!AX46</f>
        <v>0.56636967800557603</v>
      </c>
    </row>
    <row r="132" spans="1:50" ht="12.75">
      <c r="A132" t="str">
        <f t="shared" si="7"/>
        <v>C_ES-SH-OF_HE*</v>
      </c>
      <c r="C132" t="s">
        <v>60</v>
      </c>
      <c r="D132" t="str">
        <f t="shared" si="8"/>
        <v>C_ES-SH-OF_HE*</v>
      </c>
      <c r="F132" t="s">
        <v>175</v>
      </c>
      <c r="H132" s="54"/>
      <c r="I132" t="str">
        <f t="shared" si="5"/>
        <v>*0.880504783355962</v>
      </c>
      <c r="J132" t="str">
        <f t="shared" si="14"/>
        <v>*0.957548618872751</v>
      </c>
      <c r="K132" t="str">
        <f t="shared" si="14"/>
        <v>*0.880504783355962</v>
      </c>
      <c r="L132" t="str">
        <f t="shared" si="14"/>
        <v>*0.983020646759874</v>
      </c>
      <c r="M132" t="str">
        <f t="shared" si="14"/>
        <v>*0.804718937699145</v>
      </c>
      <c r="N132" t="str">
        <f t="shared" si="14"/>
        <v>*1</v>
      </c>
      <c r="O132" t="str">
        <f t="shared" si="14"/>
        <v>*0.880504783355962</v>
      </c>
      <c r="P132" t="str">
        <f t="shared" si="14"/>
        <v>*0.872644275983274</v>
      </c>
      <c r="Q132" t="str">
        <f t="shared" si="14"/>
        <v>*0.908569737634899</v>
      </c>
      <c r="R132" t="str">
        <f t="shared" si="14"/>
        <v>*0.915095212233637</v>
      </c>
      <c r="S132" t="str">
        <f t="shared" si="14"/>
        <v>*0.872642655737943</v>
      </c>
      <c r="T132" t="str">
        <f t="shared" si="14"/>
        <v>*0.880504783355962</v>
      </c>
      <c r="U132" t="str">
        <f t="shared" si="14"/>
        <v>*0.880504783355962</v>
      </c>
      <c r="V132" t="str">
        <f t="shared" si="14"/>
        <v>*0.881131477151944</v>
      </c>
      <c r="W132" t="str">
        <f t="shared" si="14"/>
        <v>*0.915093124359608</v>
      </c>
      <c r="X132" t="str">
        <f t="shared" si="14"/>
        <v>*0.889625250941913</v>
      </c>
      <c r="Y132" t="str">
        <f t="shared" si="14"/>
        <v>*0.889623372740061</v>
      </c>
      <c r="Z132" t="str">
        <f t="shared" si="14"/>
        <v>*0.880504783355962</v>
      </c>
      <c r="AA132" t="str">
        <f t="shared" si="14"/>
        <v>*0.915095212233637</v>
      </c>
      <c r="AB132" t="str">
        <f t="shared" si="14"/>
        <v>*0.915095341838966</v>
      </c>
      <c r="AC132" t="str">
        <f t="shared" si="14"/>
        <v>*0.880504783355962</v>
      </c>
      <c r="AD132" t="str">
        <f t="shared" si="14"/>
        <v>*0.872640325737902</v>
      </c>
      <c r="AE132" t="str">
        <f t="shared" si="14"/>
        <v>*0.915097225102635</v>
      </c>
      <c r="AF132" t="str">
        <f t="shared" si="14"/>
        <v>*0.906602703277204</v>
      </c>
      <c r="AG132" t="str">
        <f t="shared" si="14"/>
        <v>*0.880504783355962</v>
      </c>
      <c r="AH132" t="str">
        <f t="shared" si="14"/>
        <v>*0.880504783355962</v>
      </c>
      <c r="AI132" t="str">
        <f t="shared" si="14"/>
        <v>*0.880504783355962</v>
      </c>
      <c r="AJ132" t="str">
        <f t="shared" si="14"/>
        <v>*0.983021041372418</v>
      </c>
      <c r="AK132" t="str">
        <f t="shared" si="14"/>
        <v>*0.915095212233637</v>
      </c>
      <c r="AL132" t="str">
        <f t="shared" si="14"/>
        <v>*0.906604639952111</v>
      </c>
      <c r="AM132" t="str">
        <f t="shared" si="14"/>
        <v>*0.855664327496265</v>
      </c>
      <c r="AN132" t="str">
        <f t="shared" si="14"/>
        <v>*0.89386936286641</v>
      </c>
      <c r="AO132" t="str">
        <f t="shared" si="14"/>
        <v>*0.880504783355962</v>
      </c>
      <c r="AP132" t="str">
        <f t="shared" si="14"/>
        <v>*0.872640441278991</v>
      </c>
      <c r="AQ132" t="str">
        <f t="shared" si="14"/>
        <v>*0.949060077873277</v>
      </c>
      <c r="AR132" t="str">
        <f t="shared" si="14"/>
        <v>*0.889625648915354</v>
      </c>
      <c r="AS132" s="49" t="str">
        <f t="shared" si="14"/>
        <v>*0.915096287669067</v>
      </c>
      <c r="AX132">
        <f>'INS-UPD Heat'!AX47</f>
        <v>0.869999697421875</v>
      </c>
    </row>
    <row r="133" spans="1:50" ht="12.75">
      <c r="A133" t="str">
        <f t="shared" si="7"/>
        <v>C_ES-SH-OF_EL*</v>
      </c>
      <c r="C133" t="s">
        <v>60</v>
      </c>
      <c r="D133" t="str">
        <f t="shared" si="8"/>
        <v>C_ES-SH-OF_EL*</v>
      </c>
      <c r="F133" t="s">
        <v>175</v>
      </c>
      <c r="H133" s="54"/>
      <c r="I133" t="str">
        <f t="shared" si="5"/>
        <v>*0.814695640040816</v>
      </c>
      <c r="J133" t="str">
        <f t="shared" si="14"/>
        <v>*0.866863618757606</v>
      </c>
      <c r="K133" t="str">
        <f t="shared" si="14"/>
        <v>*0.814695640040816</v>
      </c>
      <c r="L133" t="str">
        <f t="shared" si="14"/>
        <v>*0.829770066565543</v>
      </c>
      <c r="M133" t="str">
        <f t="shared" si="14"/>
        <v>*0.670139292549879</v>
      </c>
      <c r="N133" t="str">
        <f t="shared" si="14"/>
        <v>*1</v>
      </c>
      <c r="O133" t="str">
        <f t="shared" si="14"/>
        <v>*0.806570689531818</v>
      </c>
      <c r="P133" t="str">
        <f t="shared" si="14"/>
        <v>*0.783236858692403</v>
      </c>
      <c r="Q133" t="str">
        <f t="shared" si="14"/>
        <v>*1.16338718199139</v>
      </c>
      <c r="R133" t="str">
        <f t="shared" si="14"/>
        <v>*0.964160419172593</v>
      </c>
      <c r="S133" t="str">
        <f t="shared" si="14"/>
        <v>*0.707243659269144</v>
      </c>
      <c r="T133" t="str">
        <f t="shared" si="14"/>
        <v>*0.814695640040816</v>
      </c>
      <c r="U133" t="str">
        <f t="shared" si="14"/>
        <v>*0.880205881297254</v>
      </c>
      <c r="V133" t="str">
        <f t="shared" si="14"/>
        <v>*0.915248470397476</v>
      </c>
      <c r="W133" t="str">
        <f t="shared" si="14"/>
        <v>*0.982636396644647</v>
      </c>
      <c r="X133" t="str">
        <f t="shared" si="14"/>
        <v>*0.731393580117313</v>
      </c>
      <c r="Y133" t="str">
        <f t="shared" si="14"/>
        <v>*0.847123481616257</v>
      </c>
      <c r="Z133" t="str">
        <f t="shared" si="14"/>
        <v>*0.856585176139782</v>
      </c>
      <c r="AA133" t="str">
        <f t="shared" si="14"/>
        <v>*0.964160419172593</v>
      </c>
      <c r="AB133" t="str">
        <f t="shared" si="14"/>
        <v>*0.975703024004163</v>
      </c>
      <c r="AC133" t="str">
        <f t="shared" si="14"/>
        <v>*0.814695640040816</v>
      </c>
      <c r="AD133" t="str">
        <f t="shared" si="14"/>
        <v>*0.801302174406614</v>
      </c>
      <c r="AE133" t="str">
        <f t="shared" si="14"/>
        <v>*1.04929722822849</v>
      </c>
      <c r="AF133" t="str">
        <f t="shared" si="14"/>
        <v>*0.802607320234305</v>
      </c>
      <c r="AG133" t="str">
        <f t="shared" si="14"/>
        <v>*0.814695640040816</v>
      </c>
      <c r="AH133" t="str">
        <f t="shared" si="14"/>
        <v>*0.814695640040816</v>
      </c>
      <c r="AI133" t="str">
        <f t="shared" si="14"/>
        <v>*0.662075744685471</v>
      </c>
      <c r="AJ133" t="str">
        <f t="shared" si="14"/>
        <v>*1.09991267506868</v>
      </c>
      <c r="AK133" t="str">
        <f t="shared" si="14"/>
        <v>*0.964160419172593</v>
      </c>
      <c r="AL133" t="str">
        <f t="shared" si="14"/>
        <v>*0.973806550892689</v>
      </c>
      <c r="AM133" t="str">
        <f t="shared" si="14"/>
        <v>*0.840908698492736</v>
      </c>
      <c r="AN133" t="str">
        <f t="shared" si="14"/>
        <v>*0.752940453106604</v>
      </c>
      <c r="AO133" t="str">
        <f t="shared" si="14"/>
        <v>*0.814695640040816</v>
      </c>
      <c r="AP133" t="str">
        <f t="shared" si="14"/>
        <v>*0.885880097942198</v>
      </c>
      <c r="AQ133" t="str">
        <f t="shared" si="15" ref="J133:AS138">AQ80</f>
        <v>*0.839394722196866</v>
      </c>
      <c r="AR133" t="str">
        <f t="shared" si="15"/>
        <v>*0.812611601321336</v>
      </c>
      <c r="AS133" s="49" t="str">
        <f t="shared" si="15"/>
        <v>*1.05673460932283</v>
      </c>
      <c r="AX133">
        <f>'INS-UPD Heat'!AX48</f>
        <v>1.0084980225972699</v>
      </c>
    </row>
    <row r="134" spans="1:50" ht="12.75">
      <c r="A134" t="str">
        <f t="shared" si="7"/>
        <v>C_ES-SH-OF_GA*</v>
      </c>
      <c r="C134" t="s">
        <v>60</v>
      </c>
      <c r="D134" t="str">
        <f t="shared" si="8"/>
        <v>C_ES-SH-OF_GA*</v>
      </c>
      <c r="F134" t="s">
        <v>175</v>
      </c>
      <c r="H134" s="54"/>
      <c r="I134" t="str">
        <f t="shared" si="5"/>
        <v>*0.751789844164435</v>
      </c>
      <c r="J134" t="str">
        <f t="shared" si="15"/>
        <v>*0.958971368982325</v>
      </c>
      <c r="K134" t="str">
        <f t="shared" si="15"/>
        <v>*0.751789844164435</v>
      </c>
      <c r="L134" t="str">
        <f t="shared" si="15"/>
        <v>*0.98247021598169</v>
      </c>
      <c r="M134" t="str">
        <f t="shared" si="15"/>
        <v>*0.801022925677764</v>
      </c>
      <c r="N134" t="str">
        <f t="shared" si="15"/>
        <v>*1</v>
      </c>
      <c r="O134" t="str">
        <f t="shared" si="15"/>
        <v>*0.750312177594846</v>
      </c>
      <c r="P134" t="str">
        <f t="shared" si="15"/>
        <v>*0.870852828625521</v>
      </c>
      <c r="Q134" t="str">
        <f t="shared" si="15"/>
        <v>*0.766721004074585</v>
      </c>
      <c r="R134" t="str">
        <f t="shared" si="15"/>
        <v>*0.916481590266539</v>
      </c>
      <c r="S134" t="str">
        <f t="shared" si="15"/>
        <v>*0.868634629976933</v>
      </c>
      <c r="T134" t="str">
        <f t="shared" si="15"/>
        <v>*0.751789844164435</v>
      </c>
      <c r="U134" t="str">
        <f t="shared" si="15"/>
        <v>*0.831402561906822</v>
      </c>
      <c r="V134" t="str">
        <f t="shared" si="15"/>
        <v>*0.877090057188528</v>
      </c>
      <c r="W134" t="str">
        <f t="shared" si="15"/>
        <v>*0.913903595895035</v>
      </c>
      <c r="X134" t="str">
        <f t="shared" si="15"/>
        <v>*0.887582361489164</v>
      </c>
      <c r="Y134" t="str">
        <f t="shared" si="15"/>
        <v>*0.88826694111973</v>
      </c>
      <c r="Z134" t="str">
        <f t="shared" si="15"/>
        <v>*0.932017066676991</v>
      </c>
      <c r="AA134" t="str">
        <f t="shared" si="15"/>
        <v>*0.916481590266539</v>
      </c>
      <c r="AB134" t="str">
        <f t="shared" si="15"/>
        <v>*0.912611573794044</v>
      </c>
      <c r="AC134" t="str">
        <f t="shared" si="15"/>
        <v>*0.751789844164435</v>
      </c>
      <c r="AD134" t="str">
        <f t="shared" si="15"/>
        <v>*0.868636514902445</v>
      </c>
      <c r="AE134" t="str">
        <f t="shared" si="15"/>
        <v>*0.916280573443744</v>
      </c>
      <c r="AF134" t="str">
        <f t="shared" si="15"/>
        <v>*0.902440555603779</v>
      </c>
      <c r="AG134" t="str">
        <f t="shared" si="15"/>
        <v>*0.751789844164435</v>
      </c>
      <c r="AH134" t="str">
        <f t="shared" si="15"/>
        <v>*0.751789844164435</v>
      </c>
      <c r="AI134" t="str">
        <f t="shared" si="15"/>
        <v>*0.782553232285825</v>
      </c>
      <c r="AJ134" t="str">
        <f t="shared" si="15"/>
        <v>*0.983432278118349</v>
      </c>
      <c r="AK134" t="str">
        <f t="shared" si="15"/>
        <v>*0.916481590266539</v>
      </c>
      <c r="AL134" t="str">
        <f t="shared" si="15"/>
        <v>*0.907097458133649</v>
      </c>
      <c r="AM134" t="str">
        <f t="shared" si="15"/>
        <v>*0.858910478986323</v>
      </c>
      <c r="AN134" t="str">
        <f t="shared" si="15"/>
        <v>*0.890676709498201</v>
      </c>
      <c r="AO134" t="str">
        <f t="shared" si="15"/>
        <v>*0.751789844164435</v>
      </c>
      <c r="AP134" t="str">
        <f t="shared" si="15"/>
        <v>*0.868634823876442</v>
      </c>
      <c r="AQ134" t="str">
        <f t="shared" si="15"/>
        <v>*0.944703220399034</v>
      </c>
      <c r="AR134" t="str">
        <f t="shared" si="15"/>
        <v>*0.887897908847503</v>
      </c>
      <c r="AS134" s="49" t="str">
        <f t="shared" si="15"/>
        <v>*0.915420971135312</v>
      </c>
      <c r="AX134">
        <f>'INS-UPD Heat'!AX49</f>
        <v>0.73526349090490795</v>
      </c>
    </row>
    <row r="135" spans="1:50" ht="12.75">
      <c r="A135" t="str">
        <f t="shared" si="7"/>
        <v>C_ES-SH-OF_OI*</v>
      </c>
      <c r="C135" t="s">
        <v>60</v>
      </c>
      <c r="D135" t="str">
        <f t="shared" si="8"/>
        <v>C_ES-SH-OF_OI*</v>
      </c>
      <c r="F135" t="s">
        <v>175</v>
      </c>
      <c r="H135" s="54"/>
      <c r="I135" t="str">
        <f t="shared" si="5"/>
        <v>*0.753773411000091</v>
      </c>
      <c r="J135" t="str">
        <f t="shared" si="15"/>
        <v>*0.957544163772634</v>
      </c>
      <c r="K135" t="str">
        <f t="shared" si="15"/>
        <v>*0.753773411000091</v>
      </c>
      <c r="L135" t="str">
        <f t="shared" si="15"/>
        <v>*0.983016992017122</v>
      </c>
      <c r="M135" t="str">
        <f t="shared" si="15"/>
        <v>*0.804716585177828</v>
      </c>
      <c r="N135" t="str">
        <f t="shared" si="15"/>
        <v>*1</v>
      </c>
      <c r="O135" t="str">
        <f t="shared" si="15"/>
        <v>*0.753771965014407</v>
      </c>
      <c r="P135" t="str">
        <f t="shared" si="15"/>
        <v>*0.872640058113471</v>
      </c>
      <c r="Q135" t="str">
        <f t="shared" si="15"/>
        <v>*0.715500925014401</v>
      </c>
      <c r="R135" t="str">
        <f t="shared" si="15"/>
        <v>*0.915094452005067</v>
      </c>
      <c r="S135" t="str">
        <f t="shared" si="15"/>
        <v>*0.872638584269094</v>
      </c>
      <c r="T135" t="str">
        <f t="shared" si="15"/>
        <v>*0.753773411000091</v>
      </c>
      <c r="U135" t="str">
        <f t="shared" si="15"/>
        <v>*0.830188634260304</v>
      </c>
      <c r="V135" t="str">
        <f t="shared" si="15"/>
        <v>*0.881132627863442</v>
      </c>
      <c r="W135" t="str">
        <f t="shared" si="15"/>
        <v>*0.915094198262907</v>
      </c>
      <c r="X135" t="str">
        <f t="shared" si="15"/>
        <v>*0.889621616188381</v>
      </c>
      <c r="Y135" t="str">
        <f t="shared" si="15"/>
        <v>*0.768692227740908</v>
      </c>
      <c r="Z135" t="str">
        <f t="shared" si="15"/>
        <v>*0.932072829532384</v>
      </c>
      <c r="AA135" t="str">
        <f t="shared" si="15"/>
        <v>*0.915094452005067</v>
      </c>
      <c r="AB135" t="str">
        <f t="shared" si="15"/>
        <v>*0.915090313213233</v>
      </c>
      <c r="AC135" t="str">
        <f t="shared" si="15"/>
        <v>*0.753773411000091</v>
      </c>
      <c r="AD135" t="str">
        <f t="shared" si="15"/>
        <v>*0.872642317322356</v>
      </c>
      <c r="AE135" t="str">
        <f t="shared" si="15"/>
        <v>*0.915091850300005</v>
      </c>
      <c r="AF135" t="str">
        <f t="shared" si="15"/>
        <v>*0.906603397591183</v>
      </c>
      <c r="AG135" t="str">
        <f t="shared" si="15"/>
        <v>*0.753773411000091</v>
      </c>
      <c r="AH135" t="str">
        <f t="shared" si="15"/>
        <v>*0.753773411000091</v>
      </c>
      <c r="AI135" t="str">
        <f t="shared" si="15"/>
        <v>*0.768692227740908</v>
      </c>
      <c r="AJ135" t="str">
        <f t="shared" si="15"/>
        <v>*0.983020136421328</v>
      </c>
      <c r="AK135" t="str">
        <f t="shared" si="15"/>
        <v>*0.915094452005067</v>
      </c>
      <c r="AL135" t="str">
        <f t="shared" si="15"/>
        <v>*0.906603703265176</v>
      </c>
      <c r="AM135" t="str">
        <f t="shared" si="15"/>
        <v>*0.855661126516543</v>
      </c>
      <c r="AN135" t="str">
        <f t="shared" si="15"/>
        <v>*0.893867563595842</v>
      </c>
      <c r="AO135" t="str">
        <f t="shared" si="15"/>
        <v>*0.753773411000091</v>
      </c>
      <c r="AP135" t="str">
        <f t="shared" si="15"/>
        <v>*0.872639506876678</v>
      </c>
      <c r="AQ135" t="str">
        <f t="shared" si="15"/>
        <v>*0.94905683960654</v>
      </c>
      <c r="AR135" t="str">
        <f t="shared" si="15"/>
        <v>*0.889623028548323</v>
      </c>
      <c r="AS135" s="49" t="str">
        <f t="shared" si="15"/>
        <v>*0.915091716306065</v>
      </c>
      <c r="AX135">
        <f>'INS-UPD Heat'!AX50</f>
        <v>0.68512373492146095</v>
      </c>
    </row>
    <row r="136" spans="1:50" ht="12.75">
      <c r="A136" t="str">
        <f t="shared" si="7"/>
        <v>C_ES-SH-OF_GE*</v>
      </c>
      <c r="C136" t="s">
        <v>60</v>
      </c>
      <c r="D136" t="str">
        <f t="shared" si="8"/>
        <v>C_ES-SH-OF_GE*</v>
      </c>
      <c r="F136" t="s">
        <v>175</v>
      </c>
      <c r="H136" s="54"/>
      <c r="I136" t="str">
        <f t="shared" si="5"/>
        <v>*1</v>
      </c>
      <c r="J136" t="str">
        <f t="shared" si="15"/>
        <v>*1.18071512418715</v>
      </c>
      <c r="K136" t="str">
        <f t="shared" si="15"/>
        <v>*1</v>
      </c>
      <c r="L136" t="str">
        <f t="shared" si="15"/>
        <v>*1</v>
      </c>
      <c r="M136" t="str">
        <f t="shared" si="15"/>
        <v>*0.992265584693816</v>
      </c>
      <c r="N136" t="str">
        <f t="shared" si="15"/>
        <v>*1</v>
      </c>
      <c r="O136" t="str">
        <f t="shared" si="15"/>
        <v>*1</v>
      </c>
      <c r="P136" t="str">
        <f t="shared" si="15"/>
        <v>*1</v>
      </c>
      <c r="Q136" t="str">
        <f t="shared" si="15"/>
        <v>*0.7</v>
      </c>
      <c r="R136" t="str">
        <f t="shared" si="15"/>
        <v>*1</v>
      </c>
      <c r="S136" t="str">
        <f t="shared" si="15"/>
        <v>*1</v>
      </c>
      <c r="T136" t="str">
        <f t="shared" si="15"/>
        <v>*1</v>
      </c>
      <c r="U136" t="str">
        <f t="shared" si="15"/>
        <v>*1.02367221742178</v>
      </c>
      <c r="V136" t="str">
        <f t="shared" si="15"/>
        <v>*1</v>
      </c>
      <c r="W136" t="str">
        <f t="shared" si="15"/>
        <v>*1.12836642882944</v>
      </c>
      <c r="X136" t="str">
        <f t="shared" si="15"/>
        <v>*1.09695901278096</v>
      </c>
      <c r="Y136" t="str">
        <f t="shared" si="15"/>
        <v>*1.09695874032411</v>
      </c>
      <c r="Z136" t="str">
        <f t="shared" si="15"/>
        <v>*1</v>
      </c>
      <c r="AA136" t="str">
        <f t="shared" si="15"/>
        <v>*1</v>
      </c>
      <c r="AB136" t="str">
        <f t="shared" si="15"/>
        <v>*1.12836780488483</v>
      </c>
      <c r="AC136" t="str">
        <f t="shared" si="15"/>
        <v>*1</v>
      </c>
      <c r="AD136" t="str">
        <f t="shared" si="15"/>
        <v>*1</v>
      </c>
      <c r="AE136" t="str">
        <f t="shared" si="15"/>
        <v>*1</v>
      </c>
      <c r="AF136" t="str">
        <f t="shared" si="15"/>
        <v>*1</v>
      </c>
      <c r="AG136" t="str">
        <f t="shared" si="15"/>
        <v>*1</v>
      </c>
      <c r="AH136" t="str">
        <f t="shared" si="15"/>
        <v>*1</v>
      </c>
      <c r="AI136" t="str">
        <f t="shared" si="15"/>
        <v>*1</v>
      </c>
      <c r="AJ136" t="str">
        <f t="shared" si="15"/>
        <v>*1</v>
      </c>
      <c r="AK136" t="str">
        <f t="shared" si="15"/>
        <v>*1</v>
      </c>
      <c r="AL136" t="str">
        <f t="shared" si="15"/>
        <v>*1.11789847320821</v>
      </c>
      <c r="AM136" t="str">
        <f t="shared" si="15"/>
        <v>*1.05508137432188</v>
      </c>
      <c r="AN136" t="str">
        <f t="shared" si="15"/>
        <v>*1.10219424337653</v>
      </c>
      <c r="AO136" t="str">
        <f t="shared" si="15"/>
        <v>*1</v>
      </c>
      <c r="AP136" t="str">
        <f t="shared" si="15"/>
        <v>*1</v>
      </c>
      <c r="AQ136" t="str">
        <f t="shared" si="15"/>
        <v>*1.17024478027022</v>
      </c>
      <c r="AR136" t="str">
        <f t="shared" si="15"/>
        <v>*1.0969585751785</v>
      </c>
      <c r="AS136" s="49" t="str">
        <f t="shared" si="15"/>
        <v>*1.12836656997825</v>
      </c>
      <c r="AX136">
        <f>'INS-UPD Heat'!AX51</f>
        <v>0.82650058693100303</v>
      </c>
    </row>
    <row r="137" spans="1:50" ht="12.75">
      <c r="A137" t="str">
        <f t="shared" si="7"/>
        <v>C_ES-SH-OF_LP*</v>
      </c>
      <c r="C137" t="s">
        <v>60</v>
      </c>
      <c r="D137" t="str">
        <f t="shared" si="8"/>
        <v>C_ES-SH-OF_LP*</v>
      </c>
      <c r="F137" t="s">
        <v>175</v>
      </c>
      <c r="H137" s="54"/>
      <c r="I137" t="str">
        <f t="shared" si="5"/>
        <v>*1</v>
      </c>
      <c r="J137" t="str">
        <f t="shared" si="15"/>
        <v>*1</v>
      </c>
      <c r="K137" t="str">
        <f t="shared" si="15"/>
        <v>*1</v>
      </c>
      <c r="L137" t="str">
        <f t="shared" si="15"/>
        <v>*1</v>
      </c>
      <c r="M137" t="str">
        <f t="shared" si="15"/>
        <v>*1</v>
      </c>
      <c r="N137" t="str">
        <f t="shared" si="15"/>
        <v>*1</v>
      </c>
      <c r="O137" t="str">
        <f t="shared" si="15"/>
        <v>*1</v>
      </c>
      <c r="P137" t="str">
        <f t="shared" si="15"/>
        <v>*1</v>
      </c>
      <c r="Q137" t="str">
        <f t="shared" si="15"/>
        <v>*0.666666666666667</v>
      </c>
      <c r="R137" t="str">
        <f t="shared" si="15"/>
        <v>*1</v>
      </c>
      <c r="S137" t="str">
        <f t="shared" si="15"/>
        <v>*1</v>
      </c>
      <c r="T137" t="str">
        <f t="shared" si="15"/>
        <v>*1</v>
      </c>
      <c r="U137" t="str">
        <f t="shared" si="15"/>
        <v>*1</v>
      </c>
      <c r="V137" t="str">
        <f t="shared" si="15"/>
        <v>*1</v>
      </c>
      <c r="W137" t="str">
        <f t="shared" si="15"/>
        <v>*1</v>
      </c>
      <c r="X137" t="str">
        <f t="shared" si="15"/>
        <v>*1</v>
      </c>
      <c r="Y137" t="str">
        <f t="shared" si="15"/>
        <v>*1</v>
      </c>
      <c r="Z137" t="str">
        <f t="shared" si="15"/>
        <v>*1</v>
      </c>
      <c r="AA137" t="str">
        <f t="shared" si="15"/>
        <v>*1</v>
      </c>
      <c r="AB137" t="str">
        <f t="shared" si="15"/>
        <v>*1.00831519600226</v>
      </c>
      <c r="AC137" t="str">
        <f t="shared" si="15"/>
        <v>*1</v>
      </c>
      <c r="AD137" t="str">
        <f t="shared" si="15"/>
        <v>*1</v>
      </c>
      <c r="AE137" t="str">
        <f t="shared" si="15"/>
        <v>*1.00831336713657</v>
      </c>
      <c r="AF137" t="str">
        <f t="shared" si="15"/>
        <v>*1</v>
      </c>
      <c r="AG137" t="str">
        <f t="shared" si="15"/>
        <v>*1</v>
      </c>
      <c r="AH137" t="str">
        <f t="shared" si="15"/>
        <v>*1</v>
      </c>
      <c r="AI137" t="str">
        <f t="shared" si="15"/>
        <v>*1</v>
      </c>
      <c r="AJ137" t="str">
        <f t="shared" si="15"/>
        <v>*1</v>
      </c>
      <c r="AK137" t="str">
        <f t="shared" si="15"/>
        <v>*1</v>
      </c>
      <c r="AL137" t="str">
        <f t="shared" si="15"/>
        <v>*1</v>
      </c>
      <c r="AM137" t="str">
        <f t="shared" si="15"/>
        <v>*1</v>
      </c>
      <c r="AN137" t="str">
        <f t="shared" si="15"/>
        <v>*1</v>
      </c>
      <c r="AO137" t="str">
        <f t="shared" si="15"/>
        <v>*1</v>
      </c>
      <c r="AP137" t="str">
        <f t="shared" si="15"/>
        <v>*1</v>
      </c>
      <c r="AQ137" t="str">
        <f t="shared" si="15"/>
        <v>*1.045737981492</v>
      </c>
      <c r="AR137" t="str">
        <f t="shared" si="15"/>
        <v>*1</v>
      </c>
      <c r="AS137" s="49" t="str">
        <f t="shared" si="15"/>
        <v>*1</v>
      </c>
      <c r="AX137">
        <f>'INS-UPD Heat'!AX52</f>
        <v>0.66666666666666696</v>
      </c>
    </row>
    <row r="138" spans="1:50" ht="12.75">
      <c r="A138" t="str">
        <f t="shared" si="7"/>
        <v>C_ES-SH-OF_CO*</v>
      </c>
      <c r="C138" t="s">
        <v>60</v>
      </c>
      <c r="D138" t="str">
        <f t="shared" si="8"/>
        <v>C_ES-SH-OF_CO*</v>
      </c>
      <c r="F138" t="s">
        <v>175</v>
      </c>
      <c r="H138" s="55"/>
      <c r="I138" s="50" t="str">
        <f t="shared" si="5"/>
        <v>*0.806322012647686</v>
      </c>
      <c r="J138" s="50" t="str">
        <f t="shared" si="15"/>
        <v>*0.957546566204691</v>
      </c>
      <c r="K138" s="50" t="str">
        <f t="shared" si="15"/>
        <v>*0.806322012647686</v>
      </c>
      <c r="L138" s="50" t="str">
        <f t="shared" si="15"/>
        <v>*0.806322012647686</v>
      </c>
      <c r="M138" s="50" t="str">
        <f t="shared" si="15"/>
        <v>*0.804719068299585</v>
      </c>
      <c r="N138" s="50" t="str">
        <f t="shared" si="15"/>
        <v>*1</v>
      </c>
      <c r="O138" s="50" t="str">
        <f t="shared" si="15"/>
        <v>*0.806322012647686</v>
      </c>
      <c r="P138" s="50" t="str">
        <f t="shared" si="15"/>
        <v>*0.872641433460454</v>
      </c>
      <c r="Q138" s="50" t="str">
        <f t="shared" si="15"/>
        <v>*0.620099652691077</v>
      </c>
      <c r="R138" s="50" t="str">
        <f t="shared" si="15"/>
        <v>*0.806322012647686</v>
      </c>
      <c r="S138" s="50" t="str">
        <f t="shared" si="15"/>
        <v>*0.872643446827971</v>
      </c>
      <c r="T138" s="50" t="str">
        <f t="shared" si="15"/>
        <v>*0.806322012647686</v>
      </c>
      <c r="U138" s="50" t="str">
        <f t="shared" si="15"/>
        <v>*0.830187692790597</v>
      </c>
      <c r="V138" s="50" t="str">
        <f t="shared" si="15"/>
        <v>*0.88113082387544</v>
      </c>
      <c r="W138" s="50" t="str">
        <f t="shared" si="15"/>
        <v>*0.806322012647686</v>
      </c>
      <c r="X138" s="50" t="str">
        <f t="shared" si="15"/>
        <v>*0.889623229961177</v>
      </c>
      <c r="Y138" s="50" t="str">
        <f t="shared" si="15"/>
        <v>*0.889620935555759</v>
      </c>
      <c r="Z138" s="50" t="str">
        <f t="shared" si="15"/>
        <v>*0.806322012647686</v>
      </c>
      <c r="AA138" s="50" t="str">
        <f t="shared" si="15"/>
        <v>*0.806322012647686</v>
      </c>
      <c r="AB138" s="50" t="str">
        <f t="shared" si="15"/>
        <v>*0.806322012647686</v>
      </c>
      <c r="AC138" s="50" t="str">
        <f t="shared" si="15"/>
        <v>*0.806322012647686</v>
      </c>
      <c r="AD138" s="50" t="str">
        <f t="shared" si="15"/>
        <v>*0.87264257545149</v>
      </c>
      <c r="AE138" s="50" t="str">
        <f t="shared" si="15"/>
        <v>*0.806322012647686</v>
      </c>
      <c r="AF138" s="50" t="str">
        <f t="shared" si="15"/>
        <v>*0.906603887155439</v>
      </c>
      <c r="AG138" s="50" t="str">
        <f t="shared" si="15"/>
        <v>*0.806322012647686</v>
      </c>
      <c r="AH138" s="50" t="str">
        <f t="shared" si="15"/>
        <v>*0.806322012647686</v>
      </c>
      <c r="AI138" s="50" t="str">
        <f t="shared" si="15"/>
        <v>*0.806322012647686</v>
      </c>
      <c r="AJ138" s="50" t="str">
        <f t="shared" si="15"/>
        <v>*0.983019632318116</v>
      </c>
      <c r="AK138" s="50" t="str">
        <f t="shared" si="15"/>
        <v>*0.806322012647686</v>
      </c>
      <c r="AL138" s="50" t="str">
        <f t="shared" si="15"/>
        <v>*0.906604351626599</v>
      </c>
      <c r="AM138" s="50" t="str">
        <f t="shared" si="15"/>
        <v>*0.806322012647686</v>
      </c>
      <c r="AN138" s="50" t="str">
        <f t="shared" si="15"/>
        <v>*0.89386762861896</v>
      </c>
      <c r="AO138" s="50" t="str">
        <f t="shared" si="15"/>
        <v>*0.806322012647686</v>
      </c>
      <c r="AP138" s="50" t="str">
        <f t="shared" si="15"/>
        <v>*0.806322012647686</v>
      </c>
      <c r="AQ138" s="50" t="str">
        <f t="shared" si="15"/>
        <v>*0.806322012647686</v>
      </c>
      <c r="AR138" s="50" t="str">
        <f t="shared" si="15"/>
        <v>*0.889622985856844</v>
      </c>
      <c r="AS138" s="52" t="str">
        <f t="shared" si="15"/>
        <v>*0.915091066360072</v>
      </c>
      <c r="AX138">
        <f>'INS-UPD Heat'!AX53</f>
        <v>0.59377429313906205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V34"/>
  <sheetViews>
    <sheetView workbookViewId="0" topLeftCell="A1">
      <selection pane="topLeft" activeCell="AU1" sqref="AU1"/>
    </sheetView>
  </sheetViews>
  <sheetFormatPr defaultRowHeight="12.75"/>
  <cols>
    <col min="1" max="1" width="14.4285714285714" bestFit="1" customWidth="1"/>
  </cols>
  <sheetData>
    <row r="1" spans="9:47" ht="12.75">
      <c r="I1" t="s">
        <v>40</v>
      </c>
      <c r="J1" t="s">
        <v>0</v>
      </c>
      <c r="K1" t="s">
        <v>44</v>
      </c>
      <c r="L1" t="s">
        <v>1</v>
      </c>
      <c r="M1" t="s">
        <v>30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47</v>
      </c>
      <c r="U1" t="s">
        <v>8</v>
      </c>
      <c r="V1" t="s">
        <v>9</v>
      </c>
      <c r="W1" t="s">
        <v>10</v>
      </c>
      <c r="X1" t="s">
        <v>31</v>
      </c>
      <c r="Y1" t="s">
        <v>11</v>
      </c>
      <c r="Z1" t="s">
        <v>12</v>
      </c>
      <c r="AA1" t="s">
        <v>13</v>
      </c>
      <c r="AB1" t="s">
        <v>27</v>
      </c>
      <c r="AC1" t="s">
        <v>45</v>
      </c>
      <c r="AD1" t="s">
        <v>14</v>
      </c>
      <c r="AE1" t="s">
        <v>15</v>
      </c>
      <c r="AF1" t="s">
        <v>16</v>
      </c>
      <c r="AG1" t="s">
        <v>41</v>
      </c>
      <c r="AH1" t="s">
        <v>32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42</v>
      </c>
      <c r="AP1" t="s">
        <v>23</v>
      </c>
      <c r="AQ1" t="s">
        <v>24</v>
      </c>
      <c r="AR1" t="s">
        <v>25</v>
      </c>
      <c r="AS1" t="s">
        <v>26</v>
      </c>
      <c r="AU1">
        <v>0.0070000000000000001</v>
      </c>
    </row>
    <row r="2" spans="9:48" ht="12.75">
      <c r="I2" s="206">
        <f>RES_SpCool!L2</f>
        <v>0.022883590208291501</v>
      </c>
      <c r="J2" s="206">
        <f>RES_SpCool!M2</f>
        <v>0.0021302164424318502</v>
      </c>
      <c r="K2" s="206">
        <f>RES_SpCool!N2</f>
        <v>0.054996058590660202</v>
      </c>
      <c r="L2" s="206">
        <f>RES_SpCool!O2</f>
        <v>0.0069617956665415396</v>
      </c>
      <c r="M2" s="206">
        <f>RES_SpCool!P2</f>
        <v>0.00360274250538167</v>
      </c>
      <c r="N2" s="206">
        <f>RES_SpCool!Q2</f>
        <v>0.0021595309593404602</v>
      </c>
      <c r="O2" s="206">
        <f>RES_SpCool!R2</f>
        <v>0.0491819845897652</v>
      </c>
      <c r="P2" s="206">
        <f>RES_SpCool!S2</f>
        <v>0.00039949171238895498</v>
      </c>
      <c r="Q2" s="206">
        <f>RES_SpCool!T2</f>
        <v>0.001913072529442</v>
      </c>
      <c r="R2" s="206">
        <f>RES_SpCool!U2</f>
        <v>0.001443708353098</v>
      </c>
      <c r="S2" s="206">
        <f>RES_SpCool!V2</f>
        <v>8.14194119618869E-05</v>
      </c>
      <c r="T2" s="206">
        <f>RES_SpCool!W2</f>
        <v>0.0171471607358736</v>
      </c>
      <c r="U2" s="206">
        <f>RES_SpCool!X2</f>
        <v>0.0127244985576873</v>
      </c>
      <c r="V2" s="206">
        <f>RES_SpCool!Y2</f>
        <v>0.00051828235385553603</v>
      </c>
      <c r="W2" s="206">
        <f>RES_SpCool!Z2</f>
        <v>0.014718314668544201</v>
      </c>
      <c r="X2" s="206">
        <f>RES_SpCool!AA2</f>
        <v>0.026783388227772899</v>
      </c>
      <c r="Y2" s="206">
        <f>RES_SpCool!AB2</f>
        <v>0.000424014139315131</v>
      </c>
      <c r="Z2" s="206">
        <f>RES_SpCool!AC2</f>
        <v>0.0011683860507482799</v>
      </c>
      <c r="AA2" s="206">
        <f>RES_SpCool!AD2</f>
        <v>0.00045030461435534199</v>
      </c>
      <c r="AB2" s="206">
        <f>RES_SpCool!AE2</f>
        <v>0.013152332419677899</v>
      </c>
      <c r="AC2" s="206">
        <f>RES_SpCool!AF2</f>
        <v>0.046086778524127903</v>
      </c>
      <c r="AD2" s="206">
        <f>RES_SpCool!AG2</f>
        <v>6.6124823120836999E-05</v>
      </c>
      <c r="AE2" s="206">
        <f>RES_SpCool!AH2</f>
        <v>0.0197520381485423</v>
      </c>
      <c r="AF2" s="206">
        <f>RES_SpCool!AI2</f>
        <v>1.0873073948011399E-05</v>
      </c>
      <c r="AG2" s="206">
        <f>RES_SpCool!AJ2</f>
        <v>0.022813612819336099</v>
      </c>
      <c r="AH2" s="206">
        <f>RES_SpCool!AK2</f>
        <v>0.065256273164681106</v>
      </c>
      <c r="AI2" s="206">
        <f>RES_SpCool!AL2</f>
        <v>0.056542394729850801</v>
      </c>
      <c r="AJ2" s="206">
        <f>RES_SpCool!AM2</f>
        <v>0.0045234859232420304</v>
      </c>
      <c r="AK2" s="206">
        <f>RES_SpCool!AN2</f>
        <v>0.0016626780748656301</v>
      </c>
      <c r="AL2" s="206">
        <f>RES_SpCool!AO2</f>
        <v>0.00026127892895197501</v>
      </c>
      <c r="AM2" s="206">
        <f>RES_SpCool!AP2</f>
        <v>0.0091620390462388897</v>
      </c>
      <c r="AN2" s="206">
        <f>RES_SpCool!AQ2</f>
        <v>0.00054641281125837604</v>
      </c>
      <c r="AO2" s="206">
        <f>RES_SpCool!AR2</f>
        <v>0.059964650759345699</v>
      </c>
      <c r="AP2" s="206">
        <f>RES_SpCool!AS2</f>
        <v>0.00109733605276681</v>
      </c>
      <c r="AQ2" s="206">
        <f>RES_SpCool!AT2</f>
        <v>0.0042112949785892296</v>
      </c>
      <c r="AR2" s="206">
        <f>RES_SpCool!AU2</f>
        <v>0.00132081945126404</v>
      </c>
      <c r="AS2" s="206">
        <f>RES_SpCool!AV2</f>
        <v>0.00078546003161163202</v>
      </c>
      <c r="AU2">
        <f>AVERAGE('INS-UPD SpCool'!I2:AS2)</f>
        <v>0.014240644434564183</v>
      </c>
      <c r="AV2">
        <f>MAX('INS-UPD SpCool'!I2:AS2)</f>
        <v>0.065256273164681106</v>
      </c>
    </row>
    <row r="3" spans="9:48" ht="12.75">
      <c r="I3" s="206">
        <f>RES_SpCool!L3</f>
        <v>0.022883590208291501</v>
      </c>
      <c r="J3" s="206">
        <f>RES_SpCool!M3</f>
        <v>0.0021302164424318502</v>
      </c>
      <c r="K3" s="206">
        <f>RES_SpCool!N3</f>
        <v>0.054996058590660202</v>
      </c>
      <c r="L3" s="206">
        <f>RES_SpCool!O3</f>
        <v>0.0069617956665415396</v>
      </c>
      <c r="M3" s="206">
        <f>RES_SpCool!P3</f>
        <v>0.00360274250538167</v>
      </c>
      <c r="N3" s="206">
        <f>RES_SpCool!Q3</f>
        <v>0.0021595309593404602</v>
      </c>
      <c r="O3" s="206">
        <f>RES_SpCool!R3</f>
        <v>0.0491819845897652</v>
      </c>
      <c r="P3" s="206">
        <f>RES_SpCool!S3</f>
        <v>0.00039949171238895498</v>
      </c>
      <c r="Q3" s="206">
        <f>RES_SpCool!T3</f>
        <v>0.001913072529442</v>
      </c>
      <c r="R3" s="206">
        <f>RES_SpCool!U3</f>
        <v>0.001443708353098</v>
      </c>
      <c r="S3" s="206">
        <f>RES_SpCool!V3</f>
        <v>8.14194119618869E-05</v>
      </c>
      <c r="T3" s="206">
        <f>RES_SpCool!W3</f>
        <v>0.0171471607358736</v>
      </c>
      <c r="U3" s="206">
        <f>RES_SpCool!X3</f>
        <v>0.0127244985576873</v>
      </c>
      <c r="V3" s="206">
        <f>RES_SpCool!Y3</f>
        <v>0.00051828235385553603</v>
      </c>
      <c r="W3" s="206">
        <f>RES_SpCool!Z3</f>
        <v>0.014718314668544201</v>
      </c>
      <c r="X3" s="206">
        <f>RES_SpCool!AA3</f>
        <v>0.026783388227772899</v>
      </c>
      <c r="Y3" s="206">
        <f>RES_SpCool!AB3</f>
        <v>0.000424014139315131</v>
      </c>
      <c r="Z3" s="206">
        <f>RES_SpCool!AC3</f>
        <v>0.0011683860507482799</v>
      </c>
      <c r="AA3" s="206">
        <f>RES_SpCool!AD3</f>
        <v>0.00045030461435534199</v>
      </c>
      <c r="AB3" s="206">
        <f>RES_SpCool!AE3</f>
        <v>0.013152332419677899</v>
      </c>
      <c r="AC3" s="206">
        <f>RES_SpCool!AF3</f>
        <v>0.046086778524127903</v>
      </c>
      <c r="AD3" s="206">
        <f>RES_SpCool!AG3</f>
        <v>6.6124823120836999E-05</v>
      </c>
      <c r="AE3" s="206">
        <f>RES_SpCool!AH3</f>
        <v>0.0197520381485423</v>
      </c>
      <c r="AF3" s="206">
        <f>RES_SpCool!AI3</f>
        <v>1.0873073948011399E-05</v>
      </c>
      <c r="AG3" s="206">
        <f>RES_SpCool!AJ3</f>
        <v>0.022813612819336099</v>
      </c>
      <c r="AH3" s="206">
        <f>RES_SpCool!AK3</f>
        <v>0.065256273164681106</v>
      </c>
      <c r="AI3" s="206">
        <f>RES_SpCool!AL3</f>
        <v>0.056542394729850801</v>
      </c>
      <c r="AJ3" s="206">
        <f>RES_SpCool!AM3</f>
        <v>0.0045234859232420304</v>
      </c>
      <c r="AK3" s="206">
        <f>RES_SpCool!AN3</f>
        <v>0.0016626780748656301</v>
      </c>
      <c r="AL3" s="206">
        <f>RES_SpCool!AO3</f>
        <v>0.00026127892895197501</v>
      </c>
      <c r="AM3" s="206">
        <f>RES_SpCool!AP3</f>
        <v>0.0091620390462388897</v>
      </c>
      <c r="AN3" s="206">
        <f>RES_SpCool!AQ3</f>
        <v>0.00054641281125837604</v>
      </c>
      <c r="AO3" s="206">
        <f>RES_SpCool!AR3</f>
        <v>0.059964650759345699</v>
      </c>
      <c r="AP3" s="206">
        <f>RES_SpCool!AS3</f>
        <v>0.00109733605276681</v>
      </c>
      <c r="AQ3" s="206">
        <f>RES_SpCool!AT3</f>
        <v>0.0042112949785892296</v>
      </c>
      <c r="AR3" s="206">
        <f>RES_SpCool!AU3</f>
        <v>0.00132081945126404</v>
      </c>
      <c r="AS3" s="206">
        <f>RES_SpCool!AV3</f>
        <v>0.00078546003161163202</v>
      </c>
      <c r="AU3">
        <f>AVERAGE('INS-UPD SpCool'!I3:AS3)</f>
        <v>0.014240644434564183</v>
      </c>
      <c r="AV3">
        <f>MAX('INS-UPD SpCool'!I3:AS3)</f>
        <v>0.065256273164681106</v>
      </c>
    </row>
    <row r="4" spans="9:48" ht="12.75">
      <c r="I4" s="206">
        <f>RES_SpCool!L4</f>
        <v>0.022883590208291501</v>
      </c>
      <c r="J4" s="206">
        <f>RES_SpCool!M4</f>
        <v>0.0021302164424318502</v>
      </c>
      <c r="K4" s="206">
        <f>RES_SpCool!N4</f>
        <v>0.054996058590660202</v>
      </c>
      <c r="L4" s="206">
        <f>RES_SpCool!O4</f>
        <v>0.0069617956665415396</v>
      </c>
      <c r="M4" s="206">
        <f>RES_SpCool!P4</f>
        <v>0.00360274250538167</v>
      </c>
      <c r="N4" s="206">
        <f>RES_SpCool!Q4</f>
        <v>0.0021595309593404602</v>
      </c>
      <c r="O4" s="206">
        <f>RES_SpCool!R4</f>
        <v>0.0491819845897652</v>
      </c>
      <c r="P4" s="206">
        <f>RES_SpCool!S4</f>
        <v>0.00039949171238895498</v>
      </c>
      <c r="Q4" s="206">
        <f>RES_SpCool!T4</f>
        <v>0.001913072529442</v>
      </c>
      <c r="R4" s="206">
        <f>RES_SpCool!U4</f>
        <v>0.001443708353098</v>
      </c>
      <c r="S4" s="206">
        <f>RES_SpCool!V4</f>
        <v>8.14194119618869E-05</v>
      </c>
      <c r="T4" s="206">
        <f>RES_SpCool!W4</f>
        <v>0.0171471607358736</v>
      </c>
      <c r="U4" s="206">
        <f>RES_SpCool!X4</f>
        <v>0.0127244985576873</v>
      </c>
      <c r="V4" s="206">
        <f>RES_SpCool!Y4</f>
        <v>0.00051828235385553603</v>
      </c>
      <c r="W4" s="206">
        <f>RES_SpCool!Z4</f>
        <v>0.014718314668544201</v>
      </c>
      <c r="X4" s="206">
        <f>RES_SpCool!AA4</f>
        <v>0.026783388227772899</v>
      </c>
      <c r="Y4" s="206">
        <f>RES_SpCool!AB4</f>
        <v>0.000424014139315131</v>
      </c>
      <c r="Z4" s="206">
        <f>RES_SpCool!AC4</f>
        <v>0.0011683860507482799</v>
      </c>
      <c r="AA4" s="206">
        <f>RES_SpCool!AD4</f>
        <v>0.00045030461435534199</v>
      </c>
      <c r="AB4" s="206">
        <f>RES_SpCool!AE4</f>
        <v>0.013152332419677899</v>
      </c>
      <c r="AC4" s="206">
        <f>RES_SpCool!AF4</f>
        <v>0.046086778524127903</v>
      </c>
      <c r="AD4" s="206">
        <f>RES_SpCool!AG4</f>
        <v>6.6124823120836999E-05</v>
      </c>
      <c r="AE4" s="206">
        <f>RES_SpCool!AH4</f>
        <v>0.0197520381485423</v>
      </c>
      <c r="AF4" s="206">
        <f>RES_SpCool!AI4</f>
        <v>1.0873073948011399E-05</v>
      </c>
      <c r="AG4" s="206">
        <f>RES_SpCool!AJ4</f>
        <v>0.022813612819336099</v>
      </c>
      <c r="AH4" s="206">
        <f>RES_SpCool!AK4</f>
        <v>0.065256273164681106</v>
      </c>
      <c r="AI4" s="206">
        <f>RES_SpCool!AL4</f>
        <v>0.056542394729850801</v>
      </c>
      <c r="AJ4" s="206">
        <f>RES_SpCool!AM4</f>
        <v>0.0045234859232420304</v>
      </c>
      <c r="AK4" s="206">
        <f>RES_SpCool!AN4</f>
        <v>0.0016626780748656301</v>
      </c>
      <c r="AL4" s="206">
        <f>RES_SpCool!AO4</f>
        <v>0.00026127892895197501</v>
      </c>
      <c r="AM4" s="206">
        <f>RES_SpCool!AP4</f>
        <v>0.0091620390462388897</v>
      </c>
      <c r="AN4" s="206">
        <f>RES_SpCool!AQ4</f>
        <v>0.00054641281125837604</v>
      </c>
      <c r="AO4" s="206">
        <f>RES_SpCool!AR4</f>
        <v>0.059964650759345699</v>
      </c>
      <c r="AP4" s="206">
        <f>RES_SpCool!AS4</f>
        <v>0.00109733605276681</v>
      </c>
      <c r="AQ4" s="206">
        <f>RES_SpCool!AT4</f>
        <v>0.0042112949785892296</v>
      </c>
      <c r="AR4" s="206">
        <f>RES_SpCool!AU4</f>
        <v>0.00132081945126404</v>
      </c>
      <c r="AS4" s="206">
        <f>RES_SpCool!AV4</f>
        <v>0.00078546003161163202</v>
      </c>
      <c r="AU4">
        <f>AVERAGE('INS-UPD SpCool'!I4:AS4)</f>
        <v>0.014240644434564183</v>
      </c>
      <c r="AV4">
        <f>MAX('INS-UPD SpCool'!I4:AS4)</f>
        <v>0.065256273164681106</v>
      </c>
    </row>
    <row r="5" spans="1:45" ht="15">
      <c r="A5" s="6" t="s">
        <v>52</v>
      </c>
      <c r="B5" t="s">
        <v>245</v>
      </c>
      <c r="I5">
        <f>MAX($AU$1,IF(I2&lt;$AU2,$AU2*(I2/$AU2)^0.5,I2))</f>
        <v>0.022883590208291501</v>
      </c>
      <c r="J5">
        <f t="shared" si="0" ref="J5:Q5">MAX($AU$1,IF(J2&lt;$AU2,$AU2*(J2/$AU2)^0.5,J2))</f>
        <v>0.0070000000000000001</v>
      </c>
      <c r="K5">
        <f t="shared" si="0"/>
        <v>0.054996058590660202</v>
      </c>
      <c r="L5">
        <f t="shared" si="0"/>
        <v>0.0099569300847855615</v>
      </c>
      <c r="M5">
        <f t="shared" si="0"/>
        <v>0.007162777045841319</v>
      </c>
      <c r="N5">
        <f t="shared" si="0"/>
        <v>0.0070000000000000001</v>
      </c>
      <c r="O5">
        <f t="shared" si="0"/>
        <v>0.0491819845897652</v>
      </c>
      <c r="P5">
        <f t="shared" si="0"/>
        <v>0.0070000000000000001</v>
      </c>
      <c r="Q5">
        <f t="shared" si="0"/>
        <v>0.0070000000000000001</v>
      </c>
      <c r="R5">
        <f t="shared" si="1" ref="R5:AK5">MAX($AU$1,IF(R2&lt;$AU2,$AU2*(R2/$AU2)^0.5,R2))</f>
        <v>0.0070000000000000001</v>
      </c>
      <c r="S5">
        <f t="shared" si="1"/>
        <v>0.0070000000000000001</v>
      </c>
      <c r="T5">
        <f t="shared" si="1"/>
        <v>0.0171471607358736</v>
      </c>
      <c r="U5">
        <f t="shared" si="1"/>
        <v>0.013461242868626567</v>
      </c>
      <c r="V5">
        <f t="shared" si="1"/>
        <v>0.0070000000000000001</v>
      </c>
      <c r="W5">
        <f t="shared" si="1"/>
        <v>0.014718314668544201</v>
      </c>
      <c r="X5">
        <f t="shared" si="1"/>
        <v>0.026783388227772899</v>
      </c>
      <c r="Y5">
        <f t="shared" si="1"/>
        <v>0.0070000000000000001</v>
      </c>
      <c r="Z5">
        <f t="shared" si="1"/>
        <v>0.0070000000000000001</v>
      </c>
      <c r="AA5">
        <f t="shared" si="1"/>
        <v>0.0070000000000000001</v>
      </c>
      <c r="AB5">
        <f t="shared" si="1"/>
        <v>0.013685674607918462</v>
      </c>
      <c r="AC5">
        <f t="shared" si="1"/>
        <v>0.046086778524127903</v>
      </c>
      <c r="AD5">
        <f t="shared" si="1"/>
        <v>0.0070000000000000001</v>
      </c>
      <c r="AE5">
        <f t="shared" si="1"/>
        <v>0.0197520381485423</v>
      </c>
      <c r="AF5">
        <f t="shared" si="1"/>
        <v>0.0070000000000000001</v>
      </c>
      <c r="AG5">
        <f t="shared" si="1"/>
        <v>0.022813612819336099</v>
      </c>
      <c r="AH5">
        <f t="shared" si="1"/>
        <v>0.065256273164681106</v>
      </c>
      <c r="AI5">
        <f t="shared" si="1"/>
        <v>0.056542394729850801</v>
      </c>
      <c r="AJ5">
        <f t="shared" si="1"/>
        <v>0.0080260422773398114</v>
      </c>
      <c r="AK5">
        <f t="shared" si="1"/>
        <v>0.0070000000000000001</v>
      </c>
      <c r="AL5">
        <f t="shared" si="2" ref="AL5:AS5">MAX($AU$1,IF(AL2&lt;$AU2,$AU2*(AL2/$AU2)^0.5,AL2))</f>
        <v>0.0070000000000000001</v>
      </c>
      <c r="AM5">
        <f t="shared" si="2"/>
        <v>0.011422492738149654</v>
      </c>
      <c r="AN5">
        <f t="shared" si="2"/>
        <v>0.0070000000000000001</v>
      </c>
      <c r="AO5">
        <f t="shared" si="2"/>
        <v>0.059964650759345699</v>
      </c>
      <c r="AP5">
        <f t="shared" si="2"/>
        <v>0.0070000000000000001</v>
      </c>
      <c r="AQ5">
        <f t="shared" si="2"/>
        <v>0.0077441303190968333</v>
      </c>
      <c r="AR5">
        <f t="shared" si="2"/>
        <v>0.0070000000000000001</v>
      </c>
      <c r="AS5">
        <f t="shared" si="2"/>
        <v>0.0070000000000000001</v>
      </c>
    </row>
    <row r="6" spans="1:45" ht="15">
      <c r="A6" s="6" t="s">
        <v>52</v>
      </c>
      <c r="B6" t="s">
        <v>246</v>
      </c>
      <c r="I6">
        <f t="shared" si="3" ref="I6:Q6">MAX($AU$1,IF(I3&lt;$AU3,$AU3*(I3/$AU3)^0.5,I3))</f>
        <v>0.022883590208291501</v>
      </c>
      <c r="J6">
        <f t="shared" si="3"/>
        <v>0.0070000000000000001</v>
      </c>
      <c r="K6">
        <f t="shared" si="3"/>
        <v>0.054996058590660202</v>
      </c>
      <c r="L6">
        <f t="shared" si="3"/>
        <v>0.0099569300847855615</v>
      </c>
      <c r="M6">
        <f t="shared" si="3"/>
        <v>0.007162777045841319</v>
      </c>
      <c r="N6">
        <f t="shared" si="3"/>
        <v>0.0070000000000000001</v>
      </c>
      <c r="O6">
        <f t="shared" si="3"/>
        <v>0.0491819845897652</v>
      </c>
      <c r="P6">
        <f t="shared" si="3"/>
        <v>0.0070000000000000001</v>
      </c>
      <c r="Q6">
        <f t="shared" si="3"/>
        <v>0.0070000000000000001</v>
      </c>
      <c r="R6">
        <f t="shared" si="4" ref="R6:AK6">MAX($AU$1,IF(R3&lt;$AU3,$AU3*(R3/$AU3)^0.5,R3))</f>
        <v>0.0070000000000000001</v>
      </c>
      <c r="S6">
        <f t="shared" si="4"/>
        <v>0.0070000000000000001</v>
      </c>
      <c r="T6">
        <f t="shared" si="4"/>
        <v>0.0171471607358736</v>
      </c>
      <c r="U6">
        <f t="shared" si="4"/>
        <v>0.013461242868626567</v>
      </c>
      <c r="V6">
        <f t="shared" si="4"/>
        <v>0.0070000000000000001</v>
      </c>
      <c r="W6">
        <f t="shared" si="4"/>
        <v>0.014718314668544201</v>
      </c>
      <c r="X6">
        <f t="shared" si="4"/>
        <v>0.026783388227772899</v>
      </c>
      <c r="Y6">
        <f t="shared" si="4"/>
        <v>0.0070000000000000001</v>
      </c>
      <c r="Z6">
        <f t="shared" si="4"/>
        <v>0.0070000000000000001</v>
      </c>
      <c r="AA6">
        <f t="shared" si="4"/>
        <v>0.0070000000000000001</v>
      </c>
      <c r="AB6">
        <f t="shared" si="4"/>
        <v>0.013685674607918462</v>
      </c>
      <c r="AC6">
        <f t="shared" si="4"/>
        <v>0.046086778524127903</v>
      </c>
      <c r="AD6">
        <f t="shared" si="4"/>
        <v>0.0070000000000000001</v>
      </c>
      <c r="AE6">
        <f t="shared" si="4"/>
        <v>0.0197520381485423</v>
      </c>
      <c r="AF6">
        <f t="shared" si="4"/>
        <v>0.0070000000000000001</v>
      </c>
      <c r="AG6">
        <f t="shared" si="4"/>
        <v>0.022813612819336099</v>
      </c>
      <c r="AH6">
        <f t="shared" si="4"/>
        <v>0.065256273164681106</v>
      </c>
      <c r="AI6">
        <f t="shared" si="4"/>
        <v>0.056542394729850801</v>
      </c>
      <c r="AJ6">
        <f t="shared" si="4"/>
        <v>0.0080260422773398114</v>
      </c>
      <c r="AK6">
        <f t="shared" si="4"/>
        <v>0.0070000000000000001</v>
      </c>
      <c r="AL6">
        <f t="shared" si="5" ref="AL6:AS6">MAX($AU$1,IF(AL3&lt;$AU3,$AU3*(AL3/$AU3)^0.5,AL3))</f>
        <v>0.0070000000000000001</v>
      </c>
      <c r="AM6">
        <f t="shared" si="5"/>
        <v>0.011422492738149654</v>
      </c>
      <c r="AN6">
        <f t="shared" si="5"/>
        <v>0.0070000000000000001</v>
      </c>
      <c r="AO6">
        <f t="shared" si="5"/>
        <v>0.059964650759345699</v>
      </c>
      <c r="AP6">
        <f t="shared" si="5"/>
        <v>0.0070000000000000001</v>
      </c>
      <c r="AQ6">
        <f t="shared" si="5"/>
        <v>0.0077441303190968333</v>
      </c>
      <c r="AR6">
        <f t="shared" si="5"/>
        <v>0.0070000000000000001</v>
      </c>
      <c r="AS6">
        <f t="shared" si="5"/>
        <v>0.0070000000000000001</v>
      </c>
    </row>
    <row r="7" spans="1:45" ht="15">
      <c r="A7" s="6" t="s">
        <v>52</v>
      </c>
      <c r="B7" t="s">
        <v>247</v>
      </c>
      <c r="I7">
        <f t="shared" si="6" ref="I7:Q7">MAX($AU$1,IF(I4&lt;$AU4,$AU4*(I4/$AU4)^0.5,I4))</f>
        <v>0.022883590208291501</v>
      </c>
      <c r="J7">
        <f t="shared" si="6"/>
        <v>0.0070000000000000001</v>
      </c>
      <c r="K7">
        <f t="shared" si="6"/>
        <v>0.054996058590660202</v>
      </c>
      <c r="L7">
        <f t="shared" si="6"/>
        <v>0.0099569300847855615</v>
      </c>
      <c r="M7">
        <f t="shared" si="6"/>
        <v>0.007162777045841319</v>
      </c>
      <c r="N7">
        <f t="shared" si="6"/>
        <v>0.0070000000000000001</v>
      </c>
      <c r="O7">
        <f t="shared" si="6"/>
        <v>0.0491819845897652</v>
      </c>
      <c r="P7">
        <f t="shared" si="6"/>
        <v>0.0070000000000000001</v>
      </c>
      <c r="Q7">
        <f t="shared" si="6"/>
        <v>0.0070000000000000001</v>
      </c>
      <c r="R7">
        <f t="shared" si="7" ref="R7:AK7">MAX($AU$1,IF(R4&lt;$AU4,$AU4*(R4/$AU4)^0.5,R4))</f>
        <v>0.0070000000000000001</v>
      </c>
      <c r="S7">
        <f t="shared" si="7"/>
        <v>0.0070000000000000001</v>
      </c>
      <c r="T7">
        <f t="shared" si="7"/>
        <v>0.0171471607358736</v>
      </c>
      <c r="U7">
        <f t="shared" si="7"/>
        <v>0.013461242868626567</v>
      </c>
      <c r="V7">
        <f t="shared" si="7"/>
        <v>0.0070000000000000001</v>
      </c>
      <c r="W7">
        <f t="shared" si="7"/>
        <v>0.014718314668544201</v>
      </c>
      <c r="X7">
        <f t="shared" si="7"/>
        <v>0.026783388227772899</v>
      </c>
      <c r="Y7">
        <f t="shared" si="7"/>
        <v>0.0070000000000000001</v>
      </c>
      <c r="Z7">
        <f t="shared" si="7"/>
        <v>0.0070000000000000001</v>
      </c>
      <c r="AA7">
        <f t="shared" si="7"/>
        <v>0.0070000000000000001</v>
      </c>
      <c r="AB7">
        <f t="shared" si="7"/>
        <v>0.013685674607918462</v>
      </c>
      <c r="AC7">
        <f t="shared" si="7"/>
        <v>0.046086778524127903</v>
      </c>
      <c r="AD7">
        <f t="shared" si="7"/>
        <v>0.0070000000000000001</v>
      </c>
      <c r="AE7">
        <f t="shared" si="7"/>
        <v>0.0197520381485423</v>
      </c>
      <c r="AF7">
        <f t="shared" si="7"/>
        <v>0.0070000000000000001</v>
      </c>
      <c r="AG7">
        <f t="shared" si="7"/>
        <v>0.022813612819336099</v>
      </c>
      <c r="AH7">
        <f t="shared" si="7"/>
        <v>0.065256273164681106</v>
      </c>
      <c r="AI7">
        <f t="shared" si="7"/>
        <v>0.056542394729850801</v>
      </c>
      <c r="AJ7">
        <f t="shared" si="7"/>
        <v>0.0080260422773398114</v>
      </c>
      <c r="AK7">
        <f t="shared" si="7"/>
        <v>0.0070000000000000001</v>
      </c>
      <c r="AL7">
        <f t="shared" si="8" ref="AL7:AS7">MAX($AU$1,IF(AL4&lt;$AU4,$AU4*(AL4/$AU4)^0.5,AL4))</f>
        <v>0.0070000000000000001</v>
      </c>
      <c r="AM7">
        <f t="shared" si="8"/>
        <v>0.011422492738149654</v>
      </c>
      <c r="AN7">
        <f t="shared" si="8"/>
        <v>0.0070000000000000001</v>
      </c>
      <c r="AO7">
        <f t="shared" si="8"/>
        <v>0.059964650759345699</v>
      </c>
      <c r="AP7">
        <f t="shared" si="8"/>
        <v>0.0070000000000000001</v>
      </c>
      <c r="AQ7">
        <f t="shared" si="8"/>
        <v>0.0077441303190968333</v>
      </c>
      <c r="AR7">
        <f t="shared" si="8"/>
        <v>0.0070000000000000001</v>
      </c>
      <c r="AS7">
        <f t="shared" si="8"/>
        <v>0.0070000000000000001</v>
      </c>
    </row>
    <row r="10" spans="1:3" ht="15">
      <c r="A10" s="6" t="s">
        <v>52</v>
      </c>
      <c r="C10" s="4" t="s">
        <v>51</v>
      </c>
    </row>
    <row r="11" spans="3:45" ht="12.75">
      <c r="C11" t="s">
        <v>35</v>
      </c>
      <c r="D11" t="s">
        <v>48</v>
      </c>
      <c r="E11" t="s">
        <v>43</v>
      </c>
      <c r="F11" t="s">
        <v>39</v>
      </c>
      <c r="G11" t="s">
        <v>49</v>
      </c>
      <c r="H11" t="s">
        <v>46</v>
      </c>
      <c r="I11" t="str">
        <f>RES_SpHeat!L$1</f>
        <v>AL</v>
      </c>
      <c r="J11" t="str">
        <f>RES_SpHeat!M$1</f>
        <v>AT</v>
      </c>
      <c r="K11" t="str">
        <f>RES_SpHeat!N$1</f>
        <v>BA</v>
      </c>
      <c r="L11" t="str">
        <f>RES_SpHeat!O$1</f>
        <v>BE</v>
      </c>
      <c r="M11" t="str">
        <f>RES_SpHeat!P$1</f>
        <v>BG</v>
      </c>
      <c r="N11" t="str">
        <f>RES_SpHeat!Q$1</f>
        <v>CH</v>
      </c>
      <c r="O11" t="str">
        <f>RES_SpHeat!R$1</f>
        <v>CY</v>
      </c>
      <c r="P11" t="str">
        <f>RES_SpHeat!S$1</f>
        <v>CZ</v>
      </c>
      <c r="Q11" t="str">
        <f>RES_SpHeat!T$1</f>
        <v>DE</v>
      </c>
      <c r="R11" t="str">
        <f>RES_SpHeat!U$1</f>
        <v>DK</v>
      </c>
      <c r="S11" t="str">
        <f>RES_SpHeat!V$1</f>
        <v>EE</v>
      </c>
      <c r="T11" t="str">
        <f>RES_SpHeat!W$1</f>
        <v>EL</v>
      </c>
      <c r="U11" t="str">
        <f>RES_SpHeat!X$1</f>
        <v>ES</v>
      </c>
      <c r="V11" t="str">
        <f>RES_SpHeat!Y$1</f>
        <v>FI</v>
      </c>
      <c r="W11" t="str">
        <f>RES_SpHeat!Z$1</f>
        <v>FR</v>
      </c>
      <c r="X11" t="str">
        <f>RES_SpHeat!AA$1</f>
        <v>HR</v>
      </c>
      <c r="Y11" t="str">
        <f>RES_SpHeat!AB$1</f>
        <v>HU</v>
      </c>
      <c r="Z11" t="str">
        <f>RES_SpHeat!AC$1</f>
        <v>IE</v>
      </c>
      <c r="AA11" t="str">
        <f>RES_SpHeat!AD$1</f>
        <v>IS</v>
      </c>
      <c r="AB11" t="str">
        <f>RES_SpHeat!AE$1</f>
        <v>IT</v>
      </c>
      <c r="AC11" t="str">
        <f>RES_SpHeat!AF$1</f>
        <v>KS</v>
      </c>
      <c r="AD11" t="str">
        <f>RES_SpHeat!AG$1</f>
        <v>LT</v>
      </c>
      <c r="AE11" t="str">
        <f>RES_SpHeat!AH$1</f>
        <v>LU</v>
      </c>
      <c r="AF11" t="str">
        <f>RES_SpHeat!AI$1</f>
        <v>LV</v>
      </c>
      <c r="AG11" t="str">
        <f>RES_SpHeat!AJ$1</f>
        <v>ME</v>
      </c>
      <c r="AH11" t="str">
        <f>RES_SpHeat!AK$1</f>
        <v>MK</v>
      </c>
      <c r="AI11" t="str">
        <f>RES_SpHeat!AL$1</f>
        <v>MT</v>
      </c>
      <c r="AJ11" t="str">
        <f>RES_SpHeat!AM$1</f>
        <v>NL</v>
      </c>
      <c r="AK11" t="str">
        <f>RES_SpHeat!AN$1</f>
        <v>NO</v>
      </c>
      <c r="AL11" t="str">
        <f>RES_SpHeat!AO$1</f>
        <v>PL</v>
      </c>
      <c r="AM11" t="str">
        <f>RES_SpHeat!AP$1</f>
        <v>PT</v>
      </c>
      <c r="AN11" t="str">
        <f>RES_SpHeat!AQ$1</f>
        <v>RO</v>
      </c>
      <c r="AO11" t="str">
        <f>RES_SpHeat!AR$1</f>
        <v>RS</v>
      </c>
      <c r="AP11" t="str">
        <f>RES_SpHeat!AS$1</f>
        <v>SE</v>
      </c>
      <c r="AQ11" t="str">
        <f>RES_SpHeat!AT$1</f>
        <v>SI</v>
      </c>
      <c r="AR11" t="str">
        <f>RES_SpHeat!AU$1</f>
        <v>SK</v>
      </c>
      <c r="AS11" t="str">
        <f>RES_SpHeat!AV$1</f>
        <v>UK</v>
      </c>
    </row>
    <row r="12" spans="1:45" ht="15">
      <c r="A12" s="3" t="s">
        <v>113</v>
      </c>
      <c r="C12" t="s">
        <v>52</v>
      </c>
      <c r="D12" t="str">
        <f>A12</f>
        <v>R_ES-SC-*</v>
      </c>
      <c r="H12" s="208">
        <f>AVERAGE(I12:AS12)</f>
        <v>0.017664473921852691</v>
      </c>
      <c r="I12" s="207">
        <f>IFERROR(AVERAGEIFS(I$5:I$7,$A$5:$A$7,"="&amp;$A$10,$B$5:$B$7,"="&amp;'INS-UPD SpCool'!$A12),"")</f>
        <v>0.022883590208291501</v>
      </c>
      <c r="J12" s="207">
        <f>IFERROR(AVERAGEIFS(J$5:J$7,$A$5:$A$7,"="&amp;$A$10,$B$5:$B$7,"="&amp;'INS-UPD SpCool'!$A12),"")</f>
        <v>0.0070000000000000001</v>
      </c>
      <c r="K12" s="207">
        <f>IFERROR(AVERAGEIFS(K$5:K$7,$A$5:$A$7,"="&amp;$A$10,$B$5:$B$7,"="&amp;'INS-UPD SpCool'!$A12),"")</f>
        <v>0.054996058590660202</v>
      </c>
      <c r="L12" s="207">
        <f>IFERROR(AVERAGEIFS(L$5:L$7,$A$5:$A$7,"="&amp;$A$10,$B$5:$B$7,"="&amp;'INS-UPD SpCool'!$A12),"")</f>
        <v>0.0099569300847855615</v>
      </c>
      <c r="M12" s="207">
        <f>IFERROR(AVERAGEIFS(M$5:M$7,$A$5:$A$7,"="&amp;$A$10,$B$5:$B$7,"="&amp;'INS-UPD SpCool'!$A12),"")</f>
        <v>0.007162777045841319</v>
      </c>
      <c r="N12" s="207">
        <f>IFERROR(AVERAGEIFS(N$5:N$7,$A$5:$A$7,"="&amp;$A$10,$B$5:$B$7,"="&amp;'INS-UPD SpCool'!$A12),"")</f>
        <v>0.0070000000000000001</v>
      </c>
      <c r="O12" s="207">
        <f>IFERROR(AVERAGEIFS(O$5:O$7,$A$5:$A$7,"="&amp;$A$10,$B$5:$B$7,"="&amp;'INS-UPD SpCool'!$A12),"")</f>
        <v>0.0491819845897652</v>
      </c>
      <c r="P12" s="207">
        <f>IFERROR(AVERAGEIFS(P$5:P$7,$A$5:$A$7,"="&amp;$A$10,$B$5:$B$7,"="&amp;'INS-UPD SpCool'!$A12),"")</f>
        <v>0.0070000000000000001</v>
      </c>
      <c r="Q12" s="207">
        <f>IFERROR(AVERAGEIFS(Q$5:Q$7,$A$5:$A$7,"="&amp;$A$10,$B$5:$B$7,"="&amp;'INS-UPD SpCool'!$A12),"")</f>
        <v>0.0070000000000000001</v>
      </c>
      <c r="R12" s="207">
        <f>IFERROR(AVERAGEIFS(R$5:R$7,$A$5:$A$7,"="&amp;$A$10,$B$5:$B$7,"="&amp;'INS-UPD SpCool'!$A12),"")</f>
        <v>0.0070000000000000001</v>
      </c>
      <c r="S12" s="207">
        <f>IFERROR(AVERAGEIFS(S$5:S$7,$A$5:$A$7,"="&amp;$A$10,$B$5:$B$7,"="&amp;'INS-UPD SpCool'!$A12),"")</f>
        <v>0.0070000000000000001</v>
      </c>
      <c r="T12" s="207">
        <f>IFERROR(AVERAGEIFS(T$5:T$7,$A$5:$A$7,"="&amp;$A$10,$B$5:$B$7,"="&amp;'INS-UPD SpCool'!$A12),"")</f>
        <v>0.0171471607358736</v>
      </c>
      <c r="U12" s="207">
        <f>IFERROR(AVERAGEIFS(U$5:U$7,$A$5:$A$7,"="&amp;$A$10,$B$5:$B$7,"="&amp;'INS-UPD SpCool'!$A12),"")</f>
        <v>0.013461242868626567</v>
      </c>
      <c r="V12" s="207">
        <f>IFERROR(AVERAGEIFS(V$5:V$7,$A$5:$A$7,"="&amp;$A$10,$B$5:$B$7,"="&amp;'INS-UPD SpCool'!$A12),"")</f>
        <v>0.0070000000000000001</v>
      </c>
      <c r="W12" s="207">
        <f>IFERROR(AVERAGEIFS(W$5:W$7,$A$5:$A$7,"="&amp;$A$10,$B$5:$B$7,"="&amp;'INS-UPD SpCool'!$A12),"")</f>
        <v>0.014718314668544201</v>
      </c>
      <c r="X12" s="207">
        <f>IFERROR(AVERAGEIFS(X$5:X$7,$A$5:$A$7,"="&amp;$A$10,$B$5:$B$7,"="&amp;'INS-UPD SpCool'!$A12),"")</f>
        <v>0.026783388227772899</v>
      </c>
      <c r="Y12" s="207">
        <f>IFERROR(AVERAGEIFS(Y$5:Y$7,$A$5:$A$7,"="&amp;$A$10,$B$5:$B$7,"="&amp;'INS-UPD SpCool'!$A12),"")</f>
        <v>0.0070000000000000001</v>
      </c>
      <c r="Z12" s="207">
        <f>IFERROR(AVERAGEIFS(Z$5:Z$7,$A$5:$A$7,"="&amp;$A$10,$B$5:$B$7,"="&amp;'INS-UPD SpCool'!$A12),"")</f>
        <v>0.0070000000000000001</v>
      </c>
      <c r="AA12" s="207">
        <f>IFERROR(AVERAGEIFS(AA$5:AA$7,$A$5:$A$7,"="&amp;$A$10,$B$5:$B$7,"="&amp;'INS-UPD SpCool'!$A12),"")</f>
        <v>0.0070000000000000001</v>
      </c>
      <c r="AB12" s="207">
        <f>IFERROR(AVERAGEIFS(AB$5:AB$7,$A$5:$A$7,"="&amp;$A$10,$B$5:$B$7,"="&amp;'INS-UPD SpCool'!$A12),"")</f>
        <v>0.013685674607918462</v>
      </c>
      <c r="AC12" s="207">
        <f>IFERROR(AVERAGEIFS(AC$5:AC$7,$A$5:$A$7,"="&amp;$A$10,$B$5:$B$7,"="&amp;'INS-UPD SpCool'!$A12),"")</f>
        <v>0.046086778524127903</v>
      </c>
      <c r="AD12" s="207">
        <f>IFERROR(AVERAGEIFS(AD$5:AD$7,$A$5:$A$7,"="&amp;$A$10,$B$5:$B$7,"="&amp;'INS-UPD SpCool'!$A12),"")</f>
        <v>0.0070000000000000001</v>
      </c>
      <c r="AE12" s="207">
        <f>IFERROR(AVERAGEIFS(AE$5:AE$7,$A$5:$A$7,"="&amp;$A$10,$B$5:$B$7,"="&amp;'INS-UPD SpCool'!$A12),"")</f>
        <v>0.0197520381485423</v>
      </c>
      <c r="AF12" s="207">
        <f>IFERROR(AVERAGEIFS(AF$5:AF$7,$A$5:$A$7,"="&amp;$A$10,$B$5:$B$7,"="&amp;'INS-UPD SpCool'!$A12),"")</f>
        <v>0.0070000000000000001</v>
      </c>
      <c r="AG12" s="207">
        <f>IFERROR(AVERAGEIFS(AG$5:AG$7,$A$5:$A$7,"="&amp;$A$10,$B$5:$B$7,"="&amp;'INS-UPD SpCool'!$A12),"")</f>
        <v>0.022813612819336099</v>
      </c>
      <c r="AH12" s="207">
        <f>IFERROR(AVERAGEIFS(AH$5:AH$7,$A$5:$A$7,"="&amp;$A$10,$B$5:$B$7,"="&amp;'INS-UPD SpCool'!$A12),"")</f>
        <v>0.065256273164681106</v>
      </c>
      <c r="AI12" s="207">
        <f>IFERROR(AVERAGEIFS(AI$5:AI$7,$A$5:$A$7,"="&amp;$A$10,$B$5:$B$7,"="&amp;'INS-UPD SpCool'!$A12),"")</f>
        <v>0.056542394729850801</v>
      </c>
      <c r="AJ12" s="207">
        <f>IFERROR(AVERAGEIFS(AJ$5:AJ$7,$A$5:$A$7,"="&amp;$A$10,$B$5:$B$7,"="&amp;'INS-UPD SpCool'!$A12),"")</f>
        <v>0.0080260422773398114</v>
      </c>
      <c r="AK12" s="207">
        <f>IFERROR(AVERAGEIFS(AK$5:AK$7,$A$5:$A$7,"="&amp;$A$10,$B$5:$B$7,"="&amp;'INS-UPD SpCool'!$A12),"")</f>
        <v>0.0070000000000000001</v>
      </c>
      <c r="AL12" s="207">
        <f>IFERROR(AVERAGEIFS(AL$5:AL$7,$A$5:$A$7,"="&amp;$A$10,$B$5:$B$7,"="&amp;'INS-UPD SpCool'!$A12),"")</f>
        <v>0.0070000000000000001</v>
      </c>
      <c r="AM12" s="207">
        <f>IFERROR(AVERAGEIFS(AM$5:AM$7,$A$5:$A$7,"="&amp;$A$10,$B$5:$B$7,"="&amp;'INS-UPD SpCool'!$A12),"")</f>
        <v>0.011422492738149654</v>
      </c>
      <c r="AN12" s="207">
        <f>IFERROR(AVERAGEIFS(AN$5:AN$7,$A$5:$A$7,"="&amp;$A$10,$B$5:$B$7,"="&amp;'INS-UPD SpCool'!$A12),"")</f>
        <v>0.0070000000000000001</v>
      </c>
      <c r="AO12" s="207">
        <f>IFERROR(AVERAGEIFS(AO$5:AO$7,$A$5:$A$7,"="&amp;$A$10,$B$5:$B$7,"="&amp;'INS-UPD SpCool'!$A12),"")</f>
        <v>0.059964650759345699</v>
      </c>
      <c r="AP12" s="207">
        <f>IFERROR(AVERAGEIFS(AP$5:AP$7,$A$5:$A$7,"="&amp;$A$10,$B$5:$B$7,"="&amp;'INS-UPD SpCool'!$A12),"")</f>
        <v>0.0070000000000000001</v>
      </c>
      <c r="AQ12" s="207">
        <f>IFERROR(AVERAGEIFS(AQ$5:AQ$7,$A$5:$A$7,"="&amp;$A$10,$B$5:$B$7,"="&amp;'INS-UPD SpCool'!$A12),"")</f>
        <v>0.0077441303190968333</v>
      </c>
      <c r="AR12" s="207">
        <f>IFERROR(AVERAGEIFS(AR$5:AR$7,$A$5:$A$7,"="&amp;$A$10,$B$5:$B$7,"="&amp;'INS-UPD SpCool'!$A12),"")</f>
        <v>0.0070000000000000001</v>
      </c>
      <c r="AS12" s="207">
        <f>IFERROR(AVERAGEIFS(AS$5:AS$7,$A$5:$A$7,"="&amp;$A$10,$B$5:$B$7,"="&amp;'INS-UPD SpCool'!$A12),"")</f>
        <v>0.0070000000000000001</v>
      </c>
    </row>
    <row r="15" spans="17:17" ht="12.75">
      <c r="Q15" t="s">
        <v>186</v>
      </c>
    </row>
    <row r="16" spans="1:3" ht="15">
      <c r="A16" s="6" t="s">
        <v>29</v>
      </c>
      <c r="C16" s="4" t="s">
        <v>51</v>
      </c>
    </row>
    <row r="17" spans="3:45" ht="12.75">
      <c r="C17" t="s">
        <v>35</v>
      </c>
      <c r="D17" t="s">
        <v>48</v>
      </c>
      <c r="E17" t="s">
        <v>43</v>
      </c>
      <c r="F17" t="s">
        <v>39</v>
      </c>
      <c r="G17" t="s">
        <v>49</v>
      </c>
      <c r="H17" t="s">
        <v>46</v>
      </c>
      <c r="I17" t="str">
        <f>RES_SpHeat!L$1</f>
        <v>AL</v>
      </c>
      <c r="J17" t="str">
        <f>RES_SpHeat!M$1</f>
        <v>AT</v>
      </c>
      <c r="K17" t="str">
        <f>RES_SpHeat!N$1</f>
        <v>BA</v>
      </c>
      <c r="L17" t="str">
        <f>RES_SpHeat!O$1</f>
        <v>BE</v>
      </c>
      <c r="M17" t="str">
        <f>RES_SpHeat!P$1</f>
        <v>BG</v>
      </c>
      <c r="N17" t="str">
        <f>RES_SpHeat!Q$1</f>
        <v>CH</v>
      </c>
      <c r="O17" t="str">
        <f>RES_SpHeat!R$1</f>
        <v>CY</v>
      </c>
      <c r="P17" t="str">
        <f>RES_SpHeat!S$1</f>
        <v>CZ</v>
      </c>
      <c r="Q17" t="str">
        <f>RES_SpHeat!T$1</f>
        <v>DE</v>
      </c>
      <c r="R17" t="str">
        <f>RES_SpHeat!U$1</f>
        <v>DK</v>
      </c>
      <c r="S17" t="str">
        <f>RES_SpHeat!V$1</f>
        <v>EE</v>
      </c>
      <c r="T17" t="str">
        <f>RES_SpHeat!W$1</f>
        <v>EL</v>
      </c>
      <c r="U17" t="str">
        <f>RES_SpHeat!X$1</f>
        <v>ES</v>
      </c>
      <c r="V17" t="str">
        <f>RES_SpHeat!Y$1</f>
        <v>FI</v>
      </c>
      <c r="W17" t="str">
        <f>RES_SpHeat!Z$1</f>
        <v>FR</v>
      </c>
      <c r="X17" t="str">
        <f>RES_SpHeat!AA$1</f>
        <v>HR</v>
      </c>
      <c r="Y17" t="str">
        <f>RES_SpHeat!AB$1</f>
        <v>HU</v>
      </c>
      <c r="Z17" t="str">
        <f>RES_SpHeat!AC$1</f>
        <v>IE</v>
      </c>
      <c r="AA17" t="str">
        <f>RES_SpHeat!AD$1</f>
        <v>IS</v>
      </c>
      <c r="AB17" t="str">
        <f>RES_SpHeat!AE$1</f>
        <v>IT</v>
      </c>
      <c r="AC17" t="str">
        <f>RES_SpHeat!AF$1</f>
        <v>KS</v>
      </c>
      <c r="AD17" t="str">
        <f>RES_SpHeat!AG$1</f>
        <v>LT</v>
      </c>
      <c r="AE17" t="str">
        <f>RES_SpHeat!AH$1</f>
        <v>LU</v>
      </c>
      <c r="AF17" t="str">
        <f>RES_SpHeat!AI$1</f>
        <v>LV</v>
      </c>
      <c r="AG17" t="str">
        <f>RES_SpHeat!AJ$1</f>
        <v>ME</v>
      </c>
      <c r="AH17" t="str">
        <f>RES_SpHeat!AK$1</f>
        <v>MK</v>
      </c>
      <c r="AI17" t="str">
        <f>RES_SpHeat!AL$1</f>
        <v>MT</v>
      </c>
      <c r="AJ17" t="str">
        <f>RES_SpHeat!AM$1</f>
        <v>NL</v>
      </c>
      <c r="AK17" t="str">
        <f>RES_SpHeat!AN$1</f>
        <v>NO</v>
      </c>
      <c r="AL17" t="str">
        <f>RES_SpHeat!AO$1</f>
        <v>PL</v>
      </c>
      <c r="AM17" t="str">
        <f>RES_SpHeat!AP$1</f>
        <v>PT</v>
      </c>
      <c r="AN17" t="str">
        <f>RES_SpHeat!AQ$1</f>
        <v>RO</v>
      </c>
      <c r="AO17" t="str">
        <f>RES_SpHeat!AR$1</f>
        <v>RS</v>
      </c>
      <c r="AP17" t="str">
        <f>RES_SpHeat!AS$1</f>
        <v>SE</v>
      </c>
      <c r="AQ17" t="str">
        <f>RES_SpHeat!AT$1</f>
        <v>SI</v>
      </c>
      <c r="AR17" t="str">
        <f>RES_SpHeat!AU$1</f>
        <v>SK</v>
      </c>
      <c r="AS17" t="str">
        <f>RES_SpHeat!AV$1</f>
        <v>UK</v>
      </c>
    </row>
    <row r="18" spans="1:45" ht="15">
      <c r="A18" s="3" t="s">
        <v>113</v>
      </c>
      <c r="C18" t="s">
        <v>29</v>
      </c>
      <c r="D18" t="str">
        <f>A18</f>
        <v>R_ES-SC-*</v>
      </c>
      <c r="H18" s="56"/>
      <c r="I18" s="59" t="str">
        <f>IF(I20&lt;&gt;"","*"&amp;I20/$Q$20,"")</f>
        <v>*0.89041095890411</v>
      </c>
      <c r="J18" s="59" t="str">
        <f t="shared" si="9" ref="J18:AS18">IF(J20&lt;&gt;"","*"&amp;J20/$Q$20,"")</f>
        <v>*0.958904109589041</v>
      </c>
      <c r="K18" s="59" t="str">
        <f t="shared" si="9"/>
        <v>*0.899543378995434</v>
      </c>
      <c r="L18" s="59" t="str">
        <f t="shared" si="9"/>
        <v>*0.93607305936073</v>
      </c>
      <c r="M18" s="59" t="str">
        <f t="shared" si="9"/>
        <v>*0.867579908675799</v>
      </c>
      <c r="N18" s="59" t="str">
        <f t="shared" si="9"/>
        <v>*1</v>
      </c>
      <c r="O18" s="59" t="str">
        <f t="shared" si="9"/>
        <v>*0.821917808219178</v>
      </c>
      <c r="P18" s="59" t="str">
        <f t="shared" si="9"/>
        <v>*0.89041095890411</v>
      </c>
      <c r="Q18" s="60" t="str">
        <f>IF(Q20&lt;&gt;"","*"&amp;Q20,"")</f>
        <v>*2.19</v>
      </c>
      <c r="R18" s="59" t="str">
        <f t="shared" si="9"/>
        <v>*0.97716894977169</v>
      </c>
      <c r="S18" s="59" t="str">
        <f t="shared" si="9"/>
        <v>*0.91324200913242</v>
      </c>
      <c r="T18" s="59" t="str">
        <f t="shared" si="9"/>
        <v>*0.89041095890411</v>
      </c>
      <c r="U18" s="59" t="str">
        <f t="shared" si="9"/>
        <v>*0.91324200913242</v>
      </c>
      <c r="V18" s="59" t="str">
        <f t="shared" si="9"/>
        <v>*0.97716894977169</v>
      </c>
      <c r="W18" s="59" t="str">
        <f t="shared" si="9"/>
        <v>*0.958904109589041</v>
      </c>
      <c r="X18" s="59" t="str">
        <f t="shared" si="9"/>
        <v>*0.899543378995434</v>
      </c>
      <c r="Y18" s="59" t="str">
        <f t="shared" si="9"/>
        <v>*0.876712328767123</v>
      </c>
      <c r="Z18" s="59" t="str">
        <f t="shared" si="9"/>
        <v>*0.945205479452055</v>
      </c>
      <c r="AA18" s="59" t="str">
        <f t="shared" si="9"/>
        <v>*0.97716894977169</v>
      </c>
      <c r="AB18" s="59" t="str">
        <f t="shared" si="9"/>
        <v>*0.926940639269406</v>
      </c>
      <c r="AC18" s="59" t="str">
        <f t="shared" si="9"/>
        <v>*0.899543378995434</v>
      </c>
      <c r="AD18" s="59" t="str">
        <f t="shared" si="9"/>
        <v>*0.89041095890411</v>
      </c>
      <c r="AE18" s="59" t="str">
        <f t="shared" si="9"/>
        <v>*0.958904109589041</v>
      </c>
      <c r="AF18" s="59" t="str">
        <f t="shared" si="9"/>
        <v>*0.91324200913242</v>
      </c>
      <c r="AG18" s="59" t="str">
        <f t="shared" si="9"/>
        <v>*0.899543378995434</v>
      </c>
      <c r="AH18" s="59" t="str">
        <f t="shared" si="9"/>
        <v>*0.89041095890411</v>
      </c>
      <c r="AI18" s="59" t="str">
        <f t="shared" si="9"/>
        <v>*0.844748858447489</v>
      </c>
      <c r="AJ18" s="59" t="str">
        <f t="shared" si="9"/>
        <v>*0.970319634703196</v>
      </c>
      <c r="AK18" s="59" t="str">
        <f t="shared" si="9"/>
        <v>*0.97716894977169</v>
      </c>
      <c r="AL18" s="59" t="str">
        <f t="shared" si="9"/>
        <v>*0.91324200913242</v>
      </c>
      <c r="AM18" s="59" t="str">
        <f t="shared" si="9"/>
        <v>*0.926940639269406</v>
      </c>
      <c r="AN18" s="59" t="str">
        <f t="shared" si="9"/>
        <v>*0.867579908675799</v>
      </c>
      <c r="AO18" s="59" t="str">
        <f t="shared" si="9"/>
        <v>*0.899543378995434</v>
      </c>
      <c r="AP18" s="59" t="str">
        <f t="shared" si="9"/>
        <v>*0.91324200913242</v>
      </c>
      <c r="AQ18" s="59" t="str">
        <f t="shared" si="9"/>
        <v>*0.945205479452055</v>
      </c>
      <c r="AR18" s="59" t="str">
        <f t="shared" si="9"/>
        <v>*0.867579908675799</v>
      </c>
      <c r="AS18" s="61" t="str">
        <f t="shared" si="9"/>
        <v>*0.945205479452055</v>
      </c>
    </row>
    <row r="20" spans="9:45" ht="12.75">
      <c r="I20" s="19">
        <f>IFERROR(AVERAGEIFS(RES_SpCool!L$2:L$999,RES_SpCool!$B$2:$B$999,"="&amp;$A$16,RES_SpCool!$C$2:$C$999,"="&amp;'INS-UPD SpCool'!$A18),"")</f>
        <v>1.95</v>
      </c>
      <c r="J20" s="20">
        <f>IFERROR(AVERAGEIFS(RES_SpCool!M$2:M$999,RES_SpCool!$B$2:$B$999,"="&amp;$A$16,RES_SpCool!$C$2:$C$999,"="&amp;'INS-UPD SpCool'!$A18),"")</f>
        <v>2.1000000000000001</v>
      </c>
      <c r="K20" s="20">
        <f>IFERROR(AVERAGEIFS(RES_SpCool!N$2:N$999,RES_SpCool!$B$2:$B$999,"="&amp;$A$16,RES_SpCool!$C$2:$C$999,"="&amp;'INS-UPD SpCool'!$A18),"")</f>
        <v>1.97</v>
      </c>
      <c r="L20" s="20">
        <f>IFERROR(AVERAGEIFS(RES_SpCool!O$2:O$999,RES_SpCool!$B$2:$B$999,"="&amp;$A$16,RES_SpCool!$C$2:$C$999,"="&amp;'INS-UPD SpCool'!$A18),"")</f>
        <v>2.0499999999999998</v>
      </c>
      <c r="M20" s="20">
        <f>IFERROR(AVERAGEIFS(RES_SpCool!P$2:P$999,RES_SpCool!$B$2:$B$999,"="&amp;$A$16,RES_SpCool!$C$2:$C$999,"="&amp;'INS-UPD SpCool'!$A18),"")</f>
        <v>1.8999999999999999</v>
      </c>
      <c r="N20" s="20">
        <f>IFERROR(AVERAGEIFS(RES_SpCool!Q$2:Q$999,RES_SpCool!$B$2:$B$999,"="&amp;$A$16,RES_SpCool!$C$2:$C$999,"="&amp;'INS-UPD SpCool'!$A18),"")</f>
        <v>2.1899999999999999</v>
      </c>
      <c r="O20" s="20">
        <f>IFERROR(AVERAGEIFS(RES_SpCool!R$2:R$999,RES_SpCool!$B$2:$B$999,"="&amp;$A$16,RES_SpCool!$C$2:$C$999,"="&amp;'INS-UPD SpCool'!$A18),"")</f>
        <v>1.8</v>
      </c>
      <c r="P20" s="20">
        <f>IFERROR(AVERAGEIFS(RES_SpCool!S$2:S$999,RES_SpCool!$B$2:$B$999,"="&amp;$A$16,RES_SpCool!$C$2:$C$999,"="&amp;'INS-UPD SpCool'!$A18),"")</f>
        <v>1.95</v>
      </c>
      <c r="Q20" s="20">
        <f>IFERROR(AVERAGEIFS(RES_SpCool!T$2:T$999,RES_SpCool!$B$2:$B$999,"="&amp;$A$16,RES_SpCool!$C$2:$C$999,"="&amp;'INS-UPD SpCool'!$A18),"")</f>
        <v>2.1899999999999999</v>
      </c>
      <c r="R20" s="20">
        <f>IFERROR(AVERAGEIFS(RES_SpCool!U$2:U$999,RES_SpCool!$B$2:$B$999,"="&amp;$A$16,RES_SpCool!$C$2:$C$999,"="&amp;'INS-UPD SpCool'!$A18),"")</f>
        <v>2.1400000000000001</v>
      </c>
      <c r="S20" s="20">
        <f>IFERROR(AVERAGEIFS(RES_SpCool!V$2:V$999,RES_SpCool!$B$2:$B$999,"="&amp;$A$16,RES_SpCool!$C$2:$C$999,"="&amp;'INS-UPD SpCool'!$A18),"")</f>
        <v>2</v>
      </c>
      <c r="T20" s="20">
        <f>IFERROR(AVERAGEIFS(RES_SpCool!W$2:W$999,RES_SpCool!$B$2:$B$999,"="&amp;$A$16,RES_SpCool!$C$2:$C$999,"="&amp;'INS-UPD SpCool'!$A18),"")</f>
        <v>1.95</v>
      </c>
      <c r="U20" s="20">
        <f>IFERROR(AVERAGEIFS(RES_SpCool!X$2:X$999,RES_SpCool!$B$2:$B$999,"="&amp;$A$16,RES_SpCool!$C$2:$C$999,"="&amp;'INS-UPD SpCool'!$A18),"")</f>
        <v>2</v>
      </c>
      <c r="V20" s="20">
        <f>IFERROR(AVERAGEIFS(RES_SpCool!Y$2:Y$999,RES_SpCool!$B$2:$B$999,"="&amp;$A$16,RES_SpCool!$C$2:$C$999,"="&amp;'INS-UPD SpCool'!$A18),"")</f>
        <v>2.1400000000000001</v>
      </c>
      <c r="W20" s="20">
        <f>IFERROR(AVERAGEIFS(RES_SpCool!Z$2:Z$999,RES_SpCool!$B$2:$B$999,"="&amp;$A$16,RES_SpCool!$C$2:$C$999,"="&amp;'INS-UPD SpCool'!$A18),"")</f>
        <v>2.1000000000000001</v>
      </c>
      <c r="X20" s="20">
        <f>IFERROR(AVERAGEIFS(RES_SpCool!AA$2:AA$999,RES_SpCool!$B$2:$B$999,"="&amp;$A$16,RES_SpCool!$C$2:$C$999,"="&amp;'INS-UPD SpCool'!$A18),"")</f>
        <v>1.97</v>
      </c>
      <c r="Y20" s="20">
        <f>IFERROR(AVERAGEIFS(RES_SpCool!AB$2:AB$999,RES_SpCool!$B$2:$B$999,"="&amp;$A$16,RES_SpCool!$C$2:$C$999,"="&amp;'INS-UPD SpCool'!$A18),"")</f>
        <v>1.9199999999999999</v>
      </c>
      <c r="Z20" s="20">
        <f>IFERROR(AVERAGEIFS(RES_SpCool!AC$2:AC$999,RES_SpCool!$B$2:$B$999,"="&amp;$A$16,RES_SpCool!$C$2:$C$999,"="&amp;'INS-UPD SpCool'!$A18),"")</f>
        <v>2.0699999999999998</v>
      </c>
      <c r="AA20" s="20">
        <f>IFERROR(AVERAGEIFS(RES_SpCool!AD$2:AD$999,RES_SpCool!$B$2:$B$999,"="&amp;$A$16,RES_SpCool!$C$2:$C$999,"="&amp;'INS-UPD SpCool'!$A18),"")</f>
        <v>2.1400000000000001</v>
      </c>
      <c r="AB20" s="20">
        <f>IFERROR(AVERAGEIFS(RES_SpCool!AE$2:AE$999,RES_SpCool!$B$2:$B$999,"="&amp;$A$16,RES_SpCool!$C$2:$C$999,"="&amp;'INS-UPD SpCool'!$A18),"")</f>
        <v>2.0299999999999998</v>
      </c>
      <c r="AC20" s="20">
        <f>IFERROR(AVERAGEIFS(RES_SpCool!AF$2:AF$999,RES_SpCool!$B$2:$B$999,"="&amp;$A$16,RES_SpCool!$C$2:$C$999,"="&amp;'INS-UPD SpCool'!$A18),"")</f>
        <v>1.97</v>
      </c>
      <c r="AD20" s="20">
        <f>IFERROR(AVERAGEIFS(RES_SpCool!AG$2:AG$999,RES_SpCool!$B$2:$B$999,"="&amp;$A$16,RES_SpCool!$C$2:$C$999,"="&amp;'INS-UPD SpCool'!$A18),"")</f>
        <v>1.95</v>
      </c>
      <c r="AE20" s="20">
        <f>IFERROR(AVERAGEIFS(RES_SpCool!AH$2:AH$999,RES_SpCool!$B$2:$B$999,"="&amp;$A$16,RES_SpCool!$C$2:$C$999,"="&amp;'INS-UPD SpCool'!$A18),"")</f>
        <v>2.1000000000000001</v>
      </c>
      <c r="AF20" s="20">
        <f>IFERROR(AVERAGEIFS(RES_SpCool!AI$2:AI$999,RES_SpCool!$B$2:$B$999,"="&amp;$A$16,RES_SpCool!$C$2:$C$999,"="&amp;'INS-UPD SpCool'!$A18),"")</f>
        <v>2</v>
      </c>
      <c r="AG20" s="20">
        <f>IFERROR(AVERAGEIFS(RES_SpCool!AJ$2:AJ$999,RES_SpCool!$B$2:$B$999,"="&amp;$A$16,RES_SpCool!$C$2:$C$999,"="&amp;'INS-UPD SpCool'!$A18),"")</f>
        <v>1.97</v>
      </c>
      <c r="AH20" s="20">
        <f>IFERROR(AVERAGEIFS(RES_SpCool!AK$2:AK$999,RES_SpCool!$B$2:$B$999,"="&amp;$A$16,RES_SpCool!$C$2:$C$999,"="&amp;'INS-UPD SpCool'!$A18),"")</f>
        <v>1.95</v>
      </c>
      <c r="AI20" s="20">
        <f>IFERROR(AVERAGEIFS(RES_SpCool!AL$2:AL$999,RES_SpCool!$B$2:$B$999,"="&amp;$A$16,RES_SpCool!$C$2:$C$999,"="&amp;'INS-UPD SpCool'!$A18),"")</f>
        <v>1.8500000000000001</v>
      </c>
      <c r="AJ20" s="20">
        <f>IFERROR(AVERAGEIFS(RES_SpCool!AM$2:AM$999,RES_SpCool!$B$2:$B$999,"="&amp;$A$16,RES_SpCool!$C$2:$C$999,"="&amp;'INS-UPD SpCool'!$A18),"")</f>
        <v>2.125</v>
      </c>
      <c r="AK20" s="20">
        <f>IFERROR(AVERAGEIFS(RES_SpCool!AN$2:AN$999,RES_SpCool!$B$2:$B$999,"="&amp;$A$16,RES_SpCool!$C$2:$C$999,"="&amp;'INS-UPD SpCool'!$A18),"")</f>
        <v>2.1400000000000001</v>
      </c>
      <c r="AL20" s="20">
        <f>IFERROR(AVERAGEIFS(RES_SpCool!AO$2:AO$999,RES_SpCool!$B$2:$B$999,"="&amp;$A$16,RES_SpCool!$C$2:$C$999,"="&amp;'INS-UPD SpCool'!$A18),"")</f>
        <v>2</v>
      </c>
      <c r="AM20" s="20">
        <f>IFERROR(AVERAGEIFS(RES_SpCool!AP$2:AP$999,RES_SpCool!$B$2:$B$999,"="&amp;$A$16,RES_SpCool!$C$2:$C$999,"="&amp;'INS-UPD SpCool'!$A18),"")</f>
        <v>2.0299999999999998</v>
      </c>
      <c r="AN20" s="20">
        <f>IFERROR(AVERAGEIFS(RES_SpCool!AQ$2:AQ$999,RES_SpCool!$B$2:$B$999,"="&amp;$A$16,RES_SpCool!$C$2:$C$999,"="&amp;'INS-UPD SpCool'!$A18),"")</f>
        <v>1.8999999999999999</v>
      </c>
      <c r="AO20" s="20">
        <f>IFERROR(AVERAGEIFS(RES_SpCool!AR$2:AR$999,RES_SpCool!$B$2:$B$999,"="&amp;$A$16,RES_SpCool!$C$2:$C$999,"="&amp;'INS-UPD SpCool'!$A18),"")</f>
        <v>1.97</v>
      </c>
      <c r="AP20" s="20">
        <f>IFERROR(AVERAGEIFS(RES_SpCool!AS$2:AS$999,RES_SpCool!$B$2:$B$999,"="&amp;$A$16,RES_SpCool!$C$2:$C$999,"="&amp;'INS-UPD SpCool'!$A18),"")</f>
        <v>2</v>
      </c>
      <c r="AQ20" s="20">
        <f>IFERROR(AVERAGEIFS(RES_SpCool!AT$2:AT$999,RES_SpCool!$B$2:$B$999,"="&amp;$A$16,RES_SpCool!$C$2:$C$999,"="&amp;'INS-UPD SpCool'!$A18),"")</f>
        <v>2.0699999999999998</v>
      </c>
      <c r="AR20" s="20">
        <f>IFERROR(AVERAGEIFS(RES_SpCool!AU$2:AU$999,RES_SpCool!$B$2:$B$999,"="&amp;$A$16,RES_SpCool!$C$2:$C$999,"="&amp;'INS-UPD SpCool'!$A18),"")</f>
        <v>1.8999999999999999</v>
      </c>
      <c r="AS20" s="21">
        <f>IFERROR(AVERAGEIFS(RES_SpCool!AV$2:AV$999,RES_SpCool!$B$2:$B$999,"="&amp;$A$16,RES_SpCool!$C$2:$C$999,"="&amp;'INS-UPD SpCool'!$A18),"")</f>
        <v>2.0699999999999998</v>
      </c>
    </row>
    <row r="22" spans="1:1" ht="12.75">
      <c r="A22" t="s">
        <v>94</v>
      </c>
    </row>
    <row r="24" spans="1:45" ht="12.7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</row>
    <row r="26" spans="17:17" ht="12.75">
      <c r="Q26" t="s">
        <v>186</v>
      </c>
    </row>
    <row r="27" spans="1:3" ht="15">
      <c r="A27" s="6" t="s">
        <v>29</v>
      </c>
      <c r="C27" s="4" t="s">
        <v>51</v>
      </c>
    </row>
    <row r="28" spans="3:45" ht="12.75">
      <c r="C28" t="s">
        <v>35</v>
      </c>
      <c r="D28" t="s">
        <v>48</v>
      </c>
      <c r="E28" t="s">
        <v>43</v>
      </c>
      <c r="F28" t="s">
        <v>39</v>
      </c>
      <c r="G28" t="s">
        <v>49</v>
      </c>
      <c r="H28" t="s">
        <v>46</v>
      </c>
      <c r="I28" t="str">
        <f>RES_SpHeat!L$1</f>
        <v>AL</v>
      </c>
      <c r="J28" t="str">
        <f>RES_SpHeat!M$1</f>
        <v>AT</v>
      </c>
      <c r="K28" t="str">
        <f>RES_SpHeat!N$1</f>
        <v>BA</v>
      </c>
      <c r="L28" t="str">
        <f>RES_SpHeat!O$1</f>
        <v>BE</v>
      </c>
      <c r="M28" t="str">
        <f>RES_SpHeat!P$1</f>
        <v>BG</v>
      </c>
      <c r="N28" t="str">
        <f>RES_SpHeat!Q$1</f>
        <v>CH</v>
      </c>
      <c r="O28" t="str">
        <f>RES_SpHeat!R$1</f>
        <v>CY</v>
      </c>
      <c r="P28" t="str">
        <f>RES_SpHeat!S$1</f>
        <v>CZ</v>
      </c>
      <c r="Q28" t="str">
        <f>RES_SpHeat!T$1</f>
        <v>DE</v>
      </c>
      <c r="R28" t="str">
        <f>RES_SpHeat!U$1</f>
        <v>DK</v>
      </c>
      <c r="S28" t="str">
        <f>RES_SpHeat!V$1</f>
        <v>EE</v>
      </c>
      <c r="T28" t="str">
        <f>RES_SpHeat!W$1</f>
        <v>EL</v>
      </c>
      <c r="U28" t="str">
        <f>RES_SpHeat!X$1</f>
        <v>ES</v>
      </c>
      <c r="V28" t="str">
        <f>RES_SpHeat!Y$1</f>
        <v>FI</v>
      </c>
      <c r="W28" t="str">
        <f>RES_SpHeat!Z$1</f>
        <v>FR</v>
      </c>
      <c r="X28" t="str">
        <f>RES_SpHeat!AA$1</f>
        <v>HR</v>
      </c>
      <c r="Y28" t="str">
        <f>RES_SpHeat!AB$1</f>
        <v>HU</v>
      </c>
      <c r="Z28" t="str">
        <f>RES_SpHeat!AC$1</f>
        <v>IE</v>
      </c>
      <c r="AA28" t="str">
        <f>RES_SpHeat!AD$1</f>
        <v>IS</v>
      </c>
      <c r="AB28" t="str">
        <f>RES_SpHeat!AE$1</f>
        <v>IT</v>
      </c>
      <c r="AC28" t="str">
        <f>RES_SpHeat!AF$1</f>
        <v>KS</v>
      </c>
      <c r="AD28" t="str">
        <f>RES_SpHeat!AG$1</f>
        <v>LT</v>
      </c>
      <c r="AE28" t="str">
        <f>RES_SpHeat!AH$1</f>
        <v>LU</v>
      </c>
      <c r="AF28" t="str">
        <f>RES_SpHeat!AI$1</f>
        <v>LV</v>
      </c>
      <c r="AG28" t="str">
        <f>RES_SpHeat!AJ$1</f>
        <v>ME</v>
      </c>
      <c r="AH28" t="str">
        <f>RES_SpHeat!AK$1</f>
        <v>MK</v>
      </c>
      <c r="AI28" t="str">
        <f>RES_SpHeat!AL$1</f>
        <v>MT</v>
      </c>
      <c r="AJ28" t="str">
        <f>RES_SpHeat!AM$1</f>
        <v>NL</v>
      </c>
      <c r="AK28" t="str">
        <f>RES_SpHeat!AN$1</f>
        <v>NO</v>
      </c>
      <c r="AL28" t="str">
        <f>RES_SpHeat!AO$1</f>
        <v>PL</v>
      </c>
      <c r="AM28" t="str">
        <f>RES_SpHeat!AP$1</f>
        <v>PT</v>
      </c>
      <c r="AN28" t="str">
        <f>RES_SpHeat!AQ$1</f>
        <v>RO</v>
      </c>
      <c r="AO28" t="str">
        <f>RES_SpHeat!AR$1</f>
        <v>RS</v>
      </c>
      <c r="AP28" t="str">
        <f>RES_SpHeat!AS$1</f>
        <v>SE</v>
      </c>
      <c r="AQ28" t="str">
        <f>RES_SpHeat!AT$1</f>
        <v>SI</v>
      </c>
      <c r="AR28" t="str">
        <f>RES_SpHeat!AU$1</f>
        <v>SK</v>
      </c>
      <c r="AS28" t="str">
        <f>RES_SpHeat!AV$1</f>
        <v>UK</v>
      </c>
    </row>
    <row r="29" spans="1:45" ht="15">
      <c r="A29" s="3" t="s">
        <v>179</v>
      </c>
      <c r="C29" t="s">
        <v>29</v>
      </c>
      <c r="D29" t="str">
        <f>A29</f>
        <v>C_ES-SC-*ELC*</v>
      </c>
      <c r="H29" s="37"/>
      <c r="I29" s="45" t="str">
        <f>IF(I33&lt;&gt;"","*"&amp;I33/$Q$33,"")</f>
        <v>*0.868200049813865</v>
      </c>
      <c r="J29" s="45" t="str">
        <f t="shared" si="10" ref="J29:AS29">IF(J33&lt;&gt;"","*"&amp;J33/$Q$33,"")</f>
        <v>*0.978547066796825</v>
      </c>
      <c r="K29" s="45" t="str">
        <f t="shared" si="10"/>
        <v>*0.868200049813865</v>
      </c>
      <c r="L29" s="45" t="str">
        <f t="shared" si="10"/>
        <v>*0.991472981637629</v>
      </c>
      <c r="M29" s="45" t="str">
        <f t="shared" si="10"/>
        <v>*0.897060639342441</v>
      </c>
      <c r="N29" s="45" t="str">
        <f t="shared" si="10"/>
        <v>*1</v>
      </c>
      <c r="O29" s="45" t="str">
        <f t="shared" si="10"/>
        <v>*0.868200626570802</v>
      </c>
      <c r="P29" s="45" t="str">
        <f t="shared" si="10"/>
        <v>*0.934151805259772</v>
      </c>
      <c r="Q29" s="62" t="str">
        <f>IF(Q33&lt;&gt;"","*"&amp;Q33,"")</f>
        <v>*2.25191118784355</v>
      </c>
      <c r="R29" s="45" t="str">
        <f t="shared" si="10"/>
        <v>*0.95660658952579</v>
      </c>
      <c r="S29" s="45" t="str">
        <f t="shared" si="10"/>
        <v>*0.934151817622928</v>
      </c>
      <c r="T29" s="45" t="str">
        <f t="shared" si="10"/>
        <v>*0.868200049813865</v>
      </c>
      <c r="U29" s="45" t="str">
        <f t="shared" si="10"/>
        <v>*0.911145671921289</v>
      </c>
      <c r="V29" s="45" t="str">
        <f t="shared" si="10"/>
        <v>*0.938687029807939</v>
      </c>
      <c r="W29" s="45" t="str">
        <f t="shared" si="10"/>
        <v>*0.956605711950111</v>
      </c>
      <c r="X29" s="45" t="str">
        <f t="shared" si="10"/>
        <v>*0.943197915621748</v>
      </c>
      <c r="Y29" s="45" t="str">
        <f t="shared" si="10"/>
        <v>*0.943199345106528</v>
      </c>
      <c r="Z29" s="45" t="str">
        <f t="shared" si="10"/>
        <v>*0.965440928319249</v>
      </c>
      <c r="AA29" s="45" t="str">
        <f t="shared" si="10"/>
        <v>*0.95660658952579</v>
      </c>
      <c r="AB29" s="45" t="str">
        <f t="shared" si="10"/>
        <v>*0.956607203070289</v>
      </c>
      <c r="AC29" s="45" t="str">
        <f t="shared" si="10"/>
        <v>*0.868200049813865</v>
      </c>
      <c r="AD29" s="45" t="str">
        <f t="shared" si="10"/>
        <v>*0.934151479157098</v>
      </c>
      <c r="AE29" s="45" t="str">
        <f t="shared" si="10"/>
        <v>*0.95660525509161</v>
      </c>
      <c r="AF29" s="45" t="str">
        <f t="shared" si="10"/>
        <v>*0.952159184566401</v>
      </c>
      <c r="AG29" s="45" t="str">
        <f t="shared" si="10"/>
        <v>*0.868200049813865</v>
      </c>
      <c r="AH29" s="45" t="str">
        <f t="shared" si="10"/>
        <v>*0.868200049813865</v>
      </c>
      <c r="AI29" s="45" t="str">
        <f t="shared" si="10"/>
        <v>*0.863299787532764</v>
      </c>
      <c r="AJ29" s="45" t="str">
        <f t="shared" si="10"/>
        <v>*0.991473207818152</v>
      </c>
      <c r="AK29" s="45" t="str">
        <f t="shared" si="10"/>
        <v>*0.95660658952579</v>
      </c>
      <c r="AL29" s="45" t="str">
        <f t="shared" si="10"/>
        <v>*0.952160958843811</v>
      </c>
      <c r="AM29" s="45" t="str">
        <f t="shared" si="10"/>
        <v>*0.925017956684262</v>
      </c>
      <c r="AN29" s="45" t="str">
        <f t="shared" si="10"/>
        <v>*0.945446693605883</v>
      </c>
      <c r="AO29" s="45" t="str">
        <f t="shared" si="10"/>
        <v>*0.868200049813865</v>
      </c>
      <c r="AP29" s="45" t="str">
        <f t="shared" si="10"/>
        <v>*0.934152532040672</v>
      </c>
      <c r="AQ29" s="45" t="str">
        <f t="shared" si="10"/>
        <v>*0.974199648514963</v>
      </c>
      <c r="AR29" s="45" t="str">
        <f t="shared" si="10"/>
        <v>*0.943197229617305</v>
      </c>
      <c r="AS29" s="47" t="str">
        <f t="shared" si="10"/>
        <v>*0.956605202256303</v>
      </c>
    </row>
    <row r="30" spans="1:45" ht="15">
      <c r="A30" s="3" t="s">
        <v>180</v>
      </c>
      <c r="C30" t="s">
        <v>29</v>
      </c>
      <c r="D30" t="str">
        <f>A30</f>
        <v>C_ES-SC-*GAS*</v>
      </c>
      <c r="H30" s="42"/>
      <c r="I30" s="50" t="str">
        <f>IF(I34&lt;&gt;"","*"&amp;I34/$Q$34,"")</f>
        <v>*0.868205142846993</v>
      </c>
      <c r="J30" s="50" t="str">
        <f t="shared" si="11" ref="J30:AS30">IF(J34&lt;&gt;"","*"&amp;J34/$Q$34,"")</f>
        <v>*0.978545120322717</v>
      </c>
      <c r="K30" s="50" t="str">
        <f t="shared" si="11"/>
        <v>*0.868205142846993</v>
      </c>
      <c r="L30" s="50" t="str">
        <f t="shared" si="11"/>
        <v>*0.991471725885682</v>
      </c>
      <c r="M30" s="50" t="str">
        <f t="shared" si="11"/>
        <v>*0.928897974577904</v>
      </c>
      <c r="N30" s="50" t="str">
        <f t="shared" si="11"/>
        <v>*1</v>
      </c>
      <c r="O30" s="50" t="str">
        <f t="shared" si="11"/>
        <v>*0.928897974577904</v>
      </c>
      <c r="P30" s="50" t="str">
        <f t="shared" si="11"/>
        <v>*0.934155218705367</v>
      </c>
      <c r="Q30" s="63" t="str">
        <f>IF(Q34&lt;&gt;"","*"&amp;Q34,"")</f>
        <v>*1.83012563976414</v>
      </c>
      <c r="R30" s="50" t="str">
        <f t="shared" si="11"/>
        <v>*0.956606436978537</v>
      </c>
      <c r="S30" s="50" t="str">
        <f t="shared" si="11"/>
        <v>*0.928897974577904</v>
      </c>
      <c r="T30" s="50" t="str">
        <f t="shared" si="11"/>
        <v>*0.868205142846993</v>
      </c>
      <c r="U30" s="50" t="str">
        <f t="shared" si="11"/>
        <v>*0.911147267081528</v>
      </c>
      <c r="V30" s="50" t="str">
        <f t="shared" si="11"/>
        <v>*0.928897974577904</v>
      </c>
      <c r="W30" s="50" t="str">
        <f t="shared" si="11"/>
        <v>*0.956605966984821</v>
      </c>
      <c r="X30" s="50" t="str">
        <f t="shared" si="11"/>
        <v>*0.943199416368186</v>
      </c>
      <c r="Y30" s="50" t="str">
        <f t="shared" si="11"/>
        <v>*0.943199350965649</v>
      </c>
      <c r="Z30" s="50" t="str">
        <f t="shared" si="11"/>
        <v>*0.965444638549739</v>
      </c>
      <c r="AA30" s="50" t="str">
        <f t="shared" si="11"/>
        <v>*0.956606436978537</v>
      </c>
      <c r="AB30" s="50" t="str">
        <f t="shared" si="11"/>
        <v>*0.956606861100588</v>
      </c>
      <c r="AC30" s="50" t="str">
        <f t="shared" si="11"/>
        <v>*0.868205142846993</v>
      </c>
      <c r="AD30" s="50" t="str">
        <f t="shared" si="11"/>
        <v>*0.928897974577904</v>
      </c>
      <c r="AE30" s="50" t="str">
        <f t="shared" si="11"/>
        <v>*0.956604123970764</v>
      </c>
      <c r="AF30" s="50" t="str">
        <f t="shared" si="11"/>
        <v>*0.928897974577904</v>
      </c>
      <c r="AG30" s="50" t="str">
        <f t="shared" si="11"/>
        <v>*0.868205142846993</v>
      </c>
      <c r="AH30" s="50" t="str">
        <f t="shared" si="11"/>
        <v>*0.868205142846993</v>
      </c>
      <c r="AI30" s="50" t="str">
        <f t="shared" si="11"/>
        <v>*0.928897974577904</v>
      </c>
      <c r="AJ30" s="50" t="str">
        <f t="shared" si="11"/>
        <v>*0.991473372292527</v>
      </c>
      <c r="AK30" s="50" t="str">
        <f t="shared" si="11"/>
        <v>*0.956606436978537</v>
      </c>
      <c r="AL30" s="50" t="str">
        <f t="shared" si="11"/>
        <v>*0.952156475914706</v>
      </c>
      <c r="AM30" s="50" t="str">
        <f t="shared" si="11"/>
        <v>*0.925016606401757</v>
      </c>
      <c r="AN30" s="50" t="str">
        <f t="shared" si="11"/>
        <v>*0.945448569942921</v>
      </c>
      <c r="AO30" s="50" t="str">
        <f t="shared" si="11"/>
        <v>*0.868205142846993</v>
      </c>
      <c r="AP30" s="50" t="str">
        <f t="shared" si="11"/>
        <v>*0.928897974577904</v>
      </c>
      <c r="AQ30" s="50" t="str">
        <f t="shared" si="11"/>
        <v>*0.928897974577904</v>
      </c>
      <c r="AR30" s="50" t="str">
        <f t="shared" si="11"/>
        <v>*0.943197246246997</v>
      </c>
      <c r="AS30" s="52" t="str">
        <f t="shared" si="11"/>
        <v>*0.956604045055111</v>
      </c>
    </row>
    <row r="33" spans="9:45" ht="12.75">
      <c r="I33" s="22">
        <f>IFERROR(AVERAGEIFS(COM_All!L$2:L$999,COM_All!$B$2:$B$999,"="&amp;$A$27,COM_All!$C$2:$C$999,"="&amp;'INS-UPD SpCool'!$A29),"")</f>
        <v>1.95510940546217</v>
      </c>
      <c r="J33" s="23">
        <f>IFERROR(AVERAGEIFS(COM_All!M$2:M$999,COM_All!$B$2:$B$999,"="&amp;$A$27,COM_All!$C$2:$C$999,"="&amp;'INS-UPD SpCool'!$A29),"")</f>
        <v>2.2036010875512599</v>
      </c>
      <c r="K33" s="23">
        <f>IFERROR(AVERAGEIFS(COM_All!N$2:N$999,COM_All!$B$2:$B$999,"="&amp;$A$27,COM_All!$C$2:$C$999,"="&amp;'INS-UPD SpCool'!$A29),"")</f>
        <v>1.95510940546217</v>
      </c>
      <c r="L33" s="23">
        <f>IFERROR(AVERAGEIFS(COM_All!O$2:O$999,COM_All!$B$2:$B$999,"="&amp;$A$27,COM_All!$C$2:$C$999,"="&amp;'INS-UPD SpCool'!$A29),"")</f>
        <v>2.2327090997943801</v>
      </c>
      <c r="M33" s="23">
        <f>IFERROR(AVERAGEIFS(COM_All!P$2:P$999,COM_All!$B$2:$B$999,"="&amp;$A$27,COM_All!$C$2:$C$999,"="&amp;'INS-UPD SpCool'!$A29),"")</f>
        <v>2.02010088990933</v>
      </c>
      <c r="N33" s="23">
        <f>IFERROR(AVERAGEIFS(COM_All!Q$2:Q$999,COM_All!$B$2:$B$999,"="&amp;$A$27,COM_All!$C$2:$C$999,"="&amp;'INS-UPD SpCool'!$A29),"")</f>
        <v>2.2519111878435498</v>
      </c>
      <c r="O33" s="23">
        <f>IFERROR(AVERAGEIFS(COM_All!R$2:R$999,COM_All!$B$2:$B$999,"="&amp;$A$27,COM_All!$C$2:$C$999,"="&amp;'INS-UPD SpCool'!$A29),"")</f>
        <v>1.9551107042675699</v>
      </c>
      <c r="P33" s="23">
        <f>IFERROR(AVERAGEIFS(COM_All!S$2:S$999,COM_All!$B$2:$B$999,"="&amp;$A$27,COM_All!$C$2:$C$999,"="&amp;'INS-UPD SpCool'!$A29),"")</f>
        <v>2.1036269014087301</v>
      </c>
      <c r="Q33" s="23">
        <f>IFERROR(AVERAGEIFS(COM_All!T$2:T$999,COM_All!$B$2:$B$999,"="&amp;$A$27,COM_All!$C$2:$C$999,"="&amp;'INS-UPD SpCool'!$A29),"")</f>
        <v>2.2519111878435498</v>
      </c>
      <c r="R33" s="23">
        <f>IFERROR(AVERAGEIFS(COM_All!U$2:U$999,COM_All!$B$2:$B$999,"="&amp;$A$27,COM_All!$C$2:$C$999,"="&amp;'INS-UPD SpCool'!$A29),"")</f>
        <v>2.1541930813179899</v>
      </c>
      <c r="S33" s="23">
        <f>IFERROR(AVERAGEIFS(COM_All!V$2:V$999,COM_All!$B$2:$B$999,"="&amp;$A$27,COM_All!$C$2:$C$999,"="&amp;'INS-UPD SpCool'!$A29),"")</f>
        <v>2.1036269292494598</v>
      </c>
      <c r="T33" s="23">
        <f>IFERROR(AVERAGEIFS(COM_All!W$2:W$999,COM_All!$B$2:$B$999,"="&amp;$A$27,COM_All!$C$2:$C$999,"="&amp;'INS-UPD SpCool'!$A29),"")</f>
        <v>1.95510940546217</v>
      </c>
      <c r="U33" s="23">
        <f>IFERROR(AVERAGEIFS(COM_All!X$2:X$999,COM_All!$B$2:$B$999,"="&amp;$A$27,COM_All!$C$2:$C$999,"="&amp;'INS-UPD SpCool'!$A29),"")</f>
        <v>2.0518191323547801</v>
      </c>
      <c r="V33" s="23">
        <f>IFERROR(AVERAGEIFS(COM_All!Y$2:Y$999,COM_All!$B$2:$B$999,"="&amp;$A$27,COM_All!$C$2:$C$999,"="&amp;'INS-UPD SpCool'!$A29),"")</f>
        <v>2.1138398243081302</v>
      </c>
      <c r="W33" s="23">
        <f>IFERROR(AVERAGEIFS(COM_All!Z$2:Z$999,COM_All!$B$2:$B$999,"="&amp;$A$27,COM_All!$C$2:$C$999,"="&amp;'INS-UPD SpCool'!$A29),"")</f>
        <v>2.1541911050954998</v>
      </c>
      <c r="X33" s="23">
        <f>IFERROR(AVERAGEIFS(COM_All!AA$2:AA$999,COM_All!$B$2:$B$999,"="&amp;$A$27,COM_All!$C$2:$C$999,"="&amp;'INS-UPD SpCool'!$A29),"")</f>
        <v>2.1239979385393299</v>
      </c>
      <c r="Y33" s="23">
        <f>IFERROR(AVERAGEIFS(COM_All!AB$2:AB$999,COM_All!$B$2:$B$999,"="&amp;$A$27,COM_All!$C$2:$C$999,"="&amp;'INS-UPD SpCool'!$A29),"")</f>
        <v>2.1240011576121001</v>
      </c>
      <c r="Z33" s="23">
        <f>IFERROR(AVERAGEIFS(COM_All!AC$2:AC$999,COM_All!$B$2:$B$999,"="&amp;$A$27,COM_All!$C$2:$C$999,"="&amp;'INS-UPD SpCool'!$A29),"")</f>
        <v>2.1740872276841801</v>
      </c>
      <c r="AA33" s="23">
        <f>IFERROR(AVERAGEIFS(COM_All!AD$2:AD$999,COM_All!$B$2:$B$999,"="&amp;$A$27,COM_All!$C$2:$C$999,"="&amp;'INS-UPD SpCool'!$A29),"")</f>
        <v>2.1541930813179899</v>
      </c>
      <c r="AB33" s="23">
        <f>IFERROR(AVERAGEIFS(COM_All!AE$2:AE$999,COM_All!$B$2:$B$999,"="&amp;$A$27,COM_All!$C$2:$C$999,"="&amp;'INS-UPD SpCool'!$A29),"")</f>
        <v>2.1541944629657102</v>
      </c>
      <c r="AC33" s="23">
        <f>IFERROR(AVERAGEIFS(COM_All!AF$2:AF$999,COM_All!$B$2:$B$999,"="&amp;$A$27,COM_All!$C$2:$C$999,"="&amp;'INS-UPD SpCool'!$A29),"")</f>
        <v>1.95510940546217</v>
      </c>
      <c r="AD33" s="23">
        <f>IFERROR(AVERAGEIFS(COM_All!AG$2:AG$999,COM_All!$B$2:$B$999,"="&amp;$A$27,COM_All!$C$2:$C$999,"="&amp;'INS-UPD SpCool'!$A29),"")</f>
        <v>2.10362616705447</v>
      </c>
      <c r="AE33" s="23">
        <f>IFERROR(AVERAGEIFS(COM_All!AH$2:AH$999,COM_All!$B$2:$B$999,"="&amp;$A$27,COM_All!$C$2:$C$999,"="&amp;'INS-UPD SpCool'!$A29),"")</f>
        <v>2.15419007629073</v>
      </c>
      <c r="AF33" s="23">
        <f>IFERROR(AVERAGEIFS(COM_All!AI$2:AI$999,COM_All!$B$2:$B$999,"="&amp;$A$27,COM_All!$C$2:$C$999,"="&amp;'INS-UPD SpCool'!$A29),"")</f>
        <v>2.1441779203330702</v>
      </c>
      <c r="AG33" s="23">
        <f>IFERROR(AVERAGEIFS(COM_All!AJ$2:AJ$999,COM_All!$B$2:$B$999,"="&amp;$A$27,COM_All!$C$2:$C$999,"="&amp;'INS-UPD SpCool'!$A29),"")</f>
        <v>1.95510940546217</v>
      </c>
      <c r="AH33" s="23">
        <f>IFERROR(AVERAGEIFS(COM_All!AK$2:AK$999,COM_All!$B$2:$B$999,"="&amp;$A$27,COM_All!$C$2:$C$999,"="&amp;'INS-UPD SpCool'!$A29),"")</f>
        <v>1.95510940546217</v>
      </c>
      <c r="AI33" s="23">
        <f>IFERROR(AVERAGEIFS(COM_All!AL$2:AL$999,COM_All!$B$2:$B$999,"="&amp;$A$27,COM_All!$C$2:$C$999,"="&amp;'INS-UPD SpCool'!$A29),"")</f>
        <v>1.9440744500079901</v>
      </c>
      <c r="AJ33" s="23">
        <f>IFERROR(AVERAGEIFS(COM_All!AM$2:AM$999,COM_All!$B$2:$B$999,"="&amp;$A$27,COM_All!$C$2:$C$999,"="&amp;'INS-UPD SpCool'!$A29),"")</f>
        <v>2.2327096091328298</v>
      </c>
      <c r="AK33" s="23">
        <f>IFERROR(AVERAGEIFS(COM_All!AN$2:AN$999,COM_All!$B$2:$B$999,"="&amp;$A$27,COM_All!$C$2:$C$999,"="&amp;'INS-UPD SpCool'!$A29),"")</f>
        <v>2.1541930813179899</v>
      </c>
      <c r="AL33" s="23">
        <f>IFERROR(AVERAGEIFS(COM_All!AO$2:AO$999,COM_All!$B$2:$B$999,"="&amp;$A$27,COM_All!$C$2:$C$999,"="&amp;'INS-UPD SpCool'!$A29),"")</f>
        <v>2.14418191584822</v>
      </c>
      <c r="AM33" s="23">
        <f>IFERROR(AVERAGEIFS(COM_All!AP$2:AP$999,COM_All!$B$2:$B$999,"="&amp;$A$27,COM_All!$C$2:$C$999,"="&amp;'INS-UPD SpCool'!$A29),"")</f>
        <v>2.0830582856134701</v>
      </c>
      <c r="AN33" s="23">
        <f>IFERROR(AVERAGEIFS(COM_All!AQ$2:AQ$999,COM_All!$B$2:$B$999,"="&amp;$A$27,COM_All!$C$2:$C$999,"="&amp;'INS-UPD SpCool'!$A29),"")</f>
        <v>2.1290619868407799</v>
      </c>
      <c r="AO33" s="23">
        <f>IFERROR(AVERAGEIFS(COM_All!AR$2:AR$999,COM_All!$B$2:$B$999,"="&amp;$A$27,COM_All!$C$2:$C$999,"="&amp;'INS-UPD SpCool'!$A29),"")</f>
        <v>1.95510940546217</v>
      </c>
      <c r="AP33" s="23">
        <f>IFERROR(AVERAGEIFS(COM_All!AS$2:AS$999,COM_All!$B$2:$B$999,"="&amp;$A$27,COM_All!$C$2:$C$999,"="&amp;'INS-UPD SpCool'!$A29),"")</f>
        <v>2.1036285380547701</v>
      </c>
      <c r="AQ33" s="23">
        <f>IFERROR(AVERAGEIFS(COM_All!AT$2:AT$999,COM_All!$B$2:$B$999,"="&amp;$A$27,COM_All!$C$2:$C$999,"="&amp;'INS-UPD SpCool'!$A29),"")</f>
        <v>2.1938110876841002</v>
      </c>
      <c r="AR33" s="23">
        <f>IFERROR(AVERAGEIFS(COM_All!AU$2:AU$999,COM_All!$B$2:$B$999,"="&amp;$A$27,COM_All!$C$2:$C$999,"="&amp;'INS-UPD SpCool'!$A29),"")</f>
        <v>2.12399639371825</v>
      </c>
      <c r="AS33" s="24">
        <f>IFERROR(AVERAGEIFS(COM_All!AV$2:AV$999,COM_All!$B$2:$B$999,"="&amp;$A$27,COM_All!$C$2:$C$999,"="&amp;'INS-UPD SpCool'!$A29),"")</f>
        <v>2.1541899573103098</v>
      </c>
    </row>
    <row r="34" spans="9:45" ht="12.75">
      <c r="I34" s="25">
        <f>IFERROR(AVERAGEIFS(COM_All!L$2:L$999,COM_All!$B$2:$B$999,"="&amp;$A$27,COM_All!$C$2:$C$999,"="&amp;'INS-UPD SpCool'!$A30),"")</f>
        <v>1.58892449249937</v>
      </c>
      <c r="J34" s="26">
        <f>IFERROR(AVERAGEIFS(COM_All!M$2:M$999,COM_All!$B$2:$B$999,"="&amp;$A$27,COM_All!$C$2:$C$999,"="&amp;'INS-UPD SpCool'!$A30),"")</f>
        <v>1.79086051436869</v>
      </c>
      <c r="K34" s="26">
        <f>IFERROR(AVERAGEIFS(COM_All!N$2:N$999,COM_All!$B$2:$B$999,"="&amp;$A$27,COM_All!$C$2:$C$999,"="&amp;'INS-UPD SpCool'!$A30),"")</f>
        <v>1.58892449249937</v>
      </c>
      <c r="L34" s="26">
        <f>IFERROR(AVERAGEIFS(COM_All!O$2:O$999,COM_All!$B$2:$B$999,"="&amp;$A$27,COM_All!$C$2:$C$999,"="&amp;'INS-UPD SpCool'!$A30),"")</f>
        <v>1.81451782664459</v>
      </c>
      <c r="M34" s="26">
        <f>IFERROR(AVERAGEIFS(COM_All!P$2:P$999,COM_All!$B$2:$B$999,"="&amp;$A$27,COM_All!$C$2:$C$999,"="&amp;'INS-UPD SpCool'!$A30),"")</f>
        <v>1.7</v>
      </c>
      <c r="N34" s="26">
        <f>IFERROR(AVERAGEIFS(COM_All!Q$2:Q$999,COM_All!$B$2:$B$999,"="&amp;$A$27,COM_All!$C$2:$C$999,"="&amp;'INS-UPD SpCool'!$A30),"")</f>
        <v>1.8301256397641401</v>
      </c>
      <c r="O34" s="26">
        <f>IFERROR(AVERAGEIFS(COM_All!R$2:R$999,COM_All!$B$2:$B$999,"="&amp;$A$27,COM_All!$C$2:$C$999,"="&amp;'INS-UPD SpCool'!$A30),"")</f>
        <v>1.7</v>
      </c>
      <c r="P34" s="26">
        <f>IFERROR(AVERAGEIFS(COM_All!S$2:S$999,COM_All!$B$2:$B$999,"="&amp;$A$27,COM_All!$C$2:$C$999,"="&amp;'INS-UPD SpCool'!$A30),"")</f>
        <v>1.70962141727217</v>
      </c>
      <c r="Q34" s="26">
        <f>IFERROR(AVERAGEIFS(COM_All!T$2:T$999,COM_All!$B$2:$B$999,"="&amp;$A$27,COM_All!$C$2:$C$999,"="&amp;'INS-UPD SpCool'!$A30),"")</f>
        <v>1.8301256397641401</v>
      </c>
      <c r="R34" s="26">
        <f>IFERROR(AVERAGEIFS(COM_All!U$2:U$999,COM_All!$B$2:$B$999,"="&amp;$A$27,COM_All!$C$2:$C$999,"="&amp;'INS-UPD SpCool'!$A30),"")</f>
        <v>1.7507099674778399</v>
      </c>
      <c r="S34" s="26">
        <f>IFERROR(AVERAGEIFS(COM_All!V$2:V$999,COM_All!$B$2:$B$999,"="&amp;$A$27,COM_All!$C$2:$C$999,"="&amp;'INS-UPD SpCool'!$A30),"")</f>
        <v>1.7</v>
      </c>
      <c r="T34" s="26">
        <f>IFERROR(AVERAGEIFS(COM_All!W$2:W$999,COM_All!$B$2:$B$999,"="&amp;$A$27,COM_All!$C$2:$C$999,"="&amp;'INS-UPD SpCool'!$A30),"")</f>
        <v>1.58892449249937</v>
      </c>
      <c r="U34" s="26">
        <f>IFERROR(AVERAGEIFS(COM_All!X$2:X$999,COM_All!$B$2:$B$999,"="&amp;$A$27,COM_All!$C$2:$C$999,"="&amp;'INS-UPD SpCool'!$A30),"")</f>
        <v>1.6675139750869299</v>
      </c>
      <c r="V34" s="26">
        <f>IFERROR(AVERAGEIFS(COM_All!Y$2:Y$999,COM_All!$B$2:$B$999,"="&amp;$A$27,COM_All!$C$2:$C$999,"="&amp;'INS-UPD SpCool'!$A30),"")</f>
        <v>1.7</v>
      </c>
      <c r="W34" s="26">
        <f>IFERROR(AVERAGEIFS(COM_All!Z$2:Z$999,COM_All!$B$2:$B$999,"="&amp;$A$27,COM_All!$C$2:$C$999,"="&amp;'INS-UPD SpCool'!$A30),"")</f>
        <v>1.7507091073302901</v>
      </c>
      <c r="X34" s="26">
        <f>IFERROR(AVERAGEIFS(COM_All!AA$2:AA$999,COM_All!$B$2:$B$999,"="&amp;$A$27,COM_All!$C$2:$C$999,"="&amp;'INS-UPD SpCool'!$A30),"")</f>
        <v>1.7261734353059901</v>
      </c>
      <c r="Y34" s="26">
        <f>IFERROR(AVERAGEIFS(COM_All!AB$2:AB$999,COM_All!$B$2:$B$999,"="&amp;$A$27,COM_All!$C$2:$C$999,"="&amp;'INS-UPD SpCool'!$A30),"")</f>
        <v>1.7261733156111301</v>
      </c>
      <c r="Z34" s="26">
        <f>IFERROR(AVERAGEIFS(COM_All!AC$2:AC$999,COM_All!$B$2:$B$999,"="&amp;$A$27,COM_All!$C$2:$C$999,"="&amp;'INS-UPD SpCool'!$A30),"")</f>
        <v>1.7668849867826999</v>
      </c>
      <c r="AA34" s="26">
        <f>IFERROR(AVERAGEIFS(COM_All!AD$2:AD$999,COM_All!$B$2:$B$999,"="&amp;$A$27,COM_All!$C$2:$C$999,"="&amp;'INS-UPD SpCool'!$A30),"")</f>
        <v>1.7507099674778399</v>
      </c>
      <c r="AB34" s="26">
        <f>IFERROR(AVERAGEIFS(COM_All!AE$2:AE$999,COM_All!$B$2:$B$999,"="&amp;$A$27,COM_All!$C$2:$C$999,"="&amp;'INS-UPD SpCool'!$A30),"")</f>
        <v>1.75071074367448</v>
      </c>
      <c r="AC34" s="26">
        <f>IFERROR(AVERAGEIFS(COM_All!AF$2:AF$999,COM_All!$B$2:$B$999,"="&amp;$A$27,COM_All!$C$2:$C$999,"="&amp;'INS-UPD SpCool'!$A30),"")</f>
        <v>1.58892449249937</v>
      </c>
      <c r="AD34" s="26">
        <f>IFERROR(AVERAGEIFS(COM_All!AG$2:AG$999,COM_All!$B$2:$B$999,"="&amp;$A$27,COM_All!$C$2:$C$999,"="&amp;'INS-UPD SpCool'!$A30),"")</f>
        <v>1.7</v>
      </c>
      <c r="AE34" s="26">
        <f>IFERROR(AVERAGEIFS(COM_All!AH$2:AH$999,COM_All!$B$2:$B$999,"="&amp;$A$27,COM_All!$C$2:$C$999,"="&amp;'INS-UPD SpCool'!$A30),"")</f>
        <v>1.7507057343830099</v>
      </c>
      <c r="AF34" s="26">
        <f>IFERROR(AVERAGEIFS(COM_All!AI$2:AI$999,COM_All!$B$2:$B$999,"="&amp;$A$27,COM_All!$C$2:$C$999,"="&amp;'INS-UPD SpCool'!$A30),"")</f>
        <v>1.7</v>
      </c>
      <c r="AG34" s="26">
        <f>IFERROR(AVERAGEIFS(COM_All!AJ$2:AJ$999,COM_All!$B$2:$B$999,"="&amp;$A$27,COM_All!$C$2:$C$999,"="&amp;'INS-UPD SpCool'!$A30),"")</f>
        <v>1.58892449249937</v>
      </c>
      <c r="AH34" s="26">
        <f>IFERROR(AVERAGEIFS(COM_All!AK$2:AK$999,COM_All!$B$2:$B$999,"="&amp;$A$27,COM_All!$C$2:$C$999,"="&amp;'INS-UPD SpCool'!$A30),"")</f>
        <v>1.58892449249937</v>
      </c>
      <c r="AI34" s="26">
        <f>IFERROR(AVERAGEIFS(COM_All!AL$2:AL$999,COM_All!$B$2:$B$999,"="&amp;$A$27,COM_All!$C$2:$C$999,"="&amp;'INS-UPD SpCool'!$A30),"")</f>
        <v>1.7</v>
      </c>
      <c r="AJ34" s="26">
        <f>IFERROR(AVERAGEIFS(COM_All!AM$2:AM$999,COM_All!$B$2:$B$999,"="&amp;$A$27,COM_All!$C$2:$C$999,"="&amp;'INS-UPD SpCool'!$A30),"")</f>
        <v>1.81452083977597</v>
      </c>
      <c r="AK34" s="26">
        <f>IFERROR(AVERAGEIFS(COM_All!AN$2:AN$999,COM_All!$B$2:$B$999,"="&amp;$A$27,COM_All!$C$2:$C$999,"="&amp;'INS-UPD SpCool'!$A30),"")</f>
        <v>1.7507099674778399</v>
      </c>
      <c r="AL34" s="26">
        <f>IFERROR(AVERAGEIFS(COM_All!AO$2:AO$999,COM_All!$B$2:$B$999,"="&amp;$A$27,COM_All!$C$2:$C$999,"="&amp;'INS-UPD SpCool'!$A30),"")</f>
        <v>1.7425659796389701</v>
      </c>
      <c r="AM34" s="26">
        <f>IFERROR(AVERAGEIFS(COM_All!AP$2:AP$999,COM_All!$B$2:$B$999,"="&amp;$A$27,COM_All!$C$2:$C$999,"="&amp;'INS-UPD SpCool'!$A30),"")</f>
        <v>1.69289660858347</v>
      </c>
      <c r="AN34" s="26">
        <f>IFERROR(AVERAGEIFS(COM_All!AQ$2:AQ$999,COM_All!$B$2:$B$999,"="&amp;$A$27,COM_All!$C$2:$C$999,"="&amp;'INS-UPD SpCool'!$A30),"")</f>
        <v>1.73028966893088</v>
      </c>
      <c r="AO34" s="26">
        <f>IFERROR(AVERAGEIFS(COM_All!AR$2:AR$999,COM_All!$B$2:$B$999,"="&amp;$A$27,COM_All!$C$2:$C$999,"="&amp;'INS-UPD SpCool'!$A30),"")</f>
        <v>1.58892449249937</v>
      </c>
      <c r="AP34" s="26">
        <f>IFERROR(AVERAGEIFS(COM_All!AS$2:AS$999,COM_All!$B$2:$B$999,"="&amp;$A$27,COM_All!$C$2:$C$999,"="&amp;'INS-UPD SpCool'!$A30),"")</f>
        <v>1.7</v>
      </c>
      <c r="AQ34" s="26">
        <f>IFERROR(AVERAGEIFS(COM_All!AT$2:AT$999,COM_All!$B$2:$B$999,"="&amp;$A$27,COM_All!$C$2:$C$999,"="&amp;'INS-UPD SpCool'!$A30),"")</f>
        <v>1.7</v>
      </c>
      <c r="AR34" s="26">
        <f>IFERROR(AVERAGEIFS(COM_All!AU$2:AU$999,COM_All!$B$2:$B$999,"="&amp;$A$27,COM_All!$C$2:$C$999,"="&amp;'INS-UPD SpCool'!$A30),"")</f>
        <v>1.7261694637115601</v>
      </c>
      <c r="AS34" s="27">
        <f>IFERROR(AVERAGEIFS(COM_All!AV$2:AV$999,COM_All!$B$2:$B$999,"="&amp;$A$27,COM_All!$C$2:$C$999,"="&amp;'INS-UPD SpCool'!$A30),"")</f>
        <v>1.75070558995745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AS101"/>
  <sheetViews>
    <sheetView workbookViewId="0" topLeftCell="A37">
      <selection pane="topLeft" activeCell="D4" sqref="D4"/>
    </sheetView>
  </sheetViews>
  <sheetFormatPr defaultRowHeight="12.75"/>
  <cols>
    <col min="1" max="1" width="17" bestFit="1" customWidth="1"/>
    <col min="4" max="4" width="15.1428571428571" bestFit="1" customWidth="1"/>
  </cols>
  <sheetData>
    <row r="2" spans="1:3" ht="15">
      <c r="A2" s="6" t="s">
        <v>114</v>
      </c>
      <c r="C2" s="4" t="s">
        <v>51</v>
      </c>
    </row>
    <row r="3" spans="3:45" ht="12.75">
      <c r="C3" t="s">
        <v>35</v>
      </c>
      <c r="D3" t="s">
        <v>48</v>
      </c>
      <c r="E3" t="s">
        <v>43</v>
      </c>
      <c r="F3" t="s">
        <v>39</v>
      </c>
      <c r="G3" t="s">
        <v>49</v>
      </c>
      <c r="H3" t="s">
        <v>46</v>
      </c>
      <c r="I3" t="str">
        <f>RES_SpHeat!L$1</f>
        <v>AL</v>
      </c>
      <c r="J3" t="str">
        <f>RES_SpHeat!M$1</f>
        <v>AT</v>
      </c>
      <c r="K3" t="str">
        <f>RES_SpHeat!N$1</f>
        <v>BA</v>
      </c>
      <c r="L3" t="str">
        <f>RES_SpHeat!O$1</f>
        <v>BE</v>
      </c>
      <c r="M3" t="str">
        <f>RES_SpHeat!P$1</f>
        <v>BG</v>
      </c>
      <c r="N3" t="str">
        <f>RES_SpHeat!Q$1</f>
        <v>CH</v>
      </c>
      <c r="O3" t="str">
        <f>RES_SpHeat!R$1</f>
        <v>CY</v>
      </c>
      <c r="P3" t="str">
        <f>RES_SpHeat!S$1</f>
        <v>CZ</v>
      </c>
      <c r="Q3" t="str">
        <f>RES_SpHeat!T$1</f>
        <v>DE</v>
      </c>
      <c r="R3" t="str">
        <f>RES_SpHeat!U$1</f>
        <v>DK</v>
      </c>
      <c r="S3" t="str">
        <f>RES_SpHeat!V$1</f>
        <v>EE</v>
      </c>
      <c r="T3" t="str">
        <f>RES_SpHeat!W$1</f>
        <v>EL</v>
      </c>
      <c r="U3" t="str">
        <f>RES_SpHeat!X$1</f>
        <v>ES</v>
      </c>
      <c r="V3" t="str">
        <f>RES_SpHeat!Y$1</f>
        <v>FI</v>
      </c>
      <c r="W3" t="str">
        <f>RES_SpHeat!Z$1</f>
        <v>FR</v>
      </c>
      <c r="X3" t="str">
        <f>RES_SpHeat!AA$1</f>
        <v>HR</v>
      </c>
      <c r="Y3" t="str">
        <f>RES_SpHeat!AB$1</f>
        <v>HU</v>
      </c>
      <c r="Z3" t="str">
        <f>RES_SpHeat!AC$1</f>
        <v>IE</v>
      </c>
      <c r="AA3" t="str">
        <f>RES_SpHeat!AD$1</f>
        <v>IS</v>
      </c>
      <c r="AB3" t="str">
        <f>RES_SpHeat!AE$1</f>
        <v>IT</v>
      </c>
      <c r="AC3" t="str">
        <f>RES_SpHeat!AF$1</f>
        <v>KS</v>
      </c>
      <c r="AD3" t="str">
        <f>RES_SpHeat!AG$1</f>
        <v>LT</v>
      </c>
      <c r="AE3" t="str">
        <f>RES_SpHeat!AH$1</f>
        <v>LU</v>
      </c>
      <c r="AF3" t="str">
        <f>RES_SpHeat!AI$1</f>
        <v>LV</v>
      </c>
      <c r="AG3" t="str">
        <f>RES_SpHeat!AJ$1</f>
        <v>ME</v>
      </c>
      <c r="AH3" t="str">
        <f>RES_SpHeat!AK$1</f>
        <v>MK</v>
      </c>
      <c r="AI3" t="str">
        <f>RES_SpHeat!AL$1</f>
        <v>MT</v>
      </c>
      <c r="AJ3" t="str">
        <f>RES_SpHeat!AM$1</f>
        <v>NL</v>
      </c>
      <c r="AK3" t="str">
        <f>RES_SpHeat!AN$1</f>
        <v>NO</v>
      </c>
      <c r="AL3" t="str">
        <f>RES_SpHeat!AO$1</f>
        <v>PL</v>
      </c>
      <c r="AM3" t="str">
        <f>RES_SpHeat!AP$1</f>
        <v>PT</v>
      </c>
      <c r="AN3" t="str">
        <f>RES_SpHeat!AQ$1</f>
        <v>RO</v>
      </c>
      <c r="AO3" t="str">
        <f>RES_SpHeat!AR$1</f>
        <v>RS</v>
      </c>
      <c r="AP3" t="str">
        <f>RES_SpHeat!AS$1</f>
        <v>SE</v>
      </c>
      <c r="AQ3" t="str">
        <f>RES_SpHeat!AT$1</f>
        <v>SI</v>
      </c>
      <c r="AR3" t="str">
        <f>RES_SpHeat!AU$1</f>
        <v>SK</v>
      </c>
      <c r="AS3" t="str">
        <f>RES_SpHeat!AV$1</f>
        <v>UK</v>
      </c>
    </row>
    <row r="4" spans="1:45" ht="15">
      <c r="A4" s="3" t="s">
        <v>96</v>
      </c>
      <c r="C4" t="s">
        <v>114</v>
      </c>
      <c r="D4" t="str">
        <f>A4</f>
        <v>R_ES-CK-*</v>
      </c>
      <c r="H4" s="56">
        <f>AVERAGE(I4:AS4)</f>
        <v>0.0037211246446985013</v>
      </c>
      <c r="I4" s="57">
        <f>IFERROR(AVERAGEIFS(RES_Others!L$2:L$999,RES_Others!$B$2:$B$999,"="&amp;$A$2,RES_Others!$C$2:$C$999,"="&amp;'INS-UPD Others'!$A4),"")</f>
        <v>0.0077301269758716581</v>
      </c>
      <c r="J4" s="57">
        <f>IFERROR(AVERAGEIFS(RES_Others!M$2:M$999,RES_Others!$B$2:$B$999,"="&amp;$A$2,RES_Others!$C$2:$C$999,"="&amp;'INS-UPD Others'!$A4),"")</f>
        <v>0.0030415222889943099</v>
      </c>
      <c r="K4" s="57">
        <f>IFERROR(AVERAGEIFS(RES_Others!N$2:N$999,RES_Others!$B$2:$B$999,"="&amp;$A$2,RES_Others!$C$2:$C$999,"="&amp;'INS-UPD Others'!$A4),"")</f>
        <v>0.0035054289436246468</v>
      </c>
      <c r="L4" s="57">
        <f>IFERROR(AVERAGEIFS(RES_Others!O$2:O$999,RES_Others!$B$2:$B$999,"="&amp;$A$2,RES_Others!$C$2:$C$999,"="&amp;'INS-UPD Others'!$A4),"")</f>
        <v>0.0034102939388338601</v>
      </c>
      <c r="M4" s="57">
        <f>IFERROR(AVERAGEIFS(RES_Others!P$2:P$999,RES_Others!$B$2:$B$999,"="&amp;$A$2,RES_Others!$C$2:$C$999,"="&amp;'INS-UPD Others'!$A4),"")</f>
        <v>0.0036540878403332499</v>
      </c>
      <c r="N4" s="57">
        <f>IFERROR(AVERAGEIFS(RES_Others!Q$2:Q$999,RES_Others!$B$2:$B$999,"="&amp;$A$2,RES_Others!$C$2:$C$999,"="&amp;'INS-UPD Others'!$A4),"")</f>
        <v>0.0026203241469704157</v>
      </c>
      <c r="O4" s="57">
        <f>IFERROR(AVERAGEIFS(RES_Others!R$2:R$999,RES_Others!$B$2:$B$999,"="&amp;$A$2,RES_Others!$C$2:$C$999,"="&amp;'INS-UPD Others'!$A4),"")</f>
        <v>0.0031425495224675199</v>
      </c>
      <c r="P4" s="57">
        <f>IFERROR(AVERAGEIFS(RES_Others!S$2:S$999,RES_Others!$B$2:$B$999,"="&amp;$A$2,RES_Others!$C$2:$C$999,"="&amp;'INS-UPD Others'!$A4),"")</f>
        <v>0.00282814602417679</v>
      </c>
      <c r="Q4" s="57">
        <f>IFERROR(AVERAGEIFS(RES_Others!T$2:T$999,RES_Others!$B$2:$B$999,"="&amp;$A$2,RES_Others!$C$2:$C$999,"="&amp;'INS-UPD Others'!$A4),"")</f>
        <v>0.0032488705943226602</v>
      </c>
      <c r="R4" s="57">
        <f>IFERROR(AVERAGEIFS(RES_Others!U$2:U$999,RES_Others!$B$2:$B$999,"="&amp;$A$2,RES_Others!$C$2:$C$999,"="&amp;'INS-UPD Others'!$A4),"")</f>
        <v>0.0028361456877566298</v>
      </c>
      <c r="S4" s="57">
        <f>IFERROR(AVERAGEIFS(RES_Others!V$2:V$999,RES_Others!$B$2:$B$999,"="&amp;$A$2,RES_Others!$C$2:$C$999,"="&amp;'INS-UPD Others'!$A4),"")</f>
        <v>0.0027660559835486899</v>
      </c>
      <c r="T4" s="57">
        <f>IFERROR(AVERAGEIFS(RES_Others!W$2:W$999,RES_Others!$B$2:$B$999,"="&amp;$A$2,RES_Others!$C$2:$C$999,"="&amp;'INS-UPD Others'!$A4),"")</f>
        <v>0.0056268447984466202</v>
      </c>
      <c r="U4" s="57">
        <f>IFERROR(AVERAGEIFS(RES_Others!X$2:X$999,RES_Others!$B$2:$B$999,"="&amp;$A$2,RES_Others!$C$2:$C$999,"="&amp;'INS-UPD Others'!$A4),"")</f>
        <v>0.0038085079249353302</v>
      </c>
      <c r="V4" s="57">
        <f>IFERROR(AVERAGEIFS(RES_Others!Y$2:Y$999,RES_Others!$B$2:$B$999,"="&amp;$A$2,RES_Others!$C$2:$C$999,"="&amp;'INS-UPD Others'!$A4),"")</f>
        <v>0.0026293573109243702</v>
      </c>
      <c r="W4" s="57">
        <f>IFERROR(AVERAGEIFS(RES_Others!Z$2:Z$999,RES_Others!$B$2:$B$999,"="&amp;$A$2,RES_Others!$C$2:$C$999,"="&amp;'INS-UPD Others'!$A4),"")</f>
        <v>0.0046456785706277598</v>
      </c>
      <c r="X4" s="57">
        <f>IFERROR(AVERAGEIFS(RES_Others!AA$2:AA$999,RES_Others!$B$2:$B$999,"="&amp;$A$2,RES_Others!$C$2:$C$999,"="&amp;'INS-UPD Others'!$A4),"")</f>
        <v>0.0030876066146761599</v>
      </c>
      <c r="Y4" s="57">
        <f>IFERROR(AVERAGEIFS(RES_Others!AB$2:AB$999,RES_Others!$B$2:$B$999,"="&amp;$A$2,RES_Others!$C$2:$C$999,"="&amp;'INS-UPD Others'!$A4),"")</f>
        <v>0.0027436497090527899</v>
      </c>
      <c r="Z4" s="57">
        <f>IFERROR(AVERAGEIFS(RES_Others!AC$2:AC$999,RES_Others!$B$2:$B$999,"="&amp;$A$2,RES_Others!$C$2:$C$999,"="&amp;'INS-UPD Others'!$A4),"")</f>
        <v>0.0029707409502925399</v>
      </c>
      <c r="AA4" s="57">
        <f>IFERROR(AVERAGEIFS(RES_Others!AD$2:AD$999,RES_Others!$B$2:$B$999,"="&amp;$A$2,RES_Others!$C$2:$C$999,"="&amp;'INS-UPD Others'!$A4),"")</f>
        <v>0.0021188719174183202</v>
      </c>
      <c r="AB4" s="57">
        <f>IFERROR(AVERAGEIFS(RES_Others!AE$2:AE$999,RES_Others!$B$2:$B$999,"="&amp;$A$2,RES_Others!$C$2:$C$999,"="&amp;'INS-UPD Others'!$A4),"")</f>
        <v>0.00245637074056372</v>
      </c>
      <c r="AC4" s="57">
        <f>IFERROR(AVERAGEIFS(RES_Others!AF$2:AF$999,RES_Others!$B$2:$B$999,"="&amp;$A$2,RES_Others!$C$2:$C$999,"="&amp;'INS-UPD Others'!$A4),"")</f>
        <v>0.0031700464846774732</v>
      </c>
      <c r="AD4" s="57">
        <f>IFERROR(AVERAGEIFS(RES_Others!AG$2:AG$999,RES_Others!$B$2:$B$999,"="&amp;$A$2,RES_Others!$C$2:$C$999,"="&amp;'INS-UPD Others'!$A4),"")</f>
        <v>0.0024095486640133101</v>
      </c>
      <c r="AE4" s="57">
        <f>IFERROR(AVERAGEIFS(RES_Others!AH$2:AH$999,RES_Others!$B$2:$B$999,"="&amp;$A$2,RES_Others!$C$2:$C$999,"="&amp;'INS-UPD Others'!$A4),"")</f>
        <v>0.00289512767497408</v>
      </c>
      <c r="AF4" s="57">
        <f>IFERROR(AVERAGEIFS(RES_Others!AI$2:AI$999,RES_Others!$B$2:$B$999,"="&amp;$A$2,RES_Others!$C$2:$C$999,"="&amp;'INS-UPD Others'!$A4),"")</f>
        <v>0.0018732826292421499</v>
      </c>
      <c r="AG4" s="57">
        <f>IFERROR(AVERAGEIFS(RES_Others!AJ$2:AJ$999,RES_Others!$B$2:$B$999,"="&amp;$A$2,RES_Others!$C$2:$C$999,"="&amp;'INS-UPD Others'!$A4),"")</f>
        <v>0.0049775867149437249</v>
      </c>
      <c r="AH4" s="57">
        <f>IFERROR(AVERAGEIFS(RES_Others!AK$2:AK$999,RES_Others!$B$2:$B$999,"="&amp;$A$2,RES_Others!$C$2:$C$999,"="&amp;'INS-UPD Others'!$A4),"")</f>
        <v>0.0036204282441554048</v>
      </c>
      <c r="AI4" s="57">
        <f>IFERROR(AVERAGEIFS(RES_Others!AL$2:AL$999,RES_Others!$B$2:$B$999,"="&amp;$A$2,RES_Others!$C$2:$C$999,"="&amp;'INS-UPD Others'!$A4),"")</f>
        <v>0.0040464055195662601</v>
      </c>
      <c r="AJ4" s="57">
        <f>IFERROR(AVERAGEIFS(RES_Others!AM$2:AM$999,RES_Others!$B$2:$B$999,"="&amp;$A$2,RES_Others!$C$2:$C$999,"="&amp;'INS-UPD Others'!$A4),"")</f>
        <v>0.0033326076925638301</v>
      </c>
      <c r="AK4" s="57">
        <f>IFERROR(AVERAGEIFS(RES_Others!AN$2:AN$999,RES_Others!$B$2:$B$999,"="&amp;$A$2,RES_Others!$C$2:$C$999,"="&amp;'INS-UPD Others'!$A4),"")</f>
        <v>0.0052472403971326863</v>
      </c>
      <c r="AL4" s="57">
        <f>IFERROR(AVERAGEIFS(RES_Others!AO$2:AO$999,RES_Others!$B$2:$B$999,"="&amp;$A$2,RES_Others!$C$2:$C$999,"="&amp;'INS-UPD Others'!$A4),"")</f>
        <v>0.0031582031254655</v>
      </c>
      <c r="AM4" s="57">
        <f>IFERROR(AVERAGEIFS(RES_Others!AP$2:AP$999,RES_Others!$B$2:$B$999,"="&amp;$A$2,RES_Others!$C$2:$C$999,"="&amp;'INS-UPD Others'!$A4),"")</f>
        <v>0.015925988068439</v>
      </c>
      <c r="AN4" s="57">
        <f>IFERROR(AVERAGEIFS(RES_Others!AQ$2:AQ$999,RES_Others!$B$2:$B$999,"="&amp;$A$2,RES_Others!$C$2:$C$999,"="&amp;'INS-UPD Others'!$A4),"")</f>
        <v>0.0026716940978137199</v>
      </c>
      <c r="AO4" s="57">
        <f>IFERROR(AVERAGEIFS(RES_Others!AR$2:AR$999,RES_Others!$B$2:$B$999,"="&amp;$A$2,RES_Others!$C$2:$C$999,"="&amp;'INS-UPD Others'!$A4),"")</f>
        <v>0.0048263692079581399</v>
      </c>
      <c r="AP4" s="57">
        <f>IFERROR(AVERAGEIFS(RES_Others!AS$2:AS$999,RES_Others!$B$2:$B$999,"="&amp;$A$2,RES_Others!$C$2:$C$999,"="&amp;'INS-UPD Others'!$A4),"")</f>
        <v>0.00265130540461551</v>
      </c>
      <c r="AQ4" s="57">
        <f>IFERROR(AVERAGEIFS(RES_Others!AT$2:AT$999,RES_Others!$B$2:$B$999,"="&amp;$A$2,RES_Others!$C$2:$C$999,"="&amp;'INS-UPD Others'!$A4),"")</f>
        <v>0.0023401915005250799</v>
      </c>
      <c r="AR4" s="57">
        <f>IFERROR(AVERAGEIFS(RES_Others!AU$2:AU$999,RES_Others!$B$2:$B$999,"="&amp;$A$2,RES_Others!$C$2:$C$999,"="&amp;'INS-UPD Others'!$A4),"")</f>
        <v>0.0036328190444342499</v>
      </c>
      <c r="AS4" s="58">
        <f>IFERROR(AVERAGEIFS(RES_Others!AV$2:AV$999,RES_Others!$B$2:$B$999,"="&amp;$A$2,RES_Others!$C$2:$C$999,"="&amp;'INS-UPD Others'!$A4),"")</f>
        <v>0.0020315868994864</v>
      </c>
    </row>
    <row r="8" spans="1:3" ht="15">
      <c r="A8" s="6" t="s">
        <v>29</v>
      </c>
      <c r="C8" s="4" t="s">
        <v>51</v>
      </c>
    </row>
    <row r="9" spans="3:45" ht="12.75">
      <c r="C9" t="s">
        <v>35</v>
      </c>
      <c r="D9" t="s">
        <v>48</v>
      </c>
      <c r="E9" t="s">
        <v>43</v>
      </c>
      <c r="F9" t="s">
        <v>39</v>
      </c>
      <c r="G9" t="s">
        <v>49</v>
      </c>
      <c r="H9" t="s">
        <v>46</v>
      </c>
      <c r="I9" t="str">
        <f>RES_SpHeat!L$1</f>
        <v>AL</v>
      </c>
      <c r="J9" t="str">
        <f>RES_SpHeat!M$1</f>
        <v>AT</v>
      </c>
      <c r="K9" t="str">
        <f>RES_SpHeat!N$1</f>
        <v>BA</v>
      </c>
      <c r="L9" t="str">
        <f>RES_SpHeat!O$1</f>
        <v>BE</v>
      </c>
      <c r="M9" t="str">
        <f>RES_SpHeat!P$1</f>
        <v>BG</v>
      </c>
      <c r="N9" t="str">
        <f>RES_SpHeat!Q$1</f>
        <v>CH</v>
      </c>
      <c r="O9" t="str">
        <f>RES_SpHeat!R$1</f>
        <v>CY</v>
      </c>
      <c r="P9" t="str">
        <f>RES_SpHeat!S$1</f>
        <v>CZ</v>
      </c>
      <c r="Q9" t="str">
        <f>RES_SpHeat!T$1</f>
        <v>DE</v>
      </c>
      <c r="R9" t="str">
        <f>RES_SpHeat!U$1</f>
        <v>DK</v>
      </c>
      <c r="S9" t="str">
        <f>RES_SpHeat!V$1</f>
        <v>EE</v>
      </c>
      <c r="T9" t="str">
        <f>RES_SpHeat!W$1</f>
        <v>EL</v>
      </c>
      <c r="U9" t="str">
        <f>RES_SpHeat!X$1</f>
        <v>ES</v>
      </c>
      <c r="V9" t="str">
        <f>RES_SpHeat!Y$1</f>
        <v>FI</v>
      </c>
      <c r="W9" t="str">
        <f>RES_SpHeat!Z$1</f>
        <v>FR</v>
      </c>
      <c r="X9" t="str">
        <f>RES_SpHeat!AA$1</f>
        <v>HR</v>
      </c>
      <c r="Y9" t="str">
        <f>RES_SpHeat!AB$1</f>
        <v>HU</v>
      </c>
      <c r="Z9" t="str">
        <f>RES_SpHeat!AC$1</f>
        <v>IE</v>
      </c>
      <c r="AA9" t="str">
        <f>RES_SpHeat!AD$1</f>
        <v>IS</v>
      </c>
      <c r="AB9" t="str">
        <f>RES_SpHeat!AE$1</f>
        <v>IT</v>
      </c>
      <c r="AC9" t="str">
        <f>RES_SpHeat!AF$1</f>
        <v>KS</v>
      </c>
      <c r="AD9" t="str">
        <f>RES_SpHeat!AG$1</f>
        <v>LT</v>
      </c>
      <c r="AE9" t="str">
        <f>RES_SpHeat!AH$1</f>
        <v>LU</v>
      </c>
      <c r="AF9" t="str">
        <f>RES_SpHeat!AI$1</f>
        <v>LV</v>
      </c>
      <c r="AG9" t="str">
        <f>RES_SpHeat!AJ$1</f>
        <v>ME</v>
      </c>
      <c r="AH9" t="str">
        <f>RES_SpHeat!AK$1</f>
        <v>MK</v>
      </c>
      <c r="AI9" t="str">
        <f>RES_SpHeat!AL$1</f>
        <v>MT</v>
      </c>
      <c r="AJ9" t="str">
        <f>RES_SpHeat!AM$1</f>
        <v>NL</v>
      </c>
      <c r="AK9" t="str">
        <f>RES_SpHeat!AN$1</f>
        <v>NO</v>
      </c>
      <c r="AL9" t="str">
        <f>RES_SpHeat!AO$1</f>
        <v>PL</v>
      </c>
      <c r="AM9" t="str">
        <f>RES_SpHeat!AP$1</f>
        <v>PT</v>
      </c>
      <c r="AN9" t="str">
        <f>RES_SpHeat!AQ$1</f>
        <v>RO</v>
      </c>
      <c r="AO9" t="str">
        <f>RES_SpHeat!AR$1</f>
        <v>RS</v>
      </c>
      <c r="AP9" t="str">
        <f>RES_SpHeat!AS$1</f>
        <v>SE</v>
      </c>
      <c r="AQ9" t="str">
        <f>RES_SpHeat!AT$1</f>
        <v>SI</v>
      </c>
      <c r="AR9" t="str">
        <f>RES_SpHeat!AU$1</f>
        <v>SK</v>
      </c>
      <c r="AS9" t="str">
        <f>RES_SpHeat!AV$1</f>
        <v>UK</v>
      </c>
    </row>
    <row r="10" spans="1:45" ht="15">
      <c r="A10" s="3" t="s">
        <v>96</v>
      </c>
      <c r="C10" t="s">
        <v>29</v>
      </c>
      <c r="D10" t="str">
        <f>A10</f>
        <v>R_ES-CK-*</v>
      </c>
      <c r="H10" s="37"/>
      <c r="I10" s="45" t="str">
        <f>IF(I15&lt;&gt;"","*"&amp;I15/$Q$15,"")</f>
        <v>*0.850558659217877</v>
      </c>
      <c r="J10" s="45" t="str">
        <f t="shared" si="0" ref="J10:AS10">IF(J15&lt;&gt;"","*"&amp;J15/$Q$15,"")</f>
        <v>*0.827932960893855</v>
      </c>
      <c r="K10" s="45" t="str">
        <f t="shared" si="0"/>
        <v>*0.949720670391061</v>
      </c>
      <c r="L10" s="45" t="str">
        <f t="shared" si="0"/>
        <v>*0.988826815642458</v>
      </c>
      <c r="M10" s="45" t="str">
        <f t="shared" si="0"/>
        <v>*0.767597765363128</v>
      </c>
      <c r="N10" s="45" t="str">
        <f t="shared" si="0"/>
        <v>*0.83463687150838</v>
      </c>
      <c r="O10" s="45" t="str">
        <f t="shared" si="0"/>
        <v>*1.02234636871508</v>
      </c>
      <c r="P10" s="45" t="str">
        <f t="shared" si="0"/>
        <v>*0.833798882681564</v>
      </c>
      <c r="Q10" s="64" t="str">
        <f>IF(Q15&lt;&gt;"","*"&amp;Q15,"")</f>
        <v>*0.596666666666667</v>
      </c>
      <c r="R10" s="45" t="str">
        <f t="shared" si="0"/>
        <v>*1</v>
      </c>
      <c r="S10" s="45" t="str">
        <f t="shared" si="0"/>
        <v>*0.833798882681564</v>
      </c>
      <c r="T10" s="45" t="str">
        <f t="shared" si="0"/>
        <v>*0.850558659217877</v>
      </c>
      <c r="U10" s="45" t="str">
        <f t="shared" si="0"/>
        <v>*0.791061452513966</v>
      </c>
      <c r="V10" s="45" t="str">
        <f t="shared" si="0"/>
        <v>*1.00558659217877</v>
      </c>
      <c r="W10" s="45" t="str">
        <f t="shared" si="0"/>
        <v>*1</v>
      </c>
      <c r="X10" s="45" t="str">
        <f t="shared" si="0"/>
        <v>*0.949720670391061</v>
      </c>
      <c r="Y10" s="45" t="str">
        <f t="shared" si="0"/>
        <v>*0.787709497206704</v>
      </c>
      <c r="Z10" s="45" t="str">
        <f t="shared" si="0"/>
        <v>*0.983240223463687</v>
      </c>
      <c r="AA10" s="45" t="str">
        <f t="shared" si="0"/>
        <v>*0.83463687150838</v>
      </c>
      <c r="AB10" s="45" t="str">
        <f t="shared" si="0"/>
        <v>*1.00558659217877</v>
      </c>
      <c r="AC10" s="45" t="str">
        <f t="shared" si="0"/>
        <v>*0.949720670391061</v>
      </c>
      <c r="AD10" s="45" t="str">
        <f t="shared" si="0"/>
        <v>*0.833798882681564</v>
      </c>
      <c r="AE10" s="45" t="str">
        <f t="shared" si="0"/>
        <v>*1.00558659217877</v>
      </c>
      <c r="AF10" s="45" t="str">
        <f t="shared" si="0"/>
        <v>*0.850558659217877</v>
      </c>
      <c r="AG10" s="45" t="str">
        <f t="shared" si="0"/>
        <v>*0.850558659217877</v>
      </c>
      <c r="AH10" s="45" t="str">
        <f t="shared" si="0"/>
        <v>*0.850558659217877</v>
      </c>
      <c r="AI10" s="45" t="str">
        <f t="shared" si="0"/>
        <v>*1.0391061452514</v>
      </c>
      <c r="AJ10" s="45" t="str">
        <f t="shared" si="0"/>
        <v>*0.988826815642458</v>
      </c>
      <c r="AK10" s="45" t="str">
        <f t="shared" si="0"/>
        <v>*0.83463687150838</v>
      </c>
      <c r="AL10" s="45" t="str">
        <f t="shared" si="0"/>
        <v>*0.791061452513966</v>
      </c>
      <c r="AM10" s="45" t="str">
        <f t="shared" si="0"/>
        <v>*0.825418994413408</v>
      </c>
      <c r="AN10" s="45" t="str">
        <f t="shared" si="0"/>
        <v>*0.833798882681564</v>
      </c>
      <c r="AO10" s="45" t="str">
        <f t="shared" si="0"/>
        <v>*0.949720670391061</v>
      </c>
      <c r="AP10" s="45" t="str">
        <f t="shared" si="0"/>
        <v>*1.13128491620112</v>
      </c>
      <c r="AQ10" s="45" t="str">
        <f t="shared" si="0"/>
        <v>*0.896648044692738</v>
      </c>
      <c r="AR10" s="45" t="str">
        <f t="shared" si="0"/>
        <v>*0.949720670391061</v>
      </c>
      <c r="AS10" s="47" t="str">
        <f t="shared" si="0"/>
        <v>*0.983240223463687</v>
      </c>
    </row>
    <row r="11" spans="1:45" ht="15">
      <c r="A11" s="3" t="s">
        <v>105</v>
      </c>
      <c r="C11" t="s">
        <v>29</v>
      </c>
      <c r="D11" t="str">
        <f>A11</f>
        <v>R_ES-CK-*GAS*</v>
      </c>
      <c r="H11" s="40"/>
      <c r="I11" t="str">
        <f>IF(I16&lt;&gt;"","*"&amp;I16/$Q$16,"")</f>
        <v>*0.938775510204082</v>
      </c>
      <c r="J11" t="str">
        <f t="shared" si="1" ref="J11:AS11">IF(J16&lt;&gt;"","*"&amp;J16/$Q$16,"")</f>
        <v>*1</v>
      </c>
      <c r="K11" t="str">
        <f t="shared" si="1"/>
        <v>*0.938775510204082</v>
      </c>
      <c r="L11" t="str">
        <f t="shared" si="1"/>
        <v>*1</v>
      </c>
      <c r="M11" t="str">
        <f t="shared" si="1"/>
        <v>*0.897959183673469</v>
      </c>
      <c r="N11" t="str">
        <f t="shared" si="1"/>
        <v>*1</v>
      </c>
      <c r="O11" t="str">
        <f t="shared" si="1"/>
        <v/>
      </c>
      <c r="P11" t="str">
        <f t="shared" si="1"/>
        <v>*0.918367346938776</v>
      </c>
      <c r="Q11" s="65" t="str">
        <f>IF(Q16&lt;&gt;"","*"&amp;Q16,"")</f>
        <v>*0.49</v>
      </c>
      <c r="R11" t="str">
        <f t="shared" si="1"/>
        <v>*1</v>
      </c>
      <c r="S11" t="str">
        <f t="shared" si="1"/>
        <v>*0.918367346938776</v>
      </c>
      <c r="T11" t="str">
        <f t="shared" si="1"/>
        <v>*0.938775510204082</v>
      </c>
      <c r="U11" t="str">
        <f t="shared" si="1"/>
        <v>*0.938775510204082</v>
      </c>
      <c r="V11" t="str">
        <f t="shared" si="1"/>
        <v>*1.02040816326531</v>
      </c>
      <c r="W11" t="str">
        <f t="shared" si="1"/>
        <v>*1</v>
      </c>
      <c r="X11" t="str">
        <f t="shared" si="1"/>
        <v>*0.938775510204082</v>
      </c>
      <c r="Y11" t="str">
        <f t="shared" si="1"/>
        <v>*0.938775510204082</v>
      </c>
      <c r="Z11" t="str">
        <f t="shared" si="1"/>
        <v>*0.979591836734694</v>
      </c>
      <c r="AA11" t="str">
        <f t="shared" si="1"/>
        <v>*1</v>
      </c>
      <c r="AB11" t="str">
        <f t="shared" si="1"/>
        <v>*1.02040816326531</v>
      </c>
      <c r="AC11" t="str">
        <f t="shared" si="1"/>
        <v>*0.938775510204082</v>
      </c>
      <c r="AD11" t="str">
        <f t="shared" si="1"/>
        <v>*0.918367346938776</v>
      </c>
      <c r="AE11" t="str">
        <f t="shared" si="1"/>
        <v>*1.02040816326531</v>
      </c>
      <c r="AF11" t="str">
        <f t="shared" si="1"/>
        <v>*0.938775510204082</v>
      </c>
      <c r="AG11" t="str">
        <f t="shared" si="1"/>
        <v>*0.938775510204082</v>
      </c>
      <c r="AH11" t="str">
        <f t="shared" si="1"/>
        <v>*0.938775510204082</v>
      </c>
      <c r="AI11" t="str">
        <f t="shared" si="1"/>
        <v/>
      </c>
      <c r="AJ11" t="str">
        <f t="shared" si="1"/>
        <v>*0.989795918367347</v>
      </c>
      <c r="AK11" t="str">
        <f t="shared" si="1"/>
        <v>*1</v>
      </c>
      <c r="AL11" t="str">
        <f t="shared" si="1"/>
        <v>*0.938775510204082</v>
      </c>
      <c r="AM11" t="str">
        <f t="shared" si="1"/>
        <v>*0.897959183673469</v>
      </c>
      <c r="AN11" t="str">
        <f t="shared" si="1"/>
        <v>*0.918367346938776</v>
      </c>
      <c r="AO11" t="str">
        <f t="shared" si="1"/>
        <v>*0.938775510204082</v>
      </c>
      <c r="AP11" t="str">
        <f t="shared" si="1"/>
        <v>*1.02040816326531</v>
      </c>
      <c r="AQ11" t="str">
        <f t="shared" si="1"/>
        <v>*1</v>
      </c>
      <c r="AR11" t="str">
        <f t="shared" si="1"/>
        <v>*0.938775510204082</v>
      </c>
      <c r="AS11" s="49" t="str">
        <f t="shared" si="1"/>
        <v>*0.979591836734694</v>
      </c>
    </row>
    <row r="12" spans="1:45" ht="15">
      <c r="A12" s="3" t="s">
        <v>106</v>
      </c>
      <c r="C12" t="s">
        <v>29</v>
      </c>
      <c r="D12" t="str">
        <f>A12</f>
        <v>R_ES-CK-*LPG*</v>
      </c>
      <c r="H12" s="40"/>
      <c r="I12" t="str">
        <f>IF(I17&lt;&gt;"","*"&amp;I17/$Q$17,"")</f>
        <v>*0.934782608695652</v>
      </c>
      <c r="J12" t="str">
        <f t="shared" si="2" ref="J12:AS12">IF(J17&lt;&gt;"","*"&amp;J17/$Q$17,"")</f>
        <v>*0.978260869565217</v>
      </c>
      <c r="K12" t="str">
        <f t="shared" si="2"/>
        <v>*0.934782608695652</v>
      </c>
      <c r="L12" t="str">
        <f t="shared" si="2"/>
        <v>*0.978260869565217</v>
      </c>
      <c r="M12" t="str">
        <f t="shared" si="2"/>
        <v>*0.891304347826087</v>
      </c>
      <c r="N12" t="str">
        <f t="shared" si="2"/>
        <v>*1</v>
      </c>
      <c r="O12" t="str">
        <f t="shared" si="2"/>
        <v>*0.91304347826087</v>
      </c>
      <c r="P12" t="str">
        <f t="shared" si="2"/>
        <v>*0.91304347826087</v>
      </c>
      <c r="Q12" s="65" t="str">
        <f>IF(Q17&lt;&gt;"","*"&amp;Q17,"")</f>
        <v>*0.46</v>
      </c>
      <c r="R12" t="str">
        <f t="shared" si="2"/>
        <v>*1</v>
      </c>
      <c r="S12" t="str">
        <f t="shared" si="2"/>
        <v>*0.91304347826087</v>
      </c>
      <c r="T12" t="str">
        <f t="shared" si="2"/>
        <v>*0.934782608695652</v>
      </c>
      <c r="U12" t="str">
        <f t="shared" si="2"/>
        <v>*0.934782608695652</v>
      </c>
      <c r="V12" t="str">
        <f t="shared" si="2"/>
        <v>*1</v>
      </c>
      <c r="W12" t="str">
        <f t="shared" si="2"/>
        <v>*1</v>
      </c>
      <c r="X12" t="str">
        <f t="shared" si="2"/>
        <v>*0.934782608695652</v>
      </c>
      <c r="Y12" t="str">
        <f t="shared" si="2"/>
        <v>*0.91304347826087</v>
      </c>
      <c r="Z12" t="str">
        <f t="shared" si="2"/>
        <v>*0.978260869565217</v>
      </c>
      <c r="AA12" t="str">
        <f t="shared" si="2"/>
        <v>*1</v>
      </c>
      <c r="AB12" t="str">
        <f t="shared" si="2"/>
        <v>*1</v>
      </c>
      <c r="AC12" t="str">
        <f t="shared" si="2"/>
        <v>*0.934782608695652</v>
      </c>
      <c r="AD12" t="str">
        <f t="shared" si="2"/>
        <v>*0.91304347826087</v>
      </c>
      <c r="AE12" t="str">
        <f t="shared" si="2"/>
        <v>*1</v>
      </c>
      <c r="AF12" t="str">
        <f t="shared" si="2"/>
        <v>*0.934782608695652</v>
      </c>
      <c r="AG12" t="str">
        <f t="shared" si="2"/>
        <v>*0.934782608695652</v>
      </c>
      <c r="AH12" t="str">
        <f t="shared" si="2"/>
        <v>*0.934782608695652</v>
      </c>
      <c r="AI12" t="str">
        <f t="shared" si="2"/>
        <v>*0.934782608695652</v>
      </c>
      <c r="AJ12" t="str">
        <f t="shared" si="2"/>
        <v>*0.978260869565217</v>
      </c>
      <c r="AK12" t="str">
        <f t="shared" si="2"/>
        <v>*1</v>
      </c>
      <c r="AL12" t="str">
        <f t="shared" si="2"/>
        <v>*0.934782608695652</v>
      </c>
      <c r="AM12" t="str">
        <f t="shared" si="2"/>
        <v>*0.891304347826087</v>
      </c>
      <c r="AN12" t="str">
        <f t="shared" si="2"/>
        <v>*0.91304347826087</v>
      </c>
      <c r="AO12" t="str">
        <f t="shared" si="2"/>
        <v>*0.934782608695652</v>
      </c>
      <c r="AP12" t="str">
        <f t="shared" si="2"/>
        <v/>
      </c>
      <c r="AQ12" t="str">
        <f t="shared" si="2"/>
        <v>*1</v>
      </c>
      <c r="AR12" t="str">
        <f t="shared" si="2"/>
        <v>*0.934782608695652</v>
      </c>
      <c r="AS12" s="49" t="str">
        <f t="shared" si="2"/>
        <v>*0.978260869565217</v>
      </c>
    </row>
    <row r="13" spans="1:45" ht="15">
      <c r="A13" s="3" t="s">
        <v>104</v>
      </c>
      <c r="C13" t="s">
        <v>29</v>
      </c>
      <c r="D13" t="str">
        <f>A13</f>
        <v>R_ES-CK-*ELC*</v>
      </c>
      <c r="H13" s="42"/>
      <c r="I13" s="50" t="str">
        <f>IF(I18&lt;&gt;"","*"&amp;I18/$Q$18,"")</f>
        <v>*0.964285714285714</v>
      </c>
      <c r="J13" s="50" t="str">
        <f t="shared" si="3" ref="J13:AS13">IF(J18&lt;&gt;"","*"&amp;J18/$Q$18,"")</f>
        <v>*0.988095238095238</v>
      </c>
      <c r="K13" s="50" t="str">
        <f t="shared" si="3"/>
        <v>*0.964285714285714</v>
      </c>
      <c r="L13" s="50" t="str">
        <f t="shared" si="3"/>
        <v>*0.988095238095238</v>
      </c>
      <c r="M13" s="50" t="str">
        <f t="shared" si="3"/>
        <v>*0.952380952380952</v>
      </c>
      <c r="N13" s="50" t="str">
        <f t="shared" si="3"/>
        <v>*1</v>
      </c>
      <c r="O13" s="50" t="str">
        <f t="shared" si="3"/>
        <v>*0.952380952380952</v>
      </c>
      <c r="P13" s="50" t="str">
        <f t="shared" si="3"/>
        <v>*0.952380952380952</v>
      </c>
      <c r="Q13" s="66" t="str">
        <f>IF(Q18&lt;&gt;"","*"&amp;Q18,"")</f>
        <v>*0.84</v>
      </c>
      <c r="R13" s="50" t="str">
        <f t="shared" si="3"/>
        <v>*1</v>
      </c>
      <c r="S13" s="50" t="str">
        <f t="shared" si="3"/>
        <v>*0.952380952380952</v>
      </c>
      <c r="T13" s="50" t="str">
        <f t="shared" si="3"/>
        <v>*0.964285714285714</v>
      </c>
      <c r="U13" s="50" t="str">
        <f t="shared" si="3"/>
        <v>*0.964285714285714</v>
      </c>
      <c r="V13" s="50" t="str">
        <f t="shared" si="3"/>
        <v>*1</v>
      </c>
      <c r="W13" s="50" t="str">
        <f t="shared" si="3"/>
        <v>*1</v>
      </c>
      <c r="X13" s="50" t="str">
        <f t="shared" si="3"/>
        <v>*0.964285714285714</v>
      </c>
      <c r="Y13" s="50" t="str">
        <f t="shared" si="3"/>
        <v>*0.964285714285714</v>
      </c>
      <c r="Z13" s="50" t="str">
        <f t="shared" si="3"/>
        <v>*0.988095238095238</v>
      </c>
      <c r="AA13" s="50" t="str">
        <f t="shared" si="3"/>
        <v>*1</v>
      </c>
      <c r="AB13" s="50" t="str">
        <f t="shared" si="3"/>
        <v>*1</v>
      </c>
      <c r="AC13" s="50" t="str">
        <f t="shared" si="3"/>
        <v>*0.964285714285714</v>
      </c>
      <c r="AD13" s="50" t="str">
        <f t="shared" si="3"/>
        <v>*0.952380952380952</v>
      </c>
      <c r="AE13" s="50" t="str">
        <f t="shared" si="3"/>
        <v>*1</v>
      </c>
      <c r="AF13" s="50" t="str">
        <f t="shared" si="3"/>
        <v>*0.964285714285714</v>
      </c>
      <c r="AG13" s="50" t="str">
        <f t="shared" si="3"/>
        <v>*0.964285714285714</v>
      </c>
      <c r="AH13" s="50" t="str">
        <f t="shared" si="3"/>
        <v>*0.964285714285714</v>
      </c>
      <c r="AI13" s="50" t="str">
        <f t="shared" si="3"/>
        <v>*0.964285714285714</v>
      </c>
      <c r="AJ13" s="50" t="str">
        <f t="shared" si="3"/>
        <v>*0.994047619047619</v>
      </c>
      <c r="AK13" s="50" t="str">
        <f t="shared" si="3"/>
        <v>*1</v>
      </c>
      <c r="AL13" s="50" t="str">
        <f t="shared" si="3"/>
        <v>*0.964285714285714</v>
      </c>
      <c r="AM13" s="50" t="str">
        <f t="shared" si="3"/>
        <v>*0.952380952380952</v>
      </c>
      <c r="AN13" s="50" t="str">
        <f t="shared" si="3"/>
        <v>*0.952380952380952</v>
      </c>
      <c r="AO13" s="50" t="str">
        <f t="shared" si="3"/>
        <v>*0.964285714285714</v>
      </c>
      <c r="AP13" s="50" t="str">
        <f t="shared" si="3"/>
        <v>*1.01190476190476</v>
      </c>
      <c r="AQ13" s="50" t="str">
        <f t="shared" si="3"/>
        <v>*1</v>
      </c>
      <c r="AR13" s="50" t="str">
        <f t="shared" si="3"/>
        <v>*0.964285714285714</v>
      </c>
      <c r="AS13" s="52" t="str">
        <f t="shared" si="3"/>
        <v>*0.988095238095238</v>
      </c>
    </row>
    <row r="15" spans="9:45" ht="12.75">
      <c r="I15" s="7">
        <f>IFERROR(AVERAGEIFS(RES_Others!L$2:L$999,RES_Others!$B$2:$B$999,"="&amp;$A$8,RES_Others!$C$2:$C$999,"="&amp;'INS-UPD Others'!$A10),"")</f>
        <v>0.50749999999999995</v>
      </c>
      <c r="J15" s="8">
        <f>IFERROR(AVERAGEIFS(RES_Others!M$2:M$999,RES_Others!$B$2:$B$999,"="&amp;$A$8,RES_Others!$C$2:$C$999,"="&amp;'INS-UPD Others'!$A10),"")</f>
        <v>0.49399999999999999</v>
      </c>
      <c r="K15" s="8">
        <f>IFERROR(AVERAGEIFS(RES_Others!N$2:N$999,RES_Others!$B$2:$B$999,"="&amp;$A$8,RES_Others!$C$2:$C$999,"="&amp;'INS-UPD Others'!$A10),"")</f>
        <v>0.56666666666666665</v>
      </c>
      <c r="L15" s="8">
        <f>IFERROR(AVERAGEIFS(RES_Others!O$2:O$999,RES_Others!$B$2:$B$999,"="&amp;$A$8,RES_Others!$C$2:$C$999,"="&amp;'INS-UPD Others'!$A10),"")</f>
        <v>0.58999999999999986</v>
      </c>
      <c r="M15" s="8">
        <f>IFERROR(AVERAGEIFS(RES_Others!P$2:P$999,RES_Others!$B$2:$B$999,"="&amp;$A$8,RES_Others!$C$2:$C$999,"="&amp;'INS-UPD Others'!$A10),"")</f>
        <v>0.45799999999999996</v>
      </c>
      <c r="N15" s="8">
        <f>IFERROR(AVERAGEIFS(RES_Others!Q$2:Q$999,RES_Others!$B$2:$B$999,"="&amp;$A$8,RES_Others!$C$2:$C$999,"="&amp;'INS-UPD Others'!$A10),"")</f>
        <v>0.49799999999999983</v>
      </c>
      <c r="O15" s="8">
        <f>IFERROR(AVERAGEIFS(RES_Others!R$2:R$999,RES_Others!$B$2:$B$999,"="&amp;$A$8,RES_Others!$C$2:$C$999,"="&amp;'INS-UPD Others'!$A10),"")</f>
        <v>0.60999999999999999</v>
      </c>
      <c r="P15" s="8">
        <f>IFERROR(AVERAGEIFS(RES_Others!S$2:S$999,RES_Others!$B$2:$B$999,"="&amp;$A$8,RES_Others!$C$2:$C$999,"="&amp;'INS-UPD Others'!$A10),"")</f>
        <v>0.4975</v>
      </c>
      <c r="Q15" s="8">
        <f>IFERROR(AVERAGEIFS(RES_Others!T$2:T$999,RES_Others!$B$2:$B$999,"="&amp;$A$8,RES_Others!$C$2:$C$999,"="&amp;'INS-UPD Others'!$A10),"")</f>
        <v>0.59666666666666668</v>
      </c>
      <c r="R15" s="8">
        <f>IFERROR(AVERAGEIFS(RES_Others!U$2:U$999,RES_Others!$B$2:$B$999,"="&amp;$A$8,RES_Others!$C$2:$C$999,"="&amp;'INS-UPD Others'!$A10),"")</f>
        <v>0.59666666666666668</v>
      </c>
      <c r="S15" s="8">
        <f>IFERROR(AVERAGEIFS(RES_Others!V$2:V$999,RES_Others!$B$2:$B$999,"="&amp;$A$8,RES_Others!$C$2:$C$999,"="&amp;'INS-UPD Others'!$A10),"")</f>
        <v>0.4975</v>
      </c>
      <c r="T15" s="8">
        <f>IFERROR(AVERAGEIFS(RES_Others!W$2:W$999,RES_Others!$B$2:$B$999,"="&amp;$A$8,RES_Others!$C$2:$C$999,"="&amp;'INS-UPD Others'!$A10),"")</f>
        <v>0.50749999999999995</v>
      </c>
      <c r="U15" s="8">
        <f>IFERROR(AVERAGEIFS(RES_Others!X$2:X$999,RES_Others!$B$2:$B$999,"="&amp;$A$8,RES_Others!$C$2:$C$999,"="&amp;'INS-UPD Others'!$A10),"")</f>
        <v>0.47199999999999998</v>
      </c>
      <c r="V15" s="8">
        <f>IFERROR(AVERAGEIFS(RES_Others!Y$2:Y$999,RES_Others!$B$2:$B$999,"="&amp;$A$8,RES_Others!$C$2:$C$999,"="&amp;'INS-UPD Others'!$A10),"")</f>
        <v>0.59999999999999987</v>
      </c>
      <c r="W15" s="8">
        <f>IFERROR(AVERAGEIFS(RES_Others!Z$2:Z$999,RES_Others!$B$2:$B$999,"="&amp;$A$8,RES_Others!$C$2:$C$999,"="&amp;'INS-UPD Others'!$A10),"")</f>
        <v>0.59666666666666668</v>
      </c>
      <c r="X15" s="8">
        <f>IFERROR(AVERAGEIFS(RES_Others!AA$2:AA$999,RES_Others!$B$2:$B$999,"="&amp;$A$8,RES_Others!$C$2:$C$999,"="&amp;'INS-UPD Others'!$A10),"")</f>
        <v>0.56666666666666665</v>
      </c>
      <c r="Y15" s="8">
        <f>IFERROR(AVERAGEIFS(RES_Others!AB$2:AB$999,RES_Others!$B$2:$B$999,"="&amp;$A$8,RES_Others!$C$2:$C$999,"="&amp;'INS-UPD Others'!$A10),"")</f>
        <v>0.47000000000000003</v>
      </c>
      <c r="Z15" s="8">
        <f>IFERROR(AVERAGEIFS(RES_Others!AC$2:AC$999,RES_Others!$B$2:$B$999,"="&amp;$A$8,RES_Others!$C$2:$C$999,"="&amp;'INS-UPD Others'!$A10),"")</f>
        <v>0.58666666666666667</v>
      </c>
      <c r="AA15" s="8">
        <f>IFERROR(AVERAGEIFS(RES_Others!AD$2:AD$999,RES_Others!$B$2:$B$999,"="&amp;$A$8,RES_Others!$C$2:$C$999,"="&amp;'INS-UPD Others'!$A10),"")</f>
        <v>0.49799999999999983</v>
      </c>
      <c r="AB15" s="8">
        <f>IFERROR(AVERAGEIFS(RES_Others!AE$2:AE$999,RES_Others!$B$2:$B$999,"="&amp;$A$8,RES_Others!$C$2:$C$999,"="&amp;'INS-UPD Others'!$A10),"")</f>
        <v>0.59999999999999987</v>
      </c>
      <c r="AC15" s="8">
        <f>IFERROR(AVERAGEIFS(RES_Others!AF$2:AF$999,RES_Others!$B$2:$B$999,"="&amp;$A$8,RES_Others!$C$2:$C$999,"="&amp;'INS-UPD Others'!$A10),"")</f>
        <v>0.56666666666666665</v>
      </c>
      <c r="AD15" s="8">
        <f>IFERROR(AVERAGEIFS(RES_Others!AG$2:AG$999,RES_Others!$B$2:$B$999,"="&amp;$A$8,RES_Others!$C$2:$C$999,"="&amp;'INS-UPD Others'!$A10),"")</f>
        <v>0.4975</v>
      </c>
      <c r="AE15" s="8">
        <f>IFERROR(AVERAGEIFS(RES_Others!AH$2:AH$999,RES_Others!$B$2:$B$999,"="&amp;$A$8,RES_Others!$C$2:$C$999,"="&amp;'INS-UPD Others'!$A10),"")</f>
        <v>0.59999999999999987</v>
      </c>
      <c r="AF15" s="8">
        <f>IFERROR(AVERAGEIFS(RES_Others!AI$2:AI$999,RES_Others!$B$2:$B$999,"="&amp;$A$8,RES_Others!$C$2:$C$999,"="&amp;'INS-UPD Others'!$A10),"")</f>
        <v>0.50749999999999995</v>
      </c>
      <c r="AG15" s="8">
        <f>IFERROR(AVERAGEIFS(RES_Others!AJ$2:AJ$999,RES_Others!$B$2:$B$999,"="&amp;$A$8,RES_Others!$C$2:$C$999,"="&amp;'INS-UPD Others'!$A10),"")</f>
        <v>0.50749999999999995</v>
      </c>
      <c r="AH15" s="8">
        <f>IFERROR(AVERAGEIFS(RES_Others!AK$2:AK$999,RES_Others!$B$2:$B$999,"="&amp;$A$8,RES_Others!$C$2:$C$999,"="&amp;'INS-UPD Others'!$A10),"")</f>
        <v>0.50749999999999995</v>
      </c>
      <c r="AI15" s="8">
        <f>IFERROR(AVERAGEIFS(RES_Others!AL$2:AL$999,RES_Others!$B$2:$B$999,"="&amp;$A$8,RES_Others!$C$2:$C$999,"="&amp;'INS-UPD Others'!$A10),"")</f>
        <v>0.62</v>
      </c>
      <c r="AJ15" s="8">
        <f>IFERROR(AVERAGEIFS(RES_Others!AM$2:AM$999,RES_Others!$B$2:$B$999,"="&amp;$A$8,RES_Others!$C$2:$C$999,"="&amp;'INS-UPD Others'!$A10),"")</f>
        <v>0.59000000000000008</v>
      </c>
      <c r="AK15" s="8">
        <f>IFERROR(AVERAGEIFS(RES_Others!AN$2:AN$999,RES_Others!$B$2:$B$999,"="&amp;$A$8,RES_Others!$C$2:$C$999,"="&amp;'INS-UPD Others'!$A10),"")</f>
        <v>0.49799999999999983</v>
      </c>
      <c r="AL15" s="8">
        <f>IFERROR(AVERAGEIFS(RES_Others!AO$2:AO$999,RES_Others!$B$2:$B$999,"="&amp;$A$8,RES_Others!$C$2:$C$999,"="&amp;'INS-UPD Others'!$A10),"")</f>
        <v>0.47199999999999998</v>
      </c>
      <c r="AM15" s="8">
        <f>IFERROR(AVERAGEIFS(RES_Others!AP$2:AP$999,RES_Others!$B$2:$B$999,"="&amp;$A$8,RES_Others!$C$2:$C$999,"="&amp;'INS-UPD Others'!$A10),"")</f>
        <v>0.49249999999999999</v>
      </c>
      <c r="AN15" s="8">
        <f>IFERROR(AVERAGEIFS(RES_Others!AQ$2:AQ$999,RES_Others!$B$2:$B$999,"="&amp;$A$8,RES_Others!$C$2:$C$999,"="&amp;'INS-UPD Others'!$A10),"")</f>
        <v>0.4975</v>
      </c>
      <c r="AO15" s="8">
        <f>IFERROR(AVERAGEIFS(RES_Others!AR$2:AR$999,RES_Others!$B$2:$B$999,"="&amp;$A$8,RES_Others!$C$2:$C$999,"="&amp;'INS-UPD Others'!$A10),"")</f>
        <v>0.56666666666666665</v>
      </c>
      <c r="AP15" s="8">
        <f>IFERROR(AVERAGEIFS(RES_Others!AS$2:AS$999,RES_Others!$B$2:$B$999,"="&amp;$A$8,RES_Others!$C$2:$C$999,"="&amp;'INS-UPD Others'!$A10),"")</f>
        <v>0.67500000000000004</v>
      </c>
      <c r="AQ15" s="8">
        <f>IFERROR(AVERAGEIFS(RES_Others!AT$2:AT$999,RES_Others!$B$2:$B$999,"="&amp;$A$8,RES_Others!$C$2:$C$999,"="&amp;'INS-UPD Others'!$A10),"")</f>
        <v>0.53500000000000003</v>
      </c>
      <c r="AR15" s="8">
        <f>IFERROR(AVERAGEIFS(RES_Others!AU$2:AU$999,RES_Others!$B$2:$B$999,"="&amp;$A$8,RES_Others!$C$2:$C$999,"="&amp;'INS-UPD Others'!$A10),"")</f>
        <v>0.56666666666666665</v>
      </c>
      <c r="AS15" s="9">
        <f>IFERROR(AVERAGEIFS(RES_Others!AV$2:AV$999,RES_Others!$B$2:$B$999,"="&amp;$A$8,RES_Others!$C$2:$C$999,"="&amp;'INS-UPD Others'!$A10),"")</f>
        <v>0.58666666666666667</v>
      </c>
    </row>
    <row r="16" spans="9:45" ht="12.75">
      <c r="I16" s="10">
        <f>IFERROR(AVERAGEIFS(RES_Others!L$2:L$999,RES_Others!$B$2:$B$999,"="&amp;$A$8,RES_Others!$C$2:$C$999,"="&amp;'INS-UPD Others'!$A11),"")</f>
        <v>0.46000000000000002</v>
      </c>
      <c r="J16" s="11">
        <f>IFERROR(AVERAGEIFS(RES_Others!M$2:M$999,RES_Others!$B$2:$B$999,"="&amp;$A$8,RES_Others!$C$2:$C$999,"="&amp;'INS-UPD Others'!$A11),"")</f>
        <v>0.48999999999999999</v>
      </c>
      <c r="K16" s="11">
        <f>IFERROR(AVERAGEIFS(RES_Others!N$2:N$999,RES_Others!$B$2:$B$999,"="&amp;$A$8,RES_Others!$C$2:$C$999,"="&amp;'INS-UPD Others'!$A11),"")</f>
        <v>0.46000000000000002</v>
      </c>
      <c r="L16" s="11">
        <f>IFERROR(AVERAGEIFS(RES_Others!O$2:O$999,RES_Others!$B$2:$B$999,"="&amp;$A$8,RES_Others!$C$2:$C$999,"="&amp;'INS-UPD Others'!$A11),"")</f>
        <v>0.48999999999999999</v>
      </c>
      <c r="M16" s="11">
        <f>IFERROR(AVERAGEIFS(RES_Others!P$2:P$999,RES_Others!$B$2:$B$999,"="&amp;$A$8,RES_Others!$C$2:$C$999,"="&amp;'INS-UPD Others'!$A11),"")</f>
        <v>0.44</v>
      </c>
      <c r="N16" s="11">
        <f>IFERROR(AVERAGEIFS(RES_Others!Q$2:Q$999,RES_Others!$B$2:$B$999,"="&amp;$A$8,RES_Others!$C$2:$C$999,"="&amp;'INS-UPD Others'!$A11),"")</f>
        <v>0.48999999999999999</v>
      </c>
      <c r="O16" s="11" t="str">
        <f>IFERROR(AVERAGEIFS(RES_Others!R$2:R$999,RES_Others!$B$2:$B$999,"="&amp;$A$8,RES_Others!$C$2:$C$999,"="&amp;'INS-UPD Others'!$A11),"")</f>
        <v/>
      </c>
      <c r="P16" s="11">
        <f>IFERROR(AVERAGEIFS(RES_Others!S$2:S$999,RES_Others!$B$2:$B$999,"="&amp;$A$8,RES_Others!$C$2:$C$999,"="&amp;'INS-UPD Others'!$A11),"")</f>
        <v>0.45000000000000001</v>
      </c>
      <c r="Q16" s="11">
        <f>IFERROR(AVERAGEIFS(RES_Others!T$2:T$999,RES_Others!$B$2:$B$999,"="&amp;$A$8,RES_Others!$C$2:$C$999,"="&amp;'INS-UPD Others'!$A11),"")</f>
        <v>0.48999999999999999</v>
      </c>
      <c r="R16" s="11">
        <f>IFERROR(AVERAGEIFS(RES_Others!U$2:U$999,RES_Others!$B$2:$B$999,"="&amp;$A$8,RES_Others!$C$2:$C$999,"="&amp;'INS-UPD Others'!$A11),"")</f>
        <v>0.48999999999999999</v>
      </c>
      <c r="S16" s="11">
        <f>IFERROR(AVERAGEIFS(RES_Others!V$2:V$999,RES_Others!$B$2:$B$999,"="&amp;$A$8,RES_Others!$C$2:$C$999,"="&amp;'INS-UPD Others'!$A11),"")</f>
        <v>0.45000000000000001</v>
      </c>
      <c r="T16" s="11">
        <f>IFERROR(AVERAGEIFS(RES_Others!W$2:W$999,RES_Others!$B$2:$B$999,"="&amp;$A$8,RES_Others!$C$2:$C$999,"="&amp;'INS-UPD Others'!$A11),"")</f>
        <v>0.46000000000000002</v>
      </c>
      <c r="U16" s="11">
        <f>IFERROR(AVERAGEIFS(RES_Others!X$2:X$999,RES_Others!$B$2:$B$999,"="&amp;$A$8,RES_Others!$C$2:$C$999,"="&amp;'INS-UPD Others'!$A11),"")</f>
        <v>0.46000000000000002</v>
      </c>
      <c r="V16" s="11">
        <f>IFERROR(AVERAGEIFS(RES_Others!Y$2:Y$999,RES_Others!$B$2:$B$999,"="&amp;$A$8,RES_Others!$C$2:$C$999,"="&amp;'INS-UPD Others'!$A11),"")</f>
        <v>0.5</v>
      </c>
      <c r="W16" s="11">
        <f>IFERROR(AVERAGEIFS(RES_Others!Z$2:Z$999,RES_Others!$B$2:$B$999,"="&amp;$A$8,RES_Others!$C$2:$C$999,"="&amp;'INS-UPD Others'!$A11),"")</f>
        <v>0.48999999999999999</v>
      </c>
      <c r="X16" s="11">
        <f>IFERROR(AVERAGEIFS(RES_Others!AA$2:AA$999,RES_Others!$B$2:$B$999,"="&amp;$A$8,RES_Others!$C$2:$C$999,"="&amp;'INS-UPD Others'!$A11),"")</f>
        <v>0.46000000000000002</v>
      </c>
      <c r="Y16" s="11">
        <f>IFERROR(AVERAGEIFS(RES_Others!AB$2:AB$999,RES_Others!$B$2:$B$999,"="&amp;$A$8,RES_Others!$C$2:$C$999,"="&amp;'INS-UPD Others'!$A11),"")</f>
        <v>0.46000000000000002</v>
      </c>
      <c r="Z16" s="11">
        <f>IFERROR(AVERAGEIFS(RES_Others!AC$2:AC$999,RES_Others!$B$2:$B$999,"="&amp;$A$8,RES_Others!$C$2:$C$999,"="&amp;'INS-UPD Others'!$A11),"")</f>
        <v>0.47999999999999998</v>
      </c>
      <c r="AA16" s="11">
        <f>IFERROR(AVERAGEIFS(RES_Others!AD$2:AD$999,RES_Others!$B$2:$B$999,"="&amp;$A$8,RES_Others!$C$2:$C$999,"="&amp;'INS-UPD Others'!$A11),"")</f>
        <v>0.48999999999999999</v>
      </c>
      <c r="AB16" s="11">
        <f>IFERROR(AVERAGEIFS(RES_Others!AE$2:AE$999,RES_Others!$B$2:$B$999,"="&amp;$A$8,RES_Others!$C$2:$C$999,"="&amp;'INS-UPD Others'!$A11),"")</f>
        <v>0.5</v>
      </c>
      <c r="AC16" s="11">
        <f>IFERROR(AVERAGEIFS(RES_Others!AF$2:AF$999,RES_Others!$B$2:$B$999,"="&amp;$A$8,RES_Others!$C$2:$C$999,"="&amp;'INS-UPD Others'!$A11),"")</f>
        <v>0.46000000000000002</v>
      </c>
      <c r="AD16" s="11">
        <f>IFERROR(AVERAGEIFS(RES_Others!AG$2:AG$999,RES_Others!$B$2:$B$999,"="&amp;$A$8,RES_Others!$C$2:$C$999,"="&amp;'INS-UPD Others'!$A11),"")</f>
        <v>0.45000000000000001</v>
      </c>
      <c r="AE16" s="11">
        <f>IFERROR(AVERAGEIFS(RES_Others!AH$2:AH$999,RES_Others!$B$2:$B$999,"="&amp;$A$8,RES_Others!$C$2:$C$999,"="&amp;'INS-UPD Others'!$A11),"")</f>
        <v>0.5</v>
      </c>
      <c r="AF16" s="11">
        <f>IFERROR(AVERAGEIFS(RES_Others!AI$2:AI$999,RES_Others!$B$2:$B$999,"="&amp;$A$8,RES_Others!$C$2:$C$999,"="&amp;'INS-UPD Others'!$A11),"")</f>
        <v>0.46000000000000002</v>
      </c>
      <c r="AG16" s="11">
        <f>IFERROR(AVERAGEIFS(RES_Others!AJ$2:AJ$999,RES_Others!$B$2:$B$999,"="&amp;$A$8,RES_Others!$C$2:$C$999,"="&amp;'INS-UPD Others'!$A11),"")</f>
        <v>0.46000000000000002</v>
      </c>
      <c r="AH16" s="11">
        <f>IFERROR(AVERAGEIFS(RES_Others!AK$2:AK$999,RES_Others!$B$2:$B$999,"="&amp;$A$8,RES_Others!$C$2:$C$999,"="&amp;'INS-UPD Others'!$A11),"")</f>
        <v>0.46000000000000002</v>
      </c>
      <c r="AI16" s="11" t="str">
        <f>IFERROR(AVERAGEIFS(RES_Others!AL$2:AL$999,RES_Others!$B$2:$B$999,"="&amp;$A$8,RES_Others!$C$2:$C$999,"="&amp;'INS-UPD Others'!$A11),"")</f>
        <v/>
      </c>
      <c r="AJ16" s="11">
        <f>IFERROR(AVERAGEIFS(RES_Others!AM$2:AM$999,RES_Others!$B$2:$B$999,"="&amp;$A$8,RES_Others!$C$2:$C$999,"="&amp;'INS-UPD Others'!$A11),"")</f>
        <v>0.48499999999999999</v>
      </c>
      <c r="AK16" s="11">
        <f>IFERROR(AVERAGEIFS(RES_Others!AN$2:AN$999,RES_Others!$B$2:$B$999,"="&amp;$A$8,RES_Others!$C$2:$C$999,"="&amp;'INS-UPD Others'!$A11),"")</f>
        <v>0.48999999999999999</v>
      </c>
      <c r="AL16" s="11">
        <f>IFERROR(AVERAGEIFS(RES_Others!AO$2:AO$999,RES_Others!$B$2:$B$999,"="&amp;$A$8,RES_Others!$C$2:$C$999,"="&amp;'INS-UPD Others'!$A11),"")</f>
        <v>0.46000000000000002</v>
      </c>
      <c r="AM16" s="11">
        <f>IFERROR(AVERAGEIFS(RES_Others!AP$2:AP$999,RES_Others!$B$2:$B$999,"="&amp;$A$8,RES_Others!$C$2:$C$999,"="&amp;'INS-UPD Others'!$A11),"")</f>
        <v>0.44</v>
      </c>
      <c r="AN16" s="11">
        <f>IFERROR(AVERAGEIFS(RES_Others!AQ$2:AQ$999,RES_Others!$B$2:$B$999,"="&amp;$A$8,RES_Others!$C$2:$C$999,"="&amp;'INS-UPD Others'!$A11),"")</f>
        <v>0.45000000000000001</v>
      </c>
      <c r="AO16" s="11">
        <f>IFERROR(AVERAGEIFS(RES_Others!AR$2:AR$999,RES_Others!$B$2:$B$999,"="&amp;$A$8,RES_Others!$C$2:$C$999,"="&amp;'INS-UPD Others'!$A11),"")</f>
        <v>0.46000000000000002</v>
      </c>
      <c r="AP16" s="11">
        <f>IFERROR(AVERAGEIFS(RES_Others!AS$2:AS$999,RES_Others!$B$2:$B$999,"="&amp;$A$8,RES_Others!$C$2:$C$999,"="&amp;'INS-UPD Others'!$A11),"")</f>
        <v>0.5</v>
      </c>
      <c r="AQ16" s="11">
        <f>IFERROR(AVERAGEIFS(RES_Others!AT$2:AT$999,RES_Others!$B$2:$B$999,"="&amp;$A$8,RES_Others!$C$2:$C$999,"="&amp;'INS-UPD Others'!$A11),"")</f>
        <v>0.48999999999999999</v>
      </c>
      <c r="AR16" s="11">
        <f>IFERROR(AVERAGEIFS(RES_Others!AU$2:AU$999,RES_Others!$B$2:$B$999,"="&amp;$A$8,RES_Others!$C$2:$C$999,"="&amp;'INS-UPD Others'!$A11),"")</f>
        <v>0.46000000000000002</v>
      </c>
      <c r="AS16" s="12">
        <f>IFERROR(AVERAGEIFS(RES_Others!AV$2:AV$999,RES_Others!$B$2:$B$999,"="&amp;$A$8,RES_Others!$C$2:$C$999,"="&amp;'INS-UPD Others'!$A11),"")</f>
        <v>0.47999999999999998</v>
      </c>
    </row>
    <row r="17" spans="9:45" ht="12.75">
      <c r="I17" s="10">
        <f>IFERROR(AVERAGEIFS(RES_Others!L$2:L$999,RES_Others!$B$2:$B$999,"="&amp;$A$8,RES_Others!$C$2:$C$999,"="&amp;'INS-UPD Others'!$A12),"")</f>
        <v>0.42999999999999999</v>
      </c>
      <c r="J17" s="11">
        <f>IFERROR(AVERAGEIFS(RES_Others!M$2:M$999,RES_Others!$B$2:$B$999,"="&amp;$A$8,RES_Others!$C$2:$C$999,"="&amp;'INS-UPD Others'!$A12),"")</f>
        <v>0.45000000000000001</v>
      </c>
      <c r="K17" s="11">
        <f>IFERROR(AVERAGEIFS(RES_Others!N$2:N$999,RES_Others!$B$2:$B$999,"="&amp;$A$8,RES_Others!$C$2:$C$999,"="&amp;'INS-UPD Others'!$A12),"")</f>
        <v>0.42999999999999999</v>
      </c>
      <c r="L17" s="11">
        <f>IFERROR(AVERAGEIFS(RES_Others!O$2:O$999,RES_Others!$B$2:$B$999,"="&amp;$A$8,RES_Others!$C$2:$C$999,"="&amp;'INS-UPD Others'!$A12),"")</f>
        <v>0.45000000000000001</v>
      </c>
      <c r="M17" s="11">
        <f>IFERROR(AVERAGEIFS(RES_Others!P$2:P$999,RES_Others!$B$2:$B$999,"="&amp;$A$8,RES_Others!$C$2:$C$999,"="&amp;'INS-UPD Others'!$A12),"")</f>
        <v>0.40999999999999998</v>
      </c>
      <c r="N17" s="11">
        <f>IFERROR(AVERAGEIFS(RES_Others!Q$2:Q$999,RES_Others!$B$2:$B$999,"="&amp;$A$8,RES_Others!$C$2:$C$999,"="&amp;'INS-UPD Others'!$A12),"")</f>
        <v>0.46000000000000002</v>
      </c>
      <c r="O17" s="11">
        <f>IFERROR(AVERAGEIFS(RES_Others!R$2:R$999,RES_Others!$B$2:$B$999,"="&amp;$A$8,RES_Others!$C$2:$C$999,"="&amp;'INS-UPD Others'!$A12),"")</f>
        <v>0.41999999999999998</v>
      </c>
      <c r="P17" s="11">
        <f>IFERROR(AVERAGEIFS(RES_Others!S$2:S$999,RES_Others!$B$2:$B$999,"="&amp;$A$8,RES_Others!$C$2:$C$999,"="&amp;'INS-UPD Others'!$A12),"")</f>
        <v>0.41999999999999998</v>
      </c>
      <c r="Q17" s="11">
        <f>IFERROR(AVERAGEIFS(RES_Others!T$2:T$999,RES_Others!$B$2:$B$999,"="&amp;$A$8,RES_Others!$C$2:$C$999,"="&amp;'INS-UPD Others'!$A12),"")</f>
        <v>0.46000000000000002</v>
      </c>
      <c r="R17" s="11">
        <f>IFERROR(AVERAGEIFS(RES_Others!U$2:U$999,RES_Others!$B$2:$B$999,"="&amp;$A$8,RES_Others!$C$2:$C$999,"="&amp;'INS-UPD Others'!$A12),"")</f>
        <v>0.46000000000000002</v>
      </c>
      <c r="S17" s="11">
        <f>IFERROR(AVERAGEIFS(RES_Others!V$2:V$999,RES_Others!$B$2:$B$999,"="&amp;$A$8,RES_Others!$C$2:$C$999,"="&amp;'INS-UPD Others'!$A12),"")</f>
        <v>0.41999999999999998</v>
      </c>
      <c r="T17" s="11">
        <f>IFERROR(AVERAGEIFS(RES_Others!W$2:W$999,RES_Others!$B$2:$B$999,"="&amp;$A$8,RES_Others!$C$2:$C$999,"="&amp;'INS-UPD Others'!$A12),"")</f>
        <v>0.42999999999999999</v>
      </c>
      <c r="U17" s="11">
        <f>IFERROR(AVERAGEIFS(RES_Others!X$2:X$999,RES_Others!$B$2:$B$999,"="&amp;$A$8,RES_Others!$C$2:$C$999,"="&amp;'INS-UPD Others'!$A12),"")</f>
        <v>0.42999999999999999</v>
      </c>
      <c r="V17" s="11">
        <f>IFERROR(AVERAGEIFS(RES_Others!Y$2:Y$999,RES_Others!$B$2:$B$999,"="&amp;$A$8,RES_Others!$C$2:$C$999,"="&amp;'INS-UPD Others'!$A12),"")</f>
        <v>0.46000000000000002</v>
      </c>
      <c r="W17" s="11">
        <f>IFERROR(AVERAGEIFS(RES_Others!Z$2:Z$999,RES_Others!$B$2:$B$999,"="&amp;$A$8,RES_Others!$C$2:$C$999,"="&amp;'INS-UPD Others'!$A12),"")</f>
        <v>0.46000000000000002</v>
      </c>
      <c r="X17" s="11">
        <f>IFERROR(AVERAGEIFS(RES_Others!AA$2:AA$999,RES_Others!$B$2:$B$999,"="&amp;$A$8,RES_Others!$C$2:$C$999,"="&amp;'INS-UPD Others'!$A12),"")</f>
        <v>0.42999999999999999</v>
      </c>
      <c r="Y17" s="11">
        <f>IFERROR(AVERAGEIFS(RES_Others!AB$2:AB$999,RES_Others!$B$2:$B$999,"="&amp;$A$8,RES_Others!$C$2:$C$999,"="&amp;'INS-UPD Others'!$A12),"")</f>
        <v>0.41999999999999998</v>
      </c>
      <c r="Z17" s="11">
        <f>IFERROR(AVERAGEIFS(RES_Others!AC$2:AC$999,RES_Others!$B$2:$B$999,"="&amp;$A$8,RES_Others!$C$2:$C$999,"="&amp;'INS-UPD Others'!$A12),"")</f>
        <v>0.45000000000000001</v>
      </c>
      <c r="AA17" s="11">
        <f>IFERROR(AVERAGEIFS(RES_Others!AD$2:AD$999,RES_Others!$B$2:$B$999,"="&amp;$A$8,RES_Others!$C$2:$C$999,"="&amp;'INS-UPD Others'!$A12),"")</f>
        <v>0.46000000000000002</v>
      </c>
      <c r="AB17" s="11">
        <f>IFERROR(AVERAGEIFS(RES_Others!AE$2:AE$999,RES_Others!$B$2:$B$999,"="&amp;$A$8,RES_Others!$C$2:$C$999,"="&amp;'INS-UPD Others'!$A12),"")</f>
        <v>0.46000000000000002</v>
      </c>
      <c r="AC17" s="11">
        <f>IFERROR(AVERAGEIFS(RES_Others!AF$2:AF$999,RES_Others!$B$2:$B$999,"="&amp;$A$8,RES_Others!$C$2:$C$999,"="&amp;'INS-UPD Others'!$A12),"")</f>
        <v>0.42999999999999999</v>
      </c>
      <c r="AD17" s="11">
        <f>IFERROR(AVERAGEIFS(RES_Others!AG$2:AG$999,RES_Others!$B$2:$B$999,"="&amp;$A$8,RES_Others!$C$2:$C$999,"="&amp;'INS-UPD Others'!$A12),"")</f>
        <v>0.41999999999999998</v>
      </c>
      <c r="AE17" s="11">
        <f>IFERROR(AVERAGEIFS(RES_Others!AH$2:AH$999,RES_Others!$B$2:$B$999,"="&amp;$A$8,RES_Others!$C$2:$C$999,"="&amp;'INS-UPD Others'!$A12),"")</f>
        <v>0.46000000000000002</v>
      </c>
      <c r="AF17" s="11">
        <f>IFERROR(AVERAGEIFS(RES_Others!AI$2:AI$999,RES_Others!$B$2:$B$999,"="&amp;$A$8,RES_Others!$C$2:$C$999,"="&amp;'INS-UPD Others'!$A12),"")</f>
        <v>0.42999999999999999</v>
      </c>
      <c r="AG17" s="11">
        <f>IFERROR(AVERAGEIFS(RES_Others!AJ$2:AJ$999,RES_Others!$B$2:$B$999,"="&amp;$A$8,RES_Others!$C$2:$C$999,"="&amp;'INS-UPD Others'!$A12),"")</f>
        <v>0.42999999999999999</v>
      </c>
      <c r="AH17" s="11">
        <f>IFERROR(AVERAGEIFS(RES_Others!AK$2:AK$999,RES_Others!$B$2:$B$999,"="&amp;$A$8,RES_Others!$C$2:$C$999,"="&amp;'INS-UPD Others'!$A12),"")</f>
        <v>0.42999999999999999</v>
      </c>
      <c r="AI17" s="11">
        <f>IFERROR(AVERAGEIFS(RES_Others!AL$2:AL$999,RES_Others!$B$2:$B$999,"="&amp;$A$8,RES_Others!$C$2:$C$999,"="&amp;'INS-UPD Others'!$A12),"")</f>
        <v>0.42999999999999999</v>
      </c>
      <c r="AJ17" s="11">
        <f>IFERROR(AVERAGEIFS(RES_Others!AM$2:AM$999,RES_Others!$B$2:$B$999,"="&amp;$A$8,RES_Others!$C$2:$C$999,"="&amp;'INS-UPD Others'!$A12),"")</f>
        <v>0.45000000000000001</v>
      </c>
      <c r="AK17" s="11">
        <f>IFERROR(AVERAGEIFS(RES_Others!AN$2:AN$999,RES_Others!$B$2:$B$999,"="&amp;$A$8,RES_Others!$C$2:$C$999,"="&amp;'INS-UPD Others'!$A12),"")</f>
        <v>0.46000000000000002</v>
      </c>
      <c r="AL17" s="11">
        <f>IFERROR(AVERAGEIFS(RES_Others!AO$2:AO$999,RES_Others!$B$2:$B$999,"="&amp;$A$8,RES_Others!$C$2:$C$999,"="&amp;'INS-UPD Others'!$A12),"")</f>
        <v>0.42999999999999999</v>
      </c>
      <c r="AM17" s="11">
        <f>IFERROR(AVERAGEIFS(RES_Others!AP$2:AP$999,RES_Others!$B$2:$B$999,"="&amp;$A$8,RES_Others!$C$2:$C$999,"="&amp;'INS-UPD Others'!$A12),"")</f>
        <v>0.40999999999999998</v>
      </c>
      <c r="AN17" s="11">
        <f>IFERROR(AVERAGEIFS(RES_Others!AQ$2:AQ$999,RES_Others!$B$2:$B$999,"="&amp;$A$8,RES_Others!$C$2:$C$999,"="&amp;'INS-UPD Others'!$A12),"")</f>
        <v>0.41999999999999998</v>
      </c>
      <c r="AO17" s="11">
        <f>IFERROR(AVERAGEIFS(RES_Others!AR$2:AR$999,RES_Others!$B$2:$B$999,"="&amp;$A$8,RES_Others!$C$2:$C$999,"="&amp;'INS-UPD Others'!$A12),"")</f>
        <v>0.42999999999999999</v>
      </c>
      <c r="AP17" s="11" t="str">
        <f>IFERROR(AVERAGEIFS(RES_Others!AS$2:AS$999,RES_Others!$B$2:$B$999,"="&amp;$A$8,RES_Others!$C$2:$C$999,"="&amp;'INS-UPD Others'!$A12),"")</f>
        <v/>
      </c>
      <c r="AQ17" s="11">
        <f>IFERROR(AVERAGEIFS(RES_Others!AT$2:AT$999,RES_Others!$B$2:$B$999,"="&amp;$A$8,RES_Others!$C$2:$C$999,"="&amp;'INS-UPD Others'!$A12),"")</f>
        <v>0.46000000000000002</v>
      </c>
      <c r="AR17" s="11">
        <f>IFERROR(AVERAGEIFS(RES_Others!AU$2:AU$999,RES_Others!$B$2:$B$999,"="&amp;$A$8,RES_Others!$C$2:$C$999,"="&amp;'INS-UPD Others'!$A12),"")</f>
        <v>0.42999999999999999</v>
      </c>
      <c r="AS17" s="12">
        <f>IFERROR(AVERAGEIFS(RES_Others!AV$2:AV$999,RES_Others!$B$2:$B$999,"="&amp;$A$8,RES_Others!$C$2:$C$999,"="&amp;'INS-UPD Others'!$A12),"")</f>
        <v>0.45000000000000001</v>
      </c>
    </row>
    <row r="18" spans="9:45" ht="12.75">
      <c r="I18" s="13">
        <f>IFERROR(AVERAGEIFS(RES_Others!L$2:L$999,RES_Others!$B$2:$B$999,"="&amp;$A$8,RES_Others!$C$2:$C$999,"="&amp;'INS-UPD Others'!$A13),"")</f>
        <v>0.81000000000000005</v>
      </c>
      <c r="J18" s="14">
        <f>IFERROR(AVERAGEIFS(RES_Others!M$2:M$999,RES_Others!$B$2:$B$999,"="&amp;$A$8,RES_Others!$C$2:$C$999,"="&amp;'INS-UPD Others'!$A13),"")</f>
        <v>0.82999999999999996</v>
      </c>
      <c r="K18" s="14">
        <f>IFERROR(AVERAGEIFS(RES_Others!N$2:N$999,RES_Others!$B$2:$B$999,"="&amp;$A$8,RES_Others!$C$2:$C$999,"="&amp;'INS-UPD Others'!$A13),"")</f>
        <v>0.81000000000000005</v>
      </c>
      <c r="L18" s="14">
        <f>IFERROR(AVERAGEIFS(RES_Others!O$2:O$999,RES_Others!$B$2:$B$999,"="&amp;$A$8,RES_Others!$C$2:$C$999,"="&amp;'INS-UPD Others'!$A13),"")</f>
        <v>0.82999999999999996</v>
      </c>
      <c r="M18" s="14">
        <f>IFERROR(AVERAGEIFS(RES_Others!P$2:P$999,RES_Others!$B$2:$B$999,"="&amp;$A$8,RES_Others!$C$2:$C$999,"="&amp;'INS-UPD Others'!$A13),"")</f>
        <v>0.80000000000000004</v>
      </c>
      <c r="N18" s="14">
        <f>IFERROR(AVERAGEIFS(RES_Others!Q$2:Q$999,RES_Others!$B$2:$B$999,"="&amp;$A$8,RES_Others!$C$2:$C$999,"="&amp;'INS-UPD Others'!$A13),"")</f>
        <v>0.83999999999999997</v>
      </c>
      <c r="O18" s="14">
        <f>IFERROR(AVERAGEIFS(RES_Others!R$2:R$999,RES_Others!$B$2:$B$999,"="&amp;$A$8,RES_Others!$C$2:$C$999,"="&amp;'INS-UPD Others'!$A13),"")</f>
        <v>0.80000000000000004</v>
      </c>
      <c r="P18" s="14">
        <f>IFERROR(AVERAGEIFS(RES_Others!S$2:S$999,RES_Others!$B$2:$B$999,"="&amp;$A$8,RES_Others!$C$2:$C$999,"="&amp;'INS-UPD Others'!$A13),"")</f>
        <v>0.80000000000000004</v>
      </c>
      <c r="Q18" s="14">
        <f>IFERROR(AVERAGEIFS(RES_Others!T$2:T$999,RES_Others!$B$2:$B$999,"="&amp;$A$8,RES_Others!$C$2:$C$999,"="&amp;'INS-UPD Others'!$A13),"")</f>
        <v>0.83999999999999997</v>
      </c>
      <c r="R18" s="14">
        <f>IFERROR(AVERAGEIFS(RES_Others!U$2:U$999,RES_Others!$B$2:$B$999,"="&amp;$A$8,RES_Others!$C$2:$C$999,"="&amp;'INS-UPD Others'!$A13),"")</f>
        <v>0.83999999999999997</v>
      </c>
      <c r="S18" s="14">
        <f>IFERROR(AVERAGEIFS(RES_Others!V$2:V$999,RES_Others!$B$2:$B$999,"="&amp;$A$8,RES_Others!$C$2:$C$999,"="&amp;'INS-UPD Others'!$A13),"")</f>
        <v>0.80000000000000004</v>
      </c>
      <c r="T18" s="14">
        <f>IFERROR(AVERAGEIFS(RES_Others!W$2:W$999,RES_Others!$B$2:$B$999,"="&amp;$A$8,RES_Others!$C$2:$C$999,"="&amp;'INS-UPD Others'!$A13),"")</f>
        <v>0.81000000000000005</v>
      </c>
      <c r="U18" s="14">
        <f>IFERROR(AVERAGEIFS(RES_Others!X$2:X$999,RES_Others!$B$2:$B$999,"="&amp;$A$8,RES_Others!$C$2:$C$999,"="&amp;'INS-UPD Others'!$A13),"")</f>
        <v>0.81000000000000005</v>
      </c>
      <c r="V18" s="14">
        <f>IFERROR(AVERAGEIFS(RES_Others!Y$2:Y$999,RES_Others!$B$2:$B$999,"="&amp;$A$8,RES_Others!$C$2:$C$999,"="&amp;'INS-UPD Others'!$A13),"")</f>
        <v>0.83999999999999997</v>
      </c>
      <c r="W18" s="14">
        <f>IFERROR(AVERAGEIFS(RES_Others!Z$2:Z$999,RES_Others!$B$2:$B$999,"="&amp;$A$8,RES_Others!$C$2:$C$999,"="&amp;'INS-UPD Others'!$A13),"")</f>
        <v>0.83999999999999997</v>
      </c>
      <c r="X18" s="14">
        <f>IFERROR(AVERAGEIFS(RES_Others!AA$2:AA$999,RES_Others!$B$2:$B$999,"="&amp;$A$8,RES_Others!$C$2:$C$999,"="&amp;'INS-UPD Others'!$A13),"")</f>
        <v>0.81000000000000005</v>
      </c>
      <c r="Y18" s="14">
        <f>IFERROR(AVERAGEIFS(RES_Others!AB$2:AB$999,RES_Others!$B$2:$B$999,"="&amp;$A$8,RES_Others!$C$2:$C$999,"="&amp;'INS-UPD Others'!$A13),"")</f>
        <v>0.81000000000000005</v>
      </c>
      <c r="Z18" s="14">
        <f>IFERROR(AVERAGEIFS(RES_Others!AC$2:AC$999,RES_Others!$B$2:$B$999,"="&amp;$A$8,RES_Others!$C$2:$C$999,"="&amp;'INS-UPD Others'!$A13),"")</f>
        <v>0.82999999999999996</v>
      </c>
      <c r="AA18" s="14">
        <f>IFERROR(AVERAGEIFS(RES_Others!AD$2:AD$999,RES_Others!$B$2:$B$999,"="&amp;$A$8,RES_Others!$C$2:$C$999,"="&amp;'INS-UPD Others'!$A13),"")</f>
        <v>0.83999999999999997</v>
      </c>
      <c r="AB18" s="14">
        <f>IFERROR(AVERAGEIFS(RES_Others!AE$2:AE$999,RES_Others!$B$2:$B$999,"="&amp;$A$8,RES_Others!$C$2:$C$999,"="&amp;'INS-UPD Others'!$A13),"")</f>
        <v>0.83999999999999997</v>
      </c>
      <c r="AC18" s="14">
        <f>IFERROR(AVERAGEIFS(RES_Others!AF$2:AF$999,RES_Others!$B$2:$B$999,"="&amp;$A$8,RES_Others!$C$2:$C$999,"="&amp;'INS-UPD Others'!$A13),"")</f>
        <v>0.81000000000000005</v>
      </c>
      <c r="AD18" s="14">
        <f>IFERROR(AVERAGEIFS(RES_Others!AG$2:AG$999,RES_Others!$B$2:$B$999,"="&amp;$A$8,RES_Others!$C$2:$C$999,"="&amp;'INS-UPD Others'!$A13),"")</f>
        <v>0.80000000000000004</v>
      </c>
      <c r="AE18" s="14">
        <f>IFERROR(AVERAGEIFS(RES_Others!AH$2:AH$999,RES_Others!$B$2:$B$999,"="&amp;$A$8,RES_Others!$C$2:$C$999,"="&amp;'INS-UPD Others'!$A13),"")</f>
        <v>0.83999999999999997</v>
      </c>
      <c r="AF18" s="14">
        <f>IFERROR(AVERAGEIFS(RES_Others!AI$2:AI$999,RES_Others!$B$2:$B$999,"="&amp;$A$8,RES_Others!$C$2:$C$999,"="&amp;'INS-UPD Others'!$A13),"")</f>
        <v>0.81000000000000005</v>
      </c>
      <c r="AG18" s="14">
        <f>IFERROR(AVERAGEIFS(RES_Others!AJ$2:AJ$999,RES_Others!$B$2:$B$999,"="&amp;$A$8,RES_Others!$C$2:$C$999,"="&amp;'INS-UPD Others'!$A13),"")</f>
        <v>0.81000000000000005</v>
      </c>
      <c r="AH18" s="14">
        <f>IFERROR(AVERAGEIFS(RES_Others!AK$2:AK$999,RES_Others!$B$2:$B$999,"="&amp;$A$8,RES_Others!$C$2:$C$999,"="&amp;'INS-UPD Others'!$A13),"")</f>
        <v>0.81000000000000005</v>
      </c>
      <c r="AI18" s="14">
        <f>IFERROR(AVERAGEIFS(RES_Others!AL$2:AL$999,RES_Others!$B$2:$B$999,"="&amp;$A$8,RES_Others!$C$2:$C$999,"="&amp;'INS-UPD Others'!$A13),"")</f>
        <v>0.81000000000000005</v>
      </c>
      <c r="AJ18" s="14">
        <f>IFERROR(AVERAGEIFS(RES_Others!AM$2:AM$999,RES_Others!$B$2:$B$999,"="&amp;$A$8,RES_Others!$C$2:$C$999,"="&amp;'INS-UPD Others'!$A13),"")</f>
        <v>0.83499999999999996</v>
      </c>
      <c r="AK18" s="14">
        <f>IFERROR(AVERAGEIFS(RES_Others!AN$2:AN$999,RES_Others!$B$2:$B$999,"="&amp;$A$8,RES_Others!$C$2:$C$999,"="&amp;'INS-UPD Others'!$A13),"")</f>
        <v>0.83999999999999997</v>
      </c>
      <c r="AL18" s="14">
        <f>IFERROR(AVERAGEIFS(RES_Others!AO$2:AO$999,RES_Others!$B$2:$B$999,"="&amp;$A$8,RES_Others!$C$2:$C$999,"="&amp;'INS-UPD Others'!$A13),"")</f>
        <v>0.81000000000000005</v>
      </c>
      <c r="AM18" s="14">
        <f>IFERROR(AVERAGEIFS(RES_Others!AP$2:AP$999,RES_Others!$B$2:$B$999,"="&amp;$A$8,RES_Others!$C$2:$C$999,"="&amp;'INS-UPD Others'!$A13),"")</f>
        <v>0.80000000000000004</v>
      </c>
      <c r="AN18" s="14">
        <f>IFERROR(AVERAGEIFS(RES_Others!AQ$2:AQ$999,RES_Others!$B$2:$B$999,"="&amp;$A$8,RES_Others!$C$2:$C$999,"="&amp;'INS-UPD Others'!$A13),"")</f>
        <v>0.80000000000000004</v>
      </c>
      <c r="AO18" s="14">
        <f>IFERROR(AVERAGEIFS(RES_Others!AR$2:AR$999,RES_Others!$B$2:$B$999,"="&amp;$A$8,RES_Others!$C$2:$C$999,"="&amp;'INS-UPD Others'!$A13),"")</f>
        <v>0.81000000000000005</v>
      </c>
      <c r="AP18" s="14">
        <f>IFERROR(AVERAGEIFS(RES_Others!AS$2:AS$999,RES_Others!$B$2:$B$999,"="&amp;$A$8,RES_Others!$C$2:$C$999,"="&amp;'INS-UPD Others'!$A13),"")</f>
        <v>0.84999999999999998</v>
      </c>
      <c r="AQ18" s="14">
        <f>IFERROR(AVERAGEIFS(RES_Others!AT$2:AT$999,RES_Others!$B$2:$B$999,"="&amp;$A$8,RES_Others!$C$2:$C$999,"="&amp;'INS-UPD Others'!$A13),"")</f>
        <v>0.83999999999999997</v>
      </c>
      <c r="AR18" s="14">
        <f>IFERROR(AVERAGEIFS(RES_Others!AU$2:AU$999,RES_Others!$B$2:$B$999,"="&amp;$A$8,RES_Others!$C$2:$C$999,"="&amp;'INS-UPD Others'!$A13),"")</f>
        <v>0.81000000000000005</v>
      </c>
      <c r="AS18" s="15">
        <f>IFERROR(AVERAGEIFS(RES_Others!AV$2:AV$999,RES_Others!$B$2:$B$999,"="&amp;$A$8,RES_Others!$C$2:$C$999,"="&amp;'INS-UPD Others'!$A13),"")</f>
        <v>0.82999999999999996</v>
      </c>
    </row>
    <row r="22" spans="1:3" ht="15">
      <c r="A22" s="6" t="s">
        <v>103</v>
      </c>
      <c r="C22" s="4" t="s">
        <v>51</v>
      </c>
    </row>
    <row r="23" spans="3:45" ht="12.75">
      <c r="C23" t="s">
        <v>35</v>
      </c>
      <c r="D23" t="s">
        <v>48</v>
      </c>
      <c r="E23" t="s">
        <v>43</v>
      </c>
      <c r="F23" t="s">
        <v>39</v>
      </c>
      <c r="G23" t="s">
        <v>49</v>
      </c>
      <c r="H23" t="s">
        <v>46</v>
      </c>
      <c r="I23" t="str">
        <f>RES_SpHeat!L$1</f>
        <v>AL</v>
      </c>
      <c r="J23" t="str">
        <f>RES_SpHeat!M$1</f>
        <v>AT</v>
      </c>
      <c r="K23" t="str">
        <f>RES_SpHeat!N$1</f>
        <v>BA</v>
      </c>
      <c r="L23" t="str">
        <f>RES_SpHeat!O$1</f>
        <v>BE</v>
      </c>
      <c r="M23" t="str">
        <f>RES_SpHeat!P$1</f>
        <v>BG</v>
      </c>
      <c r="N23" t="str">
        <f>RES_SpHeat!Q$1</f>
        <v>CH</v>
      </c>
      <c r="O23" t="str">
        <f>RES_SpHeat!R$1</f>
        <v>CY</v>
      </c>
      <c r="P23" t="str">
        <f>RES_SpHeat!S$1</f>
        <v>CZ</v>
      </c>
      <c r="Q23" t="str">
        <f>RES_SpHeat!T$1</f>
        <v>DE</v>
      </c>
      <c r="R23" t="str">
        <f>RES_SpHeat!U$1</f>
        <v>DK</v>
      </c>
      <c r="S23" t="str">
        <f>RES_SpHeat!V$1</f>
        <v>EE</v>
      </c>
      <c r="T23" t="str">
        <f>RES_SpHeat!W$1</f>
        <v>EL</v>
      </c>
      <c r="U23" t="str">
        <f>RES_SpHeat!X$1</f>
        <v>ES</v>
      </c>
      <c r="V23" t="str">
        <f>RES_SpHeat!Y$1</f>
        <v>FI</v>
      </c>
      <c r="W23" t="str">
        <f>RES_SpHeat!Z$1</f>
        <v>FR</v>
      </c>
      <c r="X23" t="str">
        <f>RES_SpHeat!AA$1</f>
        <v>HR</v>
      </c>
      <c r="Y23" t="str">
        <f>RES_SpHeat!AB$1</f>
        <v>HU</v>
      </c>
      <c r="Z23" t="str">
        <f>RES_SpHeat!AC$1</f>
        <v>IE</v>
      </c>
      <c r="AA23" t="str">
        <f>RES_SpHeat!AD$1</f>
        <v>IS</v>
      </c>
      <c r="AB23" t="str">
        <f>RES_SpHeat!AE$1</f>
        <v>IT</v>
      </c>
      <c r="AC23" t="str">
        <f>RES_SpHeat!AF$1</f>
        <v>KS</v>
      </c>
      <c r="AD23" t="str">
        <f>RES_SpHeat!AG$1</f>
        <v>LT</v>
      </c>
      <c r="AE23" t="str">
        <f>RES_SpHeat!AH$1</f>
        <v>LU</v>
      </c>
      <c r="AF23" t="str">
        <f>RES_SpHeat!AI$1</f>
        <v>LV</v>
      </c>
      <c r="AG23" t="str">
        <f>RES_SpHeat!AJ$1</f>
        <v>ME</v>
      </c>
      <c r="AH23" t="str">
        <f>RES_SpHeat!AK$1</f>
        <v>MK</v>
      </c>
      <c r="AI23" t="str">
        <f>RES_SpHeat!AL$1</f>
        <v>MT</v>
      </c>
      <c r="AJ23" t="str">
        <f>RES_SpHeat!AM$1</f>
        <v>NL</v>
      </c>
      <c r="AK23" t="str">
        <f>RES_SpHeat!AN$1</f>
        <v>NO</v>
      </c>
      <c r="AL23" t="str">
        <f>RES_SpHeat!AO$1</f>
        <v>PL</v>
      </c>
      <c r="AM23" t="str">
        <f>RES_SpHeat!AP$1</f>
        <v>PT</v>
      </c>
      <c r="AN23" t="str">
        <f>RES_SpHeat!AQ$1</f>
        <v>RO</v>
      </c>
      <c r="AO23" t="str">
        <f>RES_SpHeat!AR$1</f>
        <v>RS</v>
      </c>
      <c r="AP23" t="str">
        <f>RES_SpHeat!AS$1</f>
        <v>SE</v>
      </c>
      <c r="AQ23" t="str">
        <f>RES_SpHeat!AT$1</f>
        <v>SI</v>
      </c>
      <c r="AR23" t="str">
        <f>RES_SpHeat!AU$1</f>
        <v>SK</v>
      </c>
      <c r="AS23" t="str">
        <f>RES_SpHeat!AV$1</f>
        <v>UK</v>
      </c>
    </row>
    <row r="24" spans="1:45" ht="15">
      <c r="A24" s="3" t="s">
        <v>107</v>
      </c>
      <c r="C24" t="s">
        <v>415</v>
      </c>
      <c r="D24" t="str">
        <f t="shared" si="4" ref="D24:D29">A24</f>
        <v>RLIGELC*</v>
      </c>
      <c r="H24" s="37"/>
      <c r="I24" s="45" t="str">
        <f t="shared" si="5" ref="I24:I29">IF(I32&lt;&gt;"","*"&amp;1/I32,"")</f>
        <v>*10.0437609886371</v>
      </c>
      <c r="J24" s="45" t="str">
        <f t="shared" si="6" ref="J24:AS29">IF(J32&lt;&gt;"","*"&amp;1/J32,"")</f>
        <v>*10.0866981473213</v>
      </c>
      <c r="K24" s="45" t="str">
        <f t="shared" si="6"/>
        <v>*10.0437609886371</v>
      </c>
      <c r="L24" s="45" t="str">
        <f t="shared" si="6"/>
        <v>*10.7202673965972</v>
      </c>
      <c r="M24" s="45" t="str">
        <f t="shared" si="6"/>
        <v>*9.43810160792585</v>
      </c>
      <c r="N24" s="45" t="str">
        <f t="shared" si="6"/>
        <v>*10.0866981473213</v>
      </c>
      <c r="O24" s="45" t="str">
        <f t="shared" si="6"/>
        <v>*9.97020240837176</v>
      </c>
      <c r="P24" s="45" t="str">
        <f t="shared" si="6"/>
        <v>*10.6677872906306</v>
      </c>
      <c r="Q24" s="45" t="str">
        <f t="shared" si="7" ref="Q24:Q29">IF(Q32&lt;&gt;"","*"&amp;1/Q32,"")</f>
        <v>*9.80708362708946</v>
      </c>
      <c r="R24" s="45" t="str">
        <f t="shared" si="6"/>
        <v>*10.1665077228463</v>
      </c>
      <c r="S24" s="45" t="str">
        <f t="shared" si="6"/>
        <v>*9.97019998166198</v>
      </c>
      <c r="T24" s="45" t="str">
        <f t="shared" si="6"/>
        <v>*10.0437609886371</v>
      </c>
      <c r="U24" s="45" t="str">
        <f t="shared" si="6"/>
        <v>*10.5452850047587</v>
      </c>
      <c r="V24" s="45" t="str">
        <f t="shared" si="6"/>
        <v>*10.3306339734967</v>
      </c>
      <c r="W24" s="45" t="str">
        <f t="shared" si="6"/>
        <v>*10.082013194318</v>
      </c>
      <c r="X24" s="45" t="str">
        <f t="shared" si="6"/>
        <v>*10.0807315331624</v>
      </c>
      <c r="Y24" s="45" t="str">
        <f t="shared" si="6"/>
        <v>*10.121141517927</v>
      </c>
      <c r="Z24" s="45" t="str">
        <f t="shared" si="6"/>
        <v>*10.0866584249107</v>
      </c>
      <c r="AA24" s="45" t="str">
        <f t="shared" si="6"/>
        <v>*10.1711264106847</v>
      </c>
      <c r="AB24" s="45" t="str">
        <f t="shared" si="6"/>
        <v>*10.3925566612263</v>
      </c>
      <c r="AC24" s="45" t="str">
        <f t="shared" si="6"/>
        <v>*10.0437609886371</v>
      </c>
      <c r="AD24" s="45" t="str">
        <f t="shared" si="6"/>
        <v>*9.97014514431713</v>
      </c>
      <c r="AE24" s="45" t="str">
        <f t="shared" si="6"/>
        <v>*10.0865872813295</v>
      </c>
      <c r="AF24" s="45" t="str">
        <f t="shared" si="6"/>
        <v>*9.97011653826567</v>
      </c>
      <c r="AG24" s="45" t="str">
        <f t="shared" si="6"/>
        <v>*10.0437609886371</v>
      </c>
      <c r="AH24" s="45" t="str">
        <f t="shared" si="6"/>
        <v>*10.0437609886371</v>
      </c>
      <c r="AI24" s="45" t="str">
        <f t="shared" si="6"/>
        <v>*9.97019298628649</v>
      </c>
      <c r="AJ24" s="45" t="str">
        <f t="shared" si="6"/>
        <v>*10.0865819554568</v>
      </c>
      <c r="AK24" s="45" t="str">
        <f t="shared" si="6"/>
        <v>*10.1711264106847</v>
      </c>
      <c r="AL24" s="45" t="str">
        <f t="shared" si="6"/>
        <v>*9.97022863711616</v>
      </c>
      <c r="AM24" s="45" t="str">
        <f t="shared" si="6"/>
        <v>*10.1432930072663</v>
      </c>
      <c r="AN24" s="45" t="str">
        <f t="shared" si="6"/>
        <v>*9.61438052401311</v>
      </c>
      <c r="AO24" s="45" t="str">
        <f t="shared" si="6"/>
        <v>*10.0437609886371</v>
      </c>
      <c r="AP24" s="45" t="str">
        <f t="shared" si="6"/>
        <v>*10.1711264106847</v>
      </c>
      <c r="AQ24" s="45" t="str">
        <f t="shared" si="6"/>
        <v>*9.97014616038714</v>
      </c>
      <c r="AR24" s="45" t="str">
        <f t="shared" si="6"/>
        <v>*9.97018189904341</v>
      </c>
      <c r="AS24" s="47" t="str">
        <f t="shared" si="6"/>
        <v>*10.0227790165065</v>
      </c>
    </row>
    <row r="25" spans="1:45" ht="15">
      <c r="A25" s="3" t="s">
        <v>108</v>
      </c>
      <c r="C25" t="s">
        <v>415</v>
      </c>
      <c r="D25" t="str">
        <f t="shared" si="4"/>
        <v>RREFELC*</v>
      </c>
      <c r="H25" s="40"/>
      <c r="I25" t="str">
        <f t="shared" si="5"/>
        <v>*0.721739853417231</v>
      </c>
      <c r="J25" t="str">
        <f t="shared" si="8" ref="J25:X25">IF(J33&lt;&gt;"","*"&amp;1/J33,"")</f>
        <v>*0.680288520290587</v>
      </c>
      <c r="K25" t="str">
        <f t="shared" si="8"/>
        <v>*0.721739853417231</v>
      </c>
      <c r="L25" t="str">
        <f t="shared" si="8"/>
        <v>*0.652546647733018</v>
      </c>
      <c r="M25" t="str">
        <f t="shared" si="8"/>
        <v>*0.612114788573926</v>
      </c>
      <c r="N25" t="str">
        <f t="shared" si="8"/>
        <v>*0.680288520290587</v>
      </c>
      <c r="O25" t="str">
        <f t="shared" si="8"/>
        <v>*0.586252241032915</v>
      </c>
      <c r="P25" t="str">
        <f t="shared" si="8"/>
        <v>*0.628111290977334</v>
      </c>
      <c r="Q25" t="str">
        <f t="shared" si="7"/>
        <v>*0.740081153522496</v>
      </c>
      <c r="R25" t="str">
        <f t="shared" si="8"/>
        <v>*0.739324907750037</v>
      </c>
      <c r="S25" t="str">
        <f t="shared" si="8"/>
        <v>*0.583931657671493</v>
      </c>
      <c r="T25" t="str">
        <f t="shared" si="8"/>
        <v>*0.721739853417231</v>
      </c>
      <c r="U25" t="str">
        <f t="shared" si="8"/>
        <v>*0.694732862028546</v>
      </c>
      <c r="V25" t="str">
        <f t="shared" si="8"/>
        <v>*0.691199762117213</v>
      </c>
      <c r="W25" t="str">
        <f t="shared" si="8"/>
        <v>*0.635539113040818</v>
      </c>
      <c r="X25" t="str">
        <f t="shared" si="8"/>
        <v>*0.651879707344738</v>
      </c>
      <c r="Y25" t="str">
        <f t="shared" si="6"/>
        <v>*0.643590731794502</v>
      </c>
      <c r="Z25" t="str">
        <f t="shared" si="6"/>
        <v>*0.679126180456487</v>
      </c>
      <c r="AA25" t="str">
        <f t="shared" si="6"/>
        <v>*0.710184081683874</v>
      </c>
      <c r="AB25" t="str">
        <f t="shared" si="6"/>
        <v>*0.693078982851551</v>
      </c>
      <c r="AC25" t="str">
        <f t="shared" si="6"/>
        <v>*0.721739853417231</v>
      </c>
      <c r="AD25" t="str">
        <f t="shared" si="6"/>
        <v>*0.612194256270655</v>
      </c>
      <c r="AE25" t="str">
        <f t="shared" si="6"/>
        <v>*0.700185487478216</v>
      </c>
      <c r="AF25" t="str">
        <f t="shared" si="6"/>
        <v>*0.626970816398628</v>
      </c>
      <c r="AG25" t="str">
        <f t="shared" si="6"/>
        <v>*0.721739853417231</v>
      </c>
      <c r="AH25" t="str">
        <f t="shared" si="6"/>
        <v>*0.721739853417231</v>
      </c>
      <c r="AI25" t="str">
        <f t="shared" si="6"/>
        <v>*0.580739210197573</v>
      </c>
      <c r="AJ25" t="str">
        <f t="shared" si="6"/>
        <v>*0.762857321572378</v>
      </c>
      <c r="AK25" t="str">
        <f t="shared" si="6"/>
        <v>*0.710184081683874</v>
      </c>
      <c r="AL25" t="str">
        <f t="shared" si="6"/>
        <v>*0.681964790158118</v>
      </c>
      <c r="AM25" t="str">
        <f t="shared" si="6"/>
        <v>*0.642663054509734</v>
      </c>
      <c r="AN25" t="str">
        <f t="shared" si="6"/>
        <v>*0.711056009192307</v>
      </c>
      <c r="AO25" t="str">
        <f t="shared" si="6"/>
        <v>*0.721739853417231</v>
      </c>
      <c r="AP25" t="str">
        <f t="shared" si="6"/>
        <v>*0.710184081683874</v>
      </c>
      <c r="AQ25" t="str">
        <f t="shared" si="6"/>
        <v>*0.576409880844356</v>
      </c>
      <c r="AR25" t="str">
        <f t="shared" si="6"/>
        <v>*0.597264115538959</v>
      </c>
      <c r="AS25" s="49" t="str">
        <f t="shared" si="6"/>
        <v>*0.759828425431138</v>
      </c>
    </row>
    <row r="26" spans="1:45" ht="15">
      <c r="A26" s="3" t="s">
        <v>109</v>
      </c>
      <c r="C26" t="s">
        <v>29</v>
      </c>
      <c r="D26" t="str">
        <f t="shared" si="4"/>
        <v>RCWAELC*</v>
      </c>
      <c r="H26" s="40"/>
      <c r="I26" t="str">
        <f t="shared" si="5"/>
        <v>*1.57868049114646</v>
      </c>
      <c r="J26" t="str">
        <f t="shared" si="6"/>
        <v>*1.43749057002929</v>
      </c>
      <c r="K26" t="str">
        <f t="shared" si="6"/>
        <v>*1.57868049114646</v>
      </c>
      <c r="L26" t="str">
        <f t="shared" si="6"/>
        <v>*1.3955048684309</v>
      </c>
      <c r="M26" t="str">
        <f t="shared" si="6"/>
        <v>*1.25594468109842</v>
      </c>
      <c r="N26" t="str">
        <f t="shared" si="6"/>
        <v>*1.43749057002929</v>
      </c>
      <c r="O26" t="str">
        <f t="shared" si="6"/>
        <v>*1.11962250233935</v>
      </c>
      <c r="P26" t="str">
        <f t="shared" si="6"/>
        <v>*1.84111565801366</v>
      </c>
      <c r="Q26" t="str">
        <f t="shared" si="7"/>
        <v>*1.59085871611639</v>
      </c>
      <c r="R26" t="str">
        <f t="shared" si="6"/>
        <v>*1.57302883635415</v>
      </c>
      <c r="S26" t="str">
        <f t="shared" si="6"/>
        <v>*1.2440378015638</v>
      </c>
      <c r="T26" t="str">
        <f t="shared" si="6"/>
        <v>*1.57868049114646</v>
      </c>
      <c r="U26" t="str">
        <f t="shared" si="6"/>
        <v>*1.23533904071192</v>
      </c>
      <c r="V26" t="str">
        <f t="shared" si="6"/>
        <v>*1.42699891665622</v>
      </c>
      <c r="W26" t="str">
        <f t="shared" si="6"/>
        <v>*1.28163461813881</v>
      </c>
      <c r="X26" t="str">
        <f t="shared" si="6"/>
        <v>*1.41296939198842</v>
      </c>
      <c r="Y26" t="str">
        <f t="shared" si="6"/>
        <v>*1.82535927834778</v>
      </c>
      <c r="Z26" t="str">
        <f t="shared" si="6"/>
        <v>*1.34874614684855</v>
      </c>
      <c r="AA26" t="str">
        <f t="shared" si="6"/>
        <v>*1.53888323214234</v>
      </c>
      <c r="AB26" t="str">
        <f t="shared" si="6"/>
        <v>*1.52537467073696</v>
      </c>
      <c r="AC26" t="str">
        <f t="shared" si="6"/>
        <v>*1.57868049114646</v>
      </c>
      <c r="AD26" t="str">
        <f t="shared" si="6"/>
        <v>*1.66665802565615</v>
      </c>
      <c r="AE26" t="str">
        <f t="shared" si="6"/>
        <v>*1.44292571996512</v>
      </c>
      <c r="AF26" t="str">
        <f t="shared" si="6"/>
        <v>*1.2926660406424</v>
      </c>
      <c r="AG26" t="str">
        <f t="shared" si="6"/>
        <v>*1.57868049114646</v>
      </c>
      <c r="AH26" t="str">
        <f t="shared" si="6"/>
        <v>*1.57868049114646</v>
      </c>
      <c r="AI26" t="str">
        <f t="shared" si="6"/>
        <v>*1.47799079680635</v>
      </c>
      <c r="AJ26" t="str">
        <f t="shared" si="6"/>
        <v>*1.5716083122476</v>
      </c>
      <c r="AK26" t="str">
        <f t="shared" si="6"/>
        <v>*1.53888323214234</v>
      </c>
      <c r="AL26" t="str">
        <f t="shared" si="6"/>
        <v>*1.7332235744788</v>
      </c>
      <c r="AM26" t="str">
        <f t="shared" si="6"/>
        <v>*1.30077891819606</v>
      </c>
      <c r="AN26" t="str">
        <f t="shared" si="6"/>
        <v>*1.46942225638702</v>
      </c>
      <c r="AO26" t="str">
        <f t="shared" si="6"/>
        <v>*1.57868049114646</v>
      </c>
      <c r="AP26" t="str">
        <f t="shared" si="6"/>
        <v>*1.53888323214234</v>
      </c>
      <c r="AQ26" t="str">
        <f t="shared" si="6"/>
        <v>*1.34494972474385</v>
      </c>
      <c r="AR26" t="str">
        <f t="shared" si="6"/>
        <v>*1.75325251001167</v>
      </c>
      <c r="AS26" s="49" t="str">
        <f t="shared" si="6"/>
        <v>*1.41527360314915</v>
      </c>
    </row>
    <row r="27" spans="1:45" ht="15">
      <c r="A27" s="3" t="s">
        <v>110</v>
      </c>
      <c r="C27" t="s">
        <v>29</v>
      </c>
      <c r="D27" t="str">
        <f t="shared" si="4"/>
        <v>RCDRELC*</v>
      </c>
      <c r="H27" s="40"/>
      <c r="I27" t="str">
        <f t="shared" si="5"/>
        <v>*0.740381577139962</v>
      </c>
      <c r="J27" t="str">
        <f t="shared" si="6"/>
        <v>*0.688311496416077</v>
      </c>
      <c r="K27" t="str">
        <f t="shared" si="6"/>
        <v>*0.740381577139962</v>
      </c>
      <c r="L27" t="str">
        <f t="shared" si="6"/>
        <v>*0.672997113918972</v>
      </c>
      <c r="M27" t="str">
        <f t="shared" si="6"/>
        <v>*0.621213499138116</v>
      </c>
      <c r="N27" t="str">
        <f t="shared" si="6"/>
        <v>*0.688311496416077</v>
      </c>
      <c r="O27" t="str">
        <f t="shared" si="6"/>
        <v>*0.570880864750954</v>
      </c>
      <c r="P27" t="str">
        <f t="shared" si="6"/>
        <v>*0.834525511176956</v>
      </c>
      <c r="Q27" t="str">
        <f t="shared" si="7"/>
        <v>*0.743554769291175</v>
      </c>
      <c r="R27" t="str">
        <f t="shared" si="6"/>
        <v>*0.736328409238777</v>
      </c>
      <c r="S27" t="str">
        <f t="shared" si="6"/>
        <v>*0.636473890307949</v>
      </c>
      <c r="T27" t="str">
        <f t="shared" si="6"/>
        <v>*0.740381577139962</v>
      </c>
      <c r="U27" t="str">
        <f t="shared" si="6"/>
        <v>*0.612482979980896</v>
      </c>
      <c r="V27" t="str">
        <f t="shared" si="6"/>
        <v>*0.684473750879868</v>
      </c>
      <c r="W27" t="str">
        <f t="shared" si="6"/>
        <v>*0.631514322500295</v>
      </c>
      <c r="X27" t="str">
        <f t="shared" si="6"/>
        <v>*0.679427656285356</v>
      </c>
      <c r="Y27" t="str">
        <f t="shared" si="6"/>
        <v>*0.806048055542721</v>
      </c>
      <c r="Z27" t="str">
        <f t="shared" si="6"/>
        <v>*0.659272956233803</v>
      </c>
      <c r="AA27" t="str">
        <f t="shared" si="6"/>
        <v>*0.724500709190135</v>
      </c>
      <c r="AB27" t="str">
        <f t="shared" si="6"/>
        <v>*0.735715425758707</v>
      </c>
      <c r="AC27" t="str">
        <f t="shared" si="6"/>
        <v>*0.740381577139962</v>
      </c>
      <c r="AD27" t="str">
        <f t="shared" si="6"/>
        <v>*0.771220676223551</v>
      </c>
      <c r="AE27" t="str">
        <f t="shared" si="6"/>
        <v>*0.697506788605296</v>
      </c>
      <c r="AF27" t="str">
        <f t="shared" si="6"/>
        <v>*0.645290761089777</v>
      </c>
      <c r="AG27" t="str">
        <f t="shared" si="6"/>
        <v>*0.740381577139962</v>
      </c>
      <c r="AH27" t="str">
        <f t="shared" si="6"/>
        <v>*0.740381577139962</v>
      </c>
      <c r="AI27" t="str">
        <f t="shared" si="6"/>
        <v>*0.702570232948066</v>
      </c>
      <c r="AJ27" t="str">
        <f t="shared" si="6"/>
        <v>*0.736000345701835</v>
      </c>
      <c r="AK27" t="str">
        <f t="shared" si="6"/>
        <v>*0.724500709190135</v>
      </c>
      <c r="AL27" t="str">
        <f t="shared" si="6"/>
        <v>*0.795008111798969</v>
      </c>
      <c r="AM27" t="str">
        <f t="shared" si="6"/>
        <v>*0.637091867951146</v>
      </c>
      <c r="AN27" t="str">
        <f t="shared" si="6"/>
        <v>*0.708898508491122</v>
      </c>
      <c r="AO27" t="str">
        <f t="shared" si="6"/>
        <v>*0.740381577139962</v>
      </c>
      <c r="AP27" t="str">
        <f t="shared" si="6"/>
        <v>*0.724500709190135</v>
      </c>
      <c r="AQ27" t="str">
        <f t="shared" si="6"/>
        <v>*0.654551864556762</v>
      </c>
      <c r="AR27" t="str">
        <f t="shared" si="6"/>
        <v>*0.803393975264077</v>
      </c>
      <c r="AS27" s="49" t="str">
        <f t="shared" si="6"/>
        <v>*0.680088462662404</v>
      </c>
    </row>
    <row r="28" spans="1:45" ht="15">
      <c r="A28" s="3" t="s">
        <v>111</v>
      </c>
      <c r="C28" t="s">
        <v>29</v>
      </c>
      <c r="D28" t="str">
        <f t="shared" si="4"/>
        <v>RDWAELC*</v>
      </c>
      <c r="H28" s="40"/>
      <c r="I28" t="str">
        <f t="shared" si="5"/>
        <v>*1.19999448444931</v>
      </c>
      <c r="J28" t="str">
        <f t="shared" si="6"/>
        <v>*1.06194683133575</v>
      </c>
      <c r="K28" t="str">
        <f t="shared" si="6"/>
        <v>*1.19999448444931</v>
      </c>
      <c r="L28" t="str">
        <f t="shared" si="6"/>
        <v>*1.02301289349169</v>
      </c>
      <c r="M28" t="str">
        <f t="shared" si="6"/>
        <v>*0.89352692133925</v>
      </c>
      <c r="N28" t="str">
        <f t="shared" si="6"/>
        <v>*1.06194683133575</v>
      </c>
      <c r="O28" t="str">
        <f t="shared" si="6"/>
        <v>*0.775617003921338</v>
      </c>
      <c r="P28" t="str">
        <f t="shared" si="6"/>
        <v>*1.46765620271517</v>
      </c>
      <c r="Q28" t="str">
        <f t="shared" si="7"/>
        <v>*1.20743698896664</v>
      </c>
      <c r="R28" t="str">
        <f t="shared" si="6"/>
        <v>*1.18876939374065</v>
      </c>
      <c r="S28" t="str">
        <f t="shared" si="6"/>
        <v>*0.946507115742269</v>
      </c>
      <c r="T28" t="str">
        <f t="shared" si="6"/>
        <v>*1.19999448444931</v>
      </c>
      <c r="U28" t="str">
        <f t="shared" si="6"/>
        <v>*0.928221881103623</v>
      </c>
      <c r="V28" t="str">
        <f t="shared" si="6"/>
        <v>*1.05204706067858</v>
      </c>
      <c r="W28" t="str">
        <f t="shared" si="6"/>
        <v>*0.919255779769492</v>
      </c>
      <c r="X28" t="str">
        <f t="shared" si="6"/>
        <v>*1.03937628912376</v>
      </c>
      <c r="Y28" t="str">
        <f t="shared" si="6"/>
        <v>*1.38852276347147</v>
      </c>
      <c r="Z28" t="str">
        <f t="shared" si="6"/>
        <v>*0.980182734276156</v>
      </c>
      <c r="AA28" t="str">
        <f t="shared" si="6"/>
        <v>*1.15680675876408</v>
      </c>
      <c r="AB28" t="str">
        <f t="shared" si="6"/>
        <v>*1.14601039018778</v>
      </c>
      <c r="AC28" t="str">
        <f t="shared" si="6"/>
        <v>*1.19999448444931</v>
      </c>
      <c r="AD28" t="str">
        <f t="shared" si="6"/>
        <v>*1.28954757588377</v>
      </c>
      <c r="AE28" t="str">
        <f t="shared" si="6"/>
        <v>*1.0668166253872</v>
      </c>
      <c r="AF28" t="str">
        <f t="shared" si="6"/>
        <v>*0.92747477529074</v>
      </c>
      <c r="AG28" t="str">
        <f t="shared" si="6"/>
        <v>*1.19999448444931</v>
      </c>
      <c r="AH28" t="str">
        <f t="shared" si="6"/>
        <v>*1.19999448444931</v>
      </c>
      <c r="AI28" t="str">
        <f t="shared" si="6"/>
        <v>*1.10065804644502</v>
      </c>
      <c r="AJ28" t="str">
        <f t="shared" si="6"/>
        <v>*1.18823111368879</v>
      </c>
      <c r="AK28" t="str">
        <f t="shared" si="6"/>
        <v>*1.15680675876408</v>
      </c>
      <c r="AL28" t="str">
        <f t="shared" si="6"/>
        <v>*1.3554510888047</v>
      </c>
      <c r="AM28" t="str">
        <f t="shared" si="6"/>
        <v>*0.978972224561927</v>
      </c>
      <c r="AN28" t="str">
        <f t="shared" si="6"/>
        <v>*1.14173527165663</v>
      </c>
      <c r="AO28" t="str">
        <f t="shared" si="6"/>
        <v>*1.19999448444931</v>
      </c>
      <c r="AP28" t="str">
        <f t="shared" si="6"/>
        <v>*1.15680675876408</v>
      </c>
      <c r="AQ28" t="str">
        <f t="shared" si="6"/>
        <v>*0.97621618458337</v>
      </c>
      <c r="AR28" t="str">
        <f t="shared" si="6"/>
        <v>*1.37755914332284</v>
      </c>
      <c r="AS28" s="49" t="str">
        <f t="shared" si="6"/>
        <v>*1.04131333509957</v>
      </c>
    </row>
    <row r="29" spans="1:45" ht="15">
      <c r="A29" s="3" t="s">
        <v>112</v>
      </c>
      <c r="C29" t="s">
        <v>29</v>
      </c>
      <c r="D29" t="str">
        <f t="shared" si="4"/>
        <v>ROELELC*</v>
      </c>
      <c r="H29" s="42"/>
      <c r="I29" s="50" t="str">
        <f t="shared" si="5"/>
        <v>*0.878443417323194</v>
      </c>
      <c r="J29" s="50" t="str">
        <f t="shared" si="6"/>
        <v>*0.845574873202846</v>
      </c>
      <c r="K29" s="50" t="str">
        <f t="shared" si="6"/>
        <v>*0.878443417323194</v>
      </c>
      <c r="L29" s="50" t="str">
        <f t="shared" si="6"/>
        <v>*0.803462955486933</v>
      </c>
      <c r="M29" s="50" t="str">
        <f t="shared" si="6"/>
        <v>*0.614797286762007</v>
      </c>
      <c r="N29" s="50" t="str">
        <f t="shared" si="6"/>
        <v>*0.845574873202846</v>
      </c>
      <c r="O29" s="50" t="str">
        <f t="shared" si="6"/>
        <v>*0.572871970187781</v>
      </c>
      <c r="P29" s="50" t="str">
        <f t="shared" si="6"/>
        <v>*1.13547078425293</v>
      </c>
      <c r="Q29" s="50" t="str">
        <f t="shared" si="7"/>
        <v>*0.99188345854839</v>
      </c>
      <c r="R29" s="50" t="str">
        <f t="shared" si="6"/>
        <v>*0.986013555132014</v>
      </c>
      <c r="S29" s="50" t="str">
        <f t="shared" si="6"/>
        <v>*0.652140300654911</v>
      </c>
      <c r="T29" s="50" t="str">
        <f t="shared" si="6"/>
        <v>*0.878443417323194</v>
      </c>
      <c r="U29" s="50" t="str">
        <f t="shared" si="6"/>
        <v>*0.656853044621257</v>
      </c>
      <c r="V29" s="50" t="str">
        <f t="shared" si="6"/>
        <v>*0.847097817625568</v>
      </c>
      <c r="W29" s="50" t="str">
        <f t="shared" si="6"/>
        <v>*0.714714692626649</v>
      </c>
      <c r="X29" s="50" t="str">
        <f t="shared" si="6"/>
        <v>*0.77523804707895</v>
      </c>
      <c r="Y29" s="50" t="str">
        <f t="shared" si="6"/>
        <v>*1.05689506329957</v>
      </c>
      <c r="Z29" s="50" t="str">
        <f t="shared" si="6"/>
        <v>*0.76213952118232</v>
      </c>
      <c r="AA29" s="50" t="str">
        <f t="shared" si="6"/>
        <v>*0.972519443487804</v>
      </c>
      <c r="AB29" s="50" t="str">
        <f t="shared" si="6"/>
        <v>*0.884141099832014</v>
      </c>
      <c r="AC29" s="50" t="str">
        <f t="shared" si="6"/>
        <v>*0.878443417323194</v>
      </c>
      <c r="AD29" s="50" t="str">
        <f t="shared" si="6"/>
        <v>*0.931583471621928</v>
      </c>
      <c r="AE29" s="50" t="str">
        <f t="shared" si="6"/>
        <v>*0.867963520331209</v>
      </c>
      <c r="AF29" s="50" t="str">
        <f t="shared" si="6"/>
        <v>*0.666533468603211</v>
      </c>
      <c r="AG29" s="50" t="str">
        <f t="shared" si="6"/>
        <v>*0.878443417323194</v>
      </c>
      <c r="AH29" s="50" t="str">
        <f t="shared" si="6"/>
        <v>*0.878443417323194</v>
      </c>
      <c r="AI29" s="50" t="str">
        <f t="shared" si="6"/>
        <v>*0.854951440060899</v>
      </c>
      <c r="AJ29" s="50" t="str">
        <f t="shared" si="6"/>
        <v>*0.992460420916299</v>
      </c>
      <c r="AK29" s="50" t="str">
        <f t="shared" si="6"/>
        <v>*0.972519443487804</v>
      </c>
      <c r="AL29" s="50" t="str">
        <f t="shared" si="6"/>
        <v>*1.03491182643101</v>
      </c>
      <c r="AM29" s="50" t="str">
        <f t="shared" si="6"/>
        <v>*0.696015449500465</v>
      </c>
      <c r="AN29" s="50" t="str">
        <f t="shared" si="6"/>
        <v>*0.777460506604482</v>
      </c>
      <c r="AO29" s="50" t="str">
        <f t="shared" si="6"/>
        <v>*0.878443417323194</v>
      </c>
      <c r="AP29" s="50" t="str">
        <f t="shared" si="6"/>
        <v>*0.972519443487804</v>
      </c>
      <c r="AQ29" s="50" t="str">
        <f t="shared" si="6"/>
        <v>*0.746758666672651</v>
      </c>
      <c r="AR29" s="50" t="str">
        <f t="shared" si="6"/>
        <v>*1.06011578966075</v>
      </c>
      <c r="AS29" s="52" t="str">
        <f t="shared" si="6"/>
        <v>*0.825117640958006</v>
      </c>
    </row>
    <row r="32" spans="9:45" ht="12.75">
      <c r="I32" s="7">
        <f>IFERROR(AVERAGEIFS(RES_Others!L$2:L$999,RES_Others!$B$2:$B$999,"="&amp;$A$22,RES_Others!$C$2:$C$999,"="&amp;'INS-UPD Others'!$A24),"")</f>
        <v>0.099564296793933499</v>
      </c>
      <c r="J32" s="8">
        <f>IFERROR(AVERAGEIFS(RES_Others!M$2:M$999,RES_Others!$B$2:$B$999,"="&amp;$A$22,RES_Others!$C$2:$C$999,"="&amp;'INS-UPD Others'!$A24),"")</f>
        <v>0.099140470488409696</v>
      </c>
      <c r="K32" s="8">
        <f>IFERROR(AVERAGEIFS(RES_Others!N$2:N$999,RES_Others!$B$2:$B$999,"="&amp;$A$22,RES_Others!$C$2:$C$999,"="&amp;'INS-UPD Others'!$A24),"")</f>
        <v>0.099564296793933499</v>
      </c>
      <c r="L32" s="8">
        <f>IFERROR(AVERAGEIFS(RES_Others!O$2:O$999,RES_Others!$B$2:$B$999,"="&amp;$A$22,RES_Others!$C$2:$C$999,"="&amp;'INS-UPD Others'!$A24),"")</f>
        <v>0.093281255308745301</v>
      </c>
      <c r="M32" s="8">
        <f>IFERROR(AVERAGEIFS(RES_Others!P$2:P$999,RES_Others!$B$2:$B$999,"="&amp;$A$22,RES_Others!$C$2:$C$999,"="&amp;'INS-UPD Others'!$A24),"")</f>
        <v>0.105953510731462</v>
      </c>
      <c r="N32" s="8">
        <f>IFERROR(AVERAGEIFS(RES_Others!Q$2:Q$999,RES_Others!$B$2:$B$999,"="&amp;$A$22,RES_Others!$C$2:$C$999,"="&amp;'INS-UPD Others'!$A24),"")</f>
        <v>0.099140470488409696</v>
      </c>
      <c r="O32" s="8">
        <f>IFERROR(AVERAGEIFS(RES_Others!R$2:R$999,RES_Others!$B$2:$B$999,"="&amp;$A$22,RES_Others!$C$2:$C$999,"="&amp;'INS-UPD Others'!$A24),"")</f>
        <v>0.100298866466374</v>
      </c>
      <c r="P32" s="8">
        <f>IFERROR(AVERAGEIFS(RES_Others!S$2:S$999,RES_Others!$B$2:$B$999,"="&amp;$A$22,RES_Others!$C$2:$C$999,"="&amp;'INS-UPD Others'!$A24),"")</f>
        <v>0.093740151800578903</v>
      </c>
      <c r="Q32" s="8">
        <f>IFERROR(AVERAGEIFS(RES_Others!T$2:T$999,RES_Others!$B$2:$B$999,"="&amp;$A$22,RES_Others!$C$2:$C$999,"="&amp;'INS-UPD Others'!$A24),"")</f>
        <v>0.10196711255094899</v>
      </c>
      <c r="R32" s="8">
        <f>IFERROR(AVERAGEIFS(RES_Others!U$2:U$999,RES_Others!$B$2:$B$999,"="&amp;$A$22,RES_Others!$C$2:$C$999,"="&amp;'INS-UPD Others'!$A24),"")</f>
        <v>0.098362193514375099</v>
      </c>
      <c r="S32" s="8">
        <f>IFERROR(AVERAGEIFS(RES_Others!V$2:V$999,RES_Others!$B$2:$B$999,"="&amp;$A$22,RES_Others!$C$2:$C$999,"="&amp;'INS-UPD Others'!$A24),"")</f>
        <v>0.10029889087874699</v>
      </c>
      <c r="T32" s="8">
        <f>IFERROR(AVERAGEIFS(RES_Others!W$2:W$999,RES_Others!$B$2:$B$999,"="&amp;$A$22,RES_Others!$C$2:$C$999,"="&amp;'INS-UPD Others'!$A24),"")</f>
        <v>0.099564296793933499</v>
      </c>
      <c r="U32" s="8">
        <f>IFERROR(AVERAGEIFS(RES_Others!X$2:X$999,RES_Others!$B$2:$B$999,"="&amp;$A$22,RES_Others!$C$2:$C$999,"="&amp;'INS-UPD Others'!$A24),"")</f>
        <v>0.094829110787308005</v>
      </c>
      <c r="V32" s="8">
        <f>IFERROR(AVERAGEIFS(RES_Others!Y$2:Y$999,RES_Others!$B$2:$B$999,"="&amp;$A$22,RES_Others!$C$2:$C$999,"="&amp;'INS-UPD Others'!$A24),"")</f>
        <v>0.096799480318972606</v>
      </c>
      <c r="W32" s="8">
        <f>IFERROR(AVERAGEIFS(RES_Others!Z$2:Z$999,RES_Others!$B$2:$B$999,"="&amp;$A$22,RES_Others!$C$2:$C$999,"="&amp;'INS-UPD Others'!$A24),"")</f>
        <v>0.099186539506174801</v>
      </c>
      <c r="X32" s="8">
        <f>IFERROR(AVERAGEIFS(RES_Others!AA$2:AA$999,RES_Others!$B$2:$B$999,"="&amp;$A$22,RES_Others!$C$2:$C$999,"="&amp;'INS-UPD Others'!$A24),"")</f>
        <v>0.099199150052783402</v>
      </c>
      <c r="Y32" s="8">
        <f>IFERROR(AVERAGEIFS(RES_Others!AB$2:AB$999,RES_Others!$B$2:$B$999,"="&amp;$A$22,RES_Others!$C$2:$C$999,"="&amp;'INS-UPD Others'!$A24),"")</f>
        <v>0.098803084437537006</v>
      </c>
      <c r="Z32" s="8">
        <f>IFERROR(AVERAGEIFS(RES_Others!AC$2:AC$999,RES_Others!$B$2:$B$999,"="&amp;$A$22,RES_Others!$C$2:$C$999,"="&amp;'INS-UPD Others'!$A24),"")</f>
        <v>0.099140860914882306</v>
      </c>
      <c r="AA32" s="8">
        <f>IFERROR(AVERAGEIFS(RES_Others!AD$2:AD$999,RES_Others!$B$2:$B$999,"="&amp;$A$22,RES_Others!$C$2:$C$999,"="&amp;'INS-UPD Others'!$A24),"")</f>
        <v>0.098317527442142894</v>
      </c>
      <c r="AB32" s="8">
        <f>IFERROR(AVERAGEIFS(RES_Others!AE$2:AE$999,RES_Others!$B$2:$B$999,"="&amp;$A$22,RES_Others!$C$2:$C$999,"="&amp;'INS-UPD Others'!$A24),"")</f>
        <v>0.096222713293535503</v>
      </c>
      <c r="AC32" s="8">
        <f>IFERROR(AVERAGEIFS(RES_Others!AF$2:AF$999,RES_Others!$B$2:$B$999,"="&amp;$A$22,RES_Others!$C$2:$C$999,"="&amp;'INS-UPD Others'!$A24),"")</f>
        <v>0.099564296793933499</v>
      </c>
      <c r="AD32" s="8">
        <f>IFERROR(AVERAGEIFS(RES_Others!AG$2:AG$999,RES_Others!$B$2:$B$999,"="&amp;$A$22,RES_Others!$C$2:$C$999,"="&amp;'INS-UPD Others'!$A24),"")</f>
        <v>0.100299442538205</v>
      </c>
      <c r="AE32" s="8">
        <f>IFERROR(AVERAGEIFS(RES_Others!AH$2:AH$999,RES_Others!$B$2:$B$999,"="&amp;$A$22,RES_Others!$C$2:$C$999,"="&amp;'INS-UPD Others'!$A24),"")</f>
        <v>0.099141560183692606</v>
      </c>
      <c r="AF32" s="8">
        <f>IFERROR(AVERAGEIFS(RES_Others!AI$2:AI$999,RES_Others!$B$2:$B$999,"="&amp;$A$22,RES_Others!$C$2:$C$999,"="&amp;'INS-UPD Others'!$A24),"")</f>
        <v>0.100299730315284</v>
      </c>
      <c r="AG32" s="8">
        <f>IFERROR(AVERAGEIFS(RES_Others!AJ$2:AJ$999,RES_Others!$B$2:$B$999,"="&amp;$A$22,RES_Others!$C$2:$C$999,"="&amp;'INS-UPD Others'!$A24),"")</f>
        <v>0.099564296793933499</v>
      </c>
      <c r="AH32" s="8">
        <f>IFERROR(AVERAGEIFS(RES_Others!AK$2:AK$999,RES_Others!$B$2:$B$999,"="&amp;$A$22,RES_Others!$C$2:$C$999,"="&amp;'INS-UPD Others'!$A24),"")</f>
        <v>0.099564296793933499</v>
      </c>
      <c r="AI32" s="8">
        <f>IFERROR(AVERAGEIFS(RES_Others!AL$2:AL$999,RES_Others!$B$2:$B$999,"="&amp;$A$22,RES_Others!$C$2:$C$999,"="&amp;'INS-UPD Others'!$A24),"")</f>
        <v>0.100298961251347</v>
      </c>
      <c r="AJ32" s="8">
        <f>IFERROR(AVERAGEIFS(RES_Others!AM$2:AM$999,RES_Others!$B$2:$B$999,"="&amp;$A$22,RES_Others!$C$2:$C$999,"="&amp;'INS-UPD Others'!$A24),"")</f>
        <v>0.099141612531984405</v>
      </c>
      <c r="AK32" s="8">
        <f>IFERROR(AVERAGEIFS(RES_Others!AN$2:AN$999,RES_Others!$B$2:$B$999,"="&amp;$A$22,RES_Others!$C$2:$C$999,"="&amp;'INS-UPD Others'!$A24),"")</f>
        <v>0.098317527442142894</v>
      </c>
      <c r="AL32" s="8">
        <f>IFERROR(AVERAGEIFS(RES_Others!AO$2:AO$999,RES_Others!$B$2:$B$999,"="&amp;$A$22,RES_Others!$C$2:$C$999,"="&amp;'INS-UPD Others'!$A24),"")</f>
        <v>0.100298602609503</v>
      </c>
      <c r="AM32" s="8">
        <f>IFERROR(AVERAGEIFS(RES_Others!AP$2:AP$999,RES_Others!$B$2:$B$999,"="&amp;$A$22,RES_Others!$C$2:$C$999,"="&amp;'INS-UPD Others'!$A24),"")</f>
        <v>0.098587312747806397</v>
      </c>
      <c r="AN32" s="8">
        <f>IFERROR(AVERAGEIFS(RES_Others!AQ$2:AQ$999,RES_Others!$B$2:$B$999,"="&amp;$A$22,RES_Others!$C$2:$C$999,"="&amp;'INS-UPD Others'!$A24),"")</f>
        <v>0.10401086138648</v>
      </c>
      <c r="AO32" s="8">
        <f>IFERROR(AVERAGEIFS(RES_Others!AR$2:AR$999,RES_Others!$B$2:$B$999,"="&amp;$A$22,RES_Others!$C$2:$C$999,"="&amp;'INS-UPD Others'!$A24),"")</f>
        <v>0.099564296793933499</v>
      </c>
      <c r="AP32" s="8">
        <f>IFERROR(AVERAGEIFS(RES_Others!AS$2:AS$999,RES_Others!$B$2:$B$999,"="&amp;$A$22,RES_Others!$C$2:$C$999,"="&amp;'INS-UPD Others'!$A24),"")</f>
        <v>0.098317527442142894</v>
      </c>
      <c r="AQ32" s="8">
        <f>IFERROR(AVERAGEIFS(RES_Others!AT$2:AT$999,RES_Others!$B$2:$B$999,"="&amp;$A$22,RES_Others!$C$2:$C$999,"="&amp;'INS-UPD Others'!$A24),"")</f>
        <v>0.10029943231656401</v>
      </c>
      <c r="AR32" s="8">
        <f>IFERROR(AVERAGEIFS(RES_Others!AU$2:AU$999,RES_Others!$B$2:$B$999,"="&amp;$A$22,RES_Others!$C$2:$C$999,"="&amp;'INS-UPD Others'!$A24),"")</f>
        <v>0.100299072787824</v>
      </c>
      <c r="AS32" s="9">
        <f>IFERROR(AVERAGEIFS(RES_Others!AV$2:AV$999,RES_Others!$B$2:$B$999,"="&amp;$A$22,RES_Others!$C$2:$C$999,"="&amp;'INS-UPD Others'!$A24),"")</f>
        <v>0.099772727539248401</v>
      </c>
    </row>
    <row r="33" spans="9:45" ht="12.75">
      <c r="I33" s="10">
        <f>IFERROR(AVERAGEIFS(RES_Others!L$2:L$999,RES_Others!$B$2:$B$999,"="&amp;$A$22,RES_Others!$C$2:$C$999,"="&amp;'INS-UPD Others'!$A25),"")</f>
        <v>1.3855407807470901</v>
      </c>
      <c r="J33" s="11">
        <f>IFERROR(AVERAGEIFS(RES_Others!M$2:M$999,RES_Others!$B$2:$B$999,"="&amp;$A$22,RES_Others!$C$2:$C$999,"="&amp;'INS-UPD Others'!$A25),"")</f>
        <v>1.4699645373596</v>
      </c>
      <c r="K33" s="11">
        <f>IFERROR(AVERAGEIFS(RES_Others!N$2:N$999,RES_Others!$B$2:$B$999,"="&amp;$A$22,RES_Others!$C$2:$C$999,"="&amp;'INS-UPD Others'!$A25),"")</f>
        <v>1.3855407807470901</v>
      </c>
      <c r="L33" s="11">
        <f>IFERROR(AVERAGEIFS(RES_Others!O$2:O$999,RES_Others!$B$2:$B$999,"="&amp;$A$22,RES_Others!$C$2:$C$999,"="&amp;'INS-UPD Others'!$A25),"")</f>
        <v>1.53245749322911</v>
      </c>
      <c r="M33" s="11">
        <f>IFERROR(AVERAGEIFS(RES_Others!P$2:P$999,RES_Others!$B$2:$B$999,"="&amp;$A$22,RES_Others!$C$2:$C$999,"="&amp;'INS-UPD Others'!$A25),"")</f>
        <v>1.63368051003922</v>
      </c>
      <c r="N33" s="11">
        <f>IFERROR(AVERAGEIFS(RES_Others!Q$2:Q$999,RES_Others!$B$2:$B$999,"="&amp;$A$22,RES_Others!$C$2:$C$999,"="&amp;'INS-UPD Others'!$A25),"")</f>
        <v>1.4699645373596</v>
      </c>
      <c r="O33" s="11">
        <f>IFERROR(AVERAGEIFS(RES_Others!R$2:R$999,RES_Others!$B$2:$B$999,"="&amp;$A$22,RES_Others!$C$2:$C$999,"="&amp;'INS-UPD Others'!$A25),"")</f>
        <v>1.70575040913806</v>
      </c>
      <c r="P33" s="11">
        <f>IFERROR(AVERAGEIFS(RES_Others!S$2:S$999,RES_Others!$B$2:$B$999,"="&amp;$A$22,RES_Others!$C$2:$C$999,"="&amp;'INS-UPD Others'!$A25),"")</f>
        <v>1.59207454851514</v>
      </c>
      <c r="Q33" s="11">
        <f>IFERROR(AVERAGEIFS(RES_Others!T$2:T$999,RES_Others!$B$2:$B$999,"="&amp;$A$22,RES_Others!$C$2:$C$999,"="&amp;'INS-UPD Others'!$A25),"")</f>
        <v>1.3512031690584101</v>
      </c>
      <c r="R33" s="11">
        <f>IFERROR(AVERAGEIFS(RES_Others!U$2:U$999,RES_Others!$B$2:$B$999,"="&amp;$A$22,RES_Others!$C$2:$C$999,"="&amp;'INS-UPD Others'!$A25),"")</f>
        <v>1.3525852970965999</v>
      </c>
      <c r="S33" s="11">
        <f>IFERROR(AVERAGEIFS(RES_Others!V$2:V$999,RES_Others!$B$2:$B$999,"="&amp;$A$22,RES_Others!$C$2:$C$999,"="&amp;'INS-UPD Others'!$A25),"")</f>
        <v>1.71252917505387</v>
      </c>
      <c r="T33" s="11">
        <f>IFERROR(AVERAGEIFS(RES_Others!W$2:W$999,RES_Others!$B$2:$B$999,"="&amp;$A$22,RES_Others!$C$2:$C$999,"="&amp;'INS-UPD Others'!$A25),"")</f>
        <v>1.3855407807470901</v>
      </c>
      <c r="U33" s="11">
        <f>IFERROR(AVERAGEIFS(RES_Others!X$2:X$999,RES_Others!$B$2:$B$999,"="&amp;$A$22,RES_Others!$C$2:$C$999,"="&amp;'INS-UPD Others'!$A25),"")</f>
        <v>1.43940218558268</v>
      </c>
      <c r="V33" s="11">
        <f>IFERROR(AVERAGEIFS(RES_Others!Y$2:Y$999,RES_Others!$B$2:$B$999,"="&amp;$A$22,RES_Others!$C$2:$C$999,"="&amp;'INS-UPD Others'!$A25),"")</f>
        <v>1.4467597571748301</v>
      </c>
      <c r="W33" s="11">
        <f>IFERROR(AVERAGEIFS(RES_Others!Z$2:Z$999,RES_Others!$B$2:$B$999,"="&amp;$A$22,RES_Others!$C$2:$C$999,"="&amp;'INS-UPD Others'!$A25),"")</f>
        <v>1.57346728073961</v>
      </c>
      <c r="X33" s="11">
        <f>IFERROR(AVERAGEIFS(RES_Others!AA$2:AA$999,RES_Others!$B$2:$B$999,"="&amp;$A$22,RES_Others!$C$2:$C$999,"="&amp;'INS-UPD Others'!$A25),"")</f>
        <v>1.53402535580259</v>
      </c>
      <c r="Y33" s="11">
        <f>IFERROR(AVERAGEIFS(RES_Others!AB$2:AB$999,RES_Others!$B$2:$B$999,"="&amp;$A$22,RES_Others!$C$2:$C$999,"="&amp;'INS-UPD Others'!$A25),"")</f>
        <v>1.5537824747906701</v>
      </c>
      <c r="Z33" s="11">
        <f>IFERROR(AVERAGEIFS(RES_Others!AC$2:AC$999,RES_Others!$B$2:$B$999,"="&amp;$A$22,RES_Others!$C$2:$C$999,"="&amp;'INS-UPD Others'!$A25),"")</f>
        <v>1.47248041494709</v>
      </c>
      <c r="AA33" s="11">
        <f>IFERROR(AVERAGEIFS(RES_Others!AD$2:AD$999,RES_Others!$B$2:$B$999,"="&amp;$A$22,RES_Others!$C$2:$C$999,"="&amp;'INS-UPD Others'!$A25),"")</f>
        <v>1.40808562989607</v>
      </c>
      <c r="AB33" s="11">
        <f>IFERROR(AVERAGEIFS(RES_Others!AE$2:AE$999,RES_Others!$B$2:$B$999,"="&amp;$A$22,RES_Others!$C$2:$C$999,"="&amp;'INS-UPD Others'!$A25),"")</f>
        <v>1.4428369994508801</v>
      </c>
      <c r="AC33" s="11">
        <f>IFERROR(AVERAGEIFS(RES_Others!AF$2:AF$999,RES_Others!$B$2:$B$999,"="&amp;$A$22,RES_Others!$C$2:$C$999,"="&amp;'INS-UPD Others'!$A25),"")</f>
        <v>1.3855407807470901</v>
      </c>
      <c r="AD33" s="11">
        <f>IFERROR(AVERAGEIFS(RES_Others!AG$2:AG$999,RES_Others!$B$2:$B$999,"="&amp;$A$22,RES_Others!$C$2:$C$999,"="&amp;'INS-UPD Others'!$A25),"")</f>
        <v>1.6334684452803701</v>
      </c>
      <c r="AE33" s="11">
        <f>IFERROR(AVERAGEIFS(RES_Others!AH$2:AH$999,RES_Others!$B$2:$B$999,"="&amp;$A$22,RES_Others!$C$2:$C$999,"="&amp;'INS-UPD Others'!$A25),"")</f>
        <v>1.42819298297883</v>
      </c>
      <c r="AF33" s="11">
        <f>IFERROR(AVERAGEIFS(RES_Others!AI$2:AI$999,RES_Others!$B$2:$B$999,"="&amp;$A$22,RES_Others!$C$2:$C$999,"="&amp;'INS-UPD Others'!$A25),"")</f>
        <v>1.59497056935454</v>
      </c>
      <c r="AG33" s="11">
        <f>IFERROR(AVERAGEIFS(RES_Others!AJ$2:AJ$999,RES_Others!$B$2:$B$999,"="&amp;$A$22,RES_Others!$C$2:$C$999,"="&amp;'INS-UPD Others'!$A25),"")</f>
        <v>1.3855407807470901</v>
      </c>
      <c r="AH33" s="11">
        <f>IFERROR(AVERAGEIFS(RES_Others!AK$2:AK$999,RES_Others!$B$2:$B$999,"="&amp;$A$22,RES_Others!$C$2:$C$999,"="&amp;'INS-UPD Others'!$A25),"")</f>
        <v>1.3855407807470901</v>
      </c>
      <c r="AI33" s="11">
        <f>IFERROR(AVERAGEIFS(RES_Others!AL$2:AL$999,RES_Others!$B$2:$B$999,"="&amp;$A$22,RES_Others!$C$2:$C$999,"="&amp;'INS-UPD Others'!$A25),"")</f>
        <v>1.7219433136946101</v>
      </c>
      <c r="AJ33" s="11">
        <f>IFERROR(AVERAGEIFS(RES_Others!AM$2:AM$999,RES_Others!$B$2:$B$999,"="&amp;$A$22,RES_Others!$C$2:$C$999,"="&amp;'INS-UPD Others'!$A25),"")</f>
        <v>1.31086111612435</v>
      </c>
      <c r="AK33" s="11">
        <f>IFERROR(AVERAGEIFS(RES_Others!AN$2:AN$999,RES_Others!$B$2:$B$999,"="&amp;$A$22,RES_Others!$C$2:$C$999,"="&amp;'INS-UPD Others'!$A25),"")</f>
        <v>1.40808562989607</v>
      </c>
      <c r="AL33" s="11">
        <f>IFERROR(AVERAGEIFS(RES_Others!AO$2:AO$999,RES_Others!$B$2:$B$999,"="&amp;$A$22,RES_Others!$C$2:$C$999,"="&amp;'INS-UPD Others'!$A25),"")</f>
        <v>1.4663513636358601</v>
      </c>
      <c r="AM33" s="11">
        <f>IFERROR(AVERAGEIFS(RES_Others!AP$2:AP$999,RES_Others!$B$2:$B$999,"="&amp;$A$22,RES_Others!$C$2:$C$999,"="&amp;'INS-UPD Others'!$A25),"")</f>
        <v>1.5560253432692901</v>
      </c>
      <c r="AN33" s="11">
        <f>IFERROR(AVERAGEIFS(RES_Others!AQ$2:AQ$999,RES_Others!$B$2:$B$999,"="&amp;$A$22,RES_Others!$C$2:$C$999,"="&amp;'INS-UPD Others'!$A25),"")</f>
        <v>1.4063589746409799</v>
      </c>
      <c r="AO33" s="11">
        <f>IFERROR(AVERAGEIFS(RES_Others!AR$2:AR$999,RES_Others!$B$2:$B$999,"="&amp;$A$22,RES_Others!$C$2:$C$999,"="&amp;'INS-UPD Others'!$A25),"")</f>
        <v>1.3855407807470901</v>
      </c>
      <c r="AP33" s="11">
        <f>IFERROR(AVERAGEIFS(RES_Others!AS$2:AS$999,RES_Others!$B$2:$B$999,"="&amp;$A$22,RES_Others!$C$2:$C$999,"="&amp;'INS-UPD Others'!$A25),"")</f>
        <v>1.40808562989607</v>
      </c>
      <c r="AQ33" s="11">
        <f>IFERROR(AVERAGEIFS(RES_Others!AT$2:AT$999,RES_Others!$B$2:$B$999,"="&amp;$A$22,RES_Others!$C$2:$C$999,"="&amp;'INS-UPD Others'!$A25),"")</f>
        <v>1.7348765752161399</v>
      </c>
      <c r="AR33" s="11">
        <f>IFERROR(AVERAGEIFS(RES_Others!AU$2:AU$999,RES_Others!$B$2:$B$999,"="&amp;$A$22,RES_Others!$C$2:$C$999,"="&amp;'INS-UPD Others'!$A25),"")</f>
        <v>1.67430115753333</v>
      </c>
      <c r="AS33" s="12">
        <f>IFERROR(AVERAGEIFS(RES_Others!AV$2:AV$999,RES_Others!$B$2:$B$999,"="&amp;$A$22,RES_Others!$C$2:$C$999,"="&amp;'INS-UPD Others'!$A25),"")</f>
        <v>1.3160865881433499</v>
      </c>
    </row>
    <row r="34" spans="9:45" ht="12.75">
      <c r="I34" s="10">
        <f>IFERROR(AVERAGEIFS(RES_Others!L$2:L$999,RES_Others!$B$2:$B$999,"="&amp;$A$22,RES_Others!$C$2:$C$999,"="&amp;'INS-UPD Others'!$A26),"")</f>
        <v>0.63344039886993397</v>
      </c>
      <c r="J34" s="11">
        <f>IFERROR(AVERAGEIFS(RES_Others!M$2:M$999,RES_Others!$B$2:$B$999,"="&amp;$A$22,RES_Others!$C$2:$C$999,"="&amp;'INS-UPD Others'!$A26),"")</f>
        <v>0.69565673740706502</v>
      </c>
      <c r="K34" s="11">
        <f>IFERROR(AVERAGEIFS(RES_Others!N$2:N$999,RES_Others!$B$2:$B$999,"="&amp;$A$22,RES_Others!$C$2:$C$999,"="&amp;'INS-UPD Others'!$A26),"")</f>
        <v>0.63344039886993397</v>
      </c>
      <c r="L34" s="11">
        <f>IFERROR(AVERAGEIFS(RES_Others!O$2:O$999,RES_Others!$B$2:$B$999,"="&amp;$A$22,RES_Others!$C$2:$C$999,"="&amp;'INS-UPD Others'!$A26),"")</f>
        <v>0.71658653625794799</v>
      </c>
      <c r="M34" s="11">
        <f>IFERROR(AVERAGEIFS(RES_Others!P$2:P$999,RES_Others!$B$2:$B$999,"="&amp;$A$22,RES_Others!$C$2:$C$999,"="&amp;'INS-UPD Others'!$A26),"")</f>
        <v>0.79621341214282104</v>
      </c>
      <c r="N34" s="11">
        <f>IFERROR(AVERAGEIFS(RES_Others!Q$2:Q$999,RES_Others!$B$2:$B$999,"="&amp;$A$22,RES_Others!$C$2:$C$999,"="&amp;'INS-UPD Others'!$A26),"")</f>
        <v>0.69565673740706502</v>
      </c>
      <c r="O34" s="11">
        <f>IFERROR(AVERAGEIFS(RES_Others!R$2:R$999,RES_Others!$B$2:$B$999,"="&amp;$A$22,RES_Others!$C$2:$C$999,"="&amp;'INS-UPD Others'!$A26),"")</f>
        <v>0.89315818314707696</v>
      </c>
      <c r="P34" s="11">
        <f>IFERROR(AVERAGEIFS(RES_Others!S$2:S$999,RES_Others!$B$2:$B$999,"="&amp;$A$22,RES_Others!$C$2:$C$999,"="&amp;'INS-UPD Others'!$A26),"")</f>
        <v>0.54314893018664601</v>
      </c>
      <c r="Q34" s="11">
        <f>IFERROR(AVERAGEIFS(RES_Others!T$2:T$999,RES_Others!$B$2:$B$999,"="&amp;$A$22,RES_Others!$C$2:$C$999,"="&amp;'INS-UPD Others'!$A26),"")</f>
        <v>0.62859133238506804</v>
      </c>
      <c r="R34" s="11">
        <f>IFERROR(AVERAGEIFS(RES_Others!U$2:U$999,RES_Others!$B$2:$B$999,"="&amp;$A$22,RES_Others!$C$2:$C$999,"="&amp;'INS-UPD Others'!$A26),"")</f>
        <v>0.63571625445705504</v>
      </c>
      <c r="S34" s="11">
        <f>IFERROR(AVERAGEIFS(RES_Others!V$2:V$999,RES_Others!$B$2:$B$999,"="&amp;$A$22,RES_Others!$C$2:$C$999,"="&amp;'INS-UPD Others'!$A26),"")</f>
        <v>0.80383409470593803</v>
      </c>
      <c r="T34" s="11">
        <f>IFERROR(AVERAGEIFS(RES_Others!W$2:W$999,RES_Others!$B$2:$B$999,"="&amp;$A$22,RES_Others!$C$2:$C$999,"="&amp;'INS-UPD Others'!$A26),"")</f>
        <v>0.63344039886993397</v>
      </c>
      <c r="U34" s="11">
        <f>IFERROR(AVERAGEIFS(RES_Others!X$2:X$999,RES_Others!$B$2:$B$999,"="&amp;$A$22,RES_Others!$C$2:$C$999,"="&amp;'INS-UPD Others'!$A26),"")</f>
        <v>0.80949437121626699</v>
      </c>
      <c r="V34" s="11">
        <f>IFERROR(AVERAGEIFS(RES_Others!Y$2:Y$999,RES_Others!$B$2:$B$999,"="&amp;$A$22,RES_Others!$C$2:$C$999,"="&amp;'INS-UPD Others'!$A26),"")</f>
        <v>0.70077137994135796</v>
      </c>
      <c r="W34" s="11">
        <f>IFERROR(AVERAGEIFS(RES_Others!Z$2:Z$999,RES_Others!$B$2:$B$999,"="&amp;$A$22,RES_Others!$C$2:$C$999,"="&amp;'INS-UPD Others'!$A26),"")</f>
        <v>0.78025358073754203</v>
      </c>
      <c r="X34" s="11">
        <f>IFERROR(AVERAGEIFS(RES_Others!AA$2:AA$999,RES_Others!$B$2:$B$999,"="&amp;$A$22,RES_Others!$C$2:$C$999,"="&amp;'INS-UPD Others'!$A26),"")</f>
        <v>0.70772941414727597</v>
      </c>
      <c r="Y34" s="11">
        <f>IFERROR(AVERAGEIFS(RES_Others!AB$2:AB$999,RES_Others!$B$2:$B$999,"="&amp;$A$22,RES_Others!$C$2:$C$999,"="&amp;'INS-UPD Others'!$A26),"")</f>
        <v>0.54783735556166702</v>
      </c>
      <c r="Z34" s="11">
        <f>IFERROR(AVERAGEIFS(RES_Others!AC$2:AC$999,RES_Others!$B$2:$B$999,"="&amp;$A$22,RES_Others!$C$2:$C$999,"="&amp;'INS-UPD Others'!$A26),"")</f>
        <v>0.74142936559009298</v>
      </c>
      <c r="AA34" s="11">
        <f>IFERROR(AVERAGEIFS(RES_Others!AD$2:AD$999,RES_Others!$B$2:$B$999,"="&amp;$A$22,RES_Others!$C$2:$C$999,"="&amp;'INS-UPD Others'!$A26),"")</f>
        <v>0.64982188324182499</v>
      </c>
      <c r="AB34" s="11">
        <f>IFERROR(AVERAGEIFS(RES_Others!AE$2:AE$999,RES_Others!$B$2:$B$999,"="&amp;$A$22,RES_Others!$C$2:$C$999,"="&amp;'INS-UPD Others'!$A26),"")</f>
        <v>0.65557663909344199</v>
      </c>
      <c r="AC34" s="11">
        <f>IFERROR(AVERAGEIFS(RES_Others!AF$2:AF$999,RES_Others!$B$2:$B$999,"="&amp;$A$22,RES_Others!$C$2:$C$999,"="&amp;'INS-UPD Others'!$A26),"")</f>
        <v>0.63344039886993397</v>
      </c>
      <c r="AD34" s="11">
        <f>IFERROR(AVERAGEIFS(RES_Others!AG$2:AG$999,RES_Others!$B$2:$B$999,"="&amp;$A$22,RES_Others!$C$2:$C$999,"="&amp;'INS-UPD Others'!$A26),"")</f>
        <v>0.60000311077991297</v>
      </c>
      <c r="AE34" s="11">
        <f>IFERROR(AVERAGEIFS(RES_Others!AH$2:AH$999,RES_Others!$B$2:$B$999,"="&amp;$A$22,RES_Others!$C$2:$C$999,"="&amp;'INS-UPD Others'!$A26),"")</f>
        <v>0.69303636782091205</v>
      </c>
      <c r="AF34" s="11">
        <f>IFERROR(AVERAGEIFS(RES_Others!AI$2:AI$999,RES_Others!$B$2:$B$999,"="&amp;$A$22,RES_Others!$C$2:$C$999,"="&amp;'INS-UPD Others'!$A26),"")</f>
        <v>0.77359501105408701</v>
      </c>
      <c r="AG34" s="11">
        <f>IFERROR(AVERAGEIFS(RES_Others!AJ$2:AJ$999,RES_Others!$B$2:$B$999,"="&amp;$A$22,RES_Others!$C$2:$C$999,"="&amp;'INS-UPD Others'!$A26),"")</f>
        <v>0.63344039886993397</v>
      </c>
      <c r="AH34" s="11">
        <f>IFERROR(AVERAGEIFS(RES_Others!AK$2:AK$999,RES_Others!$B$2:$B$999,"="&amp;$A$22,RES_Others!$C$2:$C$999,"="&amp;'INS-UPD Others'!$A26),"")</f>
        <v>0.63344039886993397</v>
      </c>
      <c r="AI34" s="11">
        <f>IFERROR(AVERAGEIFS(RES_Others!AL$2:AL$999,RES_Others!$B$2:$B$999,"="&amp;$A$22,RES_Others!$C$2:$C$999,"="&amp;'INS-UPD Others'!$A26),"")</f>
        <v>0.67659419947729404</v>
      </c>
      <c r="AJ34" s="11">
        <f>IFERROR(AVERAGEIFS(RES_Others!AM$2:AM$999,RES_Others!$B$2:$B$999,"="&amp;$A$22,RES_Others!$C$2:$C$999,"="&amp;'INS-UPD Others'!$A26),"")</f>
        <v>0.63629085708376798</v>
      </c>
      <c r="AK34" s="11">
        <f>IFERROR(AVERAGEIFS(RES_Others!AN$2:AN$999,RES_Others!$B$2:$B$999,"="&amp;$A$22,RES_Others!$C$2:$C$999,"="&amp;'INS-UPD Others'!$A26),"")</f>
        <v>0.64982188324182499</v>
      </c>
      <c r="AL34" s="11">
        <f>IFERROR(AVERAGEIFS(RES_Others!AO$2:AO$999,RES_Others!$B$2:$B$999,"="&amp;$A$22,RES_Others!$C$2:$C$999,"="&amp;'INS-UPD Others'!$A26),"")</f>
        <v>0.57695961139964902</v>
      </c>
      <c r="AM34" s="11">
        <f>IFERROR(AVERAGEIFS(RES_Others!AP$2:AP$999,RES_Others!$B$2:$B$999,"="&amp;$A$22,RES_Others!$C$2:$C$999,"="&amp;'INS-UPD Others'!$A26),"")</f>
        <v>0.768770146880005</v>
      </c>
      <c r="AN34" s="11">
        <f>IFERROR(AVERAGEIFS(RES_Others!AQ$2:AQ$999,RES_Others!$B$2:$B$999,"="&amp;$A$22,RES_Others!$C$2:$C$999,"="&amp;'INS-UPD Others'!$A26),"")</f>
        <v>0.680539576458283</v>
      </c>
      <c r="AO34" s="11">
        <f>IFERROR(AVERAGEIFS(RES_Others!AR$2:AR$999,RES_Others!$B$2:$B$999,"="&amp;$A$22,RES_Others!$C$2:$C$999,"="&amp;'INS-UPD Others'!$A26),"")</f>
        <v>0.63344039886993397</v>
      </c>
      <c r="AP34" s="11">
        <f>IFERROR(AVERAGEIFS(RES_Others!AS$2:AS$999,RES_Others!$B$2:$B$999,"="&amp;$A$22,RES_Others!$C$2:$C$999,"="&amp;'INS-UPD Others'!$A26),"")</f>
        <v>0.64982188324182499</v>
      </c>
      <c r="AQ34" s="11">
        <f>IFERROR(AVERAGEIFS(RES_Others!AT$2:AT$999,RES_Others!$B$2:$B$999,"="&amp;$A$22,RES_Others!$C$2:$C$999,"="&amp;'INS-UPD Others'!$A26),"")</f>
        <v>0.74352221618578096</v>
      </c>
      <c r="AR34" s="11">
        <f>IFERROR(AVERAGEIFS(RES_Others!AU$2:AU$999,RES_Others!$B$2:$B$999,"="&amp;$A$22,RES_Others!$C$2:$C$999,"="&amp;'INS-UPD Others'!$A26),"")</f>
        <v>0.57036849757217301</v>
      </c>
      <c r="AS34" s="12">
        <f>IFERROR(AVERAGEIFS(RES_Others!AV$2:AV$999,RES_Others!$B$2:$B$999,"="&amp;$A$22,RES_Others!$C$2:$C$999,"="&amp;'INS-UPD Others'!$A26),"")</f>
        <v>0.70657715778410901</v>
      </c>
    </row>
    <row r="35" spans="9:45" ht="12.75">
      <c r="I35" s="10">
        <f>IFERROR(AVERAGEIFS(RES_Others!L$2:L$999,RES_Others!$B$2:$B$999,"="&amp;$A$22,RES_Others!$C$2:$C$999,"="&amp;'INS-UPD Others'!$A27),"")</f>
        <v>1.35065489320105</v>
      </c>
      <c r="J35" s="11">
        <f>IFERROR(AVERAGEIFS(RES_Others!M$2:M$999,RES_Others!$B$2:$B$999,"="&amp;$A$22,RES_Others!$C$2:$C$999,"="&amp;'INS-UPD Others'!$A27),"")</f>
        <v>1.4528305937164101</v>
      </c>
      <c r="K35" s="11">
        <f>IFERROR(AVERAGEIFS(RES_Others!N$2:N$999,RES_Others!$B$2:$B$999,"="&amp;$A$22,RES_Others!$C$2:$C$999,"="&amp;'INS-UPD Others'!$A27),"")</f>
        <v>1.35065489320105</v>
      </c>
      <c r="L35" s="11">
        <f>IFERROR(AVERAGEIFS(RES_Others!O$2:O$999,RES_Others!$B$2:$B$999,"="&amp;$A$22,RES_Others!$C$2:$C$999,"="&amp;'INS-UPD Others'!$A27),"")</f>
        <v>1.4858904731059499</v>
      </c>
      <c r="M35" s="11">
        <f>IFERROR(AVERAGEIFS(RES_Others!P$2:P$999,RES_Others!$B$2:$B$999,"="&amp;$A$22,RES_Others!$C$2:$C$999,"="&amp;'INS-UPD Others'!$A27),"")</f>
        <v>1.60975252692902</v>
      </c>
      <c r="N35" s="11">
        <f>IFERROR(AVERAGEIFS(RES_Others!Q$2:Q$999,RES_Others!$B$2:$B$999,"="&amp;$A$22,RES_Others!$C$2:$C$999,"="&amp;'INS-UPD Others'!$A27),"")</f>
        <v>1.4528305937164101</v>
      </c>
      <c r="O35" s="11">
        <f>IFERROR(AVERAGEIFS(RES_Others!R$2:R$999,RES_Others!$B$2:$B$999,"="&amp;$A$22,RES_Others!$C$2:$C$999,"="&amp;'INS-UPD Others'!$A27),"")</f>
        <v>1.7516789609619301</v>
      </c>
      <c r="P35" s="11">
        <f>IFERROR(AVERAGEIFS(RES_Others!S$2:S$999,RES_Others!$B$2:$B$999,"="&amp;$A$22,RES_Others!$C$2:$C$999,"="&amp;'INS-UPD Others'!$A27),"")</f>
        <v>1.19828571638232</v>
      </c>
      <c r="Q35" s="11">
        <f>IFERROR(AVERAGEIFS(RES_Others!T$2:T$999,RES_Others!$B$2:$B$999,"="&amp;$A$22,RES_Others!$C$2:$C$999,"="&amp;'INS-UPD Others'!$A27),"")</f>
        <v>1.3448908423427799</v>
      </c>
      <c r="R35" s="11">
        <f>IFERROR(AVERAGEIFS(RES_Others!U$2:U$999,RES_Others!$B$2:$B$999,"="&amp;$A$22,RES_Others!$C$2:$C$999,"="&amp;'INS-UPD Others'!$A27),"")</f>
        <v>1.3580896614240501</v>
      </c>
      <c r="S35" s="11">
        <f>IFERROR(AVERAGEIFS(RES_Others!V$2:V$999,RES_Others!$B$2:$B$999,"="&amp;$A$22,RES_Others!$C$2:$C$999,"="&amp;'INS-UPD Others'!$A27),"")</f>
        <v>1.57115635885105</v>
      </c>
      <c r="T35" s="11">
        <f>IFERROR(AVERAGEIFS(RES_Others!W$2:W$999,RES_Others!$B$2:$B$999,"="&amp;$A$22,RES_Others!$C$2:$C$999,"="&amp;'INS-UPD Others'!$A27),"")</f>
        <v>1.35065489320105</v>
      </c>
      <c r="U35" s="11">
        <f>IFERROR(AVERAGEIFS(RES_Others!X$2:X$999,RES_Others!$B$2:$B$999,"="&amp;$A$22,RES_Others!$C$2:$C$999,"="&amp;'INS-UPD Others'!$A27),"")</f>
        <v>1.63269843029955</v>
      </c>
      <c r="V35" s="11">
        <f>IFERROR(AVERAGEIFS(RES_Others!Y$2:Y$999,RES_Others!$B$2:$B$999,"="&amp;$A$22,RES_Others!$C$2:$C$999,"="&amp;'INS-UPD Others'!$A27),"")</f>
        <v>1.46097640517921</v>
      </c>
      <c r="W35" s="11">
        <f>IFERROR(AVERAGEIFS(RES_Others!Z$2:Z$999,RES_Others!$B$2:$B$999,"="&amp;$A$22,RES_Others!$C$2:$C$999,"="&amp;'INS-UPD Others'!$A27),"")</f>
        <v>1.5834953608665501</v>
      </c>
      <c r="X35" s="11">
        <f>IFERROR(AVERAGEIFS(RES_Others!AA$2:AA$999,RES_Others!$B$2:$B$999,"="&amp;$A$22,RES_Others!$C$2:$C$999,"="&amp;'INS-UPD Others'!$A27),"")</f>
        <v>1.4718270455272799</v>
      </c>
      <c r="Y35" s="11">
        <f>IFERROR(AVERAGEIFS(RES_Others!AB$2:AB$999,RES_Others!$B$2:$B$999,"="&amp;$A$22,RES_Others!$C$2:$C$999,"="&amp;'INS-UPD Others'!$A27),"")</f>
        <v>1.2406208204629801</v>
      </c>
      <c r="Z35" s="11">
        <f>IFERROR(AVERAGEIFS(RES_Others!AC$2:AC$999,RES_Others!$B$2:$B$999,"="&amp;$A$22,RES_Others!$C$2:$C$999,"="&amp;'INS-UPD Others'!$A27),"")</f>
        <v>1.5168224186119399</v>
      </c>
      <c r="AA35" s="11">
        <f>IFERROR(AVERAGEIFS(RES_Others!AD$2:AD$999,RES_Others!$B$2:$B$999,"="&amp;$A$22,RES_Others!$C$2:$C$999,"="&amp;'INS-UPD Others'!$A27),"")</f>
        <v>1.3802608987337299</v>
      </c>
      <c r="AB35" s="11">
        <f>IFERROR(AVERAGEIFS(RES_Others!AE$2:AE$999,RES_Others!$B$2:$B$999,"="&amp;$A$22,RES_Others!$C$2:$C$999,"="&amp;'INS-UPD Others'!$A27),"")</f>
        <v>1.35922119475577</v>
      </c>
      <c r="AC35" s="11">
        <f>IFERROR(AVERAGEIFS(RES_Others!AF$2:AF$999,RES_Others!$B$2:$B$999,"="&amp;$A$22,RES_Others!$C$2:$C$999,"="&amp;'INS-UPD Others'!$A27),"")</f>
        <v>1.35065489320105</v>
      </c>
      <c r="AD35" s="11">
        <f>IFERROR(AVERAGEIFS(RES_Others!AG$2:AG$999,RES_Others!$B$2:$B$999,"="&amp;$A$22,RES_Others!$C$2:$C$999,"="&amp;'INS-UPD Others'!$A27),"")</f>
        <v>1.2966457342621001</v>
      </c>
      <c r="AE35" s="11">
        <f>IFERROR(AVERAGEIFS(RES_Others!AH$2:AH$999,RES_Others!$B$2:$B$999,"="&amp;$A$22,RES_Others!$C$2:$C$999,"="&amp;'INS-UPD Others'!$A27),"")</f>
        <v>1.4336778026197501</v>
      </c>
      <c r="AF35" s="11">
        <f>IFERROR(AVERAGEIFS(RES_Others!AI$2:AI$999,RES_Others!$B$2:$B$999,"="&amp;$A$22,RES_Others!$C$2:$C$999,"="&amp;'INS-UPD Others'!$A27),"")</f>
        <v>1.5496890088914099</v>
      </c>
      <c r="AG35" s="11">
        <f>IFERROR(AVERAGEIFS(RES_Others!AJ$2:AJ$999,RES_Others!$B$2:$B$999,"="&amp;$A$22,RES_Others!$C$2:$C$999,"="&amp;'INS-UPD Others'!$A27),"")</f>
        <v>1.35065489320105</v>
      </c>
      <c r="AH35" s="11">
        <f>IFERROR(AVERAGEIFS(RES_Others!AK$2:AK$999,RES_Others!$B$2:$B$999,"="&amp;$A$22,RES_Others!$C$2:$C$999,"="&amp;'INS-UPD Others'!$A27),"")</f>
        <v>1.35065489320105</v>
      </c>
      <c r="AI35" s="11">
        <f>IFERROR(AVERAGEIFS(RES_Others!AL$2:AL$999,RES_Others!$B$2:$B$999,"="&amp;$A$22,RES_Others!$C$2:$C$999,"="&amp;'INS-UPD Others'!$A27),"")</f>
        <v>1.4233452445087</v>
      </c>
      <c r="AJ35" s="11">
        <f>IFERROR(AVERAGEIFS(RES_Others!AM$2:AM$999,RES_Others!$B$2:$B$999,"="&amp;$A$22,RES_Others!$C$2:$C$999,"="&amp;'INS-UPD Others'!$A27),"")</f>
        <v>1.35869501399</v>
      </c>
      <c r="AK35" s="11">
        <f>IFERROR(AVERAGEIFS(RES_Others!AN$2:AN$999,RES_Others!$B$2:$B$999,"="&amp;$A$22,RES_Others!$C$2:$C$999,"="&amp;'INS-UPD Others'!$A27),"")</f>
        <v>1.3802608987337299</v>
      </c>
      <c r="AL35" s="11">
        <f>IFERROR(AVERAGEIFS(RES_Others!AO$2:AO$999,RES_Others!$B$2:$B$999,"="&amp;$A$22,RES_Others!$C$2:$C$999,"="&amp;'INS-UPD Others'!$A27),"")</f>
        <v>1.25784880073383</v>
      </c>
      <c r="AM35" s="11">
        <f>IFERROR(AVERAGEIFS(RES_Others!AP$2:AP$999,RES_Others!$B$2:$B$999,"="&amp;$A$22,RES_Others!$C$2:$C$999,"="&amp;'INS-UPD Others'!$A27),"")</f>
        <v>1.5696323408050199</v>
      </c>
      <c r="AN35" s="11">
        <f>IFERROR(AVERAGEIFS(RES_Others!AQ$2:AQ$999,RES_Others!$B$2:$B$999,"="&amp;$A$22,RES_Others!$C$2:$C$999,"="&amp;'INS-UPD Others'!$A27),"")</f>
        <v>1.4106391648763399</v>
      </c>
      <c r="AO35" s="11">
        <f>IFERROR(AVERAGEIFS(RES_Others!AR$2:AR$999,RES_Others!$B$2:$B$999,"="&amp;$A$22,RES_Others!$C$2:$C$999,"="&amp;'INS-UPD Others'!$A27),"")</f>
        <v>1.35065489320105</v>
      </c>
      <c r="AP35" s="11">
        <f>IFERROR(AVERAGEIFS(RES_Others!AS$2:AS$999,RES_Others!$B$2:$B$999,"="&amp;$A$22,RES_Others!$C$2:$C$999,"="&amp;'INS-UPD Others'!$A27),"")</f>
        <v>1.3802608987337299</v>
      </c>
      <c r="AQ35" s="11">
        <f>IFERROR(AVERAGEIFS(RES_Others!AT$2:AT$999,RES_Others!$B$2:$B$999,"="&amp;$A$22,RES_Others!$C$2:$C$999,"="&amp;'INS-UPD Others'!$A27),"")</f>
        <v>1.5277628162852499</v>
      </c>
      <c r="AR35" s="11">
        <f>IFERROR(AVERAGEIFS(RES_Others!AU$2:AU$999,RES_Others!$B$2:$B$999,"="&amp;$A$22,RES_Others!$C$2:$C$999,"="&amp;'INS-UPD Others'!$A27),"")</f>
        <v>1.24471931678514</v>
      </c>
      <c r="AS35" s="12">
        <f>IFERROR(AVERAGEIFS(RES_Others!AV$2:AV$999,RES_Others!$B$2:$B$999,"="&amp;$A$22,RES_Others!$C$2:$C$999,"="&amp;'INS-UPD Others'!$A27),"")</f>
        <v>1.4703969481929</v>
      </c>
    </row>
    <row r="36" spans="9:45" ht="12.75">
      <c r="I36" s="10">
        <f>IFERROR(AVERAGEIFS(RES_Others!L$2:L$999,RES_Others!$B$2:$B$999,"="&amp;$A$22,RES_Others!$C$2:$C$999,"="&amp;'INS-UPD Others'!$A28),"")</f>
        <v>0.83333716359447496</v>
      </c>
      <c r="J36" s="11">
        <f>IFERROR(AVERAGEIFS(RES_Others!M$2:M$999,RES_Others!$B$2:$B$999,"="&amp;$A$22,RES_Others!$C$2:$C$999,"="&amp;'INS-UPD Others'!$A28),"")</f>
        <v>0.94166672990790801</v>
      </c>
      <c r="K36" s="11">
        <f>IFERROR(AVERAGEIFS(RES_Others!N$2:N$999,RES_Others!$B$2:$B$999,"="&amp;$A$22,RES_Others!$C$2:$C$999,"="&amp;'INS-UPD Others'!$A28),"")</f>
        <v>0.83333716359447496</v>
      </c>
      <c r="L36" s="11">
        <f>IFERROR(AVERAGEIFS(RES_Others!O$2:O$999,RES_Others!$B$2:$B$999,"="&amp;$A$22,RES_Others!$C$2:$C$999,"="&amp;'INS-UPD Others'!$A28),"")</f>
        <v>0.97750478646154304</v>
      </c>
      <c r="M36" s="11">
        <f>IFERROR(AVERAGEIFS(RES_Others!P$2:P$999,RES_Others!$B$2:$B$999,"="&amp;$A$22,RES_Others!$C$2:$C$999,"="&amp;'INS-UPD Others'!$A28),"")</f>
        <v>1.1191604596548299</v>
      </c>
      <c r="N36" s="11">
        <f>IFERROR(AVERAGEIFS(RES_Others!Q$2:Q$999,RES_Others!$B$2:$B$999,"="&amp;$A$22,RES_Others!$C$2:$C$999,"="&amp;'INS-UPD Others'!$A28),"")</f>
        <v>0.94166672990790801</v>
      </c>
      <c r="O36" s="11">
        <f>IFERROR(AVERAGEIFS(RES_Others!R$2:R$999,RES_Others!$B$2:$B$999,"="&amp;$A$22,RES_Others!$C$2:$C$999,"="&amp;'INS-UPD Others'!$A28),"")</f>
        <v>1.2892961280428801</v>
      </c>
      <c r="P36" s="11">
        <f>IFERROR(AVERAGEIFS(RES_Others!S$2:S$999,RES_Others!$B$2:$B$999,"="&amp;$A$22,RES_Others!$C$2:$C$999,"="&amp;'INS-UPD Others'!$A28),"")</f>
        <v>0.68135848037843805</v>
      </c>
      <c r="Q36" s="11">
        <f>IFERROR(AVERAGEIFS(RES_Others!T$2:T$999,RES_Others!$B$2:$B$999,"="&amp;$A$22,RES_Others!$C$2:$C$999,"="&amp;'INS-UPD Others'!$A28),"")</f>
        <v>0.82820056792845897</v>
      </c>
      <c r="R36" s="11">
        <f>IFERROR(AVERAGEIFS(RES_Others!U$2:U$999,RES_Others!$B$2:$B$999,"="&amp;$A$22,RES_Others!$C$2:$C$999,"="&amp;'INS-UPD Others'!$A28),"")</f>
        <v>0.84120604489432504</v>
      </c>
      <c r="S36" s="11">
        <f>IFERROR(AVERAGEIFS(RES_Others!V$2:V$999,RES_Others!$B$2:$B$999,"="&amp;$A$22,RES_Others!$C$2:$C$999,"="&amp;'INS-UPD Others'!$A28),"")</f>
        <v>1.05651609308376</v>
      </c>
      <c r="T36" s="11">
        <f>IFERROR(AVERAGEIFS(RES_Others!W$2:W$999,RES_Others!$B$2:$B$999,"="&amp;$A$22,RES_Others!$C$2:$C$999,"="&amp;'INS-UPD Others'!$A28),"")</f>
        <v>0.83333716359447496</v>
      </c>
      <c r="U36" s="11">
        <f>IFERROR(AVERAGEIFS(RES_Others!X$2:X$999,RES_Others!$B$2:$B$999,"="&amp;$A$22,RES_Others!$C$2:$C$999,"="&amp;'INS-UPD Others'!$A28),"")</f>
        <v>1.07732862191423</v>
      </c>
      <c r="V36" s="11">
        <f>IFERROR(AVERAGEIFS(RES_Others!Y$2:Y$999,RES_Others!$B$2:$B$999,"="&amp;$A$22,RES_Others!$C$2:$C$999,"="&amp;'INS-UPD Others'!$A28),"")</f>
        <v>0.95052782083245402</v>
      </c>
      <c r="W36" s="11">
        <f>IFERROR(AVERAGEIFS(RES_Others!Z$2:Z$999,RES_Others!$B$2:$B$999,"="&amp;$A$22,RES_Others!$C$2:$C$999,"="&amp;'INS-UPD Others'!$A28),"")</f>
        <v>1.0878365108030701</v>
      </c>
      <c r="X36" s="11">
        <f>IFERROR(AVERAGEIFS(RES_Others!AA$2:AA$999,RES_Others!$B$2:$B$999,"="&amp;$A$22,RES_Others!$C$2:$C$999,"="&amp;'INS-UPD Others'!$A28),"")</f>
        <v>0.96211546334488796</v>
      </c>
      <c r="Y36" s="11">
        <f>IFERROR(AVERAGEIFS(RES_Others!AB$2:AB$999,RES_Others!$B$2:$B$999,"="&amp;$A$22,RES_Others!$C$2:$C$999,"="&amp;'INS-UPD Others'!$A28),"")</f>
        <v>0.72018984946266196</v>
      </c>
      <c r="Z36" s="11">
        <f>IFERROR(AVERAGEIFS(RES_Others!AC$2:AC$999,RES_Others!$B$2:$B$999,"="&amp;$A$22,RES_Others!$C$2:$C$999,"="&amp;'INS-UPD Others'!$A28),"")</f>
        <v>1.0202179298113001</v>
      </c>
      <c r="AA36" s="11">
        <f>IFERROR(AVERAGEIFS(RES_Others!AD$2:AD$999,RES_Others!$B$2:$B$999,"="&amp;$A$22,RES_Others!$C$2:$C$999,"="&amp;'INS-UPD Others'!$A28),"")</f>
        <v>0.86444861462288503</v>
      </c>
      <c r="AB36" s="11">
        <f>IFERROR(AVERAGEIFS(RES_Others!AE$2:AE$999,RES_Others!$B$2:$B$999,"="&amp;$A$22,RES_Others!$C$2:$C$999,"="&amp;'INS-UPD Others'!$A28),"")</f>
        <v>0.87259243769696004</v>
      </c>
      <c r="AC36" s="11">
        <f>IFERROR(AVERAGEIFS(RES_Others!AF$2:AF$999,RES_Others!$B$2:$B$999,"="&amp;$A$22,RES_Others!$C$2:$C$999,"="&amp;'INS-UPD Others'!$A28),"")</f>
        <v>0.83333716359447496</v>
      </c>
      <c r="AD36" s="11">
        <f>IFERROR(AVERAGEIFS(RES_Others!AG$2:AG$999,RES_Others!$B$2:$B$999,"="&amp;$A$22,RES_Others!$C$2:$C$999,"="&amp;'INS-UPD Others'!$A28),"")</f>
        <v>0.77546576698782799</v>
      </c>
      <c r="AE36" s="11">
        <f>IFERROR(AVERAGEIFS(RES_Others!AH$2:AH$999,RES_Others!$B$2:$B$999,"="&amp;$A$22,RES_Others!$C$2:$C$999,"="&amp;'INS-UPD Others'!$A28),"")</f>
        <v>0.93736821886990296</v>
      </c>
      <c r="AF36" s="11">
        <f>IFERROR(AVERAGEIFS(RES_Others!AI$2:AI$999,RES_Others!$B$2:$B$999,"="&amp;$A$22,RES_Others!$C$2:$C$999,"="&amp;'INS-UPD Others'!$A28),"")</f>
        <v>1.0781964390206999</v>
      </c>
      <c r="AG36" s="11">
        <f>IFERROR(AVERAGEIFS(RES_Others!AJ$2:AJ$999,RES_Others!$B$2:$B$999,"="&amp;$A$22,RES_Others!$C$2:$C$999,"="&amp;'INS-UPD Others'!$A28),"")</f>
        <v>0.83333716359447496</v>
      </c>
      <c r="AH36" s="11">
        <f>IFERROR(AVERAGEIFS(RES_Others!AK$2:AK$999,RES_Others!$B$2:$B$999,"="&amp;$A$22,RES_Others!$C$2:$C$999,"="&amp;'INS-UPD Others'!$A28),"")</f>
        <v>0.83333716359447496</v>
      </c>
      <c r="AI36" s="11">
        <f>IFERROR(AVERAGEIFS(RES_Others!AL$2:AL$999,RES_Others!$B$2:$B$999,"="&amp;$A$22,RES_Others!$C$2:$C$999,"="&amp;'INS-UPD Others'!$A28),"")</f>
        <v>0.90854739419738095</v>
      </c>
      <c r="AJ36" s="11">
        <f>IFERROR(AVERAGEIFS(RES_Others!AM$2:AM$999,RES_Others!$B$2:$B$999,"="&amp;$A$22,RES_Others!$C$2:$C$999,"="&amp;'INS-UPD Others'!$A28),"")</f>
        <v>0.84158711927308805</v>
      </c>
      <c r="AK36" s="11">
        <f>IFERROR(AVERAGEIFS(RES_Others!AN$2:AN$999,RES_Others!$B$2:$B$999,"="&amp;$A$22,RES_Others!$C$2:$C$999,"="&amp;'INS-UPD Others'!$A28),"")</f>
        <v>0.86444861462288503</v>
      </c>
      <c r="AL36" s="11">
        <f>IFERROR(AVERAGEIFS(RES_Others!AO$2:AO$999,RES_Others!$B$2:$B$999,"="&amp;$A$22,RES_Others!$C$2:$C$999,"="&amp;'INS-UPD Others'!$A28),"")</f>
        <v>0.73776177411303201</v>
      </c>
      <c r="AM36" s="11">
        <f>IFERROR(AVERAGEIFS(RES_Others!AP$2:AP$999,RES_Others!$B$2:$B$999,"="&amp;$A$22,RES_Others!$C$2:$C$999,"="&amp;'INS-UPD Others'!$A28),"")</f>
        <v>1.0214794402849201</v>
      </c>
      <c r="AN36" s="11">
        <f>IFERROR(AVERAGEIFS(RES_Others!AQ$2:AQ$999,RES_Others!$B$2:$B$999,"="&amp;$A$22,RES_Others!$C$2:$C$999,"="&amp;'INS-UPD Others'!$A28),"")</f>
        <v>0.875859776626699</v>
      </c>
      <c r="AO36" s="11">
        <f>IFERROR(AVERAGEIFS(RES_Others!AR$2:AR$999,RES_Others!$B$2:$B$999,"="&amp;$A$22,RES_Others!$C$2:$C$999,"="&amp;'INS-UPD Others'!$A28),"")</f>
        <v>0.83333716359447496</v>
      </c>
      <c r="AP36" s="11">
        <f>IFERROR(AVERAGEIFS(RES_Others!AS$2:AS$999,RES_Others!$B$2:$B$999,"="&amp;$A$22,RES_Others!$C$2:$C$999,"="&amp;'INS-UPD Others'!$A28),"")</f>
        <v>0.86444861462288503</v>
      </c>
      <c r="AQ36" s="11">
        <f>IFERROR(AVERAGEIFS(RES_Others!AT$2:AT$999,RES_Others!$B$2:$B$999,"="&amp;$A$22,RES_Others!$C$2:$C$999,"="&amp;'INS-UPD Others'!$A28),"")</f>
        <v>1.0243632668585401</v>
      </c>
      <c r="AR36" s="11">
        <f>IFERROR(AVERAGEIFS(RES_Others!AU$2:AU$999,RES_Others!$B$2:$B$999,"="&amp;$A$22,RES_Others!$C$2:$C$999,"="&amp;'INS-UPD Others'!$A28),"")</f>
        <v>0.72592164543141102</v>
      </c>
      <c r="AS36" s="12">
        <f>IFERROR(AVERAGEIFS(RES_Others!AV$2:AV$999,RES_Others!$B$2:$B$999,"="&amp;$A$22,RES_Others!$C$2:$C$999,"="&amp;'INS-UPD Others'!$A28),"")</f>
        <v>0.96032574086298605</v>
      </c>
    </row>
    <row r="37" spans="9:45" ht="12.75">
      <c r="I37" s="13">
        <f>IFERROR(AVERAGEIFS(RES_Others!L$2:L$999,RES_Others!$B$2:$B$999,"="&amp;$A$22,RES_Others!$C$2:$C$999,"="&amp;'INS-UPD Others'!$A29),"")</f>
        <v>1.1383772480727501</v>
      </c>
      <c r="J37" s="14">
        <f>IFERROR(AVERAGEIFS(RES_Others!M$2:M$999,RES_Others!$B$2:$B$999,"="&amp;$A$22,RES_Others!$C$2:$C$999,"="&amp;'INS-UPD Others'!$A29),"")</f>
        <v>1.1826273836783101</v>
      </c>
      <c r="K37" s="14">
        <f>IFERROR(AVERAGEIFS(RES_Others!N$2:N$999,RES_Others!$B$2:$B$999,"="&amp;$A$22,RES_Others!$C$2:$C$999,"="&amp;'INS-UPD Others'!$A29),"")</f>
        <v>1.1383772480727501</v>
      </c>
      <c r="L37" s="14">
        <f>IFERROR(AVERAGEIFS(RES_Others!O$2:O$999,RES_Others!$B$2:$B$999,"="&amp;$A$22,RES_Others!$C$2:$C$999,"="&amp;'INS-UPD Others'!$A29),"")</f>
        <v>1.24461245309556</v>
      </c>
      <c r="M37" s="14">
        <f>IFERROR(AVERAGEIFS(RES_Others!P$2:P$999,RES_Others!$B$2:$B$999,"="&amp;$A$22,RES_Others!$C$2:$C$999,"="&amp;'INS-UPD Others'!$A29),"")</f>
        <v>1.6265523962650601</v>
      </c>
      <c r="N37" s="14">
        <f>IFERROR(AVERAGEIFS(RES_Others!Q$2:Q$999,RES_Others!$B$2:$B$999,"="&amp;$A$22,RES_Others!$C$2:$C$999,"="&amp;'INS-UPD Others'!$A29),"")</f>
        <v>1.1826273836783101</v>
      </c>
      <c r="O37" s="14">
        <f>IFERROR(AVERAGEIFS(RES_Others!R$2:R$999,RES_Others!$B$2:$B$999,"="&amp;$A$22,RES_Others!$C$2:$C$999,"="&amp;'INS-UPD Others'!$A29),"")</f>
        <v>1.74559072888871</v>
      </c>
      <c r="P37" s="14">
        <f>IFERROR(AVERAGEIFS(RES_Others!S$2:S$999,RES_Others!$B$2:$B$999,"="&amp;$A$22,RES_Others!$C$2:$C$999,"="&amp;'INS-UPD Others'!$A29),"")</f>
        <v>0.88069196836089503</v>
      </c>
      <c r="Q37" s="14">
        <f>IFERROR(AVERAGEIFS(RES_Others!T$2:T$999,RES_Others!$B$2:$B$999,"="&amp;$A$22,RES_Others!$C$2:$C$999,"="&amp;'INS-UPD Others'!$A29),"")</f>
        <v>1.0081829587757101</v>
      </c>
      <c r="R37" s="14">
        <f>IFERROR(AVERAGEIFS(RES_Others!U$2:U$999,RES_Others!$B$2:$B$999,"="&amp;$A$22,RES_Others!$C$2:$C$999,"="&amp;'INS-UPD Others'!$A29),"")</f>
        <v>1.01418484035558</v>
      </c>
      <c r="S37" s="14">
        <f>IFERROR(AVERAGEIFS(RES_Others!V$2:V$999,RES_Others!$B$2:$B$999,"="&amp;$A$22,RES_Others!$C$2:$C$999,"="&amp;'INS-UPD Others'!$A29),"")</f>
        <v>1.5334123638667201</v>
      </c>
      <c r="T37" s="14">
        <f>IFERROR(AVERAGEIFS(RES_Others!W$2:W$999,RES_Others!$B$2:$B$999,"="&amp;$A$22,RES_Others!$C$2:$C$999,"="&amp;'INS-UPD Others'!$A29),"")</f>
        <v>1.1383772480727501</v>
      </c>
      <c r="U37" s="14">
        <f>IFERROR(AVERAGEIFS(RES_Others!X$2:X$999,RES_Others!$B$2:$B$999,"="&amp;$A$22,RES_Others!$C$2:$C$999,"="&amp;'INS-UPD Others'!$A29),"")</f>
        <v>1.5224105424929599</v>
      </c>
      <c r="V37" s="14">
        <f>IFERROR(AVERAGEIFS(RES_Others!Y$2:Y$999,RES_Others!$B$2:$B$999,"="&amp;$A$22,RES_Others!$C$2:$C$999,"="&amp;'INS-UPD Others'!$A29),"")</f>
        <v>1.1805012115401501</v>
      </c>
      <c r="W37" s="14">
        <f>IFERROR(AVERAGEIFS(RES_Others!Z$2:Z$999,RES_Others!$B$2:$B$999,"="&amp;$A$22,RES_Others!$C$2:$C$999,"="&amp;'INS-UPD Others'!$A29),"")</f>
        <v>1.3991597071062001</v>
      </c>
      <c r="X37" s="14">
        <f>IFERROR(AVERAGEIFS(RES_Others!AA$2:AA$999,RES_Others!$B$2:$B$999,"="&amp;$A$22,RES_Others!$C$2:$C$999,"="&amp;'INS-UPD Others'!$A29),"")</f>
        <v>1.28992637005877</v>
      </c>
      <c r="Y37" s="14">
        <f>IFERROR(AVERAGEIFS(RES_Others!AB$2:AB$999,RES_Others!$B$2:$B$999,"="&amp;$A$22,RES_Others!$C$2:$C$999,"="&amp;'INS-UPD Others'!$A29),"")</f>
        <v>0.94616772726523601</v>
      </c>
      <c r="Z37" s="14">
        <f>IFERROR(AVERAGEIFS(RES_Others!AC$2:AC$999,RES_Others!$B$2:$B$999,"="&amp;$A$22,RES_Others!$C$2:$C$999,"="&amp;'INS-UPD Others'!$A29),"")</f>
        <v>1.3120957150321799</v>
      </c>
      <c r="AA37" s="14">
        <f>IFERROR(AVERAGEIFS(RES_Others!AD$2:AD$999,RES_Others!$B$2:$B$999,"="&amp;$A$22,RES_Others!$C$2:$C$999,"="&amp;'INS-UPD Others'!$A29),"")</f>
        <v>1.02825707670547</v>
      </c>
      <c r="AB37" s="14">
        <f>IFERROR(AVERAGEIFS(RES_Others!AE$2:AE$999,RES_Others!$B$2:$B$999,"="&amp;$A$22,RES_Others!$C$2:$C$999,"="&amp;'INS-UPD Others'!$A29),"")</f>
        <v>1.1310411880976901</v>
      </c>
      <c r="AC37" s="14">
        <f>IFERROR(AVERAGEIFS(RES_Others!AF$2:AF$999,RES_Others!$B$2:$B$999,"="&amp;$A$22,RES_Others!$C$2:$C$999,"="&amp;'INS-UPD Others'!$A29),"")</f>
        <v>1.1383772480727501</v>
      </c>
      <c r="AD37" s="14">
        <f>IFERROR(AVERAGEIFS(RES_Others!AG$2:AG$999,RES_Others!$B$2:$B$999,"="&amp;$A$22,RES_Others!$C$2:$C$999,"="&amp;'INS-UPD Others'!$A29),"")</f>
        <v>1.07344111447035</v>
      </c>
      <c r="AE37" s="14">
        <f>IFERROR(AVERAGEIFS(RES_Others!AH$2:AH$999,RES_Others!$B$2:$B$999,"="&amp;$A$22,RES_Others!$C$2:$C$999,"="&amp;'INS-UPD Others'!$A29),"")</f>
        <v>1.1521221532656201</v>
      </c>
      <c r="AF37" s="14">
        <f>IFERROR(AVERAGEIFS(RES_Others!AI$2:AI$999,RES_Others!$B$2:$B$999,"="&amp;$A$22,RES_Others!$C$2:$C$999,"="&amp;'INS-UPD Others'!$A29),"")</f>
        <v>1.5002997555330599</v>
      </c>
      <c r="AG37" s="14">
        <f>IFERROR(AVERAGEIFS(RES_Others!AJ$2:AJ$999,RES_Others!$B$2:$B$999,"="&amp;$A$22,RES_Others!$C$2:$C$999,"="&amp;'INS-UPD Others'!$A29),"")</f>
        <v>1.1383772480727501</v>
      </c>
      <c r="AH37" s="14">
        <f>IFERROR(AVERAGEIFS(RES_Others!AK$2:AK$999,RES_Others!$B$2:$B$999,"="&amp;$A$22,RES_Others!$C$2:$C$999,"="&amp;'INS-UPD Others'!$A29),"")</f>
        <v>1.1383772480727501</v>
      </c>
      <c r="AI37" s="14">
        <f>IFERROR(AVERAGEIFS(RES_Others!AL$2:AL$999,RES_Others!$B$2:$B$999,"="&amp;$A$22,RES_Others!$C$2:$C$999,"="&amp;'INS-UPD Others'!$A29),"")</f>
        <v>1.16965707424128</v>
      </c>
      <c r="AJ37" s="14">
        <f>IFERROR(AVERAGEIFS(RES_Others!AM$2:AM$999,RES_Others!$B$2:$B$999,"="&amp;$A$22,RES_Others!$C$2:$C$999,"="&amp;'INS-UPD Others'!$A29),"")</f>
        <v>1.0075968561816699</v>
      </c>
      <c r="AK37" s="14">
        <f>IFERROR(AVERAGEIFS(RES_Others!AN$2:AN$999,RES_Others!$B$2:$B$999,"="&amp;$A$22,RES_Others!$C$2:$C$999,"="&amp;'INS-UPD Others'!$A29),"")</f>
        <v>1.02825707670547</v>
      </c>
      <c r="AL37" s="14">
        <f>IFERROR(AVERAGEIFS(RES_Others!AO$2:AO$999,RES_Others!$B$2:$B$999,"="&amp;$A$22,RES_Others!$C$2:$C$999,"="&amp;'INS-UPD Others'!$A29),"")</f>
        <v>0.966265892862188</v>
      </c>
      <c r="AM37" s="14">
        <f>IFERROR(AVERAGEIFS(RES_Others!AP$2:AP$999,RES_Others!$B$2:$B$999,"="&amp;$A$22,RES_Others!$C$2:$C$999,"="&amp;'INS-UPD Others'!$A29),"")</f>
        <v>1.4367497168600301</v>
      </c>
      <c r="AN37" s="14">
        <f>IFERROR(AVERAGEIFS(RES_Others!AQ$2:AQ$999,RES_Others!$B$2:$B$999,"="&amp;$A$22,RES_Others!$C$2:$C$999,"="&amp;'INS-UPD Others'!$A29),"")</f>
        <v>1.28623896841712</v>
      </c>
      <c r="AO37" s="14">
        <f>IFERROR(AVERAGEIFS(RES_Others!AR$2:AR$999,RES_Others!$B$2:$B$999,"="&amp;$A$22,RES_Others!$C$2:$C$999,"="&amp;'INS-UPD Others'!$A29),"")</f>
        <v>1.1383772480727501</v>
      </c>
      <c r="AP37" s="14">
        <f>IFERROR(AVERAGEIFS(RES_Others!AS$2:AS$999,RES_Others!$B$2:$B$999,"="&amp;$A$22,RES_Others!$C$2:$C$999,"="&amp;'INS-UPD Others'!$A29),"")</f>
        <v>1.02825707670547</v>
      </c>
      <c r="AQ37" s="14">
        <f>IFERROR(AVERAGEIFS(RES_Others!AT$2:AT$999,RES_Others!$B$2:$B$999,"="&amp;$A$22,RES_Others!$C$2:$C$999,"="&amp;'INS-UPD Others'!$A29),"")</f>
        <v>1.33912071547254</v>
      </c>
      <c r="AR37" s="14">
        <f>IFERROR(AVERAGEIFS(RES_Others!AU$2:AU$999,RES_Others!$B$2:$B$999,"="&amp;$A$22,RES_Others!$C$2:$C$999,"="&amp;'INS-UPD Others'!$A29),"")</f>
        <v>0.94329318528499195</v>
      </c>
      <c r="AS37" s="15">
        <f>IFERROR(AVERAGEIFS(RES_Others!AV$2:AV$999,RES_Others!$B$2:$B$999,"="&amp;$A$22,RES_Others!$C$2:$C$999,"="&amp;'INS-UPD Others'!$A29),"")</f>
        <v>1.211948394218</v>
      </c>
    </row>
    <row r="40" spans="1:45" ht="12.7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2" spans="1:3" ht="15">
      <c r="A42" s="6" t="s">
        <v>114</v>
      </c>
      <c r="C42" s="4" t="s">
        <v>51</v>
      </c>
    </row>
    <row r="43" spans="3:45" ht="12.75">
      <c r="C43" t="s">
        <v>35</v>
      </c>
      <c r="D43" t="s">
        <v>48</v>
      </c>
      <c r="E43" t="s">
        <v>43</v>
      </c>
      <c r="F43" t="s">
        <v>39</v>
      </c>
      <c r="G43" t="s">
        <v>49</v>
      </c>
      <c r="H43" t="s">
        <v>46</v>
      </c>
      <c r="I43" t="str">
        <f>RES_SpHeat!L$1</f>
        <v>AL</v>
      </c>
      <c r="J43" t="str">
        <f>RES_SpHeat!M$1</f>
        <v>AT</v>
      </c>
      <c r="K43" t="str">
        <f>RES_SpHeat!N$1</f>
        <v>BA</v>
      </c>
      <c r="L43" t="str">
        <f>RES_SpHeat!O$1</f>
        <v>BE</v>
      </c>
      <c r="M43" t="str">
        <f>RES_SpHeat!P$1</f>
        <v>BG</v>
      </c>
      <c r="N43" t="str">
        <f>RES_SpHeat!Q$1</f>
        <v>CH</v>
      </c>
      <c r="O43" t="str">
        <f>RES_SpHeat!R$1</f>
        <v>CY</v>
      </c>
      <c r="P43" t="str">
        <f>RES_SpHeat!S$1</f>
        <v>CZ</v>
      </c>
      <c r="Q43" t="str">
        <f>RES_SpHeat!T$1</f>
        <v>DE</v>
      </c>
      <c r="R43" t="str">
        <f>RES_SpHeat!U$1</f>
        <v>DK</v>
      </c>
      <c r="S43" t="str">
        <f>RES_SpHeat!V$1</f>
        <v>EE</v>
      </c>
      <c r="T43" t="str">
        <f>RES_SpHeat!W$1</f>
        <v>EL</v>
      </c>
      <c r="U43" t="str">
        <f>RES_SpHeat!X$1</f>
        <v>ES</v>
      </c>
      <c r="V43" t="str">
        <f>RES_SpHeat!Y$1</f>
        <v>FI</v>
      </c>
      <c r="W43" t="str">
        <f>RES_SpHeat!Z$1</f>
        <v>FR</v>
      </c>
      <c r="X43" t="str">
        <f>RES_SpHeat!AA$1</f>
        <v>HR</v>
      </c>
      <c r="Y43" t="str">
        <f>RES_SpHeat!AB$1</f>
        <v>HU</v>
      </c>
      <c r="Z43" t="str">
        <f>RES_SpHeat!AC$1</f>
        <v>IE</v>
      </c>
      <c r="AA43" t="str">
        <f>RES_SpHeat!AD$1</f>
        <v>IS</v>
      </c>
      <c r="AB43" t="str">
        <f>RES_SpHeat!AE$1</f>
        <v>IT</v>
      </c>
      <c r="AC43" t="str">
        <f>RES_SpHeat!AF$1</f>
        <v>KS</v>
      </c>
      <c r="AD43" t="str">
        <f>RES_SpHeat!AG$1</f>
        <v>LT</v>
      </c>
      <c r="AE43" t="str">
        <f>RES_SpHeat!AH$1</f>
        <v>LU</v>
      </c>
      <c r="AF43" t="str">
        <f>RES_SpHeat!AI$1</f>
        <v>LV</v>
      </c>
      <c r="AG43" t="str">
        <f>RES_SpHeat!AJ$1</f>
        <v>ME</v>
      </c>
      <c r="AH43" t="str">
        <f>RES_SpHeat!AK$1</f>
        <v>MK</v>
      </c>
      <c r="AI43" t="str">
        <f>RES_SpHeat!AL$1</f>
        <v>MT</v>
      </c>
      <c r="AJ43" t="str">
        <f>RES_SpHeat!AM$1</f>
        <v>NL</v>
      </c>
      <c r="AK43" t="str">
        <f>RES_SpHeat!AN$1</f>
        <v>NO</v>
      </c>
      <c r="AL43" t="str">
        <f>RES_SpHeat!AO$1</f>
        <v>PL</v>
      </c>
      <c r="AM43" t="str">
        <f>RES_SpHeat!AP$1</f>
        <v>PT</v>
      </c>
      <c r="AN43" t="str">
        <f>RES_SpHeat!AQ$1</f>
        <v>RO</v>
      </c>
      <c r="AO43" t="str">
        <f>RES_SpHeat!AR$1</f>
        <v>RS</v>
      </c>
      <c r="AP43" t="str">
        <f>RES_SpHeat!AS$1</f>
        <v>SE</v>
      </c>
      <c r="AQ43" t="str">
        <f>RES_SpHeat!AT$1</f>
        <v>SI</v>
      </c>
      <c r="AR43" t="str">
        <f>RES_SpHeat!AU$1</f>
        <v>SK</v>
      </c>
      <c r="AS43" t="str">
        <f>RES_SpHeat!AV$1</f>
        <v>UK</v>
      </c>
    </row>
    <row r="44" spans="1:45" ht="15">
      <c r="A44" s="3" t="s">
        <v>182</v>
      </c>
      <c r="C44" t="s">
        <v>114</v>
      </c>
      <c r="D44" t="str">
        <f>A44</f>
        <v>C_ES-CK-*_BI*</v>
      </c>
      <c r="H44" s="37">
        <f>AVERAGE(I44:AS44)</f>
        <v>0.1293382041383927</v>
      </c>
      <c r="I44" s="38">
        <f>IFERROR(AVERAGEIFS(COM_All!L$2:L$999,COM_All!$B$2:$B$999,"="&amp;$A$42,COM_All!$C$2:$C$999,"="&amp;'INS-UPD Others'!$A44),"")</f>
        <v>0.16278113570971622</v>
      </c>
      <c r="J44" s="38">
        <f>IFERROR(AVERAGEIFS(COM_All!M$2:M$999,COM_All!$B$2:$B$999,"="&amp;$A$42,COM_All!$C$2:$C$999,"="&amp;'INS-UPD Others'!$A44),"")</f>
        <v>0.06460928848802848</v>
      </c>
      <c r="K44" s="38">
        <f>IFERROR(AVERAGEIFS(COM_All!N$2:N$999,COM_All!$B$2:$B$999,"="&amp;$A$42,COM_All!$C$2:$C$999,"="&amp;'INS-UPD Others'!$A44),"")</f>
        <v>0.010958480701871895</v>
      </c>
      <c r="L44" s="38">
        <f>IFERROR(AVERAGEIFS(COM_All!O$2:O$999,COM_All!$B$2:$B$999,"="&amp;$A$42,COM_All!$C$2:$C$999,"="&amp;'INS-UPD Others'!$A44),"")</f>
        <v>0.066347302726600846</v>
      </c>
      <c r="M44" s="38">
        <f>IFERROR(AVERAGEIFS(COM_All!P$2:P$999,COM_All!$B$2:$B$999,"="&amp;$A$42,COM_All!$C$2:$C$999,"="&amp;'INS-UPD Others'!$A44),"")</f>
        <v>0.23320714753818861</v>
      </c>
      <c r="N44" s="38">
        <f>IFERROR(AVERAGEIFS(COM_All!Q$2:Q$999,COM_All!$B$2:$B$999,"="&amp;$A$42,COM_All!$C$2:$C$999,"="&amp;'INS-UPD Others'!$A44),"")</f>
        <v>0.054127392070959318</v>
      </c>
      <c r="O44" s="38">
        <f>IFERROR(AVERAGEIFS(COM_All!R$2:R$999,COM_All!$B$2:$B$999,"="&amp;$A$42,COM_All!$C$2:$C$999,"="&amp;'INS-UPD Others'!$A44),"")</f>
        <v>0.059766682200331364</v>
      </c>
      <c r="P44" s="38">
        <f>IFERROR(AVERAGEIFS(COM_All!S$2:S$999,COM_All!$B$2:$B$999,"="&amp;$A$42,COM_All!$C$2:$C$999,"="&amp;'INS-UPD Others'!$A44),"")</f>
        <v>0.39712178575102952</v>
      </c>
      <c r="Q44" s="38">
        <f>IFERROR(AVERAGEIFS(COM_All!T$2:T$999,COM_All!$B$2:$B$999,"="&amp;$A$42,COM_All!$C$2:$C$999,"="&amp;'INS-UPD Others'!$A44),"")</f>
        <v>0.047785528107084967</v>
      </c>
      <c r="R44" s="38">
        <f>IFERROR(AVERAGEIFS(COM_All!U$2:U$999,COM_All!$B$2:$B$999,"="&amp;$A$42,COM_All!$C$2:$C$999,"="&amp;'INS-UPD Others'!$A44),"")</f>
        <v>0.10454016527233295</v>
      </c>
      <c r="S44" s="38">
        <f>IFERROR(AVERAGEIFS(COM_All!V$2:V$999,COM_All!$B$2:$B$999,"="&amp;$A$42,COM_All!$C$2:$C$999,"="&amp;'INS-UPD Others'!$A44),"")</f>
        <v>0.17305845597859762</v>
      </c>
      <c r="T44" s="38">
        <f>IFERROR(AVERAGEIFS(COM_All!W$2:W$999,COM_All!$B$2:$B$999,"="&amp;$A$42,COM_All!$C$2:$C$999,"="&amp;'INS-UPD Others'!$A44),"")</f>
        <v>0.06174836267655337</v>
      </c>
      <c r="U44" s="38">
        <f>IFERROR(AVERAGEIFS(COM_All!X$2:X$999,COM_All!$B$2:$B$999,"="&amp;$A$42,COM_All!$C$2:$C$999,"="&amp;'INS-UPD Others'!$A44),"")</f>
        <v>0.11875126163913022</v>
      </c>
      <c r="V44" s="38">
        <f>IFERROR(AVERAGEIFS(COM_All!Y$2:Y$999,COM_All!$B$2:$B$999,"="&amp;$A$42,COM_All!$C$2:$C$999,"="&amp;'INS-UPD Others'!$A44),"")</f>
        <v>0.057755579824958686</v>
      </c>
      <c r="W44" s="38">
        <f>IFERROR(AVERAGEIFS(COM_All!Z$2:Z$999,COM_All!$B$2:$B$999,"="&amp;$A$42,COM_All!$C$2:$C$999,"="&amp;'INS-UPD Others'!$A44),"")</f>
        <v>0.079989993333476853</v>
      </c>
      <c r="X44" s="38">
        <f>IFERROR(AVERAGEIFS(COM_All!AA$2:AA$999,COM_All!$B$2:$B$999,"="&amp;$A$42,COM_All!$C$2:$C$999,"="&amp;'INS-UPD Others'!$A44),"")</f>
        <v>0.1005078385817274</v>
      </c>
      <c r="Y44" s="38">
        <f>IFERROR(AVERAGEIFS(COM_All!AB$2:AB$999,COM_All!$B$2:$B$999,"="&amp;$A$42,COM_All!$C$2:$C$999,"="&amp;'INS-UPD Others'!$A44),"")</f>
        <v>0.061950629132117539</v>
      </c>
      <c r="Z44" s="38">
        <f>IFERROR(AVERAGEIFS(COM_All!AC$2:AC$999,COM_All!$B$2:$B$999,"="&amp;$A$42,COM_All!$C$2:$C$999,"="&amp;'INS-UPD Others'!$A44),"")</f>
        <v>0.050639526198225468</v>
      </c>
      <c r="AA44" s="38">
        <f>IFERROR(AVERAGEIFS(COM_All!AD$2:AD$999,COM_All!$B$2:$B$999,"="&amp;$A$42,COM_All!$C$2:$C$999,"="&amp;'INS-UPD Others'!$A44),"")</f>
        <v>0.020911109810490231</v>
      </c>
      <c r="AB44" s="38">
        <f>IFERROR(AVERAGEIFS(COM_All!AE$2:AE$999,COM_All!$B$2:$B$999,"="&amp;$A$42,COM_All!$C$2:$C$999,"="&amp;'INS-UPD Others'!$A44),"")</f>
        <v>0.14268919427674151</v>
      </c>
      <c r="AC44" s="38">
        <f>IFERROR(AVERAGEIFS(COM_All!AF$2:AF$999,COM_All!$B$2:$B$999,"="&amp;$A$42,COM_All!$C$2:$C$999,"="&amp;'INS-UPD Others'!$A44),"")</f>
        <v>0.12045069717879578</v>
      </c>
      <c r="AD44" s="38">
        <f>IFERROR(AVERAGEIFS(COM_All!AG$2:AG$999,COM_All!$B$2:$B$999,"="&amp;$A$42,COM_All!$C$2:$C$999,"="&amp;'INS-UPD Others'!$A44),"")</f>
        <v>0.10353391858768574</v>
      </c>
      <c r="AE44" s="38">
        <f>IFERROR(AVERAGEIFS(COM_All!AH$2:AH$999,COM_All!$B$2:$B$999,"="&amp;$A$42,COM_All!$C$2:$C$999,"="&amp;'INS-UPD Others'!$A44),"")</f>
        <v>0.03704844571738905</v>
      </c>
      <c r="AF44" s="38">
        <f>IFERROR(AVERAGEIFS(COM_All!AI$2:AI$999,COM_All!$B$2:$B$999,"="&amp;$A$42,COM_All!$C$2:$C$999,"="&amp;'INS-UPD Others'!$A44),"")</f>
        <v>0.12039647492324052</v>
      </c>
      <c r="AG44" s="38">
        <f>IFERROR(AVERAGEIFS(COM_All!AJ$2:AJ$999,COM_All!$B$2:$B$999,"="&amp;$A$42,COM_All!$C$2:$C$999,"="&amp;'INS-UPD Others'!$A44),"")</f>
        <v>0.1338556649642603</v>
      </c>
      <c r="AH44" s="38">
        <f>IFERROR(AVERAGEIFS(COM_All!AK$2:AK$999,COM_All!$B$2:$B$999,"="&amp;$A$42,COM_All!$C$2:$C$999,"="&amp;'INS-UPD Others'!$A44),"")</f>
        <v>0.093685362950807857</v>
      </c>
      <c r="AI44" s="38">
        <f>IFERROR(AVERAGEIFS(COM_All!AL$2:AL$999,COM_All!$B$2:$B$999,"="&amp;$A$42,COM_All!$C$2:$C$999,"="&amp;'INS-UPD Others'!$A44),"")</f>
        <v>0.067698506667243016</v>
      </c>
      <c r="AJ44" s="38">
        <f>IFERROR(AVERAGEIFS(COM_All!AM$2:AM$999,COM_All!$B$2:$B$999,"="&amp;$A$42,COM_All!$C$2:$C$999,"="&amp;'INS-UPD Others'!$A44),"")</f>
        <v>0.10875767854727011</v>
      </c>
      <c r="AK44" s="38">
        <f>IFERROR(AVERAGEIFS(COM_All!AN$2:AN$999,COM_All!$B$2:$B$999,"="&amp;$A$42,COM_All!$C$2:$C$999,"="&amp;'INS-UPD Others'!$A44),"")</f>
        <v>0.23873771315372039</v>
      </c>
      <c r="AL44" s="38">
        <f>IFERROR(AVERAGEIFS(COM_All!AO$2:AO$999,COM_All!$B$2:$B$999,"="&amp;$A$42,COM_All!$C$2:$C$999,"="&amp;'INS-UPD Others'!$A44),"")</f>
        <v>0.092535426396495174</v>
      </c>
      <c r="AM44" s="38">
        <f>IFERROR(AVERAGEIFS(COM_All!AP$2:AP$999,COM_All!$B$2:$B$999,"="&amp;$A$42,COM_All!$C$2:$C$999,"="&amp;'INS-UPD Others'!$A44),"")</f>
        <v>0.1107543586470776</v>
      </c>
      <c r="AN44" s="38">
        <f>IFERROR(AVERAGEIFS(COM_All!AQ$2:AQ$999,COM_All!$B$2:$B$999,"="&amp;$A$42,COM_All!$C$2:$C$999,"="&amp;'INS-UPD Others'!$A44),"")</f>
        <v>0.21806299518084873</v>
      </c>
      <c r="AO44" s="38">
        <f>IFERROR(AVERAGEIFS(COM_All!AR$2:AR$999,COM_All!$B$2:$B$999,"="&amp;$A$42,COM_All!$C$2:$C$999,"="&amp;'INS-UPD Others'!$A44),"")</f>
        <v>0.059119222633948074</v>
      </c>
      <c r="AP44" s="38">
        <f>IFERROR(AVERAGEIFS(COM_All!AS$2:AS$999,COM_All!$B$2:$B$999,"="&amp;$A$42,COM_All!$C$2:$C$999,"="&amp;'INS-UPD Others'!$A44),"")</f>
        <v>0.08975258847638394</v>
      </c>
      <c r="AQ44" s="38">
        <f>IFERROR(AVERAGEIFS(COM_All!AT$2:AT$999,COM_All!$B$2:$B$999,"="&amp;$A$42,COM_All!$C$2:$C$999,"="&amp;'INS-UPD Others'!$A44),"")</f>
        <v>0.075104216682088124</v>
      </c>
      <c r="AR44" s="38">
        <f>IFERROR(AVERAGEIFS(COM_All!AU$2:AU$999,COM_All!$B$2:$B$999,"="&amp;$A$42,COM_All!$C$2:$C$999,"="&amp;'INS-UPD Others'!$A44),"")</f>
        <v>0.97411167327378934</v>
      </c>
      <c r="AS44" s="39">
        <f>IFERROR(AVERAGEIFS(COM_All!AV$2:AV$999,COM_All!$B$2:$B$999,"="&amp;$A$42,COM_All!$C$2:$C$999,"="&amp;'INS-UPD Others'!$A44),"")</f>
        <v>0.072661749121323352</v>
      </c>
    </row>
    <row r="45" spans="1:45" ht="15">
      <c r="A45" s="3" t="s">
        <v>183</v>
      </c>
      <c r="C45" t="s">
        <v>114</v>
      </c>
      <c r="D45" t="str">
        <f>A45</f>
        <v>C_ES-CK-*_EL*</v>
      </c>
      <c r="H45" s="40">
        <f>AVERAGE(I45:AS45)</f>
        <v>0.1293382041383927</v>
      </c>
      <c r="I45" s="2">
        <f>IFERROR(AVERAGEIFS(COM_All!L$2:L$999,COM_All!$B$2:$B$999,"="&amp;$A$42,COM_All!$C$2:$C$999,"="&amp;'INS-UPD Others'!$A45),"")</f>
        <v>0.16278113570971622</v>
      </c>
      <c r="J45" s="2">
        <f>IFERROR(AVERAGEIFS(COM_All!M$2:M$999,COM_All!$B$2:$B$999,"="&amp;$A$42,COM_All!$C$2:$C$999,"="&amp;'INS-UPD Others'!$A45),"")</f>
        <v>0.06460928848802848</v>
      </c>
      <c r="K45" s="2">
        <f>IFERROR(AVERAGEIFS(COM_All!N$2:N$999,COM_All!$B$2:$B$999,"="&amp;$A$42,COM_All!$C$2:$C$999,"="&amp;'INS-UPD Others'!$A45),"")</f>
        <v>0.010958480701871895</v>
      </c>
      <c r="L45" s="2">
        <f>IFERROR(AVERAGEIFS(COM_All!O$2:O$999,COM_All!$B$2:$B$999,"="&amp;$A$42,COM_All!$C$2:$C$999,"="&amp;'INS-UPD Others'!$A45),"")</f>
        <v>0.066347302726600846</v>
      </c>
      <c r="M45" s="2">
        <f>IFERROR(AVERAGEIFS(COM_All!P$2:P$999,COM_All!$B$2:$B$999,"="&amp;$A$42,COM_All!$C$2:$C$999,"="&amp;'INS-UPD Others'!$A45),"")</f>
        <v>0.23320714753818861</v>
      </c>
      <c r="N45" s="2">
        <f>IFERROR(AVERAGEIFS(COM_All!Q$2:Q$999,COM_All!$B$2:$B$999,"="&amp;$A$42,COM_All!$C$2:$C$999,"="&amp;'INS-UPD Others'!$A45),"")</f>
        <v>0.054127392070959318</v>
      </c>
      <c r="O45" s="2">
        <f>IFERROR(AVERAGEIFS(COM_All!R$2:R$999,COM_All!$B$2:$B$999,"="&amp;$A$42,COM_All!$C$2:$C$999,"="&amp;'INS-UPD Others'!$A45),"")</f>
        <v>0.059766682200331364</v>
      </c>
      <c r="P45" s="2">
        <f>IFERROR(AVERAGEIFS(COM_All!S$2:S$999,COM_All!$B$2:$B$999,"="&amp;$A$42,COM_All!$C$2:$C$999,"="&amp;'INS-UPD Others'!$A45),"")</f>
        <v>0.39712178575102952</v>
      </c>
      <c r="Q45" s="2">
        <f>IFERROR(AVERAGEIFS(COM_All!T$2:T$999,COM_All!$B$2:$B$999,"="&amp;$A$42,COM_All!$C$2:$C$999,"="&amp;'INS-UPD Others'!$A45),"")</f>
        <v>0.047785528107084967</v>
      </c>
      <c r="R45" s="2">
        <f>IFERROR(AVERAGEIFS(COM_All!U$2:U$999,COM_All!$B$2:$B$999,"="&amp;$A$42,COM_All!$C$2:$C$999,"="&amp;'INS-UPD Others'!$A45),"")</f>
        <v>0.10454016527233295</v>
      </c>
      <c r="S45" s="2">
        <f>IFERROR(AVERAGEIFS(COM_All!V$2:V$999,COM_All!$B$2:$B$999,"="&amp;$A$42,COM_All!$C$2:$C$999,"="&amp;'INS-UPD Others'!$A45),"")</f>
        <v>0.17305845597859762</v>
      </c>
      <c r="T45" s="2">
        <f>IFERROR(AVERAGEIFS(COM_All!W$2:W$999,COM_All!$B$2:$B$999,"="&amp;$A$42,COM_All!$C$2:$C$999,"="&amp;'INS-UPD Others'!$A45),"")</f>
        <v>0.06174836267655337</v>
      </c>
      <c r="U45" s="2">
        <f>IFERROR(AVERAGEIFS(COM_All!X$2:X$999,COM_All!$B$2:$B$999,"="&amp;$A$42,COM_All!$C$2:$C$999,"="&amp;'INS-UPD Others'!$A45),"")</f>
        <v>0.11875126163913022</v>
      </c>
      <c r="V45" s="2">
        <f>IFERROR(AVERAGEIFS(COM_All!Y$2:Y$999,COM_All!$B$2:$B$999,"="&amp;$A$42,COM_All!$C$2:$C$999,"="&amp;'INS-UPD Others'!$A45),"")</f>
        <v>0.057755579824958686</v>
      </c>
      <c r="W45" s="2">
        <f>IFERROR(AVERAGEIFS(COM_All!Z$2:Z$999,COM_All!$B$2:$B$999,"="&amp;$A$42,COM_All!$C$2:$C$999,"="&amp;'INS-UPD Others'!$A45),"")</f>
        <v>0.079989993333476853</v>
      </c>
      <c r="X45" s="2">
        <f>IFERROR(AVERAGEIFS(COM_All!AA$2:AA$999,COM_All!$B$2:$B$999,"="&amp;$A$42,COM_All!$C$2:$C$999,"="&amp;'INS-UPD Others'!$A45),"")</f>
        <v>0.1005078385817274</v>
      </c>
      <c r="Y45" s="2">
        <f>IFERROR(AVERAGEIFS(COM_All!AB$2:AB$999,COM_All!$B$2:$B$999,"="&amp;$A$42,COM_All!$C$2:$C$999,"="&amp;'INS-UPD Others'!$A45),"")</f>
        <v>0.061950629132117539</v>
      </c>
      <c r="Z45" s="2">
        <f>IFERROR(AVERAGEIFS(COM_All!AC$2:AC$999,COM_All!$B$2:$B$999,"="&amp;$A$42,COM_All!$C$2:$C$999,"="&amp;'INS-UPD Others'!$A45),"")</f>
        <v>0.050639526198225468</v>
      </c>
      <c r="AA45" s="2">
        <f>IFERROR(AVERAGEIFS(COM_All!AD$2:AD$999,COM_All!$B$2:$B$999,"="&amp;$A$42,COM_All!$C$2:$C$999,"="&amp;'INS-UPD Others'!$A45),"")</f>
        <v>0.020911109810490231</v>
      </c>
      <c r="AB45" s="2">
        <f>IFERROR(AVERAGEIFS(COM_All!AE$2:AE$999,COM_All!$B$2:$B$999,"="&amp;$A$42,COM_All!$C$2:$C$999,"="&amp;'INS-UPD Others'!$A45),"")</f>
        <v>0.14268919427674151</v>
      </c>
      <c r="AC45" s="2">
        <f>IFERROR(AVERAGEIFS(COM_All!AF$2:AF$999,COM_All!$B$2:$B$999,"="&amp;$A$42,COM_All!$C$2:$C$999,"="&amp;'INS-UPD Others'!$A45),"")</f>
        <v>0.12045069717879578</v>
      </c>
      <c r="AD45" s="2">
        <f>IFERROR(AVERAGEIFS(COM_All!AG$2:AG$999,COM_All!$B$2:$B$999,"="&amp;$A$42,COM_All!$C$2:$C$999,"="&amp;'INS-UPD Others'!$A45),"")</f>
        <v>0.10353391858768574</v>
      </c>
      <c r="AE45" s="2">
        <f>IFERROR(AVERAGEIFS(COM_All!AH$2:AH$999,COM_All!$B$2:$B$999,"="&amp;$A$42,COM_All!$C$2:$C$999,"="&amp;'INS-UPD Others'!$A45),"")</f>
        <v>0.03704844571738905</v>
      </c>
      <c r="AF45" s="2">
        <f>IFERROR(AVERAGEIFS(COM_All!AI$2:AI$999,COM_All!$B$2:$B$999,"="&amp;$A$42,COM_All!$C$2:$C$999,"="&amp;'INS-UPD Others'!$A45),"")</f>
        <v>0.12039647492324052</v>
      </c>
      <c r="AG45" s="2">
        <f>IFERROR(AVERAGEIFS(COM_All!AJ$2:AJ$999,COM_All!$B$2:$B$999,"="&amp;$A$42,COM_All!$C$2:$C$999,"="&amp;'INS-UPD Others'!$A45),"")</f>
        <v>0.1338556649642603</v>
      </c>
      <c r="AH45" s="2">
        <f>IFERROR(AVERAGEIFS(COM_All!AK$2:AK$999,COM_All!$B$2:$B$999,"="&amp;$A$42,COM_All!$C$2:$C$999,"="&amp;'INS-UPD Others'!$A45),"")</f>
        <v>0.093685362950807857</v>
      </c>
      <c r="AI45" s="2">
        <f>IFERROR(AVERAGEIFS(COM_All!AL$2:AL$999,COM_All!$B$2:$B$999,"="&amp;$A$42,COM_All!$C$2:$C$999,"="&amp;'INS-UPD Others'!$A45),"")</f>
        <v>0.067698506667243016</v>
      </c>
      <c r="AJ45" s="2">
        <f>IFERROR(AVERAGEIFS(COM_All!AM$2:AM$999,COM_All!$B$2:$B$999,"="&amp;$A$42,COM_All!$C$2:$C$999,"="&amp;'INS-UPD Others'!$A45),"")</f>
        <v>0.10875767854727011</v>
      </c>
      <c r="AK45" s="2">
        <f>IFERROR(AVERAGEIFS(COM_All!AN$2:AN$999,COM_All!$B$2:$B$999,"="&amp;$A$42,COM_All!$C$2:$C$999,"="&amp;'INS-UPD Others'!$A45),"")</f>
        <v>0.23873771315372039</v>
      </c>
      <c r="AL45" s="2">
        <f>IFERROR(AVERAGEIFS(COM_All!AO$2:AO$999,COM_All!$B$2:$B$999,"="&amp;$A$42,COM_All!$C$2:$C$999,"="&amp;'INS-UPD Others'!$A45),"")</f>
        <v>0.092535426396495174</v>
      </c>
      <c r="AM45" s="2">
        <f>IFERROR(AVERAGEIFS(COM_All!AP$2:AP$999,COM_All!$B$2:$B$999,"="&amp;$A$42,COM_All!$C$2:$C$999,"="&amp;'INS-UPD Others'!$A45),"")</f>
        <v>0.1107543586470776</v>
      </c>
      <c r="AN45" s="2">
        <f>IFERROR(AVERAGEIFS(COM_All!AQ$2:AQ$999,COM_All!$B$2:$B$999,"="&amp;$A$42,COM_All!$C$2:$C$999,"="&amp;'INS-UPD Others'!$A45),"")</f>
        <v>0.21806299518084873</v>
      </c>
      <c r="AO45" s="2">
        <f>IFERROR(AVERAGEIFS(COM_All!AR$2:AR$999,COM_All!$B$2:$B$999,"="&amp;$A$42,COM_All!$C$2:$C$999,"="&amp;'INS-UPD Others'!$A45),"")</f>
        <v>0.059119222633948074</v>
      </c>
      <c r="AP45" s="2">
        <f>IFERROR(AVERAGEIFS(COM_All!AS$2:AS$999,COM_All!$B$2:$B$999,"="&amp;$A$42,COM_All!$C$2:$C$999,"="&amp;'INS-UPD Others'!$A45),"")</f>
        <v>0.08975258847638394</v>
      </c>
      <c r="AQ45" s="2">
        <f>IFERROR(AVERAGEIFS(COM_All!AT$2:AT$999,COM_All!$B$2:$B$999,"="&amp;$A$42,COM_All!$C$2:$C$999,"="&amp;'INS-UPD Others'!$A45),"")</f>
        <v>0.075104216682088124</v>
      </c>
      <c r="AR45" s="2">
        <f>IFERROR(AVERAGEIFS(COM_All!AU$2:AU$999,COM_All!$B$2:$B$999,"="&amp;$A$42,COM_All!$C$2:$C$999,"="&amp;'INS-UPD Others'!$A45),"")</f>
        <v>0.97411167327378934</v>
      </c>
      <c r="AS45" s="41">
        <f>IFERROR(AVERAGEIFS(COM_All!AV$2:AV$999,COM_All!$B$2:$B$999,"="&amp;$A$42,COM_All!$C$2:$C$999,"="&amp;'INS-UPD Others'!$A45),"")</f>
        <v>0.072661749121323352</v>
      </c>
    </row>
    <row r="46" spans="1:45" ht="15">
      <c r="A46" s="3" t="s">
        <v>184</v>
      </c>
      <c r="C46" t="s">
        <v>114</v>
      </c>
      <c r="D46" t="str">
        <f>A46</f>
        <v>C_ES-CK-*_GA*</v>
      </c>
      <c r="H46" s="40">
        <f>AVERAGE(I46:AS46)</f>
        <v>0.1293382041383927</v>
      </c>
      <c r="I46" s="2">
        <f>IFERROR(AVERAGEIFS(COM_All!L$2:L$999,COM_All!$B$2:$B$999,"="&amp;$A$42,COM_All!$C$2:$C$999,"="&amp;'INS-UPD Others'!$A46),"")</f>
        <v>0.16278113570971622</v>
      </c>
      <c r="J46" s="2">
        <f>IFERROR(AVERAGEIFS(COM_All!M$2:M$999,COM_All!$B$2:$B$999,"="&amp;$A$42,COM_All!$C$2:$C$999,"="&amp;'INS-UPD Others'!$A46),"")</f>
        <v>0.06460928848802848</v>
      </c>
      <c r="K46" s="2">
        <f>IFERROR(AVERAGEIFS(COM_All!N$2:N$999,COM_All!$B$2:$B$999,"="&amp;$A$42,COM_All!$C$2:$C$999,"="&amp;'INS-UPD Others'!$A46),"")</f>
        <v>0.010958480701871895</v>
      </c>
      <c r="L46" s="2">
        <f>IFERROR(AVERAGEIFS(COM_All!O$2:O$999,COM_All!$B$2:$B$999,"="&amp;$A$42,COM_All!$C$2:$C$999,"="&amp;'INS-UPD Others'!$A46),"")</f>
        <v>0.066347302726600846</v>
      </c>
      <c r="M46" s="2">
        <f>IFERROR(AVERAGEIFS(COM_All!P$2:P$999,COM_All!$B$2:$B$999,"="&amp;$A$42,COM_All!$C$2:$C$999,"="&amp;'INS-UPD Others'!$A46),"")</f>
        <v>0.23320714753818861</v>
      </c>
      <c r="N46" s="2">
        <f>IFERROR(AVERAGEIFS(COM_All!Q$2:Q$999,COM_All!$B$2:$B$999,"="&amp;$A$42,COM_All!$C$2:$C$999,"="&amp;'INS-UPD Others'!$A46),"")</f>
        <v>0.054127392070959318</v>
      </c>
      <c r="O46" s="2">
        <f>IFERROR(AVERAGEIFS(COM_All!R$2:R$999,COM_All!$B$2:$B$999,"="&amp;$A$42,COM_All!$C$2:$C$999,"="&amp;'INS-UPD Others'!$A46),"")</f>
        <v>0.059766682200331364</v>
      </c>
      <c r="P46" s="2">
        <f>IFERROR(AVERAGEIFS(COM_All!S$2:S$999,COM_All!$B$2:$B$999,"="&amp;$A$42,COM_All!$C$2:$C$999,"="&amp;'INS-UPD Others'!$A46),"")</f>
        <v>0.39712178575102952</v>
      </c>
      <c r="Q46" s="2">
        <f>IFERROR(AVERAGEIFS(COM_All!T$2:T$999,COM_All!$B$2:$B$999,"="&amp;$A$42,COM_All!$C$2:$C$999,"="&amp;'INS-UPD Others'!$A46),"")</f>
        <v>0.047785528107084967</v>
      </c>
      <c r="R46" s="2">
        <f>IFERROR(AVERAGEIFS(COM_All!U$2:U$999,COM_All!$B$2:$B$999,"="&amp;$A$42,COM_All!$C$2:$C$999,"="&amp;'INS-UPD Others'!$A46),"")</f>
        <v>0.10454016527233295</v>
      </c>
      <c r="S46" s="2">
        <f>IFERROR(AVERAGEIFS(COM_All!V$2:V$999,COM_All!$B$2:$B$999,"="&amp;$A$42,COM_All!$C$2:$C$999,"="&amp;'INS-UPD Others'!$A46),"")</f>
        <v>0.17305845597859762</v>
      </c>
      <c r="T46" s="2">
        <f>IFERROR(AVERAGEIFS(COM_All!W$2:W$999,COM_All!$B$2:$B$999,"="&amp;$A$42,COM_All!$C$2:$C$999,"="&amp;'INS-UPD Others'!$A46),"")</f>
        <v>0.06174836267655337</v>
      </c>
      <c r="U46" s="2">
        <f>IFERROR(AVERAGEIFS(COM_All!X$2:X$999,COM_All!$B$2:$B$999,"="&amp;$A$42,COM_All!$C$2:$C$999,"="&amp;'INS-UPD Others'!$A46),"")</f>
        <v>0.11875126163913022</v>
      </c>
      <c r="V46" s="2">
        <f>IFERROR(AVERAGEIFS(COM_All!Y$2:Y$999,COM_All!$B$2:$B$999,"="&amp;$A$42,COM_All!$C$2:$C$999,"="&amp;'INS-UPD Others'!$A46),"")</f>
        <v>0.057755579824958686</v>
      </c>
      <c r="W46" s="2">
        <f>IFERROR(AVERAGEIFS(COM_All!Z$2:Z$999,COM_All!$B$2:$B$999,"="&amp;$A$42,COM_All!$C$2:$C$999,"="&amp;'INS-UPD Others'!$A46),"")</f>
        <v>0.079989993333476853</v>
      </c>
      <c r="X46" s="2">
        <f>IFERROR(AVERAGEIFS(COM_All!AA$2:AA$999,COM_All!$B$2:$B$999,"="&amp;$A$42,COM_All!$C$2:$C$999,"="&amp;'INS-UPD Others'!$A46),"")</f>
        <v>0.1005078385817274</v>
      </c>
      <c r="Y46" s="2">
        <f>IFERROR(AVERAGEIFS(COM_All!AB$2:AB$999,COM_All!$B$2:$B$999,"="&amp;$A$42,COM_All!$C$2:$C$999,"="&amp;'INS-UPD Others'!$A46),"")</f>
        <v>0.061950629132117539</v>
      </c>
      <c r="Z46" s="2">
        <f>IFERROR(AVERAGEIFS(COM_All!AC$2:AC$999,COM_All!$B$2:$B$999,"="&amp;$A$42,COM_All!$C$2:$C$999,"="&amp;'INS-UPD Others'!$A46),"")</f>
        <v>0.050639526198225468</v>
      </c>
      <c r="AA46" s="2">
        <f>IFERROR(AVERAGEIFS(COM_All!AD$2:AD$999,COM_All!$B$2:$B$999,"="&amp;$A$42,COM_All!$C$2:$C$999,"="&amp;'INS-UPD Others'!$A46),"")</f>
        <v>0.020911109810490231</v>
      </c>
      <c r="AB46" s="2">
        <f>IFERROR(AVERAGEIFS(COM_All!AE$2:AE$999,COM_All!$B$2:$B$999,"="&amp;$A$42,COM_All!$C$2:$C$999,"="&amp;'INS-UPD Others'!$A46),"")</f>
        <v>0.14268919427674151</v>
      </c>
      <c r="AC46" s="2">
        <f>IFERROR(AVERAGEIFS(COM_All!AF$2:AF$999,COM_All!$B$2:$B$999,"="&amp;$A$42,COM_All!$C$2:$C$999,"="&amp;'INS-UPD Others'!$A46),"")</f>
        <v>0.12045069717879578</v>
      </c>
      <c r="AD46" s="2">
        <f>IFERROR(AVERAGEIFS(COM_All!AG$2:AG$999,COM_All!$B$2:$B$999,"="&amp;$A$42,COM_All!$C$2:$C$999,"="&amp;'INS-UPD Others'!$A46),"")</f>
        <v>0.10353391858768574</v>
      </c>
      <c r="AE46" s="2">
        <f>IFERROR(AVERAGEIFS(COM_All!AH$2:AH$999,COM_All!$B$2:$B$999,"="&amp;$A$42,COM_All!$C$2:$C$999,"="&amp;'INS-UPD Others'!$A46),"")</f>
        <v>0.03704844571738905</v>
      </c>
      <c r="AF46" s="2">
        <f>IFERROR(AVERAGEIFS(COM_All!AI$2:AI$999,COM_All!$B$2:$B$999,"="&amp;$A$42,COM_All!$C$2:$C$999,"="&amp;'INS-UPD Others'!$A46),"")</f>
        <v>0.12039647492324052</v>
      </c>
      <c r="AG46" s="2">
        <f>IFERROR(AVERAGEIFS(COM_All!AJ$2:AJ$999,COM_All!$B$2:$B$999,"="&amp;$A$42,COM_All!$C$2:$C$999,"="&amp;'INS-UPD Others'!$A46),"")</f>
        <v>0.1338556649642603</v>
      </c>
      <c r="AH46" s="2">
        <f>IFERROR(AVERAGEIFS(COM_All!AK$2:AK$999,COM_All!$B$2:$B$999,"="&amp;$A$42,COM_All!$C$2:$C$999,"="&amp;'INS-UPD Others'!$A46),"")</f>
        <v>0.093685362950807857</v>
      </c>
      <c r="AI46" s="2">
        <f>IFERROR(AVERAGEIFS(COM_All!AL$2:AL$999,COM_All!$B$2:$B$999,"="&amp;$A$42,COM_All!$C$2:$C$999,"="&amp;'INS-UPD Others'!$A46),"")</f>
        <v>0.067698506667243016</v>
      </c>
      <c r="AJ46" s="2">
        <f>IFERROR(AVERAGEIFS(COM_All!AM$2:AM$999,COM_All!$B$2:$B$999,"="&amp;$A$42,COM_All!$C$2:$C$999,"="&amp;'INS-UPD Others'!$A46),"")</f>
        <v>0.10875767854727011</v>
      </c>
      <c r="AK46" s="2">
        <f>IFERROR(AVERAGEIFS(COM_All!AN$2:AN$999,COM_All!$B$2:$B$999,"="&amp;$A$42,COM_All!$C$2:$C$999,"="&amp;'INS-UPD Others'!$A46),"")</f>
        <v>0.23873771315372039</v>
      </c>
      <c r="AL46" s="2">
        <f>IFERROR(AVERAGEIFS(COM_All!AO$2:AO$999,COM_All!$B$2:$B$999,"="&amp;$A$42,COM_All!$C$2:$C$999,"="&amp;'INS-UPD Others'!$A46),"")</f>
        <v>0.092535426396495174</v>
      </c>
      <c r="AM46" s="2">
        <f>IFERROR(AVERAGEIFS(COM_All!AP$2:AP$999,COM_All!$B$2:$B$999,"="&amp;$A$42,COM_All!$C$2:$C$999,"="&amp;'INS-UPD Others'!$A46),"")</f>
        <v>0.1107543586470776</v>
      </c>
      <c r="AN46" s="2">
        <f>IFERROR(AVERAGEIFS(COM_All!AQ$2:AQ$999,COM_All!$B$2:$B$999,"="&amp;$A$42,COM_All!$C$2:$C$999,"="&amp;'INS-UPD Others'!$A46),"")</f>
        <v>0.21806299518084873</v>
      </c>
      <c r="AO46" s="2">
        <f>IFERROR(AVERAGEIFS(COM_All!AR$2:AR$999,COM_All!$B$2:$B$999,"="&amp;$A$42,COM_All!$C$2:$C$999,"="&amp;'INS-UPD Others'!$A46),"")</f>
        <v>0.059119222633948074</v>
      </c>
      <c r="AP46" s="2">
        <f>IFERROR(AVERAGEIFS(COM_All!AS$2:AS$999,COM_All!$B$2:$B$999,"="&amp;$A$42,COM_All!$C$2:$C$999,"="&amp;'INS-UPD Others'!$A46),"")</f>
        <v>0.08975258847638394</v>
      </c>
      <c r="AQ46" s="2">
        <f>IFERROR(AVERAGEIFS(COM_All!AT$2:AT$999,COM_All!$B$2:$B$999,"="&amp;$A$42,COM_All!$C$2:$C$999,"="&amp;'INS-UPD Others'!$A46),"")</f>
        <v>0.075104216682088124</v>
      </c>
      <c r="AR46" s="2">
        <f>IFERROR(AVERAGEIFS(COM_All!AU$2:AU$999,COM_All!$B$2:$B$999,"="&amp;$A$42,COM_All!$C$2:$C$999,"="&amp;'INS-UPD Others'!$A46),"")</f>
        <v>0.97411167327378934</v>
      </c>
      <c r="AS46" s="41">
        <f>IFERROR(AVERAGEIFS(COM_All!AV$2:AV$999,COM_All!$B$2:$B$999,"="&amp;$A$42,COM_All!$C$2:$C$999,"="&amp;'INS-UPD Others'!$A46),"")</f>
        <v>0.072661749121323352</v>
      </c>
    </row>
    <row r="47" spans="1:45" ht="15">
      <c r="A47" s="3" t="s">
        <v>185</v>
      </c>
      <c r="C47" t="s">
        <v>114</v>
      </c>
      <c r="D47" t="str">
        <f>A47</f>
        <v>C_ES-CK-*_LP*</v>
      </c>
      <c r="H47" s="42">
        <f>AVERAGE(I47:AS47)</f>
        <v>0.1293382041383927</v>
      </c>
      <c r="I47" s="43">
        <f>IFERROR(AVERAGEIFS(COM_All!L$2:L$999,COM_All!$B$2:$B$999,"="&amp;$A$42,COM_All!$C$2:$C$999,"="&amp;'INS-UPD Others'!$A47),"")</f>
        <v>0.16278113570971622</v>
      </c>
      <c r="J47" s="43">
        <f>IFERROR(AVERAGEIFS(COM_All!M$2:M$999,COM_All!$B$2:$B$999,"="&amp;$A$42,COM_All!$C$2:$C$999,"="&amp;'INS-UPD Others'!$A47),"")</f>
        <v>0.06460928848802848</v>
      </c>
      <c r="K47" s="43">
        <f>IFERROR(AVERAGEIFS(COM_All!N$2:N$999,COM_All!$B$2:$B$999,"="&amp;$A$42,COM_All!$C$2:$C$999,"="&amp;'INS-UPD Others'!$A47),"")</f>
        <v>0.010958480701871895</v>
      </c>
      <c r="L47" s="43">
        <f>IFERROR(AVERAGEIFS(COM_All!O$2:O$999,COM_All!$B$2:$B$999,"="&amp;$A$42,COM_All!$C$2:$C$999,"="&amp;'INS-UPD Others'!$A47),"")</f>
        <v>0.066347302726600846</v>
      </c>
      <c r="M47" s="43">
        <f>IFERROR(AVERAGEIFS(COM_All!P$2:P$999,COM_All!$B$2:$B$999,"="&amp;$A$42,COM_All!$C$2:$C$999,"="&amp;'INS-UPD Others'!$A47),"")</f>
        <v>0.23320714753818861</v>
      </c>
      <c r="N47" s="43">
        <f>IFERROR(AVERAGEIFS(COM_All!Q$2:Q$999,COM_All!$B$2:$B$999,"="&amp;$A$42,COM_All!$C$2:$C$999,"="&amp;'INS-UPD Others'!$A47),"")</f>
        <v>0.054127392070959318</v>
      </c>
      <c r="O47" s="43">
        <f>IFERROR(AVERAGEIFS(COM_All!R$2:R$999,COM_All!$B$2:$B$999,"="&amp;$A$42,COM_All!$C$2:$C$999,"="&amp;'INS-UPD Others'!$A47),"")</f>
        <v>0.059766682200331364</v>
      </c>
      <c r="P47" s="43">
        <f>IFERROR(AVERAGEIFS(COM_All!S$2:S$999,COM_All!$B$2:$B$999,"="&amp;$A$42,COM_All!$C$2:$C$999,"="&amp;'INS-UPD Others'!$A47),"")</f>
        <v>0.39712178575102952</v>
      </c>
      <c r="Q47" s="43">
        <f>IFERROR(AVERAGEIFS(COM_All!T$2:T$999,COM_All!$B$2:$B$999,"="&amp;$A$42,COM_All!$C$2:$C$999,"="&amp;'INS-UPD Others'!$A47),"")</f>
        <v>0.047785528107084967</v>
      </c>
      <c r="R47" s="43">
        <f>IFERROR(AVERAGEIFS(COM_All!U$2:U$999,COM_All!$B$2:$B$999,"="&amp;$A$42,COM_All!$C$2:$C$999,"="&amp;'INS-UPD Others'!$A47),"")</f>
        <v>0.10454016527233295</v>
      </c>
      <c r="S47" s="43">
        <f>IFERROR(AVERAGEIFS(COM_All!V$2:V$999,COM_All!$B$2:$B$999,"="&amp;$A$42,COM_All!$C$2:$C$999,"="&amp;'INS-UPD Others'!$A47),"")</f>
        <v>0.17305845597859762</v>
      </c>
      <c r="T47" s="43">
        <f>IFERROR(AVERAGEIFS(COM_All!W$2:W$999,COM_All!$B$2:$B$999,"="&amp;$A$42,COM_All!$C$2:$C$999,"="&amp;'INS-UPD Others'!$A47),"")</f>
        <v>0.06174836267655337</v>
      </c>
      <c r="U47" s="43">
        <f>IFERROR(AVERAGEIFS(COM_All!X$2:X$999,COM_All!$B$2:$B$999,"="&amp;$A$42,COM_All!$C$2:$C$999,"="&amp;'INS-UPD Others'!$A47),"")</f>
        <v>0.11875126163913022</v>
      </c>
      <c r="V47" s="43">
        <f>IFERROR(AVERAGEIFS(COM_All!Y$2:Y$999,COM_All!$B$2:$B$999,"="&amp;$A$42,COM_All!$C$2:$C$999,"="&amp;'INS-UPD Others'!$A47),"")</f>
        <v>0.057755579824958686</v>
      </c>
      <c r="W47" s="43">
        <f>IFERROR(AVERAGEIFS(COM_All!Z$2:Z$999,COM_All!$B$2:$B$999,"="&amp;$A$42,COM_All!$C$2:$C$999,"="&amp;'INS-UPD Others'!$A47),"")</f>
        <v>0.079989993333476853</v>
      </c>
      <c r="X47" s="43">
        <f>IFERROR(AVERAGEIFS(COM_All!AA$2:AA$999,COM_All!$B$2:$B$999,"="&amp;$A$42,COM_All!$C$2:$C$999,"="&amp;'INS-UPD Others'!$A47),"")</f>
        <v>0.1005078385817274</v>
      </c>
      <c r="Y47" s="43">
        <f>IFERROR(AVERAGEIFS(COM_All!AB$2:AB$999,COM_All!$B$2:$B$999,"="&amp;$A$42,COM_All!$C$2:$C$999,"="&amp;'INS-UPD Others'!$A47),"")</f>
        <v>0.061950629132117539</v>
      </c>
      <c r="Z47" s="43">
        <f>IFERROR(AVERAGEIFS(COM_All!AC$2:AC$999,COM_All!$B$2:$B$999,"="&amp;$A$42,COM_All!$C$2:$C$999,"="&amp;'INS-UPD Others'!$A47),"")</f>
        <v>0.050639526198225468</v>
      </c>
      <c r="AA47" s="43">
        <f>IFERROR(AVERAGEIFS(COM_All!AD$2:AD$999,COM_All!$B$2:$B$999,"="&amp;$A$42,COM_All!$C$2:$C$999,"="&amp;'INS-UPD Others'!$A47),"")</f>
        <v>0.020911109810490231</v>
      </c>
      <c r="AB47" s="43">
        <f>IFERROR(AVERAGEIFS(COM_All!AE$2:AE$999,COM_All!$B$2:$B$999,"="&amp;$A$42,COM_All!$C$2:$C$999,"="&amp;'INS-UPD Others'!$A47),"")</f>
        <v>0.14268919427674151</v>
      </c>
      <c r="AC47" s="43">
        <f>IFERROR(AVERAGEIFS(COM_All!AF$2:AF$999,COM_All!$B$2:$B$999,"="&amp;$A$42,COM_All!$C$2:$C$999,"="&amp;'INS-UPD Others'!$A47),"")</f>
        <v>0.12045069717879578</v>
      </c>
      <c r="AD47" s="43">
        <f>IFERROR(AVERAGEIFS(COM_All!AG$2:AG$999,COM_All!$B$2:$B$999,"="&amp;$A$42,COM_All!$C$2:$C$999,"="&amp;'INS-UPD Others'!$A47),"")</f>
        <v>0.10353391858768574</v>
      </c>
      <c r="AE47" s="43">
        <f>IFERROR(AVERAGEIFS(COM_All!AH$2:AH$999,COM_All!$B$2:$B$999,"="&amp;$A$42,COM_All!$C$2:$C$999,"="&amp;'INS-UPD Others'!$A47),"")</f>
        <v>0.03704844571738905</v>
      </c>
      <c r="AF47" s="43">
        <f>IFERROR(AVERAGEIFS(COM_All!AI$2:AI$999,COM_All!$B$2:$B$999,"="&amp;$A$42,COM_All!$C$2:$C$999,"="&amp;'INS-UPD Others'!$A47),"")</f>
        <v>0.12039647492324052</v>
      </c>
      <c r="AG47" s="43">
        <f>IFERROR(AVERAGEIFS(COM_All!AJ$2:AJ$999,COM_All!$B$2:$B$999,"="&amp;$A$42,COM_All!$C$2:$C$999,"="&amp;'INS-UPD Others'!$A47),"")</f>
        <v>0.1338556649642603</v>
      </c>
      <c r="AH47" s="43">
        <f>IFERROR(AVERAGEIFS(COM_All!AK$2:AK$999,COM_All!$B$2:$B$999,"="&amp;$A$42,COM_All!$C$2:$C$999,"="&amp;'INS-UPD Others'!$A47),"")</f>
        <v>0.093685362950807857</v>
      </c>
      <c r="AI47" s="43">
        <f>IFERROR(AVERAGEIFS(COM_All!AL$2:AL$999,COM_All!$B$2:$B$999,"="&amp;$A$42,COM_All!$C$2:$C$999,"="&amp;'INS-UPD Others'!$A47),"")</f>
        <v>0.067698506667243016</v>
      </c>
      <c r="AJ47" s="43">
        <f>IFERROR(AVERAGEIFS(COM_All!AM$2:AM$999,COM_All!$B$2:$B$999,"="&amp;$A$42,COM_All!$C$2:$C$999,"="&amp;'INS-UPD Others'!$A47),"")</f>
        <v>0.10875767854727011</v>
      </c>
      <c r="AK47" s="43">
        <f>IFERROR(AVERAGEIFS(COM_All!AN$2:AN$999,COM_All!$B$2:$B$999,"="&amp;$A$42,COM_All!$C$2:$C$999,"="&amp;'INS-UPD Others'!$A47),"")</f>
        <v>0.23873771315372039</v>
      </c>
      <c r="AL47" s="43">
        <f>IFERROR(AVERAGEIFS(COM_All!AO$2:AO$999,COM_All!$B$2:$B$999,"="&amp;$A$42,COM_All!$C$2:$C$999,"="&amp;'INS-UPD Others'!$A47),"")</f>
        <v>0.092535426396495174</v>
      </c>
      <c r="AM47" s="43">
        <f>IFERROR(AVERAGEIFS(COM_All!AP$2:AP$999,COM_All!$B$2:$B$999,"="&amp;$A$42,COM_All!$C$2:$C$999,"="&amp;'INS-UPD Others'!$A47),"")</f>
        <v>0.1107543586470776</v>
      </c>
      <c r="AN47" s="43">
        <f>IFERROR(AVERAGEIFS(COM_All!AQ$2:AQ$999,COM_All!$B$2:$B$999,"="&amp;$A$42,COM_All!$C$2:$C$999,"="&amp;'INS-UPD Others'!$A47),"")</f>
        <v>0.21806299518084873</v>
      </c>
      <c r="AO47" s="43">
        <f>IFERROR(AVERAGEIFS(COM_All!AR$2:AR$999,COM_All!$B$2:$B$999,"="&amp;$A$42,COM_All!$C$2:$C$999,"="&amp;'INS-UPD Others'!$A47),"")</f>
        <v>0.059119222633948074</v>
      </c>
      <c r="AP47" s="43">
        <f>IFERROR(AVERAGEIFS(COM_All!AS$2:AS$999,COM_All!$B$2:$B$999,"="&amp;$A$42,COM_All!$C$2:$C$999,"="&amp;'INS-UPD Others'!$A47),"")</f>
        <v>0.08975258847638394</v>
      </c>
      <c r="AQ47" s="43">
        <f>IFERROR(AVERAGEIFS(COM_All!AT$2:AT$999,COM_All!$B$2:$B$999,"="&amp;$A$42,COM_All!$C$2:$C$999,"="&amp;'INS-UPD Others'!$A47),"")</f>
        <v>0.075104216682088124</v>
      </c>
      <c r="AR47" s="43">
        <f>IFERROR(AVERAGEIFS(COM_All!AU$2:AU$999,COM_All!$B$2:$B$999,"="&amp;$A$42,COM_All!$C$2:$C$999,"="&amp;'INS-UPD Others'!$A47),"")</f>
        <v>0.97411167327378934</v>
      </c>
      <c r="AS47" s="44">
        <f>IFERROR(AVERAGEIFS(COM_All!AV$2:AV$999,COM_All!$B$2:$B$999,"="&amp;$A$42,COM_All!$C$2:$C$999,"="&amp;'INS-UPD Others'!$A47),"")</f>
        <v>0.072661749121323352</v>
      </c>
    </row>
    <row r="50" spans="1:3" ht="15">
      <c r="A50" s="6" t="s">
        <v>29</v>
      </c>
      <c r="C50" s="4" t="s">
        <v>51</v>
      </c>
    </row>
    <row r="51" spans="3:45" ht="12.75">
      <c r="C51" t="s">
        <v>35</v>
      </c>
      <c r="D51" t="s">
        <v>48</v>
      </c>
      <c r="E51" t="s">
        <v>43</v>
      </c>
      <c r="F51" t="s">
        <v>39</v>
      </c>
      <c r="G51" t="s">
        <v>49</v>
      </c>
      <c r="H51" t="s">
        <v>46</v>
      </c>
      <c r="I51" t="str">
        <f>RES_SpHeat!L$1</f>
        <v>AL</v>
      </c>
      <c r="J51" t="str">
        <f>RES_SpHeat!M$1</f>
        <v>AT</v>
      </c>
      <c r="K51" t="str">
        <f>RES_SpHeat!N$1</f>
        <v>BA</v>
      </c>
      <c r="L51" t="str">
        <f>RES_SpHeat!O$1</f>
        <v>BE</v>
      </c>
      <c r="M51" t="str">
        <f>RES_SpHeat!P$1</f>
        <v>BG</v>
      </c>
      <c r="N51" t="str">
        <f>RES_SpHeat!Q$1</f>
        <v>CH</v>
      </c>
      <c r="O51" t="str">
        <f>RES_SpHeat!R$1</f>
        <v>CY</v>
      </c>
      <c r="P51" t="str">
        <f>RES_SpHeat!S$1</f>
        <v>CZ</v>
      </c>
      <c r="Q51" t="str">
        <f>RES_SpHeat!T$1</f>
        <v>DE</v>
      </c>
      <c r="R51" t="str">
        <f>RES_SpHeat!U$1</f>
        <v>DK</v>
      </c>
      <c r="S51" t="str">
        <f>RES_SpHeat!V$1</f>
        <v>EE</v>
      </c>
      <c r="T51" t="str">
        <f>RES_SpHeat!W$1</f>
        <v>EL</v>
      </c>
      <c r="U51" t="str">
        <f>RES_SpHeat!X$1</f>
        <v>ES</v>
      </c>
      <c r="V51" t="str">
        <f>RES_SpHeat!Y$1</f>
        <v>FI</v>
      </c>
      <c r="W51" t="str">
        <f>RES_SpHeat!Z$1</f>
        <v>FR</v>
      </c>
      <c r="X51" t="str">
        <f>RES_SpHeat!AA$1</f>
        <v>HR</v>
      </c>
      <c r="Y51" t="str">
        <f>RES_SpHeat!AB$1</f>
        <v>HU</v>
      </c>
      <c r="Z51" t="str">
        <f>RES_SpHeat!AC$1</f>
        <v>IE</v>
      </c>
      <c r="AA51" t="str">
        <f>RES_SpHeat!AD$1</f>
        <v>IS</v>
      </c>
      <c r="AB51" t="str">
        <f>RES_SpHeat!AE$1</f>
        <v>IT</v>
      </c>
      <c r="AC51" t="str">
        <f>RES_SpHeat!AF$1</f>
        <v>KS</v>
      </c>
      <c r="AD51" t="str">
        <f>RES_SpHeat!AG$1</f>
        <v>LT</v>
      </c>
      <c r="AE51" t="str">
        <f>RES_SpHeat!AH$1</f>
        <v>LU</v>
      </c>
      <c r="AF51" t="str">
        <f>RES_SpHeat!AI$1</f>
        <v>LV</v>
      </c>
      <c r="AG51" t="str">
        <f>RES_SpHeat!AJ$1</f>
        <v>ME</v>
      </c>
      <c r="AH51" t="str">
        <f>RES_SpHeat!AK$1</f>
        <v>MK</v>
      </c>
      <c r="AI51" t="str">
        <f>RES_SpHeat!AL$1</f>
        <v>MT</v>
      </c>
      <c r="AJ51" t="str">
        <f>RES_SpHeat!AM$1</f>
        <v>NL</v>
      </c>
      <c r="AK51" t="str">
        <f>RES_SpHeat!AN$1</f>
        <v>NO</v>
      </c>
      <c r="AL51" t="str">
        <f>RES_SpHeat!AO$1</f>
        <v>PL</v>
      </c>
      <c r="AM51" t="str">
        <f>RES_SpHeat!AP$1</f>
        <v>PT</v>
      </c>
      <c r="AN51" t="str">
        <f>RES_SpHeat!AQ$1</f>
        <v>RO</v>
      </c>
      <c r="AO51" t="str">
        <f>RES_SpHeat!AR$1</f>
        <v>RS</v>
      </c>
      <c r="AP51" t="str">
        <f>RES_SpHeat!AS$1</f>
        <v>SE</v>
      </c>
      <c r="AQ51" t="str">
        <f>RES_SpHeat!AT$1</f>
        <v>SI</v>
      </c>
      <c r="AR51" t="str">
        <f>RES_SpHeat!AU$1</f>
        <v>SK</v>
      </c>
      <c r="AS51" t="str">
        <f>RES_SpHeat!AV$1</f>
        <v>UK</v>
      </c>
    </row>
    <row r="52" spans="1:45" ht="15">
      <c r="A52" s="3" t="str">
        <f>A44</f>
        <v>C_ES-CK-*_BI*</v>
      </c>
      <c r="C52" t="s">
        <v>29</v>
      </c>
      <c r="D52" t="str">
        <f>A52</f>
        <v>C_ES-CK-*_BI*</v>
      </c>
      <c r="H52" s="37"/>
      <c r="I52" s="45" t="str">
        <f>IF(I57&lt;&gt;"","*"&amp;I57/$Q$57,"")</f>
        <v>*1</v>
      </c>
      <c r="J52" s="45" t="str">
        <f t="shared" si="9" ref="J52:AS52">IF(J57&lt;&gt;"","*"&amp;J57/$Q$57,"")</f>
        <v>*0.560941328697752</v>
      </c>
      <c r="K52" s="45" t="str">
        <f t="shared" si="9"/>
        <v>*1</v>
      </c>
      <c r="L52" s="45" t="str">
        <f t="shared" si="9"/>
        <v>*0.602577061824231</v>
      </c>
      <c r="M52" s="45" t="str">
        <f t="shared" si="9"/>
        <v>*0.523941680743</v>
      </c>
      <c r="N52" s="45" t="str">
        <f t="shared" si="9"/>
        <v>*1</v>
      </c>
      <c r="O52" s="45" t="str">
        <f t="shared" si="9"/>
        <v>*0.557421874259978</v>
      </c>
      <c r="P52" s="45" t="str">
        <f t="shared" si="9"/>
        <v>*0.546328978101988</v>
      </c>
      <c r="Q52" s="64" t="str">
        <f>IF(Q57&lt;&gt;"","*"&amp;Q57,"")</f>
        <v>*0.65</v>
      </c>
      <c r="R52" s="45" t="str">
        <f t="shared" si="9"/>
        <v>*0.519595824591171</v>
      </c>
      <c r="S52" s="45" t="str">
        <f t="shared" si="9"/>
        <v>*0.519750137606108</v>
      </c>
      <c r="T52" s="45" t="str">
        <f t="shared" si="9"/>
        <v>*1</v>
      </c>
      <c r="U52" s="45" t="str">
        <f t="shared" si="9"/>
        <v>*0.507528390702906</v>
      </c>
      <c r="V52" s="45" t="str">
        <f t="shared" si="9"/>
        <v>*0.506362808218815</v>
      </c>
      <c r="W52" s="45" t="str">
        <f t="shared" si="9"/>
        <v>*0.542634647510889</v>
      </c>
      <c r="X52" s="45" t="str">
        <f t="shared" si="9"/>
        <v>*0.560213826805249</v>
      </c>
      <c r="Y52" s="45" t="str">
        <f t="shared" si="9"/>
        <v>*0.582179228568466</v>
      </c>
      <c r="Z52" s="45" t="str">
        <f t="shared" si="9"/>
        <v>*0.554077585916348</v>
      </c>
      <c r="AA52" s="45" t="str">
        <f t="shared" si="9"/>
        <v>*0.519595824591171</v>
      </c>
      <c r="AB52" s="45" t="str">
        <f t="shared" si="9"/>
        <v>*1</v>
      </c>
      <c r="AC52" s="45" t="str">
        <f t="shared" si="9"/>
        <v>*1</v>
      </c>
      <c r="AD52" s="45" t="str">
        <f t="shared" si="9"/>
        <v>*0.546327650128202</v>
      </c>
      <c r="AE52" s="45" t="str">
        <f t="shared" si="9"/>
        <v>*1</v>
      </c>
      <c r="AF52" s="45" t="str">
        <f t="shared" si="9"/>
        <v>*0.554244781732934</v>
      </c>
      <c r="AG52" s="45" t="str">
        <f t="shared" si="9"/>
        <v>*1</v>
      </c>
      <c r="AH52" s="45" t="str">
        <f t="shared" si="9"/>
        <v>*1</v>
      </c>
      <c r="AI52" s="45" t="str">
        <f t="shared" si="9"/>
        <v>*1</v>
      </c>
      <c r="AJ52" s="45" t="str">
        <f t="shared" si="9"/>
        <v>*0.5609421818856</v>
      </c>
      <c r="AK52" s="45" t="str">
        <f t="shared" si="9"/>
        <v>*0.519595824591171</v>
      </c>
      <c r="AL52" s="45" t="str">
        <f t="shared" si="9"/>
        <v>*0.554243090965335</v>
      </c>
      <c r="AM52" s="45" t="str">
        <f t="shared" si="9"/>
        <v>*1</v>
      </c>
      <c r="AN52" s="45" t="str">
        <f t="shared" si="9"/>
        <v>*1</v>
      </c>
      <c r="AO52" s="45" t="str">
        <f t="shared" si="9"/>
        <v>*1</v>
      </c>
      <c r="AP52" s="45" t="str">
        <f t="shared" si="9"/>
        <v>*0.581538596658532</v>
      </c>
      <c r="AQ52" s="45" t="str">
        <f t="shared" si="9"/>
        <v>*1</v>
      </c>
      <c r="AR52" s="45" t="str">
        <f t="shared" si="9"/>
        <v>*0.602479722389225</v>
      </c>
      <c r="AS52" s="47" t="str">
        <f t="shared" si="9"/>
        <v>*0.543981881697645</v>
      </c>
    </row>
    <row r="53" spans="1:45" ht="15">
      <c r="A53" s="3" t="str">
        <f>A45</f>
        <v>C_ES-CK-*_EL*</v>
      </c>
      <c r="C53" t="s">
        <v>29</v>
      </c>
      <c r="D53" t="str">
        <f>A53</f>
        <v>C_ES-CK-*_EL*</v>
      </c>
      <c r="H53" s="40"/>
      <c r="I53" t="str">
        <f>IF(I58&lt;&gt;"","*"&amp;I58/$Q$58,"")</f>
        <v>*0.889273752761972</v>
      </c>
      <c r="J53" t="str">
        <f t="shared" si="10" ref="J53:AS53">IF(J58&lt;&gt;"","*"&amp;J58/$Q$58,"")</f>
        <v>*1.02985255394712</v>
      </c>
      <c r="K53" t="str">
        <f t="shared" si="10"/>
        <v>*0.889273752761972</v>
      </c>
      <c r="L53" t="str">
        <f t="shared" si="10"/>
        <v>*1.10629245473522</v>
      </c>
      <c r="M53" t="str">
        <f t="shared" si="10"/>
        <v>*0.961919060359006</v>
      </c>
      <c r="N53" t="str">
        <f t="shared" si="10"/>
        <v>*1</v>
      </c>
      <c r="O53" t="str">
        <f t="shared" si="10"/>
        <v>*1.02339038737278</v>
      </c>
      <c r="P53" t="str">
        <f t="shared" si="10"/>
        <v>*1.0030185667604</v>
      </c>
      <c r="Q53" s="65" t="str">
        <f>IF(Q58&lt;&gt;"","*"&amp;Q58,"")</f>
        <v>*0.674370844701678</v>
      </c>
      <c r="R53" t="str">
        <f t="shared" si="10"/>
        <v>*0.953945424420723</v>
      </c>
      <c r="S53" t="str">
        <f t="shared" si="10"/>
        <v>*0.954225655765373</v>
      </c>
      <c r="T53" t="str">
        <f t="shared" si="10"/>
        <v>*0.889273752761972</v>
      </c>
      <c r="U53" t="str">
        <f t="shared" si="10"/>
        <v>*0.93178342857899</v>
      </c>
      <c r="V53" t="str">
        <f t="shared" si="10"/>
        <v>*0.929651324562764</v>
      </c>
      <c r="W53" t="str">
        <f t="shared" si="10"/>
        <v>*0.996239311535952</v>
      </c>
      <c r="X53" t="str">
        <f t="shared" si="10"/>
        <v>*1.02851161831876</v>
      </c>
      <c r="Y53" t="str">
        <f t="shared" si="10"/>
        <v>*1.06883628027373</v>
      </c>
      <c r="Z53" t="str">
        <f t="shared" si="10"/>
        <v>*1.01724410366609</v>
      </c>
      <c r="AA53" t="str">
        <f t="shared" si="10"/>
        <v>*0.953945424420723</v>
      </c>
      <c r="AB53" t="str">
        <f t="shared" si="10"/>
        <v>*1.07500477571494</v>
      </c>
      <c r="AC53" t="str">
        <f t="shared" si="10"/>
        <v>*0.889273752761972</v>
      </c>
      <c r="AD53" t="str">
        <f t="shared" si="10"/>
        <v>*1.00301970520862</v>
      </c>
      <c r="AE53" t="str">
        <f t="shared" si="10"/>
        <v>*1.00828120670744</v>
      </c>
      <c r="AF53" t="str">
        <f t="shared" si="10"/>
        <v>*1.01754891057771</v>
      </c>
      <c r="AG53" t="str">
        <f t="shared" si="10"/>
        <v>*0.889273752761972</v>
      </c>
      <c r="AH53" t="str">
        <f t="shared" si="10"/>
        <v>*0.889273752761972</v>
      </c>
      <c r="AI53" t="str">
        <f t="shared" si="10"/>
        <v>*0.979431520706111</v>
      </c>
      <c r="AJ53" t="str">
        <f t="shared" si="10"/>
        <v>*1.02984998892835</v>
      </c>
      <c r="AK53" t="str">
        <f t="shared" si="10"/>
        <v>*0.953945424420723</v>
      </c>
      <c r="AL53" t="str">
        <f t="shared" si="10"/>
        <v>*1.01754997779577</v>
      </c>
      <c r="AM53" t="str">
        <f t="shared" si="10"/>
        <v>*0.897110966927612</v>
      </c>
      <c r="AN53" t="str">
        <f t="shared" si="10"/>
        <v>*1.08278601808077</v>
      </c>
      <c r="AO53" t="str">
        <f t="shared" si="10"/>
        <v>*0.889273752761972</v>
      </c>
      <c r="AP53" t="str">
        <f t="shared" si="10"/>
        <v>*1.06765905850542</v>
      </c>
      <c r="AQ53" t="str">
        <f t="shared" si="10"/>
        <v>*1.06144407760309</v>
      </c>
      <c r="AR53" t="str">
        <f t="shared" si="10"/>
        <v>*1.10611277763482</v>
      </c>
      <c r="AS53" s="49" t="str">
        <f t="shared" si="10"/>
        <v>*0.998710842097338</v>
      </c>
    </row>
    <row r="54" spans="1:45" ht="15">
      <c r="A54" s="3" t="str">
        <f>A46</f>
        <v>C_ES-CK-*_GA*</v>
      </c>
      <c r="C54" t="s">
        <v>29</v>
      </c>
      <c r="D54" t="str">
        <f>A54</f>
        <v>C_ES-CK-*_GA*</v>
      </c>
      <c r="H54" s="40"/>
      <c r="I54" t="str">
        <f>IF(I59&lt;&gt;"","*"&amp;I59/$Q$59,"")</f>
        <v>*0.889279649515578</v>
      </c>
      <c r="J54" t="str">
        <f t="shared" si="11" ref="J54:AS54">IF(J59&lt;&gt;"","*"&amp;J59/$Q$59,"")</f>
        <v>*1.0298489127906</v>
      </c>
      <c r="K54" t="str">
        <f t="shared" si="11"/>
        <v>*0.889279649515578</v>
      </c>
      <c r="L54" t="str">
        <f t="shared" si="11"/>
        <v>*1.10629643074921</v>
      </c>
      <c r="M54" t="str">
        <f t="shared" si="11"/>
        <v>*0.961916937266984</v>
      </c>
      <c r="N54" t="str">
        <f t="shared" si="11"/>
        <v>*1</v>
      </c>
      <c r="O54" t="str">
        <f t="shared" si="11"/>
        <v>*0.907876138874211</v>
      </c>
      <c r="P54" t="str">
        <f t="shared" si="11"/>
        <v>*1.00301784552139</v>
      </c>
      <c r="Q54" s="65" t="str">
        <f>IF(Q59&lt;&gt;"","*"&amp;Q59,"")</f>
        <v>*0.495662327416173</v>
      </c>
      <c r="R54" t="str">
        <f t="shared" si="11"/>
        <v>*0.953942294134864</v>
      </c>
      <c r="S54" t="str">
        <f t="shared" si="11"/>
        <v>*0.954221916763173</v>
      </c>
      <c r="T54" t="str">
        <f t="shared" si="11"/>
        <v>*0.889279649515578</v>
      </c>
      <c r="U54" t="str">
        <f t="shared" si="11"/>
        <v>*0.931785261110706</v>
      </c>
      <c r="V54" t="str">
        <f t="shared" si="11"/>
        <v>*0.929647553864504</v>
      </c>
      <c r="W54" t="str">
        <f t="shared" si="11"/>
        <v>*0.996235605882927</v>
      </c>
      <c r="X54" t="str">
        <f t="shared" si="11"/>
        <v>*1.02851154777465</v>
      </c>
      <c r="Y54" t="str">
        <f t="shared" si="11"/>
        <v>*1.06883501971755</v>
      </c>
      <c r="Z54" t="str">
        <f t="shared" si="11"/>
        <v>*1.01724550702957</v>
      </c>
      <c r="AA54" t="str">
        <f t="shared" si="11"/>
        <v>*0.953942294134864</v>
      </c>
      <c r="AB54" t="str">
        <f t="shared" si="11"/>
        <v>*1.07500901367887</v>
      </c>
      <c r="AC54" t="str">
        <f t="shared" si="11"/>
        <v>*0.889279649515578</v>
      </c>
      <c r="AD54" t="str">
        <f t="shared" si="11"/>
        <v>*1.00302154141373</v>
      </c>
      <c r="AE54" t="str">
        <f t="shared" si="11"/>
        <v>*1.00828157187559</v>
      </c>
      <c r="AF54" t="str">
        <f t="shared" si="11"/>
        <v>*1.0175563906063</v>
      </c>
      <c r="AG54" t="str">
        <f t="shared" si="11"/>
        <v>*0.889279649515578</v>
      </c>
      <c r="AH54" t="str">
        <f t="shared" si="11"/>
        <v>*0.889279649515578</v>
      </c>
      <c r="AI54" t="str">
        <f t="shared" si="11"/>
        <v>*0.907876138874211</v>
      </c>
      <c r="AJ54" t="str">
        <f t="shared" si="11"/>
        <v>*1.02984693126133</v>
      </c>
      <c r="AK54" t="str">
        <f t="shared" si="11"/>
        <v>*0.953942294134864</v>
      </c>
      <c r="AL54" t="str">
        <f t="shared" si="11"/>
        <v>*1.01755038422132</v>
      </c>
      <c r="AM54" t="str">
        <f t="shared" si="11"/>
        <v>*0.897108472182825</v>
      </c>
      <c r="AN54" t="str">
        <f t="shared" si="11"/>
        <v>*1.08278819183084</v>
      </c>
      <c r="AO54" t="str">
        <f t="shared" si="11"/>
        <v>*0.889279649515578</v>
      </c>
      <c r="AP54" t="str">
        <f t="shared" si="11"/>
        <v>*1.06766366342676</v>
      </c>
      <c r="AQ54" t="str">
        <f t="shared" si="11"/>
        <v>*1.06144622086385</v>
      </c>
      <c r="AR54" t="str">
        <f t="shared" si="11"/>
        <v>*1.10611250086114</v>
      </c>
      <c r="AS54" s="49" t="str">
        <f t="shared" si="11"/>
        <v>*0.998708063713922</v>
      </c>
    </row>
    <row r="55" spans="1:45" ht="15">
      <c r="A55" s="3" t="str">
        <f>A47</f>
        <v>C_ES-CK-*_LP*</v>
      </c>
      <c r="C55" t="s">
        <v>29</v>
      </c>
      <c r="D55" t="str">
        <f>A55</f>
        <v>C_ES-CK-*_LP*</v>
      </c>
      <c r="H55" s="42"/>
      <c r="I55" s="50" t="str">
        <f>IF(I60&lt;&gt;"","*"&amp;I60/$Q$60,"")</f>
        <v>*0.889276139104228</v>
      </c>
      <c r="J55" s="50" t="str">
        <f t="shared" si="12" ref="J55:AS55">IF(J60&lt;&gt;"","*"&amp;J60/$Q$60,"")</f>
        <v>*1.02985139313562</v>
      </c>
      <c r="K55" s="50" t="str">
        <f t="shared" si="12"/>
        <v>*0.889276139104228</v>
      </c>
      <c r="L55" s="50" t="str">
        <f t="shared" si="12"/>
        <v>*1.10629064667785</v>
      </c>
      <c r="M55" s="50" t="str">
        <f t="shared" si="12"/>
        <v>*0.961916198481242</v>
      </c>
      <c r="N55" s="50" t="str">
        <f t="shared" si="12"/>
        <v>*1</v>
      </c>
      <c r="O55" s="50" t="str">
        <f t="shared" si="12"/>
        <v>*0.977711572261894</v>
      </c>
      <c r="P55" s="50" t="str">
        <f t="shared" si="12"/>
        <v>*0.977711572261894</v>
      </c>
      <c r="Q55" s="66" t="str">
        <f>IF(Q60&lt;&gt;"","*"&amp;Q60,"")</f>
        <v>*0.460258436911966</v>
      </c>
      <c r="R55" s="50" t="str">
        <f t="shared" si="12"/>
        <v>*0.953941123382384</v>
      </c>
      <c r="S55" s="50" t="str">
        <f t="shared" si="12"/>
        <v>*0.95422224806221</v>
      </c>
      <c r="T55" s="50" t="str">
        <f t="shared" si="12"/>
        <v>*0.889276139104228</v>
      </c>
      <c r="U55" s="50" t="str">
        <f t="shared" si="12"/>
        <v>*0.931779382277627</v>
      </c>
      <c r="V55" s="50" t="str">
        <f t="shared" si="12"/>
        <v>*0.977711572261894</v>
      </c>
      <c r="W55" s="50" t="str">
        <f t="shared" si="12"/>
        <v>*0.996234025592607</v>
      </c>
      <c r="X55" s="50" t="str">
        <f t="shared" si="12"/>
        <v>*1.02851484444218</v>
      </c>
      <c r="Y55" s="50" t="str">
        <f t="shared" si="12"/>
        <v>*1.06883661853992</v>
      </c>
      <c r="Z55" s="50" t="str">
        <f t="shared" si="12"/>
        <v>*1.01724431217016</v>
      </c>
      <c r="AA55" s="50" t="str">
        <f t="shared" si="12"/>
        <v>*0.953941123382384</v>
      </c>
      <c r="AB55" s="50" t="str">
        <f t="shared" si="12"/>
        <v>*1.07500590519856</v>
      </c>
      <c r="AC55" s="50" t="str">
        <f t="shared" si="12"/>
        <v>*0.889276139104228</v>
      </c>
      <c r="AD55" s="50" t="str">
        <f t="shared" si="12"/>
        <v>*0.977711572261894</v>
      </c>
      <c r="AE55" s="50" t="str">
        <f t="shared" si="12"/>
        <v>*1.00828271824286</v>
      </c>
      <c r="AF55" s="50" t="str">
        <f t="shared" si="12"/>
        <v>*1.01754985237733</v>
      </c>
      <c r="AG55" s="50" t="str">
        <f t="shared" si="12"/>
        <v>*0.889276139104228</v>
      </c>
      <c r="AH55" s="50" t="str">
        <f t="shared" si="12"/>
        <v>*0.889276139104228</v>
      </c>
      <c r="AI55" s="50" t="str">
        <f t="shared" si="12"/>
        <v>*0.979433411128951</v>
      </c>
      <c r="AJ55" s="50" t="str">
        <f t="shared" si="12"/>
        <v>*1.02984829576086</v>
      </c>
      <c r="AK55" s="50" t="str">
        <f t="shared" si="12"/>
        <v>*0.953941123382384</v>
      </c>
      <c r="AL55" s="50" t="str">
        <f t="shared" si="12"/>
        <v>*1.0175488209194</v>
      </c>
      <c r="AM55" s="50" t="str">
        <f t="shared" si="12"/>
        <v>*0.897108622092609</v>
      </c>
      <c r="AN55" s="50" t="str">
        <f t="shared" si="12"/>
        <v>*1.08278537894539</v>
      </c>
      <c r="AO55" s="50" t="str">
        <f t="shared" si="12"/>
        <v>*0.889276139104228</v>
      </c>
      <c r="AP55" s="50" t="str">
        <f t="shared" si="12"/>
        <v>*1.06766051585806</v>
      </c>
      <c r="AQ55" s="50" t="str">
        <f t="shared" si="12"/>
        <v>*1.06144007127069</v>
      </c>
      <c r="AR55" s="50" t="str">
        <f t="shared" si="12"/>
        <v>*1.10611392017739</v>
      </c>
      <c r="AS55" s="52" t="str">
        <f t="shared" si="12"/>
        <v>*0.977711572261894</v>
      </c>
    </row>
    <row r="57" spans="9:45" ht="12.75">
      <c r="I57" s="7">
        <f>IFERROR(AVERAGEIFS(COM_All!L$2:L$999,COM_All!$B$2:$B$999,"="&amp;$A$8,COM_All!$C$2:$C$999,"="&amp;'INS-UPD Others'!$A52),"")</f>
        <v>0.65000000000000002</v>
      </c>
      <c r="J57" s="8">
        <f>IFERROR(AVERAGEIFS(COM_All!M$2:M$999,COM_All!$B$2:$B$999,"="&amp;$A$8,COM_All!$C$2:$C$999,"="&amp;'INS-UPD Others'!$A52),"")</f>
        <v>0.36461186365353898</v>
      </c>
      <c r="K57" s="8">
        <f>IFERROR(AVERAGEIFS(COM_All!N$2:N$999,COM_All!$B$2:$B$999,"="&amp;$A$8,COM_All!$C$2:$C$999,"="&amp;'INS-UPD Others'!$A52),"")</f>
        <v>0.65000000000000002</v>
      </c>
      <c r="L57" s="8">
        <f>IFERROR(AVERAGEIFS(COM_All!O$2:O$999,COM_All!$B$2:$B$999,"="&amp;$A$8,COM_All!$C$2:$C$999,"="&amp;'INS-UPD Others'!$A52),"")</f>
        <v>0.39167509018574997</v>
      </c>
      <c r="M57" s="8">
        <f>IFERROR(AVERAGEIFS(COM_All!P$2:P$999,COM_All!$B$2:$B$999,"="&amp;$A$8,COM_All!$C$2:$C$999,"="&amp;'INS-UPD Others'!$A52),"")</f>
        <v>0.34056209248295</v>
      </c>
      <c r="N57" s="8">
        <f>IFERROR(AVERAGEIFS(COM_All!Q$2:Q$999,COM_All!$B$2:$B$999,"="&amp;$A$8,COM_All!$C$2:$C$999,"="&amp;'INS-UPD Others'!$A52),"")</f>
        <v>0.65000000000000002</v>
      </c>
      <c r="O57" s="8">
        <f>IFERROR(AVERAGEIFS(COM_All!R$2:R$999,COM_All!$B$2:$B$999,"="&amp;$A$8,COM_All!$C$2:$C$999,"="&amp;'INS-UPD Others'!$A52),"")</f>
        <v>0.36232421826898598</v>
      </c>
      <c r="P57" s="8">
        <f>IFERROR(AVERAGEIFS(COM_All!S$2:S$999,COM_All!$B$2:$B$999,"="&amp;$A$8,COM_All!$C$2:$C$999,"="&amp;'INS-UPD Others'!$A52),"")</f>
        <v>0.35511383576629202</v>
      </c>
      <c r="Q57" s="8">
        <f>IFERROR(AVERAGEIFS(COM_All!T$2:T$999,COM_All!$B$2:$B$999,"="&amp;$A$8,COM_All!$C$2:$C$999,"="&amp;'INS-UPD Others'!$A52),"")</f>
        <v>0.65000000000000002</v>
      </c>
      <c r="R57" s="8">
        <f>IFERROR(AVERAGEIFS(COM_All!U$2:U$999,COM_All!$B$2:$B$999,"="&amp;$A$8,COM_All!$C$2:$C$999,"="&amp;'INS-UPD Others'!$A52),"")</f>
        <v>0.337737285984261</v>
      </c>
      <c r="S57" s="8">
        <f>IFERROR(AVERAGEIFS(COM_All!V$2:V$999,COM_All!$B$2:$B$999,"="&amp;$A$8,COM_All!$C$2:$C$999,"="&amp;'INS-UPD Others'!$A52),"")</f>
        <v>0.33783758944397002</v>
      </c>
      <c r="T57" s="8">
        <f>IFERROR(AVERAGEIFS(COM_All!W$2:W$999,COM_All!$B$2:$B$999,"="&amp;$A$8,COM_All!$C$2:$C$999,"="&amp;'INS-UPD Others'!$A52),"")</f>
        <v>0.65000000000000002</v>
      </c>
      <c r="U57" s="8">
        <f>IFERROR(AVERAGEIFS(COM_All!X$2:X$999,COM_All!$B$2:$B$999,"="&amp;$A$8,COM_All!$C$2:$C$999,"="&amp;'INS-UPD Others'!$A52),"")</f>
        <v>0.32989345395688902</v>
      </c>
      <c r="V57" s="8">
        <f>IFERROR(AVERAGEIFS(COM_All!Y$2:Y$999,COM_All!$B$2:$B$999,"="&amp;$A$8,COM_All!$C$2:$C$999,"="&amp;'INS-UPD Others'!$A52),"")</f>
        <v>0.32913582534223002</v>
      </c>
      <c r="W57" s="8">
        <f>IFERROR(AVERAGEIFS(COM_All!Z$2:Z$999,COM_All!$B$2:$B$999,"="&amp;$A$8,COM_All!$C$2:$C$999,"="&amp;'INS-UPD Others'!$A52),"")</f>
        <v>0.352712520882078</v>
      </c>
      <c r="X57" s="8">
        <f>IFERROR(AVERAGEIFS(COM_All!AA$2:AA$999,COM_All!$B$2:$B$999,"="&amp;$A$8,COM_All!$C$2:$C$999,"="&amp;'INS-UPD Others'!$A52),"")</f>
        <v>0.364138987423412</v>
      </c>
      <c r="Y57" s="8">
        <f>IFERROR(AVERAGEIFS(COM_All!AB$2:AB$999,COM_All!$B$2:$B$999,"="&amp;$A$8,COM_All!$C$2:$C$999,"="&amp;'INS-UPD Others'!$A52),"")</f>
        <v>0.37841649856950299</v>
      </c>
      <c r="Z57" s="8">
        <f>IFERROR(AVERAGEIFS(COM_All!AC$2:AC$999,COM_All!$B$2:$B$999,"="&amp;$A$8,COM_All!$C$2:$C$999,"="&amp;'INS-UPD Others'!$A52),"")</f>
        <v>0.36015043084562598</v>
      </c>
      <c r="AA57" s="8">
        <f>IFERROR(AVERAGEIFS(COM_All!AD$2:AD$999,COM_All!$B$2:$B$999,"="&amp;$A$8,COM_All!$C$2:$C$999,"="&amp;'INS-UPD Others'!$A52),"")</f>
        <v>0.337737285984261</v>
      </c>
      <c r="AB57" s="8">
        <f>IFERROR(AVERAGEIFS(COM_All!AE$2:AE$999,COM_All!$B$2:$B$999,"="&amp;$A$8,COM_All!$C$2:$C$999,"="&amp;'INS-UPD Others'!$A52),"")</f>
        <v>0.65000000000000002</v>
      </c>
      <c r="AC57" s="8">
        <f>IFERROR(AVERAGEIFS(COM_All!AF$2:AF$999,COM_All!$B$2:$B$999,"="&amp;$A$8,COM_All!$C$2:$C$999,"="&amp;'INS-UPD Others'!$A52),"")</f>
        <v>0.65000000000000002</v>
      </c>
      <c r="AD57" s="8">
        <f>IFERROR(AVERAGEIFS(COM_All!AG$2:AG$999,COM_All!$B$2:$B$999,"="&amp;$A$8,COM_All!$C$2:$C$999,"="&amp;'INS-UPD Others'!$A52),"")</f>
        <v>0.35511297258333102</v>
      </c>
      <c r="AE57" s="8">
        <f>IFERROR(AVERAGEIFS(COM_All!AH$2:AH$999,COM_All!$B$2:$B$999,"="&amp;$A$8,COM_All!$C$2:$C$999,"="&amp;'INS-UPD Others'!$A52),"")</f>
        <v>0.65000000000000002</v>
      </c>
      <c r="AF57" s="8">
        <f>IFERROR(AVERAGEIFS(COM_All!AI$2:AI$999,COM_All!$B$2:$B$999,"="&amp;$A$8,COM_All!$C$2:$C$999,"="&amp;'INS-UPD Others'!$A52),"")</f>
        <v>0.36025910812640699</v>
      </c>
      <c r="AG57" s="8">
        <f>IFERROR(AVERAGEIFS(COM_All!AJ$2:AJ$999,COM_All!$B$2:$B$999,"="&amp;$A$8,COM_All!$C$2:$C$999,"="&amp;'INS-UPD Others'!$A52),"")</f>
        <v>0.65000000000000002</v>
      </c>
      <c r="AH57" s="8">
        <f>IFERROR(AVERAGEIFS(COM_All!AK$2:AK$999,COM_All!$B$2:$B$999,"="&amp;$A$8,COM_All!$C$2:$C$999,"="&amp;'INS-UPD Others'!$A52),"")</f>
        <v>0.65000000000000002</v>
      </c>
      <c r="AI57" s="8">
        <f>IFERROR(AVERAGEIFS(COM_All!AL$2:AL$999,COM_All!$B$2:$B$999,"="&amp;$A$8,COM_All!$C$2:$C$999,"="&amp;'INS-UPD Others'!$A52),"")</f>
        <v>0.65000000000000002</v>
      </c>
      <c r="AJ57" s="8">
        <f>IFERROR(AVERAGEIFS(COM_All!AM$2:AM$999,COM_All!$B$2:$B$999,"="&amp;$A$8,COM_All!$C$2:$C$999,"="&amp;'INS-UPD Others'!$A52),"")</f>
        <v>0.36461241822564</v>
      </c>
      <c r="AK57" s="8">
        <f>IFERROR(AVERAGEIFS(COM_All!AN$2:AN$999,COM_All!$B$2:$B$999,"="&amp;$A$8,COM_All!$C$2:$C$999,"="&amp;'INS-UPD Others'!$A52),"")</f>
        <v>0.337737285984261</v>
      </c>
      <c r="AL57" s="8">
        <f>IFERROR(AVERAGEIFS(COM_All!AO$2:AO$999,COM_All!$B$2:$B$999,"="&amp;$A$8,COM_All!$C$2:$C$999,"="&amp;'INS-UPD Others'!$A52),"")</f>
        <v>0.36025800912746803</v>
      </c>
      <c r="AM57" s="8">
        <f>IFERROR(AVERAGEIFS(COM_All!AP$2:AP$999,COM_All!$B$2:$B$999,"="&amp;$A$8,COM_All!$C$2:$C$999,"="&amp;'INS-UPD Others'!$A52),"")</f>
        <v>0.65000000000000002</v>
      </c>
      <c r="AN57" s="8">
        <f>IFERROR(AVERAGEIFS(COM_All!AQ$2:AQ$999,COM_All!$B$2:$B$999,"="&amp;$A$8,COM_All!$C$2:$C$999,"="&amp;'INS-UPD Others'!$A52),"")</f>
        <v>0.65000000000000002</v>
      </c>
      <c r="AO57" s="8">
        <f>IFERROR(AVERAGEIFS(COM_All!AR$2:AR$999,COM_All!$B$2:$B$999,"="&amp;$A$8,COM_All!$C$2:$C$999,"="&amp;'INS-UPD Others'!$A52),"")</f>
        <v>0.65000000000000002</v>
      </c>
      <c r="AP57" s="8">
        <f>IFERROR(AVERAGEIFS(COM_All!AS$2:AS$999,COM_All!$B$2:$B$999,"="&amp;$A$8,COM_All!$C$2:$C$999,"="&amp;'INS-UPD Others'!$A52),"")</f>
        <v>0.37800008782804601</v>
      </c>
      <c r="AQ57" s="8">
        <f>IFERROR(AVERAGEIFS(COM_All!AT$2:AT$999,COM_All!$B$2:$B$999,"="&amp;$A$8,COM_All!$C$2:$C$999,"="&amp;'INS-UPD Others'!$A52),"")</f>
        <v>0.65000000000000002</v>
      </c>
      <c r="AR57" s="8">
        <f>IFERROR(AVERAGEIFS(COM_All!AU$2:AU$999,COM_All!$B$2:$B$999,"="&amp;$A$8,COM_All!$C$2:$C$999,"="&amp;'INS-UPD Others'!$A52),"")</f>
        <v>0.39161181955299601</v>
      </c>
      <c r="AS57" s="9">
        <f>IFERROR(AVERAGEIFS(COM_All!AV$2:AV$999,COM_All!$B$2:$B$999,"="&amp;$A$8,COM_All!$C$2:$C$999,"="&amp;'INS-UPD Others'!$A52),"")</f>
        <v>0.35358822310346899</v>
      </c>
    </row>
    <row r="58" spans="9:45" ht="12.75">
      <c r="I58" s="10">
        <f>IFERROR(AVERAGEIFS(COM_All!L$2:L$999,COM_All!$B$2:$B$999,"="&amp;$A$8,COM_All!$C$2:$C$999,"="&amp;'INS-UPD Others'!$A53),"")</f>
        <v>0.59970029182112194</v>
      </c>
      <c r="J58" s="11">
        <f>IFERROR(AVERAGEIFS(COM_All!M$2:M$999,COM_All!$B$2:$B$999,"="&amp;$A$8,COM_All!$C$2:$C$999,"="&amp;'INS-UPD Others'!$A53),"")</f>
        <v>0.69450253672349704</v>
      </c>
      <c r="K58" s="11">
        <f>IFERROR(AVERAGEIFS(COM_All!N$2:N$999,COM_All!$B$2:$B$999,"="&amp;$A$8,COM_All!$C$2:$C$999,"="&amp;'INS-UPD Others'!$A53),"")</f>
        <v>0.59970029182112194</v>
      </c>
      <c r="L58" s="11">
        <f>IFERROR(AVERAGEIFS(COM_All!O$2:O$999,COM_All!$B$2:$B$999,"="&amp;$A$8,COM_All!$C$2:$C$999,"="&amp;'INS-UPD Others'!$A53),"")</f>
        <v>0.74605137718687997</v>
      </c>
      <c r="M58" s="11">
        <f>IFERROR(AVERAGEIFS(COM_All!P$2:P$999,COM_All!$B$2:$B$999,"="&amp;$A$8,COM_All!$C$2:$C$999,"="&amp;'INS-UPD Others'!$A53),"")</f>
        <v>0.64869016926894696</v>
      </c>
      <c r="N58" s="11">
        <f>IFERROR(AVERAGEIFS(COM_All!Q$2:Q$999,COM_All!$B$2:$B$999,"="&amp;$A$8,COM_All!$C$2:$C$999,"="&amp;'INS-UPD Others'!$A53),"")</f>
        <v>0.67437084470167796</v>
      </c>
      <c r="O58" s="11">
        <f>IFERROR(AVERAGEIFS(COM_All!R$2:R$999,COM_All!$B$2:$B$999,"="&amp;$A$8,COM_All!$C$2:$C$999,"="&amp;'INS-UPD Others'!$A53),"")</f>
        <v>0.69014463999216202</v>
      </c>
      <c r="P58" s="11">
        <f>IFERROR(AVERAGEIFS(COM_All!S$2:S$999,COM_All!$B$2:$B$999,"="&amp;$A$8,COM_All!$C$2:$C$999,"="&amp;'INS-UPD Others'!$A53),"")</f>
        <v>0.67640647811767896</v>
      </c>
      <c r="Q58" s="11">
        <f>IFERROR(AVERAGEIFS(COM_All!T$2:T$999,COM_All!$B$2:$B$999,"="&amp;$A$8,COM_All!$C$2:$C$999,"="&amp;'INS-UPD Others'!$A53),"")</f>
        <v>0.67437084470167796</v>
      </c>
      <c r="R58" s="11">
        <f>IFERROR(AVERAGEIFS(COM_All!U$2:U$999,COM_All!$B$2:$B$999,"="&amp;$A$8,COM_All!$C$2:$C$999,"="&amp;'INS-UPD Others'!$A53),"")</f>
        <v>0.643312981665904</v>
      </c>
      <c r="S58" s="11">
        <f>IFERROR(AVERAGEIFS(COM_All!V$2:V$999,COM_All!$B$2:$B$999,"="&amp;$A$8,COM_All!$C$2:$C$999,"="&amp;'INS-UPD Others'!$A53),"")</f>
        <v>0.643501961514507</v>
      </c>
      <c r="T58" s="11">
        <f>IFERROR(AVERAGEIFS(COM_All!W$2:W$999,COM_All!$B$2:$B$999,"="&amp;$A$8,COM_All!$C$2:$C$999,"="&amp;'INS-UPD Others'!$A53),"")</f>
        <v>0.59970029182112194</v>
      </c>
      <c r="U58" s="11">
        <f>IFERROR(AVERAGEIFS(COM_All!X$2:X$999,COM_All!$B$2:$B$999,"="&amp;$A$8,COM_All!$C$2:$C$999,"="&amp;'INS-UPD Others'!$A53),"")</f>
        <v>0.62836757780983898</v>
      </c>
      <c r="V58" s="11">
        <f>IFERROR(AVERAGEIFS(COM_All!Y$2:Y$999,COM_All!$B$2:$B$999,"="&amp;$A$8,COM_All!$C$2:$C$999,"="&amp;'INS-UPD Others'!$A53),"")</f>
        <v>0.62692974902342502</v>
      </c>
      <c r="W58" s="11">
        <f>IFERROR(AVERAGEIFS(COM_All!Z$2:Z$999,COM_All!$B$2:$B$999,"="&amp;$A$8,COM_All!$C$2:$C$999,"="&amp;'INS-UPD Others'!$A53),"")</f>
        <v>0.67183474604551796</v>
      </c>
      <c r="X58" s="11">
        <f>IFERROR(AVERAGEIFS(COM_All!AA$2:AA$999,COM_All!$B$2:$B$999,"="&amp;$A$8,COM_All!$C$2:$C$999,"="&amp;'INS-UPD Others'!$A53),"")</f>
        <v>0.69359824883111398</v>
      </c>
      <c r="Y58" s="11">
        <f>IFERROR(AVERAGEIFS(COM_All!AB$2:AB$999,COM_All!$B$2:$B$999,"="&amp;$A$8,COM_All!$C$2:$C$999,"="&amp;'INS-UPD Others'!$A53),"")</f>
        <v>0.72079202517599505</v>
      </c>
      <c r="Z58" s="11">
        <f>IFERROR(AVERAGEIFS(COM_All!AC$2:AC$999,COM_All!$B$2:$B$999,"="&amp;$A$8,COM_All!$C$2:$C$999,"="&amp;'INS-UPD Others'!$A53),"")</f>
        <v>0.68599976545710195</v>
      </c>
      <c r="AA58" s="11">
        <f>IFERROR(AVERAGEIFS(COM_All!AD$2:AD$999,COM_All!$B$2:$B$999,"="&amp;$A$8,COM_All!$C$2:$C$999,"="&amp;'INS-UPD Others'!$A53),"")</f>
        <v>0.643312981665904</v>
      </c>
      <c r="AB58" s="11">
        <f>IFERROR(AVERAGEIFS(COM_All!AE$2:AE$999,COM_All!$B$2:$B$999,"="&amp;$A$8,COM_All!$C$2:$C$999,"="&amp;'INS-UPD Others'!$A53),"")</f>
        <v>0.72495187865722199</v>
      </c>
      <c r="AC58" s="11">
        <f>IFERROR(AVERAGEIFS(COM_All!AF$2:AF$999,COM_All!$B$2:$B$999,"="&amp;$A$8,COM_All!$C$2:$C$999,"="&amp;'INS-UPD Others'!$A53),"")</f>
        <v>0.59970029182112194</v>
      </c>
      <c r="AD58" s="11">
        <f>IFERROR(AVERAGEIFS(COM_All!AG$2:AG$999,COM_All!$B$2:$B$999,"="&amp;$A$8,COM_All!$C$2:$C$999,"="&amp;'INS-UPD Others'!$A53),"")</f>
        <v>0.67640724585396805</v>
      </c>
      <c r="AE58" s="11">
        <f>IFERROR(AVERAGEIFS(COM_All!AH$2:AH$999,COM_All!$B$2:$B$999,"="&amp;$A$8,COM_All!$C$2:$C$999,"="&amp;'INS-UPD Others'!$A53),"")</f>
        <v>0.67995544906412497</v>
      </c>
      <c r="AF58" s="11">
        <f>IFERROR(AVERAGEIFS(COM_All!AI$2:AI$999,COM_All!$B$2:$B$999,"="&amp;$A$8,COM_All!$C$2:$C$999,"="&amp;'INS-UPD Others'!$A53),"")</f>
        <v>0.68620531835156295</v>
      </c>
      <c r="AG58" s="11">
        <f>IFERROR(AVERAGEIFS(COM_All!AJ$2:AJ$999,COM_All!$B$2:$B$999,"="&amp;$A$8,COM_All!$C$2:$C$999,"="&amp;'INS-UPD Others'!$A53),"")</f>
        <v>0.59970029182112194</v>
      </c>
      <c r="AH58" s="11">
        <f>IFERROR(AVERAGEIFS(COM_All!AK$2:AK$999,COM_All!$B$2:$B$999,"="&amp;$A$8,COM_All!$C$2:$C$999,"="&amp;'INS-UPD Others'!$A53),"")</f>
        <v>0.59970029182112194</v>
      </c>
      <c r="AI58" s="11">
        <f>IFERROR(AVERAGEIFS(COM_All!AL$2:AL$999,COM_All!$B$2:$B$999,"="&amp;$A$8,COM_All!$C$2:$C$999,"="&amp;'INS-UPD Others'!$A53),"")</f>
        <v>0.66050006194602895</v>
      </c>
      <c r="AJ58" s="11">
        <f>IFERROR(AVERAGEIFS(COM_All!AM$2:AM$999,COM_All!$B$2:$B$999,"="&amp;$A$8,COM_All!$C$2:$C$999,"="&amp;'INS-UPD Others'!$A53),"")</f>
        <v>0.69450080694962602</v>
      </c>
      <c r="AK58" s="11">
        <f>IFERROR(AVERAGEIFS(COM_All!AN$2:AN$999,COM_All!$B$2:$B$999,"="&amp;$A$8,COM_All!$C$2:$C$999,"="&amp;'INS-UPD Others'!$A53),"")</f>
        <v>0.643312981665904</v>
      </c>
      <c r="AL58" s="11">
        <f>IFERROR(AVERAGEIFS(COM_All!AO$2:AO$999,COM_All!$B$2:$B$999,"="&amp;$A$8,COM_All!$C$2:$C$999,"="&amp;'INS-UPD Others'!$A53),"")</f>
        <v>0.68620603805230895</v>
      </c>
      <c r="AM58" s="11">
        <f>IFERROR(AVERAGEIFS(COM_All!AP$2:AP$999,COM_All!$B$2:$B$999,"="&amp;$A$8,COM_All!$C$2:$C$999,"="&amp;'INS-UPD Others'!$A53),"")</f>
        <v>0.60498548055811296</v>
      </c>
      <c r="AN58" s="11">
        <f>IFERROR(AVERAGEIFS(COM_All!AQ$2:AQ$999,COM_All!$B$2:$B$999,"="&amp;$A$8,COM_All!$C$2:$C$999,"="&amp;'INS-UPD Others'!$A53),"")</f>
        <v>0.73019932164429402</v>
      </c>
      <c r="AO58" s="11">
        <f>IFERROR(AVERAGEIFS(COM_All!AR$2:AR$999,COM_All!$B$2:$B$999,"="&amp;$A$8,COM_All!$C$2:$C$999,"="&amp;'INS-UPD Others'!$A53),"")</f>
        <v>0.59970029182112194</v>
      </c>
      <c r="AP58" s="11">
        <f>IFERROR(AVERAGEIFS(COM_All!AS$2:AS$999,COM_All!$B$2:$B$999,"="&amp;$A$8,COM_All!$C$2:$C$999,"="&amp;'INS-UPD Others'!$A53),"")</f>
        <v>0.719998141137695</v>
      </c>
      <c r="AQ58" s="11">
        <f>IFERROR(AVERAGEIFS(COM_All!AT$2:AT$999,COM_All!$B$2:$B$999,"="&amp;$A$8,COM_All!$C$2:$C$999,"="&amp;'INS-UPD Others'!$A53),"")</f>
        <v>0.71580693921678595</v>
      </c>
      <c r="AR58" s="11">
        <f>IFERROR(AVERAGEIFS(COM_All!AU$2:AU$999,COM_All!$B$2:$B$999,"="&amp;$A$8,COM_All!$C$2:$C$999,"="&amp;'INS-UPD Others'!$A53),"")</f>
        <v>0.74593020818891398</v>
      </c>
      <c r="AS58" s="12">
        <f>IFERROR(AVERAGEIFS(COM_All!AV$2:AV$999,COM_All!$B$2:$B$999,"="&amp;$A$8,COM_All!$C$2:$C$999,"="&amp;'INS-UPD Others'!$A53),"")</f>
        <v>0.67350147419790596</v>
      </c>
    </row>
    <row r="59" spans="9:45" ht="12.75">
      <c r="I59" s="10">
        <f>IFERROR(AVERAGEIFS(COM_All!L$2:L$999,COM_All!$B$2:$B$999,"="&amp;$A$8,COM_All!$C$2:$C$999,"="&amp;'INS-UPD Others'!$A54),"")</f>
        <v>0.44078242080273</v>
      </c>
      <c r="J59" s="11">
        <f>IFERROR(AVERAGEIFS(COM_All!M$2:M$999,COM_All!$B$2:$B$999,"="&amp;$A$8,COM_All!$C$2:$C$999,"="&amp;'INS-UPD Others'!$A54),"")</f>
        <v>0.51045730900080399</v>
      </c>
      <c r="K59" s="11">
        <f>IFERROR(AVERAGEIFS(COM_All!N$2:N$999,COM_All!$B$2:$B$999,"="&amp;$A$8,COM_All!$C$2:$C$999,"="&amp;'INS-UPD Others'!$A54),"")</f>
        <v>0.44078242080273</v>
      </c>
      <c r="L59" s="11">
        <f>IFERROR(AVERAGEIFS(COM_All!O$2:O$999,COM_All!$B$2:$B$999,"="&amp;$A$8,COM_All!$C$2:$C$999,"="&amp;'INS-UPD Others'!$A54),"")</f>
        <v>0.54834946367735704</v>
      </c>
      <c r="M59" s="11">
        <f>IFERROR(AVERAGEIFS(COM_All!P$2:P$999,COM_All!$B$2:$B$999,"="&amp;$A$8,COM_All!$C$2:$C$999,"="&amp;'INS-UPD Others'!$A54),"")</f>
        <v>0.47678598790679</v>
      </c>
      <c r="N59" s="11">
        <f>IFERROR(AVERAGEIFS(COM_All!Q$2:Q$999,COM_All!$B$2:$B$999,"="&amp;$A$8,COM_All!$C$2:$C$999,"="&amp;'INS-UPD Others'!$A54),"")</f>
        <v>0.495662327416173</v>
      </c>
      <c r="O59" s="11">
        <f>IFERROR(AVERAGEIFS(COM_All!R$2:R$999,COM_All!$B$2:$B$999,"="&amp;$A$8,COM_All!$C$2:$C$999,"="&amp;'INS-UPD Others'!$A54),"")</f>
        <v>0.45000000000000001</v>
      </c>
      <c r="P59" s="11">
        <f>IFERROR(AVERAGEIFS(COM_All!S$2:S$999,COM_All!$B$2:$B$999,"="&amp;$A$8,COM_All!$C$2:$C$999,"="&amp;'INS-UPD Others'!$A54),"")</f>
        <v>0.49715815975108701</v>
      </c>
      <c r="Q59" s="11">
        <f>IFERROR(AVERAGEIFS(COM_All!T$2:T$999,COM_All!$B$2:$B$999,"="&amp;$A$8,COM_All!$C$2:$C$999,"="&amp;'INS-UPD Others'!$A54),"")</f>
        <v>0.495662327416173</v>
      </c>
      <c r="R59" s="11">
        <f>IFERROR(AVERAGEIFS(COM_All!U$2:U$999,COM_All!$B$2:$B$999,"="&amp;$A$8,COM_All!$C$2:$C$999,"="&amp;'INS-UPD Others'!$A54),"")</f>
        <v>0.47283325773161</v>
      </c>
      <c r="S59" s="11">
        <f>IFERROR(AVERAGEIFS(COM_All!V$2:V$999,COM_All!$B$2:$B$999,"="&amp;$A$8,COM_All!$C$2:$C$999,"="&amp;'INS-UPD Others'!$A54),"")</f>
        <v>0.47297185613435599</v>
      </c>
      <c r="T59" s="11">
        <f>IFERROR(AVERAGEIFS(COM_All!W$2:W$999,COM_All!$B$2:$B$999,"="&amp;$A$8,COM_All!$C$2:$C$999,"="&amp;'INS-UPD Others'!$A54),"")</f>
        <v>0.44078242080273</v>
      </c>
      <c r="U59" s="11">
        <f>IFERROR(AVERAGEIFS(COM_All!X$2:X$999,COM_All!$B$2:$B$999,"="&amp;$A$8,COM_All!$C$2:$C$999,"="&amp;'INS-UPD Others'!$A54),"")</f>
        <v>0.46185085117421898</v>
      </c>
      <c r="V59" s="11">
        <f>IFERROR(AVERAGEIFS(COM_All!Y$2:Y$999,COM_All!$B$2:$B$999,"="&amp;$A$8,COM_All!$C$2:$C$999,"="&amp;'INS-UPD Others'!$A54),"")</f>
        <v>0.46079127022523197</v>
      </c>
      <c r="W59" s="11">
        <f>IFERROR(AVERAGEIFS(COM_All!Z$2:Z$999,COM_All!$B$2:$B$999,"="&amp;$A$8,COM_All!$C$2:$C$999,"="&amp;'INS-UPD Others'!$A54),"")</f>
        <v>0.49379645906679298</v>
      </c>
      <c r="X59" s="11">
        <f>IFERROR(AVERAGEIFS(COM_All!AA$2:AA$999,COM_All!$B$2:$B$999,"="&amp;$A$8,COM_All!$C$2:$C$999,"="&amp;'INS-UPD Others'!$A54),"")</f>
        <v>0.50979442754439297</v>
      </c>
      <c r="Y59" s="11">
        <f>IFERROR(AVERAGEIFS(COM_All!AB$2:AB$999,COM_All!$B$2:$B$999,"="&amp;$A$8,COM_All!$C$2:$C$999,"="&amp;'INS-UPD Others'!$A54),"")</f>
        <v>0.52978125349711302</v>
      </c>
      <c r="Z59" s="11">
        <f>IFERROR(AVERAGEIFS(COM_All!AC$2:AC$999,COM_All!$B$2:$B$999,"="&amp;$A$8,COM_All!$C$2:$C$999,"="&amp;'INS-UPD Others'!$A54),"")</f>
        <v>0.50421027556792397</v>
      </c>
      <c r="AA59" s="11">
        <f>IFERROR(AVERAGEIFS(COM_All!AD$2:AD$999,COM_All!$B$2:$B$999,"="&amp;$A$8,COM_All!$C$2:$C$999,"="&amp;'INS-UPD Others'!$A54),"")</f>
        <v>0.47283325773161</v>
      </c>
      <c r="AB59" s="11">
        <f>IFERROR(AVERAGEIFS(COM_All!AE$2:AE$999,COM_All!$B$2:$B$999,"="&amp;$A$8,COM_All!$C$2:$C$999,"="&amp;'INS-UPD Others'!$A54),"")</f>
        <v>0.53284146971343105</v>
      </c>
      <c r="AC59" s="11">
        <f>IFERROR(AVERAGEIFS(COM_All!AF$2:AF$999,COM_All!$B$2:$B$999,"="&amp;$A$8,COM_All!$C$2:$C$999,"="&amp;'INS-UPD Others'!$A54),"")</f>
        <v>0.44078242080273</v>
      </c>
      <c r="AD59" s="11">
        <f>IFERROR(AVERAGEIFS(COM_All!AG$2:AG$999,COM_All!$B$2:$B$999,"="&amp;$A$8,COM_All!$C$2:$C$999,"="&amp;'INS-UPD Others'!$A54),"")</f>
        <v>0.49715999166568497</v>
      </c>
      <c r="AE59" s="11">
        <f>IFERROR(AVERAGEIFS(COM_All!AH$2:AH$999,COM_All!$B$2:$B$999,"="&amp;$A$8,COM_All!$C$2:$C$999,"="&amp;'INS-UPD Others'!$A54),"")</f>
        <v>0.499767190606692</v>
      </c>
      <c r="AF59" s="11">
        <f>IFERROR(AVERAGEIFS(COM_All!AI$2:AI$999,COM_All!$B$2:$B$999,"="&amp;$A$8,COM_All!$C$2:$C$999,"="&amp;'INS-UPD Others'!$A54),"")</f>
        <v>0.50436436884512104</v>
      </c>
      <c r="AG59" s="11">
        <f>IFERROR(AVERAGEIFS(COM_All!AJ$2:AJ$999,COM_All!$B$2:$B$999,"="&amp;$A$8,COM_All!$C$2:$C$999,"="&amp;'INS-UPD Others'!$A54),"")</f>
        <v>0.44078242080273</v>
      </c>
      <c r="AH59" s="11">
        <f>IFERROR(AVERAGEIFS(COM_All!AK$2:AK$999,COM_All!$B$2:$B$999,"="&amp;$A$8,COM_All!$C$2:$C$999,"="&amp;'INS-UPD Others'!$A54),"")</f>
        <v>0.44078242080273</v>
      </c>
      <c r="AI59" s="11">
        <f>IFERROR(AVERAGEIFS(COM_All!AL$2:AL$999,COM_All!$B$2:$B$999,"="&amp;$A$8,COM_All!$C$2:$C$999,"="&amp;'INS-UPD Others'!$A54),"")</f>
        <v>0.45000000000000001</v>
      </c>
      <c r="AJ59" s="11">
        <f>IFERROR(AVERAGEIFS(COM_All!AM$2:AM$999,COM_All!$B$2:$B$999,"="&amp;$A$8,COM_All!$C$2:$C$999,"="&amp;'INS-UPD Others'!$A54),"")</f>
        <v>0.51045632683139197</v>
      </c>
      <c r="AK59" s="11">
        <f>IFERROR(AVERAGEIFS(COM_All!AN$2:AN$999,COM_All!$B$2:$B$999,"="&amp;$A$8,COM_All!$C$2:$C$999,"="&amp;'INS-UPD Others'!$A54),"")</f>
        <v>0.47283325773161</v>
      </c>
      <c r="AL59" s="11">
        <f>IFERROR(AVERAGEIFS(COM_All!AO$2:AO$999,COM_All!$B$2:$B$999,"="&amp;$A$8,COM_All!$C$2:$C$999,"="&amp;'INS-UPD Others'!$A54),"")</f>
        <v>0.50436139170635896</v>
      </c>
      <c r="AM59" s="11">
        <f>IFERROR(AVERAGEIFS(COM_All!AP$2:AP$999,COM_All!$B$2:$B$999,"="&amp;$A$8,COM_All!$C$2:$C$999,"="&amp;'INS-UPD Others'!$A54),"")</f>
        <v>0.44466287326690601</v>
      </c>
      <c r="AN59" s="11">
        <f>IFERROR(AVERAGEIFS(COM_All!AQ$2:AQ$999,COM_All!$B$2:$B$999,"="&amp;$A$8,COM_All!$C$2:$C$999,"="&amp;'INS-UPD Others'!$A54),"")</f>
        <v>0.53669731526162601</v>
      </c>
      <c r="AO59" s="11">
        <f>IFERROR(AVERAGEIFS(COM_All!AR$2:AR$999,COM_All!$B$2:$B$999,"="&amp;$A$8,COM_All!$C$2:$C$999,"="&amp;'INS-UPD Others'!$A54),"")</f>
        <v>0.44078242080273</v>
      </c>
      <c r="AP59" s="11">
        <f>IFERROR(AVERAGEIFS(COM_All!AS$2:AS$999,COM_All!$B$2:$B$999,"="&amp;$A$8,COM_All!$C$2:$C$999,"="&amp;'INS-UPD Others'!$A54),"")</f>
        <v>0.52920065631178304</v>
      </c>
      <c r="AQ59" s="11">
        <f>IFERROR(AVERAGEIFS(COM_All!AT$2:AT$999,COM_All!$B$2:$B$999,"="&amp;$A$8,COM_All!$C$2:$C$999,"="&amp;'INS-UPD Others'!$A54),"")</f>
        <v>0.52611890426047603</v>
      </c>
      <c r="AR59" s="11">
        <f>IFERROR(AVERAGEIFS(COM_All!AU$2:AU$999,COM_All!$B$2:$B$999,"="&amp;$A$8,COM_All!$C$2:$C$999,"="&amp;'INS-UPD Others'!$A54),"")</f>
        <v>0.54825829656095804</v>
      </c>
      <c r="AS59" s="12">
        <f>IFERROR(AVERAGEIFS(COM_All!AV$2:AV$999,COM_All!$B$2:$B$999,"="&amp;$A$8,COM_All!$C$2:$C$999,"="&amp;'INS-UPD Others'!$A54),"")</f>
        <v>0.49502196326974202</v>
      </c>
    </row>
    <row r="60" spans="9:45" ht="12.75">
      <c r="I60" s="13">
        <f>IFERROR(AVERAGEIFS(COM_All!L$2:L$999,COM_All!$B$2:$B$999,"="&amp;$A$8,COM_All!$C$2:$C$999,"="&amp;'INS-UPD Others'!$A55),"")</f>
        <v>0.40929684576721997</v>
      </c>
      <c r="J60" s="14">
        <f>IFERROR(AVERAGEIFS(COM_All!M$2:M$999,COM_All!$B$2:$B$999,"="&amp;$A$8,COM_All!$C$2:$C$999,"="&amp;'INS-UPD Others'!$A55),"")</f>
        <v>0.47399779245620999</v>
      </c>
      <c r="K60" s="14">
        <f>IFERROR(AVERAGEIFS(COM_All!N$2:N$999,COM_All!$B$2:$B$999,"="&amp;$A$8,COM_All!$C$2:$C$999,"="&amp;'INS-UPD Others'!$A55),"")</f>
        <v>0.40929684576721997</v>
      </c>
      <c r="L60" s="14">
        <f>IFERROR(AVERAGEIFS(COM_All!O$2:O$999,COM_All!$B$2:$B$999,"="&amp;$A$8,COM_All!$C$2:$C$999,"="&amp;'INS-UPD Others'!$A55),"")</f>
        <v>0.50917960381027705</v>
      </c>
      <c r="M60" s="14">
        <f>IFERROR(AVERAGEIFS(COM_All!P$2:P$999,COM_All!$B$2:$B$999,"="&amp;$A$8,COM_All!$C$2:$C$999,"="&amp;'INS-UPD Others'!$A55),"")</f>
        <v>0.44273004595327697</v>
      </c>
      <c r="N60" s="14">
        <f>IFERROR(AVERAGEIFS(COM_All!Q$2:Q$999,COM_All!$B$2:$B$999,"="&amp;$A$8,COM_All!$C$2:$C$999,"="&amp;'INS-UPD Others'!$A55),"")</f>
        <v>0.460258436911966</v>
      </c>
      <c r="O60" s="14">
        <f>IFERROR(AVERAGEIFS(COM_All!R$2:R$999,COM_All!$B$2:$B$999,"="&amp;$A$8,COM_All!$C$2:$C$999,"="&amp;'INS-UPD Others'!$A55),"")</f>
        <v>0.45000000000000001</v>
      </c>
      <c r="P60" s="14">
        <f>IFERROR(AVERAGEIFS(COM_All!S$2:S$999,COM_All!$B$2:$B$999,"="&amp;$A$8,COM_All!$C$2:$C$999,"="&amp;'INS-UPD Others'!$A55),"")</f>
        <v>0.45000000000000001</v>
      </c>
      <c r="Q60" s="14">
        <f>IFERROR(AVERAGEIFS(COM_All!T$2:T$999,COM_All!$B$2:$B$999,"="&amp;$A$8,COM_All!$C$2:$C$999,"="&amp;'INS-UPD Others'!$A55),"")</f>
        <v>0.460258436911966</v>
      </c>
      <c r="R60" s="14">
        <f>IFERROR(AVERAGEIFS(COM_All!U$2:U$999,COM_All!$B$2:$B$999,"="&amp;$A$8,COM_All!$C$2:$C$999,"="&amp;'INS-UPD Others'!$A55),"")</f>
        <v>0.439059450354021</v>
      </c>
      <c r="S60" s="14">
        <f>IFERROR(AVERAGEIFS(COM_All!V$2:V$999,COM_All!$B$2:$B$999,"="&amp;$A$8,COM_All!$C$2:$C$999,"="&amp;'INS-UPD Others'!$A55),"")</f>
        <v>0.43918884035973499</v>
      </c>
      <c r="T60" s="14">
        <f>IFERROR(AVERAGEIFS(COM_All!W$2:W$999,COM_All!$B$2:$B$999,"="&amp;$A$8,COM_All!$C$2:$C$999,"="&amp;'INS-UPD Others'!$A55),"")</f>
        <v>0.40929684576721997</v>
      </c>
      <c r="U60" s="14">
        <f>IFERROR(AVERAGEIFS(COM_All!X$2:X$999,COM_All!$B$2:$B$999,"="&amp;$A$8,COM_All!$C$2:$C$999,"="&amp;'INS-UPD Others'!$A55),"")</f>
        <v>0.42885932203389798</v>
      </c>
      <c r="V60" s="14">
        <f>IFERROR(AVERAGEIFS(COM_All!Y$2:Y$999,COM_All!$B$2:$B$999,"="&amp;$A$8,COM_All!$C$2:$C$999,"="&amp;'INS-UPD Others'!$A55),"")</f>
        <v>0.45000000000000001</v>
      </c>
      <c r="W60" s="14">
        <f>IFERROR(AVERAGEIFS(COM_All!Z$2:Z$999,COM_All!$B$2:$B$999,"="&amp;$A$8,COM_All!$C$2:$C$999,"="&amp;'INS-UPD Others'!$A55),"")</f>
        <v>0.45852511541776902</v>
      </c>
      <c r="X60" s="14">
        <f>IFERROR(AVERAGEIFS(COM_All!AA$2:AA$999,COM_All!$B$2:$B$999,"="&amp;$A$8,COM_All!$C$2:$C$999,"="&amp;'INS-UPD Others'!$A55),"")</f>
        <v>0.47338263464371</v>
      </c>
      <c r="Y60" s="14">
        <f>IFERROR(AVERAGEIFS(COM_All!AB$2:AB$999,COM_All!$B$2:$B$999,"="&amp;$A$8,COM_All!$C$2:$C$999,"="&amp;'INS-UPD Others'!$A55),"")</f>
        <v>0.491941071363454</v>
      </c>
      <c r="Z60" s="14">
        <f>IFERROR(AVERAGEIFS(COM_All!AC$2:AC$999,COM_All!$B$2:$B$999,"="&amp;$A$8,COM_All!$C$2:$C$999,"="&amp;'INS-UPD Others'!$A55),"")</f>
        <v>0.46819527707702402</v>
      </c>
      <c r="AA60" s="14">
        <f>IFERROR(AVERAGEIFS(COM_All!AD$2:AD$999,COM_All!$B$2:$B$999,"="&amp;$A$8,COM_All!$C$2:$C$999,"="&amp;'INS-UPD Others'!$A55),"")</f>
        <v>0.439059450354021</v>
      </c>
      <c r="AB60" s="14">
        <f>IFERROR(AVERAGEIFS(COM_All!AE$2:AE$999,COM_All!$B$2:$B$999,"="&amp;$A$8,COM_All!$C$2:$C$999,"="&amp;'INS-UPD Others'!$A55),"")</f>
        <v>0.49478053759782198</v>
      </c>
      <c r="AC60" s="14">
        <f>IFERROR(AVERAGEIFS(COM_All!AF$2:AF$999,COM_All!$B$2:$B$999,"="&amp;$A$8,COM_All!$C$2:$C$999,"="&amp;'INS-UPD Others'!$A55),"")</f>
        <v>0.40929684576721997</v>
      </c>
      <c r="AD60" s="14">
        <f>IFERROR(AVERAGEIFS(COM_All!AG$2:AG$999,COM_All!$B$2:$B$999,"="&amp;$A$8,COM_All!$C$2:$C$999,"="&amp;'INS-UPD Others'!$A55),"")</f>
        <v>0.45000000000000001</v>
      </c>
      <c r="AE60" s="14">
        <f>IFERROR(AVERAGEIFS(COM_All!AH$2:AH$999,COM_All!$B$2:$B$999,"="&amp;$A$8,COM_All!$C$2:$C$999,"="&amp;'INS-UPD Others'!$A55),"")</f>
        <v>0.46407062786380499</v>
      </c>
      <c r="AF60" s="14">
        <f>IFERROR(AVERAGEIFS(COM_All!AI$2:AI$999,COM_All!$B$2:$B$999,"="&amp;$A$8,COM_All!$C$2:$C$999,"="&amp;'INS-UPD Others'!$A55),"")</f>
        <v>0.46833590453519103</v>
      </c>
      <c r="AG60" s="14">
        <f>IFERROR(AVERAGEIFS(COM_All!AJ$2:AJ$999,COM_All!$B$2:$B$999,"="&amp;$A$8,COM_All!$C$2:$C$999,"="&amp;'INS-UPD Others'!$A55),"")</f>
        <v>0.40929684576721997</v>
      </c>
      <c r="AH60" s="14">
        <f>IFERROR(AVERAGEIFS(COM_All!AK$2:AK$999,COM_All!$B$2:$B$999,"="&amp;$A$8,COM_All!$C$2:$C$999,"="&amp;'INS-UPD Others'!$A55),"")</f>
        <v>0.40929684576721997</v>
      </c>
      <c r="AI60" s="14">
        <f>IFERROR(AVERAGEIFS(COM_All!AL$2:AL$999,COM_All!$B$2:$B$999,"="&amp;$A$8,COM_All!$C$2:$C$999,"="&amp;'INS-UPD Others'!$A55),"")</f>
        <v>0.450792490865566</v>
      </c>
      <c r="AJ60" s="14">
        <f>IFERROR(AVERAGEIFS(COM_All!AM$2:AM$999,COM_All!$B$2:$B$999,"="&amp;$A$8,COM_All!$C$2:$C$999,"="&amp;'INS-UPD Others'!$A55),"")</f>
        <v>0.47399636686334601</v>
      </c>
      <c r="AK60" s="14">
        <f>IFERROR(AVERAGEIFS(COM_All!AN$2:AN$999,COM_All!$B$2:$B$999,"="&amp;$A$8,COM_All!$C$2:$C$999,"="&amp;'INS-UPD Others'!$A55),"")</f>
        <v>0.439059450354021</v>
      </c>
      <c r="AL60" s="14">
        <f>IFERROR(AVERAGEIFS(COM_All!AO$2:AO$999,COM_All!$B$2:$B$999,"="&amp;$A$8,COM_All!$C$2:$C$999,"="&amp;'INS-UPD Others'!$A55),"")</f>
        <v>0.46833542979797799</v>
      </c>
      <c r="AM60" s="14">
        <f>IFERROR(AVERAGEIFS(COM_All!AP$2:AP$999,COM_All!$B$2:$B$999,"="&amp;$A$8,COM_All!$C$2:$C$999,"="&amp;'INS-UPD Others'!$A55),"")</f>
        <v>0.41290181214459198</v>
      </c>
      <c r="AN60" s="14">
        <f>IFERROR(AVERAGEIFS(COM_All!AQ$2:AQ$999,COM_All!$B$2:$B$999,"="&amp;$A$8,COM_All!$C$2:$C$999,"="&amp;'INS-UPD Others'!$A55),"")</f>
        <v>0.49836110602453798</v>
      </c>
      <c r="AO60" s="14">
        <f>IFERROR(AVERAGEIFS(COM_All!AR$2:AR$999,COM_All!$B$2:$B$999,"="&amp;$A$8,COM_All!$C$2:$C$999,"="&amp;'INS-UPD Others'!$A55),"")</f>
        <v>0.40929684576721997</v>
      </c>
      <c r="AP60" s="14">
        <f>IFERROR(AVERAGEIFS(COM_All!AS$2:AS$999,COM_All!$B$2:$B$999,"="&amp;$A$8,COM_All!$C$2:$C$999,"="&amp;'INS-UPD Others'!$A55),"")</f>
        <v>0.49139976018145298</v>
      </c>
      <c r="AQ60" s="14">
        <f>IFERROR(AVERAGEIFS(COM_All!AT$2:AT$999,COM_All!$B$2:$B$999,"="&amp;$A$8,COM_All!$C$2:$C$999,"="&amp;'INS-UPD Others'!$A55),"")</f>
        <v>0.48853674807877301</v>
      </c>
      <c r="AR60" s="14">
        <f>IFERROR(AVERAGEIFS(COM_All!AU$2:AU$999,COM_All!$B$2:$B$999,"="&amp;$A$8,COM_All!$C$2:$C$999,"="&amp;'INS-UPD Others'!$A55),"")</f>
        <v>0.50909826394741298</v>
      </c>
      <c r="AS60" s="15">
        <f>IFERROR(AVERAGEIFS(COM_All!AV$2:AV$999,COM_All!$B$2:$B$999,"="&amp;$A$8,COM_All!$C$2:$C$999,"="&amp;'INS-UPD Others'!$A55),"")</f>
        <v>0.45000000000000001</v>
      </c>
    </row>
    <row r="63" spans="1:3" ht="15">
      <c r="A63" s="6" t="s">
        <v>103</v>
      </c>
      <c r="C63" s="4" t="s">
        <v>51</v>
      </c>
    </row>
    <row r="64" spans="3:45" ht="12.75">
      <c r="C64" t="s">
        <v>35</v>
      </c>
      <c r="D64" t="s">
        <v>48</v>
      </c>
      <c r="E64" t="s">
        <v>43</v>
      </c>
      <c r="F64" t="s">
        <v>39</v>
      </c>
      <c r="G64" t="s">
        <v>49</v>
      </c>
      <c r="H64" t="s">
        <v>46</v>
      </c>
      <c r="I64" t="str">
        <f>RES_SpHeat!L$1</f>
        <v>AL</v>
      </c>
      <c r="J64" t="str">
        <f>RES_SpHeat!M$1</f>
        <v>AT</v>
      </c>
      <c r="K64" t="str">
        <f>RES_SpHeat!N$1</f>
        <v>BA</v>
      </c>
      <c r="L64" t="str">
        <f>RES_SpHeat!O$1</f>
        <v>BE</v>
      </c>
      <c r="M64" t="str">
        <f>RES_SpHeat!P$1</f>
        <v>BG</v>
      </c>
      <c r="N64" t="str">
        <f>RES_SpHeat!Q$1</f>
        <v>CH</v>
      </c>
      <c r="O64" t="str">
        <f>RES_SpHeat!R$1</f>
        <v>CY</v>
      </c>
      <c r="P64" t="str">
        <f>RES_SpHeat!S$1</f>
        <v>CZ</v>
      </c>
      <c r="Q64" t="str">
        <f>RES_SpHeat!T$1</f>
        <v>DE</v>
      </c>
      <c r="R64" t="str">
        <f>RES_SpHeat!U$1</f>
        <v>DK</v>
      </c>
      <c r="S64" t="str">
        <f>RES_SpHeat!V$1</f>
        <v>EE</v>
      </c>
      <c r="T64" t="str">
        <f>RES_SpHeat!W$1</f>
        <v>EL</v>
      </c>
      <c r="U64" t="str">
        <f>RES_SpHeat!X$1</f>
        <v>ES</v>
      </c>
      <c r="V64" t="str">
        <f>RES_SpHeat!Y$1</f>
        <v>FI</v>
      </c>
      <c r="W64" t="str">
        <f>RES_SpHeat!Z$1</f>
        <v>FR</v>
      </c>
      <c r="X64" t="str">
        <f>RES_SpHeat!AA$1</f>
        <v>HR</v>
      </c>
      <c r="Y64" t="str">
        <f>RES_SpHeat!AB$1</f>
        <v>HU</v>
      </c>
      <c r="Z64" t="str">
        <f>RES_SpHeat!AC$1</f>
        <v>IE</v>
      </c>
      <c r="AA64" t="str">
        <f>RES_SpHeat!AD$1</f>
        <v>IS</v>
      </c>
      <c r="AB64" t="str">
        <f>RES_SpHeat!AE$1</f>
        <v>IT</v>
      </c>
      <c r="AC64" t="str">
        <f>RES_SpHeat!AF$1</f>
        <v>KS</v>
      </c>
      <c r="AD64" t="str">
        <f>RES_SpHeat!AG$1</f>
        <v>LT</v>
      </c>
      <c r="AE64" t="str">
        <f>RES_SpHeat!AH$1</f>
        <v>LU</v>
      </c>
      <c r="AF64" t="str">
        <f>RES_SpHeat!AI$1</f>
        <v>LV</v>
      </c>
      <c r="AG64" t="str">
        <f>RES_SpHeat!AJ$1</f>
        <v>ME</v>
      </c>
      <c r="AH64" t="str">
        <f>RES_SpHeat!AK$1</f>
        <v>MK</v>
      </c>
      <c r="AI64" t="str">
        <f>RES_SpHeat!AL$1</f>
        <v>MT</v>
      </c>
      <c r="AJ64" t="str">
        <f>RES_SpHeat!AM$1</f>
        <v>NL</v>
      </c>
      <c r="AK64" t="str">
        <f>RES_SpHeat!AN$1</f>
        <v>NO</v>
      </c>
      <c r="AL64" t="str">
        <f>RES_SpHeat!AO$1</f>
        <v>PL</v>
      </c>
      <c r="AM64" t="str">
        <f>RES_SpHeat!AP$1</f>
        <v>PT</v>
      </c>
      <c r="AN64" t="str">
        <f>RES_SpHeat!AQ$1</f>
        <v>RO</v>
      </c>
      <c r="AO64" t="str">
        <f>RES_SpHeat!AR$1</f>
        <v>RS</v>
      </c>
      <c r="AP64" t="str">
        <f>RES_SpHeat!AS$1</f>
        <v>SE</v>
      </c>
      <c r="AQ64" t="str">
        <f>RES_SpHeat!AT$1</f>
        <v>SI</v>
      </c>
      <c r="AR64" t="str">
        <f>RES_SpHeat!AU$1</f>
        <v>SK</v>
      </c>
      <c r="AS64" t="str">
        <f>RES_SpHeat!AV$1</f>
        <v>UK</v>
      </c>
    </row>
    <row r="65" spans="1:45" ht="12.75">
      <c r="A65" t="s">
        <v>195</v>
      </c>
      <c r="C65" t="s">
        <v>29</v>
      </c>
      <c r="D65" t="str">
        <f t="shared" si="13" ref="D65:D70">"*N-"&amp;MID(A65,8,20)</f>
        <v>*N-BuildLight*</v>
      </c>
      <c r="H65" s="37"/>
      <c r="I65" s="45" t="str">
        <f>IF(I72&lt;&gt;"","*"&amp;1/I72,"")</f>
        <v>*11.9382231318073</v>
      </c>
      <c r="J65" s="45" t="str">
        <f t="shared" si="14" ref="J65:AS65">IF(J72&lt;&gt;"","*"&amp;1/J72,"")</f>
        <v>*15.5706639205547</v>
      </c>
      <c r="K65" s="45" t="str">
        <f t="shared" si="14"/>
        <v>*11.9382231318073</v>
      </c>
      <c r="L65" s="45" t="str">
        <f t="shared" si="14"/>
        <v>*12.6436918629601</v>
      </c>
      <c r="M65" s="45" t="str">
        <f t="shared" si="14"/>
        <v>*11.4401242229437</v>
      </c>
      <c r="N65" s="45" t="str">
        <f t="shared" si="14"/>
        <v>*15.5706639205547</v>
      </c>
      <c r="O65" s="45" t="str">
        <f t="shared" si="14"/>
        <v>*11.8645342779354</v>
      </c>
      <c r="P65" s="45" t="str">
        <f t="shared" si="14"/>
        <v>*12.5683333339125</v>
      </c>
      <c r="Q65" s="45" t="str">
        <f t="shared" si="14"/>
        <v>*11.5522633133428</v>
      </c>
      <c r="R65" s="45" t="str">
        <f t="shared" si="14"/>
        <v>*14.9327335550708</v>
      </c>
      <c r="S65" s="45" t="str">
        <f t="shared" si="14"/>
        <v>*11.929063245313</v>
      </c>
      <c r="T65" s="45" t="str">
        <f t="shared" si="14"/>
        <v>*11.9382231318073</v>
      </c>
      <c r="U65" s="45" t="str">
        <f t="shared" si="14"/>
        <v>*12.4447258528716</v>
      </c>
      <c r="V65" s="45" t="str">
        <f t="shared" si="14"/>
        <v>*12.1466993012518</v>
      </c>
      <c r="W65" s="45" t="str">
        <f t="shared" si="14"/>
        <v>*11.8610083580635</v>
      </c>
      <c r="X65" s="45" t="str">
        <f t="shared" si="14"/>
        <v>*12.0043304089857</v>
      </c>
      <c r="Y65" s="45" t="str">
        <f t="shared" si="14"/>
        <v>*12.8226758618259</v>
      </c>
      <c r="Z65" s="45" t="str">
        <f t="shared" si="14"/>
        <v>*11.8768989866622</v>
      </c>
      <c r="AA65" s="45" t="str">
        <f t="shared" si="14"/>
        <v>*11.9061619364341</v>
      </c>
      <c r="AB65" s="45" t="str">
        <f t="shared" si="14"/>
        <v>*14.3988839598136</v>
      </c>
      <c r="AC65" s="45" t="str">
        <f t="shared" si="14"/>
        <v>*11.9382231318073</v>
      </c>
      <c r="AD65" s="45" t="str">
        <f t="shared" si="14"/>
        <v>*12.4503814859143</v>
      </c>
      <c r="AE65" s="45" t="str">
        <f t="shared" si="14"/>
        <v>*11.7817592147453</v>
      </c>
      <c r="AF65" s="45" t="str">
        <f t="shared" si="14"/>
        <v>*11.958032455578</v>
      </c>
      <c r="AG65" s="45" t="str">
        <f t="shared" si="14"/>
        <v>*11.9382231318073</v>
      </c>
      <c r="AH65" s="45" t="str">
        <f t="shared" si="14"/>
        <v>*11.9382231318073</v>
      </c>
      <c r="AI65" s="45" t="str">
        <f t="shared" si="14"/>
        <v>*11.9270683141349</v>
      </c>
      <c r="AJ65" s="45" t="str">
        <f t="shared" si="14"/>
        <v>*17.0921378738353</v>
      </c>
      <c r="AK65" s="45" t="str">
        <f t="shared" si="14"/>
        <v>*11.9061619364341</v>
      </c>
      <c r="AL65" s="45" t="str">
        <f t="shared" si="14"/>
        <v>*11.8666040907933</v>
      </c>
      <c r="AM65" s="45" t="str">
        <f t="shared" si="14"/>
        <v>*12.0520820374613</v>
      </c>
      <c r="AN65" s="45" t="str">
        <f t="shared" si="14"/>
        <v>*16.4296724685553</v>
      </c>
      <c r="AO65" s="45" t="str">
        <f t="shared" si="14"/>
        <v>*11.9382231318073</v>
      </c>
      <c r="AP65" s="45" t="str">
        <f t="shared" si="14"/>
        <v>*11.9061619364341</v>
      </c>
      <c r="AQ65" s="45" t="str">
        <f t="shared" si="14"/>
        <v>*11.8404420209265</v>
      </c>
      <c r="AR65" s="45" t="str">
        <f t="shared" si="14"/>
        <v>*11.8783410333905</v>
      </c>
      <c r="AS65" s="47" t="str">
        <f t="shared" si="14"/>
        <v>*11.808739120231</v>
      </c>
    </row>
    <row r="66" spans="1:45" ht="12.75">
      <c r="A66" t="s">
        <v>196</v>
      </c>
      <c r="C66" t="s">
        <v>29</v>
      </c>
      <c r="D66" t="str">
        <f t="shared" si="13"/>
        <v>*N-BuildTech*</v>
      </c>
      <c r="H66" s="40"/>
      <c r="I66" t="str">
        <f t="shared" si="15" ref="I66:AS66">IF(I73&lt;&gt;"","*"&amp;1/I73,"")</f>
        <v>*5.79501400897696</v>
      </c>
      <c r="J66" t="str">
        <f t="shared" si="15"/>
        <v>*7.58032953089576</v>
      </c>
      <c r="K66" t="str">
        <f t="shared" si="15"/>
        <v>*5.79501400897696</v>
      </c>
      <c r="L66" t="str">
        <f t="shared" si="15"/>
        <v>*7.00515182754167</v>
      </c>
      <c r="M66" t="str">
        <f t="shared" si="15"/>
        <v>*6.0167384378728</v>
      </c>
      <c r="N66" t="str">
        <f t="shared" si="15"/>
        <v>*7.58032953089576</v>
      </c>
      <c r="O66" t="str">
        <f t="shared" si="15"/>
        <v>*5.78802241296916</v>
      </c>
      <c r="P66" t="str">
        <f t="shared" si="15"/>
        <v>*6.86165963630393</v>
      </c>
      <c r="Q66" t="str">
        <f t="shared" si="15"/>
        <v>*9.78235018204463</v>
      </c>
      <c r="R66" t="str">
        <f t="shared" si="15"/>
        <v>*7.24313674049465</v>
      </c>
      <c r="S66" t="str">
        <f t="shared" si="15"/>
        <v>*5.88894948222486</v>
      </c>
      <c r="T66" t="str">
        <f t="shared" si="15"/>
        <v>*5.79501400897696</v>
      </c>
      <c r="U66" t="str">
        <f t="shared" si="15"/>
        <v>*5.59068550043127</v>
      </c>
      <c r="V66" t="str">
        <f t="shared" si="15"/>
        <v>*7.33699594668856</v>
      </c>
      <c r="W66" t="str">
        <f t="shared" si="15"/>
        <v>*6.88483987201209</v>
      </c>
      <c r="X66" t="str">
        <f t="shared" si="15"/>
        <v>*5.75148739735119</v>
      </c>
      <c r="Y66" t="str">
        <f t="shared" si="15"/>
        <v>*5.59265833276637</v>
      </c>
      <c r="Z66" t="str">
        <f t="shared" si="15"/>
        <v>*6.88766190045009</v>
      </c>
      <c r="AA66" t="str">
        <f t="shared" si="15"/>
        <v>*7.35759300884345</v>
      </c>
      <c r="AB66" t="str">
        <f t="shared" si="15"/>
        <v>*6.40058034945112</v>
      </c>
      <c r="AC66" t="str">
        <f t="shared" si="15"/>
        <v>*5.79501400897696</v>
      </c>
      <c r="AD66" t="str">
        <f t="shared" si="15"/>
        <v>*5.80841518295672</v>
      </c>
      <c r="AE66" t="str">
        <f t="shared" si="15"/>
        <v>*7.2660825672898</v>
      </c>
      <c r="AF66" t="str">
        <f t="shared" si="15"/>
        <v>*5.874109007864</v>
      </c>
      <c r="AG66" t="str">
        <f t="shared" si="15"/>
        <v>*5.79501400897696</v>
      </c>
      <c r="AH66" t="str">
        <f t="shared" si="15"/>
        <v>*5.79501400897696</v>
      </c>
      <c r="AI66" t="str">
        <f t="shared" si="15"/>
        <v>*6.95164117865528</v>
      </c>
      <c r="AJ66" t="str">
        <f t="shared" si="15"/>
        <v>*7.3689140417538</v>
      </c>
      <c r="AK66" t="str">
        <f t="shared" si="15"/>
        <v>*7.35759300884345</v>
      </c>
      <c r="AL66" t="str">
        <f t="shared" si="15"/>
        <v>*6.4771115133856</v>
      </c>
      <c r="AM66" t="str">
        <f t="shared" si="15"/>
        <v>*5.64329055791232</v>
      </c>
      <c r="AN66" t="str">
        <f t="shared" si="15"/>
        <v>*5.82569858898927</v>
      </c>
      <c r="AO66" t="str">
        <f t="shared" si="15"/>
        <v>*5.79501400897696</v>
      </c>
      <c r="AP66" t="str">
        <f t="shared" si="15"/>
        <v>*7.35759300884345</v>
      </c>
      <c r="AQ66" t="str">
        <f t="shared" si="15"/>
        <v>*5.91603456654482</v>
      </c>
      <c r="AR66" t="str">
        <f t="shared" si="15"/>
        <v>*5.85074949804787</v>
      </c>
      <c r="AS66" s="49" t="str">
        <f t="shared" si="15"/>
        <v>*6.86158651630216</v>
      </c>
    </row>
    <row r="67" spans="1:45" ht="12.75">
      <c r="A67" t="s">
        <v>197</v>
      </c>
      <c r="C67" t="s">
        <v>29</v>
      </c>
      <c r="D67" t="str">
        <f t="shared" si="13"/>
        <v>*N-ICTM*</v>
      </c>
      <c r="H67" s="40"/>
      <c r="I67" t="str">
        <f t="shared" si="16" ref="I67:AS67">IF(I74&lt;&gt;"","*"&amp;1/I74,"")</f>
        <v>*342.656865561417</v>
      </c>
      <c r="J67" t="str">
        <f t="shared" si="16"/>
        <v>*327.562054230693</v>
      </c>
      <c r="K67" t="str">
        <f t="shared" si="16"/>
        <v>*342.656865561417</v>
      </c>
      <c r="L67" t="str">
        <f t="shared" si="16"/>
        <v>*328.226623216217</v>
      </c>
      <c r="M67" t="str">
        <f t="shared" si="16"/>
        <v>*271.13634216213</v>
      </c>
      <c r="N67" t="str">
        <f t="shared" si="16"/>
        <v>*327.562054230693</v>
      </c>
      <c r="O67" t="str">
        <f t="shared" si="16"/>
        <v>*303.470207905172</v>
      </c>
      <c r="P67" t="str">
        <f t="shared" si="16"/>
        <v>*375.203440547929</v>
      </c>
      <c r="Q67" t="str">
        <f t="shared" si="16"/>
        <v>*377.857945881753</v>
      </c>
      <c r="R67" t="str">
        <f t="shared" si="16"/>
        <v>*389.17877816221</v>
      </c>
      <c r="S67" t="str">
        <f t="shared" si="16"/>
        <v>*253.907124647011</v>
      </c>
      <c r="T67" t="str">
        <f t="shared" si="16"/>
        <v>*342.656865561417</v>
      </c>
      <c r="U67" t="str">
        <f t="shared" si="16"/>
        <v>*293.236318298977</v>
      </c>
      <c r="V67" t="str">
        <f t="shared" si="16"/>
        <v>*330.319303679001</v>
      </c>
      <c r="W67" t="str">
        <f t="shared" si="16"/>
        <v>*325.00679975087</v>
      </c>
      <c r="X67" t="str">
        <f t="shared" si="16"/>
        <v>*318.157440122679</v>
      </c>
      <c r="Y67" t="str">
        <f t="shared" si="16"/>
        <v>*363.999003954719</v>
      </c>
      <c r="Z67" t="str">
        <f t="shared" si="16"/>
        <v>*333.591877710942</v>
      </c>
      <c r="AA67" t="str">
        <f t="shared" si="16"/>
        <v>*372.839216893595</v>
      </c>
      <c r="AB67" t="str">
        <f t="shared" si="16"/>
        <v>*365.63281606446</v>
      </c>
      <c r="AC67" t="str">
        <f t="shared" si="16"/>
        <v>*342.656865561417</v>
      </c>
      <c r="AD67" t="str">
        <f t="shared" si="16"/>
        <v>*338.574698333986</v>
      </c>
      <c r="AE67" t="str">
        <f t="shared" si="16"/>
        <v>*338.728092548676</v>
      </c>
      <c r="AF67" t="str">
        <f t="shared" si="16"/>
        <v>*280.733509140992</v>
      </c>
      <c r="AG67" t="str">
        <f t="shared" si="16"/>
        <v>*342.656865561417</v>
      </c>
      <c r="AH67" t="str">
        <f t="shared" si="16"/>
        <v>*342.656865561417</v>
      </c>
      <c r="AI67" t="str">
        <f t="shared" si="16"/>
        <v>*326.213654810126</v>
      </c>
      <c r="AJ67" t="str">
        <f t="shared" si="16"/>
        <v>*389.880017105438</v>
      </c>
      <c r="AK67" t="str">
        <f t="shared" si="16"/>
        <v>*372.839216893595</v>
      </c>
      <c r="AL67" t="str">
        <f t="shared" si="16"/>
        <v>*339.456940584775</v>
      </c>
      <c r="AM67" t="str">
        <f t="shared" si="16"/>
        <v>*302.485510324603</v>
      </c>
      <c r="AN67" t="str">
        <f t="shared" si="16"/>
        <v>*338.358167910386</v>
      </c>
      <c r="AO67" t="str">
        <f t="shared" si="16"/>
        <v>*342.656865561417</v>
      </c>
      <c r="AP67" t="str">
        <f t="shared" si="16"/>
        <v>*372.839216893595</v>
      </c>
      <c r="AQ67" t="str">
        <f t="shared" si="16"/>
        <v>*302.376346341626</v>
      </c>
      <c r="AR67" t="str">
        <f t="shared" si="16"/>
        <v>*360.513868195761</v>
      </c>
      <c r="AS67" s="49" t="str">
        <f t="shared" si="16"/>
        <v>*339.161396505455</v>
      </c>
    </row>
    <row r="68" spans="1:45" ht="12.75">
      <c r="A68" t="s">
        <v>198</v>
      </c>
      <c r="C68" t="s">
        <v>29</v>
      </c>
      <c r="D68" t="str">
        <f t="shared" si="13"/>
        <v>*N-Refrig*</v>
      </c>
      <c r="H68" s="40"/>
      <c r="I68" t="str">
        <f t="shared" si="17" ref="I68:AS68">IF(I75&lt;&gt;"","*"&amp;1/I75,"")</f>
        <v>*57.9420007017666</v>
      </c>
      <c r="J68" t="str">
        <f t="shared" si="17"/>
        <v>*54.6138511375061</v>
      </c>
      <c r="K68" t="str">
        <f t="shared" si="17"/>
        <v>*57.9420007017666</v>
      </c>
      <c r="L68" t="str">
        <f t="shared" si="17"/>
        <v>*52.3873951867233</v>
      </c>
      <c r="M68" t="str">
        <f t="shared" si="17"/>
        <v>*49.1408919488789</v>
      </c>
      <c r="N68" t="str">
        <f t="shared" si="17"/>
        <v>*54.6138511375061</v>
      </c>
      <c r="O68" t="str">
        <f t="shared" si="17"/>
        <v>*47.0647833525134</v>
      </c>
      <c r="P68" t="str">
        <f t="shared" si="17"/>
        <v>*50.4250310676017</v>
      </c>
      <c r="Q68" t="str">
        <f t="shared" si="17"/>
        <v>*59.4143946356241</v>
      </c>
      <c r="R68" t="str">
        <f t="shared" si="17"/>
        <v>*59.3536620966</v>
      </c>
      <c r="S68" t="str">
        <f t="shared" si="17"/>
        <v>*46.8782581892409</v>
      </c>
      <c r="T68" t="str">
        <f t="shared" si="17"/>
        <v>*57.9420007017666</v>
      </c>
      <c r="U68" t="str">
        <f t="shared" si="17"/>
        <v>*55.773414907603</v>
      </c>
      <c r="V68" t="str">
        <f t="shared" si="17"/>
        <v>*55.4900408079123</v>
      </c>
      <c r="W68" t="str">
        <f t="shared" si="17"/>
        <v>*51.0215295230284</v>
      </c>
      <c r="X68" t="str">
        <f t="shared" si="17"/>
        <v>*52.3337419545478</v>
      </c>
      <c r="Y68" t="str">
        <f t="shared" si="17"/>
        <v>*51.6678975554828</v>
      </c>
      <c r="Z68" t="str">
        <f t="shared" si="17"/>
        <v>*54.5206018018356</v>
      </c>
      <c r="AA68" t="str">
        <f t="shared" si="17"/>
        <v>*57.0144613211543</v>
      </c>
      <c r="AB68" t="str">
        <f t="shared" si="17"/>
        <v>*55.6406614222334</v>
      </c>
      <c r="AC68" t="str">
        <f t="shared" si="17"/>
        <v>*57.9420007017666</v>
      </c>
      <c r="AD68" t="str">
        <f t="shared" si="17"/>
        <v>*49.147575492151</v>
      </c>
      <c r="AE68" t="str">
        <f t="shared" si="17"/>
        <v>*56.2115661820506</v>
      </c>
      <c r="AF68" t="str">
        <f t="shared" si="17"/>
        <v>*50.333738863592</v>
      </c>
      <c r="AG68" t="str">
        <f t="shared" si="17"/>
        <v>*57.9420007017666</v>
      </c>
      <c r="AH68" t="str">
        <f t="shared" si="17"/>
        <v>*57.9420007017666</v>
      </c>
      <c r="AI68" t="str">
        <f t="shared" si="17"/>
        <v>*46.6220866337818</v>
      </c>
      <c r="AJ68" t="str">
        <f t="shared" si="17"/>
        <v>*61.2428617293834</v>
      </c>
      <c r="AK68" t="str">
        <f t="shared" si="17"/>
        <v>*57.0144613211543</v>
      </c>
      <c r="AL68" t="str">
        <f t="shared" si="17"/>
        <v>*54.7483996137832</v>
      </c>
      <c r="AM68" t="str">
        <f t="shared" si="17"/>
        <v>*51.5933308959447</v>
      </c>
      <c r="AN68" t="str">
        <f t="shared" si="17"/>
        <v>*57.0841728554751</v>
      </c>
      <c r="AO68" t="str">
        <f t="shared" si="17"/>
        <v>*57.9420007017666</v>
      </c>
      <c r="AP68" t="str">
        <f t="shared" si="17"/>
        <v>*57.0144613211543</v>
      </c>
      <c r="AQ68" t="str">
        <f t="shared" si="17"/>
        <v>*46.2746778290292</v>
      </c>
      <c r="AR68" t="str">
        <f t="shared" si="17"/>
        <v>*47.9488258172432</v>
      </c>
      <c r="AS68" s="49" t="str">
        <f t="shared" si="17"/>
        <v>*61.0000679969329</v>
      </c>
    </row>
    <row r="69" spans="1:45" ht="12.75">
      <c r="A69" t="s">
        <v>199</v>
      </c>
      <c r="C69" t="s">
        <v>29</v>
      </c>
      <c r="D69" t="str">
        <f t="shared" si="13"/>
        <v>*N-StLight*</v>
      </c>
      <c r="H69" s="40"/>
      <c r="I69" t="str">
        <f t="shared" si="18" ref="I69:AS70">IF(I76&lt;&gt;"","*"&amp;1/I76,"")</f>
        <v>*349.999920521654</v>
      </c>
      <c r="J69" t="str">
        <f t="shared" si="18"/>
        <v>*361.260034733933</v>
      </c>
      <c r="K69" t="str">
        <f t="shared" si="18"/>
        <v>*349.999920521654</v>
      </c>
      <c r="L69" t="str">
        <f t="shared" si="18"/>
        <v>*371.936589206092</v>
      </c>
      <c r="M69" t="str">
        <f t="shared" si="18"/>
        <v>*332.5326942156</v>
      </c>
      <c r="N69" t="str">
        <f t="shared" si="18"/>
        <v>*361.260034733933</v>
      </c>
      <c r="O69" t="str">
        <f t="shared" si="18"/>
        <v>*347.663133957323</v>
      </c>
      <c r="P69" t="str">
        <f t="shared" si="18"/>
        <v>*367.126532065669</v>
      </c>
      <c r="Q69" t="str">
        <f t="shared" si="18"/>
        <v>*340.394529426656</v>
      </c>
      <c r="R69" t="str">
        <f t="shared" si="18"/>
        <v>*351.479282389416</v>
      </c>
      <c r="S69" t="str">
        <f t="shared" si="18"/>
        <v>*348.72657775752</v>
      </c>
      <c r="T69" t="str">
        <f t="shared" si="18"/>
        <v>*349.999920521654</v>
      </c>
      <c r="U69" t="str">
        <f t="shared" si="18"/>
        <v>*365.988672762714</v>
      </c>
      <c r="V69" t="str">
        <f t="shared" si="18"/>
        <v>*357.793921723255</v>
      </c>
      <c r="W69" t="str">
        <f t="shared" si="18"/>
        <v>*349.293182836168</v>
      </c>
      <c r="X69" t="str">
        <f t="shared" si="18"/>
        <v>*351.654883544514</v>
      </c>
      <c r="Y69" t="str">
        <f t="shared" si="18"/>
        <v>*356.132600626341</v>
      </c>
      <c r="Z69" t="str">
        <f t="shared" si="18"/>
        <v>*349.6271147121</v>
      </c>
      <c r="AA69" t="str">
        <f t="shared" si="18"/>
        <v>*351.382830710594</v>
      </c>
      <c r="AB69" t="str">
        <f t="shared" si="18"/>
        <v>*379.900377251129</v>
      </c>
      <c r="AC69" t="str">
        <f t="shared" si="18"/>
        <v>*349.999920521654</v>
      </c>
      <c r="AD69" t="str">
        <f t="shared" si="18"/>
        <v>*349.751296008498</v>
      </c>
      <c r="AE69" t="str">
        <f t="shared" si="18"/>
        <v>*348.034664683892</v>
      </c>
      <c r="AF69" t="str">
        <f t="shared" si="18"/>
        <v>*349.204767236615</v>
      </c>
      <c r="AG69" t="str">
        <f t="shared" si="18"/>
        <v>*349.999920521654</v>
      </c>
      <c r="AH69" t="str">
        <f t="shared" si="18"/>
        <v>*349.999920521654</v>
      </c>
      <c r="AI69" t="str">
        <f t="shared" si="18"/>
        <v>*348.694771127695</v>
      </c>
      <c r="AJ69" t="str">
        <f t="shared" si="18"/>
        <v>*349.085313041483</v>
      </c>
      <c r="AK69" t="str">
        <f t="shared" si="18"/>
        <v>*351.382830710594</v>
      </c>
      <c r="AL69" t="str">
        <f t="shared" si="18"/>
        <v>*347.695982504364</v>
      </c>
      <c r="AM69" t="str">
        <f t="shared" si="18"/>
        <v>*353.394272720277</v>
      </c>
      <c r="AN69" t="str">
        <f t="shared" si="18"/>
        <v>*522.314470839898</v>
      </c>
      <c r="AO69" t="str">
        <f t="shared" si="18"/>
        <v>*349.999920521654</v>
      </c>
      <c r="AP69" t="str">
        <f t="shared" si="18"/>
        <v>*351.382830710594</v>
      </c>
      <c r="AQ69" t="str">
        <f t="shared" si="18"/>
        <v>*347.262403900068</v>
      </c>
      <c r="AR69" t="str">
        <f t="shared" si="18"/>
        <v>*347.889743974919</v>
      </c>
      <c r="AS69" s="49" t="str">
        <f t="shared" si="18"/>
        <v>*383.216786909381</v>
      </c>
    </row>
    <row r="70" spans="1:45" ht="12.75">
      <c r="A70" t="s">
        <v>200</v>
      </c>
      <c r="C70" t="s">
        <v>29</v>
      </c>
      <c r="D70" t="str">
        <f t="shared" si="13"/>
        <v>*N-Vent*</v>
      </c>
      <c r="H70" s="42"/>
      <c r="I70" s="50" t="str">
        <f>IF(I77&lt;&gt;"","*"&amp;1/I77,"")</f>
        <v>*8.64622174094337</v>
      </c>
      <c r="J70" s="50" t="str">
        <f t="shared" si="18"/>
        <v>*9.80029323562214</v>
      </c>
      <c r="K70" s="50" t="str">
        <f t="shared" si="18"/>
        <v>*8.64622174094337</v>
      </c>
      <c r="L70" s="50" t="str">
        <f t="shared" si="18"/>
        <v>*9.69806670750988</v>
      </c>
      <c r="M70" s="50" t="str">
        <f t="shared" si="18"/>
        <v>*8.46133504734594</v>
      </c>
      <c r="N70" s="50" t="str">
        <f t="shared" si="18"/>
        <v>*9.80029323562214</v>
      </c>
      <c r="O70" s="50" t="str">
        <f t="shared" si="18"/>
        <v>*8.61216868863249</v>
      </c>
      <c r="P70" s="50" t="str">
        <f t="shared" si="18"/>
        <v>*8.52105048299736</v>
      </c>
      <c r="Q70" s="50" t="str">
        <f t="shared" si="18"/>
        <v>*9.80773017665146</v>
      </c>
      <c r="R70" s="50" t="str">
        <f t="shared" si="18"/>
        <v>*9.73383476624794</v>
      </c>
      <c r="S70" s="50" t="str">
        <f t="shared" si="18"/>
        <v>*8.61812814388307</v>
      </c>
      <c r="T70" s="50" t="str">
        <f t="shared" si="18"/>
        <v>*8.64622174094337</v>
      </c>
      <c r="U70" s="50" t="str">
        <f t="shared" si="18"/>
        <v>*8.52385150806023</v>
      </c>
      <c r="V70" s="50" t="str">
        <f t="shared" si="18"/>
        <v>*9.75518036476804</v>
      </c>
      <c r="W70" s="50" t="str">
        <f t="shared" si="18"/>
        <v>*9.37218378706351</v>
      </c>
      <c r="X70" s="50" t="str">
        <f t="shared" si="18"/>
        <v>*8.53429756283233</v>
      </c>
      <c r="Y70" s="50" t="str">
        <f t="shared" si="18"/>
        <v>*8.26682140249207</v>
      </c>
      <c r="Z70" s="50" t="str">
        <f t="shared" si="18"/>
        <v>*9.58072744173074</v>
      </c>
      <c r="AA70" s="50" t="str">
        <f t="shared" si="18"/>
        <v>*9.94769123660588</v>
      </c>
      <c r="AB70" s="50" t="str">
        <f t="shared" si="18"/>
        <v>*9.263746139588</v>
      </c>
      <c r="AC70" s="50" t="str">
        <f t="shared" si="18"/>
        <v>*8.64622174094337</v>
      </c>
      <c r="AD70" s="50" t="str">
        <f t="shared" si="18"/>
        <v>*8.35800611568595</v>
      </c>
      <c r="AE70" s="50" t="str">
        <f t="shared" si="18"/>
        <v>*9.97906797863646</v>
      </c>
      <c r="AF70" s="50" t="str">
        <f t="shared" si="18"/>
        <v>*8.52446506521982</v>
      </c>
      <c r="AG70" s="50" t="str">
        <f t="shared" si="18"/>
        <v>*8.64622174094337</v>
      </c>
      <c r="AH70" s="50" t="str">
        <f t="shared" si="18"/>
        <v>*8.64622174094337</v>
      </c>
      <c r="AI70" s="50" t="str">
        <f t="shared" si="18"/>
        <v>*8.68954524238644</v>
      </c>
      <c r="AJ70" s="50" t="str">
        <f t="shared" si="18"/>
        <v>*9.84278145563949</v>
      </c>
      <c r="AK70" s="50" t="str">
        <f t="shared" si="18"/>
        <v>*9.94769123660588</v>
      </c>
      <c r="AL70" s="50" t="str">
        <f t="shared" si="18"/>
        <v>*8.65729836906331</v>
      </c>
      <c r="AM70" s="50" t="str">
        <f t="shared" si="18"/>
        <v>*8.43130233732688</v>
      </c>
      <c r="AN70" s="50" t="str">
        <f t="shared" si="18"/>
        <v>*8.34718447846099</v>
      </c>
      <c r="AO70" s="50" t="str">
        <f t="shared" si="18"/>
        <v>*8.64622174094337</v>
      </c>
      <c r="AP70" s="50" t="str">
        <f t="shared" si="18"/>
        <v>*9.94769123660588</v>
      </c>
      <c r="AQ70" s="50" t="str">
        <f t="shared" si="18"/>
        <v>*8.85087973894521</v>
      </c>
      <c r="AR70" s="50" t="str">
        <f t="shared" si="18"/>
        <v>*8.66968894458838</v>
      </c>
      <c r="AS70" s="52" t="str">
        <f t="shared" si="18"/>
        <v>*9.52632790813863</v>
      </c>
    </row>
    <row r="72" spans="9:45" ht="12.75">
      <c r="I72" s="7">
        <f>IFERROR(AVERAGEIFS(COM_All!L$2:L$999,COM_All!$B$2:$B$999,"="&amp;$A$63,COM_All!$C$2:$C$999,"="&amp;'INS-UPD Others'!$A65),"")</f>
        <v>0.083764559345156905</v>
      </c>
      <c r="J72" s="8">
        <f>IFERROR(AVERAGEIFS(COM_All!M$2:M$999,COM_All!$B$2:$B$999,"="&amp;$A$63,COM_All!$C$2:$C$999,"="&amp;'INS-UPD Others'!$A65),"")</f>
        <v>0.064223337238684494</v>
      </c>
      <c r="K72" s="8">
        <f>IFERROR(AVERAGEIFS(COM_All!N$2:N$999,COM_All!$B$2:$B$999,"="&amp;$A$63,COM_All!$C$2:$C$999,"="&amp;'INS-UPD Others'!$A65),"")</f>
        <v>0.083764559345156905</v>
      </c>
      <c r="L72" s="8">
        <f>IFERROR(AVERAGEIFS(COM_All!O$2:O$999,COM_All!$B$2:$B$999,"="&amp;$A$63,COM_All!$C$2:$C$999,"="&amp;'INS-UPD Others'!$A65),"")</f>
        <v>0.079090823379642503</v>
      </c>
      <c r="M72" s="8">
        <f>IFERROR(AVERAGEIFS(COM_All!P$2:P$999,COM_All!$B$2:$B$999,"="&amp;$A$63,COM_All!$C$2:$C$999,"="&amp;'INS-UPD Others'!$A65),"")</f>
        <v>0.087411638240296005</v>
      </c>
      <c r="N72" s="8">
        <f>IFERROR(AVERAGEIFS(COM_All!Q$2:Q$999,COM_All!$B$2:$B$999,"="&amp;$A$63,COM_All!$C$2:$C$999,"="&amp;'INS-UPD Others'!$A65),"")</f>
        <v>0.064223337238684494</v>
      </c>
      <c r="O72" s="8">
        <f>IFERROR(AVERAGEIFS(COM_All!R$2:R$999,COM_All!$B$2:$B$999,"="&amp;$A$63,COM_All!$C$2:$C$999,"="&amp;'INS-UPD Others'!$A65),"")</f>
        <v>0.0842848085372985</v>
      </c>
      <c r="P72" s="8">
        <f>IFERROR(AVERAGEIFS(COM_All!S$2:S$999,COM_All!$B$2:$B$999,"="&amp;$A$63,COM_All!$C$2:$C$999,"="&amp;'INS-UPD Others'!$A65),"")</f>
        <v>0.079565044420149694</v>
      </c>
      <c r="Q72" s="8">
        <f>IFERROR(AVERAGEIFS(COM_All!T$2:T$999,COM_All!$B$2:$B$999,"="&amp;$A$63,COM_All!$C$2:$C$999,"="&amp;'INS-UPD Others'!$A65),"")</f>
        <v>0.086563123855133206</v>
      </c>
      <c r="R72" s="8">
        <f>IFERROR(AVERAGEIFS(COM_All!U$2:U$999,COM_All!$B$2:$B$999,"="&amp;$A$63,COM_All!$C$2:$C$999,"="&amp;'INS-UPD Others'!$A65),"")</f>
        <v>0.066966975357330094</v>
      </c>
      <c r="S72" s="8">
        <f>IFERROR(AVERAGEIFS(COM_All!V$2:V$999,COM_All!$B$2:$B$999,"="&amp;$A$63,COM_All!$C$2:$C$999,"="&amp;'INS-UPD Others'!$A65),"")</f>
        <v>0.083828879052419203</v>
      </c>
      <c r="T72" s="8">
        <f>IFERROR(AVERAGEIFS(COM_All!W$2:W$999,COM_All!$B$2:$B$999,"="&amp;$A$63,COM_All!$C$2:$C$999,"="&amp;'INS-UPD Others'!$A65),"")</f>
        <v>0.083764559345156905</v>
      </c>
      <c r="U72" s="8">
        <f>IFERROR(AVERAGEIFS(COM_All!X$2:X$999,COM_All!$B$2:$B$999,"="&amp;$A$63,COM_All!$C$2:$C$999,"="&amp;'INS-UPD Others'!$A65),"")</f>
        <v>0.080355325767923702</v>
      </c>
      <c r="V72" s="8">
        <f>IFERROR(AVERAGEIFS(COM_All!Y$2:Y$999,COM_All!$B$2:$B$999,"="&amp;$A$63,COM_All!$C$2:$C$999,"="&amp;'INS-UPD Others'!$A65),"")</f>
        <v>0.082326891873987895</v>
      </c>
      <c r="W72" s="8">
        <f>IFERROR(AVERAGEIFS(COM_All!Z$2:Z$999,COM_All!$B$2:$B$999,"="&amp;$A$63,COM_All!$C$2:$C$999,"="&amp;'INS-UPD Others'!$A65),"")</f>
        <v>0.084309863867532697</v>
      </c>
      <c r="X72" s="8">
        <f>IFERROR(AVERAGEIFS(COM_All!AA$2:AA$999,COM_All!$B$2:$B$999,"="&amp;$A$63,COM_All!$C$2:$C$999,"="&amp;'INS-UPD Others'!$A65),"")</f>
        <v>0.083303271896902994</v>
      </c>
      <c r="Y72" s="8">
        <f>IFERROR(AVERAGEIFS(COM_All!AB$2:AB$999,COM_All!$B$2:$B$999,"="&amp;$A$63,COM_All!$C$2:$C$999,"="&amp;'INS-UPD Others'!$A65),"")</f>
        <v>0.077986842276585602</v>
      </c>
      <c r="Z72" s="8">
        <f>IFERROR(AVERAGEIFS(COM_All!AC$2:AC$999,COM_All!$B$2:$B$999,"="&amp;$A$63,COM_All!$C$2:$C$999,"="&amp;'INS-UPD Others'!$A65),"")</f>
        <v>0.084197061970721507</v>
      </c>
      <c r="AA72" s="8">
        <f>IFERROR(AVERAGEIFS(COM_All!AD$2:AD$999,COM_All!$B$2:$B$999,"="&amp;$A$63,COM_All!$C$2:$C$999,"="&amp;'INS-UPD Others'!$A65),"")</f>
        <v>0.083990122538136494</v>
      </c>
      <c r="AB72" s="8">
        <f>IFERROR(AVERAGEIFS(COM_All!AE$2:AE$999,COM_All!$B$2:$B$999,"="&amp;$A$63,COM_All!$C$2:$C$999,"="&amp;'INS-UPD Others'!$A65),"")</f>
        <v>0.069449826999852096</v>
      </c>
      <c r="AC72" s="8">
        <f>IFERROR(AVERAGEIFS(COM_All!AF$2:AF$999,COM_All!$B$2:$B$999,"="&amp;$A$63,COM_All!$C$2:$C$999,"="&amp;'INS-UPD Others'!$A65),"")</f>
        <v>0.083764559345156905</v>
      </c>
      <c r="AD72" s="8">
        <f>IFERROR(AVERAGEIFS(COM_All!AG$2:AG$999,COM_All!$B$2:$B$999,"="&amp;$A$63,COM_All!$C$2:$C$999,"="&amp;'INS-UPD Others'!$A65),"")</f>
        <v>0.080318824056222399</v>
      </c>
      <c r="AE72" s="8">
        <f>IFERROR(AVERAGEIFS(COM_All!AH$2:AH$999,COM_All!$B$2:$B$999,"="&amp;$A$63,COM_All!$C$2:$C$999,"="&amp;'INS-UPD Others'!$A65),"")</f>
        <v>0.084876968012422394</v>
      </c>
      <c r="AF72" s="8">
        <f>IFERROR(AVERAGEIFS(COM_All!AI$2:AI$999,COM_All!$B$2:$B$999,"="&amp;$A$63,COM_All!$C$2:$C$999,"="&amp;'INS-UPD Others'!$A65),"")</f>
        <v>0.083625797447433703</v>
      </c>
      <c r="AG72" s="8">
        <f>IFERROR(AVERAGEIFS(COM_All!AJ$2:AJ$999,COM_All!$B$2:$B$999,"="&amp;$A$63,COM_All!$C$2:$C$999,"="&amp;'INS-UPD Others'!$A65),"")</f>
        <v>0.083764559345156905</v>
      </c>
      <c r="AH72" s="8">
        <f>IFERROR(AVERAGEIFS(COM_All!AK$2:AK$999,COM_All!$B$2:$B$999,"="&amp;$A$63,COM_All!$C$2:$C$999,"="&amp;'INS-UPD Others'!$A65),"")</f>
        <v>0.083764559345156905</v>
      </c>
      <c r="AI72" s="8">
        <f>IFERROR(AVERAGEIFS(COM_All!AL$2:AL$999,COM_All!$B$2:$B$999,"="&amp;$A$63,COM_All!$C$2:$C$999,"="&amp;'INS-UPD Others'!$A65),"")</f>
        <v>0.083842900339129195</v>
      </c>
      <c r="AJ72" s="8">
        <f>IFERROR(AVERAGEIFS(COM_All!AM$2:AM$999,COM_All!$B$2:$B$999,"="&amp;$A$63,COM_All!$C$2:$C$999,"="&amp;'INS-UPD Others'!$A65),"")</f>
        <v>0.058506431868350701</v>
      </c>
      <c r="AK72" s="8">
        <f>IFERROR(AVERAGEIFS(COM_All!AN$2:AN$999,COM_All!$B$2:$B$999,"="&amp;$A$63,COM_All!$C$2:$C$999,"="&amp;'INS-UPD Others'!$A65),"")</f>
        <v>0.083990122538136494</v>
      </c>
      <c r="AL72" s="8">
        <f>IFERROR(AVERAGEIFS(COM_All!AO$2:AO$999,COM_All!$B$2:$B$999,"="&amp;$A$63,COM_All!$C$2:$C$999,"="&amp;'INS-UPD Others'!$A65),"")</f>
        <v>0.084270107298502206</v>
      </c>
      <c r="AM72" s="8">
        <f>IFERROR(AVERAGEIFS(COM_All!AP$2:AP$999,COM_All!$B$2:$B$999,"="&amp;$A$63,COM_All!$C$2:$C$999,"="&amp;'INS-UPD Others'!$A65),"")</f>
        <v>0.082973215490212707</v>
      </c>
      <c r="AN72" s="8">
        <f>IFERROR(AVERAGEIFS(COM_All!AQ$2:AQ$999,COM_All!$B$2:$B$999,"="&amp;$A$63,COM_All!$C$2:$C$999,"="&amp;'INS-UPD Others'!$A65),"")</f>
        <v>0.060865486023163003</v>
      </c>
      <c r="AO72" s="8">
        <f>IFERROR(AVERAGEIFS(COM_All!AR$2:AR$999,COM_All!$B$2:$B$999,"="&amp;$A$63,COM_All!$C$2:$C$999,"="&amp;'INS-UPD Others'!$A65),"")</f>
        <v>0.083764559345156905</v>
      </c>
      <c r="AP72" s="8">
        <f>IFERROR(AVERAGEIFS(COM_All!AS$2:AS$999,COM_All!$B$2:$B$999,"="&amp;$A$63,COM_All!$C$2:$C$999,"="&amp;'INS-UPD Others'!$A65),"")</f>
        <v>0.083990122538136494</v>
      </c>
      <c r="AQ72" s="8">
        <f>IFERROR(AVERAGEIFS(COM_All!AT$2:AT$999,COM_All!$B$2:$B$999,"="&amp;$A$63,COM_All!$C$2:$C$999,"="&amp;'INS-UPD Others'!$A65),"")</f>
        <v>0.084456306464963604</v>
      </c>
      <c r="AR72" s="8">
        <f>IFERROR(AVERAGEIFS(COM_All!AU$2:AU$999,COM_All!$B$2:$B$999,"="&amp;$A$63,COM_All!$C$2:$C$999,"="&amp;'INS-UPD Others'!$A65),"")</f>
        <v>0.084186840333086904</v>
      </c>
      <c r="AS72" s="9">
        <f>IFERROR(AVERAGEIFS(COM_All!AV$2:AV$999,COM_All!$B$2:$B$999,"="&amp;$A$63,COM_All!$C$2:$C$999,"="&amp;'INS-UPD Others'!$A65),"")</f>
        <v>0.084683046159160197</v>
      </c>
    </row>
    <row r="73" spans="9:45" ht="12.75">
      <c r="I73" s="10">
        <f>IFERROR(AVERAGEIFS(COM_All!L$2:L$999,COM_All!$B$2:$B$999,"="&amp;$A$63,COM_All!$C$2:$C$999,"="&amp;'INS-UPD Others'!$A66),"")</f>
        <v>0.172562136769802</v>
      </c>
      <c r="J73" s="11">
        <f>IFERROR(AVERAGEIFS(COM_All!M$2:M$999,COM_All!$B$2:$B$999,"="&amp;$A$63,COM_All!$C$2:$C$999,"="&amp;'INS-UPD Others'!$A66),"")</f>
        <v>0.13192038630038699</v>
      </c>
      <c r="K73" s="11">
        <f>IFERROR(AVERAGEIFS(COM_All!N$2:N$999,COM_All!$B$2:$B$999,"="&amp;$A$63,COM_All!$C$2:$C$999,"="&amp;'INS-UPD Others'!$A66),"")</f>
        <v>0.172562136769802</v>
      </c>
      <c r="L73" s="11">
        <f>IFERROR(AVERAGEIFS(COM_All!O$2:O$999,COM_All!$B$2:$B$999,"="&amp;$A$63,COM_All!$C$2:$C$999,"="&amp;'INS-UPD Others'!$A66),"")</f>
        <v>0.14275208084261201</v>
      </c>
      <c r="M73" s="11">
        <f>IFERROR(AVERAGEIFS(COM_All!P$2:P$999,COM_All!$B$2:$B$999,"="&amp;$A$63,COM_All!$C$2:$C$999,"="&amp;'INS-UPD Others'!$A66),"")</f>
        <v>0.166203003558444</v>
      </c>
      <c r="N73" s="11">
        <f>IFERROR(AVERAGEIFS(COM_All!Q$2:Q$999,COM_All!$B$2:$B$999,"="&amp;$A$63,COM_All!$C$2:$C$999,"="&amp;'INS-UPD Others'!$A66),"")</f>
        <v>0.13192038630038699</v>
      </c>
      <c r="O73" s="11">
        <f>IFERROR(AVERAGEIFS(COM_All!R$2:R$999,COM_All!$B$2:$B$999,"="&amp;$A$63,COM_All!$C$2:$C$999,"="&amp;'INS-UPD Others'!$A66),"")</f>
        <v>0.172770581841444</v>
      </c>
      <c r="P73" s="11">
        <f>IFERROR(AVERAGEIFS(COM_All!S$2:S$999,COM_All!$B$2:$B$999,"="&amp;$A$63,COM_All!$C$2:$C$999,"="&amp;'INS-UPD Others'!$A66),"")</f>
        <v>0.14573733659261701</v>
      </c>
      <c r="Q73" s="11">
        <f>IFERROR(AVERAGEIFS(COM_All!T$2:T$999,COM_All!$B$2:$B$999,"="&amp;$A$63,COM_All!$C$2:$C$999,"="&amp;'INS-UPD Others'!$A66),"")</f>
        <v>0.102224923601231</v>
      </c>
      <c r="R73" s="11">
        <f>IFERROR(AVERAGEIFS(COM_All!U$2:U$999,COM_All!$B$2:$B$999,"="&amp;$A$63,COM_All!$C$2:$C$999,"="&amp;'INS-UPD Others'!$A66),"")</f>
        <v>0.138061731516021</v>
      </c>
      <c r="S73" s="11">
        <f>IFERROR(AVERAGEIFS(COM_All!V$2:V$999,COM_All!$B$2:$B$999,"="&amp;$A$63,COM_All!$C$2:$C$999,"="&amp;'INS-UPD Others'!$A66),"")</f>
        <v>0.169809573510248</v>
      </c>
      <c r="T73" s="11">
        <f>IFERROR(AVERAGEIFS(COM_All!W$2:W$999,COM_All!$B$2:$B$999,"="&amp;$A$63,COM_All!$C$2:$C$999,"="&amp;'INS-UPD Others'!$A66),"")</f>
        <v>0.172562136769802</v>
      </c>
      <c r="U73" s="11">
        <f>IFERROR(AVERAGEIFS(COM_All!X$2:X$999,COM_All!$B$2:$B$999,"="&amp;$A$63,COM_All!$C$2:$C$999,"="&amp;'INS-UPD Others'!$A66),"")</f>
        <v>0.17886894190754599</v>
      </c>
      <c r="V73" s="11">
        <f>IFERROR(AVERAGEIFS(COM_All!Y$2:Y$999,COM_All!$B$2:$B$999,"="&amp;$A$63,COM_All!$C$2:$C$999,"="&amp;'INS-UPD Others'!$A66),"")</f>
        <v>0.13629556391554701</v>
      </c>
      <c r="W73" s="11">
        <f>IFERROR(AVERAGEIFS(COM_All!Z$2:Z$999,COM_All!$B$2:$B$999,"="&amp;$A$63,COM_All!$C$2:$C$999,"="&amp;'INS-UPD Others'!$A66),"")</f>
        <v>0.14524666057451099</v>
      </c>
      <c r="X73" s="11">
        <f>IFERROR(AVERAGEIFS(COM_All!AA$2:AA$999,COM_All!$B$2:$B$999,"="&amp;$A$63,COM_All!$C$2:$C$999,"="&amp;'INS-UPD Others'!$A66),"")</f>
        <v>0.17386806766898999</v>
      </c>
      <c r="Y73" s="11">
        <f>IFERROR(AVERAGEIFS(COM_All!AB$2:AB$999,COM_All!$B$2:$B$999,"="&amp;$A$63,COM_All!$C$2:$C$999,"="&amp;'INS-UPD Others'!$A66),"")</f>
        <v>0.17880584518120499</v>
      </c>
      <c r="Z73" s="11">
        <f>IFERROR(AVERAGEIFS(COM_All!AC$2:AC$999,COM_All!$B$2:$B$999,"="&amp;$A$63,COM_All!$C$2:$C$999,"="&amp;'INS-UPD Others'!$A66),"")</f>
        <v>0.145187149783681</v>
      </c>
      <c r="AA73" s="11">
        <f>IFERROR(AVERAGEIFS(COM_All!AD$2:AD$999,COM_All!$B$2:$B$999,"="&amp;$A$63,COM_All!$C$2:$C$999,"="&amp;'INS-UPD Others'!$A66),"")</f>
        <v>0.135914014107338</v>
      </c>
      <c r="AB73" s="11">
        <f>IFERROR(AVERAGEIFS(COM_All!AE$2:AE$999,COM_All!$B$2:$B$999,"="&amp;$A$63,COM_All!$C$2:$C$999,"="&amp;'INS-UPD Others'!$A66),"")</f>
        <v>0.156235832596923</v>
      </c>
      <c r="AC73" s="11">
        <f>IFERROR(AVERAGEIFS(COM_All!AF$2:AF$999,COM_All!$B$2:$B$999,"="&amp;$A$63,COM_All!$C$2:$C$999,"="&amp;'INS-UPD Others'!$A66),"")</f>
        <v>0.172562136769802</v>
      </c>
      <c r="AD73" s="11">
        <f>IFERROR(AVERAGEIFS(COM_All!AG$2:AG$999,COM_All!$B$2:$B$999,"="&amp;$A$63,COM_All!$C$2:$C$999,"="&amp;'INS-UPD Others'!$A66),"")</f>
        <v>0.17216400145331201</v>
      </c>
      <c r="AE73" s="11">
        <f>IFERROR(AVERAGEIFS(COM_All!AH$2:AH$999,COM_All!$B$2:$B$999,"="&amp;$A$63,COM_All!$C$2:$C$999,"="&amp;'INS-UPD Others'!$A66),"")</f>
        <v>0.13762574134538</v>
      </c>
      <c r="AF73" s="11">
        <f>IFERROR(AVERAGEIFS(COM_All!AI$2:AI$999,COM_All!$B$2:$B$999,"="&amp;$A$63,COM_All!$C$2:$C$999,"="&amp;'INS-UPD Others'!$A66),"")</f>
        <v>0.17023858404078701</v>
      </c>
      <c r="AG73" s="11">
        <f>IFERROR(AVERAGEIFS(COM_All!AJ$2:AJ$999,COM_All!$B$2:$B$999,"="&amp;$A$63,COM_All!$C$2:$C$999,"="&amp;'INS-UPD Others'!$A66),"")</f>
        <v>0.172562136769802</v>
      </c>
      <c r="AH73" s="11">
        <f>IFERROR(AVERAGEIFS(COM_All!AK$2:AK$999,COM_All!$B$2:$B$999,"="&amp;$A$63,COM_All!$C$2:$C$999,"="&amp;'INS-UPD Others'!$A66),"")</f>
        <v>0.172562136769802</v>
      </c>
      <c r="AI73" s="11">
        <f>IFERROR(AVERAGEIFS(COM_All!AL$2:AL$999,COM_All!$B$2:$B$999,"="&amp;$A$63,COM_All!$C$2:$C$999,"="&amp;'INS-UPD Others'!$A66),"")</f>
        <v>0.143850923012318</v>
      </c>
      <c r="AJ73" s="11">
        <f>IFERROR(AVERAGEIFS(COM_All!AM$2:AM$999,COM_All!$B$2:$B$999,"="&amp;$A$63,COM_All!$C$2:$C$999,"="&amp;'INS-UPD Others'!$A66),"")</f>
        <v>0.135705206267001</v>
      </c>
      <c r="AK73" s="11">
        <f>IFERROR(AVERAGEIFS(COM_All!AN$2:AN$999,COM_All!$B$2:$B$999,"="&amp;$A$63,COM_All!$C$2:$C$999,"="&amp;'INS-UPD Others'!$A66),"")</f>
        <v>0.135914014107338</v>
      </c>
      <c r="AL73" s="11">
        <f>IFERROR(AVERAGEIFS(COM_All!AO$2:AO$999,COM_All!$B$2:$B$999,"="&amp;$A$63,COM_All!$C$2:$C$999,"="&amp;'INS-UPD Others'!$A66),"")</f>
        <v>0.15438980754513801</v>
      </c>
      <c r="AM73" s="11">
        <f>IFERROR(AVERAGEIFS(COM_All!AP$2:AP$999,COM_All!$B$2:$B$999,"="&amp;$A$63,COM_All!$C$2:$C$999,"="&amp;'INS-UPD Others'!$A66),"")</f>
        <v>0.17720157942212</v>
      </c>
      <c r="AN73" s="11">
        <f>IFERROR(AVERAGEIFS(COM_All!AQ$2:AQ$999,COM_All!$B$2:$B$999,"="&amp;$A$63,COM_All!$C$2:$C$999,"="&amp;'INS-UPD Others'!$A66),"")</f>
        <v>0.171653233466288</v>
      </c>
      <c r="AO73" s="11">
        <f>IFERROR(AVERAGEIFS(COM_All!AR$2:AR$999,COM_All!$B$2:$B$999,"="&amp;$A$63,COM_All!$C$2:$C$999,"="&amp;'INS-UPD Others'!$A66),"")</f>
        <v>0.172562136769802</v>
      </c>
      <c r="AP73" s="11">
        <f>IFERROR(AVERAGEIFS(COM_All!AS$2:AS$999,COM_All!$B$2:$B$999,"="&amp;$A$63,COM_All!$C$2:$C$999,"="&amp;'INS-UPD Others'!$A66),"")</f>
        <v>0.135914014107338</v>
      </c>
      <c r="AQ73" s="11">
        <f>IFERROR(AVERAGEIFS(COM_All!AT$2:AT$999,COM_All!$B$2:$B$999,"="&amp;$A$63,COM_All!$C$2:$C$999,"="&amp;'INS-UPD Others'!$A66),"")</f>
        <v>0.16903214285714299</v>
      </c>
      <c r="AR73" s="11">
        <f>IFERROR(AVERAGEIFS(COM_All!AU$2:AU$999,COM_All!$B$2:$B$999,"="&amp;$A$63,COM_All!$C$2:$C$999,"="&amp;'INS-UPD Others'!$A66),"")</f>
        <v>0.170918273006502</v>
      </c>
      <c r="AS73" s="12">
        <f>IFERROR(AVERAGEIFS(COM_All!AV$2:AV$999,COM_All!$B$2:$B$999,"="&amp;$A$63,COM_All!$C$2:$C$999,"="&amp;'INS-UPD Others'!$A66),"")</f>
        <v>0.14573888963203199</v>
      </c>
    </row>
    <row r="74" spans="9:45" ht="12.75">
      <c r="I74" s="10">
        <f>IFERROR(AVERAGEIFS(COM_All!L$2:L$999,COM_All!$B$2:$B$999,"="&amp;$A$63,COM_All!$C$2:$C$999,"="&amp;'INS-UPD Others'!$A67),"")</f>
        <v>0.0029183714103074398</v>
      </c>
      <c r="J74" s="11">
        <f>IFERROR(AVERAGEIFS(COM_All!M$2:M$999,COM_All!$B$2:$B$999,"="&amp;$A$63,COM_All!$C$2:$C$999,"="&amp;'INS-UPD Others'!$A67),"")</f>
        <v>0.0030528566635979401</v>
      </c>
      <c r="K74" s="11">
        <f>IFERROR(AVERAGEIFS(COM_All!N$2:N$999,COM_All!$B$2:$B$999,"="&amp;$A$63,COM_All!$C$2:$C$999,"="&amp;'INS-UPD Others'!$A67),"")</f>
        <v>0.0029183714103074398</v>
      </c>
      <c r="L74" s="11">
        <f>IFERROR(AVERAGEIFS(COM_All!O$2:O$999,COM_All!$B$2:$B$999,"="&amp;$A$63,COM_All!$C$2:$C$999,"="&amp;'INS-UPD Others'!$A67),"")</f>
        <v>0.0030466754652661299</v>
      </c>
      <c r="M74" s="11">
        <f>IFERROR(AVERAGEIFS(COM_All!P$2:P$999,COM_All!$B$2:$B$999,"="&amp;$A$63,COM_All!$C$2:$C$999,"="&amp;'INS-UPD Others'!$A67),"")</f>
        <v>0.0036881813482680802</v>
      </c>
      <c r="N74" s="11">
        <f>IFERROR(AVERAGEIFS(COM_All!Q$2:Q$999,COM_All!$B$2:$B$999,"="&amp;$A$63,COM_All!$C$2:$C$999,"="&amp;'INS-UPD Others'!$A67),"")</f>
        <v>0.0030528566635979401</v>
      </c>
      <c r="O74" s="11">
        <f>IFERROR(AVERAGEIFS(COM_All!R$2:R$999,COM_All!$B$2:$B$999,"="&amp;$A$63,COM_All!$C$2:$C$999,"="&amp;'INS-UPD Others'!$A67),"")</f>
        <v>0.0032952163802269499</v>
      </c>
      <c r="P74" s="11">
        <f>IFERROR(AVERAGEIFS(COM_All!S$2:S$999,COM_All!$B$2:$B$999,"="&amp;$A$63,COM_All!$C$2:$C$999,"="&amp;'INS-UPD Others'!$A67),"")</f>
        <v>0.00266522076274047</v>
      </c>
      <c r="Q74" s="11">
        <f>IFERROR(AVERAGEIFS(COM_All!T$2:T$999,COM_All!$B$2:$B$999,"="&amp;$A$63,COM_All!$C$2:$C$999,"="&amp;'INS-UPD Others'!$A67),"")</f>
        <v>0.0026464972111846</v>
      </c>
      <c r="R74" s="11">
        <f>IFERROR(AVERAGEIFS(COM_All!U$2:U$999,COM_All!$B$2:$B$999,"="&amp;$A$63,COM_All!$C$2:$C$999,"="&amp;'INS-UPD Others'!$A67),"")</f>
        <v>0.0025695131803492098</v>
      </c>
      <c r="S74" s="11">
        <f>IFERROR(AVERAGEIFS(COM_All!V$2:V$999,COM_All!$B$2:$B$999,"="&amp;$A$63,COM_All!$C$2:$C$999,"="&amp;'INS-UPD Others'!$A67),"")</f>
        <v>0.00393844797143928</v>
      </c>
      <c r="T74" s="11">
        <f>IFERROR(AVERAGEIFS(COM_All!W$2:W$999,COM_All!$B$2:$B$999,"="&amp;$A$63,COM_All!$C$2:$C$999,"="&amp;'INS-UPD Others'!$A67),"")</f>
        <v>0.0029183714103074398</v>
      </c>
      <c r="U74" s="11">
        <f>IFERROR(AVERAGEIFS(COM_All!X$2:X$999,COM_All!$B$2:$B$999,"="&amp;$A$63,COM_All!$C$2:$C$999,"="&amp;'INS-UPD Others'!$A67),"")</f>
        <v>0.00341021878122349</v>
      </c>
      <c r="V74" s="11">
        <f>IFERROR(AVERAGEIFS(COM_All!Y$2:Y$999,COM_All!$B$2:$B$999,"="&amp;$A$63,COM_All!$C$2:$C$999,"="&amp;'INS-UPD Others'!$A67),"")</f>
        <v>0.00302737378307077</v>
      </c>
      <c r="W74" s="11">
        <f>IFERROR(AVERAGEIFS(COM_All!Z$2:Z$999,COM_All!$B$2:$B$999,"="&amp;$A$63,COM_All!$C$2:$C$999,"="&amp;'INS-UPD Others'!$A67),"")</f>
        <v>0.0030768587019303498</v>
      </c>
      <c r="X74" s="11">
        <f>IFERROR(AVERAGEIFS(COM_All!AA$2:AA$999,COM_All!$B$2:$B$999,"="&amp;$A$63,COM_All!$C$2:$C$999,"="&amp;'INS-UPD Others'!$A67),"")</f>
        <v>0.00314309795683045</v>
      </c>
      <c r="Y74" s="11">
        <f>IFERROR(AVERAGEIFS(COM_All!AB$2:AB$999,COM_All!$B$2:$B$999,"="&amp;$A$63,COM_All!$C$2:$C$999,"="&amp;'INS-UPD Others'!$A67),"")</f>
        <v>0.00274726026482314</v>
      </c>
      <c r="Z74" s="11">
        <f>IFERROR(AVERAGEIFS(COM_All!AC$2:AC$999,COM_All!$B$2:$B$999,"="&amp;$A$63,COM_All!$C$2:$C$999,"="&amp;'INS-UPD Others'!$A67),"")</f>
        <v>0.0029976749040230002</v>
      </c>
      <c r="AA74" s="11">
        <f>IFERROR(AVERAGEIFS(COM_All!AD$2:AD$999,COM_All!$B$2:$B$999,"="&amp;$A$63,COM_All!$C$2:$C$999,"="&amp;'INS-UPD Others'!$A67),"")</f>
        <v>0.00268212128630608</v>
      </c>
      <c r="AB74" s="11">
        <f>IFERROR(AVERAGEIFS(COM_All!AE$2:AE$999,COM_All!$B$2:$B$999,"="&amp;$A$63,COM_All!$C$2:$C$999,"="&amp;'INS-UPD Others'!$A67),"")</f>
        <v>0.0027349842685447101</v>
      </c>
      <c r="AC74" s="11">
        <f>IFERROR(AVERAGEIFS(COM_All!AF$2:AF$999,COM_All!$B$2:$B$999,"="&amp;$A$63,COM_All!$C$2:$C$999,"="&amp;'INS-UPD Others'!$A67),"")</f>
        <v>0.0029183714103074398</v>
      </c>
      <c r="AD74" s="11">
        <f>IFERROR(AVERAGEIFS(COM_All!AG$2:AG$999,COM_All!$B$2:$B$999,"="&amp;$A$63,COM_All!$C$2:$C$999,"="&amp;'INS-UPD Others'!$A67),"")</f>
        <v>0.0029535579738257699</v>
      </c>
      <c r="AE74" s="11">
        <f>IFERROR(AVERAGEIFS(COM_All!AH$2:AH$999,COM_All!$B$2:$B$999,"="&amp;$A$63,COM_All!$C$2:$C$999,"="&amp;'INS-UPD Others'!$A67),"")</f>
        <v>0.0029522204446514799</v>
      </c>
      <c r="AF74" s="11">
        <f>IFERROR(AVERAGEIFS(COM_All!AI$2:AI$999,COM_All!$B$2:$B$999,"="&amp;$A$63,COM_All!$C$2:$C$999,"="&amp;'INS-UPD Others'!$A67),"")</f>
        <v>0.0035620970330897399</v>
      </c>
      <c r="AG74" s="11">
        <f>IFERROR(AVERAGEIFS(COM_All!AJ$2:AJ$999,COM_All!$B$2:$B$999,"="&amp;$A$63,COM_All!$C$2:$C$999,"="&amp;'INS-UPD Others'!$A67),"")</f>
        <v>0.0029183714103074398</v>
      </c>
      <c r="AH74" s="11">
        <f>IFERROR(AVERAGEIFS(COM_All!AK$2:AK$999,COM_All!$B$2:$B$999,"="&amp;$A$63,COM_All!$C$2:$C$999,"="&amp;'INS-UPD Others'!$A67),"")</f>
        <v>0.0029183714103074398</v>
      </c>
      <c r="AI74" s="11">
        <f>IFERROR(AVERAGEIFS(COM_All!AL$2:AL$999,COM_All!$B$2:$B$999,"="&amp;$A$63,COM_All!$C$2:$C$999,"="&amp;'INS-UPD Others'!$A67),"")</f>
        <v>0.0030654756024301099</v>
      </c>
      <c r="AJ74" s="11">
        <f>IFERROR(AVERAGEIFS(COM_All!AM$2:AM$999,COM_All!$B$2:$B$999,"="&amp;$A$63,COM_All!$C$2:$C$999,"="&amp;'INS-UPD Others'!$A67),"")</f>
        <v>0.0025648916490366401</v>
      </c>
      <c r="AK74" s="11">
        <f>IFERROR(AVERAGEIFS(COM_All!AN$2:AN$999,COM_All!$B$2:$B$999,"="&amp;$A$63,COM_All!$C$2:$C$999,"="&amp;'INS-UPD Others'!$A67),"")</f>
        <v>0.00268212128630608</v>
      </c>
      <c r="AL74" s="11">
        <f>IFERROR(AVERAGEIFS(COM_All!AO$2:AO$999,COM_All!$B$2:$B$999,"="&amp;$A$63,COM_All!$C$2:$C$999,"="&amp;'INS-UPD Others'!$A67),"")</f>
        <v>0.00294588173179586</v>
      </c>
      <c r="AM74" s="11">
        <f>IFERROR(AVERAGEIFS(COM_All!AP$2:AP$999,COM_All!$B$2:$B$999,"="&amp;$A$63,COM_All!$C$2:$C$999,"="&amp;'INS-UPD Others'!$A67),"")</f>
        <v>0.0033059434778442099</v>
      </c>
      <c r="AN74" s="11">
        <f>IFERROR(AVERAGEIFS(COM_All!AQ$2:AQ$999,COM_All!$B$2:$B$999,"="&amp;$A$63,COM_All!$C$2:$C$999,"="&amp;'INS-UPD Others'!$A67),"")</f>
        <v>0.0029554480867884599</v>
      </c>
      <c r="AO74" s="11">
        <f>IFERROR(AVERAGEIFS(COM_All!AR$2:AR$999,COM_All!$B$2:$B$999,"="&amp;$A$63,COM_All!$C$2:$C$999,"="&amp;'INS-UPD Others'!$A67),"")</f>
        <v>0.0029183714103074398</v>
      </c>
      <c r="AP74" s="11">
        <f>IFERROR(AVERAGEIFS(COM_All!AS$2:AS$999,COM_All!$B$2:$B$999,"="&amp;$A$63,COM_All!$C$2:$C$999,"="&amp;'INS-UPD Others'!$A67),"")</f>
        <v>0.00268212128630608</v>
      </c>
      <c r="AQ74" s="11">
        <f>IFERROR(AVERAGEIFS(COM_All!AT$2:AT$999,COM_All!$B$2:$B$999,"="&amp;$A$63,COM_All!$C$2:$C$999,"="&amp;'INS-UPD Others'!$A67),"")</f>
        <v>0.00330713699037224</v>
      </c>
      <c r="AR74" s="11">
        <f>IFERROR(AVERAGEIFS(COM_All!AU$2:AU$999,COM_All!$B$2:$B$999,"="&amp;$A$63,COM_All!$C$2:$C$999,"="&amp;'INS-UPD Others'!$A67),"")</f>
        <v>0.0027738183970692498</v>
      </c>
      <c r="AS74" s="12">
        <f>IFERROR(AVERAGEIFS(COM_All!AV$2:AV$999,COM_All!$B$2:$B$999,"="&amp;$A$63,COM_All!$C$2:$C$999,"="&amp;'INS-UPD Others'!$A67),"")</f>
        <v>0.0029484487630475802</v>
      </c>
    </row>
    <row r="75" spans="9:45" ht="12.75">
      <c r="I75" s="10">
        <f>IFERROR(AVERAGEIFS(COM_All!L$2:L$999,COM_All!$B$2:$B$999,"="&amp;$A$63,COM_All!$C$2:$C$999,"="&amp;'INS-UPD Others'!$A68),"")</f>
        <v>0.017258637739264501</v>
      </c>
      <c r="J75" s="11">
        <f>IFERROR(AVERAGEIFS(COM_All!M$2:M$999,COM_All!$B$2:$B$999,"="&amp;$A$63,COM_All!$C$2:$C$999,"="&amp;'INS-UPD Others'!$A68),"")</f>
        <v>0.018310373269268501</v>
      </c>
      <c r="K75" s="11">
        <f>IFERROR(AVERAGEIFS(COM_All!N$2:N$999,COM_All!$B$2:$B$999,"="&amp;$A$63,COM_All!$C$2:$C$999,"="&amp;'INS-UPD Others'!$A68),"")</f>
        <v>0.017258637739264501</v>
      </c>
      <c r="L75" s="11">
        <f>IFERROR(AVERAGEIFS(COM_All!O$2:O$999,COM_All!$B$2:$B$999,"="&amp;$A$63,COM_All!$C$2:$C$999,"="&amp;'INS-UPD Others'!$A68),"")</f>
        <v>0.019088561216600301</v>
      </c>
      <c r="M75" s="11">
        <f>IFERROR(AVERAGEIFS(COM_All!P$2:P$999,COM_All!$B$2:$B$999,"="&amp;$A$63,COM_All!$C$2:$C$999,"="&amp;'INS-UPD Others'!$A68),"")</f>
        <v>0.020349650979886499</v>
      </c>
      <c r="N75" s="11">
        <f>IFERROR(AVERAGEIFS(COM_All!Q$2:Q$999,COM_All!$B$2:$B$999,"="&amp;$A$63,COM_All!$C$2:$C$999,"="&amp;'INS-UPD Others'!$A68),"")</f>
        <v>0.018310373269268501</v>
      </c>
      <c r="O75" s="11">
        <f>IFERROR(AVERAGEIFS(COM_All!R$2:R$999,COM_All!$B$2:$B$999,"="&amp;$A$63,COM_All!$C$2:$C$999,"="&amp;'INS-UPD Others'!$A68),"")</f>
        <v>0.021247309108172002</v>
      </c>
      <c r="P75" s="11">
        <f>IFERROR(AVERAGEIFS(COM_All!S$2:S$999,COM_All!$B$2:$B$999,"="&amp;$A$63,COM_All!$C$2:$C$999,"="&amp;'INS-UPD Others'!$A68),"")</f>
        <v>0.019831420602584499</v>
      </c>
      <c r="Q75" s="11">
        <f>IFERROR(AVERAGEIFS(COM_All!T$2:T$999,COM_All!$B$2:$B$999,"="&amp;$A$63,COM_All!$C$2:$C$999,"="&amp;'INS-UPD Others'!$A68),"")</f>
        <v>0.016830938127583201</v>
      </c>
      <c r="R75" s="11">
        <f>IFERROR(AVERAGEIFS(COM_All!U$2:U$999,COM_All!$B$2:$B$999,"="&amp;$A$63,COM_All!$C$2:$C$999,"="&amp;'INS-UPD Others'!$A68),"")</f>
        <v>0.016848160074309601</v>
      </c>
      <c r="S75" s="11">
        <f>IFERROR(AVERAGEIFS(COM_All!V$2:V$999,COM_All!$B$2:$B$999,"="&amp;$A$63,COM_All!$C$2:$C$999,"="&amp;'INS-UPD Others'!$A68),"")</f>
        <v>0.021331850598269701</v>
      </c>
      <c r="T75" s="11">
        <f>IFERROR(AVERAGEIFS(COM_All!W$2:W$999,COM_All!$B$2:$B$999,"="&amp;$A$63,COM_All!$C$2:$C$999,"="&amp;'INS-UPD Others'!$A68),"")</f>
        <v>0.017258637739264501</v>
      </c>
      <c r="U75" s="11">
        <f>IFERROR(AVERAGEIFS(COM_All!X$2:X$999,COM_All!$B$2:$B$999,"="&amp;$A$63,COM_All!$C$2:$C$999,"="&amp;'INS-UPD Others'!$A68),"")</f>
        <v>0.017929689291155099</v>
      </c>
      <c r="V75" s="11">
        <f>IFERROR(AVERAGEIFS(COM_All!Y$2:Y$999,COM_All!$B$2:$B$999,"="&amp;$A$63,COM_All!$C$2:$C$999,"="&amp;'INS-UPD Others'!$A68),"")</f>
        <v>0.018021251839797001</v>
      </c>
      <c r="W75" s="11">
        <f>IFERROR(AVERAGEIFS(COM_All!Z$2:Z$999,COM_All!$B$2:$B$999,"="&amp;$A$63,COM_All!$C$2:$C$999,"="&amp;'INS-UPD Others'!$A68),"")</f>
        <v>0.019599569227901199</v>
      </c>
      <c r="X75" s="11">
        <f>IFERROR(AVERAGEIFS(COM_All!AA$2:AA$999,COM_All!$B$2:$B$999,"="&amp;$A$63,COM_All!$C$2:$C$999,"="&amp;'INS-UPD Others'!$A68),"")</f>
        <v>0.019108131057559499</v>
      </c>
      <c r="Y75" s="11">
        <f>IFERROR(AVERAGEIFS(COM_All!AB$2:AB$999,COM_All!$B$2:$B$999,"="&amp;$A$63,COM_All!$C$2:$C$999,"="&amp;'INS-UPD Others'!$A68),"")</f>
        <v>0.019354377617671899</v>
      </c>
      <c r="Z75" s="11">
        <f>IFERROR(AVERAGEIFS(COM_All!AC$2:AC$999,COM_All!$B$2:$B$999,"="&amp;$A$63,COM_All!$C$2:$C$999,"="&amp;'INS-UPD Others'!$A68),"")</f>
        <v>0.018341690424377</v>
      </c>
      <c r="AA75" s="11">
        <f>IFERROR(AVERAGEIFS(COM_All!AD$2:AD$999,COM_All!$B$2:$B$999,"="&amp;$A$63,COM_All!$C$2:$C$999,"="&amp;'INS-UPD Others'!$A68),"")</f>
        <v>0.0175394097712709</v>
      </c>
      <c r="AB75" s="11">
        <f>IFERROR(AVERAGEIFS(COM_All!AE$2:AE$999,COM_All!$B$2:$B$999,"="&amp;$A$63,COM_All!$C$2:$C$999,"="&amp;'INS-UPD Others'!$A68),"")</f>
        <v>0.017972467875811599</v>
      </c>
      <c r="AC75" s="11">
        <f>IFERROR(AVERAGEIFS(COM_All!AF$2:AF$999,COM_All!$B$2:$B$999,"="&amp;$A$63,COM_All!$C$2:$C$999,"="&amp;'INS-UPD Others'!$A68),"")</f>
        <v>0.017258637739264501</v>
      </c>
      <c r="AD75" s="11">
        <f>IFERROR(AVERAGEIFS(COM_All!AG$2:AG$999,COM_All!$B$2:$B$999,"="&amp;$A$63,COM_All!$C$2:$C$999,"="&amp;'INS-UPD Others'!$A68),"")</f>
        <v>0.0203468836455565</v>
      </c>
      <c r="AE75" s="11">
        <f>IFERROR(AVERAGEIFS(COM_All!AH$2:AH$999,COM_All!$B$2:$B$999,"="&amp;$A$63,COM_All!$C$2:$C$999,"="&amp;'INS-UPD Others'!$A68),"")</f>
        <v>0.0177899330675351</v>
      </c>
      <c r="AF75" s="11">
        <f>IFERROR(AVERAGEIFS(COM_All!AI$2:AI$999,COM_All!$B$2:$B$999,"="&amp;$A$63,COM_All!$C$2:$C$999,"="&amp;'INS-UPD Others'!$A68),"")</f>
        <v>0.019867389599450801</v>
      </c>
      <c r="AG75" s="11">
        <f>IFERROR(AVERAGEIFS(COM_All!AJ$2:AJ$999,COM_All!$B$2:$B$999,"="&amp;$A$63,COM_All!$C$2:$C$999,"="&amp;'INS-UPD Others'!$A68),"")</f>
        <v>0.017258637739264501</v>
      </c>
      <c r="AH75" s="11">
        <f>IFERROR(AVERAGEIFS(COM_All!AK$2:AK$999,COM_All!$B$2:$B$999,"="&amp;$A$63,COM_All!$C$2:$C$999,"="&amp;'INS-UPD Others'!$A68),"")</f>
        <v>0.017258637739264501</v>
      </c>
      <c r="AI75" s="11">
        <f>IFERROR(AVERAGEIFS(COM_All!AL$2:AL$999,COM_All!$B$2:$B$999,"="&amp;$A$63,COM_All!$C$2:$C$999,"="&amp;'INS-UPD Others'!$A68),"")</f>
        <v>0.021449061425650801</v>
      </c>
      <c r="AJ75" s="11">
        <f>IFERROR(AVERAGEIFS(COM_All!AM$2:AM$999,COM_All!$B$2:$B$999,"="&amp;$A$63,COM_All!$C$2:$C$999,"="&amp;'INS-UPD Others'!$A68),"")</f>
        <v>0.0163284335800431</v>
      </c>
      <c r="AK75" s="11">
        <f>IFERROR(AVERAGEIFS(COM_All!AN$2:AN$999,COM_All!$B$2:$B$999,"="&amp;$A$63,COM_All!$C$2:$C$999,"="&amp;'INS-UPD Others'!$A68),"")</f>
        <v>0.0175394097712709</v>
      </c>
      <c r="AL75" s="11">
        <f>IFERROR(AVERAGEIFS(COM_All!AO$2:AO$999,COM_All!$B$2:$B$999,"="&amp;$A$63,COM_All!$C$2:$C$999,"="&amp;'INS-UPD Others'!$A68),"")</f>
        <v>0.018265374094117701</v>
      </c>
      <c r="AM75" s="11">
        <f>IFERROR(AVERAGEIFS(COM_All!AP$2:AP$999,COM_All!$B$2:$B$999,"="&amp;$A$63,COM_All!$C$2:$C$999,"="&amp;'INS-UPD Others'!$A68),"")</f>
        <v>0.019382350056382999</v>
      </c>
      <c r="AN75" s="11">
        <f>IFERROR(AVERAGEIFS(COM_All!AQ$2:AQ$999,COM_All!$B$2:$B$999,"="&amp;$A$63,COM_All!$C$2:$C$999,"="&amp;'INS-UPD Others'!$A68),"")</f>
        <v>0.0175179905388449</v>
      </c>
      <c r="AO75" s="11">
        <f>IFERROR(AVERAGEIFS(COM_All!AR$2:AR$999,COM_All!$B$2:$B$999,"="&amp;$A$63,COM_All!$C$2:$C$999,"="&amp;'INS-UPD Others'!$A68),"")</f>
        <v>0.017258637739264501</v>
      </c>
      <c r="AP75" s="11">
        <f>IFERROR(AVERAGEIFS(COM_All!AS$2:AS$999,COM_All!$B$2:$B$999,"="&amp;$A$63,COM_All!$C$2:$C$999,"="&amp;'INS-UPD Others'!$A68),"")</f>
        <v>0.0175394097712709</v>
      </c>
      <c r="AQ75" s="11">
        <f>IFERROR(AVERAGEIFS(COM_All!AT$2:AT$999,COM_All!$B$2:$B$999,"="&amp;$A$63,COM_All!$C$2:$C$999,"="&amp;'INS-UPD Others'!$A68),"")</f>
        <v>0.021610091024181599</v>
      </c>
      <c r="AR75" s="11">
        <f>IFERROR(AVERAGEIFS(COM_All!AU$2:AU$999,COM_All!$B$2:$B$999,"="&amp;$A$63,COM_All!$C$2:$C$999,"="&amp;'INS-UPD Others'!$A68),"")</f>
        <v>0.0208555680552324</v>
      </c>
      <c r="AS75" s="12">
        <f>IFERROR(AVERAGEIFS(COM_All!AV$2:AV$999,COM_All!$B$2:$B$999,"="&amp;$A$63,COM_All!$C$2:$C$999,"="&amp;'INS-UPD Others'!$A68),"")</f>
        <v>0.016393424349138101</v>
      </c>
    </row>
    <row r="76" spans="9:45" ht="12.75">
      <c r="I76" s="10">
        <f>IFERROR(AVERAGEIFS(COM_All!L$2:L$999,COM_All!$B$2:$B$999,"="&amp;$A$63,COM_All!$C$2:$C$999,"="&amp;'INS-UPD Others'!$A69),"")</f>
        <v>0.0028571435059458299</v>
      </c>
      <c r="J76" s="11">
        <f>IFERROR(AVERAGEIFS(COM_All!M$2:M$999,COM_All!$B$2:$B$999,"="&amp;$A$63,COM_All!$C$2:$C$999,"="&amp;'INS-UPD Others'!$A69),"")</f>
        <v>0.00276808919850904</v>
      </c>
      <c r="K76" s="11">
        <f>IFERROR(AVERAGEIFS(COM_All!N$2:N$999,COM_All!$B$2:$B$999,"="&amp;$A$63,COM_All!$C$2:$C$999,"="&amp;'INS-UPD Others'!$A69),"")</f>
        <v>0.0028571435059458299</v>
      </c>
      <c r="L76" s="11">
        <f>IFERROR(AVERAGEIFS(COM_All!O$2:O$999,COM_All!$B$2:$B$999,"="&amp;$A$63,COM_All!$C$2:$C$999,"="&amp;'INS-UPD Others'!$A69),"")</f>
        <v>0.0026886303445824598</v>
      </c>
      <c r="M76" s="11">
        <f>IFERROR(AVERAGEIFS(COM_All!P$2:P$999,COM_All!$B$2:$B$999,"="&amp;$A$63,COM_All!$C$2:$C$999,"="&amp;'INS-UPD Others'!$A69),"")</f>
        <v>0.0030072231013520802</v>
      </c>
      <c r="N76" s="11">
        <f>IFERROR(AVERAGEIFS(COM_All!Q$2:Q$999,COM_All!$B$2:$B$999,"="&amp;$A$63,COM_All!$C$2:$C$999,"="&amp;'INS-UPD Others'!$A69),"")</f>
        <v>0.00276808919850904</v>
      </c>
      <c r="O76" s="11">
        <f>IFERROR(AVERAGEIFS(COM_All!R$2:R$999,COM_All!$B$2:$B$999,"="&amp;$A$63,COM_All!$C$2:$C$999,"="&amp;'INS-UPD Others'!$A69),"")</f>
        <v>0.0028763475396926998</v>
      </c>
      <c r="P76" s="11">
        <f>IFERROR(AVERAGEIFS(COM_All!S$2:S$999,COM_All!$B$2:$B$999,"="&amp;$A$63,COM_All!$C$2:$C$999,"="&amp;'INS-UPD Others'!$A69),"")</f>
        <v>0.00272385652536038</v>
      </c>
      <c r="Q76" s="11">
        <f>IFERROR(AVERAGEIFS(COM_All!T$2:T$999,COM_All!$B$2:$B$999,"="&amp;$A$63,COM_All!$C$2:$C$999,"="&amp;'INS-UPD Others'!$A69),"")</f>
        <v>0.0029377675419295099</v>
      </c>
      <c r="R76" s="11">
        <f>IFERROR(AVERAGEIFS(COM_All!U$2:U$999,COM_All!$B$2:$B$999,"="&amp;$A$63,COM_All!$C$2:$C$999,"="&amp;'INS-UPD Others'!$A69),"")</f>
        <v>0.0028451179062442301</v>
      </c>
      <c r="S76" s="11">
        <f>IFERROR(AVERAGEIFS(COM_All!V$2:V$999,COM_All!$B$2:$B$999,"="&amp;$A$63,COM_All!$C$2:$C$999,"="&amp;'INS-UPD Others'!$A69),"")</f>
        <v>0.0028675761005383699</v>
      </c>
      <c r="T76" s="11">
        <f>IFERROR(AVERAGEIFS(COM_All!W$2:W$999,COM_All!$B$2:$B$999,"="&amp;$A$63,COM_All!$C$2:$C$999,"="&amp;'INS-UPD Others'!$A69),"")</f>
        <v>0.0028571435059458299</v>
      </c>
      <c r="U76" s="11">
        <f>IFERROR(AVERAGEIFS(COM_All!X$2:X$999,COM_All!$B$2:$B$999,"="&amp;$A$63,COM_All!$C$2:$C$999,"="&amp;'INS-UPD Others'!$A69),"")</f>
        <v>0.00273232499916286</v>
      </c>
      <c r="V76" s="11">
        <f>IFERROR(AVERAGEIFS(COM_All!Y$2:Y$999,COM_All!$B$2:$B$999,"="&amp;$A$63,COM_All!$C$2:$C$999,"="&amp;'INS-UPD Others'!$A69),"")</f>
        <v>0.0027949049418829301</v>
      </c>
      <c r="W76" s="11">
        <f>IFERROR(AVERAGEIFS(COM_All!Z$2:Z$999,COM_All!$B$2:$B$999,"="&amp;$A$63,COM_All!$C$2:$C$999,"="&amp;'INS-UPD Others'!$A69),"")</f>
        <v>0.0028629244690098598</v>
      </c>
      <c r="X76" s="11">
        <f>IFERROR(AVERAGEIFS(COM_All!AA$2:AA$999,COM_All!$B$2:$B$999,"="&amp;$A$63,COM_All!$C$2:$C$999,"="&amp;'INS-UPD Others'!$A69),"")</f>
        <v>0.0028436971780982402</v>
      </c>
      <c r="Y76" s="11">
        <f>IFERROR(AVERAGEIFS(COM_All!AB$2:AB$999,COM_All!$B$2:$B$999,"="&amp;$A$63,COM_All!$C$2:$C$999,"="&amp;'INS-UPD Others'!$A69),"")</f>
        <v>0.0028079428792569701</v>
      </c>
      <c r="Z76" s="11">
        <f>IFERROR(AVERAGEIFS(COM_All!AC$2:AC$999,COM_All!$B$2:$B$999,"="&amp;$A$63,COM_All!$C$2:$C$999,"="&amp;'INS-UPD Others'!$A69),"")</f>
        <v>0.0028601900651311</v>
      </c>
      <c r="AA76" s="11">
        <f>IFERROR(AVERAGEIFS(COM_All!AD$2:AD$999,COM_All!$B$2:$B$999,"="&amp;$A$63,COM_All!$C$2:$C$999,"="&amp;'INS-UPD Others'!$A69),"")</f>
        <v>0.0028458988675619701</v>
      </c>
      <c r="AB76" s="11">
        <f>IFERROR(AVERAGEIFS(COM_All!AE$2:AE$999,COM_All!$B$2:$B$999,"="&amp;$A$63,COM_All!$C$2:$C$999,"="&amp;'INS-UPD Others'!$A69),"")</f>
        <v>0.0026322690365189099</v>
      </c>
      <c r="AC76" s="11">
        <f>IFERROR(AVERAGEIFS(COM_All!AF$2:AF$999,COM_All!$B$2:$B$999,"="&amp;$A$63,COM_All!$C$2:$C$999,"="&amp;'INS-UPD Others'!$A69),"")</f>
        <v>0.0028571435059458299</v>
      </c>
      <c r="AD76" s="11">
        <f>IFERROR(AVERAGEIFS(COM_All!AG$2:AG$999,COM_All!$B$2:$B$999,"="&amp;$A$63,COM_All!$C$2:$C$999,"="&amp;'INS-UPD Others'!$A69),"")</f>
        <v>0.00285917453748535</v>
      </c>
      <c r="AE76" s="11">
        <f>IFERROR(AVERAGEIFS(COM_All!AH$2:AH$999,COM_All!$B$2:$B$999,"="&amp;$A$63,COM_All!$C$2:$C$999,"="&amp;'INS-UPD Others'!$A69),"")</f>
        <v>0.0028732770079332899</v>
      </c>
      <c r="AF76" s="11">
        <f>IFERROR(AVERAGEIFS(COM_All!AI$2:AI$999,COM_All!$B$2:$B$999,"="&amp;$A$63,COM_All!$C$2:$C$999,"="&amp;'INS-UPD Others'!$A69),"")</f>
        <v>0.00286364933650066</v>
      </c>
      <c r="AG76" s="11">
        <f>IFERROR(AVERAGEIFS(COM_All!AJ$2:AJ$999,COM_All!$B$2:$B$999,"="&amp;$A$63,COM_All!$C$2:$C$999,"="&amp;'INS-UPD Others'!$A69),"")</f>
        <v>0.0028571435059458299</v>
      </c>
      <c r="AH76" s="11">
        <f>IFERROR(AVERAGEIFS(COM_All!AK$2:AK$999,COM_All!$B$2:$B$999,"="&amp;$A$63,COM_All!$C$2:$C$999,"="&amp;'INS-UPD Others'!$A69),"")</f>
        <v>0.0028571435059458299</v>
      </c>
      <c r="AI76" s="11">
        <f>IFERROR(AVERAGEIFS(COM_All!AL$2:AL$999,COM_All!$B$2:$B$999,"="&amp;$A$63,COM_All!$C$2:$C$999,"="&amp;'INS-UPD Others'!$A69),"")</f>
        <v>0.0028678376700802099</v>
      </c>
      <c r="AJ76" s="11">
        <f>IFERROR(AVERAGEIFS(COM_All!AM$2:AM$999,COM_All!$B$2:$B$999,"="&amp;$A$63,COM_All!$C$2:$C$999,"="&amp;'INS-UPD Others'!$A69),"")</f>
        <v>0.0028646292543426698</v>
      </c>
      <c r="AK76" s="11">
        <f>IFERROR(AVERAGEIFS(COM_All!AN$2:AN$999,COM_All!$B$2:$B$999,"="&amp;$A$63,COM_All!$C$2:$C$999,"="&amp;'INS-UPD Others'!$A69),"")</f>
        <v>0.0028458988675619701</v>
      </c>
      <c r="AL76" s="11">
        <f>IFERROR(AVERAGEIFS(COM_All!AO$2:AO$999,COM_All!$B$2:$B$999,"="&amp;$A$63,COM_All!$C$2:$C$999,"="&amp;'INS-UPD Others'!$A69),"")</f>
        <v>0.0028760757970145599</v>
      </c>
      <c r="AM76" s="11">
        <f>IFERROR(AVERAGEIFS(COM_All!AP$2:AP$999,COM_All!$B$2:$B$999,"="&amp;$A$63,COM_All!$C$2:$C$999,"="&amp;'INS-UPD Others'!$A69),"")</f>
        <v>0.0028297006408803099</v>
      </c>
      <c r="AN76" s="11">
        <f>IFERROR(AVERAGEIFS(COM_All!AQ$2:AQ$999,COM_All!$B$2:$B$999,"="&amp;$A$63,COM_All!$C$2:$C$999,"="&amp;'INS-UPD Others'!$A69),"")</f>
        <v>0.0019145554179113</v>
      </c>
      <c r="AO76" s="11">
        <f>IFERROR(AVERAGEIFS(COM_All!AR$2:AR$999,COM_All!$B$2:$B$999,"="&amp;$A$63,COM_All!$C$2:$C$999,"="&amp;'INS-UPD Others'!$A69),"")</f>
        <v>0.0028571435059458299</v>
      </c>
      <c r="AP76" s="11">
        <f>IFERROR(AVERAGEIFS(COM_All!AS$2:AS$999,COM_All!$B$2:$B$999,"="&amp;$A$63,COM_All!$C$2:$C$999,"="&amp;'INS-UPD Others'!$A69),"")</f>
        <v>0.0028458988675619701</v>
      </c>
      <c r="AQ76" s="11">
        <f>IFERROR(AVERAGEIFS(COM_All!AT$2:AT$999,COM_All!$B$2:$B$999,"="&amp;$A$63,COM_All!$C$2:$C$999,"="&amp;'INS-UPD Others'!$A69),"")</f>
        <v>0.0028796667556553902</v>
      </c>
      <c r="AR76" s="11">
        <f>IFERROR(AVERAGEIFS(COM_All!AU$2:AU$999,COM_All!$B$2:$B$999,"="&amp;$A$63,COM_All!$C$2:$C$999,"="&amp;'INS-UPD Others'!$A69),"")</f>
        <v>0.0028744739312352198</v>
      </c>
      <c r="AS76" s="12">
        <f>IFERROR(AVERAGEIFS(COM_All!AV$2:AV$999,COM_All!$B$2:$B$999,"="&amp;$A$63,COM_All!$C$2:$C$999,"="&amp;'INS-UPD Others'!$A69),"")</f>
        <v>0.0026094890259503898</v>
      </c>
    </row>
    <row r="77" spans="9:45" ht="12.75">
      <c r="I77" s="13">
        <f>IFERROR(AVERAGEIFS(COM_All!L$2:L$999,COM_All!$B$2:$B$999,"="&amp;$A$63,COM_All!$C$2:$C$999,"="&amp;'INS-UPD Others'!$A70),"")</f>
        <v>0.11565745477757</v>
      </c>
      <c r="J77" s="14">
        <f>IFERROR(AVERAGEIFS(COM_All!M$2:M$999,COM_All!$B$2:$B$999,"="&amp;$A$63,COM_All!$C$2:$C$999,"="&amp;'INS-UPD Others'!$A70),"")</f>
        <v>0.102037763152351</v>
      </c>
      <c r="K77" s="14">
        <f>IFERROR(AVERAGEIFS(COM_All!N$2:N$999,COM_All!$B$2:$B$999,"="&amp;$A$63,COM_All!$C$2:$C$999,"="&amp;'INS-UPD Others'!$A70),"")</f>
        <v>0.11565745477757</v>
      </c>
      <c r="L77" s="14">
        <f>IFERROR(AVERAGEIFS(COM_All!O$2:O$999,COM_All!$B$2:$B$999,"="&amp;$A$63,COM_All!$C$2:$C$999,"="&amp;'INS-UPD Others'!$A70),"")</f>
        <v>0.10311333486968401</v>
      </c>
      <c r="M77" s="14">
        <f>IFERROR(AVERAGEIFS(COM_All!P$2:P$999,COM_All!$B$2:$B$999,"="&amp;$A$63,COM_All!$C$2:$C$999,"="&amp;'INS-UPD Others'!$A70),"")</f>
        <v>0.11818465932437799</v>
      </c>
      <c r="N77" s="14">
        <f>IFERROR(AVERAGEIFS(COM_All!Q$2:Q$999,COM_All!$B$2:$B$999,"="&amp;$A$63,COM_All!$C$2:$C$999,"="&amp;'INS-UPD Others'!$A70),"")</f>
        <v>0.102037763152351</v>
      </c>
      <c r="O77" s="14">
        <f>IFERROR(AVERAGEIFS(COM_All!R$2:R$999,COM_All!$B$2:$B$999,"="&amp;$A$63,COM_All!$C$2:$C$999,"="&amp;'INS-UPD Others'!$A70),"")</f>
        <v>0.116114771569667</v>
      </c>
      <c r="P77" s="14">
        <f>IFERROR(AVERAGEIFS(COM_All!S$2:S$999,COM_All!$B$2:$B$999,"="&amp;$A$63,COM_All!$C$2:$C$999,"="&amp;'INS-UPD Others'!$A70),"")</f>
        <v>0.11735642242648001</v>
      </c>
      <c r="Q77" s="14">
        <f>IFERROR(AVERAGEIFS(COM_All!T$2:T$999,COM_All!$B$2:$B$999,"="&amp;$A$63,COM_All!$C$2:$C$999,"="&amp;'INS-UPD Others'!$A70),"")</f>
        <v>0.101960390629488</v>
      </c>
      <c r="R77" s="14">
        <f>IFERROR(AVERAGEIFS(COM_All!U$2:U$999,COM_All!$B$2:$B$999,"="&amp;$A$63,COM_All!$C$2:$C$999,"="&amp;'INS-UPD Others'!$A70),"")</f>
        <v>0.10273443344934299</v>
      </c>
      <c r="S77" s="14">
        <f>IFERROR(AVERAGEIFS(COM_All!V$2:V$999,COM_All!$B$2:$B$999,"="&amp;$A$63,COM_All!$C$2:$C$999,"="&amp;'INS-UPD Others'!$A70),"")</f>
        <v>0.116034477940523</v>
      </c>
      <c r="T77" s="14">
        <f>IFERROR(AVERAGEIFS(COM_All!W$2:W$999,COM_All!$B$2:$B$999,"="&amp;$A$63,COM_All!$C$2:$C$999,"="&amp;'INS-UPD Others'!$A70),"")</f>
        <v>0.11565745477757</v>
      </c>
      <c r="U77" s="14">
        <f>IFERROR(AVERAGEIFS(COM_All!X$2:X$999,COM_All!$B$2:$B$999,"="&amp;$A$63,COM_All!$C$2:$C$999,"="&amp;'INS-UPD Others'!$A70),"")</f>
        <v>0.11731785790195801</v>
      </c>
      <c r="V77" s="14">
        <f>IFERROR(AVERAGEIFS(COM_All!Y$2:Y$999,COM_All!$B$2:$B$999,"="&amp;$A$63,COM_All!$C$2:$C$999,"="&amp;'INS-UPD Others'!$A70),"")</f>
        <v>0.10250963719867399</v>
      </c>
      <c r="W77" s="14">
        <f>IFERROR(AVERAGEIFS(COM_All!Z$2:Z$999,COM_All!$B$2:$B$999,"="&amp;$A$63,COM_All!$C$2:$C$999,"="&amp;'INS-UPD Others'!$A70),"")</f>
        <v>0.10669871853988901</v>
      </c>
      <c r="X77" s="14">
        <f>IFERROR(AVERAGEIFS(COM_All!AA$2:AA$999,COM_All!$B$2:$B$999,"="&amp;$A$63,COM_All!$C$2:$C$999,"="&amp;'INS-UPD Others'!$A70),"")</f>
        <v>0.11717425981900299</v>
      </c>
      <c r="Y77" s="14">
        <f>IFERROR(AVERAGEIFS(COM_All!AB$2:AB$999,COM_All!$B$2:$B$999,"="&amp;$A$63,COM_All!$C$2:$C$999,"="&amp;'INS-UPD Others'!$A70),"")</f>
        <v>0.120965477698423</v>
      </c>
      <c r="Z77" s="14">
        <f>IFERROR(AVERAGEIFS(COM_All!AC$2:AC$999,COM_All!$B$2:$B$999,"="&amp;$A$63,COM_All!$C$2:$C$999,"="&amp;'INS-UPD Others'!$A70),"")</f>
        <v>0.104376207973969</v>
      </c>
      <c r="AA77" s="14">
        <f>IFERROR(AVERAGEIFS(COM_All!AD$2:AD$999,COM_All!$B$2:$B$999,"="&amp;$A$63,COM_All!$C$2:$C$999,"="&amp;'INS-UPD Others'!$A70),"")</f>
        <v>0.10052583822869</v>
      </c>
      <c r="AB77" s="14">
        <f>IFERROR(AVERAGEIFS(COM_All!AE$2:AE$999,COM_All!$B$2:$B$999,"="&amp;$A$63,COM_All!$C$2:$C$999,"="&amp;'INS-UPD Others'!$A70),"")</f>
        <v>0.107947690376204</v>
      </c>
      <c r="AC77" s="14">
        <f>IFERROR(AVERAGEIFS(COM_All!AF$2:AF$999,COM_All!$B$2:$B$999,"="&amp;$A$63,COM_All!$C$2:$C$999,"="&amp;'INS-UPD Others'!$A70),"")</f>
        <v>0.11565745477757</v>
      </c>
      <c r="AD77" s="14">
        <f>IFERROR(AVERAGEIFS(COM_All!AG$2:AG$999,COM_All!$B$2:$B$999,"="&amp;$A$63,COM_All!$C$2:$C$999,"="&amp;'INS-UPD Others'!$A70),"")</f>
        <v>0.11964576074229499</v>
      </c>
      <c r="AE77" s="14">
        <f>IFERROR(AVERAGEIFS(COM_All!AH$2:AH$999,COM_All!$B$2:$B$999,"="&amp;$A$63,COM_All!$C$2:$C$999,"="&amp;'INS-UPD Others'!$A70),"")</f>
        <v>0.100209759282213</v>
      </c>
      <c r="AF77" s="14">
        <f>IFERROR(AVERAGEIFS(COM_All!AI$2:AI$999,COM_All!$B$2:$B$999,"="&amp;$A$63,COM_All!$C$2:$C$999,"="&amp;'INS-UPD Others'!$A70),"")</f>
        <v>0.117309413828211</v>
      </c>
      <c r="AG77" s="14">
        <f>IFERROR(AVERAGEIFS(COM_All!AJ$2:AJ$999,COM_All!$B$2:$B$999,"="&amp;$A$63,COM_All!$C$2:$C$999,"="&amp;'INS-UPD Others'!$A70),"")</f>
        <v>0.11565745477757</v>
      </c>
      <c r="AH77" s="14">
        <f>IFERROR(AVERAGEIFS(COM_All!AK$2:AK$999,COM_All!$B$2:$B$999,"="&amp;$A$63,COM_All!$C$2:$C$999,"="&amp;'INS-UPD Others'!$A70),"")</f>
        <v>0.11565745477757</v>
      </c>
      <c r="AI77" s="14">
        <f>IFERROR(AVERAGEIFS(COM_All!AL$2:AL$999,COM_All!$B$2:$B$999,"="&amp;$A$63,COM_All!$C$2:$C$999,"="&amp;'INS-UPD Others'!$A70),"")</f>
        <v>0.115080820929746</v>
      </c>
      <c r="AJ77" s="14">
        <f>IFERROR(AVERAGEIFS(COM_All!AM$2:AM$999,COM_All!$B$2:$B$999,"="&amp;$A$63,COM_All!$C$2:$C$999,"="&amp;'INS-UPD Others'!$A70),"")</f>
        <v>0.10159729792913801</v>
      </c>
      <c r="AK77" s="14">
        <f>IFERROR(AVERAGEIFS(COM_All!AN$2:AN$999,COM_All!$B$2:$B$999,"="&amp;$A$63,COM_All!$C$2:$C$999,"="&amp;'INS-UPD Others'!$A70),"")</f>
        <v>0.10052583822869</v>
      </c>
      <c r="AL77" s="14">
        <f>IFERROR(AVERAGEIFS(COM_All!AO$2:AO$999,COM_All!$B$2:$B$999,"="&amp;$A$63,COM_All!$C$2:$C$999,"="&amp;'INS-UPD Others'!$A70),"")</f>
        <v>0.115509476209516</v>
      </c>
      <c r="AM77" s="14">
        <f>IFERROR(AVERAGEIFS(COM_All!AP$2:AP$999,COM_All!$B$2:$B$999,"="&amp;$A$63,COM_All!$C$2:$C$999,"="&amp;'INS-UPD Others'!$A70),"")</f>
        <v>0.11860563884333999</v>
      </c>
      <c r="AN77" s="14">
        <f>IFERROR(AVERAGEIFS(COM_All!AQ$2:AQ$999,COM_All!$B$2:$B$999,"="&amp;$A$63,COM_All!$C$2:$C$999,"="&amp;'INS-UPD Others'!$A70),"")</f>
        <v>0.119800874484132</v>
      </c>
      <c r="AO77" s="14">
        <f>IFERROR(AVERAGEIFS(COM_All!AR$2:AR$999,COM_All!$B$2:$B$999,"="&amp;$A$63,COM_All!$C$2:$C$999,"="&amp;'INS-UPD Others'!$A70),"")</f>
        <v>0.11565745477757</v>
      </c>
      <c r="AP77" s="14">
        <f>IFERROR(AVERAGEIFS(COM_All!AS$2:AS$999,COM_All!$B$2:$B$999,"="&amp;$A$63,COM_All!$C$2:$C$999,"="&amp;'INS-UPD Others'!$A70),"")</f>
        <v>0.10052583822869</v>
      </c>
      <c r="AQ77" s="14">
        <f>IFERROR(AVERAGEIFS(COM_All!AT$2:AT$999,COM_All!$B$2:$B$999,"="&amp;$A$63,COM_All!$C$2:$C$999,"="&amp;'INS-UPD Others'!$A70),"")</f>
        <v>0.11298311913558701</v>
      </c>
      <c r="AR77" s="14">
        <f>IFERROR(AVERAGEIFS(COM_All!AU$2:AU$999,COM_All!$B$2:$B$999,"="&amp;$A$63,COM_All!$C$2:$C$999,"="&amp;'INS-UPD Others'!$A70),"")</f>
        <v>0.115344391983544</v>
      </c>
      <c r="AS77" s="15">
        <f>IFERROR(AVERAGEIFS(COM_All!AV$2:AV$999,COM_All!$B$2:$B$999,"="&amp;$A$63,COM_All!$C$2:$C$999,"="&amp;'INS-UPD Others'!$A70),"")</f>
        <v>0.104972242152789</v>
      </c>
    </row>
    <row r="85" spans="1:3" ht="15">
      <c r="A85" s="76"/>
      <c r="C85" s="4" t="s">
        <v>50</v>
      </c>
    </row>
    <row r="86" spans="3:45" ht="12.75">
      <c r="C86" t="s">
        <v>35</v>
      </c>
      <c r="D86" t="s">
        <v>48</v>
      </c>
      <c r="E86" t="s">
        <v>43</v>
      </c>
      <c r="F86" t="s">
        <v>39</v>
      </c>
      <c r="G86" t="s">
        <v>36</v>
      </c>
      <c r="H86" t="s">
        <v>46</v>
      </c>
      <c r="I86" t="str">
        <f>RES_SpHeat!L$1</f>
        <v>AL</v>
      </c>
      <c r="J86" t="str">
        <f>RES_SpHeat!M$1</f>
        <v>AT</v>
      </c>
      <c r="K86" t="str">
        <f>RES_SpHeat!N$1</f>
        <v>BA</v>
      </c>
      <c r="L86" t="str">
        <f>RES_SpHeat!O$1</f>
        <v>BE</v>
      </c>
      <c r="M86" t="str">
        <f>RES_SpHeat!P$1</f>
        <v>BG</v>
      </c>
      <c r="N86" t="str">
        <f>RES_SpHeat!Q$1</f>
        <v>CH</v>
      </c>
      <c r="O86" t="str">
        <f>RES_SpHeat!R$1</f>
        <v>CY</v>
      </c>
      <c r="P86" t="str">
        <f>RES_SpHeat!S$1</f>
        <v>CZ</v>
      </c>
      <c r="Q86" t="str">
        <f>RES_SpHeat!T$1</f>
        <v>DE</v>
      </c>
      <c r="R86" t="str">
        <f>RES_SpHeat!U$1</f>
        <v>DK</v>
      </c>
      <c r="S86" t="str">
        <f>RES_SpHeat!V$1</f>
        <v>EE</v>
      </c>
      <c r="T86" t="str">
        <f>RES_SpHeat!W$1</f>
        <v>EL</v>
      </c>
      <c r="U86" t="str">
        <f>RES_SpHeat!X$1</f>
        <v>ES</v>
      </c>
      <c r="V86" t="str">
        <f>RES_SpHeat!Y$1</f>
        <v>FI</v>
      </c>
      <c r="W86" t="str">
        <f>RES_SpHeat!Z$1</f>
        <v>FR</v>
      </c>
      <c r="X86" t="str">
        <f>RES_SpHeat!AA$1</f>
        <v>HR</v>
      </c>
      <c r="Y86" t="str">
        <f>RES_SpHeat!AB$1</f>
        <v>HU</v>
      </c>
      <c r="Z86" t="str">
        <f>RES_SpHeat!AC$1</f>
        <v>IE</v>
      </c>
      <c r="AA86" t="str">
        <f>RES_SpHeat!AD$1</f>
        <v>IS</v>
      </c>
      <c r="AB86" t="str">
        <f>RES_SpHeat!AE$1</f>
        <v>IT</v>
      </c>
      <c r="AC86" t="str">
        <f>RES_SpHeat!AF$1</f>
        <v>KS</v>
      </c>
      <c r="AD86" t="str">
        <f>RES_SpHeat!AG$1</f>
        <v>LT</v>
      </c>
      <c r="AE86" t="str">
        <f>RES_SpHeat!AH$1</f>
        <v>LU</v>
      </c>
      <c r="AF86" t="str">
        <f>RES_SpHeat!AI$1</f>
        <v>LV</v>
      </c>
      <c r="AG86" t="str">
        <f>RES_SpHeat!AJ$1</f>
        <v>ME</v>
      </c>
      <c r="AH86" t="str">
        <f>RES_SpHeat!AK$1</f>
        <v>MK</v>
      </c>
      <c r="AI86" t="str">
        <f>RES_SpHeat!AL$1</f>
        <v>MT</v>
      </c>
      <c r="AJ86" t="str">
        <f>RES_SpHeat!AM$1</f>
        <v>NL</v>
      </c>
      <c r="AK86" t="str">
        <f>RES_SpHeat!AN$1</f>
        <v>NO</v>
      </c>
      <c r="AL86" t="str">
        <f>RES_SpHeat!AO$1</f>
        <v>PL</v>
      </c>
      <c r="AM86" t="str">
        <f>RES_SpHeat!AP$1</f>
        <v>PT</v>
      </c>
      <c r="AN86" t="str">
        <f>RES_SpHeat!AQ$1</f>
        <v>RO</v>
      </c>
      <c r="AO86" t="str">
        <f>RES_SpHeat!AR$1</f>
        <v>RS</v>
      </c>
      <c r="AP86" t="str">
        <f>RES_SpHeat!AS$1</f>
        <v>SE</v>
      </c>
      <c r="AQ86" t="str">
        <f>RES_SpHeat!AT$1</f>
        <v>SI</v>
      </c>
      <c r="AR86" t="str">
        <f>RES_SpHeat!AU$1</f>
        <v>SK</v>
      </c>
      <c r="AS86" t="str">
        <f>RES_SpHeat!AV$1</f>
        <v>UK</v>
      </c>
    </row>
    <row r="87" spans="1:45" ht="15">
      <c r="A87" s="3" t="s">
        <v>108</v>
      </c>
      <c r="C87" t="s">
        <v>29</v>
      </c>
      <c r="D87" t="s">
        <v>416</v>
      </c>
      <c r="G87">
        <v>2011</v>
      </c>
      <c r="H87" s="37"/>
      <c r="I87" s="38">
        <f>1/I33</f>
        <v>0.72173985341723057</v>
      </c>
      <c r="J87" s="38">
        <f t="shared" si="19" ref="J87:AS87">1/J33</f>
        <v>0.68028852029058728</v>
      </c>
      <c r="K87" s="38">
        <f t="shared" si="19"/>
        <v>0.72173985341723057</v>
      </c>
      <c r="L87" s="38">
        <f t="shared" si="19"/>
        <v>0.65254664773301807</v>
      </c>
      <c r="M87" s="38">
        <f t="shared" si="19"/>
        <v>0.61211478857392554</v>
      </c>
      <c r="N87" s="38">
        <f t="shared" si="19"/>
        <v>0.68028852029058728</v>
      </c>
      <c r="O87" s="38">
        <f t="shared" si="19"/>
        <v>0.5862522410329154</v>
      </c>
      <c r="P87" s="38">
        <f t="shared" si="19"/>
        <v>0.62811129097733354</v>
      </c>
      <c r="Q87" s="38">
        <f t="shared" si="19"/>
        <v>0.74008115352249582</v>
      </c>
      <c r="R87" s="38">
        <f t="shared" si="19"/>
        <v>0.7393249077500369</v>
      </c>
      <c r="S87" s="38">
        <f t="shared" si="19"/>
        <v>0.58393165767149258</v>
      </c>
      <c r="T87" s="38">
        <f t="shared" si="19"/>
        <v>0.72173985341723057</v>
      </c>
      <c r="U87" s="38">
        <f t="shared" si="19"/>
        <v>0.69473286202854634</v>
      </c>
      <c r="V87" s="38">
        <f t="shared" si="19"/>
        <v>0.69119976211721346</v>
      </c>
      <c r="W87" s="38">
        <f t="shared" si="19"/>
        <v>0.63553911304081834</v>
      </c>
      <c r="X87" s="38">
        <f t="shared" si="19"/>
        <v>0.65187970734473799</v>
      </c>
      <c r="Y87" s="38">
        <f t="shared" si="19"/>
        <v>0.64359073179450221</v>
      </c>
      <c r="Z87" s="38">
        <f t="shared" si="19"/>
        <v>0.67912618045648676</v>
      </c>
      <c r="AA87" s="38">
        <f t="shared" si="19"/>
        <v>0.71018408168387415</v>
      </c>
      <c r="AB87" s="38">
        <f t="shared" si="19"/>
        <v>0.69307898285155112</v>
      </c>
      <c r="AC87" s="38">
        <f t="shared" si="19"/>
        <v>0.72173985341723057</v>
      </c>
      <c r="AD87" s="38">
        <f t="shared" si="19"/>
        <v>0.61219425627065549</v>
      </c>
      <c r="AE87" s="38">
        <f t="shared" si="19"/>
        <v>0.7001854874782163</v>
      </c>
      <c r="AF87" s="38">
        <f t="shared" si="19"/>
        <v>0.62697081639862773</v>
      </c>
      <c r="AG87" s="38">
        <f t="shared" si="19"/>
        <v>0.72173985341723057</v>
      </c>
      <c r="AH87" s="38">
        <f t="shared" si="19"/>
        <v>0.72173985341723057</v>
      </c>
      <c r="AI87" s="38">
        <f t="shared" si="19"/>
        <v>0.58073921019757324</v>
      </c>
      <c r="AJ87" s="38">
        <f t="shared" si="19"/>
        <v>0.76285732157237829</v>
      </c>
      <c r="AK87" s="38">
        <f t="shared" si="19"/>
        <v>0.71018408168387415</v>
      </c>
      <c r="AL87" s="38">
        <f t="shared" si="19"/>
        <v>0.68196479015811839</v>
      </c>
      <c r="AM87" s="38">
        <f t="shared" si="19"/>
        <v>0.64266305450973438</v>
      </c>
      <c r="AN87" s="38">
        <f t="shared" si="19"/>
        <v>0.71105600919230694</v>
      </c>
      <c r="AO87" s="38">
        <f t="shared" si="19"/>
        <v>0.72173985341723057</v>
      </c>
      <c r="AP87" s="38">
        <f t="shared" si="19"/>
        <v>0.71018408168387415</v>
      </c>
      <c r="AQ87" s="38">
        <f t="shared" si="19"/>
        <v>0.57640988084435618</v>
      </c>
      <c r="AR87" s="38">
        <f t="shared" si="19"/>
        <v>0.59726411553895919</v>
      </c>
      <c r="AS87" s="38">
        <f t="shared" si="19"/>
        <v>0.75982842543113793</v>
      </c>
    </row>
    <row r="88" spans="3:45" ht="12.75">
      <c r="C88" t="s">
        <v>29</v>
      </c>
      <c r="D88" t="s">
        <v>417</v>
      </c>
      <c r="G88">
        <v>2011</v>
      </c>
      <c r="I88" s="2">
        <f>I87*($B$96/$B$95)</f>
        <v>1.3509489563963546</v>
      </c>
      <c r="J88" s="2">
        <f t="shared" si="20" ref="J88:AS88">J87*($B$96/$B$95)</f>
        <v>1.2733605636208427</v>
      </c>
      <c r="K88" s="2">
        <f t="shared" si="20"/>
        <v>1.3509489563963546</v>
      </c>
      <c r="L88" s="2">
        <f t="shared" si="20"/>
        <v>1.2214334688335977</v>
      </c>
      <c r="M88" s="2">
        <f t="shared" si="20"/>
        <v>1.1457533222024758</v>
      </c>
      <c r="N88" s="2">
        <f t="shared" si="20"/>
        <v>1.2733605636208427</v>
      </c>
      <c r="O88" s="2">
        <f t="shared" si="20"/>
        <v>1.0973439383436621</v>
      </c>
      <c r="P88" s="2">
        <f t="shared" si="20"/>
        <v>1.1756954933678294</v>
      </c>
      <c r="Q88" s="2">
        <f t="shared" si="20"/>
        <v>1.3852801078754406</v>
      </c>
      <c r="R88" s="2">
        <f t="shared" si="20"/>
        <v>1.3838645709167356</v>
      </c>
      <c r="S88" s="2">
        <f t="shared" si="20"/>
        <v>1.0930002823081784</v>
      </c>
      <c r="T88" s="2">
        <f t="shared" si="20"/>
        <v>1.3509489563963546</v>
      </c>
      <c r="U88" s="2">
        <f t="shared" si="20"/>
        <v>1.300397408412407</v>
      </c>
      <c r="V88" s="2">
        <f t="shared" si="20"/>
        <v>1.2937841701168353</v>
      </c>
      <c r="W88" s="2">
        <f t="shared" si="20"/>
        <v>1.1895988526148649</v>
      </c>
      <c r="X88" s="2">
        <f t="shared" si="20"/>
        <v>1.2201850932350222</v>
      </c>
      <c r="Y88" s="2">
        <f t="shared" si="20"/>
        <v>1.2046698313076578</v>
      </c>
      <c r="Z88" s="2">
        <f t="shared" si="20"/>
        <v>1.2711849018800905</v>
      </c>
      <c r="AA88" s="2">
        <f t="shared" si="20"/>
        <v>1.3293189221262258</v>
      </c>
      <c r="AB88" s="2">
        <f t="shared" si="20"/>
        <v>1.2973016858503392</v>
      </c>
      <c r="AC88" s="2">
        <f t="shared" si="20"/>
        <v>1.3509489563963546</v>
      </c>
      <c r="AD88" s="2">
        <f t="shared" si="20"/>
        <v>1.1459020694296884</v>
      </c>
      <c r="AE88" s="2">
        <f t="shared" si="20"/>
        <v>1.3106036047669176</v>
      </c>
      <c r="AF88" s="2">
        <f t="shared" si="20"/>
        <v>1.1735607588999954</v>
      </c>
      <c r="AG88" s="2">
        <f t="shared" si="20"/>
        <v>1.3509489563963546</v>
      </c>
      <c r="AH88" s="2">
        <f t="shared" si="20"/>
        <v>1.3509489563963546</v>
      </c>
      <c r="AI88" s="2">
        <f t="shared" si="20"/>
        <v>1.0870246754980215</v>
      </c>
      <c r="AJ88" s="2">
        <f t="shared" si="20"/>
        <v>1.427912422430349</v>
      </c>
      <c r="AK88" s="2">
        <f t="shared" si="20"/>
        <v>1.3293189221262258</v>
      </c>
      <c r="AL88" s="2">
        <f t="shared" si="20"/>
        <v>1.2764981969626317</v>
      </c>
      <c r="AM88" s="2">
        <f t="shared" si="20"/>
        <v>1.2029334097233488</v>
      </c>
      <c r="AN88" s="2">
        <f t="shared" si="20"/>
        <v>1.3309509915650872</v>
      </c>
      <c r="AO88" s="2">
        <f t="shared" si="20"/>
        <v>1.3509489563963546</v>
      </c>
      <c r="AP88" s="2">
        <f t="shared" si="20"/>
        <v>1.3293189221262258</v>
      </c>
      <c r="AQ88" s="2">
        <f t="shared" si="20"/>
        <v>1.0789210590163589</v>
      </c>
      <c r="AR88" s="2">
        <f t="shared" si="20"/>
        <v>1.1179559085729236</v>
      </c>
      <c r="AS88" s="2">
        <f t="shared" si="20"/>
        <v>1.4222429501659759</v>
      </c>
    </row>
    <row r="89" spans="1:45" ht="15">
      <c r="A89" s="3" t="s">
        <v>107</v>
      </c>
      <c r="C89" t="s">
        <v>29</v>
      </c>
      <c r="D89" s="79" t="s">
        <v>419</v>
      </c>
      <c r="G89">
        <v>2011</v>
      </c>
      <c r="I89" s="2">
        <f>1/I32</f>
        <v>10.043760988637148</v>
      </c>
      <c r="J89" s="2">
        <f t="shared" si="21" ref="J89:AS89">1/J32</f>
        <v>10.086698147321259</v>
      </c>
      <c r="K89" s="2">
        <f t="shared" si="21"/>
        <v>10.043760988637148</v>
      </c>
      <c r="L89" s="2">
        <f t="shared" si="21"/>
        <v>10.720267396597182</v>
      </c>
      <c r="M89" s="2">
        <f t="shared" si="21"/>
        <v>9.4381016079258462</v>
      </c>
      <c r="N89" s="2">
        <f t="shared" si="21"/>
        <v>10.086698147321259</v>
      </c>
      <c r="O89" s="2">
        <f t="shared" si="21"/>
        <v>9.9702024083717635</v>
      </c>
      <c r="P89" s="2">
        <f t="shared" si="21"/>
        <v>10.667787290630613</v>
      </c>
      <c r="Q89" s="2">
        <f t="shared" si="21"/>
        <v>9.8070836270894599</v>
      </c>
      <c r="R89" s="2">
        <f t="shared" si="21"/>
        <v>10.166507722846333</v>
      </c>
      <c r="S89" s="2">
        <f t="shared" si="21"/>
        <v>9.9701999816619775</v>
      </c>
      <c r="T89" s="2">
        <f t="shared" si="21"/>
        <v>10.043760988637148</v>
      </c>
      <c r="U89" s="2">
        <f t="shared" si="21"/>
        <v>10.545285004758695</v>
      </c>
      <c r="V89" s="2">
        <f t="shared" si="21"/>
        <v>10.330633973496663</v>
      </c>
      <c r="W89" s="2">
        <f t="shared" si="21"/>
        <v>10.082013194318021</v>
      </c>
      <c r="X89" s="2">
        <f t="shared" si="21"/>
        <v>10.080731533162378</v>
      </c>
      <c r="Y89" s="2">
        <f t="shared" si="21"/>
        <v>10.12114151792697</v>
      </c>
      <c r="Z89" s="2">
        <f t="shared" si="21"/>
        <v>10.086658424910725</v>
      </c>
      <c r="AA89" s="2">
        <f t="shared" si="21"/>
        <v>10.171126410684726</v>
      </c>
      <c r="AB89" s="2">
        <f t="shared" si="21"/>
        <v>10.392556661226291</v>
      </c>
      <c r="AC89" s="2">
        <f t="shared" si="21"/>
        <v>10.043760988637148</v>
      </c>
      <c r="AD89" s="2">
        <f t="shared" si="21"/>
        <v>9.9701451443171347</v>
      </c>
      <c r="AE89" s="2">
        <f t="shared" si="21"/>
        <v>10.08658728132953</v>
      </c>
      <c r="AF89" s="2">
        <f t="shared" si="21"/>
        <v>9.9701165382656747</v>
      </c>
      <c r="AG89" s="2">
        <f t="shared" si="21"/>
        <v>10.043760988637148</v>
      </c>
      <c r="AH89" s="2">
        <f t="shared" si="21"/>
        <v>10.043760988637148</v>
      </c>
      <c r="AI89" s="2">
        <f t="shared" si="21"/>
        <v>9.9701929862864862</v>
      </c>
      <c r="AJ89" s="2">
        <f t="shared" si="21"/>
        <v>10.086581955456763</v>
      </c>
      <c r="AK89" s="2">
        <f t="shared" si="21"/>
        <v>10.171126410684726</v>
      </c>
      <c r="AL89" s="2">
        <f t="shared" si="21"/>
        <v>9.9702286371161559</v>
      </c>
      <c r="AM89" s="2">
        <f t="shared" si="21"/>
        <v>10.143293007266296</v>
      </c>
      <c r="AN89" s="2">
        <f t="shared" si="21"/>
        <v>9.6143805240131055</v>
      </c>
      <c r="AO89" s="2">
        <f t="shared" si="21"/>
        <v>10.043760988637148</v>
      </c>
      <c r="AP89" s="2">
        <f t="shared" si="21"/>
        <v>10.171126410684726</v>
      </c>
      <c r="AQ89" s="2">
        <f t="shared" si="21"/>
        <v>9.9701461603871362</v>
      </c>
      <c r="AR89" s="2">
        <f t="shared" si="21"/>
        <v>9.970181899043407</v>
      </c>
      <c r="AS89" s="2">
        <f t="shared" si="21"/>
        <v>10.02277901650651</v>
      </c>
    </row>
    <row r="90" spans="3:45" ht="12.75">
      <c r="C90" t="s">
        <v>29</v>
      </c>
      <c r="D90" s="79" t="s">
        <v>420</v>
      </c>
      <c r="G90">
        <v>2011</v>
      </c>
      <c r="I90" s="2">
        <f>I89*($B$98/$B$97)</f>
        <v>18.748353845456009</v>
      </c>
      <c r="J90" s="2">
        <f t="shared" si="22" ref="J90:AS90">J89*($B$98/$B$97)</f>
        <v>18.828503208333014</v>
      </c>
      <c r="K90" s="2">
        <f t="shared" si="22"/>
        <v>18.748353845456009</v>
      </c>
      <c r="L90" s="2">
        <f t="shared" si="22"/>
        <v>20.011165806981403</v>
      </c>
      <c r="M90" s="2">
        <f t="shared" si="22"/>
        <v>17.617789668128243</v>
      </c>
      <c r="N90" s="2">
        <f t="shared" si="22"/>
        <v>18.828503208333014</v>
      </c>
      <c r="O90" s="2">
        <f t="shared" si="22"/>
        <v>18.61104449562729</v>
      </c>
      <c r="P90" s="2">
        <f t="shared" si="22"/>
        <v>19.913202942510477</v>
      </c>
      <c r="Q90" s="2">
        <f t="shared" si="22"/>
        <v>18.306556103900324</v>
      </c>
      <c r="R90" s="2">
        <f t="shared" si="22"/>
        <v>18.977481082646488</v>
      </c>
      <c r="S90" s="2">
        <f t="shared" si="22"/>
        <v>18.611039965769024</v>
      </c>
      <c r="T90" s="2">
        <f t="shared" si="22"/>
        <v>18.748353845456009</v>
      </c>
      <c r="U90" s="2">
        <f t="shared" si="22"/>
        <v>19.684532008882893</v>
      </c>
      <c r="V90" s="2">
        <f t="shared" si="22"/>
        <v>19.283850083860436</v>
      </c>
      <c r="W90" s="2">
        <f t="shared" si="22"/>
        <v>18.819757962726971</v>
      </c>
      <c r="X90" s="2">
        <f t="shared" si="22"/>
        <v>18.81736552856977</v>
      </c>
      <c r="Y90" s="2">
        <f t="shared" si="22"/>
        <v>18.892797500130342</v>
      </c>
      <c r="Z90" s="2">
        <f t="shared" si="22"/>
        <v>18.828429059833351</v>
      </c>
      <c r="AA90" s="2">
        <f t="shared" si="22"/>
        <v>18.986102633278154</v>
      </c>
      <c r="AB90" s="2">
        <f t="shared" si="22"/>
        <v>19.399439100955739</v>
      </c>
      <c r="AC90" s="2">
        <f t="shared" si="22"/>
        <v>18.748353845456009</v>
      </c>
      <c r="AD90" s="2">
        <f t="shared" si="22"/>
        <v>18.610937602725315</v>
      </c>
      <c r="AE90" s="2">
        <f t="shared" si="22"/>
        <v>18.828296258481789</v>
      </c>
      <c r="AF90" s="2">
        <f t="shared" si="22"/>
        <v>18.610884204762591</v>
      </c>
      <c r="AG90" s="2">
        <f t="shared" si="22"/>
        <v>18.748353845456009</v>
      </c>
      <c r="AH90" s="2">
        <f t="shared" si="22"/>
        <v>18.748353845456009</v>
      </c>
      <c r="AI90" s="2">
        <f t="shared" si="22"/>
        <v>18.611026907734772</v>
      </c>
      <c r="AJ90" s="2">
        <f t="shared" si="22"/>
        <v>18.828286316852623</v>
      </c>
      <c r="AK90" s="2">
        <f t="shared" si="22"/>
        <v>18.986102633278154</v>
      </c>
      <c r="AL90" s="2">
        <f t="shared" si="22"/>
        <v>18.611093455950154</v>
      </c>
      <c r="AM90" s="2">
        <f t="shared" si="22"/>
        <v>18.934146946897084</v>
      </c>
      <c r="AN90" s="2">
        <f t="shared" si="22"/>
        <v>17.946843644824462</v>
      </c>
      <c r="AO90" s="2">
        <f t="shared" si="22"/>
        <v>18.748353845456009</v>
      </c>
      <c r="AP90" s="2">
        <f t="shared" si="22"/>
        <v>18.986102633278154</v>
      </c>
      <c r="AQ90" s="2">
        <f t="shared" si="22"/>
        <v>18.610939499389318</v>
      </c>
      <c r="AR90" s="2">
        <f t="shared" si="22"/>
        <v>18.611006211547693</v>
      </c>
      <c r="AS90" s="2">
        <f t="shared" si="22"/>
        <v>18.709187497478815</v>
      </c>
    </row>
    <row r="91" spans="3:45" ht="12.75">
      <c r="C91" t="s">
        <v>29</v>
      </c>
      <c r="D91" s="79" t="s">
        <v>421</v>
      </c>
      <c r="G91">
        <v>2011</v>
      </c>
      <c r="I91" s="2">
        <f>I89*($B$99/$B$98)</f>
        <v>20.4820983018279</v>
      </c>
      <c r="J91" s="2">
        <f t="shared" si="23" ref="J91:AS91">J89*($B$99/$B$98)</f>
        <v>20.569659436144427</v>
      </c>
      <c r="K91" s="2">
        <f t="shared" si="23"/>
        <v>20.4820983018279</v>
      </c>
      <c r="L91" s="2">
        <f t="shared" si="23"/>
        <v>21.861688155203542</v>
      </c>
      <c r="M91" s="2">
        <f t="shared" si="23"/>
        <v>19.246985779020211</v>
      </c>
      <c r="N91" s="2">
        <f t="shared" si="23"/>
        <v>20.569659436144427</v>
      </c>
      <c r="O91" s="2">
        <f t="shared" si="23"/>
        <v>20.332091339929562</v>
      </c>
      <c r="P91" s="2">
        <f t="shared" si="23"/>
        <v>21.754666224821719</v>
      </c>
      <c r="Q91" s="2">
        <f t="shared" si="23"/>
        <v>19.999445539528867</v>
      </c>
      <c r="R91" s="2">
        <f t="shared" si="23"/>
        <v>20.732413963375919</v>
      </c>
      <c r="S91" s="2">
        <f t="shared" si="23"/>
        <v>20.332086391174965</v>
      </c>
      <c r="T91" s="2">
        <f t="shared" si="23"/>
        <v>20.4820983018279</v>
      </c>
      <c r="U91" s="2">
        <f t="shared" si="23"/>
        <v>21.504849063275771</v>
      </c>
      <c r="V91" s="2">
        <f t="shared" si="23"/>
        <v>21.067114281666413</v>
      </c>
      <c r="W91" s="2">
        <f t="shared" si="23"/>
        <v>20.560105478412826</v>
      </c>
      <c r="X91" s="2">
        <f t="shared" si="23"/>
        <v>20.557491805127569</v>
      </c>
      <c r="Y91" s="2">
        <f t="shared" si="23"/>
        <v>20.639899309772503</v>
      </c>
      <c r="Z91" s="2">
        <f t="shared" si="23"/>
        <v>20.569578430800089</v>
      </c>
      <c r="AA91" s="2">
        <f t="shared" si="23"/>
        <v>20.741832787503498</v>
      </c>
      <c r="AB91" s="2">
        <f t="shared" si="23"/>
        <v>21.193392334143617</v>
      </c>
      <c r="AC91" s="2">
        <f t="shared" si="23"/>
        <v>20.4820983018279</v>
      </c>
      <c r="AD91" s="2">
        <f t="shared" si="23"/>
        <v>20.331974562161015</v>
      </c>
      <c r="AE91" s="2">
        <f t="shared" si="23"/>
        <v>20.569433348711296</v>
      </c>
      <c r="AF91" s="2">
        <f t="shared" si="23"/>
        <v>20.331916226248932</v>
      </c>
      <c r="AG91" s="2">
        <f t="shared" si="23"/>
        <v>20.4820983018279</v>
      </c>
      <c r="AH91" s="2">
        <f t="shared" si="23"/>
        <v>20.4820983018279</v>
      </c>
      <c r="AI91" s="2">
        <f t="shared" si="23"/>
        <v>20.332072125605659</v>
      </c>
      <c r="AJ91" s="2">
        <f t="shared" si="23"/>
        <v>20.569422487735046</v>
      </c>
      <c r="AK91" s="2">
        <f t="shared" si="23"/>
        <v>20.741832787503498</v>
      </c>
      <c r="AL91" s="2">
        <f t="shared" si="23"/>
        <v>20.332144827833307</v>
      </c>
      <c r="AM91" s="2">
        <f t="shared" si="23"/>
        <v>20.685072525532341</v>
      </c>
      <c r="AN91" s="2">
        <f t="shared" si="23"/>
        <v>19.606468854326728</v>
      </c>
      <c r="AO91" s="2">
        <f t="shared" si="23"/>
        <v>20.4820983018279</v>
      </c>
      <c r="AP91" s="2">
        <f t="shared" si="23"/>
        <v>20.741832787503498</v>
      </c>
      <c r="AQ91" s="2">
        <f t="shared" si="23"/>
        <v>20.331976634218055</v>
      </c>
      <c r="AR91" s="2">
        <f t="shared" si="23"/>
        <v>20.332049515549237</v>
      </c>
      <c r="AS91" s="2">
        <f t="shared" si="23"/>
        <v>20.439310065804349</v>
      </c>
    </row>
    <row r="94" spans="1:1" ht="12.75">
      <c r="A94" s="74" t="s">
        <v>418</v>
      </c>
    </row>
    <row r="95" spans="1:2" ht="12.75">
      <c r="A95" t="s">
        <v>416</v>
      </c>
      <c r="B95">
        <v>1.56</v>
      </c>
    </row>
    <row r="96" spans="1:2" ht="12.75">
      <c r="A96" s="50" t="s">
        <v>417</v>
      </c>
      <c r="B96" s="50">
        <v>2.92</v>
      </c>
    </row>
    <row r="97" spans="1:2" ht="12.75">
      <c r="A97" s="79" t="s">
        <v>419</v>
      </c>
      <c r="B97" s="80">
        <v>1.50</v>
      </c>
    </row>
    <row r="98" spans="1:4" ht="12.75">
      <c r="A98" s="79" t="s">
        <v>420</v>
      </c>
      <c r="B98" s="80">
        <v>2.80</v>
      </c>
      <c r="D98">
        <f>B98/B97</f>
        <v>1.8666666666666665</v>
      </c>
    </row>
    <row r="99" spans="1:8" ht="12.75">
      <c r="A99" s="79" t="s">
        <v>421</v>
      </c>
      <c r="B99" s="80">
        <v>5.71</v>
      </c>
      <c r="C99" s="79"/>
      <c r="D99" s="79">
        <f>B99/B97</f>
        <v>3.8066666666666666</v>
      </c>
      <c r="E99" s="79"/>
      <c r="F99" s="78"/>
      <c r="G99" s="77"/>
      <c r="H99" s="77"/>
    </row>
    <row r="100" spans="3:8" ht="12.75">
      <c r="C100" s="79"/>
      <c r="D100" s="79"/>
      <c r="E100" s="79"/>
      <c r="F100" s="78"/>
      <c r="G100" s="77"/>
      <c r="H100" s="77"/>
    </row>
    <row r="101" spans="3:8" ht="12.75">
      <c r="C101" s="79"/>
      <c r="D101" s="79"/>
      <c r="E101" s="79"/>
      <c r="F101" s="78"/>
      <c r="G101" s="77"/>
      <c r="H101" s="77"/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Fill Data</vt:lpstr>
      <vt:lpstr>RES_SpHeat</vt:lpstr>
      <vt:lpstr>RES_WatHeat</vt:lpstr>
      <vt:lpstr>RES_SpCool</vt:lpstr>
      <vt:lpstr>RES_Others</vt:lpstr>
      <vt:lpstr>RSD_HeatCAPEX</vt:lpstr>
      <vt:lpstr>RSD_DistrictHCAPEX_OPEX</vt:lpstr>
      <vt:lpstr>RSD_HeatOPEX</vt:lpstr>
      <vt:lpstr>RSDTechsCE</vt:lpstr>
      <vt:lpstr>RSD_HP</vt:lpstr>
      <vt:lpstr>RSD_SpaceHeat</vt:lpstr>
      <vt:lpstr>RSD_WaterHeat</vt:lpstr>
      <vt:lpstr>RSD_SpCool</vt:lpstr>
      <vt:lpstr>Country aggregations</vt:lpstr>
      <vt:lpstr>RES_Share</vt:lpstr>
      <vt:lpstr>COM_All</vt:lpstr>
      <vt:lpstr>INS-UPD Heat</vt:lpstr>
      <vt:lpstr>INS-UPD WaterHeat</vt:lpstr>
      <vt:lpstr>INS-UPD SpCool</vt:lpstr>
      <vt:lpstr>INS-UPD Others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Lehtilä Antti</cp:lastModifiedBy>
  <cp:lastPrinted>2007-01-05T10:33:44Z</cp:lastPrinted>
  <dcterms:created xsi:type="dcterms:W3CDTF">2001-09-28T18:48:17Z</dcterms:created>
  <dcterms:modified xsi:type="dcterms:W3CDTF">2025-11-06T18:50:57Z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465968251228332</vt:r8>
  </property>
</Properties>
</file>