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Veda\Veda_models\PETVTT\SubRES_TMPL\"/>
    </mc:Choice>
  </mc:AlternateContent>
  <xr:revisionPtr revIDLastSave="0" documentId="13_ncr:1_{025E57C3-F65E-44F3-A4E7-879D6AA14918}" xr6:coauthVersionLast="47" xr6:coauthVersionMax="47" xr10:uidLastSave="{00000000-0000-0000-0000-000000000000}"/>
  <bookViews>
    <workbookView xWindow="-120" yWindow="-120" windowWidth="38640" windowHeight="21120" activeTab="4" xr2:uid="{00000000-000D-0000-FFFF-FFFF00000000}"/>
  </bookViews>
  <sheets>
    <sheet name="SUP_Diesel" sheetId="7" r:id="rId1"/>
    <sheet name="SUP_Gasoline" sheetId="9" r:id="rId2"/>
    <sheet name="SUP_CCU" sheetId="11" r:id="rId3"/>
    <sheet name="Data electrolyser" sheetId="8" r:id="rId4"/>
    <sheet name="SUP_Diesel_LowAF" sheetId="12" r:id="rId5"/>
    <sheet name="SUP_Gasoline_LowAF" sheetId="13" r:id="rId6"/>
    <sheet name="DACNEW" sheetId="14" r:id="rId7"/>
  </sheets>
  <externalReferences>
    <externalReference r:id="rId8"/>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1" l="1"/>
  <c r="L77" i="11"/>
  <c r="H32" i="11" l="1"/>
  <c r="H31" i="11"/>
  <c r="G29" i="11"/>
  <c r="L72" i="11"/>
  <c r="L71" i="11"/>
  <c r="L70" i="11"/>
  <c r="G31" i="11"/>
  <c r="J29" i="11"/>
  <c r="I29" i="11"/>
  <c r="L40" i="11" s="1"/>
  <c r="L47" i="11" s="1"/>
  <c r="L65" i="11"/>
  <c r="H29" i="11" s="1"/>
  <c r="L62" i="11"/>
  <c r="L61" i="11"/>
  <c r="L63" i="11" s="1"/>
  <c r="L50" i="11"/>
  <c r="L52" i="11"/>
  <c r="L53" i="11"/>
  <c r="D95" i="14"/>
  <c r="K26" i="14"/>
  <c r="L24" i="14"/>
  <c r="M24" i="14" s="1"/>
  <c r="L23" i="14"/>
  <c r="M23" i="14" s="1"/>
  <c r="M26" i="14" s="1"/>
  <c r="C22" i="12"/>
  <c r="C20" i="12"/>
  <c r="C18" i="12"/>
  <c r="C52" i="12"/>
  <c r="C53" i="12" s="1"/>
  <c r="C54" i="12" s="1"/>
  <c r="C48" i="12"/>
  <c r="C49" i="12" s="1"/>
  <c r="C50" i="12" s="1"/>
  <c r="C18" i="11"/>
  <c r="D93" i="14"/>
  <c r="D94" i="14"/>
  <c r="C94" i="14"/>
  <c r="C93" i="14"/>
  <c r="H91" i="14"/>
  <c r="D91" i="14"/>
  <c r="D92" i="14"/>
  <c r="C92" i="14"/>
  <c r="C91" i="14"/>
  <c r="D87" i="14"/>
  <c r="D86" i="14"/>
  <c r="L26" i="14" l="1"/>
  <c r="C18" i="13"/>
  <c r="C16" i="13"/>
  <c r="D18" i="13"/>
  <c r="D16" i="13"/>
  <c r="D51" i="12"/>
  <c r="D47" i="12"/>
  <c r="D54" i="7"/>
  <c r="D50" i="7"/>
  <c r="D46" i="7"/>
  <c r="D42" i="7"/>
  <c r="E29" i="9"/>
  <c r="E30" i="9"/>
  <c r="D21" i="7" l="1"/>
  <c r="C21" i="7"/>
  <c r="D19" i="7"/>
  <c r="C19" i="7"/>
  <c r="D17" i="7"/>
  <c r="C17" i="7"/>
  <c r="D47" i="11" l="1"/>
  <c r="D48" i="11"/>
  <c r="D46" i="11"/>
  <c r="D50" i="11"/>
  <c r="D49" i="11"/>
  <c r="L42" i="11"/>
  <c r="H25" i="11"/>
  <c r="J25" i="11"/>
  <c r="G27" i="11"/>
  <c r="H16" i="11" l="1"/>
  <c r="H13" i="11"/>
  <c r="H10" i="11"/>
  <c r="H7" i="11"/>
  <c r="M41" i="14" l="1"/>
  <c r="K41" i="14"/>
  <c r="O40" i="14" l="1"/>
  <c r="T41" i="14"/>
  <c r="M42" i="14"/>
  <c r="K42" i="14"/>
  <c r="J42" i="14"/>
  <c r="U30" i="14"/>
  <c r="U27" i="14"/>
  <c r="D36" i="12" l="1"/>
  <c r="C36" i="12"/>
  <c r="C37" i="12" s="1"/>
  <c r="C38" i="12" s="1"/>
  <c r="R36" i="12"/>
  <c r="S36" i="12" s="1"/>
  <c r="T36" i="12" s="1"/>
  <c r="AK35" i="14" l="1"/>
  <c r="AK36" i="14" s="1"/>
  <c r="D32" i="12" l="1"/>
  <c r="C32" i="12"/>
  <c r="C33" i="12" s="1"/>
  <c r="C34" i="12" s="1"/>
  <c r="C35" i="12" s="1"/>
  <c r="R32" i="12"/>
  <c r="S32" i="12" s="1"/>
  <c r="T32" i="12" s="1"/>
  <c r="H40" i="7"/>
  <c r="H39" i="7"/>
  <c r="Z38" i="7"/>
  <c r="AA38" i="7" s="1"/>
  <c r="AB38" i="7" s="1"/>
  <c r="X38" i="7"/>
  <c r="W38" i="7"/>
  <c r="V38" i="7"/>
  <c r="U38" i="7"/>
  <c r="Q38" i="7"/>
  <c r="R38" i="7" s="1"/>
  <c r="S38" i="7" s="1"/>
  <c r="T38" i="7" s="1"/>
  <c r="P26" i="7"/>
  <c r="Q34" i="7"/>
  <c r="P29" i="7" s="1"/>
  <c r="X34" i="7"/>
  <c r="W34" i="7"/>
  <c r="V34" i="7"/>
  <c r="U34" i="7"/>
  <c r="I66" i="12"/>
  <c r="I67" i="12" s="1"/>
  <c r="I68" i="12" s="1"/>
  <c r="I70" i="7"/>
  <c r="I71" i="7" s="1"/>
  <c r="R28" i="12"/>
  <c r="S28" i="12" s="1"/>
  <c r="T28" i="12" s="1"/>
  <c r="P46" i="7"/>
  <c r="P42" i="7"/>
  <c r="H36" i="7"/>
  <c r="H35" i="7"/>
  <c r="Z34" i="7"/>
  <c r="AA34" i="7" s="1"/>
  <c r="AB34" i="7" s="1"/>
  <c r="T9" i="7"/>
  <c r="T11" i="7" s="1"/>
  <c r="P9" i="7"/>
  <c r="D28" i="12"/>
  <c r="D39" i="12"/>
  <c r="D43" i="12"/>
  <c r="C43" i="12"/>
  <c r="C44" i="12" s="1"/>
  <c r="C45" i="12" s="1"/>
  <c r="C46" i="12" s="1"/>
  <c r="C39" i="12"/>
  <c r="C40" i="12" s="1"/>
  <c r="C41" i="12" s="1"/>
  <c r="C42" i="12" s="1"/>
  <c r="C28" i="12"/>
  <c r="C29" i="12" s="1"/>
  <c r="C30" i="12" s="1"/>
  <c r="C31" i="12" s="1"/>
  <c r="F41" i="13"/>
  <c r="F43" i="13" s="1"/>
  <c r="F47" i="13" s="1"/>
  <c r="F52" i="13" s="1"/>
  <c r="L42" i="13"/>
  <c r="X40" i="13"/>
  <c r="Z44" i="13" s="1"/>
  <c r="J43" i="13"/>
  <c r="X42" i="13"/>
  <c r="R14" i="13"/>
  <c r="Q14" i="13"/>
  <c r="P9" i="12"/>
  <c r="P15" i="12" s="1"/>
  <c r="O14" i="13"/>
  <c r="K14" i="13"/>
  <c r="D14" i="13"/>
  <c r="C14" i="13"/>
  <c r="R11" i="13"/>
  <c r="O11" i="13"/>
  <c r="J11" i="13"/>
  <c r="K11" i="13" s="1"/>
  <c r="K9" i="13" s="1"/>
  <c r="D11" i="13"/>
  <c r="C11" i="13"/>
  <c r="J9" i="13"/>
  <c r="D9" i="13"/>
  <c r="C9" i="13"/>
  <c r="D101" i="12"/>
  <c r="D98" i="12"/>
  <c r="D97" i="12"/>
  <c r="F78" i="12"/>
  <c r="F80" i="12" s="1"/>
  <c r="F84" i="12" s="1"/>
  <c r="F89" i="12" s="1"/>
  <c r="L10" i="12"/>
  <c r="L79" i="12"/>
  <c r="F85" i="12"/>
  <c r="J80" i="12"/>
  <c r="S15" i="12"/>
  <c r="R15" i="12"/>
  <c r="O15" i="12"/>
  <c r="D15" i="12"/>
  <c r="C15" i="12"/>
  <c r="C16" i="12" s="1"/>
  <c r="K13" i="12"/>
  <c r="D13" i="12"/>
  <c r="C13" i="12"/>
  <c r="C14" i="12" s="1"/>
  <c r="K11" i="12"/>
  <c r="K9" i="12" s="1"/>
  <c r="D11" i="12"/>
  <c r="C11" i="12"/>
  <c r="C12" i="12" s="1"/>
  <c r="J9" i="12"/>
  <c r="D9" i="12"/>
  <c r="C9" i="12"/>
  <c r="C10" i="12" s="1"/>
  <c r="Q9" i="7"/>
  <c r="Q15" i="7" s="1"/>
  <c r="R11" i="7"/>
  <c r="R13" i="7" s="1"/>
  <c r="S11" i="7"/>
  <c r="S13" i="7" s="1"/>
  <c r="D13" i="7"/>
  <c r="C13" i="7"/>
  <c r="L10" i="7"/>
  <c r="L12" i="7" s="1"/>
  <c r="M13" i="7"/>
  <c r="K13" i="7"/>
  <c r="P9" i="9"/>
  <c r="P14" i="9" s="1"/>
  <c r="AA30" i="9"/>
  <c r="AA36" i="9" s="1"/>
  <c r="R9" i="7"/>
  <c r="R15" i="7" s="1"/>
  <c r="K14" i="9"/>
  <c r="J11" i="9"/>
  <c r="K11" i="9" s="1"/>
  <c r="K9" i="9" s="1"/>
  <c r="K11" i="7"/>
  <c r="K9" i="7" s="1"/>
  <c r="J35" i="9"/>
  <c r="L34" i="9"/>
  <c r="F33" i="9"/>
  <c r="F35" i="9" s="1"/>
  <c r="F39" i="9" s="1"/>
  <c r="F44" i="9" s="1"/>
  <c r="T14" i="9"/>
  <c r="S14" i="9"/>
  <c r="O14" i="9"/>
  <c r="D14" i="9"/>
  <c r="C14" i="9"/>
  <c r="T11" i="9"/>
  <c r="AA34" i="9"/>
  <c r="Q11" i="9"/>
  <c r="P11" i="9"/>
  <c r="O11" i="9"/>
  <c r="D11" i="9"/>
  <c r="C11" i="9"/>
  <c r="Q9" i="9"/>
  <c r="Q14" i="9" s="1"/>
  <c r="J9" i="9"/>
  <c r="D9" i="9"/>
  <c r="C9" i="9"/>
  <c r="L80" i="7"/>
  <c r="J9" i="7"/>
  <c r="D11" i="7"/>
  <c r="C11" i="7"/>
  <c r="M11" i="7"/>
  <c r="M9" i="7"/>
  <c r="F86" i="7"/>
  <c r="W15" i="7"/>
  <c r="V15" i="7"/>
  <c r="O15" i="7"/>
  <c r="J81" i="7"/>
  <c r="C15" i="7"/>
  <c r="D15" i="7"/>
  <c r="D9" i="7"/>
  <c r="C9" i="7"/>
  <c r="F79" i="7"/>
  <c r="F81" i="7" s="1"/>
  <c r="F85" i="7" s="1"/>
  <c r="F90" i="7" s="1"/>
  <c r="S9" i="7"/>
  <c r="S15" i="7" s="1"/>
  <c r="P34" i="9" l="1"/>
  <c r="J86" i="12"/>
  <c r="I35" i="7"/>
  <c r="J35" i="7" s="1"/>
  <c r="J88" i="7"/>
  <c r="J87" i="7"/>
  <c r="J87" i="12"/>
  <c r="I40" i="7"/>
  <c r="R34" i="7"/>
  <c r="I36" i="7"/>
  <c r="L12" i="12"/>
  <c r="P15" i="7"/>
  <c r="P11" i="7"/>
  <c r="P13" i="7" s="1"/>
  <c r="T15" i="7"/>
  <c r="P11" i="12"/>
  <c r="Q11" i="7"/>
  <c r="Q13" i="7" s="1"/>
  <c r="Q9" i="12"/>
  <c r="Q15" i="12" s="1"/>
  <c r="F91" i="7"/>
  <c r="F92" i="7"/>
  <c r="F93" i="7" s="1"/>
  <c r="F94" i="7" s="1"/>
  <c r="F46" i="9"/>
  <c r="F47" i="9" s="1"/>
  <c r="F48" i="9" s="1"/>
  <c r="L10" i="9" s="1"/>
  <c r="L13" i="9" s="1"/>
  <c r="L15" i="9" s="1"/>
  <c r="F45" i="9"/>
  <c r="F90" i="12"/>
  <c r="F91" i="12"/>
  <c r="F92" i="12" s="1"/>
  <c r="F93" i="12" s="1"/>
  <c r="L16" i="7"/>
  <c r="L14" i="7"/>
  <c r="U11" i="7"/>
  <c r="T13" i="7"/>
  <c r="F53" i="13"/>
  <c r="F54" i="13"/>
  <c r="F55" i="13" s="1"/>
  <c r="F56" i="13" s="1"/>
  <c r="L10" i="13" s="1"/>
  <c r="J50" i="13" s="1"/>
  <c r="I39" i="7"/>
  <c r="U9" i="7"/>
  <c r="J41" i="9" l="1"/>
  <c r="J40" i="7"/>
  <c r="S34" i="7"/>
  <c r="Q29" i="7"/>
  <c r="J36" i="7"/>
  <c r="L16" i="12"/>
  <c r="L14" i="12"/>
  <c r="J42" i="9"/>
  <c r="P13" i="12"/>
  <c r="Q11" i="12"/>
  <c r="Q13" i="12" s="1"/>
  <c r="R9" i="9"/>
  <c r="P9" i="13" s="1"/>
  <c r="U15" i="7"/>
  <c r="R14" i="9" s="1"/>
  <c r="P14" i="13" s="1"/>
  <c r="J39" i="7"/>
  <c r="J49" i="13"/>
  <c r="L13" i="13"/>
  <c r="L15" i="13" s="1"/>
  <c r="U13" i="7"/>
  <c r="R11" i="9"/>
  <c r="P11" i="13" s="1"/>
  <c r="T34" i="7" l="1"/>
  <c r="S29" i="7" s="1"/>
  <c r="R29" i="7"/>
  <c r="L43" i="11"/>
  <c r="L4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Herib Blanco</author>
  </authors>
  <commentList>
    <comment ref="E7" authorId="0" shapeId="0" xr:uid="{00000000-0006-0000-0000-000001000000}">
      <text>
        <r>
          <rPr>
            <sz val="8"/>
            <color indexed="81"/>
            <rFont val="Tahoma"/>
            <family val="2"/>
          </rPr>
          <t>Comm-IN-A 
indicates an auxillary input, thus not consider with respect the efficiency</t>
        </r>
      </text>
    </comment>
    <comment ref="G7" authorId="0" shapeId="0" xr:uid="{00000000-0006-0000-0000-000002000000}">
      <text>
        <r>
          <rPr>
            <sz val="8"/>
            <color indexed="81"/>
            <rFont val="Tahoma"/>
            <family val="2"/>
          </rPr>
          <t>Comm-OUT-A 
indicates an auxillary input, thus not consider with respect the efficiency</t>
        </r>
      </text>
    </comment>
    <comment ref="M7" authorId="1" shapeId="0" xr:uid="{00000000-0006-0000-0000-000003000000}">
      <text>
        <r>
          <rPr>
            <b/>
            <sz val="9"/>
            <color indexed="81"/>
            <rFont val="Tahoma"/>
            <family val="2"/>
          </rPr>
          <t>ese-veda05:</t>
        </r>
        <r>
          <rPr>
            <sz val="9"/>
            <color indexed="81"/>
            <rFont val="Tahoma"/>
            <family val="2"/>
          </rPr>
          <t xml:space="preserve">
To transport the CO2 to the installation</t>
        </r>
      </text>
    </comment>
    <comment ref="J11" authorId="1" shapeId="0" xr:uid="{00000000-0006-0000-0000-000004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J13" authorId="1" shapeId="0" xr:uid="{00000000-0006-0000-0000-000005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O32" authorId="1" shapeId="0" xr:uid="{EC34C8F7-90B5-48BA-A302-03E440A770E4}">
      <text>
        <r>
          <rPr>
            <b/>
            <sz val="9"/>
            <color indexed="81"/>
            <rFont val="Tahoma"/>
            <family val="2"/>
          </rPr>
          <t>ese-veda05:</t>
        </r>
        <r>
          <rPr>
            <sz val="9"/>
            <color indexed="81"/>
            <rFont val="Tahoma"/>
            <family val="2"/>
          </rPr>
          <t xml:space="preserve">
To transport the CO2 to the installation</t>
        </r>
      </text>
    </comment>
    <comment ref="P32" authorId="1" shapeId="0" xr:uid="{00000000-0006-0000-0000-000006000000}">
      <text>
        <r>
          <rPr>
            <b/>
            <sz val="9"/>
            <color indexed="81"/>
            <rFont val="Tahoma"/>
            <family val="2"/>
          </rPr>
          <t>ese-veda05:</t>
        </r>
        <r>
          <rPr>
            <sz val="9"/>
            <color indexed="81"/>
            <rFont val="Tahoma"/>
            <family val="2"/>
          </rPr>
          <t xml:space="preserve">
To transport the CO2 to the installation</t>
        </r>
      </text>
    </comment>
    <comment ref="E35" authorId="2" shapeId="0" xr:uid="{00000000-0006-0000-0000-000007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D42" authorId="2" shapeId="0" xr:uid="{00000000-0006-0000-0000-000008000000}">
      <text>
        <r>
          <rPr>
            <b/>
            <sz val="9"/>
            <color indexed="81"/>
            <rFont val="Tahoma"/>
            <family val="2"/>
          </rPr>
          <t>Herib Blanco:</t>
        </r>
        <r>
          <rPr>
            <sz val="9"/>
            <color indexed="81"/>
            <rFont val="Tahoma"/>
            <family val="2"/>
          </rPr>
          <t xml:space="preserve">
Technology should be able to work with both tanks and underground storage, since this does not affect the operation or design of the reactor. Two technologies are introduced to still be able to choose Input-Output approach and the model will choose lowest cost based on commodity price</t>
        </r>
      </text>
    </comment>
    <comment ref="H61" authorId="0" shapeId="0" xr:uid="{00000000-0006-0000-0000-000009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61" authorId="0" shapeId="0" xr:uid="{00000000-0006-0000-0000-00000A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62" authorId="0" shapeId="0" xr:uid="{00000000-0006-0000-0000-00000B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ese-veda04</author>
    <author>PEREZ FORTES Maria Del Mar (JRC-PETTEN)</author>
  </authors>
  <commentList>
    <comment ref="E7" authorId="0" shapeId="0" xr:uid="{00000000-0006-0000-0100-000001000000}">
      <text>
        <r>
          <rPr>
            <sz val="8"/>
            <color indexed="81"/>
            <rFont val="Tahoma"/>
            <family val="2"/>
          </rPr>
          <t>Comm-IN-A 
indicates an auxillary input, thus not consider with respect the efficiency</t>
        </r>
      </text>
    </comment>
    <comment ref="G7" authorId="0" shapeId="0" xr:uid="{00000000-0006-0000-0100-000002000000}">
      <text>
        <r>
          <rPr>
            <sz val="8"/>
            <color indexed="81"/>
            <rFont val="Tahoma"/>
            <family val="2"/>
          </rPr>
          <t>Comm-OUT-A 
indicates an auxillary input, thus not consider with respect the efficiency</t>
        </r>
      </text>
    </comment>
    <comment ref="M7" authorId="1" shapeId="0" xr:uid="{00000000-0006-0000-0100-000003000000}">
      <text>
        <r>
          <rPr>
            <b/>
            <sz val="9"/>
            <color indexed="81"/>
            <rFont val="Tahoma"/>
            <family val="2"/>
          </rPr>
          <t>ese-veda05:</t>
        </r>
        <r>
          <rPr>
            <sz val="9"/>
            <color indexed="81"/>
            <rFont val="Tahoma"/>
            <family val="2"/>
          </rPr>
          <t xml:space="preserve">
To transport the CO2 to the installation</t>
        </r>
      </text>
    </comment>
    <comment ref="R7" authorId="2" shapeId="0" xr:uid="{00000000-0006-0000-0100-000004000000}">
      <text>
        <r>
          <rPr>
            <b/>
            <sz val="9"/>
            <color indexed="81"/>
            <rFont val="Tahoma"/>
            <family val="2"/>
          </rPr>
          <t>ese-veda04:</t>
        </r>
        <r>
          <rPr>
            <sz val="9"/>
            <color indexed="81"/>
            <rFont val="Tahoma"/>
            <family val="2"/>
          </rPr>
          <t xml:space="preserve">
Assume same ratio as for the Diesel CCUs
</t>
        </r>
      </text>
    </comment>
    <comment ref="J11" authorId="3" shapeId="0" xr:uid="{00000000-0006-0000-0100-000005000000}">
      <text>
        <r>
          <rPr>
            <b/>
            <sz val="9"/>
            <color indexed="81"/>
            <rFont val="Tahoma"/>
            <family val="2"/>
          </rPr>
          <t>PEREZ FORTES Maria Del Mar (JRC-PETTEN):</t>
        </r>
        <r>
          <rPr>
            <sz val="9"/>
            <color indexed="81"/>
            <rFont val="Tahoma"/>
            <family val="2"/>
          </rPr>
          <t xml:space="preserve">
This is assuming an efficiency of the electrolyser of 0.56
</t>
        </r>
      </text>
    </comment>
    <comment ref="H24" authorId="0" shapeId="0" xr:uid="{00000000-0006-0000-0100-000007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24" authorId="0" shapeId="0" xr:uid="{00000000-0006-0000-0100-000008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25" authorId="0" shapeId="0" xr:uid="{00000000-0006-0000-0100-000009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A28" authorId="2" shapeId="0" xr:uid="{00000000-0006-0000-0100-000006000000}">
      <text>
        <r>
          <rPr>
            <b/>
            <sz val="9"/>
            <color indexed="81"/>
            <rFont val="Tahoma"/>
            <family val="2"/>
          </rPr>
          <t>ese-veda04:</t>
        </r>
        <r>
          <rPr>
            <sz val="9"/>
            <color indexed="81"/>
            <rFont val="Tahoma"/>
            <family val="2"/>
          </rPr>
          <t xml:space="preserve">
Original from Mar, taking into account cost of inputs (ELEC and H2). These are endogenous in the  model, so they are to be exluded.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ese-veda05</author>
    <author>Johanna Markkanen</author>
  </authors>
  <commentList>
    <comment ref="Q4" authorId="0" shapeId="0" xr:uid="{00000000-0006-0000-0200-000002000000}">
      <text>
        <r>
          <rPr>
            <b/>
            <sz val="9"/>
            <color indexed="81"/>
            <rFont val="Tahoma"/>
            <family val="2"/>
          </rPr>
          <t>ese-veda05:</t>
        </r>
        <r>
          <rPr>
            <sz val="9"/>
            <color indexed="81"/>
            <rFont val="Tahoma"/>
            <family val="2"/>
          </rPr>
          <t xml:space="preserve">
To transport the CO2 to the installation</t>
        </r>
      </text>
    </comment>
    <comment ref="N29" authorId="1" shapeId="0" xr:uid="{7CDB4654-BC8E-49E2-A8EB-021AC3EBD696}">
      <text>
        <r>
          <rPr>
            <b/>
            <sz val="9"/>
            <color indexed="81"/>
            <rFont val="Tahoma"/>
            <family val="2"/>
          </rPr>
          <t>Johanna Markkanen:</t>
        </r>
        <r>
          <rPr>
            <sz val="9"/>
            <color indexed="81"/>
            <rFont val="Tahoma"/>
            <family val="2"/>
          </rPr>
          <t xml:space="preserve">
cost of elc not included in varom, neither is cost of biomass feedstock</t>
        </r>
      </text>
    </comment>
    <comment ref="D30" authorId="1" shapeId="0" xr:uid="{2FF6D444-AAFE-4952-81F1-917B597963B1}">
      <text>
        <r>
          <rPr>
            <b/>
            <sz val="9"/>
            <color indexed="81"/>
            <rFont val="Tahoma"/>
            <family val="2"/>
          </rPr>
          <t>Johanna Markkanen:</t>
        </r>
        <r>
          <rPr>
            <sz val="9"/>
            <color indexed="81"/>
            <rFont val="Tahoma"/>
            <family val="2"/>
          </rPr>
          <t xml:space="preserve">
we assume this is wet wood, not dry. </t>
        </r>
      </text>
    </comment>
    <comment ref="G33" authorId="1" shapeId="0" xr:uid="{BC7E7215-0286-4D9D-8235-1D6E91388239}">
      <text>
        <r>
          <rPr>
            <b/>
            <sz val="9"/>
            <color indexed="81"/>
            <rFont val="Tahoma"/>
            <family val="2"/>
          </rPr>
          <t>Johanna Markkanen:</t>
        </r>
        <r>
          <rPr>
            <sz val="9"/>
            <color indexed="81"/>
            <rFont val="Tahoma"/>
            <family val="2"/>
          </rPr>
          <t xml:space="preserve">
https://www.negemproject.eu/wp-content/uploads/2022/06/NEGEM_D1.5_Sustainability-assessment-of-Geoengineering-NETPs.pdf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Herib Blanco</author>
    <author>Gary Goldstein</author>
  </authors>
  <commentList>
    <comment ref="E7" authorId="0" shapeId="0" xr:uid="{00000000-0006-0000-0400-000001000000}">
      <text>
        <r>
          <rPr>
            <sz val="8"/>
            <color indexed="81"/>
            <rFont val="Tahoma"/>
            <family val="2"/>
          </rPr>
          <t>Comm-IN-A 
indicates an auxillary input, thus not consider with respect the efficiency</t>
        </r>
      </text>
    </comment>
    <comment ref="G7" authorId="0" shapeId="0" xr:uid="{00000000-0006-0000-0400-000002000000}">
      <text>
        <r>
          <rPr>
            <sz val="8"/>
            <color indexed="81"/>
            <rFont val="Tahoma"/>
            <family val="2"/>
          </rPr>
          <t>Comm-OUT-A 
indicates an auxillary input, thus not consider with respect the efficiency</t>
        </r>
      </text>
    </comment>
    <comment ref="M7" authorId="1" shapeId="0" xr:uid="{00000000-0006-0000-0400-000003000000}">
      <text>
        <r>
          <rPr>
            <b/>
            <sz val="9"/>
            <color indexed="81"/>
            <rFont val="Tahoma"/>
            <family val="2"/>
          </rPr>
          <t>ese-veda05:</t>
        </r>
        <r>
          <rPr>
            <sz val="9"/>
            <color indexed="81"/>
            <rFont val="Tahoma"/>
            <family val="2"/>
          </rPr>
          <t xml:space="preserve">
To transport the CO2 to the installation</t>
        </r>
      </text>
    </comment>
    <comment ref="J11" authorId="1" shapeId="0" xr:uid="{00000000-0006-0000-0400-000004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J13" authorId="1" shapeId="0" xr:uid="{00000000-0006-0000-0400-000005000000}">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J19" authorId="1" shapeId="0" xr:uid="{E0E6491A-1A4E-4E09-8888-3E767541F6C6}">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J21" authorId="1" shapeId="0" xr:uid="{512760BA-693B-4866-A0E9-C8892AEC66E2}">
      <text>
        <r>
          <rPr>
            <b/>
            <sz val="9"/>
            <color indexed="81"/>
            <rFont val="Tahoma"/>
            <family val="2"/>
          </rPr>
          <t>ese-veda05:</t>
        </r>
        <r>
          <rPr>
            <sz val="9"/>
            <color indexed="81"/>
            <rFont val="Tahoma"/>
            <family val="2"/>
          </rPr>
          <t xml:space="preserve">
Input from Mar Feb 2015:
The efficiency of the process without electrolyser can be derived from the one with electrolyzer.
Assumption efficiency of alkalyne electrolyzer: 0.6
Example: 47% / 60% = 78%</t>
        </r>
      </text>
    </comment>
    <comment ref="O26" authorId="1" shapeId="0" xr:uid="{00000000-0006-0000-0400-000006000000}">
      <text>
        <r>
          <rPr>
            <b/>
            <sz val="9"/>
            <color indexed="81"/>
            <rFont val="Tahoma"/>
            <family val="2"/>
          </rPr>
          <t>ese-veda05:</t>
        </r>
        <r>
          <rPr>
            <sz val="9"/>
            <color indexed="81"/>
            <rFont val="Tahoma"/>
            <family val="2"/>
          </rPr>
          <t xml:space="preserve">
To transport the CO2 to the installation</t>
        </r>
      </text>
    </comment>
    <comment ref="E29" authorId="2" shapeId="0" xr:uid="{00000000-0006-0000-0400-000007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E33" authorId="2" shapeId="0" xr:uid="{00000000-0006-0000-0400-000008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E37" authorId="2" shapeId="0" xr:uid="{00000000-0006-0000-0400-000009000000}">
      <text>
        <r>
          <rPr>
            <b/>
            <sz val="9"/>
            <color indexed="81"/>
            <rFont val="Tahoma"/>
            <family val="2"/>
          </rPr>
          <t>Herib Blanco:</t>
        </r>
        <r>
          <rPr>
            <sz val="9"/>
            <color indexed="81"/>
            <rFont val="Tahoma"/>
            <family val="2"/>
          </rPr>
          <t xml:space="preserve">
Implementation at large scale would imply a very large contact area for absorption or adsorbent material. Hence, it is assumed the scale will be relatively small</t>
        </r>
      </text>
    </comment>
    <comment ref="D39" authorId="2" shapeId="0" xr:uid="{00000000-0006-0000-0400-00000A000000}">
      <text>
        <r>
          <rPr>
            <b/>
            <sz val="9"/>
            <color indexed="81"/>
            <rFont val="Tahoma"/>
            <family val="2"/>
          </rPr>
          <t>Herib Blanco:</t>
        </r>
        <r>
          <rPr>
            <sz val="9"/>
            <color indexed="81"/>
            <rFont val="Tahoma"/>
            <family val="2"/>
          </rPr>
          <t xml:space="preserve">
Technology should be able to work with both tanks and underground storage, since this does not affect the operation or design of the reactor. Two technologies are introduced to still be able to choose Input-Output approach and the model will choose lowest cost based on commodity price</t>
        </r>
      </text>
    </comment>
    <comment ref="H57" authorId="0" shapeId="0" xr:uid="{00000000-0006-0000-0400-00001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57" authorId="0" shapeId="0" xr:uid="{00000000-0006-0000-0400-00001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58" authorId="0" shapeId="0" xr:uid="{00000000-0006-0000-0400-00001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C94" authorId="2" shapeId="0" xr:uid="{00000000-0006-0000-0400-00000B000000}">
      <text>
        <r>
          <rPr>
            <b/>
            <sz val="9"/>
            <color indexed="81"/>
            <rFont val="Tahoma"/>
            <family val="2"/>
          </rPr>
          <t>Herib Blanco:</t>
        </r>
        <r>
          <rPr>
            <sz val="9"/>
            <color indexed="81"/>
            <rFont val="Tahoma"/>
            <family val="2"/>
          </rPr>
          <t xml:space="preserve">
These commodities have been centrally defined at SysSettings file</t>
        </r>
      </text>
    </comment>
    <comment ref="C95" authorId="3" shapeId="0" xr:uid="{00000000-0006-0000-0400-00000C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G95" authorId="0" shapeId="0" xr:uid="{00000000-0006-0000-0400-00000D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H95" authorId="0" shapeId="0" xr:uid="{00000000-0006-0000-0400-00000E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I95" authorId="0" shapeId="0" xr:uid="{00000000-0006-0000-0400-00000F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J95" authorId="0" shapeId="0" xr:uid="{00000000-0006-0000-0400-000010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ese-veda04</author>
    <author>PEREZ FORTES Maria Del Mar (JRC-PETTEN)</author>
  </authors>
  <commentList>
    <comment ref="E7" authorId="0" shapeId="0" xr:uid="{00000000-0006-0000-0500-000001000000}">
      <text>
        <r>
          <rPr>
            <sz val="8"/>
            <color indexed="81"/>
            <rFont val="Tahoma"/>
            <family val="2"/>
          </rPr>
          <t>Comm-IN-A 
indicates an auxillary input, thus not consider with respect the efficiency</t>
        </r>
      </text>
    </comment>
    <comment ref="G7" authorId="0" shapeId="0" xr:uid="{00000000-0006-0000-0500-000002000000}">
      <text>
        <r>
          <rPr>
            <sz val="8"/>
            <color indexed="81"/>
            <rFont val="Tahoma"/>
            <family val="2"/>
          </rPr>
          <t>Comm-OUT-A 
indicates an auxillary input, thus not consider with respect the efficiency</t>
        </r>
      </text>
    </comment>
    <comment ref="M7" authorId="1" shapeId="0" xr:uid="{00000000-0006-0000-0500-000003000000}">
      <text>
        <r>
          <rPr>
            <b/>
            <sz val="9"/>
            <color indexed="81"/>
            <rFont val="Tahoma"/>
            <family val="2"/>
          </rPr>
          <t>ese-veda05:</t>
        </r>
        <r>
          <rPr>
            <sz val="9"/>
            <color indexed="81"/>
            <rFont val="Tahoma"/>
            <family val="2"/>
          </rPr>
          <t xml:space="preserve">
To transport the CO2 to the installation</t>
        </r>
      </text>
    </comment>
    <comment ref="P7" authorId="2" shapeId="0" xr:uid="{00000000-0006-0000-0500-000004000000}">
      <text>
        <r>
          <rPr>
            <b/>
            <sz val="9"/>
            <color indexed="81"/>
            <rFont val="Tahoma"/>
            <family val="2"/>
          </rPr>
          <t>ese-veda04:</t>
        </r>
        <r>
          <rPr>
            <sz val="9"/>
            <color indexed="81"/>
            <rFont val="Tahoma"/>
            <family val="2"/>
          </rPr>
          <t xml:space="preserve">
Assume same ratio as for the Diesel CCUs
</t>
        </r>
      </text>
    </comment>
    <comment ref="J11" authorId="3" shapeId="0" xr:uid="{00000000-0006-0000-0500-000005000000}">
      <text>
        <r>
          <rPr>
            <b/>
            <sz val="9"/>
            <color indexed="81"/>
            <rFont val="Tahoma"/>
            <family val="2"/>
          </rPr>
          <t>PEREZ FORTES Maria Del Mar (JRC-PETTEN):</t>
        </r>
        <r>
          <rPr>
            <sz val="9"/>
            <color indexed="81"/>
            <rFont val="Tahoma"/>
            <family val="2"/>
          </rPr>
          <t xml:space="preserve">
This is assuming an efficiency of the electrolyser of 0.56
</t>
        </r>
      </text>
    </comment>
    <comment ref="X16" authorId="2" shapeId="0" xr:uid="{00000000-0006-0000-0500-000006000000}">
      <text>
        <r>
          <rPr>
            <b/>
            <sz val="9"/>
            <color indexed="81"/>
            <rFont val="Tahoma"/>
            <family val="2"/>
          </rPr>
          <t>ese-veda04:</t>
        </r>
        <r>
          <rPr>
            <sz val="9"/>
            <color indexed="81"/>
            <rFont val="Tahoma"/>
            <family val="2"/>
          </rPr>
          <t xml:space="preserve">
Original from Mar, taking into account cost of inputs (ELEC and H2). These are endogenous in the  model, so they are to be exluded.
</t>
        </r>
      </text>
    </comment>
    <comment ref="H25" authorId="0" shapeId="0" xr:uid="{00000000-0006-0000-0500-000007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25" authorId="0" shapeId="0" xr:uid="{00000000-0006-0000-0500-000008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26" authorId="0" shapeId="0" xr:uid="{00000000-0006-0000-0500-000009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Johanna Markkanen</author>
  </authors>
  <commentList>
    <comment ref="V27" authorId="0" shapeId="0" xr:uid="{00000000-0006-0000-0600-000001000000}">
      <text>
        <r>
          <rPr>
            <b/>
            <sz val="9"/>
            <color indexed="81"/>
            <rFont val="Tahoma"/>
            <family val="2"/>
          </rPr>
          <t>Johanna Markkanen:</t>
        </r>
        <r>
          <rPr>
            <sz val="9"/>
            <color indexed="81"/>
            <rFont val="Tahoma"/>
            <family val="2"/>
          </rPr>
          <t xml:space="preserve">
these were 2035</t>
        </r>
      </text>
    </comment>
    <comment ref="V30" authorId="0" shapeId="0" xr:uid="{00000000-0006-0000-0600-000002000000}">
      <text>
        <r>
          <rPr>
            <b/>
            <sz val="9"/>
            <color indexed="81"/>
            <rFont val="Tahoma"/>
            <family val="2"/>
          </rPr>
          <t>Johanna Markkanen:</t>
        </r>
        <r>
          <rPr>
            <sz val="9"/>
            <color indexed="81"/>
            <rFont val="Tahoma"/>
            <family val="2"/>
          </rPr>
          <t xml:space="preserve">
these were 2035</t>
        </r>
      </text>
    </comment>
    <comment ref="V33" authorId="0" shapeId="0" xr:uid="{00000000-0006-0000-0600-000003000000}">
      <text>
        <r>
          <rPr>
            <b/>
            <sz val="9"/>
            <color indexed="81"/>
            <rFont val="Tahoma"/>
            <family val="2"/>
          </rPr>
          <t>Johanna Markkanen:</t>
        </r>
        <r>
          <rPr>
            <sz val="9"/>
            <color indexed="81"/>
            <rFont val="Tahoma"/>
            <family val="2"/>
          </rPr>
          <t xml:space="preserve">
these were 2035</t>
        </r>
      </text>
    </comment>
    <comment ref="V36" authorId="0" shapeId="0" xr:uid="{00000000-0006-0000-0600-000004000000}">
      <text>
        <r>
          <rPr>
            <b/>
            <sz val="9"/>
            <color indexed="81"/>
            <rFont val="Tahoma"/>
            <family val="2"/>
          </rPr>
          <t>Johanna Markkanen:</t>
        </r>
        <r>
          <rPr>
            <sz val="9"/>
            <color indexed="81"/>
            <rFont val="Tahoma"/>
            <family val="2"/>
          </rPr>
          <t xml:space="preserve">
these were 2035</t>
        </r>
      </text>
    </comment>
    <comment ref="V39" authorId="0" shapeId="0" xr:uid="{00000000-0006-0000-0600-000005000000}">
      <text>
        <r>
          <rPr>
            <b/>
            <sz val="9"/>
            <color indexed="81"/>
            <rFont val="Tahoma"/>
            <family val="2"/>
          </rPr>
          <t>Johanna Markkanen:</t>
        </r>
        <r>
          <rPr>
            <sz val="9"/>
            <color indexed="81"/>
            <rFont val="Tahoma"/>
            <family val="2"/>
          </rPr>
          <t xml:space="preserve">
these were 2035</t>
        </r>
      </text>
    </comment>
  </commentList>
</comments>
</file>

<file path=xl/sharedStrings.xml><?xml version="1.0" encoding="utf-8"?>
<sst xmlns="http://schemas.openxmlformats.org/spreadsheetml/2006/main" count="1666" uniqueCount="426">
  <si>
    <t>TechName</t>
  </si>
  <si>
    <t>TechDesc</t>
  </si>
  <si>
    <t>Comm-IN</t>
  </si>
  <si>
    <t>Comm-IN-A</t>
  </si>
  <si>
    <t>Comm-OUT</t>
  </si>
  <si>
    <t>CommName</t>
  </si>
  <si>
    <t>~FI_Comm</t>
  </si>
  <si>
    <t>Csets</t>
  </si>
  <si>
    <t>CommDesc</t>
  </si>
  <si>
    <t>Unit</t>
  </si>
  <si>
    <t>LimType</t>
  </si>
  <si>
    <t>CTSLvl</t>
  </si>
  <si>
    <t>PeakTS</t>
  </si>
  <si>
    <t>Ctype</t>
  </si>
  <si>
    <t>START</t>
  </si>
  <si>
    <t>Sets</t>
  </si>
  <si>
    <t>~FI_Process</t>
  </si>
  <si>
    <t>Tact</t>
  </si>
  <si>
    <t>Tcap</t>
  </si>
  <si>
    <t>Tslvl</t>
  </si>
  <si>
    <t>PrimaryCG</t>
  </si>
  <si>
    <t>Vintage</t>
  </si>
  <si>
    <t>Comm-OUT-A</t>
  </si>
  <si>
    <t>\I: Commodity Set Membership</t>
  </si>
  <si>
    <t>Commodity Name</t>
  </si>
  <si>
    <t>Commodity Description</t>
  </si>
  <si>
    <t>Balance Equ Type Override</t>
  </si>
  <si>
    <t>Timeslice Tracking Level</t>
  </si>
  <si>
    <t>Peak Monitoring</t>
  </si>
  <si>
    <t>Electricity Indicator</t>
  </si>
  <si>
    <t>\I: Process Set Membership</t>
  </si>
  <si>
    <t>Technology Name</t>
  </si>
  <si>
    <t>Technology Description</t>
  </si>
  <si>
    <t>Activity Unit</t>
  </si>
  <si>
    <t>Capacity Unit</t>
  </si>
  <si>
    <t>Timeslice Operational Level</t>
  </si>
  <si>
    <t>Operational Commodity Group</t>
  </si>
  <si>
    <t>Vintage Tracking</t>
  </si>
  <si>
    <t>\I:Technology Name</t>
  </si>
  <si>
    <t>Auxiliary Input Commodity</t>
  </si>
  <si>
    <t>Input Commodity</t>
  </si>
  <si>
    <t>Auxiliary Output Commodity</t>
  </si>
  <si>
    <t>Output Commodity</t>
  </si>
  <si>
    <t>Efficiency</t>
  </si>
  <si>
    <t>Starting Year</t>
  </si>
  <si>
    <t>INVCOST</t>
  </si>
  <si>
    <t>New Processes</t>
  </si>
  <si>
    <t>*Declare and characterize the new technologies by sector. Sheet names should indicate the sector as &lt;SectorName&gt;_&lt;Anything&gt;</t>
  </si>
  <si>
    <t>ELCSCO2N</t>
  </si>
  <si>
    <t>Calculation</t>
  </si>
  <si>
    <t>CO2</t>
  </si>
  <si>
    <t>Carbon</t>
  </si>
  <si>
    <t>Atomic mass</t>
  </si>
  <si>
    <t>Assume you go to diesel</t>
  </si>
  <si>
    <t>MJ/kg C02</t>
  </si>
  <si>
    <t>TJ/kton CO2</t>
  </si>
  <si>
    <t>PJ/kton CO2</t>
  </si>
  <si>
    <t>PRE</t>
  </si>
  <si>
    <t>PJ</t>
  </si>
  <si>
    <t>Supply convert Atmospheric CO2 to Diesel</t>
  </si>
  <si>
    <t>Diesel</t>
  </si>
  <si>
    <t>NRG</t>
  </si>
  <si>
    <t>€/ton</t>
  </si>
  <si>
    <t>S_CCUS_EMIS</t>
  </si>
  <si>
    <t>S_CCUS_ATM</t>
  </si>
  <si>
    <t>Supply convert CCS emission to Diesel</t>
  </si>
  <si>
    <t>INDSCO2N</t>
  </si>
  <si>
    <t>TOTCO2</t>
  </si>
  <si>
    <t>Assume price for electricity</t>
  </si>
  <si>
    <t>€/GJ</t>
  </si>
  <si>
    <t>€/MWh</t>
  </si>
  <si>
    <t>Assume price for OIL</t>
  </si>
  <si>
    <t>GJ/ton CO2</t>
  </si>
  <si>
    <t>LIFE</t>
  </si>
  <si>
    <t>DAYNITE</t>
  </si>
  <si>
    <t>€/kW</t>
  </si>
  <si>
    <t>ENV</t>
  </si>
  <si>
    <t>Dum commodity produce from PU tech with CO2 storage</t>
  </si>
  <si>
    <t>kt</t>
  </si>
  <si>
    <t>FX</t>
  </si>
  <si>
    <t>Dum commodity produce from IND autoprod tech with CO2 storage</t>
  </si>
  <si>
    <t>AF</t>
  </si>
  <si>
    <t>INVCOST~2020</t>
  </si>
  <si>
    <t>INVCOST~2025</t>
  </si>
  <si>
    <t>INVCOST~2030</t>
  </si>
  <si>
    <t>FIXOM</t>
  </si>
  <si>
    <t>FIXOM~2020</t>
  </si>
  <si>
    <t>FIXOM~2025</t>
  </si>
  <si>
    <t>FIXOM~2030</t>
  </si>
  <si>
    <t>VAROM</t>
  </si>
  <si>
    <t>VAROM~2020</t>
  </si>
  <si>
    <t>VAROM~2025</t>
  </si>
  <si>
    <t>VAROM~2030</t>
  </si>
  <si>
    <t>Start</t>
  </si>
  <si>
    <t>Cap2Act</t>
  </si>
  <si>
    <t>Years</t>
  </si>
  <si>
    <t/>
  </si>
  <si>
    <t>SELCH2EC02</t>
  </si>
  <si>
    <t>Carbon share</t>
  </si>
  <si>
    <t>Diesel carbon share</t>
  </si>
  <si>
    <t>Mass ratio</t>
  </si>
  <si>
    <t>kg CO2/kg diesel</t>
  </si>
  <si>
    <t>kg C/kg Diesel</t>
  </si>
  <si>
    <t>kg C/ kg CO2</t>
  </si>
  <si>
    <t>Check</t>
  </si>
  <si>
    <t>OK !</t>
  </si>
  <si>
    <t>MJ/kg diesel</t>
  </si>
  <si>
    <t>GW</t>
  </si>
  <si>
    <t>Cost per CO2 removed</t>
  </si>
  <si>
    <t>INV</t>
  </si>
  <si>
    <t>ELC</t>
  </si>
  <si>
    <t>kton/PJ CO2</t>
  </si>
  <si>
    <t>Multiplier compared to electrolyzer cost</t>
  </si>
  <si>
    <t>ELCHIG</t>
  </si>
  <si>
    <t>SYNH2CT</t>
  </si>
  <si>
    <t>EFF~2025</t>
  </si>
  <si>
    <t>EFF~2030</t>
  </si>
  <si>
    <t>CEFF</t>
  </si>
  <si>
    <t>Centralized hydrogen (Tank storage)</t>
  </si>
  <si>
    <t>~FI_T: EUR10</t>
  </si>
  <si>
    <t>Working hours per year</t>
  </si>
  <si>
    <t>h</t>
  </si>
  <si>
    <t>1 plant of MeOH</t>
  </si>
  <si>
    <t>t/yr</t>
  </si>
  <si>
    <t>Investment</t>
  </si>
  <si>
    <t>MEUR</t>
  </si>
  <si>
    <t>I have used the values in EUR2015</t>
  </si>
  <si>
    <t xml:space="preserve">Needs of electricity </t>
  </si>
  <si>
    <t>MWh/tMeOH</t>
  </si>
  <si>
    <t>WITH ELECTROLYSER</t>
  </si>
  <si>
    <t>WITHOUT ELECTROLYSER</t>
  </si>
  <si>
    <t>H2 consumption</t>
  </si>
  <si>
    <t xml:space="preserve">HERE (for CO2 captured from the atmosphere, I maintained the same </t>
  </si>
  <si>
    <t>hypothesis you assumed for the case of diesel</t>
  </si>
  <si>
    <t xml:space="preserve">Compared to the plant </t>
  </si>
  <si>
    <t>without electrolyser</t>
  </si>
  <si>
    <t>Factor of 2.2</t>
  </si>
  <si>
    <t>Methanol carbon share</t>
  </si>
  <si>
    <t>kg C/kg Methanol</t>
  </si>
  <si>
    <t>kg CO2/kg Methanol</t>
  </si>
  <si>
    <t>Assume you go to methanol</t>
  </si>
  <si>
    <t>MJ/kg methanol</t>
  </si>
  <si>
    <t>MJ/kgH2</t>
  </si>
  <si>
    <t>S_CCUS_EMISMeOH</t>
  </si>
  <si>
    <t>S_CCUS_EMISMeOH_H2</t>
  </si>
  <si>
    <t>S_CCUS_ATM_MeOH</t>
  </si>
  <si>
    <t>Supply convert Atmospheric CO2 to Methanol</t>
  </si>
  <si>
    <t>OILGSL</t>
  </si>
  <si>
    <t>Gasoline</t>
  </si>
  <si>
    <t>Kerosene Jet fuel</t>
  </si>
  <si>
    <t>*Technology Name</t>
  </si>
  <si>
    <t>~FI_T</t>
  </si>
  <si>
    <t>kt_a</t>
  </si>
  <si>
    <t>MAT</t>
  </si>
  <si>
    <t>SYNH2CU</t>
  </si>
  <si>
    <t>ELCMED</t>
  </si>
  <si>
    <t>SNK_DAC</t>
  </si>
  <si>
    <t>*TechDesc</t>
  </si>
  <si>
    <t>Input</t>
  </si>
  <si>
    <t>Input~2020</t>
  </si>
  <si>
    <t>Input~2030</t>
  </si>
  <si>
    <t>Input~2050</t>
  </si>
  <si>
    <t>Output</t>
  </si>
  <si>
    <t>INVCOST~2050</t>
  </si>
  <si>
    <t>VAROM~2050</t>
  </si>
  <si>
    <t>Direct Air Capture - Chemical Absorption</t>
  </si>
  <si>
    <t>kton</t>
  </si>
  <si>
    <t>kton-y</t>
  </si>
  <si>
    <t>€/ton;€/kWh</t>
  </si>
  <si>
    <t>S_CCUS_P2GU</t>
  </si>
  <si>
    <t>S_CCUS_P2GT</t>
  </si>
  <si>
    <t>Moved to SysSettings FI_Comm</t>
  </si>
  <si>
    <t>GASP2G</t>
  </si>
  <si>
    <t>SNKCO2N</t>
  </si>
  <si>
    <t>S_CCUS_EMIS_H2T</t>
  </si>
  <si>
    <t>S_CCUS_EMIS_H2U</t>
  </si>
  <si>
    <t>CO2 Hydrogenation to Diesel with centralized tank</t>
  </si>
  <si>
    <t>CO2 Hydrogenation to Diesel with underground storage</t>
  </si>
  <si>
    <t>S_CCUS_EMIS_LowAF</t>
  </si>
  <si>
    <t>S_CCUS_EMIS_H2T_LowAF</t>
  </si>
  <si>
    <t>S_CCUS_EMIS_H2U_LowAF</t>
  </si>
  <si>
    <t>S_CCUS_ATM_LowAF</t>
  </si>
  <si>
    <t>SNK_DAC_LowAF</t>
  </si>
  <si>
    <t>S_CCUS_P2GU_LowAF</t>
  </si>
  <si>
    <t>S_CCUS_P2GT_LowAF</t>
  </si>
  <si>
    <t>S_CCUS_EMISMeOH_LowAF</t>
  </si>
  <si>
    <t>S_CCUS_EMISMeOH_H2_LowAF</t>
  </si>
  <si>
    <t>S_CCUS_ATM_MeOH_LowAF</t>
  </si>
  <si>
    <t>Supply convert Atmospheric CO2 to Methanol LowAF</t>
  </si>
  <si>
    <t>Output~2030</t>
  </si>
  <si>
    <t>Output~2050</t>
  </si>
  <si>
    <t>FIXOM~2050</t>
  </si>
  <si>
    <t>HETHTH</t>
  </si>
  <si>
    <t>EUR/ton annuity</t>
  </si>
  <si>
    <t>k€/(ton/yr); €/kW</t>
  </si>
  <si>
    <t>EUR/(ton/yr)</t>
  </si>
  <si>
    <t>MEUR/(kton/yr)</t>
  </si>
  <si>
    <t>SNK_DAC_GAS</t>
  </si>
  <si>
    <t>Direct Air Capture - Chemical Absorption - Gas</t>
  </si>
  <si>
    <t>GASNAT</t>
  </si>
  <si>
    <t>SNK_DAC_GAS_LowAF</t>
  </si>
  <si>
    <t>OILNAP</t>
  </si>
  <si>
    <t>SNKEWE</t>
  </si>
  <si>
    <t>Dmy EWE</t>
  </si>
  <si>
    <t>SINKEW1</t>
  </si>
  <si>
    <t>Removal by EW1</t>
  </si>
  <si>
    <t>SINKEW4</t>
  </si>
  <si>
    <t>SINKEW3</t>
  </si>
  <si>
    <t>SINKEW2</t>
  </si>
  <si>
    <t>Removal by EW2</t>
  </si>
  <si>
    <t>Removal by EW3</t>
  </si>
  <si>
    <t>Removal by EW4</t>
  </si>
  <si>
    <t>SINKSCS1</t>
  </si>
  <si>
    <t>SINKSCS2</t>
  </si>
  <si>
    <t>SINKSCS3</t>
  </si>
  <si>
    <t>Removal by SCS1</t>
  </si>
  <si>
    <t>Removal by SCS2</t>
  </si>
  <si>
    <t>Removal by SCS3</t>
  </si>
  <si>
    <t>SNKSCS</t>
  </si>
  <si>
    <t>Dmy SCS</t>
  </si>
  <si>
    <t>N</t>
  </si>
  <si>
    <t>SINKPYCCS</t>
  </si>
  <si>
    <t>SNKCHR</t>
  </si>
  <si>
    <t>BIOPYC</t>
  </si>
  <si>
    <t>INPUT</t>
  </si>
  <si>
    <t>OUTPUT</t>
  </si>
  <si>
    <t>BIOGAS</t>
  </si>
  <si>
    <t>Mt</t>
  </si>
  <si>
    <t>SUPELC</t>
  </si>
  <si>
    <t>Biochar for sinking</t>
  </si>
  <si>
    <t>Biomass for PyCCS</t>
  </si>
  <si>
    <t>SNK_DAC_ELC</t>
  </si>
  <si>
    <t>CommGrp</t>
  </si>
  <si>
    <t>Attribute</t>
  </si>
  <si>
    <t>Commodity Group</t>
  </si>
  <si>
    <t>Data Year</t>
  </si>
  <si>
    <t>Availa-bility factor</t>
  </si>
  <si>
    <t>CapAct</t>
  </si>
  <si>
    <t>Technical Life</t>
  </si>
  <si>
    <t>Emissions</t>
  </si>
  <si>
    <t>Direct Air Capture - Chem. Absorption - Gas</t>
  </si>
  <si>
    <t>SUPCO2N</t>
  </si>
  <si>
    <t xml:space="preserve">*Sets </t>
  </si>
  <si>
    <t>Timeslice Level</t>
  </si>
  <si>
    <t>Primary Group</t>
  </si>
  <si>
    <t>Curr</t>
  </si>
  <si>
    <t>EUR15</t>
  </si>
  <si>
    <t>FLO_EMIS~2020</t>
  </si>
  <si>
    <t>Direct Air Capture - Chem. Absorption - ELC</t>
  </si>
  <si>
    <t>SEASON</t>
  </si>
  <si>
    <t>From: https://keith.seas.harvard.edu/files/tkg/files/keith_et_al._-_2018_-_a_process_for_capturing_co2_from_the_atmosphere.pdf</t>
  </si>
  <si>
    <t>Scenario</t>
  </si>
  <si>
    <t>Gas Input (GJ/t CO2)</t>
  </si>
  <si>
    <t>Elec Input (kWh/t CO2)</t>
  </si>
  <si>
    <t>C-Gas/C-Air</t>
  </si>
  <si>
    <t>Capital USD per t co2/a</t>
  </si>
  <si>
    <t>O&amp;M (USD/ t CO2)</t>
  </si>
  <si>
    <t>Levelised (USD/ t CO2)</t>
  </si>
  <si>
    <t>MW</t>
  </si>
  <si>
    <t>M€</t>
  </si>
  <si>
    <t>DEA-DATA</t>
  </si>
  <si>
    <t xml:space="preserve">C1) Heat  input (MWh/t CO2-output) </t>
  </si>
  <si>
    <t xml:space="preserve">C2) Eletricity input (MWh/t CO2-output) </t>
  </si>
  <si>
    <t>Table 10. Techno-economic parameters used for Direct Air Capture (DAC).</t>
  </si>
  <si>
    <t>Parameter</t>
  </si>
  <si>
    <t>Units</t>
  </si>
  <si>
    <t>Electricity input</t>
  </si>
  <si>
    <t>Heat input</t>
  </si>
  <si>
    <t>CAPEX</t>
  </si>
  <si>
    <t>€/ton CO2</t>
  </si>
  <si>
    <t>Specific investment (mill € /[t CO2 output/hour])</t>
  </si>
  <si>
    <t>SNK_DAC_ELC_LowAF</t>
  </si>
  <si>
    <t>SNK_DAC_JRC</t>
  </si>
  <si>
    <t>SNK_DAC_GAS_JRC</t>
  </si>
  <si>
    <t>EUR10</t>
  </si>
  <si>
    <t>PJa</t>
  </si>
  <si>
    <t>ACT_BND~UP</t>
  </si>
  <si>
    <t>SNKBECCS</t>
  </si>
  <si>
    <t>Dmy BECCS</t>
  </si>
  <si>
    <t>SNKDACCS</t>
  </si>
  <si>
    <t>Dmy DACCS</t>
  </si>
  <si>
    <t>Year</t>
  </si>
  <si>
    <t>ENV_ACT~SNKDACCS</t>
  </si>
  <si>
    <t>SUPSNKEW</t>
  </si>
  <si>
    <t>EW Grinding</t>
  </si>
  <si>
    <t>EUR18</t>
  </si>
  <si>
    <t>SYNMTAH</t>
  </si>
  <si>
    <t>S+SYNMET</t>
  </si>
  <si>
    <t>S+SYNGSL</t>
  </si>
  <si>
    <t>S+SYNJET</t>
  </si>
  <si>
    <t>E-JET Synthesis</t>
  </si>
  <si>
    <t>E-gasoline Synthesis</t>
  </si>
  <si>
    <t>S+SYNGAS</t>
  </si>
  <si>
    <t>ANNUAL</t>
  </si>
  <si>
    <t>FCOST</t>
  </si>
  <si>
    <t>S+BIOSNG</t>
  </si>
  <si>
    <t>Syngas biogasification+ccs</t>
  </si>
  <si>
    <t>SUPSCO2N</t>
  </si>
  <si>
    <t>P2LKER</t>
  </si>
  <si>
    <t>P2LDST</t>
  </si>
  <si>
    <t>P2LGSL</t>
  </si>
  <si>
    <t>SNKPYCCS</t>
  </si>
  <si>
    <t>Dmy PYCCS</t>
  </si>
  <si>
    <t>PERCDR</t>
  </si>
  <si>
    <t>EFF</t>
  </si>
  <si>
    <t>SNKFCO2</t>
  </si>
  <si>
    <t>FOSCO2</t>
  </si>
  <si>
    <t>SINKSOC1</t>
  </si>
  <si>
    <t>SINKSOC2</t>
  </si>
  <si>
    <t>SINKSOC3</t>
  </si>
  <si>
    <t>SNKSOC</t>
  </si>
  <si>
    <t>Dmy Soil Organic Carbon Sequestration LULUCF</t>
  </si>
  <si>
    <t>Carbon sequestration in organic soils by SOC1</t>
  </si>
  <si>
    <t>Carbon sequestration in organic soils by SOC2</t>
  </si>
  <si>
    <t>Carbon sequestration in organic soils by SOC3</t>
  </si>
  <si>
    <t>SINKPYCCS2</t>
  </si>
  <si>
    <t>Removal by PYCCS land and calorien neutral biochar</t>
  </si>
  <si>
    <t>Removal by PYCCS regular biochar</t>
  </si>
  <si>
    <t>DAC-costs with these INVCOSTS are around ~400 €/tCO2</t>
  </si>
  <si>
    <t>The following DAC processes have been disabled with late start year</t>
  </si>
  <si>
    <t>BIOWOOCHAR</t>
  </si>
  <si>
    <t>BIOWOOH2</t>
  </si>
  <si>
    <t>SINKFCCU</t>
  </si>
  <si>
    <t>SINKBCCU</t>
  </si>
  <si>
    <t>Removal by CCU, fossil CO2</t>
  </si>
  <si>
    <t>Removal by CCU, atm and bio CO2</t>
  </si>
  <si>
    <t>CCUFCO2</t>
  </si>
  <si>
    <t>CCUBCO2</t>
  </si>
  <si>
    <t>CCU fossil CO2</t>
  </si>
  <si>
    <t>CCU atm and bio CO2</t>
  </si>
  <si>
    <t>S_CCUS_EMIS_FOS</t>
  </si>
  <si>
    <t>S_CCUS_EMIS_FOS_H2T</t>
  </si>
  <si>
    <t>S_CCUS_EMIS_FOS_H2U</t>
  </si>
  <si>
    <t>Supply convert fossil CO2 emission to Diesel</t>
  </si>
  <si>
    <t>Fossil CO2 Hydrogenation to Diesel with centralized tank</t>
  </si>
  <si>
    <t>Fossil CO2 Hydrogenation to Diesel with underground storage</t>
  </si>
  <si>
    <t>Bio and atm CO2 Hydrogenation to Diesel with underground storage</t>
  </si>
  <si>
    <t>Bio and atm CO2 Hydrogenation to Diesel with centralized tank</t>
  </si>
  <si>
    <t>Supply convert bio and atm CO2 emission to Diesel</t>
  </si>
  <si>
    <t>P2LKER_FOS</t>
  </si>
  <si>
    <t>P2LDST_FOS</t>
  </si>
  <si>
    <t>AtmCCUS</t>
  </si>
  <si>
    <t>FosCCUS</t>
  </si>
  <si>
    <t>Bio + AtmCCUS</t>
  </si>
  <si>
    <t>S_CCUS_P2GU_FOS</t>
  </si>
  <si>
    <t>S_CCUS_P2GT_FOS</t>
  </si>
  <si>
    <t>GASP2G_FOS</t>
  </si>
  <si>
    <t>Methanation - Centralized Underground storage - fossil CO2</t>
  </si>
  <si>
    <t>Methanation - Centralized Tank storage - fossil CO2</t>
  </si>
  <si>
    <t>Methanation - Centralized Underground storage - bio and atm CO2</t>
  </si>
  <si>
    <t>Methanation - Centralized Tank storage - bio and atm CO2</t>
  </si>
  <si>
    <t>S_CCUS_EMISMeOH_FOS</t>
  </si>
  <si>
    <t>S_CCUS_EMISMeOH_FOS_H2</t>
  </si>
  <si>
    <t>Supply convert fossil CO2 emission to Methanol</t>
  </si>
  <si>
    <t>Supply convert fossil CO2 emission to Methanol supplied by H2</t>
  </si>
  <si>
    <t>Supply convert bio and atm CO2 emission to Methanol</t>
  </si>
  <si>
    <t>Supply convert bio and atm CO2 emission to Methanol supplied by H2</t>
  </si>
  <si>
    <t>P2LGSL_FOS</t>
  </si>
  <si>
    <t>S_CCUS_EMIS_FOS_LowAF</t>
  </si>
  <si>
    <t>S_CCUS_EMIS_FOS_H2T_LowAF</t>
  </si>
  <si>
    <t>S_CCUS_EMIS_FOS_H2U_LowAF</t>
  </si>
  <si>
    <t>Fos CCUS</t>
  </si>
  <si>
    <t>Bio atm CCUS</t>
  </si>
  <si>
    <t>S_CCUS_P2GU_FOS_LowAF</t>
  </si>
  <si>
    <t>S_CCUS_P2GT_FOS_LowAF</t>
  </si>
  <si>
    <t>S_CCUS_EMISMeOH_FOS_LowAF</t>
  </si>
  <si>
    <t>S_CCUS_EMISMeOH_FOS_H2_LowAF</t>
  </si>
  <si>
    <t>Supply convert fossil CO2 emission to Methanol supplied by H2 LowAF</t>
  </si>
  <si>
    <t>Supply convert fossil CO2 emission to Methanol LowAF</t>
  </si>
  <si>
    <t>Supply convert bio and atm CO2 emission to Methanol LowAF</t>
  </si>
  <si>
    <t>Supply convert bio and atm CO2 emission to Methanol supplied by H2 LowAF</t>
  </si>
  <si>
    <t>S+SYNGAS_FOS</t>
  </si>
  <si>
    <t>S+SYNMET_FOS</t>
  </si>
  <si>
    <t>Methanation, fossil CO2</t>
  </si>
  <si>
    <t>Methanol  Synthesis, fossil CO2</t>
  </si>
  <si>
    <t>Methanation, bio and atm CO2</t>
  </si>
  <si>
    <t>Methanol  Synthesis, bio and atm CO2</t>
  </si>
  <si>
    <t>SYNMTAH_FOS</t>
  </si>
  <si>
    <t>S+SYNGSL_FOS</t>
  </si>
  <si>
    <t>S+SYNJET_FOS</t>
  </si>
  <si>
    <t>E-gasoline Synthesis from fossil CO2</t>
  </si>
  <si>
    <t>E-JET Synthesis from fossil CO2</t>
  </si>
  <si>
    <t>E-gasoline Synthesis, bio and atm CO2</t>
  </si>
  <si>
    <t>E-JET Synthesis, bio and atm CO2</t>
  </si>
  <si>
    <t>FLO_COST~CCUBCO2</t>
  </si>
  <si>
    <t>FLO_COST~CCUFCO2</t>
  </si>
  <si>
    <t>Removal by EW1 (CCS)</t>
  </si>
  <si>
    <t>Removal by EW3 (CCS)</t>
  </si>
  <si>
    <t>Removal by EW4 (CCS)</t>
  </si>
  <si>
    <t>Removal by EW2 (CCS)</t>
  </si>
  <si>
    <t>SINKEW5</t>
  </si>
  <si>
    <t>Removal by EW5 (CCU)</t>
  </si>
  <si>
    <t>COLLECTCCUS</t>
  </si>
  <si>
    <t>Values used in 2024-06/2025</t>
  </si>
  <si>
    <t>EUR20</t>
  </si>
  <si>
    <t>SNK_DAC_SOLID</t>
  </si>
  <si>
    <t>Direct Air Capture - Solid Sorbent</t>
  </si>
  <si>
    <t>invcost</t>
  </si>
  <si>
    <t>MEUR2015/PJ-a</t>
  </si>
  <si>
    <t>fixom</t>
  </si>
  <si>
    <t>varom</t>
  </si>
  <si>
    <t>input</t>
  </si>
  <si>
    <t>PJ biomass</t>
  </si>
  <si>
    <t xml:space="preserve">cost of biochar per t </t>
  </si>
  <si>
    <t>output</t>
  </si>
  <si>
    <t>Mt biochar</t>
  </si>
  <si>
    <t>EUR/t biochar</t>
  </si>
  <si>
    <t>cost of biochar, example on the right</t>
  </si>
  <si>
    <t>MEUR24</t>
  </si>
  <si>
    <t>MEUR24/Mt biochar</t>
  </si>
  <si>
    <t>O&amp;M</t>
  </si>
  <si>
    <t>MEUR/a</t>
  </si>
  <si>
    <t>t/a</t>
  </si>
  <si>
    <t>&gt;</t>
  </si>
  <si>
    <t>t biochar</t>
  </si>
  <si>
    <t>mt biochar</t>
  </si>
  <si>
    <t>PJ/mt</t>
  </si>
  <si>
    <t>Mt biochar/PJ wood input</t>
  </si>
  <si>
    <t>PJ/a</t>
  </si>
  <si>
    <t>GJ/t wood 50%</t>
  </si>
  <si>
    <t>assumption</t>
  </si>
  <si>
    <t>t CO2</t>
  </si>
  <si>
    <t>t CO2/a</t>
  </si>
  <si>
    <t>ktCO2/a</t>
  </si>
  <si>
    <t>PJ surplus pyrolysis gas</t>
  </si>
  <si>
    <t xml:space="preserve">PJ biogas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</si>
</sst>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 #,##0.00\ &quot;€&quot;_-;\-* #,##0.00\ &quot;€&quot;_-;_-* &quot;-&quot;??\ &quot;€&quot;_-;_-@_-"/>
    <numFmt numFmtId="164" formatCode="_(* #,##0_);_(* \(#,##0\);_(* &quot;-&quot;_);_(@_)"/>
    <numFmt numFmtId="165" formatCode="_(* #,##0.00_);_(* \(#,##0.00\);_(* &quot;-&quot;??_);_(@_)"/>
    <numFmt numFmtId="166" formatCode="&quot;$&quot;#,##0_);\(&quot;$&quot;#,##0\)"/>
    <numFmt numFmtId="167" formatCode="_(&quot;$&quot;* #,##0.00_);_(&quot;$&quot;* \(#,##0.00\);_(&quot;$&quot;* &quot;-&quot;??_);_(@_)"/>
    <numFmt numFmtId="168" formatCode="_-* #,##0.00\ _€_-;\-* #,##0.00\ _€_-;_-* &quot;-&quot;??\ _€_-;_-@_-"/>
    <numFmt numFmtId="169" formatCode="_-&quot;$&quot;* #,##0.00_-;\-&quot;$&quot;* #,##0.00_-;_-&quot;$&quot;* &quot;-&quot;??_-;_-@_-"/>
    <numFmt numFmtId="170" formatCode="0.0%"/>
    <numFmt numFmtId="171" formatCode="_([$€]* #,##0.00_);_([$€]* \(#,##0.00\);_([$€]* &quot;-&quot;??_);_(@_)"/>
    <numFmt numFmtId="172" formatCode="_([$€-2]* #,##0.00_);_([$€-2]* \(#,##0.00\);_([$€-2]* &quot;-&quot;??_)"/>
    <numFmt numFmtId="173" formatCode="_-[$€]* #,##0.00_-;\-[$€]* #,##0.00_-;_-[$€]* &quot;-&quot;??_-;_-@_-"/>
    <numFmt numFmtId="174" formatCode="_-[$€-2]\ * #,##0.00_-;\-[$€-2]\ * #,##0.00_-;_-[$€-2]\ * &quot;-&quot;??_-"/>
    <numFmt numFmtId="175" formatCode="_ * #,##0.00_ ;_ * \-#,##0.00_ ;_ * &quot;-&quot;??_ ;_ @_ "/>
    <numFmt numFmtId="176" formatCode="_-[$€-2]* #,##0.00_-;\-[$€-2]* #,##0.00_-;_-[$€-2]* &quot;-&quot;??_-"/>
    <numFmt numFmtId="177" formatCode="_-&quot;€&quot;\ * #,##0.00_-;\-&quot;€&quot;\ * #,##0.00_-;_-&quot;€&quot;\ * &quot;-&quot;??_-;_-@_-"/>
    <numFmt numFmtId="178" formatCode="0.0"/>
    <numFmt numFmtId="179" formatCode="\Te\x\t"/>
    <numFmt numFmtId="180" formatCode="0.000"/>
    <numFmt numFmtId="181" formatCode="0.0000"/>
    <numFmt numFmtId="182" formatCode="_-* #,##0.00\ _m_k_-;\-* #,##0.00\ _m_k_-;_-* &quot;-&quot;??\ _m_k_-;_-@_-"/>
    <numFmt numFmtId="183" formatCode="_-* #,##0\ _m_k_-;\-* #,##0\ _m_k_-;_-* &quot;-&quot;\ _m_k_-;_-@_-"/>
    <numFmt numFmtId="184" formatCode="_-* #,##0\ &quot;mk&quot;_-;\-* #,##0\ &quot;mk&quot;_-;_-* &quot;-&quot;\ &quot;mk&quot;_-;_-@_-"/>
    <numFmt numFmtId="185" formatCode="_-* #,##0.00\ &quot;mk&quot;_-;\-* #,##0.00\ &quot;mk&quot;_-;_-* &quot;-&quot;??\ &quot;mk&quot;_-;_-@_-"/>
  </numFmts>
  <fonts count="94">
    <font>
      <sz val="10"/>
      <name val="Arial"/>
    </font>
    <font>
      <u/>
      <sz val="10"/>
      <color indexed="12"/>
      <name val="Arial"/>
      <family val="2"/>
    </font>
    <font>
      <sz val="10"/>
      <name val="Arial"/>
      <family val="2"/>
    </font>
    <font>
      <sz val="8"/>
      <color indexed="81"/>
      <name val="Tahoma"/>
      <family val="2"/>
    </font>
    <font>
      <b/>
      <sz val="10"/>
      <name val="Arial"/>
      <family val="2"/>
    </font>
    <font>
      <b/>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11"/>
      <color indexed="8"/>
      <name val="Calibri"/>
      <family val="2"/>
    </font>
    <font>
      <sz val="11"/>
      <color indexed="60"/>
      <name val="Calibri"/>
      <family val="2"/>
      <charset val="161"/>
    </font>
    <font>
      <sz val="10"/>
      <color indexed="56"/>
      <name val="Arial"/>
      <family val="2"/>
    </font>
    <font>
      <i/>
      <sz val="8"/>
      <color indexed="38"/>
      <name val="Arial"/>
      <family val="2"/>
    </font>
    <font>
      <b/>
      <sz val="12"/>
      <name val="Times New Roman"/>
      <family val="1"/>
    </font>
    <font>
      <sz val="10"/>
      <name val="Arial"/>
      <family val="2"/>
      <charset val="161"/>
    </font>
    <font>
      <sz val="10"/>
      <color indexed="8"/>
      <name val="Arial"/>
      <family val="2"/>
    </font>
    <font>
      <sz val="9"/>
      <color indexed="8"/>
      <name val="Times New Roman"/>
      <family val="1"/>
    </font>
    <font>
      <sz val="9"/>
      <name val="Times New Roman"/>
      <family val="1"/>
    </font>
    <font>
      <b/>
      <sz val="9"/>
      <name val="Times New Roman"/>
      <family val="1"/>
    </font>
    <font>
      <sz val="12"/>
      <color indexed="8"/>
      <name val="Times New Roman"/>
      <family val="1"/>
    </font>
    <font>
      <sz val="11"/>
      <name val="Arial"/>
      <family val="2"/>
    </font>
    <font>
      <sz val="10"/>
      <name val="Arial Cyr"/>
      <charset val="204"/>
    </font>
    <font>
      <b/>
      <sz val="12"/>
      <color indexed="8"/>
      <name val="Times New Roman"/>
      <family val="1"/>
    </font>
    <font>
      <sz val="10"/>
      <name val="MS Sans Serif"/>
      <family val="2"/>
    </font>
    <font>
      <u/>
      <sz val="12"/>
      <color indexed="20"/>
      <name val="??"/>
      <charset val="134"/>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font>
    <font>
      <sz val="9"/>
      <color indexed="81"/>
      <name val="Tahoma"/>
      <family val="2"/>
    </font>
    <font>
      <b/>
      <sz val="9"/>
      <color indexed="81"/>
      <name val="Tahoma"/>
      <family val="2"/>
    </font>
    <font>
      <sz val="11"/>
      <color indexed="8"/>
      <name val="Calibri"/>
      <family val="2"/>
    </font>
    <font>
      <sz val="11"/>
      <color indexed="8"/>
      <name val="Calibri"/>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3F3F76"/>
      <name val="Calibri"/>
      <family val="3"/>
      <charset val="128"/>
      <scheme val="minor"/>
    </font>
    <font>
      <sz val="11"/>
      <color rgb="FFFA7D00"/>
      <name val="Calibri"/>
      <family val="2"/>
      <scheme val="minor"/>
    </font>
    <font>
      <sz val="11"/>
      <color rgb="FF9C6500"/>
      <name val="Calibri"/>
      <family val="2"/>
      <scheme val="minor"/>
    </font>
    <font>
      <sz val="11"/>
      <color rgb="FF9C6500"/>
      <name val="Calibri"/>
      <family val="2"/>
      <charset val="161"/>
      <scheme val="minor"/>
    </font>
    <font>
      <sz val="10"/>
      <name val="Arial"/>
      <family val="2"/>
    </font>
    <font>
      <sz val="10"/>
      <name val="Calibri"/>
      <family val="2"/>
      <scheme val="minor"/>
    </font>
    <font>
      <b/>
      <sz val="11"/>
      <color indexed="12"/>
      <name val="Calibri"/>
      <family val="2"/>
      <scheme val="minor"/>
    </font>
    <font>
      <sz val="10"/>
      <color theme="1"/>
      <name val="Calibri"/>
      <family val="2"/>
      <scheme val="minor"/>
    </font>
    <font>
      <b/>
      <sz val="10"/>
      <name val="Calibri"/>
      <family val="2"/>
      <scheme val="minor"/>
    </font>
    <font>
      <sz val="10"/>
      <color indexed="12"/>
      <name val="Arial"/>
      <family val="2"/>
    </font>
    <font>
      <sz val="10"/>
      <color indexed="20"/>
      <name val="Calibri"/>
      <family val="2"/>
    </font>
    <font>
      <sz val="10"/>
      <color indexed="8"/>
      <name val="Calibri"/>
      <family val="2"/>
    </font>
    <font>
      <sz val="8"/>
      <name val="Calibri"/>
      <family val="2"/>
    </font>
    <font>
      <sz val="9"/>
      <color rgb="FF0070C0"/>
      <name val="Arial"/>
      <family val="2"/>
    </font>
    <font>
      <sz val="10"/>
      <name val="Helv"/>
    </font>
    <font>
      <u/>
      <sz val="11"/>
      <color indexed="12"/>
      <name val="Calibri"/>
      <family val="2"/>
    </font>
    <font>
      <sz val="10"/>
      <color rgb="FFFF0000"/>
      <name val="Arial"/>
      <family val="2"/>
    </font>
    <font>
      <sz val="9"/>
      <name val="Calibri"/>
      <family val="2"/>
      <scheme val="minor"/>
    </font>
    <font>
      <b/>
      <sz val="9"/>
      <color indexed="12"/>
      <name val="Calibri"/>
      <family val="2"/>
      <scheme val="minor"/>
    </font>
    <font>
      <b/>
      <sz val="9"/>
      <color theme="0"/>
      <name val="Calibri"/>
      <family val="2"/>
      <scheme val="minor"/>
    </font>
    <font>
      <sz val="9"/>
      <name val="Arial"/>
      <family val="2"/>
    </font>
    <font>
      <b/>
      <sz val="9"/>
      <color rgb="FFFFFFFF"/>
      <name val="Segoe UI"/>
      <family val="2"/>
    </font>
    <font>
      <sz val="9"/>
      <color rgb="FFFFFFFF"/>
      <name val="Segoe UI"/>
      <family val="2"/>
    </font>
    <font>
      <sz val="9"/>
      <name val="Segoe UI"/>
      <family val="2"/>
    </font>
    <font>
      <b/>
      <sz val="9"/>
      <color indexed="12"/>
      <name val="Arial"/>
      <family val="2"/>
    </font>
    <font>
      <b/>
      <sz val="9"/>
      <color theme="0"/>
      <name val="Arial"/>
      <family val="2"/>
    </font>
    <font>
      <sz val="9"/>
      <color theme="1"/>
      <name val="Arial"/>
      <family val="2"/>
    </font>
    <font>
      <sz val="9"/>
      <color rgb="FFFF0000"/>
      <name val="Arial"/>
      <family val="2"/>
    </font>
    <font>
      <sz val="9"/>
      <color theme="1"/>
      <name val="Segoe UI"/>
      <family val="2"/>
    </font>
    <font>
      <sz val="9"/>
      <color rgb="FFFF0000"/>
      <name val="Calibri"/>
      <family val="2"/>
      <scheme val="minor"/>
    </font>
    <font>
      <sz val="9"/>
      <color rgb="FFFF0000"/>
      <name val="Segoe UI"/>
      <family val="2"/>
    </font>
  </fonts>
  <fills count="81">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theme="3"/>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CCFFFF"/>
        <bgColor indexed="64"/>
      </patternFill>
    </fill>
    <fill>
      <patternFill patternType="solid">
        <fgColor theme="9" tint="0.79998168889431442"/>
        <bgColor indexed="64"/>
      </patternFill>
    </fill>
    <fill>
      <patternFill patternType="solid">
        <fgColor rgb="FFCCFFCC"/>
        <bgColor indexed="64"/>
      </patternFill>
    </fill>
    <fill>
      <patternFill patternType="solid">
        <fgColor indexed="43"/>
        <bgColor indexed="64"/>
      </patternFill>
    </fill>
    <fill>
      <patternFill patternType="solid">
        <fgColor indexed="9"/>
        <bgColor indexed="64"/>
      </patternFill>
    </fill>
    <fill>
      <patternFill patternType="solid">
        <fgColor indexed="41"/>
        <bgColor indexed="64"/>
      </patternFill>
    </fill>
    <fill>
      <patternFill patternType="solid">
        <fgColor rgb="FFFFCCFF"/>
        <bgColor indexed="64"/>
      </patternFill>
    </fill>
    <fill>
      <patternFill patternType="solid">
        <fgColor rgb="FFCCCCFF"/>
        <bgColor indexed="64"/>
      </patternFill>
    </fill>
    <fill>
      <patternFill patternType="solid">
        <fgColor rgb="FFFFFF00"/>
        <bgColor indexed="64"/>
      </patternFill>
    </fill>
    <fill>
      <patternFill patternType="solid">
        <fgColor theme="9" tint="0.39997558519241921"/>
        <bgColor indexed="64"/>
      </patternFill>
    </fill>
    <fill>
      <patternFill patternType="solid">
        <fgColor rgb="FFCCECFF"/>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right/>
      <top style="thin">
        <color theme="0"/>
      </top>
      <bottom style="medium">
        <color theme="0"/>
      </bottom>
      <diagonal/>
    </border>
    <border>
      <left/>
      <right/>
      <top/>
      <bottom style="thin">
        <color indexed="64"/>
      </bottom>
      <diagonal/>
    </border>
    <border>
      <left/>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s>
  <cellStyleXfs count="17787">
    <xf numFmtId="0" fontId="0" fillId="0" borderId="0"/>
    <xf numFmtId="0" fontId="37" fillId="0" borderId="0" applyNumberFormat="0" applyFill="0" applyBorder="0" applyAlignment="0" applyProtection="0">
      <alignment vertical="center"/>
    </xf>
    <xf numFmtId="0" fontId="50" fillId="3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50" fillId="3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50" fillId="3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50" fillId="35"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50" fillId="36"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50" fillId="3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49" fontId="30" fillId="0" borderId="1" applyNumberFormat="0" applyFont="0" applyFill="0" applyBorder="0" applyProtection="0">
      <alignment horizontal="left" vertical="center" indent="2"/>
    </xf>
    <xf numFmtId="0" fontId="2" fillId="0" borderId="0" applyNumberFormat="0" applyFont="0" applyFill="0" applyBorder="0" applyProtection="0">
      <alignment horizontal="left" vertical="center" indent="2"/>
    </xf>
    <xf numFmtId="0" fontId="50" fillId="38"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50" fillId="39"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50"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50" fillId="4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50" fillId="4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50" fillId="4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2" fillId="0" borderId="0" applyNumberFormat="0" applyFont="0" applyFill="0" applyBorder="0" applyProtection="0">
      <alignment horizontal="left" vertical="center" indent="5"/>
    </xf>
    <xf numFmtId="49" fontId="30" fillId="0" borderId="2" applyNumberFormat="0" applyFont="0" applyFill="0" applyBorder="0" applyProtection="0">
      <alignment horizontal="left" vertical="center" indent="5"/>
    </xf>
    <xf numFmtId="0" fontId="51" fillId="4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51" fillId="4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51" fillId="46"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51" fillId="4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51" fillId="4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51" fillId="49"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51" fillId="5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51" fillId="5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51" fillId="5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51" fillId="5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51" fillId="54"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51" fillId="5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31" fillId="24" borderId="0" applyBorder="0" applyAlignment="0"/>
    <xf numFmtId="4" fontId="31" fillId="24" borderId="0" applyBorder="0" applyAlignment="0"/>
    <xf numFmtId="0" fontId="30" fillId="24" borderId="0" applyBorder="0">
      <alignment horizontal="right" vertical="center"/>
    </xf>
    <xf numFmtId="4" fontId="30" fillId="24" borderId="0" applyBorder="0">
      <alignment horizontal="right" vertical="center"/>
    </xf>
    <xf numFmtId="0" fontId="30" fillId="24" borderId="1">
      <alignment horizontal="right" vertical="center"/>
    </xf>
    <xf numFmtId="0" fontId="30" fillId="25" borderId="0" applyBorder="0">
      <alignment horizontal="right" vertical="center"/>
    </xf>
    <xf numFmtId="4" fontId="30" fillId="25" borderId="0" applyBorder="0">
      <alignment horizontal="right" vertical="center"/>
    </xf>
    <xf numFmtId="0" fontId="30" fillId="25" borderId="0" applyBorder="0">
      <alignment horizontal="right" vertical="center"/>
    </xf>
    <xf numFmtId="4" fontId="30" fillId="25" borderId="0" applyBorder="0">
      <alignment horizontal="right" vertical="center"/>
    </xf>
    <xf numFmtId="0" fontId="29" fillId="25" borderId="1">
      <alignment horizontal="right" vertical="center"/>
    </xf>
    <xf numFmtId="4" fontId="29" fillId="25" borderId="1">
      <alignment horizontal="right" vertical="center"/>
    </xf>
    <xf numFmtId="0" fontId="29" fillId="25" borderId="3">
      <alignment horizontal="right" vertical="center"/>
    </xf>
    <xf numFmtId="0" fontId="32" fillId="25" borderId="1">
      <alignment horizontal="right" vertical="center"/>
    </xf>
    <xf numFmtId="4" fontId="32" fillId="25" borderId="1">
      <alignment horizontal="right" vertical="center"/>
    </xf>
    <xf numFmtId="0" fontId="29" fillId="26" borderId="1">
      <alignment horizontal="right" vertical="center"/>
    </xf>
    <xf numFmtId="4" fontId="29" fillId="26" borderId="1">
      <alignment horizontal="right" vertical="center"/>
    </xf>
    <xf numFmtId="0" fontId="29" fillId="26" borderId="3">
      <alignment horizontal="right" vertical="center"/>
    </xf>
    <xf numFmtId="0" fontId="29" fillId="26" borderId="1">
      <alignment horizontal="right" vertical="center"/>
    </xf>
    <xf numFmtId="4" fontId="29" fillId="26" borderId="1">
      <alignment horizontal="right" vertical="center"/>
    </xf>
    <xf numFmtId="0" fontId="29" fillId="26" borderId="4">
      <alignment horizontal="right" vertical="center"/>
    </xf>
    <xf numFmtId="0" fontId="29" fillId="26" borderId="2">
      <alignment horizontal="right" vertical="center"/>
    </xf>
    <xf numFmtId="4" fontId="29" fillId="26" borderId="2">
      <alignment horizontal="right" vertical="center"/>
    </xf>
    <xf numFmtId="0" fontId="29" fillId="26" borderId="5">
      <alignment horizontal="right" vertical="center"/>
    </xf>
    <xf numFmtId="4" fontId="29" fillId="26" borderId="5">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6" applyNumberFormat="0" applyAlignment="0" applyProtection="0"/>
    <xf numFmtId="0" fontId="52" fillId="56"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52" fillId="56"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7" applyNumberFormat="0" applyAlignment="0" applyProtection="0"/>
    <xf numFmtId="4" fontId="31" fillId="0" borderId="8" applyFill="0" applyBorder="0" applyProtection="0">
      <alignment horizontal="right" vertical="center"/>
    </xf>
    <xf numFmtId="0" fontId="53" fillId="57" borderId="23"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38"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38"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4" fillId="58" borderId="24"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49" fontId="2" fillId="24" borderId="10">
      <alignment vertical="top" wrapText="1"/>
    </xf>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6" fillId="0" borderId="0" applyFont="0" applyFill="0" applyBorder="0" applyAlignment="0" applyProtection="0"/>
    <xf numFmtId="170" fontId="2"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47"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0" fontId="2" fillId="0" borderId="0" applyFont="0" applyFill="0" applyBorder="0" applyAlignment="0" applyProtection="0"/>
    <xf numFmtId="165" fontId="2" fillId="0" borderId="0" applyFont="0" applyFill="0" applyBorder="0" applyAlignment="0" applyProtection="0"/>
    <xf numFmtId="175"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5" fontId="27" fillId="0" borderId="0" applyFont="0" applyFill="0" applyBorder="0" applyAlignment="0" applyProtection="0"/>
    <xf numFmtId="165" fontId="2" fillId="0" borderId="0" applyFont="0" applyFill="0" applyBorder="0" applyAlignment="0" applyProtection="0"/>
    <xf numFmtId="165" fontId="47" fillId="0" borderId="0" applyFont="0" applyFill="0" applyBorder="0" applyAlignment="0" applyProtection="0"/>
    <xf numFmtId="175" fontId="27"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5" fontId="27"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6"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6" fillId="0" borderId="0" applyFont="0" applyFill="0" applyBorder="0" applyAlignment="0" applyProtection="0"/>
    <xf numFmtId="165" fontId="2" fillId="0" borderId="0" applyFont="0" applyFill="0" applyBorder="0" applyAlignment="0" applyProtection="0"/>
    <xf numFmtId="165" fontId="22"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3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0" fontId="36"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29" fillId="0" borderId="0" applyNumberFormat="0">
      <alignment horizontal="right"/>
    </xf>
    <xf numFmtId="167" fontId="2" fillId="0" borderId="0" applyFont="0" applyFill="0" applyBorder="0" applyAlignment="0" applyProtection="0"/>
    <xf numFmtId="169" fontId="2" fillId="0" borderId="0" applyFont="0" applyFill="0" applyBorder="0" applyAlignment="0" applyProtection="0"/>
    <xf numFmtId="0" fontId="30" fillId="26" borderId="11">
      <alignment horizontal="left" vertical="center" wrapText="1" indent="2"/>
    </xf>
    <xf numFmtId="0" fontId="30" fillId="0" borderId="11">
      <alignment horizontal="left" vertical="center" wrapText="1" indent="2"/>
    </xf>
    <xf numFmtId="0" fontId="30" fillId="25" borderId="2">
      <alignment horizontal="left" vertical="center"/>
    </xf>
    <xf numFmtId="0" fontId="29" fillId="0" borderId="12">
      <alignment horizontal="left" vertical="top" wrapText="1"/>
    </xf>
    <xf numFmtId="3" fontId="24" fillId="0" borderId="10">
      <alignment horizontal="right" vertical="top"/>
    </xf>
    <xf numFmtId="0" fontId="16" fillId="9" borderId="7" applyNumberFormat="0" applyAlignment="0" applyProtection="0"/>
    <xf numFmtId="0" fontId="34" fillId="0" borderId="13"/>
    <xf numFmtId="0" fontId="4" fillId="30" borderId="1">
      <alignment horizontal="centerContinuous" vertical="top" wrapText="1"/>
    </xf>
    <xf numFmtId="0" fontId="25" fillId="0" borderId="0">
      <alignment vertical="top" wrapText="1"/>
    </xf>
    <xf numFmtId="0" fontId="20" fillId="0" borderId="14" applyNumberFormat="0" applyFill="0" applyAlignment="0" applyProtection="0"/>
    <xf numFmtId="0" fontId="11" fillId="0" borderId="0" applyNumberFormat="0" applyFill="0" applyBorder="0" applyAlignment="0" applyProtection="0"/>
    <xf numFmtId="0" fontId="28" fillId="0" borderId="0">
      <alignment vertical="top"/>
    </xf>
    <xf numFmtId="171"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4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6" fontId="27" fillId="0" borderId="0" applyFont="0" applyFill="0" applyBorder="0" applyAlignment="0" applyProtection="0"/>
    <xf numFmtId="171"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1" fontId="2" fillId="0" borderId="0" applyFont="0" applyFill="0" applyBorder="0" applyAlignment="0" applyProtection="0"/>
    <xf numFmtId="173" fontId="2" fillId="0" borderId="0" applyFont="0" applyFill="0" applyBorder="0" applyAlignment="0" applyProtection="0"/>
    <xf numFmtId="171" fontId="2" fillId="0" borderId="0" applyFont="0" applyFill="0" applyBorder="0" applyAlignment="0" applyProtection="0"/>
    <xf numFmtId="177"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44" fontId="2" fillId="0" borderId="0" applyFont="0" applyFill="0" applyBorder="0" applyAlignment="0" applyProtection="0"/>
    <xf numFmtId="174" fontId="2" fillId="0" borderId="0" applyFont="0" applyFill="0" applyBorder="0" applyAlignment="0" applyProtection="0"/>
    <xf numFmtId="176" fontId="27"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2" fontId="2"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6" fontId="27" fillId="0" borderId="0" applyFont="0" applyFill="0" applyBorder="0" applyAlignment="0" applyProtection="0"/>
    <xf numFmtId="174" fontId="44" fillId="0" borderId="0" applyFont="0" applyFill="0" applyBorder="0" applyAlignment="0" applyProtection="0"/>
    <xf numFmtId="174" fontId="2" fillId="0" borderId="0" applyFont="0" applyFill="0" applyBorder="0" applyAlignment="0" applyProtection="0"/>
    <xf numFmtId="174" fontId="44" fillId="0" borderId="0" applyFont="0" applyFill="0" applyBorder="0" applyAlignment="0" applyProtection="0"/>
    <xf numFmtId="174" fontId="2" fillId="0" borderId="0" applyFont="0" applyFill="0" applyBorder="0" applyAlignment="0" applyProtection="0"/>
    <xf numFmtId="171"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4" fontId="2" fillId="0" borderId="0" applyFont="0" applyFill="0" applyBorder="0" applyAlignment="0" applyProtection="0"/>
    <xf numFmtId="173" fontId="2" fillId="0" borderId="0" applyFont="0" applyFill="0" applyBorder="0" applyAlignment="0" applyProtection="0"/>
    <xf numFmtId="0" fontId="55"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 fillId="0" borderId="0" applyFont="0" applyFill="0" applyBorder="0" applyAlignment="0" applyProtection="0"/>
    <xf numFmtId="11" fontId="27" fillId="0" borderId="0" applyFont="0" applyFill="0" applyBorder="0" applyAlignment="0" applyProtection="0"/>
    <xf numFmtId="11" fontId="2" fillId="0" borderId="0" applyFont="0" applyFill="0" applyBorder="0" applyAlignment="0" applyProtection="0"/>
    <xf numFmtId="11" fontId="27" fillId="0" borderId="0" applyFont="0" applyFill="0" applyBorder="0" applyAlignment="0" applyProtection="0"/>
    <xf numFmtId="11" fontId="27" fillId="0" borderId="0" applyFont="0" applyFill="0" applyBorder="0" applyAlignment="0" applyProtection="0"/>
    <xf numFmtId="11" fontId="2" fillId="0" borderId="0" applyFont="0" applyFill="0" applyBorder="0" applyAlignment="0" applyProtection="0"/>
    <xf numFmtId="0" fontId="56" fillId="59"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57" fillId="59" borderId="0" applyNumberFormat="0" applyBorder="0" applyAlignment="0" applyProtection="0"/>
    <xf numFmtId="0" fontId="12" fillId="10" borderId="0" applyNumberFormat="0" applyBorder="0" applyAlignment="0" applyProtection="0"/>
    <xf numFmtId="0" fontId="57" fillId="59"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6" fillId="59"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58" fillId="0" borderId="2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3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26"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4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27"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4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6" fillId="0" borderId="0" applyNumberFormat="0" applyFill="0" applyBorder="0" applyAlignment="0" applyProtection="0"/>
    <xf numFmtId="0" fontId="1" fillId="0" borderId="0" applyNumberFormat="0" applyFill="0" applyBorder="0" applyAlignment="0" applyProtection="0">
      <alignment vertical="top"/>
      <protection locked="0"/>
    </xf>
    <xf numFmtId="0" fontId="61" fillId="0" borderId="0" applyNumberFormat="0" applyFill="0" applyBorder="0" applyAlignment="0" applyProtection="0"/>
    <xf numFmtId="0" fontId="62" fillId="60" borderId="23"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63" fillId="60" borderId="23" applyNumberFormat="0" applyAlignment="0" applyProtection="0"/>
    <xf numFmtId="0" fontId="16" fillId="12" borderId="7" applyNumberFormat="0" applyAlignment="0" applyProtection="0"/>
    <xf numFmtId="0" fontId="63" fillId="60" borderId="23" applyNumberFormat="0" applyAlignment="0" applyProtection="0"/>
    <xf numFmtId="0" fontId="16" fillId="9"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4" fontId="30" fillId="0" borderId="0" applyBorder="0">
      <alignment horizontal="right" vertical="center"/>
    </xf>
    <xf numFmtId="0" fontId="30" fillId="0" borderId="1">
      <alignment horizontal="right" vertical="center"/>
    </xf>
    <xf numFmtId="4" fontId="30" fillId="0" borderId="1">
      <alignment horizontal="right" vertical="center"/>
    </xf>
    <xf numFmtId="0" fontId="30" fillId="0" borderId="3">
      <alignment horizontal="right" vertical="center"/>
    </xf>
    <xf numFmtId="1" fontId="35" fillId="25" borderId="0" applyBorder="0">
      <alignment horizontal="right" vertical="center"/>
    </xf>
    <xf numFmtId="0" fontId="2" fillId="31" borderId="1"/>
    <xf numFmtId="0" fontId="26" fillId="0" borderId="0"/>
    <xf numFmtId="0" fontId="64" fillId="0" borderId="28"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168" fontId="2" fillId="0" borderId="0" applyFont="0" applyFill="0" applyBorder="0" applyAlignment="0" applyProtection="0"/>
    <xf numFmtId="0" fontId="65"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3"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23"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42" fillId="12" borderId="0" applyNumberFormat="0" applyBorder="0" applyAlignment="0" applyProtection="0"/>
    <xf numFmtId="0" fontId="23" fillId="12" borderId="0" applyNumberFormat="0" applyBorder="0" applyAlignment="0" applyProtection="0"/>
    <xf numFmtId="0" fontId="66"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5" fillId="6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2"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0" fontId="6"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166" fontId="4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166" fontId="43" fillId="0" borderId="0">
      <alignment vertical="center"/>
    </xf>
    <xf numFmtId="166" fontId="43" fillId="0" borderId="0">
      <alignment vertical="center"/>
    </xf>
    <xf numFmtId="166" fontId="43" fillId="0" borderId="0">
      <alignment vertical="center"/>
    </xf>
    <xf numFmtId="166"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170" fontId="43" fillId="0" borderId="0">
      <alignment vertical="center"/>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170" fontId="43" fillId="0" borderId="0">
      <alignment vertical="center"/>
    </xf>
    <xf numFmtId="0" fontId="2"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50" fillId="0" borderId="0"/>
    <xf numFmtId="0" fontId="50"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applyNumberFormat="0" applyFont="0" applyFill="0" applyBorder="0" applyAlignment="0" applyProtection="0"/>
    <xf numFmtId="0" fontId="2"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50" fillId="0" borderId="0"/>
    <xf numFmtId="0" fontId="2"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33"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6" fillId="0" borderId="0"/>
    <xf numFmtId="0" fontId="2" fillId="0" borderId="0"/>
    <xf numFmtId="0" fontId="2" fillId="0" borderId="0">
      <alignment vertical="top"/>
    </xf>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6"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73" fillId="4" borderId="0" applyNumberFormat="0" applyBorder="0" applyAlignment="0" applyProtection="0"/>
    <xf numFmtId="0" fontId="7" fillId="21" borderId="0" applyNumberFormat="0" applyBorder="0" applyAlignment="0" applyProtection="0"/>
    <xf numFmtId="175" fontId="6" fillId="0" borderId="0" applyFont="0" applyFill="0" applyBorder="0" applyAlignment="0" applyProtection="0"/>
    <xf numFmtId="0" fontId="2" fillId="0" borderId="32"/>
    <xf numFmtId="0" fontId="2" fillId="0" borderId="0"/>
    <xf numFmtId="0" fontId="2" fillId="0" borderId="0"/>
    <xf numFmtId="0" fontId="2" fillId="0" borderId="0"/>
    <xf numFmtId="0" fontId="6" fillId="0" borderId="0"/>
    <xf numFmtId="0" fontId="6" fillId="0" borderId="0"/>
    <xf numFmtId="0" fontId="74" fillId="0" borderId="0"/>
    <xf numFmtId="9" fontId="2" fillId="0" borderId="0" applyFont="0" applyFill="0" applyBorder="0" applyAlignment="0" applyProtection="0"/>
    <xf numFmtId="9" fontId="6" fillId="0" borderId="0" applyFont="0" applyFill="0" applyBorder="0" applyAlignment="0" applyProtection="0"/>
    <xf numFmtId="182" fontId="2" fillId="0" borderId="0" applyFont="0" applyFill="0" applyBorder="0" applyAlignment="0" applyProtection="0"/>
    <xf numFmtId="9" fontId="2" fillId="0" borderId="0" applyFont="0" applyFill="0" applyBorder="0" applyAlignment="0" applyProtection="0"/>
    <xf numFmtId="183" fontId="2" fillId="0" borderId="0" applyFont="0" applyFill="0" applyBorder="0" applyAlignment="0" applyProtection="0"/>
    <xf numFmtId="184" fontId="2" fillId="0" borderId="0" applyFont="0" applyFill="0" applyBorder="0" applyAlignment="0" applyProtection="0"/>
    <xf numFmtId="0" fontId="12" fillId="6" borderId="0" applyNumberFormat="0" applyBorder="0" applyAlignment="0" applyProtection="0"/>
    <xf numFmtId="185" fontId="2" fillId="0" borderId="0" applyFont="0" applyFill="0" applyBorder="0" applyAlignment="0" applyProtection="0"/>
    <xf numFmtId="0" fontId="77" fillId="0" borderId="0"/>
    <xf numFmtId="0" fontId="77" fillId="0" borderId="0"/>
    <xf numFmtId="165" fontId="6" fillId="0" borderId="0" applyFont="0" applyFill="0" applyBorder="0" applyAlignment="0" applyProtection="0"/>
    <xf numFmtId="175" fontId="77" fillId="0" borderId="0" applyFont="0" applyFill="0" applyBorder="0" applyAlignment="0" applyProtection="0"/>
    <xf numFmtId="0" fontId="78" fillId="0" borderId="0" applyNumberFormat="0" applyFill="0" applyBorder="0" applyAlignment="0" applyProtection="0"/>
    <xf numFmtId="0" fontId="77" fillId="0" borderId="0"/>
    <xf numFmtId="0" fontId="2" fillId="0" borderId="0"/>
    <xf numFmtId="0" fontId="2" fillId="0" borderId="0"/>
    <xf numFmtId="0" fontId="19" fillId="27" borderId="6" applyNumberFormat="0" applyAlignment="0" applyProtection="0"/>
    <xf numFmtId="0" fontId="19" fillId="27" borderId="6" applyNumberFormat="0" applyAlignment="0" applyProtection="0"/>
    <xf numFmtId="0" fontId="77" fillId="0" borderId="0"/>
    <xf numFmtId="9" fontId="2" fillId="0" borderId="0" applyFont="0" applyFill="0" applyBorder="0" applyAlignment="0" applyProtection="0"/>
    <xf numFmtId="9" fontId="2" fillId="0" borderId="0" applyFont="0" applyFill="0" applyBorder="0" applyAlignment="0" applyProtection="0"/>
    <xf numFmtId="0" fontId="20" fillId="0" borderId="14" applyNumberFormat="0" applyFill="0" applyAlignment="0" applyProtection="0"/>
    <xf numFmtId="0" fontId="20" fillId="0" borderId="14" applyNumberFormat="0" applyFill="0" applyAlignment="0" applyProtection="0"/>
  </cellStyleXfs>
  <cellXfs count="170">
    <xf numFmtId="0" fontId="0" fillId="0" borderId="0" xfId="0"/>
    <xf numFmtId="0" fontId="68" fillId="0" borderId="0" xfId="0" applyFont="1" applyAlignment="1">
      <alignment vertical="center"/>
    </xf>
    <xf numFmtId="0" fontId="69" fillId="0" borderId="0" xfId="3281" applyFont="1" applyAlignment="1">
      <alignment horizontal="left" vertical="center" wrapText="1"/>
    </xf>
    <xf numFmtId="0" fontId="54" fillId="62" borderId="29" xfId="0" applyFont="1" applyFill="1" applyBorder="1" applyAlignment="1">
      <alignment horizontal="left" vertical="center"/>
    </xf>
    <xf numFmtId="0" fontId="70" fillId="63" borderId="30" xfId="0" applyFont="1" applyFill="1" applyBorder="1" applyAlignment="1">
      <alignment horizontal="left" vertical="center" wrapText="1"/>
    </xf>
    <xf numFmtId="0" fontId="68" fillId="0" borderId="0" xfId="0" applyFont="1" applyBorder="1" applyAlignment="1">
      <alignment vertical="center"/>
    </xf>
    <xf numFmtId="0" fontId="68" fillId="0" borderId="30" xfId="0" applyFont="1" applyBorder="1" applyAlignment="1">
      <alignment vertical="center"/>
    </xf>
    <xf numFmtId="178" fontId="68" fillId="0" borderId="0" xfId="0" applyNumberFormat="1" applyFont="1" applyAlignment="1">
      <alignment vertical="center"/>
    </xf>
    <xf numFmtId="0" fontId="71" fillId="0" borderId="0" xfId="0" applyFont="1" applyAlignment="1">
      <alignment vertical="center"/>
    </xf>
    <xf numFmtId="2" fontId="68" fillId="0" borderId="0" xfId="0" applyNumberFormat="1" applyFont="1" applyAlignment="1">
      <alignment vertical="center"/>
    </xf>
    <xf numFmtId="0" fontId="4" fillId="0" borderId="0" xfId="0" applyFont="1"/>
    <xf numFmtId="179" fontId="69" fillId="0" borderId="0" xfId="3281" applyNumberFormat="1" applyFont="1" applyAlignment="1">
      <alignment horizontal="left" vertical="center" wrapText="1"/>
    </xf>
    <xf numFmtId="179" fontId="0" fillId="0" borderId="0" xfId="0" applyNumberFormat="1"/>
    <xf numFmtId="179" fontId="54" fillId="62" borderId="29" xfId="0" applyNumberFormat="1" applyFont="1" applyFill="1" applyBorder="1" applyAlignment="1">
      <alignment horizontal="left" vertical="center"/>
    </xf>
    <xf numFmtId="179" fontId="70" fillId="63" borderId="30" xfId="0" applyNumberFormat="1" applyFont="1" applyFill="1" applyBorder="1" applyAlignment="1">
      <alignment horizontal="left" vertical="center" wrapText="1"/>
    </xf>
    <xf numFmtId="179" fontId="68" fillId="0" borderId="0" xfId="0" applyNumberFormat="1" applyFont="1" applyAlignment="1">
      <alignment vertical="center"/>
    </xf>
    <xf numFmtId="0" fontId="68" fillId="66" borderId="0" xfId="0" applyFont="1" applyFill="1" applyAlignment="1">
      <alignment vertical="center"/>
    </xf>
    <xf numFmtId="0" fontId="68" fillId="66" borderId="0" xfId="0" applyFont="1" applyFill="1" applyAlignment="1">
      <alignment horizontal="center" vertical="center"/>
    </xf>
    <xf numFmtId="0" fontId="0" fillId="67" borderId="0" xfId="0" applyFill="1"/>
    <xf numFmtId="179" fontId="69" fillId="67" borderId="0" xfId="3281" applyNumberFormat="1" applyFont="1" applyFill="1" applyAlignment="1">
      <alignment horizontal="left" vertical="center"/>
    </xf>
    <xf numFmtId="179" fontId="0" fillId="67" borderId="0" xfId="0" applyNumberFormat="1" applyFill="1"/>
    <xf numFmtId="0" fontId="72" fillId="0" borderId="0" xfId="0" applyFont="1"/>
    <xf numFmtId="0" fontId="2" fillId="68" borderId="31" xfId="0" applyFont="1" applyFill="1" applyBorder="1" applyAlignment="1">
      <alignment horizontal="center" vertical="center" wrapText="1"/>
    </xf>
    <xf numFmtId="180" fontId="0" fillId="0" borderId="0" xfId="0" applyNumberFormat="1" applyAlignment="1">
      <alignment horizontal="center"/>
    </xf>
    <xf numFmtId="180" fontId="0" fillId="0" borderId="0" xfId="0" applyNumberFormat="1"/>
    <xf numFmtId="0" fontId="0" fillId="68" borderId="0" xfId="0" applyFill="1"/>
    <xf numFmtId="1" fontId="0" fillId="68" borderId="0" xfId="0" applyNumberFormat="1" applyFill="1"/>
    <xf numFmtId="0" fontId="0" fillId="0" borderId="1" xfId="0" applyBorder="1"/>
    <xf numFmtId="0" fontId="75" fillId="69" borderId="1" xfId="17758" applyFont="1" applyFill="1" applyBorder="1" applyAlignment="1">
      <alignment vertical="center"/>
    </xf>
    <xf numFmtId="0" fontId="75" fillId="69" borderId="8" xfId="17758" applyFont="1" applyFill="1" applyBorder="1" applyAlignment="1">
      <alignment horizontal="center" vertical="center"/>
    </xf>
    <xf numFmtId="0" fontId="75" fillId="69" borderId="33" xfId="17758" applyFont="1" applyFill="1" applyBorder="1" applyAlignment="1">
      <alignment horizontal="center" vertical="center"/>
    </xf>
    <xf numFmtId="0" fontId="0" fillId="70" borderId="0" xfId="0" applyFill="1"/>
    <xf numFmtId="0" fontId="2" fillId="70" borderId="0" xfId="17758" applyFill="1"/>
    <xf numFmtId="0" fontId="0" fillId="73" borderId="0" xfId="0" applyFill="1"/>
    <xf numFmtId="0" fontId="0" fillId="63" borderId="0" xfId="0" applyFill="1"/>
    <xf numFmtId="0" fontId="0" fillId="75" borderId="0" xfId="0" applyFill="1"/>
    <xf numFmtId="179" fontId="0" fillId="63" borderId="0" xfId="0" applyNumberFormat="1" applyFill="1"/>
    <xf numFmtId="0" fontId="0" fillId="76" borderId="0" xfId="0" applyFill="1"/>
    <xf numFmtId="0" fontId="2" fillId="63" borderId="0" xfId="0" applyFont="1" applyFill="1"/>
    <xf numFmtId="0" fontId="0" fillId="0" borderId="0" xfId="0" applyFill="1"/>
    <xf numFmtId="0" fontId="2" fillId="0" borderId="0" xfId="0" applyFont="1"/>
    <xf numFmtId="0" fontId="68" fillId="76" borderId="0" xfId="0" applyFont="1" applyFill="1" applyAlignment="1">
      <alignment vertical="center"/>
    </xf>
    <xf numFmtId="0" fontId="68" fillId="76" borderId="30" xfId="0" applyFont="1" applyFill="1" applyBorder="1" applyAlignment="1">
      <alignment vertical="center"/>
    </xf>
    <xf numFmtId="0" fontId="70" fillId="63" borderId="0" xfId="0" applyFont="1" applyFill="1" applyBorder="1" applyAlignment="1">
      <alignment horizontal="left" vertical="center" wrapText="1"/>
    </xf>
    <xf numFmtId="0" fontId="68" fillId="76" borderId="0" xfId="0" applyFont="1" applyFill="1" applyBorder="1" applyAlignment="1">
      <alignment vertical="center"/>
    </xf>
    <xf numFmtId="0" fontId="68" fillId="77" borderId="0" xfId="0" applyFont="1" applyFill="1" applyBorder="1" applyAlignment="1">
      <alignment vertical="center"/>
    </xf>
    <xf numFmtId="0" fontId="68" fillId="63" borderId="0" xfId="0" applyFont="1" applyFill="1" applyBorder="1" applyAlignment="1">
      <alignment vertical="center"/>
    </xf>
    <xf numFmtId="179" fontId="68" fillId="63" borderId="0" xfId="0" applyNumberFormat="1" applyFont="1" applyFill="1" applyAlignment="1">
      <alignment vertical="center"/>
    </xf>
    <xf numFmtId="179" fontId="68" fillId="75" borderId="0" xfId="0" applyNumberFormat="1" applyFont="1" applyFill="1" applyAlignment="1">
      <alignment vertical="center"/>
    </xf>
    <xf numFmtId="179" fontId="68" fillId="76" borderId="0" xfId="0" applyNumberFormat="1" applyFont="1" applyFill="1" applyAlignment="1">
      <alignment vertical="center"/>
    </xf>
    <xf numFmtId="179" fontId="0" fillId="76" borderId="0" xfId="0" applyNumberFormat="1" applyFill="1"/>
    <xf numFmtId="179" fontId="2" fillId="76" borderId="0" xfId="0" applyNumberFormat="1" applyFont="1" applyFill="1"/>
    <xf numFmtId="179" fontId="2" fillId="63" borderId="0" xfId="0" applyNumberFormat="1" applyFont="1" applyFill="1"/>
    <xf numFmtId="179" fontId="0" fillId="78" borderId="0" xfId="0" applyNumberFormat="1" applyFill="1"/>
    <xf numFmtId="179" fontId="0" fillId="75" borderId="0" xfId="0" applyNumberFormat="1" applyFill="1"/>
    <xf numFmtId="0" fontId="0" fillId="78" borderId="0" xfId="0" applyFill="1"/>
    <xf numFmtId="0" fontId="79" fillId="78" borderId="0" xfId="0" applyFont="1" applyFill="1"/>
    <xf numFmtId="0" fontId="80" fillId="0" borderId="0" xfId="0" applyFont="1" applyAlignment="1">
      <alignment vertical="center"/>
    </xf>
    <xf numFmtId="0" fontId="81" fillId="0" borderId="0" xfId="3281" applyFont="1" applyAlignment="1">
      <alignment horizontal="left" vertical="center" wrapText="1"/>
    </xf>
    <xf numFmtId="0" fontId="82" fillId="62" borderId="29" xfId="0" applyFont="1" applyFill="1" applyBorder="1" applyAlignment="1">
      <alignment horizontal="left" vertical="center"/>
    </xf>
    <xf numFmtId="0" fontId="82" fillId="62" borderId="29" xfId="0" applyFont="1" applyFill="1" applyBorder="1" applyAlignment="1">
      <alignment horizontal="center" vertical="center"/>
    </xf>
    <xf numFmtId="0" fontId="80" fillId="0" borderId="0" xfId="0" applyFont="1" applyAlignment="1">
      <alignment horizontal="center" vertical="center"/>
    </xf>
    <xf numFmtId="0" fontId="80" fillId="66" borderId="0" xfId="0" applyFont="1" applyFill="1" applyAlignment="1">
      <alignment vertical="center"/>
    </xf>
    <xf numFmtId="0" fontId="80" fillId="66" borderId="0" xfId="0" applyFont="1" applyFill="1" applyAlignment="1">
      <alignment horizontal="center" vertical="center"/>
    </xf>
    <xf numFmtId="0" fontId="80" fillId="65" borderId="0" xfId="0" applyFont="1" applyFill="1" applyAlignment="1">
      <alignment vertical="center"/>
    </xf>
    <xf numFmtId="0" fontId="80" fillId="65" borderId="0" xfId="0" applyFont="1" applyFill="1" applyAlignment="1">
      <alignment horizontal="center" vertical="center"/>
    </xf>
    <xf numFmtId="0" fontId="80" fillId="72" borderId="0" xfId="0" applyFont="1" applyFill="1" applyAlignment="1">
      <alignment vertical="center"/>
    </xf>
    <xf numFmtId="0" fontId="80" fillId="64" borderId="0" xfId="0" applyFont="1" applyFill="1" applyAlignment="1">
      <alignment vertical="center"/>
    </xf>
    <xf numFmtId="0" fontId="80" fillId="74" borderId="0" xfId="0" applyFont="1" applyFill="1" applyAlignment="1">
      <alignment vertical="center"/>
    </xf>
    <xf numFmtId="2" fontId="80" fillId="74" borderId="0" xfId="0" applyNumberFormat="1" applyFont="1" applyFill="1" applyAlignment="1">
      <alignment vertical="center"/>
    </xf>
    <xf numFmtId="178" fontId="83" fillId="74" borderId="0" xfId="0" applyNumberFormat="1" applyFont="1" applyFill="1" applyAlignment="1">
      <alignment horizontal="center"/>
    </xf>
    <xf numFmtId="0" fontId="80" fillId="64" borderId="0" xfId="0" applyFont="1" applyFill="1" applyAlignment="1">
      <alignment horizontal="center" vertical="center"/>
    </xf>
    <xf numFmtId="0" fontId="80" fillId="71" borderId="0" xfId="0" applyFont="1" applyFill="1" applyAlignment="1">
      <alignment vertical="center"/>
    </xf>
    <xf numFmtId="180" fontId="80" fillId="74" borderId="0" xfId="0" applyNumberFormat="1" applyFont="1" applyFill="1" applyAlignment="1">
      <alignment vertical="center"/>
    </xf>
    <xf numFmtId="181" fontId="80" fillId="74" borderId="0" xfId="0" applyNumberFormat="1" applyFont="1" applyFill="1" applyAlignment="1">
      <alignment vertical="center"/>
    </xf>
    <xf numFmtId="179" fontId="81" fillId="0" borderId="0" xfId="3281" applyNumberFormat="1" applyFont="1" applyAlignment="1">
      <alignment horizontal="left" vertical="center" wrapText="1"/>
    </xf>
    <xf numFmtId="179" fontId="80" fillId="0" borderId="0" xfId="0" applyNumberFormat="1" applyFont="1" applyAlignment="1">
      <alignment vertical="center"/>
    </xf>
    <xf numFmtId="0" fontId="80" fillId="0" borderId="0" xfId="0" applyFont="1" applyFill="1" applyBorder="1" applyAlignment="1">
      <alignment vertical="center"/>
    </xf>
    <xf numFmtId="179" fontId="82" fillId="62" borderId="29" xfId="0" applyNumberFormat="1" applyFont="1" applyFill="1" applyBorder="1" applyAlignment="1">
      <alignment horizontal="left" vertical="center"/>
    </xf>
    <xf numFmtId="179" fontId="82" fillId="62" borderId="29" xfId="0" applyNumberFormat="1" applyFont="1" applyFill="1" applyBorder="1" applyAlignment="1">
      <alignment horizontal="center" vertical="center"/>
    </xf>
    <xf numFmtId="0" fontId="83" fillId="0" borderId="0" xfId="0" applyFont="1" applyFill="1" applyBorder="1" applyAlignment="1">
      <alignment horizontal="left" vertical="center"/>
    </xf>
    <xf numFmtId="0" fontId="84" fillId="0" borderId="0" xfId="0" applyFont="1" applyFill="1" applyBorder="1" applyAlignment="1">
      <alignment horizontal="left" vertical="center"/>
    </xf>
    <xf numFmtId="179" fontId="80" fillId="0" borderId="0" xfId="0" applyNumberFormat="1" applyFont="1" applyAlignment="1">
      <alignment horizontal="center" vertical="center"/>
    </xf>
    <xf numFmtId="0" fontId="84" fillId="0" borderId="0" xfId="0" applyFont="1" applyFill="1" applyBorder="1" applyAlignment="1">
      <alignment horizontal="left" vertical="center" wrapText="1"/>
    </xf>
    <xf numFmtId="0" fontId="85" fillId="0" borderId="0" xfId="0" applyFont="1" applyFill="1" applyBorder="1" applyAlignment="1">
      <alignment horizontal="right" vertical="center"/>
    </xf>
    <xf numFmtId="0" fontId="86" fillId="0" borderId="0" xfId="0" applyFont="1" applyFill="1" applyBorder="1" applyAlignment="1">
      <alignment vertical="center"/>
    </xf>
    <xf numFmtId="0" fontId="86" fillId="0" borderId="0" xfId="0" applyFont="1" applyFill="1" applyBorder="1" applyAlignment="1">
      <alignment horizontal="right" vertical="center"/>
    </xf>
    <xf numFmtId="180" fontId="80" fillId="0" borderId="0" xfId="0" applyNumberFormat="1" applyFont="1" applyFill="1" applyBorder="1" applyAlignment="1">
      <alignment vertical="center"/>
    </xf>
    <xf numFmtId="0" fontId="80" fillId="73" borderId="0" xfId="0" applyFont="1" applyFill="1" applyAlignment="1">
      <alignment vertical="center"/>
    </xf>
    <xf numFmtId="179" fontId="80" fillId="73" borderId="0" xfId="0" applyNumberFormat="1" applyFont="1" applyFill="1" applyAlignment="1">
      <alignment horizontal="center" vertical="center"/>
    </xf>
    <xf numFmtId="0" fontId="80" fillId="73" borderId="0" xfId="0" applyFont="1" applyFill="1" applyAlignment="1">
      <alignment horizontal="center" vertical="center"/>
    </xf>
    <xf numFmtId="178" fontId="80" fillId="0" borderId="0" xfId="0" applyNumberFormat="1" applyFont="1" applyFill="1" applyBorder="1" applyAlignment="1">
      <alignment vertical="center"/>
    </xf>
    <xf numFmtId="2" fontId="80" fillId="0" borderId="0" xfId="0" applyNumberFormat="1" applyFont="1" applyFill="1" applyBorder="1" applyAlignment="1">
      <alignment vertical="center"/>
    </xf>
    <xf numFmtId="0" fontId="68" fillId="63" borderId="0" xfId="0" applyFont="1" applyFill="1" applyAlignment="1">
      <alignment vertical="center"/>
    </xf>
    <xf numFmtId="0" fontId="68" fillId="75" borderId="0" xfId="0" applyFont="1" applyFill="1" applyAlignment="1">
      <alignment vertical="center"/>
    </xf>
    <xf numFmtId="179" fontId="68" fillId="66" borderId="0" xfId="0" applyNumberFormat="1" applyFont="1" applyFill="1" applyAlignment="1">
      <alignment vertical="center"/>
    </xf>
    <xf numFmtId="2" fontId="68" fillId="66" borderId="0" xfId="0" applyNumberFormat="1" applyFont="1" applyFill="1" applyAlignment="1">
      <alignment vertical="center"/>
    </xf>
    <xf numFmtId="0" fontId="68" fillId="76" borderId="0" xfId="0" applyFont="1" applyFill="1" applyAlignment="1">
      <alignment horizontal="center" vertical="center"/>
    </xf>
    <xf numFmtId="0" fontId="68" fillId="76" borderId="0" xfId="0" applyFont="1" applyFill="1" applyBorder="1" applyAlignment="1">
      <alignment horizontal="center" vertical="center"/>
    </xf>
    <xf numFmtId="0" fontId="68" fillId="76" borderId="30" xfId="0" applyFont="1" applyFill="1" applyBorder="1" applyAlignment="1">
      <alignment horizontal="center" vertical="center"/>
    </xf>
    <xf numFmtId="0" fontId="68" fillId="63" borderId="0" xfId="0" applyFont="1" applyFill="1" applyBorder="1" applyAlignment="1">
      <alignment horizontal="center" vertical="center"/>
    </xf>
    <xf numFmtId="179" fontId="68" fillId="76" borderId="0" xfId="0" applyNumberFormat="1" applyFont="1" applyFill="1" applyBorder="1" applyAlignment="1">
      <alignment vertical="center"/>
    </xf>
    <xf numFmtId="170" fontId="68" fillId="76" borderId="0" xfId="13193" applyNumberFormat="1" applyFont="1" applyFill="1"/>
    <xf numFmtId="170" fontId="68" fillId="75" borderId="0" xfId="13193" applyNumberFormat="1" applyFont="1" applyFill="1"/>
    <xf numFmtId="0" fontId="68" fillId="75" borderId="0" xfId="0" applyFont="1" applyFill="1" applyBorder="1" applyAlignment="1">
      <alignment vertical="center"/>
    </xf>
    <xf numFmtId="170" fontId="68" fillId="75" borderId="0" xfId="13193" applyNumberFormat="1" applyFont="1" applyFill="1" applyBorder="1"/>
    <xf numFmtId="179" fontId="68" fillId="75" borderId="0" xfId="0" applyNumberFormat="1" applyFont="1" applyFill="1" applyBorder="1" applyAlignment="1">
      <alignment vertical="center"/>
    </xf>
    <xf numFmtId="0" fontId="75" fillId="69" borderId="0" xfId="17758" applyFont="1" applyFill="1" applyBorder="1" applyAlignment="1">
      <alignment vertical="center"/>
    </xf>
    <xf numFmtId="0" fontId="75" fillId="69" borderId="0" xfId="17758" applyFont="1" applyFill="1" applyBorder="1" applyAlignment="1">
      <alignment horizontal="center" vertical="center"/>
    </xf>
    <xf numFmtId="0" fontId="2" fillId="63" borderId="0" xfId="17758" applyFill="1"/>
    <xf numFmtId="0" fontId="2" fillId="63" borderId="0" xfId="17758" applyFill="1" applyAlignment="1">
      <alignment horizontal="center"/>
    </xf>
    <xf numFmtId="1" fontId="2" fillId="63" borderId="0" xfId="17758" applyNumberFormat="1" applyFill="1" applyAlignment="1">
      <alignment horizontal="center"/>
    </xf>
    <xf numFmtId="178" fontId="0" fillId="63" borderId="0" xfId="0" applyNumberFormat="1" applyFill="1"/>
    <xf numFmtId="0" fontId="2" fillId="70" borderId="0" xfId="0" applyFont="1" applyFill="1"/>
    <xf numFmtId="0" fontId="76" fillId="76" borderId="0" xfId="0" applyFont="1" applyFill="1"/>
    <xf numFmtId="0" fontId="2" fillId="76" borderId="0" xfId="0" applyFont="1" applyFill="1"/>
    <xf numFmtId="0" fontId="0" fillId="76" borderId="0" xfId="0" applyFill="1" applyAlignment="1">
      <alignment horizontal="center"/>
    </xf>
    <xf numFmtId="2" fontId="0" fillId="76" borderId="0" xfId="0" applyNumberFormat="1" applyFill="1" applyAlignment="1">
      <alignment horizontal="center"/>
    </xf>
    <xf numFmtId="0" fontId="79" fillId="76" borderId="0" xfId="3823" applyFont="1" applyFill="1" applyAlignment="1">
      <alignment horizontal="center"/>
    </xf>
    <xf numFmtId="180" fontId="0" fillId="76" borderId="0" xfId="0" applyNumberFormat="1" applyFill="1" applyAlignment="1">
      <alignment horizontal="center"/>
    </xf>
    <xf numFmtId="1" fontId="0" fillId="76" borderId="0" xfId="0" applyNumberFormat="1" applyFill="1" applyAlignment="1">
      <alignment horizontal="center"/>
    </xf>
    <xf numFmtId="0" fontId="76" fillId="79" borderId="0" xfId="0" applyFont="1" applyFill="1"/>
    <xf numFmtId="0" fontId="0" fillId="79" borderId="0" xfId="0" applyFill="1"/>
    <xf numFmtId="0" fontId="0" fillId="79" borderId="0" xfId="0" applyFill="1" applyAlignment="1">
      <alignment horizontal="center"/>
    </xf>
    <xf numFmtId="0" fontId="79" fillId="79" borderId="0" xfId="3823" applyFont="1" applyFill="1" applyAlignment="1">
      <alignment horizontal="center"/>
    </xf>
    <xf numFmtId="2" fontId="0" fillId="79" borderId="0" xfId="0" applyNumberFormat="1" applyFill="1" applyAlignment="1">
      <alignment horizontal="center"/>
    </xf>
    <xf numFmtId="180" fontId="0" fillId="79" borderId="0" xfId="0" applyNumberFormat="1" applyFill="1" applyAlignment="1">
      <alignment horizontal="center"/>
    </xf>
    <xf numFmtId="0" fontId="2" fillId="79" borderId="0" xfId="17758" applyFill="1"/>
    <xf numFmtId="0" fontId="2" fillId="79" borderId="0" xfId="17758" applyFill="1" applyAlignment="1">
      <alignment horizontal="center"/>
    </xf>
    <xf numFmtId="2" fontId="2" fillId="79" borderId="0" xfId="17758" applyNumberFormat="1" applyFill="1" applyAlignment="1">
      <alignment horizontal="center"/>
    </xf>
    <xf numFmtId="178" fontId="2" fillId="79" borderId="0" xfId="17758" applyNumberFormat="1" applyFill="1" applyAlignment="1">
      <alignment horizontal="center"/>
    </xf>
    <xf numFmtId="1" fontId="2" fillId="79" borderId="0" xfId="17758" applyNumberFormat="1" applyFill="1" applyAlignment="1">
      <alignment horizontal="center"/>
    </xf>
    <xf numFmtId="178" fontId="0" fillId="79" borderId="0" xfId="0" applyNumberFormat="1" applyFill="1" applyAlignment="1">
      <alignment horizontal="center"/>
    </xf>
    <xf numFmtId="178" fontId="0" fillId="79" borderId="0" xfId="0" applyNumberFormat="1" applyFill="1"/>
    <xf numFmtId="0" fontId="2" fillId="0" borderId="0" xfId="17758" applyFill="1"/>
    <xf numFmtId="0" fontId="2" fillId="0" borderId="0" xfId="17758" applyFill="1" applyAlignment="1">
      <alignment horizontal="center"/>
    </xf>
    <xf numFmtId="1" fontId="2" fillId="0" borderId="0" xfId="17758" applyNumberFormat="1" applyFill="1" applyAlignment="1">
      <alignment horizontal="center"/>
    </xf>
    <xf numFmtId="178" fontId="0" fillId="0" borderId="0" xfId="0" applyNumberFormat="1" applyFill="1"/>
    <xf numFmtId="0" fontId="2" fillId="79" borderId="0" xfId="0" applyFont="1" applyFill="1"/>
    <xf numFmtId="0" fontId="2" fillId="68" borderId="0" xfId="0" applyFont="1" applyFill="1" applyBorder="1" applyAlignment="1">
      <alignment horizontal="center" vertical="center" wrapText="1"/>
    </xf>
    <xf numFmtId="0" fontId="83" fillId="67" borderId="0" xfId="0" applyFont="1" applyFill="1"/>
    <xf numFmtId="0" fontId="87" fillId="67" borderId="0" xfId="3281" applyFont="1" applyFill="1" applyAlignment="1">
      <alignment horizontal="left" vertical="center"/>
    </xf>
    <xf numFmtId="0" fontId="88" fillId="62" borderId="29" xfId="0" applyFont="1" applyFill="1" applyBorder="1" applyAlignment="1">
      <alignment horizontal="left" vertical="center"/>
    </xf>
    <xf numFmtId="0" fontId="88" fillId="62" borderId="29" xfId="0" applyFont="1" applyFill="1" applyBorder="1" applyAlignment="1">
      <alignment horizontal="center" vertical="center"/>
    </xf>
    <xf numFmtId="0" fontId="88" fillId="62" borderId="0" xfId="0" applyFont="1" applyFill="1" applyBorder="1" applyAlignment="1">
      <alignment horizontal="center" vertical="center"/>
    </xf>
    <xf numFmtId="0" fontId="89" fillId="63" borderId="30" xfId="0" applyFont="1" applyFill="1" applyBorder="1" applyAlignment="1">
      <alignment horizontal="left" vertical="center" wrapText="1"/>
    </xf>
    <xf numFmtId="0" fontId="89" fillId="63" borderId="30" xfId="0" applyFont="1" applyFill="1" applyBorder="1" applyAlignment="1">
      <alignment horizontal="center" vertical="center" wrapText="1"/>
    </xf>
    <xf numFmtId="0" fontId="89" fillId="66" borderId="0" xfId="0" applyFont="1" applyFill="1" applyBorder="1" applyAlignment="1">
      <alignment horizontal="left" vertical="center" wrapText="1"/>
    </xf>
    <xf numFmtId="0" fontId="89" fillId="66" borderId="0" xfId="0" applyFont="1" applyFill="1" applyBorder="1" applyAlignment="1">
      <alignment horizontal="center" vertical="center" wrapText="1"/>
    </xf>
    <xf numFmtId="0" fontId="83" fillId="76" borderId="0" xfId="0" applyFont="1" applyFill="1"/>
    <xf numFmtId="0" fontId="83" fillId="76" borderId="0" xfId="0" applyFont="1" applyFill="1" applyAlignment="1">
      <alignment horizontal="center"/>
    </xf>
    <xf numFmtId="2" fontId="83" fillId="76" borderId="0" xfId="0" applyNumberFormat="1" applyFont="1" applyFill="1" applyAlignment="1">
      <alignment horizontal="center"/>
    </xf>
    <xf numFmtId="0" fontId="90" fillId="76" borderId="0" xfId="3823" applyFont="1" applyFill="1" applyAlignment="1">
      <alignment horizontal="center"/>
    </xf>
    <xf numFmtId="0" fontId="71" fillId="66" borderId="0" xfId="0" applyFont="1" applyFill="1" applyAlignment="1">
      <alignment vertical="center"/>
    </xf>
    <xf numFmtId="179" fontId="2" fillId="67" borderId="0" xfId="0" applyNumberFormat="1" applyFont="1" applyFill="1"/>
    <xf numFmtId="0" fontId="91" fillId="0" borderId="0" xfId="0" applyFont="1" applyFill="1" applyBorder="1" applyAlignment="1">
      <alignment horizontal="left" vertical="center"/>
    </xf>
    <xf numFmtId="0" fontId="91" fillId="0" borderId="0" xfId="0" applyFont="1" applyFill="1" applyBorder="1" applyAlignment="1">
      <alignment horizontal="right" vertical="center"/>
    </xf>
    <xf numFmtId="1" fontId="91" fillId="0" borderId="0" xfId="0" applyNumberFormat="1" applyFont="1" applyFill="1" applyBorder="1" applyAlignment="1">
      <alignment horizontal="right" vertical="center"/>
    </xf>
    <xf numFmtId="0" fontId="67" fillId="0" borderId="0" xfId="13193"/>
    <xf numFmtId="2" fontId="91" fillId="0" borderId="0" xfId="0" applyNumberFormat="1" applyFont="1" applyFill="1" applyBorder="1" applyAlignment="1">
      <alignment horizontal="right" vertical="center"/>
    </xf>
    <xf numFmtId="0" fontId="93" fillId="0" borderId="0" xfId="0" applyFont="1" applyFill="1" applyBorder="1" applyAlignment="1">
      <alignment horizontal="right" vertical="center"/>
    </xf>
    <xf numFmtId="0" fontId="80" fillId="80" borderId="0" xfId="0" applyFont="1" applyFill="1" applyAlignment="1">
      <alignment vertical="center"/>
    </xf>
    <xf numFmtId="181" fontId="92" fillId="80" borderId="0" xfId="0" applyNumberFormat="1" applyFont="1" applyFill="1" applyAlignment="1">
      <alignment vertical="center"/>
    </xf>
    <xf numFmtId="178" fontId="83" fillId="80" borderId="0" xfId="0" applyNumberFormat="1" applyFont="1" applyFill="1" applyAlignment="1">
      <alignment horizontal="center"/>
    </xf>
    <xf numFmtId="0" fontId="80" fillId="80" borderId="0" xfId="0" applyFont="1" applyFill="1" applyAlignment="1">
      <alignment horizontal="center" vertical="center"/>
    </xf>
    <xf numFmtId="2" fontId="80" fillId="80" borderId="0" xfId="0" applyNumberFormat="1" applyFont="1" applyFill="1" applyAlignment="1">
      <alignment vertical="center"/>
    </xf>
    <xf numFmtId="181" fontId="80" fillId="80" borderId="0" xfId="0" applyNumberFormat="1" applyFont="1" applyFill="1" applyAlignment="1">
      <alignment vertical="center"/>
    </xf>
    <xf numFmtId="180" fontId="80" fillId="80" borderId="0" xfId="0" applyNumberFormat="1" applyFont="1" applyFill="1" applyAlignment="1">
      <alignment vertical="center"/>
    </xf>
    <xf numFmtId="178" fontId="80" fillId="80" borderId="0" xfId="0" applyNumberFormat="1" applyFont="1" applyFill="1" applyAlignment="1">
      <alignment vertical="center"/>
    </xf>
    <xf numFmtId="1" fontId="80" fillId="80" borderId="0" xfId="0" applyNumberFormat="1" applyFont="1" applyFill="1" applyAlignment="1">
      <alignment vertical="center"/>
    </xf>
  </cellXfs>
  <cellStyles count="17787">
    <cellStyle name="???????" xfId="1" xr:uid="{00000000-0005-0000-0000-000000000000}"/>
    <cellStyle name="20% - Accent1" xfId="2" builtinId="30" customBuiltin="1"/>
    <cellStyle name="20% - Accent1 10" xfId="3" xr:uid="{00000000-0005-0000-0000-000002000000}"/>
    <cellStyle name="20% - Accent1 10 2" xfId="4" xr:uid="{00000000-0005-0000-0000-000003000000}"/>
    <cellStyle name="20% - Accent1 11" xfId="5" xr:uid="{00000000-0005-0000-0000-000004000000}"/>
    <cellStyle name="20% - Accent1 11 2" xfId="6" xr:uid="{00000000-0005-0000-0000-000005000000}"/>
    <cellStyle name="20% - Accent1 12" xfId="7" xr:uid="{00000000-0005-0000-0000-000006000000}"/>
    <cellStyle name="20% - Accent1 13" xfId="8" xr:uid="{00000000-0005-0000-0000-000007000000}"/>
    <cellStyle name="20% - Accent1 14" xfId="9" xr:uid="{00000000-0005-0000-0000-000008000000}"/>
    <cellStyle name="20% - Accent1 15" xfId="10" xr:uid="{00000000-0005-0000-0000-000009000000}"/>
    <cellStyle name="20% - Accent1 16" xfId="11" xr:uid="{00000000-0005-0000-0000-00000A000000}"/>
    <cellStyle name="20% - Accent1 17" xfId="12" xr:uid="{00000000-0005-0000-0000-00000B000000}"/>
    <cellStyle name="20% - Accent1 18" xfId="13" xr:uid="{00000000-0005-0000-0000-00000C000000}"/>
    <cellStyle name="20% - Accent1 19" xfId="14" xr:uid="{00000000-0005-0000-0000-00000D000000}"/>
    <cellStyle name="20% - Accent1 2" xfId="15" xr:uid="{00000000-0005-0000-0000-00000E000000}"/>
    <cellStyle name="20% - Accent1 2 10" xfId="16" xr:uid="{00000000-0005-0000-0000-00000F000000}"/>
    <cellStyle name="20% - Accent1 2 11" xfId="17" xr:uid="{00000000-0005-0000-0000-000010000000}"/>
    <cellStyle name="20% - Accent1 2 12" xfId="18" xr:uid="{00000000-0005-0000-0000-000011000000}"/>
    <cellStyle name="20% - Accent1 2 13" xfId="19" xr:uid="{00000000-0005-0000-0000-000012000000}"/>
    <cellStyle name="20% - Accent1 2 14" xfId="20" xr:uid="{00000000-0005-0000-0000-000013000000}"/>
    <cellStyle name="20% - Accent1 2 15" xfId="21" xr:uid="{00000000-0005-0000-0000-000014000000}"/>
    <cellStyle name="20% - Accent1 2 16" xfId="22" xr:uid="{00000000-0005-0000-0000-000015000000}"/>
    <cellStyle name="20% - Accent1 2 2" xfId="23" xr:uid="{00000000-0005-0000-0000-000016000000}"/>
    <cellStyle name="20% - Accent1 2 2 2" xfId="24" xr:uid="{00000000-0005-0000-0000-000017000000}"/>
    <cellStyle name="20% - Accent1 2 3" xfId="25" xr:uid="{00000000-0005-0000-0000-000018000000}"/>
    <cellStyle name="20% - Accent1 2 3 2" xfId="26" xr:uid="{00000000-0005-0000-0000-000019000000}"/>
    <cellStyle name="20% - Accent1 2 4" xfId="27" xr:uid="{00000000-0005-0000-0000-00001A000000}"/>
    <cellStyle name="20% - Accent1 2 5" xfId="28" xr:uid="{00000000-0005-0000-0000-00001B000000}"/>
    <cellStyle name="20% - Accent1 2 6" xfId="29" xr:uid="{00000000-0005-0000-0000-00001C000000}"/>
    <cellStyle name="20% - Accent1 2 7" xfId="30" xr:uid="{00000000-0005-0000-0000-00001D000000}"/>
    <cellStyle name="20% - Accent1 2 8" xfId="31" xr:uid="{00000000-0005-0000-0000-00001E000000}"/>
    <cellStyle name="20% - Accent1 2 9" xfId="32" xr:uid="{00000000-0005-0000-0000-00001F000000}"/>
    <cellStyle name="20% - Accent1 20" xfId="33" xr:uid="{00000000-0005-0000-0000-000020000000}"/>
    <cellStyle name="20% - Accent1 21" xfId="34" xr:uid="{00000000-0005-0000-0000-000021000000}"/>
    <cellStyle name="20% - Accent1 22" xfId="35" xr:uid="{00000000-0005-0000-0000-000022000000}"/>
    <cellStyle name="20% - Accent1 23" xfId="36" xr:uid="{00000000-0005-0000-0000-000023000000}"/>
    <cellStyle name="20% - Accent1 24" xfId="37" xr:uid="{00000000-0005-0000-0000-000024000000}"/>
    <cellStyle name="20% - Accent1 25" xfId="38" xr:uid="{00000000-0005-0000-0000-000025000000}"/>
    <cellStyle name="20% - Accent1 26" xfId="39" xr:uid="{00000000-0005-0000-0000-000026000000}"/>
    <cellStyle name="20% - Accent1 27" xfId="40" xr:uid="{00000000-0005-0000-0000-000027000000}"/>
    <cellStyle name="20% - Accent1 28" xfId="41" xr:uid="{00000000-0005-0000-0000-000028000000}"/>
    <cellStyle name="20% - Accent1 29" xfId="42" xr:uid="{00000000-0005-0000-0000-000029000000}"/>
    <cellStyle name="20% - Accent1 3" xfId="43" xr:uid="{00000000-0005-0000-0000-00002A000000}"/>
    <cellStyle name="20% - Accent1 3 2" xfId="44" xr:uid="{00000000-0005-0000-0000-00002B000000}"/>
    <cellStyle name="20% - Accent1 3 3" xfId="45" xr:uid="{00000000-0005-0000-0000-00002C000000}"/>
    <cellStyle name="20% - Accent1 3 4" xfId="46" xr:uid="{00000000-0005-0000-0000-00002D000000}"/>
    <cellStyle name="20% - Accent1 30" xfId="47" xr:uid="{00000000-0005-0000-0000-00002E000000}"/>
    <cellStyle name="20% - Accent1 31" xfId="48" xr:uid="{00000000-0005-0000-0000-00002F000000}"/>
    <cellStyle name="20% - Accent1 32" xfId="49" xr:uid="{00000000-0005-0000-0000-000030000000}"/>
    <cellStyle name="20% - Accent1 33" xfId="50" xr:uid="{00000000-0005-0000-0000-000031000000}"/>
    <cellStyle name="20% - Accent1 34" xfId="51" xr:uid="{00000000-0005-0000-0000-000032000000}"/>
    <cellStyle name="20% - Accent1 35" xfId="52" xr:uid="{00000000-0005-0000-0000-000033000000}"/>
    <cellStyle name="20% - Accent1 36" xfId="53" xr:uid="{00000000-0005-0000-0000-000034000000}"/>
    <cellStyle name="20% - Accent1 37" xfId="54" xr:uid="{00000000-0005-0000-0000-000035000000}"/>
    <cellStyle name="20% - Accent1 38" xfId="55" xr:uid="{00000000-0005-0000-0000-000036000000}"/>
    <cellStyle name="20% - Accent1 39" xfId="56" xr:uid="{00000000-0005-0000-0000-000037000000}"/>
    <cellStyle name="20% - Accent1 4" xfId="57" xr:uid="{00000000-0005-0000-0000-000038000000}"/>
    <cellStyle name="20% - Accent1 4 2" xfId="58" xr:uid="{00000000-0005-0000-0000-000039000000}"/>
    <cellStyle name="20% - Accent1 4 3" xfId="59" xr:uid="{00000000-0005-0000-0000-00003A000000}"/>
    <cellStyle name="20% - Accent1 40" xfId="60" xr:uid="{00000000-0005-0000-0000-00003B000000}"/>
    <cellStyle name="20% - Accent1 41" xfId="61" xr:uid="{00000000-0005-0000-0000-00003C000000}"/>
    <cellStyle name="20% - Accent1 42" xfId="62" xr:uid="{00000000-0005-0000-0000-00003D000000}"/>
    <cellStyle name="20% - Accent1 43" xfId="63" xr:uid="{00000000-0005-0000-0000-00003E000000}"/>
    <cellStyle name="20% - Accent1 5" xfId="64" xr:uid="{00000000-0005-0000-0000-00003F000000}"/>
    <cellStyle name="20% - Accent1 5 2" xfId="65" xr:uid="{00000000-0005-0000-0000-000040000000}"/>
    <cellStyle name="20% - Accent1 5 3" xfId="66" xr:uid="{00000000-0005-0000-0000-000041000000}"/>
    <cellStyle name="20% - Accent1 6" xfId="67" xr:uid="{00000000-0005-0000-0000-000042000000}"/>
    <cellStyle name="20% - Accent1 6 2" xfId="68" xr:uid="{00000000-0005-0000-0000-000043000000}"/>
    <cellStyle name="20% - Accent1 6 3" xfId="69" xr:uid="{00000000-0005-0000-0000-000044000000}"/>
    <cellStyle name="20% - Accent1 7" xfId="70" xr:uid="{00000000-0005-0000-0000-000045000000}"/>
    <cellStyle name="20% - Accent1 7 2" xfId="71" xr:uid="{00000000-0005-0000-0000-000046000000}"/>
    <cellStyle name="20% - Accent1 7 3" xfId="72" xr:uid="{00000000-0005-0000-0000-000047000000}"/>
    <cellStyle name="20% - Accent1 8" xfId="73" xr:uid="{00000000-0005-0000-0000-000048000000}"/>
    <cellStyle name="20% - Accent1 8 2" xfId="74" xr:uid="{00000000-0005-0000-0000-000049000000}"/>
    <cellStyle name="20% - Accent1 8 3" xfId="75" xr:uid="{00000000-0005-0000-0000-00004A000000}"/>
    <cellStyle name="20% - Accent1 9" xfId="76" xr:uid="{00000000-0005-0000-0000-00004B000000}"/>
    <cellStyle name="20% - Accent1 9 2" xfId="77" xr:uid="{00000000-0005-0000-0000-00004C000000}"/>
    <cellStyle name="20% - Accent2" xfId="78" builtinId="34" customBuiltin="1"/>
    <cellStyle name="20% - Accent2 10" xfId="79" xr:uid="{00000000-0005-0000-0000-00004E000000}"/>
    <cellStyle name="20% - Accent2 10 2" xfId="80" xr:uid="{00000000-0005-0000-0000-00004F000000}"/>
    <cellStyle name="20% - Accent2 11" xfId="81" xr:uid="{00000000-0005-0000-0000-000050000000}"/>
    <cellStyle name="20% - Accent2 11 2" xfId="82" xr:uid="{00000000-0005-0000-0000-000051000000}"/>
    <cellStyle name="20% - Accent2 12" xfId="83" xr:uid="{00000000-0005-0000-0000-000052000000}"/>
    <cellStyle name="20% - Accent2 13" xfId="84" xr:uid="{00000000-0005-0000-0000-000053000000}"/>
    <cellStyle name="20% - Accent2 14" xfId="85" xr:uid="{00000000-0005-0000-0000-000054000000}"/>
    <cellStyle name="20% - Accent2 15" xfId="86" xr:uid="{00000000-0005-0000-0000-000055000000}"/>
    <cellStyle name="20% - Accent2 16" xfId="87" xr:uid="{00000000-0005-0000-0000-000056000000}"/>
    <cellStyle name="20% - Accent2 17" xfId="88" xr:uid="{00000000-0005-0000-0000-000057000000}"/>
    <cellStyle name="20% - Accent2 18" xfId="89" xr:uid="{00000000-0005-0000-0000-000058000000}"/>
    <cellStyle name="20% - Accent2 19" xfId="90" xr:uid="{00000000-0005-0000-0000-000059000000}"/>
    <cellStyle name="20% - Accent2 2" xfId="91" xr:uid="{00000000-0005-0000-0000-00005A000000}"/>
    <cellStyle name="20% - Accent2 2 10" xfId="92" xr:uid="{00000000-0005-0000-0000-00005B000000}"/>
    <cellStyle name="20% - Accent2 2 11" xfId="93" xr:uid="{00000000-0005-0000-0000-00005C000000}"/>
    <cellStyle name="20% - Accent2 2 12" xfId="94" xr:uid="{00000000-0005-0000-0000-00005D000000}"/>
    <cellStyle name="20% - Accent2 2 13" xfId="95" xr:uid="{00000000-0005-0000-0000-00005E000000}"/>
    <cellStyle name="20% - Accent2 2 14" xfId="96" xr:uid="{00000000-0005-0000-0000-00005F000000}"/>
    <cellStyle name="20% - Accent2 2 15" xfId="97" xr:uid="{00000000-0005-0000-0000-000060000000}"/>
    <cellStyle name="20% - Accent2 2 16" xfId="98" xr:uid="{00000000-0005-0000-0000-000061000000}"/>
    <cellStyle name="20% - Accent2 2 2" xfId="99" xr:uid="{00000000-0005-0000-0000-000062000000}"/>
    <cellStyle name="20% - Accent2 2 2 2" xfId="100" xr:uid="{00000000-0005-0000-0000-000063000000}"/>
    <cellStyle name="20% - Accent2 2 3" xfId="101" xr:uid="{00000000-0005-0000-0000-000064000000}"/>
    <cellStyle name="20% - Accent2 2 3 2" xfId="102" xr:uid="{00000000-0005-0000-0000-000065000000}"/>
    <cellStyle name="20% - Accent2 2 4" xfId="103" xr:uid="{00000000-0005-0000-0000-000066000000}"/>
    <cellStyle name="20% - Accent2 2 5" xfId="104" xr:uid="{00000000-0005-0000-0000-000067000000}"/>
    <cellStyle name="20% - Accent2 2 6" xfId="105" xr:uid="{00000000-0005-0000-0000-000068000000}"/>
    <cellStyle name="20% - Accent2 2 7" xfId="106" xr:uid="{00000000-0005-0000-0000-000069000000}"/>
    <cellStyle name="20% - Accent2 2 8" xfId="107" xr:uid="{00000000-0005-0000-0000-00006A000000}"/>
    <cellStyle name="20% - Accent2 2 9" xfId="108" xr:uid="{00000000-0005-0000-0000-00006B000000}"/>
    <cellStyle name="20% - Accent2 20" xfId="109" xr:uid="{00000000-0005-0000-0000-00006C000000}"/>
    <cellStyle name="20% - Accent2 21" xfId="110" xr:uid="{00000000-0005-0000-0000-00006D000000}"/>
    <cellStyle name="20% - Accent2 22" xfId="111" xr:uid="{00000000-0005-0000-0000-00006E000000}"/>
    <cellStyle name="20% - Accent2 23" xfId="112" xr:uid="{00000000-0005-0000-0000-00006F000000}"/>
    <cellStyle name="20% - Accent2 24" xfId="113" xr:uid="{00000000-0005-0000-0000-000070000000}"/>
    <cellStyle name="20% - Accent2 25" xfId="114" xr:uid="{00000000-0005-0000-0000-000071000000}"/>
    <cellStyle name="20% - Accent2 26" xfId="115" xr:uid="{00000000-0005-0000-0000-000072000000}"/>
    <cellStyle name="20% - Accent2 27" xfId="116" xr:uid="{00000000-0005-0000-0000-000073000000}"/>
    <cellStyle name="20% - Accent2 28" xfId="117" xr:uid="{00000000-0005-0000-0000-000074000000}"/>
    <cellStyle name="20% - Accent2 29" xfId="118" xr:uid="{00000000-0005-0000-0000-000075000000}"/>
    <cellStyle name="20% - Accent2 3" xfId="119" xr:uid="{00000000-0005-0000-0000-000076000000}"/>
    <cellStyle name="20% - Accent2 3 2" xfId="120" xr:uid="{00000000-0005-0000-0000-000077000000}"/>
    <cellStyle name="20% - Accent2 3 3" xfId="121" xr:uid="{00000000-0005-0000-0000-000078000000}"/>
    <cellStyle name="20% - Accent2 3 4" xfId="122" xr:uid="{00000000-0005-0000-0000-000079000000}"/>
    <cellStyle name="20% - Accent2 30" xfId="123" xr:uid="{00000000-0005-0000-0000-00007A000000}"/>
    <cellStyle name="20% - Accent2 31" xfId="124" xr:uid="{00000000-0005-0000-0000-00007B000000}"/>
    <cellStyle name="20% - Accent2 32" xfId="125" xr:uid="{00000000-0005-0000-0000-00007C000000}"/>
    <cellStyle name="20% - Accent2 33" xfId="126" xr:uid="{00000000-0005-0000-0000-00007D000000}"/>
    <cellStyle name="20% - Accent2 34" xfId="127" xr:uid="{00000000-0005-0000-0000-00007E000000}"/>
    <cellStyle name="20% - Accent2 35" xfId="128" xr:uid="{00000000-0005-0000-0000-00007F000000}"/>
    <cellStyle name="20% - Accent2 36" xfId="129" xr:uid="{00000000-0005-0000-0000-000080000000}"/>
    <cellStyle name="20% - Accent2 37" xfId="130" xr:uid="{00000000-0005-0000-0000-000081000000}"/>
    <cellStyle name="20% - Accent2 38" xfId="131" xr:uid="{00000000-0005-0000-0000-000082000000}"/>
    <cellStyle name="20% - Accent2 39" xfId="132" xr:uid="{00000000-0005-0000-0000-000083000000}"/>
    <cellStyle name="20% - Accent2 4" xfId="133" xr:uid="{00000000-0005-0000-0000-000084000000}"/>
    <cellStyle name="20% - Accent2 4 2" xfId="134" xr:uid="{00000000-0005-0000-0000-000085000000}"/>
    <cellStyle name="20% - Accent2 4 3" xfId="135" xr:uid="{00000000-0005-0000-0000-000086000000}"/>
    <cellStyle name="20% - Accent2 40" xfId="136" xr:uid="{00000000-0005-0000-0000-000087000000}"/>
    <cellStyle name="20% - Accent2 41" xfId="137" xr:uid="{00000000-0005-0000-0000-000088000000}"/>
    <cellStyle name="20% - Accent2 42" xfId="138" xr:uid="{00000000-0005-0000-0000-000089000000}"/>
    <cellStyle name="20% - Accent2 43" xfId="139" xr:uid="{00000000-0005-0000-0000-00008A000000}"/>
    <cellStyle name="20% - Accent2 5" xfId="140" xr:uid="{00000000-0005-0000-0000-00008B000000}"/>
    <cellStyle name="20% - Accent2 5 2" xfId="141" xr:uid="{00000000-0005-0000-0000-00008C000000}"/>
    <cellStyle name="20% - Accent2 5 3" xfId="142" xr:uid="{00000000-0005-0000-0000-00008D000000}"/>
    <cellStyle name="20% - Accent2 6" xfId="143" xr:uid="{00000000-0005-0000-0000-00008E000000}"/>
    <cellStyle name="20% - Accent2 6 2" xfId="144" xr:uid="{00000000-0005-0000-0000-00008F000000}"/>
    <cellStyle name="20% - Accent2 6 3" xfId="145" xr:uid="{00000000-0005-0000-0000-000090000000}"/>
    <cellStyle name="20% - Accent2 7" xfId="146" xr:uid="{00000000-0005-0000-0000-000091000000}"/>
    <cellStyle name="20% - Accent2 7 2" xfId="147" xr:uid="{00000000-0005-0000-0000-000092000000}"/>
    <cellStyle name="20% - Accent2 7 3" xfId="148" xr:uid="{00000000-0005-0000-0000-000093000000}"/>
    <cellStyle name="20% - Accent2 8" xfId="149" xr:uid="{00000000-0005-0000-0000-000094000000}"/>
    <cellStyle name="20% - Accent2 8 2" xfId="150" xr:uid="{00000000-0005-0000-0000-000095000000}"/>
    <cellStyle name="20% - Accent2 8 3" xfId="151" xr:uid="{00000000-0005-0000-0000-000096000000}"/>
    <cellStyle name="20% - Accent2 9" xfId="152" xr:uid="{00000000-0005-0000-0000-000097000000}"/>
    <cellStyle name="20% - Accent2 9 2" xfId="153" xr:uid="{00000000-0005-0000-0000-000098000000}"/>
    <cellStyle name="20% - Accent3" xfId="154" builtinId="38" customBuiltin="1"/>
    <cellStyle name="20% - Accent3 10" xfId="155" xr:uid="{00000000-0005-0000-0000-00009A000000}"/>
    <cellStyle name="20% - Accent3 10 2" xfId="156" xr:uid="{00000000-0005-0000-0000-00009B000000}"/>
    <cellStyle name="20% - Accent3 11" xfId="157" xr:uid="{00000000-0005-0000-0000-00009C000000}"/>
    <cellStyle name="20% - Accent3 11 2" xfId="158" xr:uid="{00000000-0005-0000-0000-00009D000000}"/>
    <cellStyle name="20% - Accent3 12" xfId="159" xr:uid="{00000000-0005-0000-0000-00009E000000}"/>
    <cellStyle name="20% - Accent3 13" xfId="160" xr:uid="{00000000-0005-0000-0000-00009F000000}"/>
    <cellStyle name="20% - Accent3 14" xfId="161" xr:uid="{00000000-0005-0000-0000-0000A0000000}"/>
    <cellStyle name="20% - Accent3 15" xfId="162" xr:uid="{00000000-0005-0000-0000-0000A1000000}"/>
    <cellStyle name="20% - Accent3 16" xfId="163" xr:uid="{00000000-0005-0000-0000-0000A2000000}"/>
    <cellStyle name="20% - Accent3 17" xfId="164" xr:uid="{00000000-0005-0000-0000-0000A3000000}"/>
    <cellStyle name="20% - Accent3 18" xfId="165" xr:uid="{00000000-0005-0000-0000-0000A4000000}"/>
    <cellStyle name="20% - Accent3 19" xfId="166" xr:uid="{00000000-0005-0000-0000-0000A5000000}"/>
    <cellStyle name="20% - Accent3 2" xfId="167" xr:uid="{00000000-0005-0000-0000-0000A6000000}"/>
    <cellStyle name="20% - Accent3 2 10" xfId="168" xr:uid="{00000000-0005-0000-0000-0000A7000000}"/>
    <cellStyle name="20% - Accent3 2 11" xfId="169" xr:uid="{00000000-0005-0000-0000-0000A8000000}"/>
    <cellStyle name="20% - Accent3 2 12" xfId="170" xr:uid="{00000000-0005-0000-0000-0000A9000000}"/>
    <cellStyle name="20% - Accent3 2 13" xfId="171" xr:uid="{00000000-0005-0000-0000-0000AA000000}"/>
    <cellStyle name="20% - Accent3 2 14" xfId="172" xr:uid="{00000000-0005-0000-0000-0000AB000000}"/>
    <cellStyle name="20% - Accent3 2 15" xfId="173" xr:uid="{00000000-0005-0000-0000-0000AC000000}"/>
    <cellStyle name="20% - Accent3 2 16" xfId="174" xr:uid="{00000000-0005-0000-0000-0000AD000000}"/>
    <cellStyle name="20% - Accent3 2 2" xfId="175" xr:uid="{00000000-0005-0000-0000-0000AE000000}"/>
    <cellStyle name="20% - Accent3 2 2 2" xfId="176" xr:uid="{00000000-0005-0000-0000-0000AF000000}"/>
    <cellStyle name="20% - Accent3 2 3" xfId="177" xr:uid="{00000000-0005-0000-0000-0000B0000000}"/>
    <cellStyle name="20% - Accent3 2 3 2" xfId="178" xr:uid="{00000000-0005-0000-0000-0000B1000000}"/>
    <cellStyle name="20% - Accent3 2 4" xfId="179" xr:uid="{00000000-0005-0000-0000-0000B2000000}"/>
    <cellStyle name="20% - Accent3 2 5" xfId="180" xr:uid="{00000000-0005-0000-0000-0000B3000000}"/>
    <cellStyle name="20% - Accent3 2 6" xfId="181" xr:uid="{00000000-0005-0000-0000-0000B4000000}"/>
    <cellStyle name="20% - Accent3 2 7" xfId="182" xr:uid="{00000000-0005-0000-0000-0000B5000000}"/>
    <cellStyle name="20% - Accent3 2 8" xfId="183" xr:uid="{00000000-0005-0000-0000-0000B6000000}"/>
    <cellStyle name="20% - Accent3 2 9" xfId="184" xr:uid="{00000000-0005-0000-0000-0000B7000000}"/>
    <cellStyle name="20% - Accent3 20" xfId="185" xr:uid="{00000000-0005-0000-0000-0000B8000000}"/>
    <cellStyle name="20% - Accent3 21" xfId="186" xr:uid="{00000000-0005-0000-0000-0000B9000000}"/>
    <cellStyle name="20% - Accent3 22" xfId="187" xr:uid="{00000000-0005-0000-0000-0000BA000000}"/>
    <cellStyle name="20% - Accent3 23" xfId="188" xr:uid="{00000000-0005-0000-0000-0000BB000000}"/>
    <cellStyle name="20% - Accent3 24" xfId="189" xr:uid="{00000000-0005-0000-0000-0000BC000000}"/>
    <cellStyle name="20% - Accent3 25" xfId="190" xr:uid="{00000000-0005-0000-0000-0000BD000000}"/>
    <cellStyle name="20% - Accent3 26" xfId="191" xr:uid="{00000000-0005-0000-0000-0000BE000000}"/>
    <cellStyle name="20% - Accent3 27" xfId="192" xr:uid="{00000000-0005-0000-0000-0000BF000000}"/>
    <cellStyle name="20% - Accent3 28" xfId="193" xr:uid="{00000000-0005-0000-0000-0000C0000000}"/>
    <cellStyle name="20% - Accent3 29" xfId="194" xr:uid="{00000000-0005-0000-0000-0000C1000000}"/>
    <cellStyle name="20% - Accent3 3" xfId="195" xr:uid="{00000000-0005-0000-0000-0000C2000000}"/>
    <cellStyle name="20% - Accent3 3 2" xfId="196" xr:uid="{00000000-0005-0000-0000-0000C3000000}"/>
    <cellStyle name="20% - Accent3 3 3" xfId="197" xr:uid="{00000000-0005-0000-0000-0000C4000000}"/>
    <cellStyle name="20% - Accent3 3 4" xfId="198" xr:uid="{00000000-0005-0000-0000-0000C5000000}"/>
    <cellStyle name="20% - Accent3 30" xfId="199" xr:uid="{00000000-0005-0000-0000-0000C6000000}"/>
    <cellStyle name="20% - Accent3 31" xfId="200" xr:uid="{00000000-0005-0000-0000-0000C7000000}"/>
    <cellStyle name="20% - Accent3 32" xfId="201" xr:uid="{00000000-0005-0000-0000-0000C8000000}"/>
    <cellStyle name="20% - Accent3 33" xfId="202" xr:uid="{00000000-0005-0000-0000-0000C9000000}"/>
    <cellStyle name="20% - Accent3 34" xfId="203" xr:uid="{00000000-0005-0000-0000-0000CA000000}"/>
    <cellStyle name="20% - Accent3 35" xfId="204" xr:uid="{00000000-0005-0000-0000-0000CB000000}"/>
    <cellStyle name="20% - Accent3 36" xfId="205" xr:uid="{00000000-0005-0000-0000-0000CC000000}"/>
    <cellStyle name="20% - Accent3 37" xfId="206" xr:uid="{00000000-0005-0000-0000-0000CD000000}"/>
    <cellStyle name="20% - Accent3 38" xfId="207" xr:uid="{00000000-0005-0000-0000-0000CE000000}"/>
    <cellStyle name="20% - Accent3 39" xfId="208" xr:uid="{00000000-0005-0000-0000-0000CF000000}"/>
    <cellStyle name="20% - Accent3 4" xfId="209" xr:uid="{00000000-0005-0000-0000-0000D0000000}"/>
    <cellStyle name="20% - Accent3 4 2" xfId="210" xr:uid="{00000000-0005-0000-0000-0000D1000000}"/>
    <cellStyle name="20% - Accent3 4 3" xfId="211" xr:uid="{00000000-0005-0000-0000-0000D2000000}"/>
    <cellStyle name="20% - Accent3 40" xfId="212" xr:uid="{00000000-0005-0000-0000-0000D3000000}"/>
    <cellStyle name="20% - Accent3 41" xfId="213" xr:uid="{00000000-0005-0000-0000-0000D4000000}"/>
    <cellStyle name="20% - Accent3 42" xfId="214" xr:uid="{00000000-0005-0000-0000-0000D5000000}"/>
    <cellStyle name="20% - Accent3 43" xfId="215" xr:uid="{00000000-0005-0000-0000-0000D6000000}"/>
    <cellStyle name="20% - Accent3 5" xfId="216" xr:uid="{00000000-0005-0000-0000-0000D7000000}"/>
    <cellStyle name="20% - Accent3 5 2" xfId="217" xr:uid="{00000000-0005-0000-0000-0000D8000000}"/>
    <cellStyle name="20% - Accent3 5 3" xfId="218" xr:uid="{00000000-0005-0000-0000-0000D9000000}"/>
    <cellStyle name="20% - Accent3 6" xfId="219" xr:uid="{00000000-0005-0000-0000-0000DA000000}"/>
    <cellStyle name="20% - Accent3 6 2" xfId="220" xr:uid="{00000000-0005-0000-0000-0000DB000000}"/>
    <cellStyle name="20% - Accent3 6 3" xfId="221" xr:uid="{00000000-0005-0000-0000-0000DC000000}"/>
    <cellStyle name="20% - Accent3 7" xfId="222" xr:uid="{00000000-0005-0000-0000-0000DD000000}"/>
    <cellStyle name="20% - Accent3 7 2" xfId="223" xr:uid="{00000000-0005-0000-0000-0000DE000000}"/>
    <cellStyle name="20% - Accent3 7 3" xfId="224" xr:uid="{00000000-0005-0000-0000-0000DF000000}"/>
    <cellStyle name="20% - Accent3 8" xfId="225" xr:uid="{00000000-0005-0000-0000-0000E0000000}"/>
    <cellStyle name="20% - Accent3 8 2" xfId="226" xr:uid="{00000000-0005-0000-0000-0000E1000000}"/>
    <cellStyle name="20% - Accent3 8 3" xfId="227" xr:uid="{00000000-0005-0000-0000-0000E2000000}"/>
    <cellStyle name="20% - Accent3 9" xfId="228" xr:uid="{00000000-0005-0000-0000-0000E3000000}"/>
    <cellStyle name="20% - Accent3 9 2" xfId="229" xr:uid="{00000000-0005-0000-0000-0000E4000000}"/>
    <cellStyle name="20% - Accent4" xfId="230" builtinId="42" customBuiltin="1"/>
    <cellStyle name="20% - Accent4 10" xfId="231" xr:uid="{00000000-0005-0000-0000-0000E6000000}"/>
    <cellStyle name="20% - Accent4 10 2" xfId="232" xr:uid="{00000000-0005-0000-0000-0000E7000000}"/>
    <cellStyle name="20% - Accent4 11" xfId="233" xr:uid="{00000000-0005-0000-0000-0000E8000000}"/>
    <cellStyle name="20% - Accent4 11 2" xfId="234" xr:uid="{00000000-0005-0000-0000-0000E9000000}"/>
    <cellStyle name="20% - Accent4 12" xfId="235" xr:uid="{00000000-0005-0000-0000-0000EA000000}"/>
    <cellStyle name="20% - Accent4 13" xfId="236" xr:uid="{00000000-0005-0000-0000-0000EB000000}"/>
    <cellStyle name="20% - Accent4 14" xfId="237" xr:uid="{00000000-0005-0000-0000-0000EC000000}"/>
    <cellStyle name="20% - Accent4 15" xfId="238" xr:uid="{00000000-0005-0000-0000-0000ED000000}"/>
    <cellStyle name="20% - Accent4 16" xfId="239" xr:uid="{00000000-0005-0000-0000-0000EE000000}"/>
    <cellStyle name="20% - Accent4 17" xfId="240" xr:uid="{00000000-0005-0000-0000-0000EF000000}"/>
    <cellStyle name="20% - Accent4 18" xfId="241" xr:uid="{00000000-0005-0000-0000-0000F0000000}"/>
    <cellStyle name="20% - Accent4 19" xfId="242" xr:uid="{00000000-0005-0000-0000-0000F1000000}"/>
    <cellStyle name="20% - Accent4 2" xfId="243" xr:uid="{00000000-0005-0000-0000-0000F2000000}"/>
    <cellStyle name="20% - Accent4 2 10" xfId="244" xr:uid="{00000000-0005-0000-0000-0000F3000000}"/>
    <cellStyle name="20% - Accent4 2 11" xfId="245" xr:uid="{00000000-0005-0000-0000-0000F4000000}"/>
    <cellStyle name="20% - Accent4 2 12" xfId="246" xr:uid="{00000000-0005-0000-0000-0000F5000000}"/>
    <cellStyle name="20% - Accent4 2 13" xfId="247" xr:uid="{00000000-0005-0000-0000-0000F6000000}"/>
    <cellStyle name="20% - Accent4 2 14" xfId="248" xr:uid="{00000000-0005-0000-0000-0000F7000000}"/>
    <cellStyle name="20% - Accent4 2 15" xfId="249" xr:uid="{00000000-0005-0000-0000-0000F8000000}"/>
    <cellStyle name="20% - Accent4 2 16" xfId="250" xr:uid="{00000000-0005-0000-0000-0000F9000000}"/>
    <cellStyle name="20% - Accent4 2 2" xfId="251" xr:uid="{00000000-0005-0000-0000-0000FA000000}"/>
    <cellStyle name="20% - Accent4 2 2 2" xfId="252" xr:uid="{00000000-0005-0000-0000-0000FB000000}"/>
    <cellStyle name="20% - Accent4 2 3" xfId="253" xr:uid="{00000000-0005-0000-0000-0000FC000000}"/>
    <cellStyle name="20% - Accent4 2 3 2" xfId="254" xr:uid="{00000000-0005-0000-0000-0000FD000000}"/>
    <cellStyle name="20% - Accent4 2 4" xfId="255" xr:uid="{00000000-0005-0000-0000-0000FE000000}"/>
    <cellStyle name="20% - Accent4 2 5" xfId="256" xr:uid="{00000000-0005-0000-0000-0000FF000000}"/>
    <cellStyle name="20% - Accent4 2 6" xfId="257" xr:uid="{00000000-0005-0000-0000-000000010000}"/>
    <cellStyle name="20% - Accent4 2 7" xfId="258" xr:uid="{00000000-0005-0000-0000-000001010000}"/>
    <cellStyle name="20% - Accent4 2 8" xfId="259" xr:uid="{00000000-0005-0000-0000-000002010000}"/>
    <cellStyle name="20% - Accent4 2 9" xfId="260" xr:uid="{00000000-0005-0000-0000-000003010000}"/>
    <cellStyle name="20% - Accent4 20" xfId="261" xr:uid="{00000000-0005-0000-0000-000004010000}"/>
    <cellStyle name="20% - Accent4 21" xfId="262" xr:uid="{00000000-0005-0000-0000-000005010000}"/>
    <cellStyle name="20% - Accent4 22" xfId="263" xr:uid="{00000000-0005-0000-0000-000006010000}"/>
    <cellStyle name="20% - Accent4 23" xfId="264" xr:uid="{00000000-0005-0000-0000-000007010000}"/>
    <cellStyle name="20% - Accent4 24" xfId="265" xr:uid="{00000000-0005-0000-0000-000008010000}"/>
    <cellStyle name="20% - Accent4 25" xfId="266" xr:uid="{00000000-0005-0000-0000-000009010000}"/>
    <cellStyle name="20% - Accent4 26" xfId="267" xr:uid="{00000000-0005-0000-0000-00000A010000}"/>
    <cellStyle name="20% - Accent4 27" xfId="268" xr:uid="{00000000-0005-0000-0000-00000B010000}"/>
    <cellStyle name="20% - Accent4 28" xfId="269" xr:uid="{00000000-0005-0000-0000-00000C010000}"/>
    <cellStyle name="20% - Accent4 29" xfId="270" xr:uid="{00000000-0005-0000-0000-00000D010000}"/>
    <cellStyle name="20% - Accent4 3" xfId="271" xr:uid="{00000000-0005-0000-0000-00000E010000}"/>
    <cellStyle name="20% - Accent4 3 2" xfId="272" xr:uid="{00000000-0005-0000-0000-00000F010000}"/>
    <cellStyle name="20% - Accent4 3 3" xfId="273" xr:uid="{00000000-0005-0000-0000-000010010000}"/>
    <cellStyle name="20% - Accent4 3 4" xfId="274" xr:uid="{00000000-0005-0000-0000-000011010000}"/>
    <cellStyle name="20% - Accent4 30" xfId="275" xr:uid="{00000000-0005-0000-0000-000012010000}"/>
    <cellStyle name="20% - Accent4 31" xfId="276" xr:uid="{00000000-0005-0000-0000-000013010000}"/>
    <cellStyle name="20% - Accent4 32" xfId="277" xr:uid="{00000000-0005-0000-0000-000014010000}"/>
    <cellStyle name="20% - Accent4 33" xfId="278" xr:uid="{00000000-0005-0000-0000-000015010000}"/>
    <cellStyle name="20% - Accent4 34" xfId="279" xr:uid="{00000000-0005-0000-0000-000016010000}"/>
    <cellStyle name="20% - Accent4 35" xfId="280" xr:uid="{00000000-0005-0000-0000-000017010000}"/>
    <cellStyle name="20% - Accent4 36" xfId="281" xr:uid="{00000000-0005-0000-0000-000018010000}"/>
    <cellStyle name="20% - Accent4 37" xfId="282" xr:uid="{00000000-0005-0000-0000-000019010000}"/>
    <cellStyle name="20% - Accent4 38" xfId="283" xr:uid="{00000000-0005-0000-0000-00001A010000}"/>
    <cellStyle name="20% - Accent4 39" xfId="284" xr:uid="{00000000-0005-0000-0000-00001B010000}"/>
    <cellStyle name="20% - Accent4 4" xfId="285" xr:uid="{00000000-0005-0000-0000-00001C010000}"/>
    <cellStyle name="20% - Accent4 4 2" xfId="286" xr:uid="{00000000-0005-0000-0000-00001D010000}"/>
    <cellStyle name="20% - Accent4 4 3" xfId="287" xr:uid="{00000000-0005-0000-0000-00001E010000}"/>
    <cellStyle name="20% - Accent4 40" xfId="288" xr:uid="{00000000-0005-0000-0000-00001F010000}"/>
    <cellStyle name="20% - Accent4 41" xfId="289" xr:uid="{00000000-0005-0000-0000-000020010000}"/>
    <cellStyle name="20% - Accent4 42" xfId="290" xr:uid="{00000000-0005-0000-0000-000021010000}"/>
    <cellStyle name="20% - Accent4 43" xfId="291" xr:uid="{00000000-0005-0000-0000-000022010000}"/>
    <cellStyle name="20% - Accent4 5" xfId="292" xr:uid="{00000000-0005-0000-0000-000023010000}"/>
    <cellStyle name="20% - Accent4 5 2" xfId="293" xr:uid="{00000000-0005-0000-0000-000024010000}"/>
    <cellStyle name="20% - Accent4 5 3" xfId="294" xr:uid="{00000000-0005-0000-0000-000025010000}"/>
    <cellStyle name="20% - Accent4 6" xfId="295" xr:uid="{00000000-0005-0000-0000-000026010000}"/>
    <cellStyle name="20% - Accent4 6 2" xfId="296" xr:uid="{00000000-0005-0000-0000-000027010000}"/>
    <cellStyle name="20% - Accent4 6 3" xfId="297" xr:uid="{00000000-0005-0000-0000-000028010000}"/>
    <cellStyle name="20% - Accent4 7" xfId="298" xr:uid="{00000000-0005-0000-0000-000029010000}"/>
    <cellStyle name="20% - Accent4 7 2" xfId="299" xr:uid="{00000000-0005-0000-0000-00002A010000}"/>
    <cellStyle name="20% - Accent4 7 3" xfId="300" xr:uid="{00000000-0005-0000-0000-00002B010000}"/>
    <cellStyle name="20% - Accent4 8" xfId="301" xr:uid="{00000000-0005-0000-0000-00002C010000}"/>
    <cellStyle name="20% - Accent4 8 2" xfId="302" xr:uid="{00000000-0005-0000-0000-00002D010000}"/>
    <cellStyle name="20% - Accent4 8 3" xfId="303" xr:uid="{00000000-0005-0000-0000-00002E010000}"/>
    <cellStyle name="20% - Accent4 9" xfId="304" xr:uid="{00000000-0005-0000-0000-00002F010000}"/>
    <cellStyle name="20% - Accent4 9 2" xfId="305" xr:uid="{00000000-0005-0000-0000-000030010000}"/>
    <cellStyle name="20% - Accent5" xfId="306" builtinId="46" customBuiltin="1"/>
    <cellStyle name="20% - Accent5 10" xfId="307" xr:uid="{00000000-0005-0000-0000-000032010000}"/>
    <cellStyle name="20% - Accent5 10 2" xfId="308" xr:uid="{00000000-0005-0000-0000-000033010000}"/>
    <cellStyle name="20% - Accent5 11" xfId="309" xr:uid="{00000000-0005-0000-0000-000034010000}"/>
    <cellStyle name="20% - Accent5 11 2" xfId="310" xr:uid="{00000000-0005-0000-0000-000035010000}"/>
    <cellStyle name="20% - Accent5 12" xfId="311" xr:uid="{00000000-0005-0000-0000-000036010000}"/>
    <cellStyle name="20% - Accent5 13" xfId="312" xr:uid="{00000000-0005-0000-0000-000037010000}"/>
    <cellStyle name="20% - Accent5 14" xfId="313" xr:uid="{00000000-0005-0000-0000-000038010000}"/>
    <cellStyle name="20% - Accent5 15" xfId="314" xr:uid="{00000000-0005-0000-0000-000039010000}"/>
    <cellStyle name="20% - Accent5 16" xfId="315" xr:uid="{00000000-0005-0000-0000-00003A010000}"/>
    <cellStyle name="20% - Accent5 17" xfId="316" xr:uid="{00000000-0005-0000-0000-00003B010000}"/>
    <cellStyle name="20% - Accent5 18" xfId="317" xr:uid="{00000000-0005-0000-0000-00003C010000}"/>
    <cellStyle name="20% - Accent5 19" xfId="318" xr:uid="{00000000-0005-0000-0000-00003D010000}"/>
    <cellStyle name="20% - Accent5 2" xfId="319" xr:uid="{00000000-0005-0000-0000-00003E010000}"/>
    <cellStyle name="20% - Accent5 2 10" xfId="320" xr:uid="{00000000-0005-0000-0000-00003F010000}"/>
    <cellStyle name="20% - Accent5 2 11" xfId="321" xr:uid="{00000000-0005-0000-0000-000040010000}"/>
    <cellStyle name="20% - Accent5 2 12" xfId="322" xr:uid="{00000000-0005-0000-0000-000041010000}"/>
    <cellStyle name="20% - Accent5 2 13" xfId="323" xr:uid="{00000000-0005-0000-0000-000042010000}"/>
    <cellStyle name="20% - Accent5 2 14" xfId="324" xr:uid="{00000000-0005-0000-0000-000043010000}"/>
    <cellStyle name="20% - Accent5 2 15" xfId="325" xr:uid="{00000000-0005-0000-0000-000044010000}"/>
    <cellStyle name="20% - Accent5 2 2" xfId="326" xr:uid="{00000000-0005-0000-0000-000045010000}"/>
    <cellStyle name="20% - Accent5 2 3" xfId="327" xr:uid="{00000000-0005-0000-0000-000046010000}"/>
    <cellStyle name="20% - Accent5 2 4" xfId="328" xr:uid="{00000000-0005-0000-0000-000047010000}"/>
    <cellStyle name="20% - Accent5 2 5" xfId="329" xr:uid="{00000000-0005-0000-0000-000048010000}"/>
    <cellStyle name="20% - Accent5 2 6" xfId="330" xr:uid="{00000000-0005-0000-0000-000049010000}"/>
    <cellStyle name="20% - Accent5 2 7" xfId="331" xr:uid="{00000000-0005-0000-0000-00004A010000}"/>
    <cellStyle name="20% - Accent5 2 8" xfId="332" xr:uid="{00000000-0005-0000-0000-00004B010000}"/>
    <cellStyle name="20% - Accent5 2 9" xfId="333" xr:uid="{00000000-0005-0000-0000-00004C010000}"/>
    <cellStyle name="20% - Accent5 20" xfId="334" xr:uid="{00000000-0005-0000-0000-00004D010000}"/>
    <cellStyle name="20% - Accent5 21" xfId="335" xr:uid="{00000000-0005-0000-0000-00004E010000}"/>
    <cellStyle name="20% - Accent5 22" xfId="336" xr:uid="{00000000-0005-0000-0000-00004F010000}"/>
    <cellStyle name="20% - Accent5 23" xfId="337" xr:uid="{00000000-0005-0000-0000-000050010000}"/>
    <cellStyle name="20% - Accent5 24" xfId="338" xr:uid="{00000000-0005-0000-0000-000051010000}"/>
    <cellStyle name="20% - Accent5 25" xfId="339" xr:uid="{00000000-0005-0000-0000-000052010000}"/>
    <cellStyle name="20% - Accent5 26" xfId="340" xr:uid="{00000000-0005-0000-0000-000053010000}"/>
    <cellStyle name="20% - Accent5 27" xfId="341" xr:uid="{00000000-0005-0000-0000-000054010000}"/>
    <cellStyle name="20% - Accent5 28" xfId="342" xr:uid="{00000000-0005-0000-0000-000055010000}"/>
    <cellStyle name="20% - Accent5 29" xfId="343" xr:uid="{00000000-0005-0000-0000-000056010000}"/>
    <cellStyle name="20% - Accent5 3" xfId="344" xr:uid="{00000000-0005-0000-0000-000057010000}"/>
    <cellStyle name="20% - Accent5 3 2" xfId="345" xr:uid="{00000000-0005-0000-0000-000058010000}"/>
    <cellStyle name="20% - Accent5 30" xfId="346" xr:uid="{00000000-0005-0000-0000-000059010000}"/>
    <cellStyle name="20% - Accent5 31" xfId="347" xr:uid="{00000000-0005-0000-0000-00005A010000}"/>
    <cellStyle name="20% - Accent5 32" xfId="348" xr:uid="{00000000-0005-0000-0000-00005B010000}"/>
    <cellStyle name="20% - Accent5 33" xfId="349" xr:uid="{00000000-0005-0000-0000-00005C010000}"/>
    <cellStyle name="20% - Accent5 34" xfId="350" xr:uid="{00000000-0005-0000-0000-00005D010000}"/>
    <cellStyle name="20% - Accent5 35" xfId="351" xr:uid="{00000000-0005-0000-0000-00005E010000}"/>
    <cellStyle name="20% - Accent5 36" xfId="352" xr:uid="{00000000-0005-0000-0000-00005F010000}"/>
    <cellStyle name="20% - Accent5 37" xfId="353" xr:uid="{00000000-0005-0000-0000-000060010000}"/>
    <cellStyle name="20% - Accent5 38" xfId="354" xr:uid="{00000000-0005-0000-0000-000061010000}"/>
    <cellStyle name="20% - Accent5 39" xfId="355" xr:uid="{00000000-0005-0000-0000-000062010000}"/>
    <cellStyle name="20% - Accent5 4" xfId="356" xr:uid="{00000000-0005-0000-0000-000063010000}"/>
    <cellStyle name="20% - Accent5 40" xfId="357" xr:uid="{00000000-0005-0000-0000-000064010000}"/>
    <cellStyle name="20% - Accent5 41" xfId="358" xr:uid="{00000000-0005-0000-0000-000065010000}"/>
    <cellStyle name="20% - Accent5 42" xfId="359" xr:uid="{00000000-0005-0000-0000-000066010000}"/>
    <cellStyle name="20% - Accent5 43" xfId="360" xr:uid="{00000000-0005-0000-0000-000067010000}"/>
    <cellStyle name="20% - Accent5 5" xfId="361" xr:uid="{00000000-0005-0000-0000-000068010000}"/>
    <cellStyle name="20% - Accent5 6" xfId="362" xr:uid="{00000000-0005-0000-0000-000069010000}"/>
    <cellStyle name="20% - Accent5 7" xfId="363" xr:uid="{00000000-0005-0000-0000-00006A010000}"/>
    <cellStyle name="20% - Accent5 8" xfId="364" xr:uid="{00000000-0005-0000-0000-00006B010000}"/>
    <cellStyle name="20% - Accent5 9" xfId="365" xr:uid="{00000000-0005-0000-0000-00006C010000}"/>
    <cellStyle name="20% - Accent5 9 2" xfId="366" xr:uid="{00000000-0005-0000-0000-00006D010000}"/>
    <cellStyle name="20% - Accent6" xfId="367" builtinId="50" customBuiltin="1"/>
    <cellStyle name="20% - Accent6 10" xfId="368" xr:uid="{00000000-0005-0000-0000-00006F010000}"/>
    <cellStyle name="20% - Accent6 10 2" xfId="369" xr:uid="{00000000-0005-0000-0000-000070010000}"/>
    <cellStyle name="20% - Accent6 11" xfId="370" xr:uid="{00000000-0005-0000-0000-000071010000}"/>
    <cellStyle name="20% - Accent6 11 2" xfId="371" xr:uid="{00000000-0005-0000-0000-000072010000}"/>
    <cellStyle name="20% - Accent6 12" xfId="372" xr:uid="{00000000-0005-0000-0000-000073010000}"/>
    <cellStyle name="20% - Accent6 13" xfId="373" xr:uid="{00000000-0005-0000-0000-000074010000}"/>
    <cellStyle name="20% - Accent6 14" xfId="374" xr:uid="{00000000-0005-0000-0000-000075010000}"/>
    <cellStyle name="20% - Accent6 15" xfId="375" xr:uid="{00000000-0005-0000-0000-000076010000}"/>
    <cellStyle name="20% - Accent6 16" xfId="376" xr:uid="{00000000-0005-0000-0000-000077010000}"/>
    <cellStyle name="20% - Accent6 17" xfId="377" xr:uid="{00000000-0005-0000-0000-000078010000}"/>
    <cellStyle name="20% - Accent6 18" xfId="378" xr:uid="{00000000-0005-0000-0000-000079010000}"/>
    <cellStyle name="20% - Accent6 19" xfId="379" xr:uid="{00000000-0005-0000-0000-00007A010000}"/>
    <cellStyle name="20% - Accent6 2" xfId="380" xr:uid="{00000000-0005-0000-0000-00007B010000}"/>
    <cellStyle name="20% - Accent6 2 10" xfId="381" xr:uid="{00000000-0005-0000-0000-00007C010000}"/>
    <cellStyle name="20% - Accent6 2 11" xfId="382" xr:uid="{00000000-0005-0000-0000-00007D010000}"/>
    <cellStyle name="20% - Accent6 2 12" xfId="383" xr:uid="{00000000-0005-0000-0000-00007E010000}"/>
    <cellStyle name="20% - Accent6 2 13" xfId="384" xr:uid="{00000000-0005-0000-0000-00007F010000}"/>
    <cellStyle name="20% - Accent6 2 14" xfId="385" xr:uid="{00000000-0005-0000-0000-000080010000}"/>
    <cellStyle name="20% - Accent6 2 15" xfId="386" xr:uid="{00000000-0005-0000-0000-000081010000}"/>
    <cellStyle name="20% - Accent6 2 16" xfId="387" xr:uid="{00000000-0005-0000-0000-000082010000}"/>
    <cellStyle name="20% - Accent6 2 2" xfId="388" xr:uid="{00000000-0005-0000-0000-000083010000}"/>
    <cellStyle name="20% - Accent6 2 2 2" xfId="389" xr:uid="{00000000-0005-0000-0000-000084010000}"/>
    <cellStyle name="20% - Accent6 2 3" xfId="390" xr:uid="{00000000-0005-0000-0000-000085010000}"/>
    <cellStyle name="20% - Accent6 2 3 2" xfId="391" xr:uid="{00000000-0005-0000-0000-000086010000}"/>
    <cellStyle name="20% - Accent6 2 4" xfId="392" xr:uid="{00000000-0005-0000-0000-000087010000}"/>
    <cellStyle name="20% - Accent6 2 5" xfId="393" xr:uid="{00000000-0005-0000-0000-000088010000}"/>
    <cellStyle name="20% - Accent6 2 6" xfId="394" xr:uid="{00000000-0005-0000-0000-000089010000}"/>
    <cellStyle name="20% - Accent6 2 7" xfId="395" xr:uid="{00000000-0005-0000-0000-00008A010000}"/>
    <cellStyle name="20% - Accent6 2 8" xfId="396" xr:uid="{00000000-0005-0000-0000-00008B010000}"/>
    <cellStyle name="20% - Accent6 2 9" xfId="397" xr:uid="{00000000-0005-0000-0000-00008C010000}"/>
    <cellStyle name="20% - Accent6 20" xfId="398" xr:uid="{00000000-0005-0000-0000-00008D010000}"/>
    <cellStyle name="20% - Accent6 21" xfId="399" xr:uid="{00000000-0005-0000-0000-00008E010000}"/>
    <cellStyle name="20% - Accent6 22" xfId="400" xr:uid="{00000000-0005-0000-0000-00008F010000}"/>
    <cellStyle name="20% - Accent6 23" xfId="401" xr:uid="{00000000-0005-0000-0000-000090010000}"/>
    <cellStyle name="20% - Accent6 24" xfId="402" xr:uid="{00000000-0005-0000-0000-000091010000}"/>
    <cellStyle name="20% - Accent6 25" xfId="403" xr:uid="{00000000-0005-0000-0000-000092010000}"/>
    <cellStyle name="20% - Accent6 26" xfId="404" xr:uid="{00000000-0005-0000-0000-000093010000}"/>
    <cellStyle name="20% - Accent6 27" xfId="405" xr:uid="{00000000-0005-0000-0000-000094010000}"/>
    <cellStyle name="20% - Accent6 28" xfId="406" xr:uid="{00000000-0005-0000-0000-000095010000}"/>
    <cellStyle name="20% - Accent6 29" xfId="407" xr:uid="{00000000-0005-0000-0000-000096010000}"/>
    <cellStyle name="20% - Accent6 3" xfId="408" xr:uid="{00000000-0005-0000-0000-000097010000}"/>
    <cellStyle name="20% - Accent6 3 2" xfId="409" xr:uid="{00000000-0005-0000-0000-000098010000}"/>
    <cellStyle name="20% - Accent6 3 3" xfId="410" xr:uid="{00000000-0005-0000-0000-000099010000}"/>
    <cellStyle name="20% - Accent6 3 4" xfId="411" xr:uid="{00000000-0005-0000-0000-00009A010000}"/>
    <cellStyle name="20% - Accent6 30" xfId="412" xr:uid="{00000000-0005-0000-0000-00009B010000}"/>
    <cellStyle name="20% - Accent6 31" xfId="413" xr:uid="{00000000-0005-0000-0000-00009C010000}"/>
    <cellStyle name="20% - Accent6 32" xfId="414" xr:uid="{00000000-0005-0000-0000-00009D010000}"/>
    <cellStyle name="20% - Accent6 33" xfId="415" xr:uid="{00000000-0005-0000-0000-00009E010000}"/>
    <cellStyle name="20% - Accent6 34" xfId="416" xr:uid="{00000000-0005-0000-0000-00009F010000}"/>
    <cellStyle name="20% - Accent6 35" xfId="417" xr:uid="{00000000-0005-0000-0000-0000A0010000}"/>
    <cellStyle name="20% - Accent6 36" xfId="418" xr:uid="{00000000-0005-0000-0000-0000A1010000}"/>
    <cellStyle name="20% - Accent6 37" xfId="419" xr:uid="{00000000-0005-0000-0000-0000A2010000}"/>
    <cellStyle name="20% - Accent6 38" xfId="420" xr:uid="{00000000-0005-0000-0000-0000A3010000}"/>
    <cellStyle name="20% - Accent6 39" xfId="421" xr:uid="{00000000-0005-0000-0000-0000A4010000}"/>
    <cellStyle name="20% - Accent6 4" xfId="422" xr:uid="{00000000-0005-0000-0000-0000A5010000}"/>
    <cellStyle name="20% - Accent6 4 2" xfId="423" xr:uid="{00000000-0005-0000-0000-0000A6010000}"/>
    <cellStyle name="20% - Accent6 4 3" xfId="424" xr:uid="{00000000-0005-0000-0000-0000A7010000}"/>
    <cellStyle name="20% - Accent6 40" xfId="425" xr:uid="{00000000-0005-0000-0000-0000A8010000}"/>
    <cellStyle name="20% - Accent6 41" xfId="426" xr:uid="{00000000-0005-0000-0000-0000A9010000}"/>
    <cellStyle name="20% - Accent6 42" xfId="427" xr:uid="{00000000-0005-0000-0000-0000AA010000}"/>
    <cellStyle name="20% - Accent6 43" xfId="428" xr:uid="{00000000-0005-0000-0000-0000AB010000}"/>
    <cellStyle name="20% - Accent6 44" xfId="429" xr:uid="{00000000-0005-0000-0000-0000AC010000}"/>
    <cellStyle name="20% - Accent6 44 2" xfId="430" xr:uid="{00000000-0005-0000-0000-0000AD010000}"/>
    <cellStyle name="20% - Accent6 44 2 2" xfId="431" xr:uid="{00000000-0005-0000-0000-0000AE010000}"/>
    <cellStyle name="20% - Accent6 44 2 2 2" xfId="432" xr:uid="{00000000-0005-0000-0000-0000AF010000}"/>
    <cellStyle name="20% - Accent6 44 2 3" xfId="433" xr:uid="{00000000-0005-0000-0000-0000B0010000}"/>
    <cellStyle name="20% - Accent6 44 2 3 2" xfId="434" xr:uid="{00000000-0005-0000-0000-0000B1010000}"/>
    <cellStyle name="20% - Accent6 44 2 4" xfId="435" xr:uid="{00000000-0005-0000-0000-0000B2010000}"/>
    <cellStyle name="20% - Accent6 44 3" xfId="436" xr:uid="{00000000-0005-0000-0000-0000B3010000}"/>
    <cellStyle name="20% - Accent6 44 3 2" xfId="437" xr:uid="{00000000-0005-0000-0000-0000B4010000}"/>
    <cellStyle name="20% - Accent6 44 4" xfId="438" xr:uid="{00000000-0005-0000-0000-0000B5010000}"/>
    <cellStyle name="20% - Accent6 44 4 2" xfId="439" xr:uid="{00000000-0005-0000-0000-0000B6010000}"/>
    <cellStyle name="20% - Accent6 44 5" xfId="440" xr:uid="{00000000-0005-0000-0000-0000B7010000}"/>
    <cellStyle name="20% - Accent6 5" xfId="441" xr:uid="{00000000-0005-0000-0000-0000B8010000}"/>
    <cellStyle name="20% - Accent6 5 2" xfId="442" xr:uid="{00000000-0005-0000-0000-0000B9010000}"/>
    <cellStyle name="20% - Accent6 5 3" xfId="443" xr:uid="{00000000-0005-0000-0000-0000BA010000}"/>
    <cellStyle name="20% - Accent6 6" xfId="444" xr:uid="{00000000-0005-0000-0000-0000BB010000}"/>
    <cellStyle name="20% - Accent6 6 2" xfId="445" xr:uid="{00000000-0005-0000-0000-0000BC010000}"/>
    <cellStyle name="20% - Accent6 6 3" xfId="446" xr:uid="{00000000-0005-0000-0000-0000BD010000}"/>
    <cellStyle name="20% - Accent6 7" xfId="447" xr:uid="{00000000-0005-0000-0000-0000BE010000}"/>
    <cellStyle name="20% - Accent6 7 2" xfId="448" xr:uid="{00000000-0005-0000-0000-0000BF010000}"/>
    <cellStyle name="20% - Accent6 7 3" xfId="449" xr:uid="{00000000-0005-0000-0000-0000C0010000}"/>
    <cellStyle name="20% - Accent6 8" xfId="450" xr:uid="{00000000-0005-0000-0000-0000C1010000}"/>
    <cellStyle name="20% - Accent6 8 2" xfId="451" xr:uid="{00000000-0005-0000-0000-0000C2010000}"/>
    <cellStyle name="20% - Accent6 8 3" xfId="452" xr:uid="{00000000-0005-0000-0000-0000C3010000}"/>
    <cellStyle name="20% - Accent6 9" xfId="453" xr:uid="{00000000-0005-0000-0000-0000C4010000}"/>
    <cellStyle name="20% - Accent6 9 2" xfId="454" xr:uid="{00000000-0005-0000-0000-0000C5010000}"/>
    <cellStyle name="20% - Akzent1" xfId="455" xr:uid="{00000000-0005-0000-0000-0000C6010000}"/>
    <cellStyle name="20% - Akzent2" xfId="456" xr:uid="{00000000-0005-0000-0000-0000C7010000}"/>
    <cellStyle name="20% - Akzent3" xfId="457" xr:uid="{00000000-0005-0000-0000-0000C8010000}"/>
    <cellStyle name="20% - Akzent4" xfId="458" xr:uid="{00000000-0005-0000-0000-0000C9010000}"/>
    <cellStyle name="20% - Akzent5" xfId="459" xr:uid="{00000000-0005-0000-0000-0000CA010000}"/>
    <cellStyle name="20% - Akzent6" xfId="460" xr:uid="{00000000-0005-0000-0000-0000CB010000}"/>
    <cellStyle name="2x indented GHG Textfiels" xfId="461" xr:uid="{00000000-0005-0000-0000-0000CC010000}"/>
    <cellStyle name="2x indented GHG Textfiels 2" xfId="462" xr:uid="{00000000-0005-0000-0000-0000CD010000}"/>
    <cellStyle name="40% - Accent1" xfId="463" builtinId="31" customBuiltin="1"/>
    <cellStyle name="40% - Accent1 10" xfId="464" xr:uid="{00000000-0005-0000-0000-0000CF010000}"/>
    <cellStyle name="40% - Accent1 10 2" xfId="465" xr:uid="{00000000-0005-0000-0000-0000D0010000}"/>
    <cellStyle name="40% - Accent1 11" xfId="466" xr:uid="{00000000-0005-0000-0000-0000D1010000}"/>
    <cellStyle name="40% - Accent1 11 2" xfId="467" xr:uid="{00000000-0005-0000-0000-0000D2010000}"/>
    <cellStyle name="40% - Accent1 12" xfId="468" xr:uid="{00000000-0005-0000-0000-0000D3010000}"/>
    <cellStyle name="40% - Accent1 13" xfId="469" xr:uid="{00000000-0005-0000-0000-0000D4010000}"/>
    <cellStyle name="40% - Accent1 14" xfId="470" xr:uid="{00000000-0005-0000-0000-0000D5010000}"/>
    <cellStyle name="40% - Accent1 15" xfId="471" xr:uid="{00000000-0005-0000-0000-0000D6010000}"/>
    <cellStyle name="40% - Accent1 16" xfId="472" xr:uid="{00000000-0005-0000-0000-0000D7010000}"/>
    <cellStyle name="40% - Accent1 17" xfId="473" xr:uid="{00000000-0005-0000-0000-0000D8010000}"/>
    <cellStyle name="40% - Accent1 18" xfId="474" xr:uid="{00000000-0005-0000-0000-0000D9010000}"/>
    <cellStyle name="40% - Accent1 19" xfId="475" xr:uid="{00000000-0005-0000-0000-0000DA010000}"/>
    <cellStyle name="40% - Accent1 2" xfId="476" xr:uid="{00000000-0005-0000-0000-0000DB010000}"/>
    <cellStyle name="40% - Accent1 2 10" xfId="477" xr:uid="{00000000-0005-0000-0000-0000DC010000}"/>
    <cellStyle name="40% - Accent1 2 11" xfId="478" xr:uid="{00000000-0005-0000-0000-0000DD010000}"/>
    <cellStyle name="40% - Accent1 2 12" xfId="479" xr:uid="{00000000-0005-0000-0000-0000DE010000}"/>
    <cellStyle name="40% - Accent1 2 13" xfId="480" xr:uid="{00000000-0005-0000-0000-0000DF010000}"/>
    <cellStyle name="40% - Accent1 2 14" xfId="481" xr:uid="{00000000-0005-0000-0000-0000E0010000}"/>
    <cellStyle name="40% - Accent1 2 15" xfId="482" xr:uid="{00000000-0005-0000-0000-0000E1010000}"/>
    <cellStyle name="40% - Accent1 2 16" xfId="483" xr:uid="{00000000-0005-0000-0000-0000E2010000}"/>
    <cellStyle name="40% - Accent1 2 2" xfId="484" xr:uid="{00000000-0005-0000-0000-0000E3010000}"/>
    <cellStyle name="40% - Accent1 2 2 2" xfId="485" xr:uid="{00000000-0005-0000-0000-0000E4010000}"/>
    <cellStyle name="40% - Accent1 2 3" xfId="486" xr:uid="{00000000-0005-0000-0000-0000E5010000}"/>
    <cellStyle name="40% - Accent1 2 3 2" xfId="487" xr:uid="{00000000-0005-0000-0000-0000E6010000}"/>
    <cellStyle name="40% - Accent1 2 4" xfId="488" xr:uid="{00000000-0005-0000-0000-0000E7010000}"/>
    <cellStyle name="40% - Accent1 2 5" xfId="489" xr:uid="{00000000-0005-0000-0000-0000E8010000}"/>
    <cellStyle name="40% - Accent1 2 6" xfId="490" xr:uid="{00000000-0005-0000-0000-0000E9010000}"/>
    <cellStyle name="40% - Accent1 2 7" xfId="491" xr:uid="{00000000-0005-0000-0000-0000EA010000}"/>
    <cellStyle name="40% - Accent1 2 8" xfId="492" xr:uid="{00000000-0005-0000-0000-0000EB010000}"/>
    <cellStyle name="40% - Accent1 2 9" xfId="493" xr:uid="{00000000-0005-0000-0000-0000EC010000}"/>
    <cellStyle name="40% - Accent1 20" xfId="494" xr:uid="{00000000-0005-0000-0000-0000ED010000}"/>
    <cellStyle name="40% - Accent1 21" xfId="495" xr:uid="{00000000-0005-0000-0000-0000EE010000}"/>
    <cellStyle name="40% - Accent1 22" xfId="496" xr:uid="{00000000-0005-0000-0000-0000EF010000}"/>
    <cellStyle name="40% - Accent1 23" xfId="497" xr:uid="{00000000-0005-0000-0000-0000F0010000}"/>
    <cellStyle name="40% - Accent1 24" xfId="498" xr:uid="{00000000-0005-0000-0000-0000F1010000}"/>
    <cellStyle name="40% - Accent1 25" xfId="499" xr:uid="{00000000-0005-0000-0000-0000F2010000}"/>
    <cellStyle name="40% - Accent1 26" xfId="500" xr:uid="{00000000-0005-0000-0000-0000F3010000}"/>
    <cellStyle name="40% - Accent1 27" xfId="501" xr:uid="{00000000-0005-0000-0000-0000F4010000}"/>
    <cellStyle name="40% - Accent1 28" xfId="502" xr:uid="{00000000-0005-0000-0000-0000F5010000}"/>
    <cellStyle name="40% - Accent1 29" xfId="503" xr:uid="{00000000-0005-0000-0000-0000F6010000}"/>
    <cellStyle name="40% - Accent1 3" xfId="504" xr:uid="{00000000-0005-0000-0000-0000F7010000}"/>
    <cellStyle name="40% - Accent1 3 2" xfId="505" xr:uid="{00000000-0005-0000-0000-0000F8010000}"/>
    <cellStyle name="40% - Accent1 3 3" xfId="506" xr:uid="{00000000-0005-0000-0000-0000F9010000}"/>
    <cellStyle name="40% - Accent1 3 4" xfId="507" xr:uid="{00000000-0005-0000-0000-0000FA010000}"/>
    <cellStyle name="40% - Accent1 30" xfId="508" xr:uid="{00000000-0005-0000-0000-0000FB010000}"/>
    <cellStyle name="40% - Accent1 31" xfId="509" xr:uid="{00000000-0005-0000-0000-0000FC010000}"/>
    <cellStyle name="40% - Accent1 32" xfId="510" xr:uid="{00000000-0005-0000-0000-0000FD010000}"/>
    <cellStyle name="40% - Accent1 33" xfId="511" xr:uid="{00000000-0005-0000-0000-0000FE010000}"/>
    <cellStyle name="40% - Accent1 34" xfId="512" xr:uid="{00000000-0005-0000-0000-0000FF010000}"/>
    <cellStyle name="40% - Accent1 35" xfId="513" xr:uid="{00000000-0005-0000-0000-000000020000}"/>
    <cellStyle name="40% - Accent1 36" xfId="514" xr:uid="{00000000-0005-0000-0000-000001020000}"/>
    <cellStyle name="40% - Accent1 37" xfId="515" xr:uid="{00000000-0005-0000-0000-000002020000}"/>
    <cellStyle name="40% - Accent1 38" xfId="516" xr:uid="{00000000-0005-0000-0000-000003020000}"/>
    <cellStyle name="40% - Accent1 39" xfId="517" xr:uid="{00000000-0005-0000-0000-000004020000}"/>
    <cellStyle name="40% - Accent1 4" xfId="518" xr:uid="{00000000-0005-0000-0000-000005020000}"/>
    <cellStyle name="40% - Accent1 4 2" xfId="519" xr:uid="{00000000-0005-0000-0000-000006020000}"/>
    <cellStyle name="40% - Accent1 4 3" xfId="520" xr:uid="{00000000-0005-0000-0000-000007020000}"/>
    <cellStyle name="40% - Accent1 40" xfId="521" xr:uid="{00000000-0005-0000-0000-000008020000}"/>
    <cellStyle name="40% - Accent1 41" xfId="522" xr:uid="{00000000-0005-0000-0000-000009020000}"/>
    <cellStyle name="40% - Accent1 42" xfId="523" xr:uid="{00000000-0005-0000-0000-00000A020000}"/>
    <cellStyle name="40% - Accent1 43" xfId="524" xr:uid="{00000000-0005-0000-0000-00000B020000}"/>
    <cellStyle name="40% - Accent1 5" xfId="525" xr:uid="{00000000-0005-0000-0000-00000C020000}"/>
    <cellStyle name="40% - Accent1 5 2" xfId="526" xr:uid="{00000000-0005-0000-0000-00000D020000}"/>
    <cellStyle name="40% - Accent1 5 3" xfId="527" xr:uid="{00000000-0005-0000-0000-00000E020000}"/>
    <cellStyle name="40% - Accent1 6" xfId="528" xr:uid="{00000000-0005-0000-0000-00000F020000}"/>
    <cellStyle name="40% - Accent1 6 2" xfId="529" xr:uid="{00000000-0005-0000-0000-000010020000}"/>
    <cellStyle name="40% - Accent1 6 3" xfId="530" xr:uid="{00000000-0005-0000-0000-000011020000}"/>
    <cellStyle name="40% - Accent1 7" xfId="531" xr:uid="{00000000-0005-0000-0000-000012020000}"/>
    <cellStyle name="40% - Accent1 7 2" xfId="532" xr:uid="{00000000-0005-0000-0000-000013020000}"/>
    <cellStyle name="40% - Accent1 7 3" xfId="533" xr:uid="{00000000-0005-0000-0000-000014020000}"/>
    <cellStyle name="40% - Accent1 8" xfId="534" xr:uid="{00000000-0005-0000-0000-000015020000}"/>
    <cellStyle name="40% - Accent1 8 2" xfId="535" xr:uid="{00000000-0005-0000-0000-000016020000}"/>
    <cellStyle name="40% - Accent1 8 3" xfId="536" xr:uid="{00000000-0005-0000-0000-000017020000}"/>
    <cellStyle name="40% - Accent1 9" xfId="537" xr:uid="{00000000-0005-0000-0000-000018020000}"/>
    <cellStyle name="40% - Accent1 9 2" xfId="538" xr:uid="{00000000-0005-0000-0000-000019020000}"/>
    <cellStyle name="40% - Accent2" xfId="539" builtinId="35" customBuiltin="1"/>
    <cellStyle name="40% - Accent2 10" xfId="540" xr:uid="{00000000-0005-0000-0000-00001B020000}"/>
    <cellStyle name="40% - Accent2 10 2" xfId="541" xr:uid="{00000000-0005-0000-0000-00001C020000}"/>
    <cellStyle name="40% - Accent2 11" xfId="542" xr:uid="{00000000-0005-0000-0000-00001D020000}"/>
    <cellStyle name="40% - Accent2 11 2" xfId="543" xr:uid="{00000000-0005-0000-0000-00001E020000}"/>
    <cellStyle name="40% - Accent2 12" xfId="544" xr:uid="{00000000-0005-0000-0000-00001F020000}"/>
    <cellStyle name="40% - Accent2 13" xfId="545" xr:uid="{00000000-0005-0000-0000-000020020000}"/>
    <cellStyle name="40% - Accent2 14" xfId="546" xr:uid="{00000000-0005-0000-0000-000021020000}"/>
    <cellStyle name="40% - Accent2 15" xfId="547" xr:uid="{00000000-0005-0000-0000-000022020000}"/>
    <cellStyle name="40% - Accent2 16" xfId="548" xr:uid="{00000000-0005-0000-0000-000023020000}"/>
    <cellStyle name="40% - Accent2 17" xfId="549" xr:uid="{00000000-0005-0000-0000-000024020000}"/>
    <cellStyle name="40% - Accent2 18" xfId="550" xr:uid="{00000000-0005-0000-0000-000025020000}"/>
    <cellStyle name="40% - Accent2 19" xfId="551" xr:uid="{00000000-0005-0000-0000-000026020000}"/>
    <cellStyle name="40% - Accent2 2" xfId="552" xr:uid="{00000000-0005-0000-0000-000027020000}"/>
    <cellStyle name="40% - Accent2 2 10" xfId="553" xr:uid="{00000000-0005-0000-0000-000028020000}"/>
    <cellStyle name="40% - Accent2 2 11" xfId="554" xr:uid="{00000000-0005-0000-0000-000029020000}"/>
    <cellStyle name="40% - Accent2 2 12" xfId="555" xr:uid="{00000000-0005-0000-0000-00002A020000}"/>
    <cellStyle name="40% - Accent2 2 13" xfId="556" xr:uid="{00000000-0005-0000-0000-00002B020000}"/>
    <cellStyle name="40% - Accent2 2 14" xfId="557" xr:uid="{00000000-0005-0000-0000-00002C020000}"/>
    <cellStyle name="40% - Accent2 2 15" xfId="558" xr:uid="{00000000-0005-0000-0000-00002D020000}"/>
    <cellStyle name="40% - Accent2 2 2" xfId="559" xr:uid="{00000000-0005-0000-0000-00002E020000}"/>
    <cellStyle name="40% - Accent2 2 3" xfId="560" xr:uid="{00000000-0005-0000-0000-00002F020000}"/>
    <cellStyle name="40% - Accent2 2 4" xfId="561" xr:uid="{00000000-0005-0000-0000-000030020000}"/>
    <cellStyle name="40% - Accent2 2 5" xfId="562" xr:uid="{00000000-0005-0000-0000-000031020000}"/>
    <cellStyle name="40% - Accent2 2 6" xfId="563" xr:uid="{00000000-0005-0000-0000-000032020000}"/>
    <cellStyle name="40% - Accent2 2 7" xfId="564" xr:uid="{00000000-0005-0000-0000-000033020000}"/>
    <cellStyle name="40% - Accent2 2 8" xfId="565" xr:uid="{00000000-0005-0000-0000-000034020000}"/>
    <cellStyle name="40% - Accent2 2 9" xfId="566" xr:uid="{00000000-0005-0000-0000-000035020000}"/>
    <cellStyle name="40% - Accent2 20" xfId="567" xr:uid="{00000000-0005-0000-0000-000036020000}"/>
    <cellStyle name="40% - Accent2 21" xfId="568" xr:uid="{00000000-0005-0000-0000-000037020000}"/>
    <cellStyle name="40% - Accent2 22" xfId="569" xr:uid="{00000000-0005-0000-0000-000038020000}"/>
    <cellStyle name="40% - Accent2 23" xfId="570" xr:uid="{00000000-0005-0000-0000-000039020000}"/>
    <cellStyle name="40% - Accent2 24" xfId="571" xr:uid="{00000000-0005-0000-0000-00003A020000}"/>
    <cellStyle name="40% - Accent2 25" xfId="572" xr:uid="{00000000-0005-0000-0000-00003B020000}"/>
    <cellStyle name="40% - Accent2 26" xfId="573" xr:uid="{00000000-0005-0000-0000-00003C020000}"/>
    <cellStyle name="40% - Accent2 27" xfId="574" xr:uid="{00000000-0005-0000-0000-00003D020000}"/>
    <cellStyle name="40% - Accent2 28" xfId="575" xr:uid="{00000000-0005-0000-0000-00003E020000}"/>
    <cellStyle name="40% - Accent2 29" xfId="576" xr:uid="{00000000-0005-0000-0000-00003F020000}"/>
    <cellStyle name="40% - Accent2 3" xfId="577" xr:uid="{00000000-0005-0000-0000-000040020000}"/>
    <cellStyle name="40% - Accent2 3 2" xfId="578" xr:uid="{00000000-0005-0000-0000-000041020000}"/>
    <cellStyle name="40% - Accent2 30" xfId="579" xr:uid="{00000000-0005-0000-0000-000042020000}"/>
    <cellStyle name="40% - Accent2 31" xfId="580" xr:uid="{00000000-0005-0000-0000-000043020000}"/>
    <cellStyle name="40% - Accent2 32" xfId="581" xr:uid="{00000000-0005-0000-0000-000044020000}"/>
    <cellStyle name="40% - Accent2 33" xfId="582" xr:uid="{00000000-0005-0000-0000-000045020000}"/>
    <cellStyle name="40% - Accent2 34" xfId="583" xr:uid="{00000000-0005-0000-0000-000046020000}"/>
    <cellStyle name="40% - Accent2 35" xfId="584" xr:uid="{00000000-0005-0000-0000-000047020000}"/>
    <cellStyle name="40% - Accent2 36" xfId="585" xr:uid="{00000000-0005-0000-0000-000048020000}"/>
    <cellStyle name="40% - Accent2 37" xfId="586" xr:uid="{00000000-0005-0000-0000-000049020000}"/>
    <cellStyle name="40% - Accent2 38" xfId="587" xr:uid="{00000000-0005-0000-0000-00004A020000}"/>
    <cellStyle name="40% - Accent2 39" xfId="588" xr:uid="{00000000-0005-0000-0000-00004B020000}"/>
    <cellStyle name="40% - Accent2 4" xfId="589" xr:uid="{00000000-0005-0000-0000-00004C020000}"/>
    <cellStyle name="40% - Accent2 40" xfId="590" xr:uid="{00000000-0005-0000-0000-00004D020000}"/>
    <cellStyle name="40% - Accent2 41" xfId="591" xr:uid="{00000000-0005-0000-0000-00004E020000}"/>
    <cellStyle name="40% - Accent2 42" xfId="592" xr:uid="{00000000-0005-0000-0000-00004F020000}"/>
    <cellStyle name="40% - Accent2 43" xfId="593" xr:uid="{00000000-0005-0000-0000-000050020000}"/>
    <cellStyle name="40% - Accent2 5" xfId="594" xr:uid="{00000000-0005-0000-0000-000051020000}"/>
    <cellStyle name="40% - Accent2 6" xfId="595" xr:uid="{00000000-0005-0000-0000-000052020000}"/>
    <cellStyle name="40% - Accent2 7" xfId="596" xr:uid="{00000000-0005-0000-0000-000053020000}"/>
    <cellStyle name="40% - Accent2 8" xfId="597" xr:uid="{00000000-0005-0000-0000-000054020000}"/>
    <cellStyle name="40% - Accent2 9" xfId="598" xr:uid="{00000000-0005-0000-0000-000055020000}"/>
    <cellStyle name="40% - Accent2 9 2" xfId="599" xr:uid="{00000000-0005-0000-0000-000056020000}"/>
    <cellStyle name="40% - Accent3" xfId="600" builtinId="39" customBuiltin="1"/>
    <cellStyle name="40% - Accent3 10" xfId="601" xr:uid="{00000000-0005-0000-0000-000058020000}"/>
    <cellStyle name="40% - Accent3 10 2" xfId="602" xr:uid="{00000000-0005-0000-0000-000059020000}"/>
    <cellStyle name="40% - Accent3 11" xfId="603" xr:uid="{00000000-0005-0000-0000-00005A020000}"/>
    <cellStyle name="40% - Accent3 11 2" xfId="604" xr:uid="{00000000-0005-0000-0000-00005B020000}"/>
    <cellStyle name="40% - Accent3 12" xfId="605" xr:uid="{00000000-0005-0000-0000-00005C020000}"/>
    <cellStyle name="40% - Accent3 13" xfId="606" xr:uid="{00000000-0005-0000-0000-00005D020000}"/>
    <cellStyle name="40% - Accent3 14" xfId="607" xr:uid="{00000000-0005-0000-0000-00005E020000}"/>
    <cellStyle name="40% - Accent3 15" xfId="608" xr:uid="{00000000-0005-0000-0000-00005F020000}"/>
    <cellStyle name="40% - Accent3 16" xfId="609" xr:uid="{00000000-0005-0000-0000-000060020000}"/>
    <cellStyle name="40% - Accent3 17" xfId="610" xr:uid="{00000000-0005-0000-0000-000061020000}"/>
    <cellStyle name="40% - Accent3 18" xfId="611" xr:uid="{00000000-0005-0000-0000-000062020000}"/>
    <cellStyle name="40% - Accent3 19" xfId="612" xr:uid="{00000000-0005-0000-0000-000063020000}"/>
    <cellStyle name="40% - Accent3 2" xfId="613" xr:uid="{00000000-0005-0000-0000-000064020000}"/>
    <cellStyle name="40% - Accent3 2 10" xfId="614" xr:uid="{00000000-0005-0000-0000-000065020000}"/>
    <cellStyle name="40% - Accent3 2 11" xfId="615" xr:uid="{00000000-0005-0000-0000-000066020000}"/>
    <cellStyle name="40% - Accent3 2 12" xfId="616" xr:uid="{00000000-0005-0000-0000-000067020000}"/>
    <cellStyle name="40% - Accent3 2 13" xfId="617" xr:uid="{00000000-0005-0000-0000-000068020000}"/>
    <cellStyle name="40% - Accent3 2 14" xfId="618" xr:uid="{00000000-0005-0000-0000-000069020000}"/>
    <cellStyle name="40% - Accent3 2 15" xfId="619" xr:uid="{00000000-0005-0000-0000-00006A020000}"/>
    <cellStyle name="40% - Accent3 2 16" xfId="620" xr:uid="{00000000-0005-0000-0000-00006B020000}"/>
    <cellStyle name="40% - Accent3 2 2" xfId="621" xr:uid="{00000000-0005-0000-0000-00006C020000}"/>
    <cellStyle name="40% - Accent3 2 2 2" xfId="622" xr:uid="{00000000-0005-0000-0000-00006D020000}"/>
    <cellStyle name="40% - Accent3 2 3" xfId="623" xr:uid="{00000000-0005-0000-0000-00006E020000}"/>
    <cellStyle name="40% - Accent3 2 3 2" xfId="624" xr:uid="{00000000-0005-0000-0000-00006F020000}"/>
    <cellStyle name="40% - Accent3 2 4" xfId="625" xr:uid="{00000000-0005-0000-0000-000070020000}"/>
    <cellStyle name="40% - Accent3 2 5" xfId="626" xr:uid="{00000000-0005-0000-0000-000071020000}"/>
    <cellStyle name="40% - Accent3 2 6" xfId="627" xr:uid="{00000000-0005-0000-0000-000072020000}"/>
    <cellStyle name="40% - Accent3 2 7" xfId="628" xr:uid="{00000000-0005-0000-0000-000073020000}"/>
    <cellStyle name="40% - Accent3 2 8" xfId="629" xr:uid="{00000000-0005-0000-0000-000074020000}"/>
    <cellStyle name="40% - Accent3 2 9" xfId="630" xr:uid="{00000000-0005-0000-0000-000075020000}"/>
    <cellStyle name="40% - Accent3 20" xfId="631" xr:uid="{00000000-0005-0000-0000-000076020000}"/>
    <cellStyle name="40% - Accent3 21" xfId="632" xr:uid="{00000000-0005-0000-0000-000077020000}"/>
    <cellStyle name="40% - Accent3 22" xfId="633" xr:uid="{00000000-0005-0000-0000-000078020000}"/>
    <cellStyle name="40% - Accent3 23" xfId="634" xr:uid="{00000000-0005-0000-0000-000079020000}"/>
    <cellStyle name="40% - Accent3 24" xfId="635" xr:uid="{00000000-0005-0000-0000-00007A020000}"/>
    <cellStyle name="40% - Accent3 25" xfId="636" xr:uid="{00000000-0005-0000-0000-00007B020000}"/>
    <cellStyle name="40% - Accent3 26" xfId="637" xr:uid="{00000000-0005-0000-0000-00007C020000}"/>
    <cellStyle name="40% - Accent3 27" xfId="638" xr:uid="{00000000-0005-0000-0000-00007D020000}"/>
    <cellStyle name="40% - Accent3 28" xfId="639" xr:uid="{00000000-0005-0000-0000-00007E020000}"/>
    <cellStyle name="40% - Accent3 29" xfId="640" xr:uid="{00000000-0005-0000-0000-00007F020000}"/>
    <cellStyle name="40% - Accent3 3" xfId="641" xr:uid="{00000000-0005-0000-0000-000080020000}"/>
    <cellStyle name="40% - Accent3 3 2" xfId="642" xr:uid="{00000000-0005-0000-0000-000081020000}"/>
    <cellStyle name="40% - Accent3 3 3" xfId="643" xr:uid="{00000000-0005-0000-0000-000082020000}"/>
    <cellStyle name="40% - Accent3 3 4" xfId="644" xr:uid="{00000000-0005-0000-0000-000083020000}"/>
    <cellStyle name="40% - Accent3 30" xfId="645" xr:uid="{00000000-0005-0000-0000-000084020000}"/>
    <cellStyle name="40% - Accent3 31" xfId="646" xr:uid="{00000000-0005-0000-0000-000085020000}"/>
    <cellStyle name="40% - Accent3 32" xfId="647" xr:uid="{00000000-0005-0000-0000-000086020000}"/>
    <cellStyle name="40% - Accent3 33" xfId="648" xr:uid="{00000000-0005-0000-0000-000087020000}"/>
    <cellStyle name="40% - Accent3 34" xfId="649" xr:uid="{00000000-0005-0000-0000-000088020000}"/>
    <cellStyle name="40% - Accent3 35" xfId="650" xr:uid="{00000000-0005-0000-0000-000089020000}"/>
    <cellStyle name="40% - Accent3 36" xfId="651" xr:uid="{00000000-0005-0000-0000-00008A020000}"/>
    <cellStyle name="40% - Accent3 37" xfId="652" xr:uid="{00000000-0005-0000-0000-00008B020000}"/>
    <cellStyle name="40% - Accent3 38" xfId="653" xr:uid="{00000000-0005-0000-0000-00008C020000}"/>
    <cellStyle name="40% - Accent3 39" xfId="654" xr:uid="{00000000-0005-0000-0000-00008D020000}"/>
    <cellStyle name="40% - Accent3 4" xfId="655" xr:uid="{00000000-0005-0000-0000-00008E020000}"/>
    <cellStyle name="40% - Accent3 4 2" xfId="656" xr:uid="{00000000-0005-0000-0000-00008F020000}"/>
    <cellStyle name="40% - Accent3 4 3" xfId="657" xr:uid="{00000000-0005-0000-0000-000090020000}"/>
    <cellStyle name="40% - Accent3 40" xfId="658" xr:uid="{00000000-0005-0000-0000-000091020000}"/>
    <cellStyle name="40% - Accent3 41" xfId="659" xr:uid="{00000000-0005-0000-0000-000092020000}"/>
    <cellStyle name="40% - Accent3 42" xfId="660" xr:uid="{00000000-0005-0000-0000-000093020000}"/>
    <cellStyle name="40% - Accent3 43" xfId="661" xr:uid="{00000000-0005-0000-0000-000094020000}"/>
    <cellStyle name="40% - Accent3 5" xfId="662" xr:uid="{00000000-0005-0000-0000-000095020000}"/>
    <cellStyle name="40% - Accent3 5 2" xfId="663" xr:uid="{00000000-0005-0000-0000-000096020000}"/>
    <cellStyle name="40% - Accent3 5 3" xfId="664" xr:uid="{00000000-0005-0000-0000-000097020000}"/>
    <cellStyle name="40% - Accent3 6" xfId="665" xr:uid="{00000000-0005-0000-0000-000098020000}"/>
    <cellStyle name="40% - Accent3 6 2" xfId="666" xr:uid="{00000000-0005-0000-0000-000099020000}"/>
    <cellStyle name="40% - Accent3 6 3" xfId="667" xr:uid="{00000000-0005-0000-0000-00009A020000}"/>
    <cellStyle name="40% - Accent3 7" xfId="668" xr:uid="{00000000-0005-0000-0000-00009B020000}"/>
    <cellStyle name="40% - Accent3 7 2" xfId="669" xr:uid="{00000000-0005-0000-0000-00009C020000}"/>
    <cellStyle name="40% - Accent3 7 3" xfId="670" xr:uid="{00000000-0005-0000-0000-00009D020000}"/>
    <cellStyle name="40% - Accent3 8" xfId="671" xr:uid="{00000000-0005-0000-0000-00009E020000}"/>
    <cellStyle name="40% - Accent3 8 2" xfId="672" xr:uid="{00000000-0005-0000-0000-00009F020000}"/>
    <cellStyle name="40% - Accent3 8 3" xfId="673" xr:uid="{00000000-0005-0000-0000-0000A0020000}"/>
    <cellStyle name="40% - Accent3 9" xfId="674" xr:uid="{00000000-0005-0000-0000-0000A1020000}"/>
    <cellStyle name="40% - Accent3 9 2" xfId="675" xr:uid="{00000000-0005-0000-0000-0000A2020000}"/>
    <cellStyle name="40% - Accent4" xfId="676" builtinId="43" customBuiltin="1"/>
    <cellStyle name="40% - Accent4 10" xfId="677" xr:uid="{00000000-0005-0000-0000-0000A4020000}"/>
    <cellStyle name="40% - Accent4 10 2" xfId="678" xr:uid="{00000000-0005-0000-0000-0000A5020000}"/>
    <cellStyle name="40% - Accent4 11" xfId="679" xr:uid="{00000000-0005-0000-0000-0000A6020000}"/>
    <cellStyle name="40% - Accent4 11 2" xfId="680" xr:uid="{00000000-0005-0000-0000-0000A7020000}"/>
    <cellStyle name="40% - Accent4 12" xfId="681" xr:uid="{00000000-0005-0000-0000-0000A8020000}"/>
    <cellStyle name="40% - Accent4 13" xfId="682" xr:uid="{00000000-0005-0000-0000-0000A9020000}"/>
    <cellStyle name="40% - Accent4 14" xfId="683" xr:uid="{00000000-0005-0000-0000-0000AA020000}"/>
    <cellStyle name="40% - Accent4 15" xfId="684" xr:uid="{00000000-0005-0000-0000-0000AB020000}"/>
    <cellStyle name="40% - Accent4 16" xfId="685" xr:uid="{00000000-0005-0000-0000-0000AC020000}"/>
    <cellStyle name="40% - Accent4 17" xfId="686" xr:uid="{00000000-0005-0000-0000-0000AD020000}"/>
    <cellStyle name="40% - Accent4 18" xfId="687" xr:uid="{00000000-0005-0000-0000-0000AE020000}"/>
    <cellStyle name="40% - Accent4 19" xfId="688" xr:uid="{00000000-0005-0000-0000-0000AF020000}"/>
    <cellStyle name="40% - Accent4 2" xfId="689" xr:uid="{00000000-0005-0000-0000-0000B0020000}"/>
    <cellStyle name="40% - Accent4 2 10" xfId="690" xr:uid="{00000000-0005-0000-0000-0000B1020000}"/>
    <cellStyle name="40% - Accent4 2 11" xfId="691" xr:uid="{00000000-0005-0000-0000-0000B2020000}"/>
    <cellStyle name="40% - Accent4 2 12" xfId="692" xr:uid="{00000000-0005-0000-0000-0000B3020000}"/>
    <cellStyle name="40% - Accent4 2 13" xfId="693" xr:uid="{00000000-0005-0000-0000-0000B4020000}"/>
    <cellStyle name="40% - Accent4 2 14" xfId="694" xr:uid="{00000000-0005-0000-0000-0000B5020000}"/>
    <cellStyle name="40% - Accent4 2 15" xfId="695" xr:uid="{00000000-0005-0000-0000-0000B6020000}"/>
    <cellStyle name="40% - Accent4 2 16" xfId="696" xr:uid="{00000000-0005-0000-0000-0000B7020000}"/>
    <cellStyle name="40% - Accent4 2 2" xfId="697" xr:uid="{00000000-0005-0000-0000-0000B8020000}"/>
    <cellStyle name="40% - Accent4 2 2 2" xfId="698" xr:uid="{00000000-0005-0000-0000-0000B9020000}"/>
    <cellStyle name="40% - Accent4 2 3" xfId="699" xr:uid="{00000000-0005-0000-0000-0000BA020000}"/>
    <cellStyle name="40% - Accent4 2 3 2" xfId="700" xr:uid="{00000000-0005-0000-0000-0000BB020000}"/>
    <cellStyle name="40% - Accent4 2 4" xfId="701" xr:uid="{00000000-0005-0000-0000-0000BC020000}"/>
    <cellStyle name="40% - Accent4 2 5" xfId="702" xr:uid="{00000000-0005-0000-0000-0000BD020000}"/>
    <cellStyle name="40% - Accent4 2 6" xfId="703" xr:uid="{00000000-0005-0000-0000-0000BE020000}"/>
    <cellStyle name="40% - Accent4 2 7" xfId="704" xr:uid="{00000000-0005-0000-0000-0000BF020000}"/>
    <cellStyle name="40% - Accent4 2 8" xfId="705" xr:uid="{00000000-0005-0000-0000-0000C0020000}"/>
    <cellStyle name="40% - Accent4 2 9" xfId="706" xr:uid="{00000000-0005-0000-0000-0000C1020000}"/>
    <cellStyle name="40% - Accent4 20" xfId="707" xr:uid="{00000000-0005-0000-0000-0000C2020000}"/>
    <cellStyle name="40% - Accent4 21" xfId="708" xr:uid="{00000000-0005-0000-0000-0000C3020000}"/>
    <cellStyle name="40% - Accent4 22" xfId="709" xr:uid="{00000000-0005-0000-0000-0000C4020000}"/>
    <cellStyle name="40% - Accent4 23" xfId="710" xr:uid="{00000000-0005-0000-0000-0000C5020000}"/>
    <cellStyle name="40% - Accent4 24" xfId="711" xr:uid="{00000000-0005-0000-0000-0000C6020000}"/>
    <cellStyle name="40% - Accent4 25" xfId="712" xr:uid="{00000000-0005-0000-0000-0000C7020000}"/>
    <cellStyle name="40% - Accent4 26" xfId="713" xr:uid="{00000000-0005-0000-0000-0000C8020000}"/>
    <cellStyle name="40% - Accent4 27" xfId="714" xr:uid="{00000000-0005-0000-0000-0000C9020000}"/>
    <cellStyle name="40% - Accent4 28" xfId="715" xr:uid="{00000000-0005-0000-0000-0000CA020000}"/>
    <cellStyle name="40% - Accent4 29" xfId="716" xr:uid="{00000000-0005-0000-0000-0000CB020000}"/>
    <cellStyle name="40% - Accent4 3" xfId="717" xr:uid="{00000000-0005-0000-0000-0000CC020000}"/>
    <cellStyle name="40% - Accent4 3 2" xfId="718" xr:uid="{00000000-0005-0000-0000-0000CD020000}"/>
    <cellStyle name="40% - Accent4 3 3" xfId="719" xr:uid="{00000000-0005-0000-0000-0000CE020000}"/>
    <cellStyle name="40% - Accent4 3 4" xfId="720" xr:uid="{00000000-0005-0000-0000-0000CF020000}"/>
    <cellStyle name="40% - Accent4 30" xfId="721" xr:uid="{00000000-0005-0000-0000-0000D0020000}"/>
    <cellStyle name="40% - Accent4 31" xfId="722" xr:uid="{00000000-0005-0000-0000-0000D1020000}"/>
    <cellStyle name="40% - Accent4 32" xfId="723" xr:uid="{00000000-0005-0000-0000-0000D2020000}"/>
    <cellStyle name="40% - Accent4 33" xfId="724" xr:uid="{00000000-0005-0000-0000-0000D3020000}"/>
    <cellStyle name="40% - Accent4 34" xfId="725" xr:uid="{00000000-0005-0000-0000-0000D4020000}"/>
    <cellStyle name="40% - Accent4 35" xfId="726" xr:uid="{00000000-0005-0000-0000-0000D5020000}"/>
    <cellStyle name="40% - Accent4 36" xfId="727" xr:uid="{00000000-0005-0000-0000-0000D6020000}"/>
    <cellStyle name="40% - Accent4 37" xfId="728" xr:uid="{00000000-0005-0000-0000-0000D7020000}"/>
    <cellStyle name="40% - Accent4 38" xfId="729" xr:uid="{00000000-0005-0000-0000-0000D8020000}"/>
    <cellStyle name="40% - Accent4 39" xfId="730" xr:uid="{00000000-0005-0000-0000-0000D9020000}"/>
    <cellStyle name="40% - Accent4 4" xfId="731" xr:uid="{00000000-0005-0000-0000-0000DA020000}"/>
    <cellStyle name="40% - Accent4 4 2" xfId="732" xr:uid="{00000000-0005-0000-0000-0000DB020000}"/>
    <cellStyle name="40% - Accent4 4 3" xfId="733" xr:uid="{00000000-0005-0000-0000-0000DC020000}"/>
    <cellStyle name="40% - Accent4 40" xfId="734" xr:uid="{00000000-0005-0000-0000-0000DD020000}"/>
    <cellStyle name="40% - Accent4 41" xfId="735" xr:uid="{00000000-0005-0000-0000-0000DE020000}"/>
    <cellStyle name="40% - Accent4 42" xfId="736" xr:uid="{00000000-0005-0000-0000-0000DF020000}"/>
    <cellStyle name="40% - Accent4 43" xfId="737" xr:uid="{00000000-0005-0000-0000-0000E0020000}"/>
    <cellStyle name="40% - Accent4 5" xfId="738" xr:uid="{00000000-0005-0000-0000-0000E1020000}"/>
    <cellStyle name="40% - Accent4 5 2" xfId="739" xr:uid="{00000000-0005-0000-0000-0000E2020000}"/>
    <cellStyle name="40% - Accent4 5 3" xfId="740" xr:uid="{00000000-0005-0000-0000-0000E3020000}"/>
    <cellStyle name="40% - Accent4 6" xfId="741" xr:uid="{00000000-0005-0000-0000-0000E4020000}"/>
    <cellStyle name="40% - Accent4 6 2" xfId="742" xr:uid="{00000000-0005-0000-0000-0000E5020000}"/>
    <cellStyle name="40% - Accent4 6 3" xfId="743" xr:uid="{00000000-0005-0000-0000-0000E6020000}"/>
    <cellStyle name="40% - Accent4 7" xfId="744" xr:uid="{00000000-0005-0000-0000-0000E7020000}"/>
    <cellStyle name="40% - Accent4 7 2" xfId="745" xr:uid="{00000000-0005-0000-0000-0000E8020000}"/>
    <cellStyle name="40% - Accent4 7 3" xfId="746" xr:uid="{00000000-0005-0000-0000-0000E9020000}"/>
    <cellStyle name="40% - Accent4 8" xfId="747" xr:uid="{00000000-0005-0000-0000-0000EA020000}"/>
    <cellStyle name="40% - Accent4 8 2" xfId="748" xr:uid="{00000000-0005-0000-0000-0000EB020000}"/>
    <cellStyle name="40% - Accent4 8 3" xfId="749" xr:uid="{00000000-0005-0000-0000-0000EC020000}"/>
    <cellStyle name="40% - Accent4 9" xfId="750" xr:uid="{00000000-0005-0000-0000-0000ED020000}"/>
    <cellStyle name="40% - Accent4 9 2" xfId="751" xr:uid="{00000000-0005-0000-0000-0000EE020000}"/>
    <cellStyle name="40% - Accent5" xfId="752" builtinId="47" customBuiltin="1"/>
    <cellStyle name="40% - Accent5 10" xfId="753" xr:uid="{00000000-0005-0000-0000-0000F0020000}"/>
    <cellStyle name="40% - Accent5 10 2" xfId="754" xr:uid="{00000000-0005-0000-0000-0000F1020000}"/>
    <cellStyle name="40% - Accent5 11" xfId="755" xr:uid="{00000000-0005-0000-0000-0000F2020000}"/>
    <cellStyle name="40% - Accent5 11 2" xfId="756" xr:uid="{00000000-0005-0000-0000-0000F3020000}"/>
    <cellStyle name="40% - Accent5 12" xfId="757" xr:uid="{00000000-0005-0000-0000-0000F4020000}"/>
    <cellStyle name="40% - Accent5 13" xfId="758" xr:uid="{00000000-0005-0000-0000-0000F5020000}"/>
    <cellStyle name="40% - Accent5 14" xfId="759" xr:uid="{00000000-0005-0000-0000-0000F6020000}"/>
    <cellStyle name="40% - Accent5 15" xfId="760" xr:uid="{00000000-0005-0000-0000-0000F7020000}"/>
    <cellStyle name="40% - Accent5 16" xfId="761" xr:uid="{00000000-0005-0000-0000-0000F8020000}"/>
    <cellStyle name="40% - Accent5 17" xfId="762" xr:uid="{00000000-0005-0000-0000-0000F9020000}"/>
    <cellStyle name="40% - Accent5 18" xfId="763" xr:uid="{00000000-0005-0000-0000-0000FA020000}"/>
    <cellStyle name="40% - Accent5 19" xfId="764" xr:uid="{00000000-0005-0000-0000-0000FB020000}"/>
    <cellStyle name="40% - Accent5 2" xfId="765" xr:uid="{00000000-0005-0000-0000-0000FC020000}"/>
    <cellStyle name="40% - Accent5 2 10" xfId="766" xr:uid="{00000000-0005-0000-0000-0000FD020000}"/>
    <cellStyle name="40% - Accent5 2 11" xfId="767" xr:uid="{00000000-0005-0000-0000-0000FE020000}"/>
    <cellStyle name="40% - Accent5 2 12" xfId="768" xr:uid="{00000000-0005-0000-0000-0000FF020000}"/>
    <cellStyle name="40% - Accent5 2 13" xfId="769" xr:uid="{00000000-0005-0000-0000-000000030000}"/>
    <cellStyle name="40% - Accent5 2 14" xfId="770" xr:uid="{00000000-0005-0000-0000-000001030000}"/>
    <cellStyle name="40% - Accent5 2 15" xfId="771" xr:uid="{00000000-0005-0000-0000-000002030000}"/>
    <cellStyle name="40% - Accent5 2 16" xfId="772" xr:uid="{00000000-0005-0000-0000-000003030000}"/>
    <cellStyle name="40% - Accent5 2 2" xfId="773" xr:uid="{00000000-0005-0000-0000-000004030000}"/>
    <cellStyle name="40% - Accent5 2 2 2" xfId="774" xr:uid="{00000000-0005-0000-0000-000005030000}"/>
    <cellStyle name="40% - Accent5 2 3" xfId="775" xr:uid="{00000000-0005-0000-0000-000006030000}"/>
    <cellStyle name="40% - Accent5 2 3 2" xfId="776" xr:uid="{00000000-0005-0000-0000-000007030000}"/>
    <cellStyle name="40% - Accent5 2 4" xfId="777" xr:uid="{00000000-0005-0000-0000-000008030000}"/>
    <cellStyle name="40% - Accent5 2 5" xfId="778" xr:uid="{00000000-0005-0000-0000-000009030000}"/>
    <cellStyle name="40% - Accent5 2 6" xfId="779" xr:uid="{00000000-0005-0000-0000-00000A030000}"/>
    <cellStyle name="40% - Accent5 2 7" xfId="780" xr:uid="{00000000-0005-0000-0000-00000B030000}"/>
    <cellStyle name="40% - Accent5 2 8" xfId="781" xr:uid="{00000000-0005-0000-0000-00000C030000}"/>
    <cellStyle name="40% - Accent5 2 9" xfId="782" xr:uid="{00000000-0005-0000-0000-00000D030000}"/>
    <cellStyle name="40% - Accent5 20" xfId="783" xr:uid="{00000000-0005-0000-0000-00000E030000}"/>
    <cellStyle name="40% - Accent5 21" xfId="784" xr:uid="{00000000-0005-0000-0000-00000F030000}"/>
    <cellStyle name="40% - Accent5 22" xfId="785" xr:uid="{00000000-0005-0000-0000-000010030000}"/>
    <cellStyle name="40% - Accent5 23" xfId="786" xr:uid="{00000000-0005-0000-0000-000011030000}"/>
    <cellStyle name="40% - Accent5 24" xfId="787" xr:uid="{00000000-0005-0000-0000-000012030000}"/>
    <cellStyle name="40% - Accent5 25" xfId="788" xr:uid="{00000000-0005-0000-0000-000013030000}"/>
    <cellStyle name="40% - Accent5 26" xfId="789" xr:uid="{00000000-0005-0000-0000-000014030000}"/>
    <cellStyle name="40% - Accent5 27" xfId="790" xr:uid="{00000000-0005-0000-0000-000015030000}"/>
    <cellStyle name="40% - Accent5 28" xfId="791" xr:uid="{00000000-0005-0000-0000-000016030000}"/>
    <cellStyle name="40% - Accent5 29" xfId="792" xr:uid="{00000000-0005-0000-0000-000017030000}"/>
    <cellStyle name="40% - Accent5 3" xfId="793" xr:uid="{00000000-0005-0000-0000-000018030000}"/>
    <cellStyle name="40% - Accent5 3 2" xfId="794" xr:uid="{00000000-0005-0000-0000-000019030000}"/>
    <cellStyle name="40% - Accent5 3 3" xfId="795" xr:uid="{00000000-0005-0000-0000-00001A030000}"/>
    <cellStyle name="40% - Accent5 3 4" xfId="796" xr:uid="{00000000-0005-0000-0000-00001B030000}"/>
    <cellStyle name="40% - Accent5 30" xfId="797" xr:uid="{00000000-0005-0000-0000-00001C030000}"/>
    <cellStyle name="40% - Accent5 31" xfId="798" xr:uid="{00000000-0005-0000-0000-00001D030000}"/>
    <cellStyle name="40% - Accent5 32" xfId="799" xr:uid="{00000000-0005-0000-0000-00001E030000}"/>
    <cellStyle name="40% - Accent5 33" xfId="800" xr:uid="{00000000-0005-0000-0000-00001F030000}"/>
    <cellStyle name="40% - Accent5 34" xfId="801" xr:uid="{00000000-0005-0000-0000-000020030000}"/>
    <cellStyle name="40% - Accent5 35" xfId="802" xr:uid="{00000000-0005-0000-0000-000021030000}"/>
    <cellStyle name="40% - Accent5 36" xfId="803" xr:uid="{00000000-0005-0000-0000-000022030000}"/>
    <cellStyle name="40% - Accent5 37" xfId="804" xr:uid="{00000000-0005-0000-0000-000023030000}"/>
    <cellStyle name="40% - Accent5 38" xfId="805" xr:uid="{00000000-0005-0000-0000-000024030000}"/>
    <cellStyle name="40% - Accent5 39" xfId="806" xr:uid="{00000000-0005-0000-0000-000025030000}"/>
    <cellStyle name="40% - Accent5 4" xfId="807" xr:uid="{00000000-0005-0000-0000-000026030000}"/>
    <cellStyle name="40% - Accent5 4 2" xfId="808" xr:uid="{00000000-0005-0000-0000-000027030000}"/>
    <cellStyle name="40% - Accent5 4 3" xfId="809" xr:uid="{00000000-0005-0000-0000-000028030000}"/>
    <cellStyle name="40% - Accent5 40" xfId="810" xr:uid="{00000000-0005-0000-0000-000029030000}"/>
    <cellStyle name="40% - Accent5 41" xfId="811" xr:uid="{00000000-0005-0000-0000-00002A030000}"/>
    <cellStyle name="40% - Accent5 42" xfId="812" xr:uid="{00000000-0005-0000-0000-00002B030000}"/>
    <cellStyle name="40% - Accent5 43" xfId="813" xr:uid="{00000000-0005-0000-0000-00002C030000}"/>
    <cellStyle name="40% - Accent5 5" xfId="814" xr:uid="{00000000-0005-0000-0000-00002D030000}"/>
    <cellStyle name="40% - Accent5 5 2" xfId="815" xr:uid="{00000000-0005-0000-0000-00002E030000}"/>
    <cellStyle name="40% - Accent5 5 3" xfId="816" xr:uid="{00000000-0005-0000-0000-00002F030000}"/>
    <cellStyle name="40% - Accent5 6" xfId="817" xr:uid="{00000000-0005-0000-0000-000030030000}"/>
    <cellStyle name="40% - Accent5 6 2" xfId="818" xr:uid="{00000000-0005-0000-0000-000031030000}"/>
    <cellStyle name="40% - Accent5 6 3" xfId="819" xr:uid="{00000000-0005-0000-0000-000032030000}"/>
    <cellStyle name="40% - Accent5 7" xfId="820" xr:uid="{00000000-0005-0000-0000-000033030000}"/>
    <cellStyle name="40% - Accent5 7 2" xfId="821" xr:uid="{00000000-0005-0000-0000-000034030000}"/>
    <cellStyle name="40% - Accent5 7 3" xfId="822" xr:uid="{00000000-0005-0000-0000-000035030000}"/>
    <cellStyle name="40% - Accent5 8" xfId="823" xr:uid="{00000000-0005-0000-0000-000036030000}"/>
    <cellStyle name="40% - Accent5 8 2" xfId="824" xr:uid="{00000000-0005-0000-0000-000037030000}"/>
    <cellStyle name="40% - Accent5 8 3" xfId="825" xr:uid="{00000000-0005-0000-0000-000038030000}"/>
    <cellStyle name="40% - Accent5 9" xfId="826" xr:uid="{00000000-0005-0000-0000-000039030000}"/>
    <cellStyle name="40% - Accent5 9 2" xfId="827" xr:uid="{00000000-0005-0000-0000-00003A030000}"/>
    <cellStyle name="40% - Accent6" xfId="828" builtinId="51" customBuiltin="1"/>
    <cellStyle name="40% - Accent6 10" xfId="829" xr:uid="{00000000-0005-0000-0000-00003C030000}"/>
    <cellStyle name="40% - Accent6 10 2" xfId="830" xr:uid="{00000000-0005-0000-0000-00003D030000}"/>
    <cellStyle name="40% - Accent6 11" xfId="831" xr:uid="{00000000-0005-0000-0000-00003E030000}"/>
    <cellStyle name="40% - Accent6 11 2" xfId="832" xr:uid="{00000000-0005-0000-0000-00003F030000}"/>
    <cellStyle name="40% - Accent6 12" xfId="833" xr:uid="{00000000-0005-0000-0000-000040030000}"/>
    <cellStyle name="40% - Accent6 13" xfId="834" xr:uid="{00000000-0005-0000-0000-000041030000}"/>
    <cellStyle name="40% - Accent6 14" xfId="835" xr:uid="{00000000-0005-0000-0000-000042030000}"/>
    <cellStyle name="40% - Accent6 15" xfId="836" xr:uid="{00000000-0005-0000-0000-000043030000}"/>
    <cellStyle name="40% - Accent6 16" xfId="837" xr:uid="{00000000-0005-0000-0000-000044030000}"/>
    <cellStyle name="40% - Accent6 17" xfId="838" xr:uid="{00000000-0005-0000-0000-000045030000}"/>
    <cellStyle name="40% - Accent6 18" xfId="839" xr:uid="{00000000-0005-0000-0000-000046030000}"/>
    <cellStyle name="40% - Accent6 19" xfId="840" xr:uid="{00000000-0005-0000-0000-000047030000}"/>
    <cellStyle name="40% - Accent6 2" xfId="841" xr:uid="{00000000-0005-0000-0000-000048030000}"/>
    <cellStyle name="40% - Accent6 2 10" xfId="842" xr:uid="{00000000-0005-0000-0000-000049030000}"/>
    <cellStyle name="40% - Accent6 2 11" xfId="843" xr:uid="{00000000-0005-0000-0000-00004A030000}"/>
    <cellStyle name="40% - Accent6 2 12" xfId="844" xr:uid="{00000000-0005-0000-0000-00004B030000}"/>
    <cellStyle name="40% - Accent6 2 13" xfId="845" xr:uid="{00000000-0005-0000-0000-00004C030000}"/>
    <cellStyle name="40% - Accent6 2 14" xfId="846" xr:uid="{00000000-0005-0000-0000-00004D030000}"/>
    <cellStyle name="40% - Accent6 2 15" xfId="847" xr:uid="{00000000-0005-0000-0000-00004E030000}"/>
    <cellStyle name="40% - Accent6 2 16" xfId="848" xr:uid="{00000000-0005-0000-0000-00004F030000}"/>
    <cellStyle name="40% - Accent6 2 2" xfId="849" xr:uid="{00000000-0005-0000-0000-000050030000}"/>
    <cellStyle name="40% - Accent6 2 2 2" xfId="850" xr:uid="{00000000-0005-0000-0000-000051030000}"/>
    <cellStyle name="40% - Accent6 2 3" xfId="851" xr:uid="{00000000-0005-0000-0000-000052030000}"/>
    <cellStyle name="40% - Accent6 2 3 2" xfId="852" xr:uid="{00000000-0005-0000-0000-000053030000}"/>
    <cellStyle name="40% - Accent6 2 4" xfId="853" xr:uid="{00000000-0005-0000-0000-000054030000}"/>
    <cellStyle name="40% - Accent6 2 5" xfId="854" xr:uid="{00000000-0005-0000-0000-000055030000}"/>
    <cellStyle name="40% - Accent6 2 6" xfId="855" xr:uid="{00000000-0005-0000-0000-000056030000}"/>
    <cellStyle name="40% - Accent6 2 7" xfId="856" xr:uid="{00000000-0005-0000-0000-000057030000}"/>
    <cellStyle name="40% - Accent6 2 8" xfId="857" xr:uid="{00000000-0005-0000-0000-000058030000}"/>
    <cellStyle name="40% - Accent6 2 9" xfId="858" xr:uid="{00000000-0005-0000-0000-000059030000}"/>
    <cellStyle name="40% - Accent6 20" xfId="859" xr:uid="{00000000-0005-0000-0000-00005A030000}"/>
    <cellStyle name="40% - Accent6 21" xfId="860" xr:uid="{00000000-0005-0000-0000-00005B030000}"/>
    <cellStyle name="40% - Accent6 22" xfId="861" xr:uid="{00000000-0005-0000-0000-00005C030000}"/>
    <cellStyle name="40% - Accent6 23" xfId="862" xr:uid="{00000000-0005-0000-0000-00005D030000}"/>
    <cellStyle name="40% - Accent6 24" xfId="863" xr:uid="{00000000-0005-0000-0000-00005E030000}"/>
    <cellStyle name="40% - Accent6 25" xfId="864" xr:uid="{00000000-0005-0000-0000-00005F030000}"/>
    <cellStyle name="40% - Accent6 26" xfId="865" xr:uid="{00000000-0005-0000-0000-000060030000}"/>
    <cellStyle name="40% - Accent6 27" xfId="866" xr:uid="{00000000-0005-0000-0000-000061030000}"/>
    <cellStyle name="40% - Accent6 28" xfId="867" xr:uid="{00000000-0005-0000-0000-000062030000}"/>
    <cellStyle name="40% - Accent6 29" xfId="868" xr:uid="{00000000-0005-0000-0000-000063030000}"/>
    <cellStyle name="40% - Accent6 3" xfId="869" xr:uid="{00000000-0005-0000-0000-000064030000}"/>
    <cellStyle name="40% - Accent6 3 2" xfId="870" xr:uid="{00000000-0005-0000-0000-000065030000}"/>
    <cellStyle name="40% - Accent6 3 3" xfId="871" xr:uid="{00000000-0005-0000-0000-000066030000}"/>
    <cellStyle name="40% - Accent6 3 4" xfId="872" xr:uid="{00000000-0005-0000-0000-000067030000}"/>
    <cellStyle name="40% - Accent6 30" xfId="873" xr:uid="{00000000-0005-0000-0000-000068030000}"/>
    <cellStyle name="40% - Accent6 31" xfId="874" xr:uid="{00000000-0005-0000-0000-000069030000}"/>
    <cellStyle name="40% - Accent6 32" xfId="875" xr:uid="{00000000-0005-0000-0000-00006A030000}"/>
    <cellStyle name="40% - Accent6 33" xfId="876" xr:uid="{00000000-0005-0000-0000-00006B030000}"/>
    <cellStyle name="40% - Accent6 34" xfId="877" xr:uid="{00000000-0005-0000-0000-00006C030000}"/>
    <cellStyle name="40% - Accent6 35" xfId="878" xr:uid="{00000000-0005-0000-0000-00006D030000}"/>
    <cellStyle name="40% - Accent6 36" xfId="879" xr:uid="{00000000-0005-0000-0000-00006E030000}"/>
    <cellStyle name="40% - Accent6 37" xfId="880" xr:uid="{00000000-0005-0000-0000-00006F030000}"/>
    <cellStyle name="40% - Accent6 38" xfId="881" xr:uid="{00000000-0005-0000-0000-000070030000}"/>
    <cellStyle name="40% - Accent6 39" xfId="882" xr:uid="{00000000-0005-0000-0000-000071030000}"/>
    <cellStyle name="40% - Accent6 4" xfId="883" xr:uid="{00000000-0005-0000-0000-000072030000}"/>
    <cellStyle name="40% - Accent6 4 2" xfId="884" xr:uid="{00000000-0005-0000-0000-000073030000}"/>
    <cellStyle name="40% - Accent6 4 3" xfId="885" xr:uid="{00000000-0005-0000-0000-000074030000}"/>
    <cellStyle name="40% - Accent6 40" xfId="886" xr:uid="{00000000-0005-0000-0000-000075030000}"/>
    <cellStyle name="40% - Accent6 41" xfId="887" xr:uid="{00000000-0005-0000-0000-000076030000}"/>
    <cellStyle name="40% - Accent6 42" xfId="888" xr:uid="{00000000-0005-0000-0000-000077030000}"/>
    <cellStyle name="40% - Accent6 43" xfId="889" xr:uid="{00000000-0005-0000-0000-000078030000}"/>
    <cellStyle name="40% - Accent6 5" xfId="890" xr:uid="{00000000-0005-0000-0000-000079030000}"/>
    <cellStyle name="40% - Accent6 5 2" xfId="891" xr:uid="{00000000-0005-0000-0000-00007A030000}"/>
    <cellStyle name="40% - Accent6 5 3" xfId="892" xr:uid="{00000000-0005-0000-0000-00007B030000}"/>
    <cellStyle name="40% - Accent6 6" xfId="893" xr:uid="{00000000-0005-0000-0000-00007C030000}"/>
    <cellStyle name="40% - Accent6 6 2" xfId="894" xr:uid="{00000000-0005-0000-0000-00007D030000}"/>
    <cellStyle name="40% - Accent6 6 3" xfId="895" xr:uid="{00000000-0005-0000-0000-00007E030000}"/>
    <cellStyle name="40% - Accent6 7" xfId="896" xr:uid="{00000000-0005-0000-0000-00007F030000}"/>
    <cellStyle name="40% - Accent6 7 2" xfId="897" xr:uid="{00000000-0005-0000-0000-000080030000}"/>
    <cellStyle name="40% - Accent6 7 3" xfId="898" xr:uid="{00000000-0005-0000-0000-000081030000}"/>
    <cellStyle name="40% - Accent6 8" xfId="899" xr:uid="{00000000-0005-0000-0000-000082030000}"/>
    <cellStyle name="40% - Accent6 8 2" xfId="900" xr:uid="{00000000-0005-0000-0000-000083030000}"/>
    <cellStyle name="40% - Accent6 8 3" xfId="901" xr:uid="{00000000-0005-0000-0000-000084030000}"/>
    <cellStyle name="40% - Accent6 9" xfId="902" xr:uid="{00000000-0005-0000-0000-000085030000}"/>
    <cellStyle name="40% - Accent6 9 2" xfId="903" xr:uid="{00000000-0005-0000-0000-000086030000}"/>
    <cellStyle name="40% - Akzent1" xfId="904" xr:uid="{00000000-0005-0000-0000-000087030000}"/>
    <cellStyle name="40% - Akzent2" xfId="905" xr:uid="{00000000-0005-0000-0000-000088030000}"/>
    <cellStyle name="40% - Akzent3" xfId="906" xr:uid="{00000000-0005-0000-0000-000089030000}"/>
    <cellStyle name="40% - Akzent4" xfId="907" xr:uid="{00000000-0005-0000-0000-00008A030000}"/>
    <cellStyle name="40% - Akzent5" xfId="908" xr:uid="{00000000-0005-0000-0000-00008B030000}"/>
    <cellStyle name="40% - Akzent6" xfId="909" xr:uid="{00000000-0005-0000-0000-00008C030000}"/>
    <cellStyle name="5x indented GHG Textfiels" xfId="910" xr:uid="{00000000-0005-0000-0000-00008D030000}"/>
    <cellStyle name="5x indented GHG Textfiels 2" xfId="911" xr:uid="{00000000-0005-0000-0000-00008E030000}"/>
    <cellStyle name="60% - Accent1" xfId="912" builtinId="32" customBuiltin="1"/>
    <cellStyle name="60% - Accent1 10" xfId="913" xr:uid="{00000000-0005-0000-0000-000090030000}"/>
    <cellStyle name="60% - Accent1 11" xfId="914" xr:uid="{00000000-0005-0000-0000-000091030000}"/>
    <cellStyle name="60% - Accent1 12" xfId="915" xr:uid="{00000000-0005-0000-0000-000092030000}"/>
    <cellStyle name="60% - Accent1 13" xfId="916" xr:uid="{00000000-0005-0000-0000-000093030000}"/>
    <cellStyle name="60% - Accent1 14" xfId="917" xr:uid="{00000000-0005-0000-0000-000094030000}"/>
    <cellStyle name="60% - Accent1 15" xfId="918" xr:uid="{00000000-0005-0000-0000-000095030000}"/>
    <cellStyle name="60% - Accent1 16" xfId="919" xr:uid="{00000000-0005-0000-0000-000096030000}"/>
    <cellStyle name="60% - Accent1 17" xfId="920" xr:uid="{00000000-0005-0000-0000-000097030000}"/>
    <cellStyle name="60% - Accent1 18" xfId="921" xr:uid="{00000000-0005-0000-0000-000098030000}"/>
    <cellStyle name="60% - Accent1 19" xfId="922" xr:uid="{00000000-0005-0000-0000-000099030000}"/>
    <cellStyle name="60% - Accent1 2" xfId="923" xr:uid="{00000000-0005-0000-0000-00009A030000}"/>
    <cellStyle name="60% - Accent1 2 10" xfId="924" xr:uid="{00000000-0005-0000-0000-00009B030000}"/>
    <cellStyle name="60% - Accent1 2 11" xfId="925" xr:uid="{00000000-0005-0000-0000-00009C030000}"/>
    <cellStyle name="60% - Accent1 2 2" xfId="926" xr:uid="{00000000-0005-0000-0000-00009D030000}"/>
    <cellStyle name="60% - Accent1 2 2 2" xfId="927" xr:uid="{00000000-0005-0000-0000-00009E030000}"/>
    <cellStyle name="60% - Accent1 2 3" xfId="928" xr:uid="{00000000-0005-0000-0000-00009F030000}"/>
    <cellStyle name="60% - Accent1 2 3 2" xfId="929" xr:uid="{00000000-0005-0000-0000-0000A0030000}"/>
    <cellStyle name="60% - Accent1 2 4" xfId="930" xr:uid="{00000000-0005-0000-0000-0000A1030000}"/>
    <cellStyle name="60% - Accent1 2 5" xfId="931" xr:uid="{00000000-0005-0000-0000-0000A2030000}"/>
    <cellStyle name="60% - Accent1 2 6" xfId="932" xr:uid="{00000000-0005-0000-0000-0000A3030000}"/>
    <cellStyle name="60% - Accent1 2 7" xfId="933" xr:uid="{00000000-0005-0000-0000-0000A4030000}"/>
    <cellStyle name="60% - Accent1 2 8" xfId="934" xr:uid="{00000000-0005-0000-0000-0000A5030000}"/>
    <cellStyle name="60% - Accent1 2 9" xfId="935" xr:uid="{00000000-0005-0000-0000-0000A6030000}"/>
    <cellStyle name="60% - Accent1 20" xfId="936" xr:uid="{00000000-0005-0000-0000-0000A7030000}"/>
    <cellStyle name="60% - Accent1 21" xfId="937" xr:uid="{00000000-0005-0000-0000-0000A8030000}"/>
    <cellStyle name="60% - Accent1 22" xfId="938" xr:uid="{00000000-0005-0000-0000-0000A9030000}"/>
    <cellStyle name="60% - Accent1 23" xfId="939" xr:uid="{00000000-0005-0000-0000-0000AA030000}"/>
    <cellStyle name="60% - Accent1 24" xfId="940" xr:uid="{00000000-0005-0000-0000-0000AB030000}"/>
    <cellStyle name="60% - Accent1 25" xfId="941" xr:uid="{00000000-0005-0000-0000-0000AC030000}"/>
    <cellStyle name="60% - Accent1 26" xfId="942" xr:uid="{00000000-0005-0000-0000-0000AD030000}"/>
    <cellStyle name="60% - Accent1 27" xfId="943" xr:uid="{00000000-0005-0000-0000-0000AE030000}"/>
    <cellStyle name="60% - Accent1 28" xfId="944" xr:uid="{00000000-0005-0000-0000-0000AF030000}"/>
    <cellStyle name="60% - Accent1 29" xfId="945" xr:uid="{00000000-0005-0000-0000-0000B0030000}"/>
    <cellStyle name="60% - Accent1 3" xfId="946" xr:uid="{00000000-0005-0000-0000-0000B1030000}"/>
    <cellStyle name="60% - Accent1 3 2" xfId="947" xr:uid="{00000000-0005-0000-0000-0000B2030000}"/>
    <cellStyle name="60% - Accent1 3 3" xfId="948" xr:uid="{00000000-0005-0000-0000-0000B3030000}"/>
    <cellStyle name="60% - Accent1 3 4" xfId="949" xr:uid="{00000000-0005-0000-0000-0000B4030000}"/>
    <cellStyle name="60% - Accent1 30" xfId="950" xr:uid="{00000000-0005-0000-0000-0000B5030000}"/>
    <cellStyle name="60% - Accent1 31" xfId="951" xr:uid="{00000000-0005-0000-0000-0000B6030000}"/>
    <cellStyle name="60% - Accent1 32" xfId="952" xr:uid="{00000000-0005-0000-0000-0000B7030000}"/>
    <cellStyle name="60% - Accent1 33" xfId="953" xr:uid="{00000000-0005-0000-0000-0000B8030000}"/>
    <cellStyle name="60% - Accent1 34" xfId="954" xr:uid="{00000000-0005-0000-0000-0000B9030000}"/>
    <cellStyle name="60% - Accent1 35" xfId="955" xr:uid="{00000000-0005-0000-0000-0000BA030000}"/>
    <cellStyle name="60% - Accent1 36" xfId="956" xr:uid="{00000000-0005-0000-0000-0000BB030000}"/>
    <cellStyle name="60% - Accent1 37" xfId="957" xr:uid="{00000000-0005-0000-0000-0000BC030000}"/>
    <cellStyle name="60% - Accent1 38" xfId="958" xr:uid="{00000000-0005-0000-0000-0000BD030000}"/>
    <cellStyle name="60% - Accent1 39" xfId="959" xr:uid="{00000000-0005-0000-0000-0000BE030000}"/>
    <cellStyle name="60% - Accent1 4" xfId="960" xr:uid="{00000000-0005-0000-0000-0000BF030000}"/>
    <cellStyle name="60% - Accent1 4 2" xfId="961" xr:uid="{00000000-0005-0000-0000-0000C0030000}"/>
    <cellStyle name="60% - Accent1 40" xfId="962" xr:uid="{00000000-0005-0000-0000-0000C1030000}"/>
    <cellStyle name="60% - Accent1 41" xfId="963" xr:uid="{00000000-0005-0000-0000-0000C2030000}"/>
    <cellStyle name="60% - Accent1 42" xfId="964" xr:uid="{00000000-0005-0000-0000-0000C3030000}"/>
    <cellStyle name="60% - Accent1 43" xfId="965" xr:uid="{00000000-0005-0000-0000-0000C4030000}"/>
    <cellStyle name="60% - Accent1 5" xfId="966" xr:uid="{00000000-0005-0000-0000-0000C5030000}"/>
    <cellStyle name="60% - Accent1 5 2" xfId="967" xr:uid="{00000000-0005-0000-0000-0000C6030000}"/>
    <cellStyle name="60% - Accent1 6" xfId="968" xr:uid="{00000000-0005-0000-0000-0000C7030000}"/>
    <cellStyle name="60% - Accent1 6 2" xfId="969" xr:uid="{00000000-0005-0000-0000-0000C8030000}"/>
    <cellStyle name="60% - Accent1 7" xfId="970" xr:uid="{00000000-0005-0000-0000-0000C9030000}"/>
    <cellStyle name="60% - Accent1 8" xfId="971" xr:uid="{00000000-0005-0000-0000-0000CA030000}"/>
    <cellStyle name="60% - Accent1 9" xfId="972" xr:uid="{00000000-0005-0000-0000-0000CB030000}"/>
    <cellStyle name="60% - Accent2" xfId="973" builtinId="36" customBuiltin="1"/>
    <cellStyle name="60% - Accent2 10" xfId="974" xr:uid="{00000000-0005-0000-0000-0000CD030000}"/>
    <cellStyle name="60% - Accent2 11" xfId="975" xr:uid="{00000000-0005-0000-0000-0000CE030000}"/>
    <cellStyle name="60% - Accent2 12" xfId="976" xr:uid="{00000000-0005-0000-0000-0000CF030000}"/>
    <cellStyle name="60% - Accent2 13" xfId="977" xr:uid="{00000000-0005-0000-0000-0000D0030000}"/>
    <cellStyle name="60% - Accent2 14" xfId="978" xr:uid="{00000000-0005-0000-0000-0000D1030000}"/>
    <cellStyle name="60% - Accent2 15" xfId="979" xr:uid="{00000000-0005-0000-0000-0000D2030000}"/>
    <cellStyle name="60% - Accent2 16" xfId="980" xr:uid="{00000000-0005-0000-0000-0000D3030000}"/>
    <cellStyle name="60% - Accent2 17" xfId="981" xr:uid="{00000000-0005-0000-0000-0000D4030000}"/>
    <cellStyle name="60% - Accent2 18" xfId="982" xr:uid="{00000000-0005-0000-0000-0000D5030000}"/>
    <cellStyle name="60% - Accent2 19" xfId="983" xr:uid="{00000000-0005-0000-0000-0000D6030000}"/>
    <cellStyle name="60% - Accent2 2" xfId="984" xr:uid="{00000000-0005-0000-0000-0000D7030000}"/>
    <cellStyle name="60% - Accent2 2 10" xfId="985" xr:uid="{00000000-0005-0000-0000-0000D8030000}"/>
    <cellStyle name="60% - Accent2 2 11" xfId="986" xr:uid="{00000000-0005-0000-0000-0000D9030000}"/>
    <cellStyle name="60% - Accent2 2 2" xfId="987" xr:uid="{00000000-0005-0000-0000-0000DA030000}"/>
    <cellStyle name="60% - Accent2 2 2 2" xfId="988" xr:uid="{00000000-0005-0000-0000-0000DB030000}"/>
    <cellStyle name="60% - Accent2 2 3" xfId="989" xr:uid="{00000000-0005-0000-0000-0000DC030000}"/>
    <cellStyle name="60% - Accent2 2 3 2" xfId="990" xr:uid="{00000000-0005-0000-0000-0000DD030000}"/>
    <cellStyle name="60% - Accent2 2 4" xfId="991" xr:uid="{00000000-0005-0000-0000-0000DE030000}"/>
    <cellStyle name="60% - Accent2 2 5" xfId="992" xr:uid="{00000000-0005-0000-0000-0000DF030000}"/>
    <cellStyle name="60% - Accent2 2 6" xfId="993" xr:uid="{00000000-0005-0000-0000-0000E0030000}"/>
    <cellStyle name="60% - Accent2 2 7" xfId="994" xr:uid="{00000000-0005-0000-0000-0000E1030000}"/>
    <cellStyle name="60% - Accent2 2 8" xfId="995" xr:uid="{00000000-0005-0000-0000-0000E2030000}"/>
    <cellStyle name="60% - Accent2 2 9" xfId="996" xr:uid="{00000000-0005-0000-0000-0000E3030000}"/>
    <cellStyle name="60% - Accent2 20" xfId="997" xr:uid="{00000000-0005-0000-0000-0000E4030000}"/>
    <cellStyle name="60% - Accent2 21" xfId="998" xr:uid="{00000000-0005-0000-0000-0000E5030000}"/>
    <cellStyle name="60% - Accent2 22" xfId="999" xr:uid="{00000000-0005-0000-0000-0000E6030000}"/>
    <cellStyle name="60% - Accent2 23" xfId="1000" xr:uid="{00000000-0005-0000-0000-0000E7030000}"/>
    <cellStyle name="60% - Accent2 24" xfId="1001" xr:uid="{00000000-0005-0000-0000-0000E8030000}"/>
    <cellStyle name="60% - Accent2 25" xfId="1002" xr:uid="{00000000-0005-0000-0000-0000E9030000}"/>
    <cellStyle name="60% - Accent2 26" xfId="1003" xr:uid="{00000000-0005-0000-0000-0000EA030000}"/>
    <cellStyle name="60% - Accent2 27" xfId="1004" xr:uid="{00000000-0005-0000-0000-0000EB030000}"/>
    <cellStyle name="60% - Accent2 28" xfId="1005" xr:uid="{00000000-0005-0000-0000-0000EC030000}"/>
    <cellStyle name="60% - Accent2 29" xfId="1006" xr:uid="{00000000-0005-0000-0000-0000ED030000}"/>
    <cellStyle name="60% - Accent2 3" xfId="1007" xr:uid="{00000000-0005-0000-0000-0000EE030000}"/>
    <cellStyle name="60% - Accent2 3 2" xfId="1008" xr:uid="{00000000-0005-0000-0000-0000EF030000}"/>
    <cellStyle name="60% - Accent2 3 3" xfId="1009" xr:uid="{00000000-0005-0000-0000-0000F0030000}"/>
    <cellStyle name="60% - Accent2 3 4" xfId="1010" xr:uid="{00000000-0005-0000-0000-0000F1030000}"/>
    <cellStyle name="60% - Accent2 30" xfId="1011" xr:uid="{00000000-0005-0000-0000-0000F2030000}"/>
    <cellStyle name="60% - Accent2 31" xfId="1012" xr:uid="{00000000-0005-0000-0000-0000F3030000}"/>
    <cellStyle name="60% - Accent2 32" xfId="1013" xr:uid="{00000000-0005-0000-0000-0000F4030000}"/>
    <cellStyle name="60% - Accent2 33" xfId="1014" xr:uid="{00000000-0005-0000-0000-0000F5030000}"/>
    <cellStyle name="60% - Accent2 34" xfId="1015" xr:uid="{00000000-0005-0000-0000-0000F6030000}"/>
    <cellStyle name="60% - Accent2 35" xfId="1016" xr:uid="{00000000-0005-0000-0000-0000F7030000}"/>
    <cellStyle name="60% - Accent2 36" xfId="1017" xr:uid="{00000000-0005-0000-0000-0000F8030000}"/>
    <cellStyle name="60% - Accent2 37" xfId="1018" xr:uid="{00000000-0005-0000-0000-0000F9030000}"/>
    <cellStyle name="60% - Accent2 38" xfId="1019" xr:uid="{00000000-0005-0000-0000-0000FA030000}"/>
    <cellStyle name="60% - Accent2 39" xfId="1020" xr:uid="{00000000-0005-0000-0000-0000FB030000}"/>
    <cellStyle name="60% - Accent2 4" xfId="1021" xr:uid="{00000000-0005-0000-0000-0000FC030000}"/>
    <cellStyle name="60% - Accent2 4 2" xfId="1022" xr:uid="{00000000-0005-0000-0000-0000FD030000}"/>
    <cellStyle name="60% - Accent2 40" xfId="1023" xr:uid="{00000000-0005-0000-0000-0000FE030000}"/>
    <cellStyle name="60% - Accent2 41" xfId="1024" xr:uid="{00000000-0005-0000-0000-0000FF030000}"/>
    <cellStyle name="60% - Accent2 42" xfId="1025" xr:uid="{00000000-0005-0000-0000-000000040000}"/>
    <cellStyle name="60% - Accent2 43" xfId="1026" xr:uid="{00000000-0005-0000-0000-000001040000}"/>
    <cellStyle name="60% - Accent2 5" xfId="1027" xr:uid="{00000000-0005-0000-0000-000002040000}"/>
    <cellStyle name="60% - Accent2 5 2" xfId="1028" xr:uid="{00000000-0005-0000-0000-000003040000}"/>
    <cellStyle name="60% - Accent2 6" xfId="1029" xr:uid="{00000000-0005-0000-0000-000004040000}"/>
    <cellStyle name="60% - Accent2 6 2" xfId="1030" xr:uid="{00000000-0005-0000-0000-000005040000}"/>
    <cellStyle name="60% - Accent2 7" xfId="1031" xr:uid="{00000000-0005-0000-0000-000006040000}"/>
    <cellStyle name="60% - Accent2 8" xfId="1032" xr:uid="{00000000-0005-0000-0000-000007040000}"/>
    <cellStyle name="60% - Accent2 9" xfId="1033" xr:uid="{00000000-0005-0000-0000-000008040000}"/>
    <cellStyle name="60% - Accent3" xfId="1034" builtinId="40" customBuiltin="1"/>
    <cellStyle name="60% - Accent3 10" xfId="1035" xr:uid="{00000000-0005-0000-0000-00000A040000}"/>
    <cellStyle name="60% - Accent3 11" xfId="1036" xr:uid="{00000000-0005-0000-0000-00000B040000}"/>
    <cellStyle name="60% - Accent3 12" xfId="1037" xr:uid="{00000000-0005-0000-0000-00000C040000}"/>
    <cellStyle name="60% - Accent3 13" xfId="1038" xr:uid="{00000000-0005-0000-0000-00000D040000}"/>
    <cellStyle name="60% - Accent3 14" xfId="1039" xr:uid="{00000000-0005-0000-0000-00000E040000}"/>
    <cellStyle name="60% - Accent3 15" xfId="1040" xr:uid="{00000000-0005-0000-0000-00000F040000}"/>
    <cellStyle name="60% - Accent3 16" xfId="1041" xr:uid="{00000000-0005-0000-0000-000010040000}"/>
    <cellStyle name="60% - Accent3 17" xfId="1042" xr:uid="{00000000-0005-0000-0000-000011040000}"/>
    <cellStyle name="60% - Accent3 18" xfId="1043" xr:uid="{00000000-0005-0000-0000-000012040000}"/>
    <cellStyle name="60% - Accent3 19" xfId="1044" xr:uid="{00000000-0005-0000-0000-000013040000}"/>
    <cellStyle name="60% - Accent3 2" xfId="1045" xr:uid="{00000000-0005-0000-0000-000014040000}"/>
    <cellStyle name="60% - Accent3 2 10" xfId="1046" xr:uid="{00000000-0005-0000-0000-000015040000}"/>
    <cellStyle name="60% - Accent3 2 11" xfId="1047" xr:uid="{00000000-0005-0000-0000-000016040000}"/>
    <cellStyle name="60% - Accent3 2 2" xfId="1048" xr:uid="{00000000-0005-0000-0000-000017040000}"/>
    <cellStyle name="60% - Accent3 2 2 2" xfId="1049" xr:uid="{00000000-0005-0000-0000-000018040000}"/>
    <cellStyle name="60% - Accent3 2 3" xfId="1050" xr:uid="{00000000-0005-0000-0000-000019040000}"/>
    <cellStyle name="60% - Accent3 2 3 2" xfId="1051" xr:uid="{00000000-0005-0000-0000-00001A040000}"/>
    <cellStyle name="60% - Accent3 2 4" xfId="1052" xr:uid="{00000000-0005-0000-0000-00001B040000}"/>
    <cellStyle name="60% - Accent3 2 5" xfId="1053" xr:uid="{00000000-0005-0000-0000-00001C040000}"/>
    <cellStyle name="60% - Accent3 2 6" xfId="1054" xr:uid="{00000000-0005-0000-0000-00001D040000}"/>
    <cellStyle name="60% - Accent3 2 7" xfId="1055" xr:uid="{00000000-0005-0000-0000-00001E040000}"/>
    <cellStyle name="60% - Accent3 2 8" xfId="1056" xr:uid="{00000000-0005-0000-0000-00001F040000}"/>
    <cellStyle name="60% - Accent3 2 9" xfId="1057" xr:uid="{00000000-0005-0000-0000-000020040000}"/>
    <cellStyle name="60% - Accent3 20" xfId="1058" xr:uid="{00000000-0005-0000-0000-000021040000}"/>
    <cellStyle name="60% - Accent3 21" xfId="1059" xr:uid="{00000000-0005-0000-0000-000022040000}"/>
    <cellStyle name="60% - Accent3 22" xfId="1060" xr:uid="{00000000-0005-0000-0000-000023040000}"/>
    <cellStyle name="60% - Accent3 23" xfId="1061" xr:uid="{00000000-0005-0000-0000-000024040000}"/>
    <cellStyle name="60% - Accent3 24" xfId="1062" xr:uid="{00000000-0005-0000-0000-000025040000}"/>
    <cellStyle name="60% - Accent3 25" xfId="1063" xr:uid="{00000000-0005-0000-0000-000026040000}"/>
    <cellStyle name="60% - Accent3 26" xfId="1064" xr:uid="{00000000-0005-0000-0000-000027040000}"/>
    <cellStyle name="60% - Accent3 27" xfId="1065" xr:uid="{00000000-0005-0000-0000-000028040000}"/>
    <cellStyle name="60% - Accent3 28" xfId="1066" xr:uid="{00000000-0005-0000-0000-000029040000}"/>
    <cellStyle name="60% - Accent3 29" xfId="1067" xr:uid="{00000000-0005-0000-0000-00002A040000}"/>
    <cellStyle name="60% - Accent3 3" xfId="1068" xr:uid="{00000000-0005-0000-0000-00002B040000}"/>
    <cellStyle name="60% - Accent3 3 2" xfId="1069" xr:uid="{00000000-0005-0000-0000-00002C040000}"/>
    <cellStyle name="60% - Accent3 3 3" xfId="1070" xr:uid="{00000000-0005-0000-0000-00002D040000}"/>
    <cellStyle name="60% - Accent3 3 4" xfId="1071" xr:uid="{00000000-0005-0000-0000-00002E040000}"/>
    <cellStyle name="60% - Accent3 30" xfId="1072" xr:uid="{00000000-0005-0000-0000-00002F040000}"/>
    <cellStyle name="60% - Accent3 31" xfId="1073" xr:uid="{00000000-0005-0000-0000-000030040000}"/>
    <cellStyle name="60% - Accent3 32" xfId="1074" xr:uid="{00000000-0005-0000-0000-000031040000}"/>
    <cellStyle name="60% - Accent3 33" xfId="1075" xr:uid="{00000000-0005-0000-0000-000032040000}"/>
    <cellStyle name="60% - Accent3 34" xfId="1076" xr:uid="{00000000-0005-0000-0000-000033040000}"/>
    <cellStyle name="60% - Accent3 35" xfId="1077" xr:uid="{00000000-0005-0000-0000-000034040000}"/>
    <cellStyle name="60% - Accent3 36" xfId="1078" xr:uid="{00000000-0005-0000-0000-000035040000}"/>
    <cellStyle name="60% - Accent3 37" xfId="1079" xr:uid="{00000000-0005-0000-0000-000036040000}"/>
    <cellStyle name="60% - Accent3 38" xfId="1080" xr:uid="{00000000-0005-0000-0000-000037040000}"/>
    <cellStyle name="60% - Accent3 39" xfId="1081" xr:uid="{00000000-0005-0000-0000-000038040000}"/>
    <cellStyle name="60% - Accent3 4" xfId="1082" xr:uid="{00000000-0005-0000-0000-000039040000}"/>
    <cellStyle name="60% - Accent3 4 2" xfId="1083" xr:uid="{00000000-0005-0000-0000-00003A040000}"/>
    <cellStyle name="60% - Accent3 40" xfId="1084" xr:uid="{00000000-0005-0000-0000-00003B040000}"/>
    <cellStyle name="60% - Accent3 41" xfId="1085" xr:uid="{00000000-0005-0000-0000-00003C040000}"/>
    <cellStyle name="60% - Accent3 42" xfId="1086" xr:uid="{00000000-0005-0000-0000-00003D040000}"/>
    <cellStyle name="60% - Accent3 43" xfId="1087" xr:uid="{00000000-0005-0000-0000-00003E040000}"/>
    <cellStyle name="60% - Accent3 5" xfId="1088" xr:uid="{00000000-0005-0000-0000-00003F040000}"/>
    <cellStyle name="60% - Accent3 5 2" xfId="1089" xr:uid="{00000000-0005-0000-0000-000040040000}"/>
    <cellStyle name="60% - Accent3 6" xfId="1090" xr:uid="{00000000-0005-0000-0000-000041040000}"/>
    <cellStyle name="60% - Accent3 6 2" xfId="1091" xr:uid="{00000000-0005-0000-0000-000042040000}"/>
    <cellStyle name="60% - Accent3 7" xfId="1092" xr:uid="{00000000-0005-0000-0000-000043040000}"/>
    <cellStyle name="60% - Accent3 8" xfId="1093" xr:uid="{00000000-0005-0000-0000-000044040000}"/>
    <cellStyle name="60% - Accent3 9" xfId="1094" xr:uid="{00000000-0005-0000-0000-000045040000}"/>
    <cellStyle name="60% - Accent4" xfId="1095" builtinId="44" customBuiltin="1"/>
    <cellStyle name="60% - Accent4 10" xfId="1096" xr:uid="{00000000-0005-0000-0000-000047040000}"/>
    <cellStyle name="60% - Accent4 11" xfId="1097" xr:uid="{00000000-0005-0000-0000-000048040000}"/>
    <cellStyle name="60% - Accent4 12" xfId="1098" xr:uid="{00000000-0005-0000-0000-000049040000}"/>
    <cellStyle name="60% - Accent4 13" xfId="1099" xr:uid="{00000000-0005-0000-0000-00004A040000}"/>
    <cellStyle name="60% - Accent4 14" xfId="1100" xr:uid="{00000000-0005-0000-0000-00004B040000}"/>
    <cellStyle name="60% - Accent4 15" xfId="1101" xr:uid="{00000000-0005-0000-0000-00004C040000}"/>
    <cellStyle name="60% - Accent4 16" xfId="1102" xr:uid="{00000000-0005-0000-0000-00004D040000}"/>
    <cellStyle name="60% - Accent4 17" xfId="1103" xr:uid="{00000000-0005-0000-0000-00004E040000}"/>
    <cellStyle name="60% - Accent4 18" xfId="1104" xr:uid="{00000000-0005-0000-0000-00004F040000}"/>
    <cellStyle name="60% - Accent4 19" xfId="1105" xr:uid="{00000000-0005-0000-0000-000050040000}"/>
    <cellStyle name="60% - Accent4 2" xfId="1106" xr:uid="{00000000-0005-0000-0000-000051040000}"/>
    <cellStyle name="60% - Accent4 2 10" xfId="1107" xr:uid="{00000000-0005-0000-0000-000052040000}"/>
    <cellStyle name="60% - Accent4 2 11" xfId="1108" xr:uid="{00000000-0005-0000-0000-000053040000}"/>
    <cellStyle name="60% - Accent4 2 2" xfId="1109" xr:uid="{00000000-0005-0000-0000-000054040000}"/>
    <cellStyle name="60% - Accent4 2 2 2" xfId="1110" xr:uid="{00000000-0005-0000-0000-000055040000}"/>
    <cellStyle name="60% - Accent4 2 3" xfId="1111" xr:uid="{00000000-0005-0000-0000-000056040000}"/>
    <cellStyle name="60% - Accent4 2 3 2" xfId="1112" xr:uid="{00000000-0005-0000-0000-000057040000}"/>
    <cellStyle name="60% - Accent4 2 4" xfId="1113" xr:uid="{00000000-0005-0000-0000-000058040000}"/>
    <cellStyle name="60% - Accent4 2 5" xfId="1114" xr:uid="{00000000-0005-0000-0000-000059040000}"/>
    <cellStyle name="60% - Accent4 2 6" xfId="1115" xr:uid="{00000000-0005-0000-0000-00005A040000}"/>
    <cellStyle name="60% - Accent4 2 7" xfId="1116" xr:uid="{00000000-0005-0000-0000-00005B040000}"/>
    <cellStyle name="60% - Accent4 2 8" xfId="1117" xr:uid="{00000000-0005-0000-0000-00005C040000}"/>
    <cellStyle name="60% - Accent4 2 9" xfId="1118" xr:uid="{00000000-0005-0000-0000-00005D040000}"/>
    <cellStyle name="60% - Accent4 20" xfId="1119" xr:uid="{00000000-0005-0000-0000-00005E040000}"/>
    <cellStyle name="60% - Accent4 21" xfId="1120" xr:uid="{00000000-0005-0000-0000-00005F040000}"/>
    <cellStyle name="60% - Accent4 22" xfId="1121" xr:uid="{00000000-0005-0000-0000-000060040000}"/>
    <cellStyle name="60% - Accent4 23" xfId="1122" xr:uid="{00000000-0005-0000-0000-000061040000}"/>
    <cellStyle name="60% - Accent4 24" xfId="1123" xr:uid="{00000000-0005-0000-0000-000062040000}"/>
    <cellStyle name="60% - Accent4 25" xfId="1124" xr:uid="{00000000-0005-0000-0000-000063040000}"/>
    <cellStyle name="60% - Accent4 26" xfId="1125" xr:uid="{00000000-0005-0000-0000-000064040000}"/>
    <cellStyle name="60% - Accent4 27" xfId="1126" xr:uid="{00000000-0005-0000-0000-000065040000}"/>
    <cellStyle name="60% - Accent4 28" xfId="1127" xr:uid="{00000000-0005-0000-0000-000066040000}"/>
    <cellStyle name="60% - Accent4 29" xfId="1128" xr:uid="{00000000-0005-0000-0000-000067040000}"/>
    <cellStyle name="60% - Accent4 3" xfId="1129" xr:uid="{00000000-0005-0000-0000-000068040000}"/>
    <cellStyle name="60% - Accent4 3 2" xfId="1130" xr:uid="{00000000-0005-0000-0000-000069040000}"/>
    <cellStyle name="60% - Accent4 3 3" xfId="1131" xr:uid="{00000000-0005-0000-0000-00006A040000}"/>
    <cellStyle name="60% - Accent4 3 4" xfId="1132" xr:uid="{00000000-0005-0000-0000-00006B040000}"/>
    <cellStyle name="60% - Accent4 30" xfId="1133" xr:uid="{00000000-0005-0000-0000-00006C040000}"/>
    <cellStyle name="60% - Accent4 31" xfId="1134" xr:uid="{00000000-0005-0000-0000-00006D040000}"/>
    <cellStyle name="60% - Accent4 32" xfId="1135" xr:uid="{00000000-0005-0000-0000-00006E040000}"/>
    <cellStyle name="60% - Accent4 33" xfId="1136" xr:uid="{00000000-0005-0000-0000-00006F040000}"/>
    <cellStyle name="60% - Accent4 34" xfId="1137" xr:uid="{00000000-0005-0000-0000-000070040000}"/>
    <cellStyle name="60% - Accent4 35" xfId="1138" xr:uid="{00000000-0005-0000-0000-000071040000}"/>
    <cellStyle name="60% - Accent4 36" xfId="1139" xr:uid="{00000000-0005-0000-0000-000072040000}"/>
    <cellStyle name="60% - Accent4 37" xfId="1140" xr:uid="{00000000-0005-0000-0000-000073040000}"/>
    <cellStyle name="60% - Accent4 38" xfId="1141" xr:uid="{00000000-0005-0000-0000-000074040000}"/>
    <cellStyle name="60% - Accent4 39" xfId="1142" xr:uid="{00000000-0005-0000-0000-000075040000}"/>
    <cellStyle name="60% - Accent4 4" xfId="1143" xr:uid="{00000000-0005-0000-0000-000076040000}"/>
    <cellStyle name="60% - Accent4 4 2" xfId="1144" xr:uid="{00000000-0005-0000-0000-000077040000}"/>
    <cellStyle name="60% - Accent4 40" xfId="1145" xr:uid="{00000000-0005-0000-0000-000078040000}"/>
    <cellStyle name="60% - Accent4 41" xfId="1146" xr:uid="{00000000-0005-0000-0000-000079040000}"/>
    <cellStyle name="60% - Accent4 42" xfId="1147" xr:uid="{00000000-0005-0000-0000-00007A040000}"/>
    <cellStyle name="60% - Accent4 43" xfId="1148" xr:uid="{00000000-0005-0000-0000-00007B040000}"/>
    <cellStyle name="60% - Accent4 5" xfId="1149" xr:uid="{00000000-0005-0000-0000-00007C040000}"/>
    <cellStyle name="60% - Accent4 5 2" xfId="1150" xr:uid="{00000000-0005-0000-0000-00007D040000}"/>
    <cellStyle name="60% - Accent4 6" xfId="1151" xr:uid="{00000000-0005-0000-0000-00007E040000}"/>
    <cellStyle name="60% - Accent4 6 2" xfId="1152" xr:uid="{00000000-0005-0000-0000-00007F040000}"/>
    <cellStyle name="60% - Accent4 7" xfId="1153" xr:uid="{00000000-0005-0000-0000-000080040000}"/>
    <cellStyle name="60% - Accent4 8" xfId="1154" xr:uid="{00000000-0005-0000-0000-000081040000}"/>
    <cellStyle name="60% - Accent4 9" xfId="1155" xr:uid="{00000000-0005-0000-0000-000082040000}"/>
    <cellStyle name="60% - Accent5" xfId="1156" builtinId="48" customBuiltin="1"/>
    <cellStyle name="60% - Accent5 10" xfId="1157" xr:uid="{00000000-0005-0000-0000-000084040000}"/>
    <cellStyle name="60% - Accent5 11" xfId="1158" xr:uid="{00000000-0005-0000-0000-000085040000}"/>
    <cellStyle name="60% - Accent5 12" xfId="1159" xr:uid="{00000000-0005-0000-0000-000086040000}"/>
    <cellStyle name="60% - Accent5 13" xfId="1160" xr:uid="{00000000-0005-0000-0000-000087040000}"/>
    <cellStyle name="60% - Accent5 14" xfId="1161" xr:uid="{00000000-0005-0000-0000-000088040000}"/>
    <cellStyle name="60% - Accent5 15" xfId="1162" xr:uid="{00000000-0005-0000-0000-000089040000}"/>
    <cellStyle name="60% - Accent5 16" xfId="1163" xr:uid="{00000000-0005-0000-0000-00008A040000}"/>
    <cellStyle name="60% - Accent5 17" xfId="1164" xr:uid="{00000000-0005-0000-0000-00008B040000}"/>
    <cellStyle name="60% - Accent5 18" xfId="1165" xr:uid="{00000000-0005-0000-0000-00008C040000}"/>
    <cellStyle name="60% - Accent5 19" xfId="1166" xr:uid="{00000000-0005-0000-0000-00008D040000}"/>
    <cellStyle name="60% - Accent5 2" xfId="1167" xr:uid="{00000000-0005-0000-0000-00008E040000}"/>
    <cellStyle name="60% - Accent5 2 10" xfId="1168" xr:uid="{00000000-0005-0000-0000-00008F040000}"/>
    <cellStyle name="60% - Accent5 2 11" xfId="1169" xr:uid="{00000000-0005-0000-0000-000090040000}"/>
    <cellStyle name="60% - Accent5 2 2" xfId="1170" xr:uid="{00000000-0005-0000-0000-000091040000}"/>
    <cellStyle name="60% - Accent5 2 2 2" xfId="1171" xr:uid="{00000000-0005-0000-0000-000092040000}"/>
    <cellStyle name="60% - Accent5 2 3" xfId="1172" xr:uid="{00000000-0005-0000-0000-000093040000}"/>
    <cellStyle name="60% - Accent5 2 3 2" xfId="1173" xr:uid="{00000000-0005-0000-0000-000094040000}"/>
    <cellStyle name="60% - Accent5 2 4" xfId="1174" xr:uid="{00000000-0005-0000-0000-000095040000}"/>
    <cellStyle name="60% - Accent5 2 5" xfId="1175" xr:uid="{00000000-0005-0000-0000-000096040000}"/>
    <cellStyle name="60% - Accent5 2 6" xfId="1176" xr:uid="{00000000-0005-0000-0000-000097040000}"/>
    <cellStyle name="60% - Accent5 2 7" xfId="1177" xr:uid="{00000000-0005-0000-0000-000098040000}"/>
    <cellStyle name="60% - Accent5 2 8" xfId="1178" xr:uid="{00000000-0005-0000-0000-000099040000}"/>
    <cellStyle name="60% - Accent5 2 9" xfId="1179" xr:uid="{00000000-0005-0000-0000-00009A040000}"/>
    <cellStyle name="60% - Accent5 20" xfId="1180" xr:uid="{00000000-0005-0000-0000-00009B040000}"/>
    <cellStyle name="60% - Accent5 21" xfId="1181" xr:uid="{00000000-0005-0000-0000-00009C040000}"/>
    <cellStyle name="60% - Accent5 22" xfId="1182" xr:uid="{00000000-0005-0000-0000-00009D040000}"/>
    <cellStyle name="60% - Accent5 23" xfId="1183" xr:uid="{00000000-0005-0000-0000-00009E040000}"/>
    <cellStyle name="60% - Accent5 24" xfId="1184" xr:uid="{00000000-0005-0000-0000-00009F040000}"/>
    <cellStyle name="60% - Accent5 25" xfId="1185" xr:uid="{00000000-0005-0000-0000-0000A0040000}"/>
    <cellStyle name="60% - Accent5 26" xfId="1186" xr:uid="{00000000-0005-0000-0000-0000A1040000}"/>
    <cellStyle name="60% - Accent5 27" xfId="1187" xr:uid="{00000000-0005-0000-0000-0000A2040000}"/>
    <cellStyle name="60% - Accent5 28" xfId="1188" xr:uid="{00000000-0005-0000-0000-0000A3040000}"/>
    <cellStyle name="60% - Accent5 29" xfId="1189" xr:uid="{00000000-0005-0000-0000-0000A4040000}"/>
    <cellStyle name="60% - Accent5 3" xfId="1190" xr:uid="{00000000-0005-0000-0000-0000A5040000}"/>
    <cellStyle name="60% - Accent5 3 2" xfId="1191" xr:uid="{00000000-0005-0000-0000-0000A6040000}"/>
    <cellStyle name="60% - Accent5 3 3" xfId="1192" xr:uid="{00000000-0005-0000-0000-0000A7040000}"/>
    <cellStyle name="60% - Accent5 3 4" xfId="1193" xr:uid="{00000000-0005-0000-0000-0000A8040000}"/>
    <cellStyle name="60% - Accent5 30" xfId="1194" xr:uid="{00000000-0005-0000-0000-0000A9040000}"/>
    <cellStyle name="60% - Accent5 31" xfId="1195" xr:uid="{00000000-0005-0000-0000-0000AA040000}"/>
    <cellStyle name="60% - Accent5 32" xfId="1196" xr:uid="{00000000-0005-0000-0000-0000AB040000}"/>
    <cellStyle name="60% - Accent5 33" xfId="1197" xr:uid="{00000000-0005-0000-0000-0000AC040000}"/>
    <cellStyle name="60% - Accent5 34" xfId="1198" xr:uid="{00000000-0005-0000-0000-0000AD040000}"/>
    <cellStyle name="60% - Accent5 35" xfId="1199" xr:uid="{00000000-0005-0000-0000-0000AE040000}"/>
    <cellStyle name="60% - Accent5 36" xfId="1200" xr:uid="{00000000-0005-0000-0000-0000AF040000}"/>
    <cellStyle name="60% - Accent5 37" xfId="1201" xr:uid="{00000000-0005-0000-0000-0000B0040000}"/>
    <cellStyle name="60% - Accent5 38" xfId="1202" xr:uid="{00000000-0005-0000-0000-0000B1040000}"/>
    <cellStyle name="60% - Accent5 39" xfId="1203" xr:uid="{00000000-0005-0000-0000-0000B2040000}"/>
    <cellStyle name="60% - Accent5 4" xfId="1204" xr:uid="{00000000-0005-0000-0000-0000B3040000}"/>
    <cellStyle name="60% - Accent5 4 2" xfId="1205" xr:uid="{00000000-0005-0000-0000-0000B4040000}"/>
    <cellStyle name="60% - Accent5 40" xfId="1206" xr:uid="{00000000-0005-0000-0000-0000B5040000}"/>
    <cellStyle name="60% - Accent5 41" xfId="1207" xr:uid="{00000000-0005-0000-0000-0000B6040000}"/>
    <cellStyle name="60% - Accent5 42" xfId="1208" xr:uid="{00000000-0005-0000-0000-0000B7040000}"/>
    <cellStyle name="60% - Accent5 43" xfId="1209" xr:uid="{00000000-0005-0000-0000-0000B8040000}"/>
    <cellStyle name="60% - Accent5 5" xfId="1210" xr:uid="{00000000-0005-0000-0000-0000B9040000}"/>
    <cellStyle name="60% - Accent5 5 2" xfId="1211" xr:uid="{00000000-0005-0000-0000-0000BA040000}"/>
    <cellStyle name="60% - Accent5 6" xfId="1212" xr:uid="{00000000-0005-0000-0000-0000BB040000}"/>
    <cellStyle name="60% - Accent5 6 2" xfId="1213" xr:uid="{00000000-0005-0000-0000-0000BC040000}"/>
    <cellStyle name="60% - Accent5 7" xfId="1214" xr:uid="{00000000-0005-0000-0000-0000BD040000}"/>
    <cellStyle name="60% - Accent5 8" xfId="1215" xr:uid="{00000000-0005-0000-0000-0000BE040000}"/>
    <cellStyle name="60% - Accent5 9" xfId="1216" xr:uid="{00000000-0005-0000-0000-0000BF040000}"/>
    <cellStyle name="60% - Accent6" xfId="1217" builtinId="52" customBuiltin="1"/>
    <cellStyle name="60% - Accent6 10" xfId="1218" xr:uid="{00000000-0005-0000-0000-0000C1040000}"/>
    <cellStyle name="60% - Accent6 11" xfId="1219" xr:uid="{00000000-0005-0000-0000-0000C2040000}"/>
    <cellStyle name="60% - Accent6 12" xfId="1220" xr:uid="{00000000-0005-0000-0000-0000C3040000}"/>
    <cellStyle name="60% - Accent6 13" xfId="1221" xr:uid="{00000000-0005-0000-0000-0000C4040000}"/>
    <cellStyle name="60% - Accent6 14" xfId="1222" xr:uid="{00000000-0005-0000-0000-0000C5040000}"/>
    <cellStyle name="60% - Accent6 15" xfId="1223" xr:uid="{00000000-0005-0000-0000-0000C6040000}"/>
    <cellStyle name="60% - Accent6 16" xfId="1224" xr:uid="{00000000-0005-0000-0000-0000C7040000}"/>
    <cellStyle name="60% - Accent6 17" xfId="1225" xr:uid="{00000000-0005-0000-0000-0000C8040000}"/>
    <cellStyle name="60% - Accent6 18" xfId="1226" xr:uid="{00000000-0005-0000-0000-0000C9040000}"/>
    <cellStyle name="60% - Accent6 19" xfId="1227" xr:uid="{00000000-0005-0000-0000-0000CA040000}"/>
    <cellStyle name="60% - Accent6 2" xfId="1228" xr:uid="{00000000-0005-0000-0000-0000CB040000}"/>
    <cellStyle name="60% - Accent6 2 10" xfId="1229" xr:uid="{00000000-0005-0000-0000-0000CC040000}"/>
    <cellStyle name="60% - Accent6 2 11" xfId="1230" xr:uid="{00000000-0005-0000-0000-0000CD040000}"/>
    <cellStyle name="60% - Accent6 2 2" xfId="1231" xr:uid="{00000000-0005-0000-0000-0000CE040000}"/>
    <cellStyle name="60% - Accent6 2 2 2" xfId="1232" xr:uid="{00000000-0005-0000-0000-0000CF040000}"/>
    <cellStyle name="60% - Accent6 2 3" xfId="1233" xr:uid="{00000000-0005-0000-0000-0000D0040000}"/>
    <cellStyle name="60% - Accent6 2 3 2" xfId="1234" xr:uid="{00000000-0005-0000-0000-0000D1040000}"/>
    <cellStyle name="60% - Accent6 2 4" xfId="1235" xr:uid="{00000000-0005-0000-0000-0000D2040000}"/>
    <cellStyle name="60% - Accent6 2 5" xfId="1236" xr:uid="{00000000-0005-0000-0000-0000D3040000}"/>
    <cellStyle name="60% - Accent6 2 6" xfId="1237" xr:uid="{00000000-0005-0000-0000-0000D4040000}"/>
    <cellStyle name="60% - Accent6 2 7" xfId="1238" xr:uid="{00000000-0005-0000-0000-0000D5040000}"/>
    <cellStyle name="60% - Accent6 2 8" xfId="1239" xr:uid="{00000000-0005-0000-0000-0000D6040000}"/>
    <cellStyle name="60% - Accent6 2 9" xfId="1240" xr:uid="{00000000-0005-0000-0000-0000D7040000}"/>
    <cellStyle name="60% - Accent6 20" xfId="1241" xr:uid="{00000000-0005-0000-0000-0000D8040000}"/>
    <cellStyle name="60% - Accent6 21" xfId="1242" xr:uid="{00000000-0005-0000-0000-0000D9040000}"/>
    <cellStyle name="60% - Accent6 22" xfId="1243" xr:uid="{00000000-0005-0000-0000-0000DA040000}"/>
    <cellStyle name="60% - Accent6 23" xfId="1244" xr:uid="{00000000-0005-0000-0000-0000DB040000}"/>
    <cellStyle name="60% - Accent6 24" xfId="1245" xr:uid="{00000000-0005-0000-0000-0000DC040000}"/>
    <cellStyle name="60% - Accent6 25" xfId="1246" xr:uid="{00000000-0005-0000-0000-0000DD040000}"/>
    <cellStyle name="60% - Accent6 26" xfId="1247" xr:uid="{00000000-0005-0000-0000-0000DE040000}"/>
    <cellStyle name="60% - Accent6 27" xfId="1248" xr:uid="{00000000-0005-0000-0000-0000DF040000}"/>
    <cellStyle name="60% - Accent6 28" xfId="1249" xr:uid="{00000000-0005-0000-0000-0000E0040000}"/>
    <cellStyle name="60% - Accent6 29" xfId="1250" xr:uid="{00000000-0005-0000-0000-0000E1040000}"/>
    <cellStyle name="60% - Accent6 3" xfId="1251" xr:uid="{00000000-0005-0000-0000-0000E2040000}"/>
    <cellStyle name="60% - Accent6 3 2" xfId="1252" xr:uid="{00000000-0005-0000-0000-0000E3040000}"/>
    <cellStyle name="60% - Accent6 3 3" xfId="1253" xr:uid="{00000000-0005-0000-0000-0000E4040000}"/>
    <cellStyle name="60% - Accent6 3 4" xfId="1254" xr:uid="{00000000-0005-0000-0000-0000E5040000}"/>
    <cellStyle name="60% - Accent6 30" xfId="1255" xr:uid="{00000000-0005-0000-0000-0000E6040000}"/>
    <cellStyle name="60% - Accent6 31" xfId="1256" xr:uid="{00000000-0005-0000-0000-0000E7040000}"/>
    <cellStyle name="60% - Accent6 32" xfId="1257" xr:uid="{00000000-0005-0000-0000-0000E8040000}"/>
    <cellStyle name="60% - Accent6 33" xfId="1258" xr:uid="{00000000-0005-0000-0000-0000E9040000}"/>
    <cellStyle name="60% - Accent6 34" xfId="1259" xr:uid="{00000000-0005-0000-0000-0000EA040000}"/>
    <cellStyle name="60% - Accent6 35" xfId="1260" xr:uid="{00000000-0005-0000-0000-0000EB040000}"/>
    <cellStyle name="60% - Accent6 36" xfId="1261" xr:uid="{00000000-0005-0000-0000-0000EC040000}"/>
    <cellStyle name="60% - Accent6 37" xfId="1262" xr:uid="{00000000-0005-0000-0000-0000ED040000}"/>
    <cellStyle name="60% - Accent6 38" xfId="1263" xr:uid="{00000000-0005-0000-0000-0000EE040000}"/>
    <cellStyle name="60% - Accent6 39" xfId="1264" xr:uid="{00000000-0005-0000-0000-0000EF040000}"/>
    <cellStyle name="60% - Accent6 4" xfId="1265" xr:uid="{00000000-0005-0000-0000-0000F0040000}"/>
    <cellStyle name="60% - Accent6 4 2" xfId="1266" xr:uid="{00000000-0005-0000-0000-0000F1040000}"/>
    <cellStyle name="60% - Accent6 40" xfId="1267" xr:uid="{00000000-0005-0000-0000-0000F2040000}"/>
    <cellStyle name="60% - Accent6 41" xfId="1268" xr:uid="{00000000-0005-0000-0000-0000F3040000}"/>
    <cellStyle name="60% - Accent6 42" xfId="1269" xr:uid="{00000000-0005-0000-0000-0000F4040000}"/>
    <cellStyle name="60% - Accent6 43" xfId="1270" xr:uid="{00000000-0005-0000-0000-0000F5040000}"/>
    <cellStyle name="60% - Accent6 5" xfId="1271" xr:uid="{00000000-0005-0000-0000-0000F6040000}"/>
    <cellStyle name="60% - Accent6 5 2" xfId="1272" xr:uid="{00000000-0005-0000-0000-0000F7040000}"/>
    <cellStyle name="60% - Accent6 6" xfId="1273" xr:uid="{00000000-0005-0000-0000-0000F8040000}"/>
    <cellStyle name="60% - Accent6 6 2" xfId="1274" xr:uid="{00000000-0005-0000-0000-0000F9040000}"/>
    <cellStyle name="60% - Accent6 7" xfId="1275" xr:uid="{00000000-0005-0000-0000-0000FA040000}"/>
    <cellStyle name="60% - Accent6 8" xfId="1276" xr:uid="{00000000-0005-0000-0000-0000FB040000}"/>
    <cellStyle name="60% - Accent6 9" xfId="1277" xr:uid="{00000000-0005-0000-0000-0000FC040000}"/>
    <cellStyle name="60% - Akzent1" xfId="1278" xr:uid="{00000000-0005-0000-0000-0000FD040000}"/>
    <cellStyle name="60% - Akzent2" xfId="1279" xr:uid="{00000000-0005-0000-0000-0000FE040000}"/>
    <cellStyle name="60% - Akzent3" xfId="1280" xr:uid="{00000000-0005-0000-0000-0000FF040000}"/>
    <cellStyle name="60% - Akzent4" xfId="1281" xr:uid="{00000000-0005-0000-0000-000000050000}"/>
    <cellStyle name="60% - Akzent5" xfId="1282" xr:uid="{00000000-0005-0000-0000-000001050000}"/>
    <cellStyle name="60% - Akzent6" xfId="1283" xr:uid="{00000000-0005-0000-0000-000002050000}"/>
    <cellStyle name="60% - Cor4 2" xfId="1284" xr:uid="{00000000-0005-0000-0000-000003050000}"/>
    <cellStyle name="Accent1" xfId="1285" builtinId="29" customBuiltin="1"/>
    <cellStyle name="Accent1 10" xfId="1286" xr:uid="{00000000-0005-0000-0000-000005050000}"/>
    <cellStyle name="Accent1 11" xfId="1287" xr:uid="{00000000-0005-0000-0000-000006050000}"/>
    <cellStyle name="Accent1 12" xfId="1288" xr:uid="{00000000-0005-0000-0000-000007050000}"/>
    <cellStyle name="Accent1 13" xfId="1289" xr:uid="{00000000-0005-0000-0000-000008050000}"/>
    <cellStyle name="Accent1 14" xfId="1290" xr:uid="{00000000-0005-0000-0000-000009050000}"/>
    <cellStyle name="Accent1 15" xfId="1291" xr:uid="{00000000-0005-0000-0000-00000A050000}"/>
    <cellStyle name="Accent1 16" xfId="1292" xr:uid="{00000000-0005-0000-0000-00000B050000}"/>
    <cellStyle name="Accent1 17" xfId="1293" xr:uid="{00000000-0005-0000-0000-00000C050000}"/>
    <cellStyle name="Accent1 18" xfId="1294" xr:uid="{00000000-0005-0000-0000-00000D050000}"/>
    <cellStyle name="Accent1 19" xfId="1295" xr:uid="{00000000-0005-0000-0000-00000E050000}"/>
    <cellStyle name="Accent1 2" xfId="1296" xr:uid="{00000000-0005-0000-0000-00000F050000}"/>
    <cellStyle name="Accent1 2 10" xfId="1297" xr:uid="{00000000-0005-0000-0000-000010050000}"/>
    <cellStyle name="Accent1 2 11" xfId="1298" xr:uid="{00000000-0005-0000-0000-000011050000}"/>
    <cellStyle name="Accent1 2 2" xfId="1299" xr:uid="{00000000-0005-0000-0000-000012050000}"/>
    <cellStyle name="Accent1 2 2 2" xfId="1300" xr:uid="{00000000-0005-0000-0000-000013050000}"/>
    <cellStyle name="Accent1 2 3" xfId="1301" xr:uid="{00000000-0005-0000-0000-000014050000}"/>
    <cellStyle name="Accent1 2 3 2" xfId="1302" xr:uid="{00000000-0005-0000-0000-000015050000}"/>
    <cellStyle name="Accent1 2 4" xfId="1303" xr:uid="{00000000-0005-0000-0000-000016050000}"/>
    <cellStyle name="Accent1 2 5" xfId="1304" xr:uid="{00000000-0005-0000-0000-000017050000}"/>
    <cellStyle name="Accent1 2 6" xfId="1305" xr:uid="{00000000-0005-0000-0000-000018050000}"/>
    <cellStyle name="Accent1 2 7" xfId="1306" xr:uid="{00000000-0005-0000-0000-000019050000}"/>
    <cellStyle name="Accent1 2 8" xfId="1307" xr:uid="{00000000-0005-0000-0000-00001A050000}"/>
    <cellStyle name="Accent1 2 9" xfId="1308" xr:uid="{00000000-0005-0000-0000-00001B050000}"/>
    <cellStyle name="Accent1 20" xfId="1309" xr:uid="{00000000-0005-0000-0000-00001C050000}"/>
    <cellStyle name="Accent1 21" xfId="1310" xr:uid="{00000000-0005-0000-0000-00001D050000}"/>
    <cellStyle name="Accent1 22" xfId="1311" xr:uid="{00000000-0005-0000-0000-00001E050000}"/>
    <cellStyle name="Accent1 23" xfId="1312" xr:uid="{00000000-0005-0000-0000-00001F050000}"/>
    <cellStyle name="Accent1 24" xfId="1313" xr:uid="{00000000-0005-0000-0000-000020050000}"/>
    <cellStyle name="Accent1 25" xfId="1314" xr:uid="{00000000-0005-0000-0000-000021050000}"/>
    <cellStyle name="Accent1 26" xfId="1315" xr:uid="{00000000-0005-0000-0000-000022050000}"/>
    <cellStyle name="Accent1 27" xfId="1316" xr:uid="{00000000-0005-0000-0000-000023050000}"/>
    <cellStyle name="Accent1 28" xfId="1317" xr:uid="{00000000-0005-0000-0000-000024050000}"/>
    <cellStyle name="Accent1 29" xfId="1318" xr:uid="{00000000-0005-0000-0000-000025050000}"/>
    <cellStyle name="Accent1 3" xfId="1319" xr:uid="{00000000-0005-0000-0000-000026050000}"/>
    <cellStyle name="Accent1 3 2" xfId="1320" xr:uid="{00000000-0005-0000-0000-000027050000}"/>
    <cellStyle name="Accent1 3 3" xfId="1321" xr:uid="{00000000-0005-0000-0000-000028050000}"/>
    <cellStyle name="Accent1 3 4" xfId="1322" xr:uid="{00000000-0005-0000-0000-000029050000}"/>
    <cellStyle name="Accent1 30" xfId="1323" xr:uid="{00000000-0005-0000-0000-00002A050000}"/>
    <cellStyle name="Accent1 31" xfId="1324" xr:uid="{00000000-0005-0000-0000-00002B050000}"/>
    <cellStyle name="Accent1 32" xfId="1325" xr:uid="{00000000-0005-0000-0000-00002C050000}"/>
    <cellStyle name="Accent1 33" xfId="1326" xr:uid="{00000000-0005-0000-0000-00002D050000}"/>
    <cellStyle name="Accent1 34" xfId="1327" xr:uid="{00000000-0005-0000-0000-00002E050000}"/>
    <cellStyle name="Accent1 35" xfId="1328" xr:uid="{00000000-0005-0000-0000-00002F050000}"/>
    <cellStyle name="Accent1 36" xfId="1329" xr:uid="{00000000-0005-0000-0000-000030050000}"/>
    <cellStyle name="Accent1 37" xfId="1330" xr:uid="{00000000-0005-0000-0000-000031050000}"/>
    <cellStyle name="Accent1 38" xfId="1331" xr:uid="{00000000-0005-0000-0000-000032050000}"/>
    <cellStyle name="Accent1 39" xfId="1332" xr:uid="{00000000-0005-0000-0000-000033050000}"/>
    <cellStyle name="Accent1 4" xfId="1333" xr:uid="{00000000-0005-0000-0000-000034050000}"/>
    <cellStyle name="Accent1 4 2" xfId="1334" xr:uid="{00000000-0005-0000-0000-000035050000}"/>
    <cellStyle name="Accent1 40" xfId="1335" xr:uid="{00000000-0005-0000-0000-000036050000}"/>
    <cellStyle name="Accent1 41" xfId="1336" xr:uid="{00000000-0005-0000-0000-000037050000}"/>
    <cellStyle name="Accent1 42" xfId="1337" xr:uid="{00000000-0005-0000-0000-000038050000}"/>
    <cellStyle name="Accent1 43" xfId="1338" xr:uid="{00000000-0005-0000-0000-000039050000}"/>
    <cellStyle name="Accent1 5" xfId="1339" xr:uid="{00000000-0005-0000-0000-00003A050000}"/>
    <cellStyle name="Accent1 5 2" xfId="1340" xr:uid="{00000000-0005-0000-0000-00003B050000}"/>
    <cellStyle name="Accent1 6" xfId="1341" xr:uid="{00000000-0005-0000-0000-00003C050000}"/>
    <cellStyle name="Accent1 6 2" xfId="1342" xr:uid="{00000000-0005-0000-0000-00003D050000}"/>
    <cellStyle name="Accent1 7" xfId="1343" xr:uid="{00000000-0005-0000-0000-00003E050000}"/>
    <cellStyle name="Accent1 8" xfId="1344" xr:uid="{00000000-0005-0000-0000-00003F050000}"/>
    <cellStyle name="Accent1 9" xfId="1345" xr:uid="{00000000-0005-0000-0000-000040050000}"/>
    <cellStyle name="Accent2" xfId="1346" builtinId="33" customBuiltin="1"/>
    <cellStyle name="Accent2 10" xfId="1347" xr:uid="{00000000-0005-0000-0000-000042050000}"/>
    <cellStyle name="Accent2 11" xfId="1348" xr:uid="{00000000-0005-0000-0000-000043050000}"/>
    <cellStyle name="Accent2 12" xfId="1349" xr:uid="{00000000-0005-0000-0000-000044050000}"/>
    <cellStyle name="Accent2 13" xfId="1350" xr:uid="{00000000-0005-0000-0000-000045050000}"/>
    <cellStyle name="Accent2 14" xfId="1351" xr:uid="{00000000-0005-0000-0000-000046050000}"/>
    <cellStyle name="Accent2 15" xfId="1352" xr:uid="{00000000-0005-0000-0000-000047050000}"/>
    <cellStyle name="Accent2 16" xfId="1353" xr:uid="{00000000-0005-0000-0000-000048050000}"/>
    <cellStyle name="Accent2 17" xfId="1354" xr:uid="{00000000-0005-0000-0000-000049050000}"/>
    <cellStyle name="Accent2 18" xfId="1355" xr:uid="{00000000-0005-0000-0000-00004A050000}"/>
    <cellStyle name="Accent2 19" xfId="1356" xr:uid="{00000000-0005-0000-0000-00004B050000}"/>
    <cellStyle name="Accent2 2" xfId="1357" xr:uid="{00000000-0005-0000-0000-00004C050000}"/>
    <cellStyle name="Accent2 2 10" xfId="1358" xr:uid="{00000000-0005-0000-0000-00004D050000}"/>
    <cellStyle name="Accent2 2 11" xfId="1359" xr:uid="{00000000-0005-0000-0000-00004E050000}"/>
    <cellStyle name="Accent2 2 2" xfId="1360" xr:uid="{00000000-0005-0000-0000-00004F050000}"/>
    <cellStyle name="Accent2 2 2 2" xfId="1361" xr:uid="{00000000-0005-0000-0000-000050050000}"/>
    <cellStyle name="Accent2 2 3" xfId="1362" xr:uid="{00000000-0005-0000-0000-000051050000}"/>
    <cellStyle name="Accent2 2 3 2" xfId="1363" xr:uid="{00000000-0005-0000-0000-000052050000}"/>
    <cellStyle name="Accent2 2 4" xfId="1364" xr:uid="{00000000-0005-0000-0000-000053050000}"/>
    <cellStyle name="Accent2 2 5" xfId="1365" xr:uid="{00000000-0005-0000-0000-000054050000}"/>
    <cellStyle name="Accent2 2 6" xfId="1366" xr:uid="{00000000-0005-0000-0000-000055050000}"/>
    <cellStyle name="Accent2 2 7" xfId="1367" xr:uid="{00000000-0005-0000-0000-000056050000}"/>
    <cellStyle name="Accent2 2 8" xfId="1368" xr:uid="{00000000-0005-0000-0000-000057050000}"/>
    <cellStyle name="Accent2 2 9" xfId="1369" xr:uid="{00000000-0005-0000-0000-000058050000}"/>
    <cellStyle name="Accent2 20" xfId="1370" xr:uid="{00000000-0005-0000-0000-000059050000}"/>
    <cellStyle name="Accent2 21" xfId="1371" xr:uid="{00000000-0005-0000-0000-00005A050000}"/>
    <cellStyle name="Accent2 22" xfId="1372" xr:uid="{00000000-0005-0000-0000-00005B050000}"/>
    <cellStyle name="Accent2 23" xfId="1373" xr:uid="{00000000-0005-0000-0000-00005C050000}"/>
    <cellStyle name="Accent2 24" xfId="1374" xr:uid="{00000000-0005-0000-0000-00005D050000}"/>
    <cellStyle name="Accent2 25" xfId="1375" xr:uid="{00000000-0005-0000-0000-00005E050000}"/>
    <cellStyle name="Accent2 26" xfId="1376" xr:uid="{00000000-0005-0000-0000-00005F050000}"/>
    <cellStyle name="Accent2 27" xfId="1377" xr:uid="{00000000-0005-0000-0000-000060050000}"/>
    <cellStyle name="Accent2 28" xfId="1378" xr:uid="{00000000-0005-0000-0000-000061050000}"/>
    <cellStyle name="Accent2 29" xfId="1379" xr:uid="{00000000-0005-0000-0000-000062050000}"/>
    <cellStyle name="Accent2 3" xfId="1380" xr:uid="{00000000-0005-0000-0000-000063050000}"/>
    <cellStyle name="Accent2 3 2" xfId="1381" xr:uid="{00000000-0005-0000-0000-000064050000}"/>
    <cellStyle name="Accent2 3 3" xfId="1382" xr:uid="{00000000-0005-0000-0000-000065050000}"/>
    <cellStyle name="Accent2 3 4" xfId="1383" xr:uid="{00000000-0005-0000-0000-000066050000}"/>
    <cellStyle name="Accent2 30" xfId="1384" xr:uid="{00000000-0005-0000-0000-000067050000}"/>
    <cellStyle name="Accent2 31" xfId="1385" xr:uid="{00000000-0005-0000-0000-000068050000}"/>
    <cellStyle name="Accent2 32" xfId="1386" xr:uid="{00000000-0005-0000-0000-000069050000}"/>
    <cellStyle name="Accent2 33" xfId="1387" xr:uid="{00000000-0005-0000-0000-00006A050000}"/>
    <cellStyle name="Accent2 34" xfId="1388" xr:uid="{00000000-0005-0000-0000-00006B050000}"/>
    <cellStyle name="Accent2 35" xfId="1389" xr:uid="{00000000-0005-0000-0000-00006C050000}"/>
    <cellStyle name="Accent2 36" xfId="1390" xr:uid="{00000000-0005-0000-0000-00006D050000}"/>
    <cellStyle name="Accent2 37" xfId="1391" xr:uid="{00000000-0005-0000-0000-00006E050000}"/>
    <cellStyle name="Accent2 38" xfId="1392" xr:uid="{00000000-0005-0000-0000-00006F050000}"/>
    <cellStyle name="Accent2 39" xfId="1393" xr:uid="{00000000-0005-0000-0000-000070050000}"/>
    <cellStyle name="Accent2 4" xfId="1394" xr:uid="{00000000-0005-0000-0000-000071050000}"/>
    <cellStyle name="Accent2 4 2" xfId="1395" xr:uid="{00000000-0005-0000-0000-000072050000}"/>
    <cellStyle name="Accent2 40" xfId="1396" xr:uid="{00000000-0005-0000-0000-000073050000}"/>
    <cellStyle name="Accent2 41" xfId="1397" xr:uid="{00000000-0005-0000-0000-000074050000}"/>
    <cellStyle name="Accent2 42" xfId="1398" xr:uid="{00000000-0005-0000-0000-000075050000}"/>
    <cellStyle name="Accent2 43" xfId="1399" xr:uid="{00000000-0005-0000-0000-000076050000}"/>
    <cellStyle name="Accent2 5" xfId="1400" xr:uid="{00000000-0005-0000-0000-000077050000}"/>
    <cellStyle name="Accent2 5 2" xfId="1401" xr:uid="{00000000-0005-0000-0000-000078050000}"/>
    <cellStyle name="Accent2 6" xfId="1402" xr:uid="{00000000-0005-0000-0000-000079050000}"/>
    <cellStyle name="Accent2 6 2" xfId="1403" xr:uid="{00000000-0005-0000-0000-00007A050000}"/>
    <cellStyle name="Accent2 7" xfId="1404" xr:uid="{00000000-0005-0000-0000-00007B050000}"/>
    <cellStyle name="Accent2 8" xfId="1405" xr:uid="{00000000-0005-0000-0000-00007C050000}"/>
    <cellStyle name="Accent2 9" xfId="1406" xr:uid="{00000000-0005-0000-0000-00007D050000}"/>
    <cellStyle name="Accent3" xfId="1407" builtinId="37" customBuiltin="1"/>
    <cellStyle name="Accent3 10" xfId="1408" xr:uid="{00000000-0005-0000-0000-00007F050000}"/>
    <cellStyle name="Accent3 11" xfId="1409" xr:uid="{00000000-0005-0000-0000-000080050000}"/>
    <cellStyle name="Accent3 12" xfId="1410" xr:uid="{00000000-0005-0000-0000-000081050000}"/>
    <cellStyle name="Accent3 13" xfId="1411" xr:uid="{00000000-0005-0000-0000-000082050000}"/>
    <cellStyle name="Accent3 14" xfId="1412" xr:uid="{00000000-0005-0000-0000-000083050000}"/>
    <cellStyle name="Accent3 15" xfId="1413" xr:uid="{00000000-0005-0000-0000-000084050000}"/>
    <cellStyle name="Accent3 16" xfId="1414" xr:uid="{00000000-0005-0000-0000-000085050000}"/>
    <cellStyle name="Accent3 17" xfId="1415" xr:uid="{00000000-0005-0000-0000-000086050000}"/>
    <cellStyle name="Accent3 18" xfId="1416" xr:uid="{00000000-0005-0000-0000-000087050000}"/>
    <cellStyle name="Accent3 19" xfId="1417" xr:uid="{00000000-0005-0000-0000-000088050000}"/>
    <cellStyle name="Accent3 2" xfId="1418" xr:uid="{00000000-0005-0000-0000-000089050000}"/>
    <cellStyle name="Accent3 2 10" xfId="1419" xr:uid="{00000000-0005-0000-0000-00008A050000}"/>
    <cellStyle name="Accent3 2 11" xfId="1420" xr:uid="{00000000-0005-0000-0000-00008B050000}"/>
    <cellStyle name="Accent3 2 2" xfId="1421" xr:uid="{00000000-0005-0000-0000-00008C050000}"/>
    <cellStyle name="Accent3 2 2 2" xfId="1422" xr:uid="{00000000-0005-0000-0000-00008D050000}"/>
    <cellStyle name="Accent3 2 3" xfId="1423" xr:uid="{00000000-0005-0000-0000-00008E050000}"/>
    <cellStyle name="Accent3 2 3 2" xfId="1424" xr:uid="{00000000-0005-0000-0000-00008F050000}"/>
    <cellStyle name="Accent3 2 4" xfId="1425" xr:uid="{00000000-0005-0000-0000-000090050000}"/>
    <cellStyle name="Accent3 2 5" xfId="1426" xr:uid="{00000000-0005-0000-0000-000091050000}"/>
    <cellStyle name="Accent3 2 6" xfId="1427" xr:uid="{00000000-0005-0000-0000-000092050000}"/>
    <cellStyle name="Accent3 2 7" xfId="1428" xr:uid="{00000000-0005-0000-0000-000093050000}"/>
    <cellStyle name="Accent3 2 8" xfId="1429" xr:uid="{00000000-0005-0000-0000-000094050000}"/>
    <cellStyle name="Accent3 2 9" xfId="1430" xr:uid="{00000000-0005-0000-0000-000095050000}"/>
    <cellStyle name="Accent3 20" xfId="1431" xr:uid="{00000000-0005-0000-0000-000096050000}"/>
    <cellStyle name="Accent3 21" xfId="1432" xr:uid="{00000000-0005-0000-0000-000097050000}"/>
    <cellStyle name="Accent3 22" xfId="1433" xr:uid="{00000000-0005-0000-0000-000098050000}"/>
    <cellStyle name="Accent3 23" xfId="1434" xr:uid="{00000000-0005-0000-0000-000099050000}"/>
    <cellStyle name="Accent3 24" xfId="1435" xr:uid="{00000000-0005-0000-0000-00009A050000}"/>
    <cellStyle name="Accent3 25" xfId="1436" xr:uid="{00000000-0005-0000-0000-00009B050000}"/>
    <cellStyle name="Accent3 26" xfId="1437" xr:uid="{00000000-0005-0000-0000-00009C050000}"/>
    <cellStyle name="Accent3 27" xfId="1438" xr:uid="{00000000-0005-0000-0000-00009D050000}"/>
    <cellStyle name="Accent3 28" xfId="1439" xr:uid="{00000000-0005-0000-0000-00009E050000}"/>
    <cellStyle name="Accent3 29" xfId="1440" xr:uid="{00000000-0005-0000-0000-00009F050000}"/>
    <cellStyle name="Accent3 3" xfId="1441" xr:uid="{00000000-0005-0000-0000-0000A0050000}"/>
    <cellStyle name="Accent3 3 2" xfId="1442" xr:uid="{00000000-0005-0000-0000-0000A1050000}"/>
    <cellStyle name="Accent3 3 3" xfId="1443" xr:uid="{00000000-0005-0000-0000-0000A2050000}"/>
    <cellStyle name="Accent3 3 4" xfId="1444" xr:uid="{00000000-0005-0000-0000-0000A3050000}"/>
    <cellStyle name="Accent3 30" xfId="1445" xr:uid="{00000000-0005-0000-0000-0000A4050000}"/>
    <cellStyle name="Accent3 31" xfId="1446" xr:uid="{00000000-0005-0000-0000-0000A5050000}"/>
    <cellStyle name="Accent3 32" xfId="1447" xr:uid="{00000000-0005-0000-0000-0000A6050000}"/>
    <cellStyle name="Accent3 33" xfId="1448" xr:uid="{00000000-0005-0000-0000-0000A7050000}"/>
    <cellStyle name="Accent3 34" xfId="1449" xr:uid="{00000000-0005-0000-0000-0000A8050000}"/>
    <cellStyle name="Accent3 35" xfId="1450" xr:uid="{00000000-0005-0000-0000-0000A9050000}"/>
    <cellStyle name="Accent3 36" xfId="1451" xr:uid="{00000000-0005-0000-0000-0000AA050000}"/>
    <cellStyle name="Accent3 37" xfId="1452" xr:uid="{00000000-0005-0000-0000-0000AB050000}"/>
    <cellStyle name="Accent3 38" xfId="1453" xr:uid="{00000000-0005-0000-0000-0000AC050000}"/>
    <cellStyle name="Accent3 39" xfId="1454" xr:uid="{00000000-0005-0000-0000-0000AD050000}"/>
    <cellStyle name="Accent3 4" xfId="1455" xr:uid="{00000000-0005-0000-0000-0000AE050000}"/>
    <cellStyle name="Accent3 4 2" xfId="1456" xr:uid="{00000000-0005-0000-0000-0000AF050000}"/>
    <cellStyle name="Accent3 40" xfId="1457" xr:uid="{00000000-0005-0000-0000-0000B0050000}"/>
    <cellStyle name="Accent3 41" xfId="1458" xr:uid="{00000000-0005-0000-0000-0000B1050000}"/>
    <cellStyle name="Accent3 42" xfId="1459" xr:uid="{00000000-0005-0000-0000-0000B2050000}"/>
    <cellStyle name="Accent3 43" xfId="1460" xr:uid="{00000000-0005-0000-0000-0000B3050000}"/>
    <cellStyle name="Accent3 5" xfId="1461" xr:uid="{00000000-0005-0000-0000-0000B4050000}"/>
    <cellStyle name="Accent3 5 2" xfId="1462" xr:uid="{00000000-0005-0000-0000-0000B5050000}"/>
    <cellStyle name="Accent3 6" xfId="1463" xr:uid="{00000000-0005-0000-0000-0000B6050000}"/>
    <cellStyle name="Accent3 6 2" xfId="1464" xr:uid="{00000000-0005-0000-0000-0000B7050000}"/>
    <cellStyle name="Accent3 7" xfId="1465" xr:uid="{00000000-0005-0000-0000-0000B8050000}"/>
    <cellStyle name="Accent3 8" xfId="1466" xr:uid="{00000000-0005-0000-0000-0000B9050000}"/>
    <cellStyle name="Accent3 9" xfId="1467" xr:uid="{00000000-0005-0000-0000-0000BA050000}"/>
    <cellStyle name="Accent4" xfId="1468" builtinId="41" customBuiltin="1"/>
    <cellStyle name="Accent4 10" xfId="1469" xr:uid="{00000000-0005-0000-0000-0000BC050000}"/>
    <cellStyle name="Accent4 11" xfId="1470" xr:uid="{00000000-0005-0000-0000-0000BD050000}"/>
    <cellStyle name="Accent4 12" xfId="1471" xr:uid="{00000000-0005-0000-0000-0000BE050000}"/>
    <cellStyle name="Accent4 13" xfId="1472" xr:uid="{00000000-0005-0000-0000-0000BF050000}"/>
    <cellStyle name="Accent4 14" xfId="1473" xr:uid="{00000000-0005-0000-0000-0000C0050000}"/>
    <cellStyle name="Accent4 15" xfId="1474" xr:uid="{00000000-0005-0000-0000-0000C1050000}"/>
    <cellStyle name="Accent4 16" xfId="1475" xr:uid="{00000000-0005-0000-0000-0000C2050000}"/>
    <cellStyle name="Accent4 17" xfId="1476" xr:uid="{00000000-0005-0000-0000-0000C3050000}"/>
    <cellStyle name="Accent4 18" xfId="1477" xr:uid="{00000000-0005-0000-0000-0000C4050000}"/>
    <cellStyle name="Accent4 19" xfId="1478" xr:uid="{00000000-0005-0000-0000-0000C5050000}"/>
    <cellStyle name="Accent4 2" xfId="1479" xr:uid="{00000000-0005-0000-0000-0000C6050000}"/>
    <cellStyle name="Accent4 2 10" xfId="1480" xr:uid="{00000000-0005-0000-0000-0000C7050000}"/>
    <cellStyle name="Accent4 2 11" xfId="1481" xr:uid="{00000000-0005-0000-0000-0000C8050000}"/>
    <cellStyle name="Accent4 2 2" xfId="1482" xr:uid="{00000000-0005-0000-0000-0000C9050000}"/>
    <cellStyle name="Accent4 2 2 2" xfId="1483" xr:uid="{00000000-0005-0000-0000-0000CA050000}"/>
    <cellStyle name="Accent4 2 3" xfId="1484" xr:uid="{00000000-0005-0000-0000-0000CB050000}"/>
    <cellStyle name="Accent4 2 3 2" xfId="1485" xr:uid="{00000000-0005-0000-0000-0000CC050000}"/>
    <cellStyle name="Accent4 2 4" xfId="1486" xr:uid="{00000000-0005-0000-0000-0000CD050000}"/>
    <cellStyle name="Accent4 2 5" xfId="1487" xr:uid="{00000000-0005-0000-0000-0000CE050000}"/>
    <cellStyle name="Accent4 2 6" xfId="1488" xr:uid="{00000000-0005-0000-0000-0000CF050000}"/>
    <cellStyle name="Accent4 2 7" xfId="1489" xr:uid="{00000000-0005-0000-0000-0000D0050000}"/>
    <cellStyle name="Accent4 2 8" xfId="1490" xr:uid="{00000000-0005-0000-0000-0000D1050000}"/>
    <cellStyle name="Accent4 2 9" xfId="1491" xr:uid="{00000000-0005-0000-0000-0000D2050000}"/>
    <cellStyle name="Accent4 20" xfId="1492" xr:uid="{00000000-0005-0000-0000-0000D3050000}"/>
    <cellStyle name="Accent4 21" xfId="1493" xr:uid="{00000000-0005-0000-0000-0000D4050000}"/>
    <cellStyle name="Accent4 22" xfId="1494" xr:uid="{00000000-0005-0000-0000-0000D5050000}"/>
    <cellStyle name="Accent4 23" xfId="1495" xr:uid="{00000000-0005-0000-0000-0000D6050000}"/>
    <cellStyle name="Accent4 24" xfId="1496" xr:uid="{00000000-0005-0000-0000-0000D7050000}"/>
    <cellStyle name="Accent4 25" xfId="1497" xr:uid="{00000000-0005-0000-0000-0000D8050000}"/>
    <cellStyle name="Accent4 26" xfId="1498" xr:uid="{00000000-0005-0000-0000-0000D9050000}"/>
    <cellStyle name="Accent4 27" xfId="1499" xr:uid="{00000000-0005-0000-0000-0000DA050000}"/>
    <cellStyle name="Accent4 28" xfId="1500" xr:uid="{00000000-0005-0000-0000-0000DB050000}"/>
    <cellStyle name="Accent4 29" xfId="1501" xr:uid="{00000000-0005-0000-0000-0000DC050000}"/>
    <cellStyle name="Accent4 3" xfId="1502" xr:uid="{00000000-0005-0000-0000-0000DD050000}"/>
    <cellStyle name="Accent4 3 2" xfId="1503" xr:uid="{00000000-0005-0000-0000-0000DE050000}"/>
    <cellStyle name="Accent4 3 3" xfId="1504" xr:uid="{00000000-0005-0000-0000-0000DF050000}"/>
    <cellStyle name="Accent4 3 4" xfId="1505" xr:uid="{00000000-0005-0000-0000-0000E0050000}"/>
    <cellStyle name="Accent4 30" xfId="1506" xr:uid="{00000000-0005-0000-0000-0000E1050000}"/>
    <cellStyle name="Accent4 31" xfId="1507" xr:uid="{00000000-0005-0000-0000-0000E2050000}"/>
    <cellStyle name="Accent4 32" xfId="1508" xr:uid="{00000000-0005-0000-0000-0000E3050000}"/>
    <cellStyle name="Accent4 33" xfId="1509" xr:uid="{00000000-0005-0000-0000-0000E4050000}"/>
    <cellStyle name="Accent4 34" xfId="1510" xr:uid="{00000000-0005-0000-0000-0000E5050000}"/>
    <cellStyle name="Accent4 35" xfId="1511" xr:uid="{00000000-0005-0000-0000-0000E6050000}"/>
    <cellStyle name="Accent4 36" xfId="1512" xr:uid="{00000000-0005-0000-0000-0000E7050000}"/>
    <cellStyle name="Accent4 37" xfId="1513" xr:uid="{00000000-0005-0000-0000-0000E8050000}"/>
    <cellStyle name="Accent4 38" xfId="1514" xr:uid="{00000000-0005-0000-0000-0000E9050000}"/>
    <cellStyle name="Accent4 39" xfId="1515" xr:uid="{00000000-0005-0000-0000-0000EA050000}"/>
    <cellStyle name="Accent4 4" xfId="1516" xr:uid="{00000000-0005-0000-0000-0000EB050000}"/>
    <cellStyle name="Accent4 4 2" xfId="1517" xr:uid="{00000000-0005-0000-0000-0000EC050000}"/>
    <cellStyle name="Accent4 40" xfId="1518" xr:uid="{00000000-0005-0000-0000-0000ED050000}"/>
    <cellStyle name="Accent4 41" xfId="1519" xr:uid="{00000000-0005-0000-0000-0000EE050000}"/>
    <cellStyle name="Accent4 42" xfId="1520" xr:uid="{00000000-0005-0000-0000-0000EF050000}"/>
    <cellStyle name="Accent4 43" xfId="1521" xr:uid="{00000000-0005-0000-0000-0000F0050000}"/>
    <cellStyle name="Accent4 5" xfId="1522" xr:uid="{00000000-0005-0000-0000-0000F1050000}"/>
    <cellStyle name="Accent4 5 2" xfId="1523" xr:uid="{00000000-0005-0000-0000-0000F2050000}"/>
    <cellStyle name="Accent4 6" xfId="1524" xr:uid="{00000000-0005-0000-0000-0000F3050000}"/>
    <cellStyle name="Accent4 6 2" xfId="1525" xr:uid="{00000000-0005-0000-0000-0000F4050000}"/>
    <cellStyle name="Accent4 7" xfId="1526" xr:uid="{00000000-0005-0000-0000-0000F5050000}"/>
    <cellStyle name="Accent4 8" xfId="1527" xr:uid="{00000000-0005-0000-0000-0000F6050000}"/>
    <cellStyle name="Accent4 9" xfId="1528" xr:uid="{00000000-0005-0000-0000-0000F7050000}"/>
    <cellStyle name="Accent5" xfId="1529" builtinId="45" customBuiltin="1"/>
    <cellStyle name="Accent5 10" xfId="1530" xr:uid="{00000000-0005-0000-0000-0000F9050000}"/>
    <cellStyle name="Accent5 11" xfId="1531" xr:uid="{00000000-0005-0000-0000-0000FA050000}"/>
    <cellStyle name="Accent5 12" xfId="1532" xr:uid="{00000000-0005-0000-0000-0000FB050000}"/>
    <cellStyle name="Accent5 13" xfId="1533" xr:uid="{00000000-0005-0000-0000-0000FC050000}"/>
    <cellStyle name="Accent5 14" xfId="1534" xr:uid="{00000000-0005-0000-0000-0000FD050000}"/>
    <cellStyle name="Accent5 15" xfId="1535" xr:uid="{00000000-0005-0000-0000-0000FE050000}"/>
    <cellStyle name="Accent5 16" xfId="1536" xr:uid="{00000000-0005-0000-0000-0000FF050000}"/>
    <cellStyle name="Accent5 17" xfId="1537" xr:uid="{00000000-0005-0000-0000-000000060000}"/>
    <cellStyle name="Accent5 18" xfId="1538" xr:uid="{00000000-0005-0000-0000-000001060000}"/>
    <cellStyle name="Accent5 19" xfId="1539" xr:uid="{00000000-0005-0000-0000-000002060000}"/>
    <cellStyle name="Accent5 2" xfId="1540" xr:uid="{00000000-0005-0000-0000-000003060000}"/>
    <cellStyle name="Accent5 2 10" xfId="1541" xr:uid="{00000000-0005-0000-0000-000004060000}"/>
    <cellStyle name="Accent5 2 2" xfId="1542" xr:uid="{00000000-0005-0000-0000-000005060000}"/>
    <cellStyle name="Accent5 2 3" xfId="1543" xr:uid="{00000000-0005-0000-0000-000006060000}"/>
    <cellStyle name="Accent5 2 4" xfId="1544" xr:uid="{00000000-0005-0000-0000-000007060000}"/>
    <cellStyle name="Accent5 2 5" xfId="1545" xr:uid="{00000000-0005-0000-0000-000008060000}"/>
    <cellStyle name="Accent5 2 6" xfId="1546" xr:uid="{00000000-0005-0000-0000-000009060000}"/>
    <cellStyle name="Accent5 2 7" xfId="1547" xr:uid="{00000000-0005-0000-0000-00000A060000}"/>
    <cellStyle name="Accent5 2 8" xfId="1548" xr:uid="{00000000-0005-0000-0000-00000B060000}"/>
    <cellStyle name="Accent5 2 9" xfId="1549" xr:uid="{00000000-0005-0000-0000-00000C060000}"/>
    <cellStyle name="Accent5 20" xfId="1550" xr:uid="{00000000-0005-0000-0000-00000D060000}"/>
    <cellStyle name="Accent5 21" xfId="1551" xr:uid="{00000000-0005-0000-0000-00000E060000}"/>
    <cellStyle name="Accent5 22" xfId="1552" xr:uid="{00000000-0005-0000-0000-00000F060000}"/>
    <cellStyle name="Accent5 23" xfId="1553" xr:uid="{00000000-0005-0000-0000-000010060000}"/>
    <cellStyle name="Accent5 24" xfId="1554" xr:uid="{00000000-0005-0000-0000-000011060000}"/>
    <cellStyle name="Accent5 25" xfId="1555" xr:uid="{00000000-0005-0000-0000-000012060000}"/>
    <cellStyle name="Accent5 26" xfId="1556" xr:uid="{00000000-0005-0000-0000-000013060000}"/>
    <cellStyle name="Accent5 27" xfId="1557" xr:uid="{00000000-0005-0000-0000-000014060000}"/>
    <cellStyle name="Accent5 28" xfId="1558" xr:uid="{00000000-0005-0000-0000-000015060000}"/>
    <cellStyle name="Accent5 29" xfId="1559" xr:uid="{00000000-0005-0000-0000-000016060000}"/>
    <cellStyle name="Accent5 3" xfId="1560" xr:uid="{00000000-0005-0000-0000-000017060000}"/>
    <cellStyle name="Accent5 3 2" xfId="1561" xr:uid="{00000000-0005-0000-0000-000018060000}"/>
    <cellStyle name="Accent5 30" xfId="1562" xr:uid="{00000000-0005-0000-0000-000019060000}"/>
    <cellStyle name="Accent5 31" xfId="1563" xr:uid="{00000000-0005-0000-0000-00001A060000}"/>
    <cellStyle name="Accent5 32" xfId="1564" xr:uid="{00000000-0005-0000-0000-00001B060000}"/>
    <cellStyle name="Accent5 33" xfId="1565" xr:uid="{00000000-0005-0000-0000-00001C060000}"/>
    <cellStyle name="Accent5 34" xfId="1566" xr:uid="{00000000-0005-0000-0000-00001D060000}"/>
    <cellStyle name="Accent5 35" xfId="1567" xr:uid="{00000000-0005-0000-0000-00001E060000}"/>
    <cellStyle name="Accent5 36" xfId="1568" xr:uid="{00000000-0005-0000-0000-00001F060000}"/>
    <cellStyle name="Accent5 37" xfId="1569" xr:uid="{00000000-0005-0000-0000-000020060000}"/>
    <cellStyle name="Accent5 38" xfId="1570" xr:uid="{00000000-0005-0000-0000-000021060000}"/>
    <cellStyle name="Accent5 39" xfId="1571" xr:uid="{00000000-0005-0000-0000-000022060000}"/>
    <cellStyle name="Accent5 4" xfId="1572" xr:uid="{00000000-0005-0000-0000-000023060000}"/>
    <cellStyle name="Accent5 4 2" xfId="1573" xr:uid="{00000000-0005-0000-0000-000024060000}"/>
    <cellStyle name="Accent5 40" xfId="1574" xr:uid="{00000000-0005-0000-0000-000025060000}"/>
    <cellStyle name="Accent5 41" xfId="1575" xr:uid="{00000000-0005-0000-0000-000026060000}"/>
    <cellStyle name="Accent5 42" xfId="1576" xr:uid="{00000000-0005-0000-0000-000027060000}"/>
    <cellStyle name="Accent5 43" xfId="1577" xr:uid="{00000000-0005-0000-0000-000028060000}"/>
    <cellStyle name="Accent5 5" xfId="1578" xr:uid="{00000000-0005-0000-0000-000029060000}"/>
    <cellStyle name="Accent5 5 2" xfId="1579" xr:uid="{00000000-0005-0000-0000-00002A060000}"/>
    <cellStyle name="Accent5 6" xfId="1580" xr:uid="{00000000-0005-0000-0000-00002B060000}"/>
    <cellStyle name="Accent5 6 2" xfId="1581" xr:uid="{00000000-0005-0000-0000-00002C060000}"/>
    <cellStyle name="Accent5 7" xfId="1582" xr:uid="{00000000-0005-0000-0000-00002D060000}"/>
    <cellStyle name="Accent5 8" xfId="1583" xr:uid="{00000000-0005-0000-0000-00002E060000}"/>
    <cellStyle name="Accent5 9" xfId="1584" xr:uid="{00000000-0005-0000-0000-00002F060000}"/>
    <cellStyle name="Accent6" xfId="1585" builtinId="49" customBuiltin="1"/>
    <cellStyle name="Accent6 10" xfId="1586" xr:uid="{00000000-0005-0000-0000-000031060000}"/>
    <cellStyle name="Accent6 11" xfId="1587" xr:uid="{00000000-0005-0000-0000-000032060000}"/>
    <cellStyle name="Accent6 12" xfId="1588" xr:uid="{00000000-0005-0000-0000-000033060000}"/>
    <cellStyle name="Accent6 13" xfId="1589" xr:uid="{00000000-0005-0000-0000-000034060000}"/>
    <cellStyle name="Accent6 14" xfId="1590" xr:uid="{00000000-0005-0000-0000-000035060000}"/>
    <cellStyle name="Accent6 15" xfId="1591" xr:uid="{00000000-0005-0000-0000-000036060000}"/>
    <cellStyle name="Accent6 16" xfId="1592" xr:uid="{00000000-0005-0000-0000-000037060000}"/>
    <cellStyle name="Accent6 17" xfId="1593" xr:uid="{00000000-0005-0000-0000-000038060000}"/>
    <cellStyle name="Accent6 18" xfId="1594" xr:uid="{00000000-0005-0000-0000-000039060000}"/>
    <cellStyle name="Accent6 19" xfId="1595" xr:uid="{00000000-0005-0000-0000-00003A060000}"/>
    <cellStyle name="Accent6 2" xfId="1596" xr:uid="{00000000-0005-0000-0000-00003B060000}"/>
    <cellStyle name="Accent6 2 10" xfId="1597" xr:uid="{00000000-0005-0000-0000-00003C060000}"/>
    <cellStyle name="Accent6 2 11" xfId="1598" xr:uid="{00000000-0005-0000-0000-00003D060000}"/>
    <cellStyle name="Accent6 2 2" xfId="1599" xr:uid="{00000000-0005-0000-0000-00003E060000}"/>
    <cellStyle name="Accent6 2 2 2" xfId="1600" xr:uid="{00000000-0005-0000-0000-00003F060000}"/>
    <cellStyle name="Accent6 2 3" xfId="1601" xr:uid="{00000000-0005-0000-0000-000040060000}"/>
    <cellStyle name="Accent6 2 3 2" xfId="1602" xr:uid="{00000000-0005-0000-0000-000041060000}"/>
    <cellStyle name="Accent6 2 4" xfId="1603" xr:uid="{00000000-0005-0000-0000-000042060000}"/>
    <cellStyle name="Accent6 2 5" xfId="1604" xr:uid="{00000000-0005-0000-0000-000043060000}"/>
    <cellStyle name="Accent6 2 6" xfId="1605" xr:uid="{00000000-0005-0000-0000-000044060000}"/>
    <cellStyle name="Accent6 2 7" xfId="1606" xr:uid="{00000000-0005-0000-0000-000045060000}"/>
    <cellStyle name="Accent6 2 8" xfId="1607" xr:uid="{00000000-0005-0000-0000-000046060000}"/>
    <cellStyle name="Accent6 2 9" xfId="1608" xr:uid="{00000000-0005-0000-0000-000047060000}"/>
    <cellStyle name="Accent6 20" xfId="1609" xr:uid="{00000000-0005-0000-0000-000048060000}"/>
    <cellStyle name="Accent6 21" xfId="1610" xr:uid="{00000000-0005-0000-0000-000049060000}"/>
    <cellStyle name="Accent6 22" xfId="1611" xr:uid="{00000000-0005-0000-0000-00004A060000}"/>
    <cellStyle name="Accent6 23" xfId="1612" xr:uid="{00000000-0005-0000-0000-00004B060000}"/>
    <cellStyle name="Accent6 24" xfId="1613" xr:uid="{00000000-0005-0000-0000-00004C060000}"/>
    <cellStyle name="Accent6 25" xfId="1614" xr:uid="{00000000-0005-0000-0000-00004D060000}"/>
    <cellStyle name="Accent6 26" xfId="1615" xr:uid="{00000000-0005-0000-0000-00004E060000}"/>
    <cellStyle name="Accent6 27" xfId="1616" xr:uid="{00000000-0005-0000-0000-00004F060000}"/>
    <cellStyle name="Accent6 28" xfId="1617" xr:uid="{00000000-0005-0000-0000-000050060000}"/>
    <cellStyle name="Accent6 29" xfId="1618" xr:uid="{00000000-0005-0000-0000-000051060000}"/>
    <cellStyle name="Accent6 3" xfId="1619" xr:uid="{00000000-0005-0000-0000-000052060000}"/>
    <cellStyle name="Accent6 3 2" xfId="1620" xr:uid="{00000000-0005-0000-0000-000053060000}"/>
    <cellStyle name="Accent6 3 3" xfId="1621" xr:uid="{00000000-0005-0000-0000-000054060000}"/>
    <cellStyle name="Accent6 3 4" xfId="1622" xr:uid="{00000000-0005-0000-0000-000055060000}"/>
    <cellStyle name="Accent6 30" xfId="1623" xr:uid="{00000000-0005-0000-0000-000056060000}"/>
    <cellStyle name="Accent6 31" xfId="1624" xr:uid="{00000000-0005-0000-0000-000057060000}"/>
    <cellStyle name="Accent6 32" xfId="1625" xr:uid="{00000000-0005-0000-0000-000058060000}"/>
    <cellStyle name="Accent6 33" xfId="1626" xr:uid="{00000000-0005-0000-0000-000059060000}"/>
    <cellStyle name="Accent6 34" xfId="1627" xr:uid="{00000000-0005-0000-0000-00005A060000}"/>
    <cellStyle name="Accent6 35" xfId="1628" xr:uid="{00000000-0005-0000-0000-00005B060000}"/>
    <cellStyle name="Accent6 36" xfId="1629" xr:uid="{00000000-0005-0000-0000-00005C060000}"/>
    <cellStyle name="Accent6 37" xfId="1630" xr:uid="{00000000-0005-0000-0000-00005D060000}"/>
    <cellStyle name="Accent6 38" xfId="1631" xr:uid="{00000000-0005-0000-0000-00005E060000}"/>
    <cellStyle name="Accent6 39" xfId="1632" xr:uid="{00000000-0005-0000-0000-00005F060000}"/>
    <cellStyle name="Accent6 4" xfId="1633" xr:uid="{00000000-0005-0000-0000-000060060000}"/>
    <cellStyle name="Accent6 4 2" xfId="1634" xr:uid="{00000000-0005-0000-0000-000061060000}"/>
    <cellStyle name="Accent6 40" xfId="1635" xr:uid="{00000000-0005-0000-0000-000062060000}"/>
    <cellStyle name="Accent6 41" xfId="1636" xr:uid="{00000000-0005-0000-0000-000063060000}"/>
    <cellStyle name="Accent6 42" xfId="1637" xr:uid="{00000000-0005-0000-0000-000064060000}"/>
    <cellStyle name="Accent6 43" xfId="1638" xr:uid="{00000000-0005-0000-0000-000065060000}"/>
    <cellStyle name="Accent6 5" xfId="1639" xr:uid="{00000000-0005-0000-0000-000066060000}"/>
    <cellStyle name="Accent6 5 2" xfId="1640" xr:uid="{00000000-0005-0000-0000-000067060000}"/>
    <cellStyle name="Accent6 6" xfId="1641" xr:uid="{00000000-0005-0000-0000-000068060000}"/>
    <cellStyle name="Accent6 6 2" xfId="1642" xr:uid="{00000000-0005-0000-0000-000069060000}"/>
    <cellStyle name="Accent6 7" xfId="1643" xr:uid="{00000000-0005-0000-0000-00006A060000}"/>
    <cellStyle name="Accent6 8" xfId="1644" xr:uid="{00000000-0005-0000-0000-00006B060000}"/>
    <cellStyle name="Accent6 9" xfId="1645" xr:uid="{00000000-0005-0000-0000-00006C060000}"/>
    <cellStyle name="AggblueBoldCels" xfId="1646" xr:uid="{00000000-0005-0000-0000-00006D060000}"/>
    <cellStyle name="AggblueBoldCels 2" xfId="1647" xr:uid="{00000000-0005-0000-0000-00006E060000}"/>
    <cellStyle name="AggblueCels" xfId="1648" xr:uid="{00000000-0005-0000-0000-00006F060000}"/>
    <cellStyle name="AggblueCels 2" xfId="1649" xr:uid="{00000000-0005-0000-0000-000070060000}"/>
    <cellStyle name="AggblueCels_1x" xfId="1650" xr:uid="{00000000-0005-0000-0000-000071060000}"/>
    <cellStyle name="AggBoldCells" xfId="1651" xr:uid="{00000000-0005-0000-0000-000072060000}"/>
    <cellStyle name="AggBoldCells 2" xfId="1652" xr:uid="{00000000-0005-0000-0000-000073060000}"/>
    <cellStyle name="AggCels" xfId="1653" xr:uid="{00000000-0005-0000-0000-000074060000}"/>
    <cellStyle name="AggCels 2" xfId="1654" xr:uid="{00000000-0005-0000-0000-000075060000}"/>
    <cellStyle name="AggGreen" xfId="1655" xr:uid="{00000000-0005-0000-0000-000076060000}"/>
    <cellStyle name="AggGreen 2" xfId="1656" xr:uid="{00000000-0005-0000-0000-000077060000}"/>
    <cellStyle name="AggGreen_Bbdr" xfId="1657" xr:uid="{00000000-0005-0000-0000-000078060000}"/>
    <cellStyle name="AggGreen12" xfId="1658" xr:uid="{00000000-0005-0000-0000-000079060000}"/>
    <cellStyle name="AggGreen12 2" xfId="1659" xr:uid="{00000000-0005-0000-0000-00007A060000}"/>
    <cellStyle name="AggOrange" xfId="1660" xr:uid="{00000000-0005-0000-0000-00007B060000}"/>
    <cellStyle name="AggOrange 2" xfId="1661" xr:uid="{00000000-0005-0000-0000-00007C060000}"/>
    <cellStyle name="AggOrange_B_border" xfId="1662" xr:uid="{00000000-0005-0000-0000-00007D060000}"/>
    <cellStyle name="AggOrange9" xfId="1663" xr:uid="{00000000-0005-0000-0000-00007E060000}"/>
    <cellStyle name="AggOrange9 2" xfId="1664" xr:uid="{00000000-0005-0000-0000-00007F060000}"/>
    <cellStyle name="AggOrangeLB_2x" xfId="1665" xr:uid="{00000000-0005-0000-0000-000080060000}"/>
    <cellStyle name="AggOrangeLBorder" xfId="1666" xr:uid="{00000000-0005-0000-0000-000081060000}"/>
    <cellStyle name="AggOrangeLBorder 2" xfId="1667" xr:uid="{00000000-0005-0000-0000-000082060000}"/>
    <cellStyle name="AggOrangeRBorder" xfId="1668" xr:uid="{00000000-0005-0000-0000-000083060000}"/>
    <cellStyle name="AggOrangeRBorder 2" xfId="1669" xr:uid="{00000000-0005-0000-0000-000084060000}"/>
    <cellStyle name="Akzent1" xfId="1670" xr:uid="{00000000-0005-0000-0000-000085060000}"/>
    <cellStyle name="Akzent2" xfId="1671" xr:uid="{00000000-0005-0000-0000-000086060000}"/>
    <cellStyle name="Akzent3" xfId="1672" xr:uid="{00000000-0005-0000-0000-000087060000}"/>
    <cellStyle name="Akzent4" xfId="1673" xr:uid="{00000000-0005-0000-0000-000088060000}"/>
    <cellStyle name="Akzent5" xfId="1674" xr:uid="{00000000-0005-0000-0000-000089060000}"/>
    <cellStyle name="Akzent6" xfId="1675" xr:uid="{00000000-0005-0000-0000-00008A060000}"/>
    <cellStyle name="Ausgabe" xfId="1676" xr:uid="{00000000-0005-0000-0000-00008B060000}"/>
    <cellStyle name="Bad" xfId="1677" builtinId="27" customBuiltin="1"/>
    <cellStyle name="Bad 10" xfId="1678" xr:uid="{00000000-0005-0000-0000-00008D060000}"/>
    <cellStyle name="Bad 11" xfId="1679" xr:uid="{00000000-0005-0000-0000-00008E060000}"/>
    <cellStyle name="Bad 12" xfId="1680" xr:uid="{00000000-0005-0000-0000-00008F060000}"/>
    <cellStyle name="Bad 13" xfId="1681" xr:uid="{00000000-0005-0000-0000-000090060000}"/>
    <cellStyle name="Bad 14" xfId="1682" xr:uid="{00000000-0005-0000-0000-000091060000}"/>
    <cellStyle name="Bad 15" xfId="1683" xr:uid="{00000000-0005-0000-0000-000092060000}"/>
    <cellStyle name="Bad 16" xfId="1684" xr:uid="{00000000-0005-0000-0000-000093060000}"/>
    <cellStyle name="Bad 17" xfId="1685" xr:uid="{00000000-0005-0000-0000-000094060000}"/>
    <cellStyle name="Bad 18" xfId="1686" xr:uid="{00000000-0005-0000-0000-000095060000}"/>
    <cellStyle name="Bad 19" xfId="1687" xr:uid="{00000000-0005-0000-0000-000096060000}"/>
    <cellStyle name="Bad 2" xfId="1688" xr:uid="{00000000-0005-0000-0000-000097060000}"/>
    <cellStyle name="Bad 2 10" xfId="1689" xr:uid="{00000000-0005-0000-0000-000098060000}"/>
    <cellStyle name="Bad 2 11" xfId="1690" xr:uid="{00000000-0005-0000-0000-000099060000}"/>
    <cellStyle name="Bad 2 2" xfId="1691" xr:uid="{00000000-0005-0000-0000-00009A060000}"/>
    <cellStyle name="Bad 2 2 2" xfId="1692" xr:uid="{00000000-0005-0000-0000-00009B060000}"/>
    <cellStyle name="Bad 2 3" xfId="1693" xr:uid="{00000000-0005-0000-0000-00009C060000}"/>
    <cellStyle name="Bad 2 3 2" xfId="1694" xr:uid="{00000000-0005-0000-0000-00009D060000}"/>
    <cellStyle name="Bad 2 4" xfId="1695" xr:uid="{00000000-0005-0000-0000-00009E060000}"/>
    <cellStyle name="Bad 2 5" xfId="1696" xr:uid="{00000000-0005-0000-0000-00009F060000}"/>
    <cellStyle name="Bad 2 6" xfId="1697" xr:uid="{00000000-0005-0000-0000-0000A0060000}"/>
    <cellStyle name="Bad 2 7" xfId="1698" xr:uid="{00000000-0005-0000-0000-0000A1060000}"/>
    <cellStyle name="Bad 2 8" xfId="1699" xr:uid="{00000000-0005-0000-0000-0000A2060000}"/>
    <cellStyle name="Bad 2 9" xfId="1700" xr:uid="{00000000-0005-0000-0000-0000A3060000}"/>
    <cellStyle name="Bad 2_DACNEW" xfId="17754" xr:uid="{00000000-0005-0000-0000-0000A4060000}"/>
    <cellStyle name="Bad 20" xfId="1701" xr:uid="{00000000-0005-0000-0000-0000A5060000}"/>
    <cellStyle name="Bad 21" xfId="1702" xr:uid="{00000000-0005-0000-0000-0000A6060000}"/>
    <cellStyle name="Bad 22" xfId="1703" xr:uid="{00000000-0005-0000-0000-0000A7060000}"/>
    <cellStyle name="Bad 23" xfId="1704" xr:uid="{00000000-0005-0000-0000-0000A8060000}"/>
    <cellStyle name="Bad 24" xfId="1705" xr:uid="{00000000-0005-0000-0000-0000A9060000}"/>
    <cellStyle name="Bad 25" xfId="1706" xr:uid="{00000000-0005-0000-0000-0000AA060000}"/>
    <cellStyle name="Bad 26" xfId="1707" xr:uid="{00000000-0005-0000-0000-0000AB060000}"/>
    <cellStyle name="Bad 27" xfId="1708" xr:uid="{00000000-0005-0000-0000-0000AC060000}"/>
    <cellStyle name="Bad 28" xfId="1709" xr:uid="{00000000-0005-0000-0000-0000AD060000}"/>
    <cellStyle name="Bad 29" xfId="1710" xr:uid="{00000000-0005-0000-0000-0000AE060000}"/>
    <cellStyle name="Bad 3" xfId="1711" xr:uid="{00000000-0005-0000-0000-0000AF060000}"/>
    <cellStyle name="Bad 3 2" xfId="1712" xr:uid="{00000000-0005-0000-0000-0000B0060000}"/>
    <cellStyle name="Bad 3 3" xfId="1713" xr:uid="{00000000-0005-0000-0000-0000B1060000}"/>
    <cellStyle name="Bad 3 4" xfId="1714" xr:uid="{00000000-0005-0000-0000-0000B2060000}"/>
    <cellStyle name="Bad 30" xfId="1715" xr:uid="{00000000-0005-0000-0000-0000B3060000}"/>
    <cellStyle name="Bad 31" xfId="1716" xr:uid="{00000000-0005-0000-0000-0000B4060000}"/>
    <cellStyle name="Bad 32" xfId="1717" xr:uid="{00000000-0005-0000-0000-0000B5060000}"/>
    <cellStyle name="Bad 33" xfId="1718" xr:uid="{00000000-0005-0000-0000-0000B6060000}"/>
    <cellStyle name="Bad 34" xfId="1719" xr:uid="{00000000-0005-0000-0000-0000B7060000}"/>
    <cellStyle name="Bad 35" xfId="1720" xr:uid="{00000000-0005-0000-0000-0000B8060000}"/>
    <cellStyle name="Bad 36" xfId="1721" xr:uid="{00000000-0005-0000-0000-0000B9060000}"/>
    <cellStyle name="Bad 37" xfId="1722" xr:uid="{00000000-0005-0000-0000-0000BA060000}"/>
    <cellStyle name="Bad 38" xfId="1723" xr:uid="{00000000-0005-0000-0000-0000BB060000}"/>
    <cellStyle name="Bad 39" xfId="1724" xr:uid="{00000000-0005-0000-0000-0000BC060000}"/>
    <cellStyle name="Bad 4" xfId="1725" xr:uid="{00000000-0005-0000-0000-0000BD060000}"/>
    <cellStyle name="Bad 4 2" xfId="1726" xr:uid="{00000000-0005-0000-0000-0000BE060000}"/>
    <cellStyle name="Bad 40" xfId="1727" xr:uid="{00000000-0005-0000-0000-0000BF060000}"/>
    <cellStyle name="Bad 41" xfId="1728" xr:uid="{00000000-0005-0000-0000-0000C0060000}"/>
    <cellStyle name="Bad 42" xfId="1729" xr:uid="{00000000-0005-0000-0000-0000C1060000}"/>
    <cellStyle name="Bad 43" xfId="1730" xr:uid="{00000000-0005-0000-0000-0000C2060000}"/>
    <cellStyle name="Bad 44" xfId="1731" xr:uid="{00000000-0005-0000-0000-0000C3060000}"/>
    <cellStyle name="Bad 5" xfId="1732" xr:uid="{00000000-0005-0000-0000-0000C4060000}"/>
    <cellStyle name="Bad 5 2" xfId="1733" xr:uid="{00000000-0005-0000-0000-0000C5060000}"/>
    <cellStyle name="Bad 6" xfId="1734" xr:uid="{00000000-0005-0000-0000-0000C6060000}"/>
    <cellStyle name="Bad 6 2" xfId="1735" xr:uid="{00000000-0005-0000-0000-0000C7060000}"/>
    <cellStyle name="Bad 7" xfId="1736" xr:uid="{00000000-0005-0000-0000-0000C8060000}"/>
    <cellStyle name="Bad 8" xfId="1737" xr:uid="{00000000-0005-0000-0000-0000C9060000}"/>
    <cellStyle name="Bad 9" xfId="1738" xr:uid="{00000000-0005-0000-0000-0000CA060000}"/>
    <cellStyle name="Berechnung" xfId="1739" xr:uid="{00000000-0005-0000-0000-0000CB060000}"/>
    <cellStyle name="Bold GHG Numbers (0.00)" xfId="1740" xr:uid="{00000000-0005-0000-0000-0000CC060000}"/>
    <cellStyle name="Calculation" xfId="1741" builtinId="22" customBuiltin="1"/>
    <cellStyle name="Calculation 10" xfId="1742" xr:uid="{00000000-0005-0000-0000-0000CE060000}"/>
    <cellStyle name="Calculation 11" xfId="1743" xr:uid="{00000000-0005-0000-0000-0000CF060000}"/>
    <cellStyle name="Calculation 12" xfId="1744" xr:uid="{00000000-0005-0000-0000-0000D0060000}"/>
    <cellStyle name="Calculation 13" xfId="1745" xr:uid="{00000000-0005-0000-0000-0000D1060000}"/>
    <cellStyle name="Calculation 14" xfId="1746" xr:uid="{00000000-0005-0000-0000-0000D2060000}"/>
    <cellStyle name="Calculation 15" xfId="1747" xr:uid="{00000000-0005-0000-0000-0000D3060000}"/>
    <cellStyle name="Calculation 16" xfId="1748" xr:uid="{00000000-0005-0000-0000-0000D4060000}"/>
    <cellStyle name="Calculation 17" xfId="1749" xr:uid="{00000000-0005-0000-0000-0000D5060000}"/>
    <cellStyle name="Calculation 18" xfId="1750" xr:uid="{00000000-0005-0000-0000-0000D6060000}"/>
    <cellStyle name="Calculation 19" xfId="1751" xr:uid="{00000000-0005-0000-0000-0000D7060000}"/>
    <cellStyle name="Calculation 2" xfId="1752" xr:uid="{00000000-0005-0000-0000-0000D8060000}"/>
    <cellStyle name="Calculation 2 10" xfId="1753" xr:uid="{00000000-0005-0000-0000-0000D9060000}"/>
    <cellStyle name="Calculation 2 11" xfId="1754" xr:uid="{00000000-0005-0000-0000-0000DA060000}"/>
    <cellStyle name="Calculation 2 2" xfId="1755" xr:uid="{00000000-0005-0000-0000-0000DB060000}"/>
    <cellStyle name="Calculation 2 2 2" xfId="1756" xr:uid="{00000000-0005-0000-0000-0000DC060000}"/>
    <cellStyle name="Calculation 2 3" xfId="1757" xr:uid="{00000000-0005-0000-0000-0000DD060000}"/>
    <cellStyle name="Calculation 2 3 2" xfId="1758" xr:uid="{00000000-0005-0000-0000-0000DE060000}"/>
    <cellStyle name="Calculation 2 4" xfId="1759" xr:uid="{00000000-0005-0000-0000-0000DF060000}"/>
    <cellStyle name="Calculation 2 5" xfId="1760" xr:uid="{00000000-0005-0000-0000-0000E0060000}"/>
    <cellStyle name="Calculation 2 6" xfId="1761" xr:uid="{00000000-0005-0000-0000-0000E1060000}"/>
    <cellStyle name="Calculation 2 7" xfId="1762" xr:uid="{00000000-0005-0000-0000-0000E2060000}"/>
    <cellStyle name="Calculation 2 8" xfId="1763" xr:uid="{00000000-0005-0000-0000-0000E3060000}"/>
    <cellStyle name="Calculation 2 9" xfId="1764" xr:uid="{00000000-0005-0000-0000-0000E4060000}"/>
    <cellStyle name="Calculation 20" xfId="1765" xr:uid="{00000000-0005-0000-0000-0000E5060000}"/>
    <cellStyle name="Calculation 21" xfId="1766" xr:uid="{00000000-0005-0000-0000-0000E6060000}"/>
    <cellStyle name="Calculation 22" xfId="1767" xr:uid="{00000000-0005-0000-0000-0000E7060000}"/>
    <cellStyle name="Calculation 23" xfId="1768" xr:uid="{00000000-0005-0000-0000-0000E8060000}"/>
    <cellStyle name="Calculation 24" xfId="1769" xr:uid="{00000000-0005-0000-0000-0000E9060000}"/>
    <cellStyle name="Calculation 25" xfId="1770" xr:uid="{00000000-0005-0000-0000-0000EA060000}"/>
    <cellStyle name="Calculation 26" xfId="1771" xr:uid="{00000000-0005-0000-0000-0000EB060000}"/>
    <cellStyle name="Calculation 27" xfId="1772" xr:uid="{00000000-0005-0000-0000-0000EC060000}"/>
    <cellStyle name="Calculation 28" xfId="1773" xr:uid="{00000000-0005-0000-0000-0000ED060000}"/>
    <cellStyle name="Calculation 29" xfId="1774" xr:uid="{00000000-0005-0000-0000-0000EE060000}"/>
    <cellStyle name="Calculation 3" xfId="1775" xr:uid="{00000000-0005-0000-0000-0000EF060000}"/>
    <cellStyle name="Calculation 3 2" xfId="1776" xr:uid="{00000000-0005-0000-0000-0000F0060000}"/>
    <cellStyle name="Calculation 3 3" xfId="1777" xr:uid="{00000000-0005-0000-0000-0000F1060000}"/>
    <cellStyle name="Calculation 3 4" xfId="1778" xr:uid="{00000000-0005-0000-0000-0000F2060000}"/>
    <cellStyle name="Calculation 30" xfId="1779" xr:uid="{00000000-0005-0000-0000-0000F3060000}"/>
    <cellStyle name="Calculation 31" xfId="1780" xr:uid="{00000000-0005-0000-0000-0000F4060000}"/>
    <cellStyle name="Calculation 32" xfId="1781" xr:uid="{00000000-0005-0000-0000-0000F5060000}"/>
    <cellStyle name="Calculation 33" xfId="1782" xr:uid="{00000000-0005-0000-0000-0000F6060000}"/>
    <cellStyle name="Calculation 34" xfId="1783" xr:uid="{00000000-0005-0000-0000-0000F7060000}"/>
    <cellStyle name="Calculation 35" xfId="1784" xr:uid="{00000000-0005-0000-0000-0000F8060000}"/>
    <cellStyle name="Calculation 36" xfId="1785" xr:uid="{00000000-0005-0000-0000-0000F9060000}"/>
    <cellStyle name="Calculation 37" xfId="1786" xr:uid="{00000000-0005-0000-0000-0000FA060000}"/>
    <cellStyle name="Calculation 38" xfId="1787" xr:uid="{00000000-0005-0000-0000-0000FB060000}"/>
    <cellStyle name="Calculation 39" xfId="1788" xr:uid="{00000000-0005-0000-0000-0000FC060000}"/>
    <cellStyle name="Calculation 4" xfId="1789" xr:uid="{00000000-0005-0000-0000-0000FD060000}"/>
    <cellStyle name="Calculation 4 2" xfId="1790" xr:uid="{00000000-0005-0000-0000-0000FE060000}"/>
    <cellStyle name="Calculation 40" xfId="1791" xr:uid="{00000000-0005-0000-0000-0000FF060000}"/>
    <cellStyle name="Calculation 41" xfId="1792" xr:uid="{00000000-0005-0000-0000-000000070000}"/>
    <cellStyle name="Calculation 42" xfId="1793" xr:uid="{00000000-0005-0000-0000-000001070000}"/>
    <cellStyle name="Calculation 43" xfId="1794" xr:uid="{00000000-0005-0000-0000-000002070000}"/>
    <cellStyle name="Calculation 5" xfId="1795" xr:uid="{00000000-0005-0000-0000-000003070000}"/>
    <cellStyle name="Calculation 5 2" xfId="1796" xr:uid="{00000000-0005-0000-0000-000004070000}"/>
    <cellStyle name="Calculation 6" xfId="1797" xr:uid="{00000000-0005-0000-0000-000005070000}"/>
    <cellStyle name="Calculation 6 2" xfId="1798" xr:uid="{00000000-0005-0000-0000-000006070000}"/>
    <cellStyle name="Calculation 7" xfId="1799" xr:uid="{00000000-0005-0000-0000-000007070000}"/>
    <cellStyle name="Calculation 8" xfId="1800" xr:uid="{00000000-0005-0000-0000-000008070000}"/>
    <cellStyle name="Calculation 9" xfId="1801" xr:uid="{00000000-0005-0000-0000-000009070000}"/>
    <cellStyle name="Check Cell" xfId="1802" builtinId="23" customBuiltin="1"/>
    <cellStyle name="Check Cell 10" xfId="1803" xr:uid="{00000000-0005-0000-0000-00000B070000}"/>
    <cellStyle name="Check Cell 11" xfId="1804" xr:uid="{00000000-0005-0000-0000-00000C070000}"/>
    <cellStyle name="Check Cell 12" xfId="1805" xr:uid="{00000000-0005-0000-0000-00000D070000}"/>
    <cellStyle name="Check Cell 13" xfId="1806" xr:uid="{00000000-0005-0000-0000-00000E070000}"/>
    <cellStyle name="Check Cell 14" xfId="1807" xr:uid="{00000000-0005-0000-0000-00000F070000}"/>
    <cellStyle name="Check Cell 15" xfId="1808" xr:uid="{00000000-0005-0000-0000-000010070000}"/>
    <cellStyle name="Check Cell 16" xfId="1809" xr:uid="{00000000-0005-0000-0000-000011070000}"/>
    <cellStyle name="Check Cell 17" xfId="1810" xr:uid="{00000000-0005-0000-0000-000012070000}"/>
    <cellStyle name="Check Cell 18" xfId="1811" xr:uid="{00000000-0005-0000-0000-000013070000}"/>
    <cellStyle name="Check Cell 19" xfId="1812" xr:uid="{00000000-0005-0000-0000-000014070000}"/>
    <cellStyle name="Check Cell 2" xfId="1813" xr:uid="{00000000-0005-0000-0000-000015070000}"/>
    <cellStyle name="Check Cell 2 10" xfId="1814" xr:uid="{00000000-0005-0000-0000-000016070000}"/>
    <cellStyle name="Check Cell 2 2" xfId="1815" xr:uid="{00000000-0005-0000-0000-000017070000}"/>
    <cellStyle name="Check Cell 2 3" xfId="1816" xr:uid="{00000000-0005-0000-0000-000018070000}"/>
    <cellStyle name="Check Cell 2 4" xfId="1817" xr:uid="{00000000-0005-0000-0000-000019070000}"/>
    <cellStyle name="Check Cell 2 5" xfId="1818" xr:uid="{00000000-0005-0000-0000-00001A070000}"/>
    <cellStyle name="Check Cell 2 6" xfId="1819" xr:uid="{00000000-0005-0000-0000-00001B070000}"/>
    <cellStyle name="Check Cell 2 7" xfId="1820" xr:uid="{00000000-0005-0000-0000-00001C070000}"/>
    <cellStyle name="Check Cell 2 8" xfId="1821" xr:uid="{00000000-0005-0000-0000-00001D070000}"/>
    <cellStyle name="Check Cell 2 9" xfId="1822" xr:uid="{00000000-0005-0000-0000-00001E070000}"/>
    <cellStyle name="Check Cell 20" xfId="1823" xr:uid="{00000000-0005-0000-0000-00001F070000}"/>
    <cellStyle name="Check Cell 21" xfId="1824" xr:uid="{00000000-0005-0000-0000-000020070000}"/>
    <cellStyle name="Check Cell 22" xfId="1825" xr:uid="{00000000-0005-0000-0000-000021070000}"/>
    <cellStyle name="Check Cell 23" xfId="1826" xr:uid="{00000000-0005-0000-0000-000022070000}"/>
    <cellStyle name="Check Cell 24" xfId="1827" xr:uid="{00000000-0005-0000-0000-000023070000}"/>
    <cellStyle name="Check Cell 25" xfId="1828" xr:uid="{00000000-0005-0000-0000-000024070000}"/>
    <cellStyle name="Check Cell 26" xfId="1829" xr:uid="{00000000-0005-0000-0000-000025070000}"/>
    <cellStyle name="Check Cell 27" xfId="1830" xr:uid="{00000000-0005-0000-0000-000026070000}"/>
    <cellStyle name="Check Cell 28" xfId="1831" xr:uid="{00000000-0005-0000-0000-000027070000}"/>
    <cellStyle name="Check Cell 29" xfId="1832" xr:uid="{00000000-0005-0000-0000-000028070000}"/>
    <cellStyle name="Check Cell 3" xfId="1833" xr:uid="{00000000-0005-0000-0000-000029070000}"/>
    <cellStyle name="Check Cell 3 2" xfId="1834" xr:uid="{00000000-0005-0000-0000-00002A070000}"/>
    <cellStyle name="Check Cell 30" xfId="1835" xr:uid="{00000000-0005-0000-0000-00002B070000}"/>
    <cellStyle name="Check Cell 31" xfId="1836" xr:uid="{00000000-0005-0000-0000-00002C070000}"/>
    <cellStyle name="Check Cell 32" xfId="1837" xr:uid="{00000000-0005-0000-0000-00002D070000}"/>
    <cellStyle name="Check Cell 33" xfId="1838" xr:uid="{00000000-0005-0000-0000-00002E070000}"/>
    <cellStyle name="Check Cell 34" xfId="1839" xr:uid="{00000000-0005-0000-0000-00002F070000}"/>
    <cellStyle name="Check Cell 35" xfId="1840" xr:uid="{00000000-0005-0000-0000-000030070000}"/>
    <cellStyle name="Check Cell 36" xfId="1841" xr:uid="{00000000-0005-0000-0000-000031070000}"/>
    <cellStyle name="Check Cell 37" xfId="1842" xr:uid="{00000000-0005-0000-0000-000032070000}"/>
    <cellStyle name="Check Cell 38" xfId="1843" xr:uid="{00000000-0005-0000-0000-000033070000}"/>
    <cellStyle name="Check Cell 39" xfId="1844" xr:uid="{00000000-0005-0000-0000-000034070000}"/>
    <cellStyle name="Check Cell 4" xfId="1845" xr:uid="{00000000-0005-0000-0000-000035070000}"/>
    <cellStyle name="Check Cell 4 2" xfId="1846" xr:uid="{00000000-0005-0000-0000-000036070000}"/>
    <cellStyle name="Check Cell 40" xfId="1847" xr:uid="{00000000-0005-0000-0000-000037070000}"/>
    <cellStyle name="Check Cell 41" xfId="1848" xr:uid="{00000000-0005-0000-0000-000038070000}"/>
    <cellStyle name="Check Cell 42" xfId="1849" xr:uid="{00000000-0005-0000-0000-000039070000}"/>
    <cellStyle name="Check Cell 43" xfId="1850" xr:uid="{00000000-0005-0000-0000-00003A070000}"/>
    <cellStyle name="Check Cell 5" xfId="1851" xr:uid="{00000000-0005-0000-0000-00003B070000}"/>
    <cellStyle name="Check Cell 5 2" xfId="1852" xr:uid="{00000000-0005-0000-0000-00003C070000}"/>
    <cellStyle name="Check Cell 6" xfId="1853" xr:uid="{00000000-0005-0000-0000-00003D070000}"/>
    <cellStyle name="Check Cell 6 2" xfId="1854" xr:uid="{00000000-0005-0000-0000-00003E070000}"/>
    <cellStyle name="Check Cell 7" xfId="1855" xr:uid="{00000000-0005-0000-0000-00003F070000}"/>
    <cellStyle name="Check Cell 8" xfId="1856" xr:uid="{00000000-0005-0000-0000-000040070000}"/>
    <cellStyle name="Check Cell 9" xfId="1857" xr:uid="{00000000-0005-0000-0000-000041070000}"/>
    <cellStyle name="coin" xfId="1858" xr:uid="{00000000-0005-0000-0000-000042070000}"/>
    <cellStyle name="Colore 2" xfId="17755" xr:uid="{00000000-0005-0000-0000-000043070000}"/>
    <cellStyle name="Comma [0] 2 10" xfId="1859" xr:uid="{00000000-0005-0000-0000-000044070000}"/>
    <cellStyle name="Comma [0] 2 10 2" xfId="1860" xr:uid="{00000000-0005-0000-0000-000045070000}"/>
    <cellStyle name="Comma [0] 2 2" xfId="1861" xr:uid="{00000000-0005-0000-0000-000046070000}"/>
    <cellStyle name="Comma [0] 2 2 2" xfId="1862" xr:uid="{00000000-0005-0000-0000-000047070000}"/>
    <cellStyle name="Comma [0] 2 3" xfId="1863" xr:uid="{00000000-0005-0000-0000-000048070000}"/>
    <cellStyle name="Comma [0] 2 3 2" xfId="1864" xr:uid="{00000000-0005-0000-0000-000049070000}"/>
    <cellStyle name="Comma [0] 2 4" xfId="1865" xr:uid="{00000000-0005-0000-0000-00004A070000}"/>
    <cellStyle name="Comma [0] 2 4 2" xfId="1866" xr:uid="{00000000-0005-0000-0000-00004B070000}"/>
    <cellStyle name="Comma [0] 2 5" xfId="1867" xr:uid="{00000000-0005-0000-0000-00004C070000}"/>
    <cellStyle name="Comma [0] 2 5 2" xfId="1868" xr:uid="{00000000-0005-0000-0000-00004D070000}"/>
    <cellStyle name="Comma [0] 2 6" xfId="1869" xr:uid="{00000000-0005-0000-0000-00004E070000}"/>
    <cellStyle name="Comma [0] 2 6 2" xfId="1870" xr:uid="{00000000-0005-0000-0000-00004F070000}"/>
    <cellStyle name="Comma [0] 2 7" xfId="1871" xr:uid="{00000000-0005-0000-0000-000050070000}"/>
    <cellStyle name="Comma [0] 2 7 2" xfId="1872" xr:uid="{00000000-0005-0000-0000-000051070000}"/>
    <cellStyle name="Comma [0] 2 8" xfId="1873" xr:uid="{00000000-0005-0000-0000-000052070000}"/>
    <cellStyle name="Comma [0] 2 8 2" xfId="1874" xr:uid="{00000000-0005-0000-0000-000053070000}"/>
    <cellStyle name="Comma [0] 2 9" xfId="1875" xr:uid="{00000000-0005-0000-0000-000054070000}"/>
    <cellStyle name="Comma [0] 2 9 2" xfId="1876" xr:uid="{00000000-0005-0000-0000-000055070000}"/>
    <cellStyle name="Comma 10" xfId="1877" xr:uid="{00000000-0005-0000-0000-000056070000}"/>
    <cellStyle name="Comma 10 2" xfId="1878" xr:uid="{00000000-0005-0000-0000-000057070000}"/>
    <cellStyle name="Comma 10 2 10" xfId="1879" xr:uid="{00000000-0005-0000-0000-000058070000}"/>
    <cellStyle name="Comma 10 2 10 2" xfId="1880" xr:uid="{00000000-0005-0000-0000-000059070000}"/>
    <cellStyle name="Comma 10 2 11" xfId="1881" xr:uid="{00000000-0005-0000-0000-00005A070000}"/>
    <cellStyle name="Comma 10 2 11 2" xfId="1882" xr:uid="{00000000-0005-0000-0000-00005B070000}"/>
    <cellStyle name="Comma 10 2 12" xfId="1883" xr:uid="{00000000-0005-0000-0000-00005C070000}"/>
    <cellStyle name="Comma 10 2 12 2" xfId="1884" xr:uid="{00000000-0005-0000-0000-00005D070000}"/>
    <cellStyle name="Comma 10 2 13" xfId="1885" xr:uid="{00000000-0005-0000-0000-00005E070000}"/>
    <cellStyle name="Comma 10 2 13 2" xfId="1886" xr:uid="{00000000-0005-0000-0000-00005F070000}"/>
    <cellStyle name="Comma 10 2 14" xfId="1887" xr:uid="{00000000-0005-0000-0000-000060070000}"/>
    <cellStyle name="Comma 10 2 14 2" xfId="1888" xr:uid="{00000000-0005-0000-0000-000061070000}"/>
    <cellStyle name="Comma 10 2 15" xfId="1889" xr:uid="{00000000-0005-0000-0000-000062070000}"/>
    <cellStyle name="Comma 10 2 15 2" xfId="1890" xr:uid="{00000000-0005-0000-0000-000063070000}"/>
    <cellStyle name="Comma 10 2 16" xfId="1891" xr:uid="{00000000-0005-0000-0000-000064070000}"/>
    <cellStyle name="Comma 10 2 16 2" xfId="1892" xr:uid="{00000000-0005-0000-0000-000065070000}"/>
    <cellStyle name="Comma 10 2 17" xfId="1893" xr:uid="{00000000-0005-0000-0000-000066070000}"/>
    <cellStyle name="Comma 10 2 17 2" xfId="1894" xr:uid="{00000000-0005-0000-0000-000067070000}"/>
    <cellStyle name="Comma 10 2 18" xfId="1895" xr:uid="{00000000-0005-0000-0000-000068070000}"/>
    <cellStyle name="Comma 10 2 2" xfId="1896" xr:uid="{00000000-0005-0000-0000-000069070000}"/>
    <cellStyle name="Comma 10 2 2 2" xfId="1897" xr:uid="{00000000-0005-0000-0000-00006A070000}"/>
    <cellStyle name="Comma 10 2 3" xfId="1898" xr:uid="{00000000-0005-0000-0000-00006B070000}"/>
    <cellStyle name="Comma 10 2 3 2" xfId="1899" xr:uid="{00000000-0005-0000-0000-00006C070000}"/>
    <cellStyle name="Comma 10 2 4" xfId="1900" xr:uid="{00000000-0005-0000-0000-00006D070000}"/>
    <cellStyle name="Comma 10 2 4 2" xfId="1901" xr:uid="{00000000-0005-0000-0000-00006E070000}"/>
    <cellStyle name="Comma 10 2 5" xfId="1902" xr:uid="{00000000-0005-0000-0000-00006F070000}"/>
    <cellStyle name="Comma 10 2 5 2" xfId="1903" xr:uid="{00000000-0005-0000-0000-000070070000}"/>
    <cellStyle name="Comma 10 2 6" xfId="1904" xr:uid="{00000000-0005-0000-0000-000071070000}"/>
    <cellStyle name="Comma 10 2 6 2" xfId="1905" xr:uid="{00000000-0005-0000-0000-000072070000}"/>
    <cellStyle name="Comma 10 2 7" xfId="1906" xr:uid="{00000000-0005-0000-0000-000073070000}"/>
    <cellStyle name="Comma 10 2 7 2" xfId="1907" xr:uid="{00000000-0005-0000-0000-000074070000}"/>
    <cellStyle name="Comma 10 2 8" xfId="1908" xr:uid="{00000000-0005-0000-0000-000075070000}"/>
    <cellStyle name="Comma 10 2 8 2" xfId="1909" xr:uid="{00000000-0005-0000-0000-000076070000}"/>
    <cellStyle name="Comma 10 2 9" xfId="1910" xr:uid="{00000000-0005-0000-0000-000077070000}"/>
    <cellStyle name="Comma 10 2 9 2" xfId="1911" xr:uid="{00000000-0005-0000-0000-000078070000}"/>
    <cellStyle name="Comma 10 3" xfId="1912" xr:uid="{00000000-0005-0000-0000-000079070000}"/>
    <cellStyle name="Comma 10 3 10" xfId="1913" xr:uid="{00000000-0005-0000-0000-00007A070000}"/>
    <cellStyle name="Comma 10 3 10 2" xfId="1914" xr:uid="{00000000-0005-0000-0000-00007B070000}"/>
    <cellStyle name="Comma 10 3 11" xfId="1915" xr:uid="{00000000-0005-0000-0000-00007C070000}"/>
    <cellStyle name="Comma 10 3 11 2" xfId="1916" xr:uid="{00000000-0005-0000-0000-00007D070000}"/>
    <cellStyle name="Comma 10 3 12" xfId="1917" xr:uid="{00000000-0005-0000-0000-00007E070000}"/>
    <cellStyle name="Comma 10 3 12 2" xfId="1918" xr:uid="{00000000-0005-0000-0000-00007F070000}"/>
    <cellStyle name="Comma 10 3 13" xfId="1919" xr:uid="{00000000-0005-0000-0000-000080070000}"/>
    <cellStyle name="Comma 10 3 13 2" xfId="1920" xr:uid="{00000000-0005-0000-0000-000081070000}"/>
    <cellStyle name="Comma 10 3 14" xfId="1921" xr:uid="{00000000-0005-0000-0000-000082070000}"/>
    <cellStyle name="Comma 10 3 14 2" xfId="1922" xr:uid="{00000000-0005-0000-0000-000083070000}"/>
    <cellStyle name="Comma 10 3 15" xfId="1923" xr:uid="{00000000-0005-0000-0000-000084070000}"/>
    <cellStyle name="Comma 10 3 15 2" xfId="1924" xr:uid="{00000000-0005-0000-0000-000085070000}"/>
    <cellStyle name="Comma 10 3 16" xfId="1925" xr:uid="{00000000-0005-0000-0000-000086070000}"/>
    <cellStyle name="Comma 10 3 16 2" xfId="1926" xr:uid="{00000000-0005-0000-0000-000087070000}"/>
    <cellStyle name="Comma 10 3 17" xfId="1927" xr:uid="{00000000-0005-0000-0000-000088070000}"/>
    <cellStyle name="Comma 10 3 17 2" xfId="1928" xr:uid="{00000000-0005-0000-0000-000089070000}"/>
    <cellStyle name="Comma 10 3 18" xfId="1929" xr:uid="{00000000-0005-0000-0000-00008A070000}"/>
    <cellStyle name="Comma 10 3 2" xfId="1930" xr:uid="{00000000-0005-0000-0000-00008B070000}"/>
    <cellStyle name="Comma 10 3 2 2" xfId="1931" xr:uid="{00000000-0005-0000-0000-00008C070000}"/>
    <cellStyle name="Comma 10 3 3" xfId="1932" xr:uid="{00000000-0005-0000-0000-00008D070000}"/>
    <cellStyle name="Comma 10 3 3 2" xfId="1933" xr:uid="{00000000-0005-0000-0000-00008E070000}"/>
    <cellStyle name="Comma 10 3 4" xfId="1934" xr:uid="{00000000-0005-0000-0000-00008F070000}"/>
    <cellStyle name="Comma 10 3 4 2" xfId="1935" xr:uid="{00000000-0005-0000-0000-000090070000}"/>
    <cellStyle name="Comma 10 3 5" xfId="1936" xr:uid="{00000000-0005-0000-0000-000091070000}"/>
    <cellStyle name="Comma 10 3 5 2" xfId="1937" xr:uid="{00000000-0005-0000-0000-000092070000}"/>
    <cellStyle name="Comma 10 3 6" xfId="1938" xr:uid="{00000000-0005-0000-0000-000093070000}"/>
    <cellStyle name="Comma 10 3 6 2" xfId="1939" xr:uid="{00000000-0005-0000-0000-000094070000}"/>
    <cellStyle name="Comma 10 3 7" xfId="1940" xr:uid="{00000000-0005-0000-0000-000095070000}"/>
    <cellStyle name="Comma 10 3 7 2" xfId="1941" xr:uid="{00000000-0005-0000-0000-000096070000}"/>
    <cellStyle name="Comma 10 3 8" xfId="1942" xr:uid="{00000000-0005-0000-0000-000097070000}"/>
    <cellStyle name="Comma 10 3 8 2" xfId="1943" xr:uid="{00000000-0005-0000-0000-000098070000}"/>
    <cellStyle name="Comma 10 3 9" xfId="1944" xr:uid="{00000000-0005-0000-0000-000099070000}"/>
    <cellStyle name="Comma 10 3 9 2" xfId="1945" xr:uid="{00000000-0005-0000-0000-00009A070000}"/>
    <cellStyle name="Comma 10 4" xfId="1946" xr:uid="{00000000-0005-0000-0000-00009B070000}"/>
    <cellStyle name="Comma 10 4 10" xfId="1947" xr:uid="{00000000-0005-0000-0000-00009C070000}"/>
    <cellStyle name="Comma 10 4 10 2" xfId="1948" xr:uid="{00000000-0005-0000-0000-00009D070000}"/>
    <cellStyle name="Comma 10 4 11" xfId="1949" xr:uid="{00000000-0005-0000-0000-00009E070000}"/>
    <cellStyle name="Comma 10 4 11 2" xfId="1950" xr:uid="{00000000-0005-0000-0000-00009F070000}"/>
    <cellStyle name="Comma 10 4 12" xfId="1951" xr:uid="{00000000-0005-0000-0000-0000A0070000}"/>
    <cellStyle name="Comma 10 4 12 2" xfId="1952" xr:uid="{00000000-0005-0000-0000-0000A1070000}"/>
    <cellStyle name="Comma 10 4 13" xfId="1953" xr:uid="{00000000-0005-0000-0000-0000A2070000}"/>
    <cellStyle name="Comma 10 4 13 2" xfId="1954" xr:uid="{00000000-0005-0000-0000-0000A3070000}"/>
    <cellStyle name="Comma 10 4 14" xfId="1955" xr:uid="{00000000-0005-0000-0000-0000A4070000}"/>
    <cellStyle name="Comma 10 4 14 2" xfId="1956" xr:uid="{00000000-0005-0000-0000-0000A5070000}"/>
    <cellStyle name="Comma 10 4 15" xfId="1957" xr:uid="{00000000-0005-0000-0000-0000A6070000}"/>
    <cellStyle name="Comma 10 4 15 2" xfId="1958" xr:uid="{00000000-0005-0000-0000-0000A7070000}"/>
    <cellStyle name="Comma 10 4 16" xfId="1959" xr:uid="{00000000-0005-0000-0000-0000A8070000}"/>
    <cellStyle name="Comma 10 4 16 2" xfId="1960" xr:uid="{00000000-0005-0000-0000-0000A9070000}"/>
    <cellStyle name="Comma 10 4 17" xfId="1961" xr:uid="{00000000-0005-0000-0000-0000AA070000}"/>
    <cellStyle name="Comma 10 4 17 2" xfId="1962" xr:uid="{00000000-0005-0000-0000-0000AB070000}"/>
    <cellStyle name="Comma 10 4 18" xfId="1963" xr:uid="{00000000-0005-0000-0000-0000AC070000}"/>
    <cellStyle name="Comma 10 4 2" xfId="1964" xr:uid="{00000000-0005-0000-0000-0000AD070000}"/>
    <cellStyle name="Comma 10 4 2 2" xfId="1965" xr:uid="{00000000-0005-0000-0000-0000AE070000}"/>
    <cellStyle name="Comma 10 4 3" xfId="1966" xr:uid="{00000000-0005-0000-0000-0000AF070000}"/>
    <cellStyle name="Comma 10 4 3 2" xfId="1967" xr:uid="{00000000-0005-0000-0000-0000B0070000}"/>
    <cellStyle name="Comma 10 4 4" xfId="1968" xr:uid="{00000000-0005-0000-0000-0000B1070000}"/>
    <cellStyle name="Comma 10 4 4 2" xfId="1969" xr:uid="{00000000-0005-0000-0000-0000B2070000}"/>
    <cellStyle name="Comma 10 4 5" xfId="1970" xr:uid="{00000000-0005-0000-0000-0000B3070000}"/>
    <cellStyle name="Comma 10 4 5 2" xfId="1971" xr:uid="{00000000-0005-0000-0000-0000B4070000}"/>
    <cellStyle name="Comma 10 4 6" xfId="1972" xr:uid="{00000000-0005-0000-0000-0000B5070000}"/>
    <cellStyle name="Comma 10 4 6 2" xfId="1973" xr:uid="{00000000-0005-0000-0000-0000B6070000}"/>
    <cellStyle name="Comma 10 4 7" xfId="1974" xr:uid="{00000000-0005-0000-0000-0000B7070000}"/>
    <cellStyle name="Comma 10 4 7 2" xfId="1975" xr:uid="{00000000-0005-0000-0000-0000B8070000}"/>
    <cellStyle name="Comma 10 4 8" xfId="1976" xr:uid="{00000000-0005-0000-0000-0000B9070000}"/>
    <cellStyle name="Comma 10 4 8 2" xfId="1977" xr:uid="{00000000-0005-0000-0000-0000BA070000}"/>
    <cellStyle name="Comma 10 4 9" xfId="1978" xr:uid="{00000000-0005-0000-0000-0000BB070000}"/>
    <cellStyle name="Comma 10 4 9 2" xfId="1979" xr:uid="{00000000-0005-0000-0000-0000BC070000}"/>
    <cellStyle name="Comma 10 5" xfId="1980" xr:uid="{00000000-0005-0000-0000-0000BD070000}"/>
    <cellStyle name="Comma 10 5 10" xfId="1981" xr:uid="{00000000-0005-0000-0000-0000BE070000}"/>
    <cellStyle name="Comma 10 5 10 2" xfId="1982" xr:uid="{00000000-0005-0000-0000-0000BF070000}"/>
    <cellStyle name="Comma 10 5 11" xfId="1983" xr:uid="{00000000-0005-0000-0000-0000C0070000}"/>
    <cellStyle name="Comma 10 5 11 2" xfId="1984" xr:uid="{00000000-0005-0000-0000-0000C1070000}"/>
    <cellStyle name="Comma 10 5 12" xfId="1985" xr:uid="{00000000-0005-0000-0000-0000C2070000}"/>
    <cellStyle name="Comma 10 5 12 2" xfId="1986" xr:uid="{00000000-0005-0000-0000-0000C3070000}"/>
    <cellStyle name="Comma 10 5 13" xfId="1987" xr:uid="{00000000-0005-0000-0000-0000C4070000}"/>
    <cellStyle name="Comma 10 5 13 2" xfId="1988" xr:uid="{00000000-0005-0000-0000-0000C5070000}"/>
    <cellStyle name="Comma 10 5 14" xfId="1989" xr:uid="{00000000-0005-0000-0000-0000C6070000}"/>
    <cellStyle name="Comma 10 5 14 2" xfId="1990" xr:uid="{00000000-0005-0000-0000-0000C7070000}"/>
    <cellStyle name="Comma 10 5 15" xfId="1991" xr:uid="{00000000-0005-0000-0000-0000C8070000}"/>
    <cellStyle name="Comma 10 5 15 2" xfId="1992" xr:uid="{00000000-0005-0000-0000-0000C9070000}"/>
    <cellStyle name="Comma 10 5 16" xfId="1993" xr:uid="{00000000-0005-0000-0000-0000CA070000}"/>
    <cellStyle name="Comma 10 5 16 2" xfId="1994" xr:uid="{00000000-0005-0000-0000-0000CB070000}"/>
    <cellStyle name="Comma 10 5 17" xfId="1995" xr:uid="{00000000-0005-0000-0000-0000CC070000}"/>
    <cellStyle name="Comma 10 5 17 2" xfId="1996" xr:uid="{00000000-0005-0000-0000-0000CD070000}"/>
    <cellStyle name="Comma 10 5 18" xfId="1997" xr:uid="{00000000-0005-0000-0000-0000CE070000}"/>
    <cellStyle name="Comma 10 5 2" xfId="1998" xr:uid="{00000000-0005-0000-0000-0000CF070000}"/>
    <cellStyle name="Comma 10 5 2 2" xfId="1999" xr:uid="{00000000-0005-0000-0000-0000D0070000}"/>
    <cellStyle name="Comma 10 5 3" xfId="2000" xr:uid="{00000000-0005-0000-0000-0000D1070000}"/>
    <cellStyle name="Comma 10 5 3 2" xfId="2001" xr:uid="{00000000-0005-0000-0000-0000D2070000}"/>
    <cellStyle name="Comma 10 5 4" xfId="2002" xr:uid="{00000000-0005-0000-0000-0000D3070000}"/>
    <cellStyle name="Comma 10 5 4 2" xfId="2003" xr:uid="{00000000-0005-0000-0000-0000D4070000}"/>
    <cellStyle name="Comma 10 5 5" xfId="2004" xr:uid="{00000000-0005-0000-0000-0000D5070000}"/>
    <cellStyle name="Comma 10 5 5 2" xfId="2005" xr:uid="{00000000-0005-0000-0000-0000D6070000}"/>
    <cellStyle name="Comma 10 5 6" xfId="2006" xr:uid="{00000000-0005-0000-0000-0000D7070000}"/>
    <cellStyle name="Comma 10 5 6 2" xfId="2007" xr:uid="{00000000-0005-0000-0000-0000D8070000}"/>
    <cellStyle name="Comma 10 5 7" xfId="2008" xr:uid="{00000000-0005-0000-0000-0000D9070000}"/>
    <cellStyle name="Comma 10 5 7 2" xfId="2009" xr:uid="{00000000-0005-0000-0000-0000DA070000}"/>
    <cellStyle name="Comma 10 5 8" xfId="2010" xr:uid="{00000000-0005-0000-0000-0000DB070000}"/>
    <cellStyle name="Comma 10 5 8 2" xfId="2011" xr:uid="{00000000-0005-0000-0000-0000DC070000}"/>
    <cellStyle name="Comma 10 5 9" xfId="2012" xr:uid="{00000000-0005-0000-0000-0000DD070000}"/>
    <cellStyle name="Comma 10 5 9 2" xfId="2013" xr:uid="{00000000-0005-0000-0000-0000DE070000}"/>
    <cellStyle name="Comma 10 6" xfId="2014" xr:uid="{00000000-0005-0000-0000-0000DF070000}"/>
    <cellStyle name="Comma 10 6 10" xfId="2015" xr:uid="{00000000-0005-0000-0000-0000E0070000}"/>
    <cellStyle name="Comma 10 6 10 2" xfId="2016" xr:uid="{00000000-0005-0000-0000-0000E1070000}"/>
    <cellStyle name="Comma 10 6 11" xfId="2017" xr:uid="{00000000-0005-0000-0000-0000E2070000}"/>
    <cellStyle name="Comma 10 6 11 2" xfId="2018" xr:uid="{00000000-0005-0000-0000-0000E3070000}"/>
    <cellStyle name="Comma 10 6 12" xfId="2019" xr:uid="{00000000-0005-0000-0000-0000E4070000}"/>
    <cellStyle name="Comma 10 6 12 2" xfId="2020" xr:uid="{00000000-0005-0000-0000-0000E5070000}"/>
    <cellStyle name="Comma 10 6 13" xfId="2021" xr:uid="{00000000-0005-0000-0000-0000E6070000}"/>
    <cellStyle name="Comma 10 6 13 2" xfId="2022" xr:uid="{00000000-0005-0000-0000-0000E7070000}"/>
    <cellStyle name="Comma 10 6 14" xfId="2023" xr:uid="{00000000-0005-0000-0000-0000E8070000}"/>
    <cellStyle name="Comma 10 6 14 2" xfId="2024" xr:uid="{00000000-0005-0000-0000-0000E9070000}"/>
    <cellStyle name="Comma 10 6 15" xfId="2025" xr:uid="{00000000-0005-0000-0000-0000EA070000}"/>
    <cellStyle name="Comma 10 6 15 2" xfId="2026" xr:uid="{00000000-0005-0000-0000-0000EB070000}"/>
    <cellStyle name="Comma 10 6 16" xfId="2027" xr:uid="{00000000-0005-0000-0000-0000EC070000}"/>
    <cellStyle name="Comma 10 6 16 2" xfId="2028" xr:uid="{00000000-0005-0000-0000-0000ED070000}"/>
    <cellStyle name="Comma 10 6 17" xfId="2029" xr:uid="{00000000-0005-0000-0000-0000EE070000}"/>
    <cellStyle name="Comma 10 6 17 2" xfId="2030" xr:uid="{00000000-0005-0000-0000-0000EF070000}"/>
    <cellStyle name="Comma 10 6 18" xfId="2031" xr:uid="{00000000-0005-0000-0000-0000F0070000}"/>
    <cellStyle name="Comma 10 6 2" xfId="2032" xr:uid="{00000000-0005-0000-0000-0000F1070000}"/>
    <cellStyle name="Comma 10 6 2 2" xfId="2033" xr:uid="{00000000-0005-0000-0000-0000F2070000}"/>
    <cellStyle name="Comma 10 6 3" xfId="2034" xr:uid="{00000000-0005-0000-0000-0000F3070000}"/>
    <cellStyle name="Comma 10 6 3 2" xfId="2035" xr:uid="{00000000-0005-0000-0000-0000F4070000}"/>
    <cellStyle name="Comma 10 6 4" xfId="2036" xr:uid="{00000000-0005-0000-0000-0000F5070000}"/>
    <cellStyle name="Comma 10 6 4 2" xfId="2037" xr:uid="{00000000-0005-0000-0000-0000F6070000}"/>
    <cellStyle name="Comma 10 6 5" xfId="2038" xr:uid="{00000000-0005-0000-0000-0000F7070000}"/>
    <cellStyle name="Comma 10 6 5 2" xfId="2039" xr:uid="{00000000-0005-0000-0000-0000F8070000}"/>
    <cellStyle name="Comma 10 6 6" xfId="2040" xr:uid="{00000000-0005-0000-0000-0000F9070000}"/>
    <cellStyle name="Comma 10 6 6 2" xfId="2041" xr:uid="{00000000-0005-0000-0000-0000FA070000}"/>
    <cellStyle name="Comma 10 6 7" xfId="2042" xr:uid="{00000000-0005-0000-0000-0000FB070000}"/>
    <cellStyle name="Comma 10 6 7 2" xfId="2043" xr:uid="{00000000-0005-0000-0000-0000FC070000}"/>
    <cellStyle name="Comma 10 6 8" xfId="2044" xr:uid="{00000000-0005-0000-0000-0000FD070000}"/>
    <cellStyle name="Comma 10 6 8 2" xfId="2045" xr:uid="{00000000-0005-0000-0000-0000FE070000}"/>
    <cellStyle name="Comma 10 6 9" xfId="2046" xr:uid="{00000000-0005-0000-0000-0000FF070000}"/>
    <cellStyle name="Comma 10 6 9 2" xfId="2047" xr:uid="{00000000-0005-0000-0000-000000080000}"/>
    <cellStyle name="Comma 10 7" xfId="2048" xr:uid="{00000000-0005-0000-0000-000001080000}"/>
    <cellStyle name="Comma 10 7 10" xfId="2049" xr:uid="{00000000-0005-0000-0000-000002080000}"/>
    <cellStyle name="Comma 10 7 10 2" xfId="2050" xr:uid="{00000000-0005-0000-0000-000003080000}"/>
    <cellStyle name="Comma 10 7 11" xfId="2051" xr:uid="{00000000-0005-0000-0000-000004080000}"/>
    <cellStyle name="Comma 10 7 11 2" xfId="2052" xr:uid="{00000000-0005-0000-0000-000005080000}"/>
    <cellStyle name="Comma 10 7 12" xfId="2053" xr:uid="{00000000-0005-0000-0000-000006080000}"/>
    <cellStyle name="Comma 10 7 12 2" xfId="2054" xr:uid="{00000000-0005-0000-0000-000007080000}"/>
    <cellStyle name="Comma 10 7 13" xfId="2055" xr:uid="{00000000-0005-0000-0000-000008080000}"/>
    <cellStyle name="Comma 10 7 13 2" xfId="2056" xr:uid="{00000000-0005-0000-0000-000009080000}"/>
    <cellStyle name="Comma 10 7 14" xfId="2057" xr:uid="{00000000-0005-0000-0000-00000A080000}"/>
    <cellStyle name="Comma 10 7 14 2" xfId="2058" xr:uid="{00000000-0005-0000-0000-00000B080000}"/>
    <cellStyle name="Comma 10 7 15" xfId="2059" xr:uid="{00000000-0005-0000-0000-00000C080000}"/>
    <cellStyle name="Comma 10 7 15 2" xfId="2060" xr:uid="{00000000-0005-0000-0000-00000D080000}"/>
    <cellStyle name="Comma 10 7 16" xfId="2061" xr:uid="{00000000-0005-0000-0000-00000E080000}"/>
    <cellStyle name="Comma 10 7 16 2" xfId="2062" xr:uid="{00000000-0005-0000-0000-00000F080000}"/>
    <cellStyle name="Comma 10 7 17" xfId="2063" xr:uid="{00000000-0005-0000-0000-000010080000}"/>
    <cellStyle name="Comma 10 7 17 2" xfId="2064" xr:uid="{00000000-0005-0000-0000-000011080000}"/>
    <cellStyle name="Comma 10 7 18" xfId="2065" xr:uid="{00000000-0005-0000-0000-000012080000}"/>
    <cellStyle name="Comma 10 7 2" xfId="2066" xr:uid="{00000000-0005-0000-0000-000013080000}"/>
    <cellStyle name="Comma 10 7 2 2" xfId="2067" xr:uid="{00000000-0005-0000-0000-000014080000}"/>
    <cellStyle name="Comma 10 7 3" xfId="2068" xr:uid="{00000000-0005-0000-0000-000015080000}"/>
    <cellStyle name="Comma 10 7 3 2" xfId="2069" xr:uid="{00000000-0005-0000-0000-000016080000}"/>
    <cellStyle name="Comma 10 7 4" xfId="2070" xr:uid="{00000000-0005-0000-0000-000017080000}"/>
    <cellStyle name="Comma 10 7 4 2" xfId="2071" xr:uid="{00000000-0005-0000-0000-000018080000}"/>
    <cellStyle name="Comma 10 7 5" xfId="2072" xr:uid="{00000000-0005-0000-0000-000019080000}"/>
    <cellStyle name="Comma 10 7 5 2" xfId="2073" xr:uid="{00000000-0005-0000-0000-00001A080000}"/>
    <cellStyle name="Comma 10 7 6" xfId="2074" xr:uid="{00000000-0005-0000-0000-00001B080000}"/>
    <cellStyle name="Comma 10 7 6 2" xfId="2075" xr:uid="{00000000-0005-0000-0000-00001C080000}"/>
    <cellStyle name="Comma 10 7 7" xfId="2076" xr:uid="{00000000-0005-0000-0000-00001D080000}"/>
    <cellStyle name="Comma 10 7 7 2" xfId="2077" xr:uid="{00000000-0005-0000-0000-00001E080000}"/>
    <cellStyle name="Comma 10 7 8" xfId="2078" xr:uid="{00000000-0005-0000-0000-00001F080000}"/>
    <cellStyle name="Comma 10 7 8 2" xfId="2079" xr:uid="{00000000-0005-0000-0000-000020080000}"/>
    <cellStyle name="Comma 10 7 9" xfId="2080" xr:uid="{00000000-0005-0000-0000-000021080000}"/>
    <cellStyle name="Comma 10 7 9 2" xfId="2081" xr:uid="{00000000-0005-0000-0000-000022080000}"/>
    <cellStyle name="Comma 10 8" xfId="2082" xr:uid="{00000000-0005-0000-0000-000023080000}"/>
    <cellStyle name="Comma 10 8 10" xfId="2083" xr:uid="{00000000-0005-0000-0000-000024080000}"/>
    <cellStyle name="Comma 10 8 10 2" xfId="2084" xr:uid="{00000000-0005-0000-0000-000025080000}"/>
    <cellStyle name="Comma 10 8 11" xfId="2085" xr:uid="{00000000-0005-0000-0000-000026080000}"/>
    <cellStyle name="Comma 10 8 11 2" xfId="2086" xr:uid="{00000000-0005-0000-0000-000027080000}"/>
    <cellStyle name="Comma 10 8 12" xfId="2087" xr:uid="{00000000-0005-0000-0000-000028080000}"/>
    <cellStyle name="Comma 10 8 12 2" xfId="2088" xr:uid="{00000000-0005-0000-0000-000029080000}"/>
    <cellStyle name="Comma 10 8 13" xfId="2089" xr:uid="{00000000-0005-0000-0000-00002A080000}"/>
    <cellStyle name="Comma 10 8 13 2" xfId="2090" xr:uid="{00000000-0005-0000-0000-00002B080000}"/>
    <cellStyle name="Comma 10 8 14" xfId="2091" xr:uid="{00000000-0005-0000-0000-00002C080000}"/>
    <cellStyle name="Comma 10 8 14 2" xfId="2092" xr:uid="{00000000-0005-0000-0000-00002D080000}"/>
    <cellStyle name="Comma 10 8 15" xfId="2093" xr:uid="{00000000-0005-0000-0000-00002E080000}"/>
    <cellStyle name="Comma 10 8 15 2" xfId="2094" xr:uid="{00000000-0005-0000-0000-00002F080000}"/>
    <cellStyle name="Comma 10 8 16" xfId="2095" xr:uid="{00000000-0005-0000-0000-000030080000}"/>
    <cellStyle name="Comma 10 8 16 2" xfId="2096" xr:uid="{00000000-0005-0000-0000-000031080000}"/>
    <cellStyle name="Comma 10 8 17" xfId="2097" xr:uid="{00000000-0005-0000-0000-000032080000}"/>
    <cellStyle name="Comma 10 8 17 2" xfId="2098" xr:uid="{00000000-0005-0000-0000-000033080000}"/>
    <cellStyle name="Comma 10 8 18" xfId="2099" xr:uid="{00000000-0005-0000-0000-000034080000}"/>
    <cellStyle name="Comma 10 8 2" xfId="2100" xr:uid="{00000000-0005-0000-0000-000035080000}"/>
    <cellStyle name="Comma 10 8 2 2" xfId="2101" xr:uid="{00000000-0005-0000-0000-000036080000}"/>
    <cellStyle name="Comma 10 8 3" xfId="2102" xr:uid="{00000000-0005-0000-0000-000037080000}"/>
    <cellStyle name="Comma 10 8 3 2" xfId="2103" xr:uid="{00000000-0005-0000-0000-000038080000}"/>
    <cellStyle name="Comma 10 8 4" xfId="2104" xr:uid="{00000000-0005-0000-0000-000039080000}"/>
    <cellStyle name="Comma 10 8 4 2" xfId="2105" xr:uid="{00000000-0005-0000-0000-00003A080000}"/>
    <cellStyle name="Comma 10 8 5" xfId="2106" xr:uid="{00000000-0005-0000-0000-00003B080000}"/>
    <cellStyle name="Comma 10 8 5 2" xfId="2107" xr:uid="{00000000-0005-0000-0000-00003C080000}"/>
    <cellStyle name="Comma 10 8 6" xfId="2108" xr:uid="{00000000-0005-0000-0000-00003D080000}"/>
    <cellStyle name="Comma 10 8 6 2" xfId="2109" xr:uid="{00000000-0005-0000-0000-00003E080000}"/>
    <cellStyle name="Comma 10 8 7" xfId="2110" xr:uid="{00000000-0005-0000-0000-00003F080000}"/>
    <cellStyle name="Comma 10 8 7 2" xfId="2111" xr:uid="{00000000-0005-0000-0000-000040080000}"/>
    <cellStyle name="Comma 10 8 8" xfId="2112" xr:uid="{00000000-0005-0000-0000-000041080000}"/>
    <cellStyle name="Comma 10 8 8 2" xfId="2113" xr:uid="{00000000-0005-0000-0000-000042080000}"/>
    <cellStyle name="Comma 10 8 9" xfId="2114" xr:uid="{00000000-0005-0000-0000-000043080000}"/>
    <cellStyle name="Comma 10 8 9 2" xfId="2115" xr:uid="{00000000-0005-0000-0000-000044080000}"/>
    <cellStyle name="Comma 10 9" xfId="2116" xr:uid="{00000000-0005-0000-0000-000045080000}"/>
    <cellStyle name="Comma 11" xfId="2117" xr:uid="{00000000-0005-0000-0000-000046080000}"/>
    <cellStyle name="Comma 11 2" xfId="2118" xr:uid="{00000000-0005-0000-0000-000047080000}"/>
    <cellStyle name="Comma 12" xfId="2119" xr:uid="{00000000-0005-0000-0000-000048080000}"/>
    <cellStyle name="Comma 12 2" xfId="2120" xr:uid="{00000000-0005-0000-0000-000049080000}"/>
    <cellStyle name="Comma 13" xfId="2121" xr:uid="{00000000-0005-0000-0000-00004A080000}"/>
    <cellStyle name="Comma 13 2" xfId="2122" xr:uid="{00000000-0005-0000-0000-00004B080000}"/>
    <cellStyle name="Comma 14" xfId="2123" xr:uid="{00000000-0005-0000-0000-00004C080000}"/>
    <cellStyle name="Comma 14 2" xfId="2124" xr:uid="{00000000-0005-0000-0000-00004D080000}"/>
    <cellStyle name="Comma 14 2 2" xfId="2125" xr:uid="{00000000-0005-0000-0000-00004E080000}"/>
    <cellStyle name="Comma 14 3" xfId="2126" xr:uid="{00000000-0005-0000-0000-00004F080000}"/>
    <cellStyle name="Comma 15" xfId="2127" xr:uid="{00000000-0005-0000-0000-000050080000}"/>
    <cellStyle name="Comma 15 2" xfId="2128" xr:uid="{00000000-0005-0000-0000-000051080000}"/>
    <cellStyle name="Comma 16" xfId="2129" xr:uid="{00000000-0005-0000-0000-000052080000}"/>
    <cellStyle name="Comma 16 2" xfId="2130" xr:uid="{00000000-0005-0000-0000-000053080000}"/>
    <cellStyle name="Comma 17" xfId="2131" xr:uid="{00000000-0005-0000-0000-000054080000}"/>
    <cellStyle name="Comma 17 2" xfId="2132" xr:uid="{00000000-0005-0000-0000-000055080000}"/>
    <cellStyle name="Comma 18" xfId="2133" xr:uid="{00000000-0005-0000-0000-000056080000}"/>
    <cellStyle name="Comma 18 2" xfId="2134" xr:uid="{00000000-0005-0000-0000-000057080000}"/>
    <cellStyle name="Comma 19" xfId="2135" xr:uid="{00000000-0005-0000-0000-000058080000}"/>
    <cellStyle name="Comma 19 2" xfId="2136" xr:uid="{00000000-0005-0000-0000-000059080000}"/>
    <cellStyle name="Comma 2" xfId="2137" xr:uid="{00000000-0005-0000-0000-00005A080000}"/>
    <cellStyle name="Comma 2 10" xfId="2138" xr:uid="{00000000-0005-0000-0000-00005B080000}"/>
    <cellStyle name="Comma 2 10 2" xfId="2139" xr:uid="{00000000-0005-0000-0000-00005C080000}"/>
    <cellStyle name="Comma 2 10 3" xfId="2140" xr:uid="{00000000-0005-0000-0000-00005D080000}"/>
    <cellStyle name="Comma 2 11" xfId="2141" xr:uid="{00000000-0005-0000-0000-00005E080000}"/>
    <cellStyle name="Comma 2 11 2" xfId="2142" xr:uid="{00000000-0005-0000-0000-00005F080000}"/>
    <cellStyle name="Comma 2 11 3" xfId="2143" xr:uid="{00000000-0005-0000-0000-000060080000}"/>
    <cellStyle name="Comma 2 12" xfId="2144" xr:uid="{00000000-0005-0000-0000-000061080000}"/>
    <cellStyle name="Comma 2 12 2" xfId="2145" xr:uid="{00000000-0005-0000-0000-000062080000}"/>
    <cellStyle name="Comma 2 12 3" xfId="2146" xr:uid="{00000000-0005-0000-0000-000063080000}"/>
    <cellStyle name="Comma 2 13" xfId="2147" xr:uid="{00000000-0005-0000-0000-000064080000}"/>
    <cellStyle name="Comma 2 13 2" xfId="2148" xr:uid="{00000000-0005-0000-0000-000065080000}"/>
    <cellStyle name="Comma 2 13 3" xfId="2149" xr:uid="{00000000-0005-0000-0000-000066080000}"/>
    <cellStyle name="Comma 2 14" xfId="2150" xr:uid="{00000000-0005-0000-0000-000067080000}"/>
    <cellStyle name="Comma 2 15" xfId="2151" xr:uid="{00000000-0005-0000-0000-000068080000}"/>
    <cellStyle name="Comma 2 16" xfId="2152" xr:uid="{00000000-0005-0000-0000-000069080000}"/>
    <cellStyle name="Comma 2 17" xfId="2153" xr:uid="{00000000-0005-0000-0000-00006A080000}"/>
    <cellStyle name="Comma 2 17 2" xfId="2154" xr:uid="{00000000-0005-0000-0000-00006B080000}"/>
    <cellStyle name="Comma 2 18" xfId="2155" xr:uid="{00000000-0005-0000-0000-00006C080000}"/>
    <cellStyle name="Comma 2 18 2" xfId="2156" xr:uid="{00000000-0005-0000-0000-00006D080000}"/>
    <cellStyle name="Comma 2 19" xfId="2157" xr:uid="{00000000-0005-0000-0000-00006E080000}"/>
    <cellStyle name="Comma 2 19 2" xfId="2158" xr:uid="{00000000-0005-0000-0000-00006F080000}"/>
    <cellStyle name="Comma 2 19 2 2" xfId="2159" xr:uid="{00000000-0005-0000-0000-000070080000}"/>
    <cellStyle name="Comma 2 19 3" xfId="2160" xr:uid="{00000000-0005-0000-0000-000071080000}"/>
    <cellStyle name="Comma 2 2" xfId="2161" xr:uid="{00000000-0005-0000-0000-000072080000}"/>
    <cellStyle name="Comma 2 2 10" xfId="2162" xr:uid="{00000000-0005-0000-0000-000073080000}"/>
    <cellStyle name="Comma 2 2 2" xfId="2163" xr:uid="{00000000-0005-0000-0000-000074080000}"/>
    <cellStyle name="Comma 2 2 2 2" xfId="2164" xr:uid="{00000000-0005-0000-0000-000075080000}"/>
    <cellStyle name="Comma 2 2 2 2 2" xfId="2165" xr:uid="{00000000-0005-0000-0000-000076080000}"/>
    <cellStyle name="Comma 2 2 2 3" xfId="2166" xr:uid="{00000000-0005-0000-0000-000077080000}"/>
    <cellStyle name="Comma 2 2 2 3 2" xfId="2167" xr:uid="{00000000-0005-0000-0000-000078080000}"/>
    <cellStyle name="Comma 2 2 2 4" xfId="2168" xr:uid="{00000000-0005-0000-0000-000079080000}"/>
    <cellStyle name="Comma 2 2 2 4 2" xfId="2169" xr:uid="{00000000-0005-0000-0000-00007A080000}"/>
    <cellStyle name="Comma 2 2 2 4 2 2" xfId="2170" xr:uid="{00000000-0005-0000-0000-00007B080000}"/>
    <cellStyle name="Comma 2 2 2 4 3" xfId="2171" xr:uid="{00000000-0005-0000-0000-00007C080000}"/>
    <cellStyle name="Comma 2 2 2 4 3 2" xfId="2172" xr:uid="{00000000-0005-0000-0000-00007D080000}"/>
    <cellStyle name="Comma 2 2 2 4 4" xfId="2173" xr:uid="{00000000-0005-0000-0000-00007E080000}"/>
    <cellStyle name="Comma 2 2 2 5" xfId="2174" xr:uid="{00000000-0005-0000-0000-00007F080000}"/>
    <cellStyle name="Comma 2 2 2 5 2" xfId="2175" xr:uid="{00000000-0005-0000-0000-000080080000}"/>
    <cellStyle name="Comma 2 2 2 6" xfId="2176" xr:uid="{00000000-0005-0000-0000-000081080000}"/>
    <cellStyle name="Comma 2 2 2 7" xfId="2177" xr:uid="{00000000-0005-0000-0000-000082080000}"/>
    <cellStyle name="Comma 2 2 3" xfId="2178" xr:uid="{00000000-0005-0000-0000-000083080000}"/>
    <cellStyle name="Comma 2 2 3 2" xfId="2179" xr:uid="{00000000-0005-0000-0000-000084080000}"/>
    <cellStyle name="Comma 2 2 3 2 2" xfId="2180" xr:uid="{00000000-0005-0000-0000-000085080000}"/>
    <cellStyle name="Comma 2 2 3 3" xfId="2181" xr:uid="{00000000-0005-0000-0000-000086080000}"/>
    <cellStyle name="Comma 2 2 3 3 2" xfId="2182" xr:uid="{00000000-0005-0000-0000-000087080000}"/>
    <cellStyle name="Comma 2 2 3 4" xfId="2183" xr:uid="{00000000-0005-0000-0000-000088080000}"/>
    <cellStyle name="Comma 2 2 3 4 2" xfId="2184" xr:uid="{00000000-0005-0000-0000-000089080000}"/>
    <cellStyle name="Comma 2 2 3 4 2 2" xfId="2185" xr:uid="{00000000-0005-0000-0000-00008A080000}"/>
    <cellStyle name="Comma 2 2 3 4 3" xfId="2186" xr:uid="{00000000-0005-0000-0000-00008B080000}"/>
    <cellStyle name="Comma 2 2 3 5" xfId="2187" xr:uid="{00000000-0005-0000-0000-00008C080000}"/>
    <cellStyle name="Comma 2 2 3 5 2" xfId="2188" xr:uid="{00000000-0005-0000-0000-00008D080000}"/>
    <cellStyle name="Comma 2 2 3 6" xfId="2189" xr:uid="{00000000-0005-0000-0000-00008E080000}"/>
    <cellStyle name="Comma 2 2 4" xfId="2190" xr:uid="{00000000-0005-0000-0000-00008F080000}"/>
    <cellStyle name="Comma 2 2 4 2" xfId="2191" xr:uid="{00000000-0005-0000-0000-000090080000}"/>
    <cellStyle name="Comma 2 2 4 2 2" xfId="2192" xr:uid="{00000000-0005-0000-0000-000091080000}"/>
    <cellStyle name="Comma 2 2 4 3" xfId="2193" xr:uid="{00000000-0005-0000-0000-000092080000}"/>
    <cellStyle name="Comma 2 2 5" xfId="2194" xr:uid="{00000000-0005-0000-0000-000093080000}"/>
    <cellStyle name="Comma 2 2 5 2" xfId="2195" xr:uid="{00000000-0005-0000-0000-000094080000}"/>
    <cellStyle name="Comma 2 2 6" xfId="2196" xr:uid="{00000000-0005-0000-0000-000095080000}"/>
    <cellStyle name="Comma 2 2 6 2" xfId="2197" xr:uid="{00000000-0005-0000-0000-000096080000}"/>
    <cellStyle name="Comma 2 2 6 2 2" xfId="2198" xr:uid="{00000000-0005-0000-0000-000097080000}"/>
    <cellStyle name="Comma 2 2 6 3" xfId="2199" xr:uid="{00000000-0005-0000-0000-000098080000}"/>
    <cellStyle name="Comma 2 2 6 3 2" xfId="2200" xr:uid="{00000000-0005-0000-0000-000099080000}"/>
    <cellStyle name="Comma 2 2 6 4" xfId="2201" xr:uid="{00000000-0005-0000-0000-00009A080000}"/>
    <cellStyle name="Comma 2 2 7" xfId="2202" xr:uid="{00000000-0005-0000-0000-00009B080000}"/>
    <cellStyle name="Comma 2 2 7 2" xfId="2203" xr:uid="{00000000-0005-0000-0000-00009C080000}"/>
    <cellStyle name="Comma 2 2 8" xfId="2204" xr:uid="{00000000-0005-0000-0000-00009D080000}"/>
    <cellStyle name="Comma 2 2 9" xfId="2205" xr:uid="{00000000-0005-0000-0000-00009E080000}"/>
    <cellStyle name="Comma 2 20" xfId="2206" xr:uid="{00000000-0005-0000-0000-00009F080000}"/>
    <cellStyle name="Comma 2 20 2" xfId="2207" xr:uid="{00000000-0005-0000-0000-0000A0080000}"/>
    <cellStyle name="Comma 2 21" xfId="2208" xr:uid="{00000000-0005-0000-0000-0000A1080000}"/>
    <cellStyle name="Comma 2 21 2" xfId="2209" xr:uid="{00000000-0005-0000-0000-0000A2080000}"/>
    <cellStyle name="Comma 2 22" xfId="2210" xr:uid="{00000000-0005-0000-0000-0000A3080000}"/>
    <cellStyle name="Comma 2 3" xfId="2211" xr:uid="{00000000-0005-0000-0000-0000A4080000}"/>
    <cellStyle name="Comma 2 3 2" xfId="2212" xr:uid="{00000000-0005-0000-0000-0000A5080000}"/>
    <cellStyle name="Comma 2 3 2 2" xfId="2213" xr:uid="{00000000-0005-0000-0000-0000A6080000}"/>
    <cellStyle name="Comma 2 3 2 2 2" xfId="2214" xr:uid="{00000000-0005-0000-0000-0000A7080000}"/>
    <cellStyle name="Comma 2 3 2 3" xfId="2215" xr:uid="{00000000-0005-0000-0000-0000A8080000}"/>
    <cellStyle name="Comma 2 3 2 3 2" xfId="2216" xr:uid="{00000000-0005-0000-0000-0000A9080000}"/>
    <cellStyle name="Comma 2 3 2 4" xfId="2217" xr:uid="{00000000-0005-0000-0000-0000AA080000}"/>
    <cellStyle name="Comma 2 3 2 4 2" xfId="2218" xr:uid="{00000000-0005-0000-0000-0000AB080000}"/>
    <cellStyle name="Comma 2 3 2 4 2 2" xfId="2219" xr:uid="{00000000-0005-0000-0000-0000AC080000}"/>
    <cellStyle name="Comma 2 3 2 4 3" xfId="2220" xr:uid="{00000000-0005-0000-0000-0000AD080000}"/>
    <cellStyle name="Comma 2 3 2 4 3 2" xfId="2221" xr:uid="{00000000-0005-0000-0000-0000AE080000}"/>
    <cellStyle name="Comma 2 3 2 4 4" xfId="2222" xr:uid="{00000000-0005-0000-0000-0000AF080000}"/>
    <cellStyle name="Comma 2 3 2 4 4 2" xfId="2223" xr:uid="{00000000-0005-0000-0000-0000B0080000}"/>
    <cellStyle name="Comma 2 3 2 4 5" xfId="2224" xr:uid="{00000000-0005-0000-0000-0000B1080000}"/>
    <cellStyle name="Comma 2 3 2 5" xfId="2225" xr:uid="{00000000-0005-0000-0000-0000B2080000}"/>
    <cellStyle name="Comma 2 3 2 5 2" xfId="2226" xr:uid="{00000000-0005-0000-0000-0000B3080000}"/>
    <cellStyle name="Comma 2 3 2 6" xfId="2227" xr:uid="{00000000-0005-0000-0000-0000B4080000}"/>
    <cellStyle name="Comma 2 3 3" xfId="2228" xr:uid="{00000000-0005-0000-0000-0000B5080000}"/>
    <cellStyle name="Comma 2 3 3 2" xfId="2229" xr:uid="{00000000-0005-0000-0000-0000B6080000}"/>
    <cellStyle name="Comma 2 3 3 2 2" xfId="2230" xr:uid="{00000000-0005-0000-0000-0000B7080000}"/>
    <cellStyle name="Comma 2 3 3 3" xfId="2231" xr:uid="{00000000-0005-0000-0000-0000B8080000}"/>
    <cellStyle name="Comma 2 3 3 3 2" xfId="2232" xr:uid="{00000000-0005-0000-0000-0000B9080000}"/>
    <cellStyle name="Comma 2 3 3 4" xfId="2233" xr:uid="{00000000-0005-0000-0000-0000BA080000}"/>
    <cellStyle name="Comma 2 3 3 4 2" xfId="2234" xr:uid="{00000000-0005-0000-0000-0000BB080000}"/>
    <cellStyle name="Comma 2 3 3 4 2 2" xfId="2235" xr:uid="{00000000-0005-0000-0000-0000BC080000}"/>
    <cellStyle name="Comma 2 3 3 4 3" xfId="2236" xr:uid="{00000000-0005-0000-0000-0000BD080000}"/>
    <cellStyle name="Comma 2 3 3 5" xfId="2237" xr:uid="{00000000-0005-0000-0000-0000BE080000}"/>
    <cellStyle name="Comma 2 3 4" xfId="2238" xr:uid="{00000000-0005-0000-0000-0000BF080000}"/>
    <cellStyle name="Comma 2 3 4 2" xfId="2239" xr:uid="{00000000-0005-0000-0000-0000C0080000}"/>
    <cellStyle name="Comma 2 3 4 2 2" xfId="2240" xr:uid="{00000000-0005-0000-0000-0000C1080000}"/>
    <cellStyle name="Comma 2 3 4 3" xfId="2241" xr:uid="{00000000-0005-0000-0000-0000C2080000}"/>
    <cellStyle name="Comma 2 3 5" xfId="2242" xr:uid="{00000000-0005-0000-0000-0000C3080000}"/>
    <cellStyle name="Comma 2 3 5 2" xfId="2243" xr:uid="{00000000-0005-0000-0000-0000C4080000}"/>
    <cellStyle name="Comma 2 3 6" xfId="2244" xr:uid="{00000000-0005-0000-0000-0000C5080000}"/>
    <cellStyle name="Comma 2 3 6 2" xfId="2245" xr:uid="{00000000-0005-0000-0000-0000C6080000}"/>
    <cellStyle name="Comma 2 3 6 2 2" xfId="2246" xr:uid="{00000000-0005-0000-0000-0000C7080000}"/>
    <cellStyle name="Comma 2 3 6 3" xfId="2247" xr:uid="{00000000-0005-0000-0000-0000C8080000}"/>
    <cellStyle name="Comma 2 3 7" xfId="2248" xr:uid="{00000000-0005-0000-0000-0000C9080000}"/>
    <cellStyle name="Comma 2 3 8" xfId="2249" xr:uid="{00000000-0005-0000-0000-0000CA080000}"/>
    <cellStyle name="Comma 2 4" xfId="2250" xr:uid="{00000000-0005-0000-0000-0000CB080000}"/>
    <cellStyle name="Comma 2 4 2" xfId="2251" xr:uid="{00000000-0005-0000-0000-0000CC080000}"/>
    <cellStyle name="Comma 2 4 2 2" xfId="2252" xr:uid="{00000000-0005-0000-0000-0000CD080000}"/>
    <cellStyle name="Comma 2 4 3" xfId="2253" xr:uid="{00000000-0005-0000-0000-0000CE080000}"/>
    <cellStyle name="Comma 2 4 3 2" xfId="2254" xr:uid="{00000000-0005-0000-0000-0000CF080000}"/>
    <cellStyle name="Comma 2 4 4" xfId="2255" xr:uid="{00000000-0005-0000-0000-0000D0080000}"/>
    <cellStyle name="Comma 2 4 4 2" xfId="2256" xr:uid="{00000000-0005-0000-0000-0000D1080000}"/>
    <cellStyle name="Comma 2 4 4 2 2" xfId="2257" xr:uid="{00000000-0005-0000-0000-0000D2080000}"/>
    <cellStyle name="Comma 2 4 4 3" xfId="2258" xr:uid="{00000000-0005-0000-0000-0000D3080000}"/>
    <cellStyle name="Comma 2 4 4 3 2" xfId="2259" xr:uid="{00000000-0005-0000-0000-0000D4080000}"/>
    <cellStyle name="Comma 2 4 4 4" xfId="2260" xr:uid="{00000000-0005-0000-0000-0000D5080000}"/>
    <cellStyle name="Comma 2 4 4 4 2" xfId="2261" xr:uid="{00000000-0005-0000-0000-0000D6080000}"/>
    <cellStyle name="Comma 2 4 4 5" xfId="2262" xr:uid="{00000000-0005-0000-0000-0000D7080000}"/>
    <cellStyle name="Comma 2 4 5" xfId="2263" xr:uid="{00000000-0005-0000-0000-0000D8080000}"/>
    <cellStyle name="Comma 2 4 5 2" xfId="2264" xr:uid="{00000000-0005-0000-0000-0000D9080000}"/>
    <cellStyle name="Comma 2 4 6" xfId="2265" xr:uid="{00000000-0005-0000-0000-0000DA080000}"/>
    <cellStyle name="Comma 2 4 7" xfId="2266" xr:uid="{00000000-0005-0000-0000-0000DB080000}"/>
    <cellStyle name="Comma 2 5" xfId="2267" xr:uid="{00000000-0005-0000-0000-0000DC080000}"/>
    <cellStyle name="Comma 2 5 2" xfId="2268" xr:uid="{00000000-0005-0000-0000-0000DD080000}"/>
    <cellStyle name="Comma 2 5 2 2" xfId="2269" xr:uid="{00000000-0005-0000-0000-0000DE080000}"/>
    <cellStyle name="Comma 2 5 3" xfId="2270" xr:uid="{00000000-0005-0000-0000-0000DF080000}"/>
    <cellStyle name="Comma 2 5 3 2" xfId="2271" xr:uid="{00000000-0005-0000-0000-0000E0080000}"/>
    <cellStyle name="Comma 2 5 4" xfId="2272" xr:uid="{00000000-0005-0000-0000-0000E1080000}"/>
    <cellStyle name="Comma 2 5 4 2" xfId="2273" xr:uid="{00000000-0005-0000-0000-0000E2080000}"/>
    <cellStyle name="Comma 2 5 4 2 2" xfId="2274" xr:uid="{00000000-0005-0000-0000-0000E3080000}"/>
    <cellStyle name="Comma 2 5 4 3" xfId="2275" xr:uid="{00000000-0005-0000-0000-0000E4080000}"/>
    <cellStyle name="Comma 2 5 5" xfId="2276" xr:uid="{00000000-0005-0000-0000-0000E5080000}"/>
    <cellStyle name="Comma 2 5 6" xfId="2277" xr:uid="{00000000-0005-0000-0000-0000E6080000}"/>
    <cellStyle name="Comma 2 6" xfId="2278" xr:uid="{00000000-0005-0000-0000-0000E7080000}"/>
    <cellStyle name="Comma 2 6 2" xfId="2279" xr:uid="{00000000-0005-0000-0000-0000E8080000}"/>
    <cellStyle name="Comma 2 6 2 2" xfId="2280" xr:uid="{00000000-0005-0000-0000-0000E9080000}"/>
    <cellStyle name="Comma 2 6 2 2 2" xfId="2281" xr:uid="{00000000-0005-0000-0000-0000EA080000}"/>
    <cellStyle name="Comma 2 6 2 3" xfId="2282" xr:uid="{00000000-0005-0000-0000-0000EB080000}"/>
    <cellStyle name="Comma 2 6 3" xfId="2283" xr:uid="{00000000-0005-0000-0000-0000EC080000}"/>
    <cellStyle name="Comma 2 6 4" xfId="2284" xr:uid="{00000000-0005-0000-0000-0000ED080000}"/>
    <cellStyle name="Comma 2 7" xfId="2285" xr:uid="{00000000-0005-0000-0000-0000EE080000}"/>
    <cellStyle name="Comma 2 7 2" xfId="2286" xr:uid="{00000000-0005-0000-0000-0000EF080000}"/>
    <cellStyle name="Comma 2 7 2 2" xfId="2287" xr:uid="{00000000-0005-0000-0000-0000F0080000}"/>
    <cellStyle name="Comma 2 7 2 2 2" xfId="2288" xr:uid="{00000000-0005-0000-0000-0000F1080000}"/>
    <cellStyle name="Comma 2 7 2 3" xfId="2289" xr:uid="{00000000-0005-0000-0000-0000F2080000}"/>
    <cellStyle name="Comma 2 7 3" xfId="2290" xr:uid="{00000000-0005-0000-0000-0000F3080000}"/>
    <cellStyle name="Comma 2 7 4" xfId="2291" xr:uid="{00000000-0005-0000-0000-0000F4080000}"/>
    <cellStyle name="Comma 2 8" xfId="2292" xr:uid="{00000000-0005-0000-0000-0000F5080000}"/>
    <cellStyle name="Comma 2 8 2" xfId="2293" xr:uid="{00000000-0005-0000-0000-0000F6080000}"/>
    <cellStyle name="Comma 2 8 2 2" xfId="2294" xr:uid="{00000000-0005-0000-0000-0000F7080000}"/>
    <cellStyle name="Comma 2 8 3" xfId="2295" xr:uid="{00000000-0005-0000-0000-0000F8080000}"/>
    <cellStyle name="Comma 2 8 3 2" xfId="2296" xr:uid="{00000000-0005-0000-0000-0000F9080000}"/>
    <cellStyle name="Comma 2 8 4" xfId="2297" xr:uid="{00000000-0005-0000-0000-0000FA080000}"/>
    <cellStyle name="Comma 2 8 4 2" xfId="2298" xr:uid="{00000000-0005-0000-0000-0000FB080000}"/>
    <cellStyle name="Comma 2 8 5" xfId="2299" xr:uid="{00000000-0005-0000-0000-0000FC080000}"/>
    <cellStyle name="Comma 2 8 6" xfId="2300" xr:uid="{00000000-0005-0000-0000-0000FD080000}"/>
    <cellStyle name="Comma 2 9" xfId="2301" xr:uid="{00000000-0005-0000-0000-0000FE080000}"/>
    <cellStyle name="Comma 2 9 2" xfId="2302" xr:uid="{00000000-0005-0000-0000-0000FF080000}"/>
    <cellStyle name="Comma 2 9 3" xfId="2303" xr:uid="{00000000-0005-0000-0000-000000090000}"/>
    <cellStyle name="Comma 2_DACNEW" xfId="17756" xr:uid="{00000000-0005-0000-0000-000001090000}"/>
    <cellStyle name="Comma 3" xfId="2304" xr:uid="{00000000-0005-0000-0000-000002090000}"/>
    <cellStyle name="Comma 3 10" xfId="2305" xr:uid="{00000000-0005-0000-0000-000003090000}"/>
    <cellStyle name="Comma 3 10 2" xfId="2306" xr:uid="{00000000-0005-0000-0000-000004090000}"/>
    <cellStyle name="Comma 3 11" xfId="2307" xr:uid="{00000000-0005-0000-0000-000005090000}"/>
    <cellStyle name="Comma 3 11 2" xfId="2308" xr:uid="{00000000-0005-0000-0000-000006090000}"/>
    <cellStyle name="Comma 3 12" xfId="2309" xr:uid="{00000000-0005-0000-0000-000007090000}"/>
    <cellStyle name="Comma 3 13" xfId="2310" xr:uid="{00000000-0005-0000-0000-000008090000}"/>
    <cellStyle name="Comma 3 14" xfId="2311" xr:uid="{00000000-0005-0000-0000-000009090000}"/>
    <cellStyle name="Comma 3 2" xfId="2312" xr:uid="{00000000-0005-0000-0000-00000A090000}"/>
    <cellStyle name="Comma 3 2 2" xfId="2313" xr:uid="{00000000-0005-0000-0000-00000B090000}"/>
    <cellStyle name="Comma 3 2 2 2" xfId="2314" xr:uid="{00000000-0005-0000-0000-00000C090000}"/>
    <cellStyle name="Comma 3 2 3" xfId="2315" xr:uid="{00000000-0005-0000-0000-00000D090000}"/>
    <cellStyle name="Comma 3 2 3 2" xfId="2316" xr:uid="{00000000-0005-0000-0000-00000E090000}"/>
    <cellStyle name="Comma 3 2 4" xfId="2317" xr:uid="{00000000-0005-0000-0000-00000F090000}"/>
    <cellStyle name="Comma 3 2 5" xfId="2318" xr:uid="{00000000-0005-0000-0000-000010090000}"/>
    <cellStyle name="Comma 3 3" xfId="2319" xr:uid="{00000000-0005-0000-0000-000011090000}"/>
    <cellStyle name="Comma 3 3 2" xfId="2320" xr:uid="{00000000-0005-0000-0000-000012090000}"/>
    <cellStyle name="Comma 3 3 2 2" xfId="2321" xr:uid="{00000000-0005-0000-0000-000013090000}"/>
    <cellStyle name="Comma 3 3 3" xfId="2322" xr:uid="{00000000-0005-0000-0000-000014090000}"/>
    <cellStyle name="Comma 3 3 3 2" xfId="2323" xr:uid="{00000000-0005-0000-0000-000015090000}"/>
    <cellStyle name="Comma 3 3 3 2 2" xfId="2324" xr:uid="{00000000-0005-0000-0000-000016090000}"/>
    <cellStyle name="Comma 3 3 3 2 2 2" xfId="2325" xr:uid="{00000000-0005-0000-0000-000017090000}"/>
    <cellStyle name="Comma 3 3 3 2 2 3" xfId="2326" xr:uid="{00000000-0005-0000-0000-000018090000}"/>
    <cellStyle name="Comma 3 3 3 2 3" xfId="2327" xr:uid="{00000000-0005-0000-0000-000019090000}"/>
    <cellStyle name="Comma 3 3 3 2 4" xfId="2328" xr:uid="{00000000-0005-0000-0000-00001A090000}"/>
    <cellStyle name="Comma 3 3 3 3" xfId="2329" xr:uid="{00000000-0005-0000-0000-00001B090000}"/>
    <cellStyle name="Comma 3 3 3 3 2" xfId="2330" xr:uid="{00000000-0005-0000-0000-00001C090000}"/>
    <cellStyle name="Comma 3 3 3 3 2 2" xfId="2331" xr:uid="{00000000-0005-0000-0000-00001D090000}"/>
    <cellStyle name="Comma 3 3 3 3 2 3" xfId="2332" xr:uid="{00000000-0005-0000-0000-00001E090000}"/>
    <cellStyle name="Comma 3 3 3 3 3" xfId="2333" xr:uid="{00000000-0005-0000-0000-00001F090000}"/>
    <cellStyle name="Comma 3 3 3 3 4" xfId="2334" xr:uid="{00000000-0005-0000-0000-000020090000}"/>
    <cellStyle name="Comma 3 3 3 4" xfId="2335" xr:uid="{00000000-0005-0000-0000-000021090000}"/>
    <cellStyle name="Comma 3 3 3 4 2" xfId="2336" xr:uid="{00000000-0005-0000-0000-000022090000}"/>
    <cellStyle name="Comma 3 3 3 4 3" xfId="2337" xr:uid="{00000000-0005-0000-0000-000023090000}"/>
    <cellStyle name="Comma 3 3 3 5" xfId="2338" xr:uid="{00000000-0005-0000-0000-000024090000}"/>
    <cellStyle name="Comma 3 3 3 6" xfId="2339" xr:uid="{00000000-0005-0000-0000-000025090000}"/>
    <cellStyle name="Comma 3 3 3 7" xfId="2340" xr:uid="{00000000-0005-0000-0000-000026090000}"/>
    <cellStyle name="Comma 3 3 4" xfId="2341" xr:uid="{00000000-0005-0000-0000-000027090000}"/>
    <cellStyle name="Comma 3 3 4 2" xfId="2342" xr:uid="{00000000-0005-0000-0000-000028090000}"/>
    <cellStyle name="Comma 3 3 4 2 2" xfId="2343" xr:uid="{00000000-0005-0000-0000-000029090000}"/>
    <cellStyle name="Comma 3 3 4 2 2 2" xfId="2344" xr:uid="{00000000-0005-0000-0000-00002A090000}"/>
    <cellStyle name="Comma 3 3 4 2 2 3" xfId="2345" xr:uid="{00000000-0005-0000-0000-00002B090000}"/>
    <cellStyle name="Comma 3 3 4 2 3" xfId="2346" xr:uid="{00000000-0005-0000-0000-00002C090000}"/>
    <cellStyle name="Comma 3 3 4 2 4" xfId="2347" xr:uid="{00000000-0005-0000-0000-00002D090000}"/>
    <cellStyle name="Comma 3 3 4 3" xfId="2348" xr:uid="{00000000-0005-0000-0000-00002E090000}"/>
    <cellStyle name="Comma 3 3 4 3 2" xfId="2349" xr:uid="{00000000-0005-0000-0000-00002F090000}"/>
    <cellStyle name="Comma 3 3 4 3 3" xfId="2350" xr:uid="{00000000-0005-0000-0000-000030090000}"/>
    <cellStyle name="Comma 3 3 4 4" xfId="2351" xr:uid="{00000000-0005-0000-0000-000031090000}"/>
    <cellStyle name="Comma 3 3 4 5" xfId="2352" xr:uid="{00000000-0005-0000-0000-000032090000}"/>
    <cellStyle name="Comma 3 3 4 6" xfId="2353" xr:uid="{00000000-0005-0000-0000-000033090000}"/>
    <cellStyle name="Comma 3 3 5" xfId="2354" xr:uid="{00000000-0005-0000-0000-000034090000}"/>
    <cellStyle name="Comma 3 3 6" xfId="2355" xr:uid="{00000000-0005-0000-0000-000035090000}"/>
    <cellStyle name="Comma 3 3 6 2" xfId="2356" xr:uid="{00000000-0005-0000-0000-000036090000}"/>
    <cellStyle name="Comma 3 3 6 3" xfId="2357" xr:uid="{00000000-0005-0000-0000-000037090000}"/>
    <cellStyle name="Comma 3 3 7" xfId="2358" xr:uid="{00000000-0005-0000-0000-000038090000}"/>
    <cellStyle name="Comma 3 3 8" xfId="2359" xr:uid="{00000000-0005-0000-0000-000039090000}"/>
    <cellStyle name="Comma 3 4" xfId="2360" xr:uid="{00000000-0005-0000-0000-00003A090000}"/>
    <cellStyle name="Comma 3 4 2" xfId="2361" xr:uid="{00000000-0005-0000-0000-00003B090000}"/>
    <cellStyle name="Comma 3 4 2 2" xfId="2362" xr:uid="{00000000-0005-0000-0000-00003C090000}"/>
    <cellStyle name="Comma 3 4 3" xfId="2363" xr:uid="{00000000-0005-0000-0000-00003D090000}"/>
    <cellStyle name="Comma 3 5" xfId="2364" xr:uid="{00000000-0005-0000-0000-00003E090000}"/>
    <cellStyle name="Comma 3 5 2" xfId="2365" xr:uid="{00000000-0005-0000-0000-00003F090000}"/>
    <cellStyle name="Comma 3 6" xfId="2366" xr:uid="{00000000-0005-0000-0000-000040090000}"/>
    <cellStyle name="Comma 3 6 2" xfId="2367" xr:uid="{00000000-0005-0000-0000-000041090000}"/>
    <cellStyle name="Comma 3 7" xfId="2368" xr:uid="{00000000-0005-0000-0000-000042090000}"/>
    <cellStyle name="Comma 3 7 2" xfId="2369" xr:uid="{00000000-0005-0000-0000-000043090000}"/>
    <cellStyle name="Comma 3 8" xfId="2370" xr:uid="{00000000-0005-0000-0000-000044090000}"/>
    <cellStyle name="Comma 3 8 2" xfId="2371" xr:uid="{00000000-0005-0000-0000-000045090000}"/>
    <cellStyle name="Comma 3 9" xfId="2372" xr:uid="{00000000-0005-0000-0000-000046090000}"/>
    <cellStyle name="Comma 3 9 2" xfId="2373" xr:uid="{00000000-0005-0000-0000-000047090000}"/>
    <cellStyle name="Comma 4" xfId="2374" xr:uid="{00000000-0005-0000-0000-000048090000}"/>
    <cellStyle name="Comma 4 10" xfId="2375" xr:uid="{00000000-0005-0000-0000-000049090000}"/>
    <cellStyle name="Comma 4 11" xfId="2376" xr:uid="{00000000-0005-0000-0000-00004A090000}"/>
    <cellStyle name="Comma 4 2" xfId="2377" xr:uid="{00000000-0005-0000-0000-00004B090000}"/>
    <cellStyle name="Comma 4 2 2" xfId="2378" xr:uid="{00000000-0005-0000-0000-00004C090000}"/>
    <cellStyle name="Comma 4 2 2 2" xfId="2379" xr:uid="{00000000-0005-0000-0000-00004D090000}"/>
    <cellStyle name="Comma 4 2 3" xfId="2380" xr:uid="{00000000-0005-0000-0000-00004E090000}"/>
    <cellStyle name="Comma 4 2 4" xfId="2381" xr:uid="{00000000-0005-0000-0000-00004F090000}"/>
    <cellStyle name="Comma 4 3" xfId="2382" xr:uid="{00000000-0005-0000-0000-000050090000}"/>
    <cellStyle name="Comma 4 3 2" xfId="2383" xr:uid="{00000000-0005-0000-0000-000051090000}"/>
    <cellStyle name="Comma 4 4" xfId="2384" xr:uid="{00000000-0005-0000-0000-000052090000}"/>
    <cellStyle name="Comma 4 4 2" xfId="2385" xr:uid="{00000000-0005-0000-0000-000053090000}"/>
    <cellStyle name="Comma 4 5" xfId="2386" xr:uid="{00000000-0005-0000-0000-000054090000}"/>
    <cellStyle name="Comma 4 5 2" xfId="2387" xr:uid="{00000000-0005-0000-0000-000055090000}"/>
    <cellStyle name="Comma 4 6" xfId="2388" xr:uid="{00000000-0005-0000-0000-000056090000}"/>
    <cellStyle name="Comma 4 6 2" xfId="2389" xr:uid="{00000000-0005-0000-0000-000057090000}"/>
    <cellStyle name="Comma 4 7" xfId="2390" xr:uid="{00000000-0005-0000-0000-000058090000}"/>
    <cellStyle name="Comma 4 7 2" xfId="2391" xr:uid="{00000000-0005-0000-0000-000059090000}"/>
    <cellStyle name="Comma 4 8" xfId="2392" xr:uid="{00000000-0005-0000-0000-00005A090000}"/>
    <cellStyle name="Comma 4 8 2" xfId="2393" xr:uid="{00000000-0005-0000-0000-00005B090000}"/>
    <cellStyle name="Comma 4 9" xfId="2394" xr:uid="{00000000-0005-0000-0000-00005C090000}"/>
    <cellStyle name="Comma 4 9 2" xfId="2395" xr:uid="{00000000-0005-0000-0000-00005D090000}"/>
    <cellStyle name="Comma 5" xfId="2396" xr:uid="{00000000-0005-0000-0000-00005E090000}"/>
    <cellStyle name="Comma 5 10" xfId="2397" xr:uid="{00000000-0005-0000-0000-00005F090000}"/>
    <cellStyle name="Comma 5 2" xfId="2398" xr:uid="{00000000-0005-0000-0000-000060090000}"/>
    <cellStyle name="Comma 5 2 2" xfId="2399" xr:uid="{00000000-0005-0000-0000-000061090000}"/>
    <cellStyle name="Comma 5 3" xfId="2400" xr:uid="{00000000-0005-0000-0000-000062090000}"/>
    <cellStyle name="Comma 5 3 2" xfId="2401" xr:uid="{00000000-0005-0000-0000-000063090000}"/>
    <cellStyle name="Comma 5 3 2 2" xfId="2402" xr:uid="{00000000-0005-0000-0000-000064090000}"/>
    <cellStyle name="Comma 5 3 3" xfId="2403" xr:uid="{00000000-0005-0000-0000-000065090000}"/>
    <cellStyle name="Comma 5 4" xfId="2404" xr:uid="{00000000-0005-0000-0000-000066090000}"/>
    <cellStyle name="Comma 5 4 2" xfId="2405" xr:uid="{00000000-0005-0000-0000-000067090000}"/>
    <cellStyle name="Comma 5 5" xfId="2406" xr:uid="{00000000-0005-0000-0000-000068090000}"/>
    <cellStyle name="Comma 5 5 2" xfId="2407" xr:uid="{00000000-0005-0000-0000-000069090000}"/>
    <cellStyle name="Comma 5 6" xfId="2408" xr:uid="{00000000-0005-0000-0000-00006A090000}"/>
    <cellStyle name="Comma 5 6 2" xfId="2409" xr:uid="{00000000-0005-0000-0000-00006B090000}"/>
    <cellStyle name="Comma 5 7" xfId="2410" xr:uid="{00000000-0005-0000-0000-00006C090000}"/>
    <cellStyle name="Comma 5 7 2" xfId="2411" xr:uid="{00000000-0005-0000-0000-00006D090000}"/>
    <cellStyle name="Comma 5 8" xfId="2412" xr:uid="{00000000-0005-0000-0000-00006E090000}"/>
    <cellStyle name="Comma 5 8 2" xfId="2413" xr:uid="{00000000-0005-0000-0000-00006F090000}"/>
    <cellStyle name="Comma 5 9" xfId="2414" xr:uid="{00000000-0005-0000-0000-000070090000}"/>
    <cellStyle name="Comma 6" xfId="2415" xr:uid="{00000000-0005-0000-0000-000071090000}"/>
    <cellStyle name="Comma 6 10" xfId="2416" xr:uid="{00000000-0005-0000-0000-000072090000}"/>
    <cellStyle name="Comma 6 2" xfId="2417" xr:uid="{00000000-0005-0000-0000-000073090000}"/>
    <cellStyle name="Comma 6 2 2" xfId="2418" xr:uid="{00000000-0005-0000-0000-000074090000}"/>
    <cellStyle name="Comma 6 3" xfId="2419" xr:uid="{00000000-0005-0000-0000-000075090000}"/>
    <cellStyle name="Comma 6 3 2" xfId="2420" xr:uid="{00000000-0005-0000-0000-000076090000}"/>
    <cellStyle name="Comma 6 4" xfId="2421" xr:uid="{00000000-0005-0000-0000-000077090000}"/>
    <cellStyle name="Comma 6 4 2" xfId="2422" xr:uid="{00000000-0005-0000-0000-000078090000}"/>
    <cellStyle name="Comma 6 5" xfId="2423" xr:uid="{00000000-0005-0000-0000-000079090000}"/>
    <cellStyle name="Comma 6 5 2" xfId="2424" xr:uid="{00000000-0005-0000-0000-00007A090000}"/>
    <cellStyle name="Comma 6 6" xfId="2425" xr:uid="{00000000-0005-0000-0000-00007B090000}"/>
    <cellStyle name="Comma 6 6 2" xfId="2426" xr:uid="{00000000-0005-0000-0000-00007C090000}"/>
    <cellStyle name="Comma 6 7" xfId="2427" xr:uid="{00000000-0005-0000-0000-00007D090000}"/>
    <cellStyle name="Comma 6 7 2" xfId="2428" xr:uid="{00000000-0005-0000-0000-00007E090000}"/>
    <cellStyle name="Comma 6 8" xfId="2429" xr:uid="{00000000-0005-0000-0000-00007F090000}"/>
    <cellStyle name="Comma 6 8 2" xfId="2430" xr:uid="{00000000-0005-0000-0000-000080090000}"/>
    <cellStyle name="Comma 6 9" xfId="2431" xr:uid="{00000000-0005-0000-0000-000081090000}"/>
    <cellStyle name="Comma 7" xfId="2432" xr:uid="{00000000-0005-0000-0000-000082090000}"/>
    <cellStyle name="Comma 7 10" xfId="2433" xr:uid="{00000000-0005-0000-0000-000083090000}"/>
    <cellStyle name="Comma 7 10 2" xfId="2434" xr:uid="{00000000-0005-0000-0000-000084090000}"/>
    <cellStyle name="Comma 7 11" xfId="2435" xr:uid="{00000000-0005-0000-0000-000085090000}"/>
    <cellStyle name="Comma 7 11 2" xfId="2436" xr:uid="{00000000-0005-0000-0000-000086090000}"/>
    <cellStyle name="Comma 7 12" xfId="2437" xr:uid="{00000000-0005-0000-0000-000087090000}"/>
    <cellStyle name="Comma 7 12 2" xfId="2438" xr:uid="{00000000-0005-0000-0000-000088090000}"/>
    <cellStyle name="Comma 7 13" xfId="2439" xr:uid="{00000000-0005-0000-0000-000089090000}"/>
    <cellStyle name="Comma 7 13 2" xfId="2440" xr:uid="{00000000-0005-0000-0000-00008A090000}"/>
    <cellStyle name="Comma 7 14" xfId="2441" xr:uid="{00000000-0005-0000-0000-00008B090000}"/>
    <cellStyle name="Comma 7 14 2" xfId="2442" xr:uid="{00000000-0005-0000-0000-00008C090000}"/>
    <cellStyle name="Comma 7 15" xfId="2443" xr:uid="{00000000-0005-0000-0000-00008D090000}"/>
    <cellStyle name="Comma 7 15 2" xfId="2444" xr:uid="{00000000-0005-0000-0000-00008E090000}"/>
    <cellStyle name="Comma 7 16" xfId="2445" xr:uid="{00000000-0005-0000-0000-00008F090000}"/>
    <cellStyle name="Comma 7 16 2" xfId="2446" xr:uid="{00000000-0005-0000-0000-000090090000}"/>
    <cellStyle name="Comma 7 17" xfId="2447" xr:uid="{00000000-0005-0000-0000-000091090000}"/>
    <cellStyle name="Comma 7 17 2" xfId="2448" xr:uid="{00000000-0005-0000-0000-000092090000}"/>
    <cellStyle name="Comma 7 18" xfId="2449" xr:uid="{00000000-0005-0000-0000-000093090000}"/>
    <cellStyle name="Comma 7 18 2" xfId="2450" xr:uid="{00000000-0005-0000-0000-000094090000}"/>
    <cellStyle name="Comma 7 19" xfId="2451" xr:uid="{00000000-0005-0000-0000-000095090000}"/>
    <cellStyle name="Comma 7 19 2" xfId="2452" xr:uid="{00000000-0005-0000-0000-000096090000}"/>
    <cellStyle name="Comma 7 2" xfId="2453" xr:uid="{00000000-0005-0000-0000-000097090000}"/>
    <cellStyle name="Comma 7 2 2" xfId="2454" xr:uid="{00000000-0005-0000-0000-000098090000}"/>
    <cellStyle name="Comma 7 20" xfId="2455" xr:uid="{00000000-0005-0000-0000-000099090000}"/>
    <cellStyle name="Comma 7 20 2" xfId="2456" xr:uid="{00000000-0005-0000-0000-00009A090000}"/>
    <cellStyle name="Comma 7 21" xfId="2457" xr:uid="{00000000-0005-0000-0000-00009B090000}"/>
    <cellStyle name="Comma 7 21 2" xfId="2458" xr:uid="{00000000-0005-0000-0000-00009C090000}"/>
    <cellStyle name="Comma 7 3" xfId="2459" xr:uid="{00000000-0005-0000-0000-00009D090000}"/>
    <cellStyle name="Comma 7 3 10" xfId="2460" xr:uid="{00000000-0005-0000-0000-00009E090000}"/>
    <cellStyle name="Comma 7 3 10 2" xfId="2461" xr:uid="{00000000-0005-0000-0000-00009F090000}"/>
    <cellStyle name="Comma 7 3 11" xfId="2462" xr:uid="{00000000-0005-0000-0000-0000A0090000}"/>
    <cellStyle name="Comma 7 3 11 2" xfId="2463" xr:uid="{00000000-0005-0000-0000-0000A1090000}"/>
    <cellStyle name="Comma 7 3 12" xfId="2464" xr:uid="{00000000-0005-0000-0000-0000A2090000}"/>
    <cellStyle name="Comma 7 3 12 2" xfId="2465" xr:uid="{00000000-0005-0000-0000-0000A3090000}"/>
    <cellStyle name="Comma 7 3 13" xfId="2466" xr:uid="{00000000-0005-0000-0000-0000A4090000}"/>
    <cellStyle name="Comma 7 3 13 2" xfId="2467" xr:uid="{00000000-0005-0000-0000-0000A5090000}"/>
    <cellStyle name="Comma 7 3 14" xfId="2468" xr:uid="{00000000-0005-0000-0000-0000A6090000}"/>
    <cellStyle name="Comma 7 3 14 2" xfId="2469" xr:uid="{00000000-0005-0000-0000-0000A7090000}"/>
    <cellStyle name="Comma 7 3 15" xfId="2470" xr:uid="{00000000-0005-0000-0000-0000A8090000}"/>
    <cellStyle name="Comma 7 3 15 2" xfId="2471" xr:uid="{00000000-0005-0000-0000-0000A9090000}"/>
    <cellStyle name="Comma 7 3 2" xfId="2472" xr:uid="{00000000-0005-0000-0000-0000AA090000}"/>
    <cellStyle name="Comma 7 3 2 2" xfId="2473" xr:uid="{00000000-0005-0000-0000-0000AB090000}"/>
    <cellStyle name="Comma 7 3 3" xfId="2474" xr:uid="{00000000-0005-0000-0000-0000AC090000}"/>
    <cellStyle name="Comma 7 3 3 2" xfId="2475" xr:uid="{00000000-0005-0000-0000-0000AD090000}"/>
    <cellStyle name="Comma 7 3 4" xfId="2476" xr:uid="{00000000-0005-0000-0000-0000AE090000}"/>
    <cellStyle name="Comma 7 3 4 2" xfId="2477" xr:uid="{00000000-0005-0000-0000-0000AF090000}"/>
    <cellStyle name="Comma 7 3 5" xfId="2478" xr:uid="{00000000-0005-0000-0000-0000B0090000}"/>
    <cellStyle name="Comma 7 3 5 2" xfId="2479" xr:uid="{00000000-0005-0000-0000-0000B1090000}"/>
    <cellStyle name="Comma 7 3 6" xfId="2480" xr:uid="{00000000-0005-0000-0000-0000B2090000}"/>
    <cellStyle name="Comma 7 3 6 2" xfId="2481" xr:uid="{00000000-0005-0000-0000-0000B3090000}"/>
    <cellStyle name="Comma 7 3 7" xfId="2482" xr:uid="{00000000-0005-0000-0000-0000B4090000}"/>
    <cellStyle name="Comma 7 3 7 2" xfId="2483" xr:uid="{00000000-0005-0000-0000-0000B5090000}"/>
    <cellStyle name="Comma 7 3 8" xfId="2484" xr:uid="{00000000-0005-0000-0000-0000B6090000}"/>
    <cellStyle name="Comma 7 3 8 2" xfId="2485" xr:uid="{00000000-0005-0000-0000-0000B7090000}"/>
    <cellStyle name="Comma 7 3 9" xfId="2486" xr:uid="{00000000-0005-0000-0000-0000B8090000}"/>
    <cellStyle name="Comma 7 3 9 2" xfId="2487" xr:uid="{00000000-0005-0000-0000-0000B9090000}"/>
    <cellStyle name="Comma 7 4" xfId="2488" xr:uid="{00000000-0005-0000-0000-0000BA090000}"/>
    <cellStyle name="Comma 7 4 2" xfId="2489" xr:uid="{00000000-0005-0000-0000-0000BB090000}"/>
    <cellStyle name="Comma 7 5" xfId="2490" xr:uid="{00000000-0005-0000-0000-0000BC090000}"/>
    <cellStyle name="Comma 7 5 2" xfId="2491" xr:uid="{00000000-0005-0000-0000-0000BD090000}"/>
    <cellStyle name="Comma 7 6" xfId="2492" xr:uid="{00000000-0005-0000-0000-0000BE090000}"/>
    <cellStyle name="Comma 7 6 2" xfId="2493" xr:uid="{00000000-0005-0000-0000-0000BF090000}"/>
    <cellStyle name="Comma 7 7" xfId="2494" xr:uid="{00000000-0005-0000-0000-0000C0090000}"/>
    <cellStyle name="Comma 7 7 2" xfId="2495" xr:uid="{00000000-0005-0000-0000-0000C1090000}"/>
    <cellStyle name="Comma 7 8" xfId="2496" xr:uid="{00000000-0005-0000-0000-0000C2090000}"/>
    <cellStyle name="Comma 7 8 2" xfId="2497" xr:uid="{00000000-0005-0000-0000-0000C3090000}"/>
    <cellStyle name="Comma 7 9" xfId="2498" xr:uid="{00000000-0005-0000-0000-0000C4090000}"/>
    <cellStyle name="Comma 7 9 2" xfId="2499" xr:uid="{00000000-0005-0000-0000-0000C5090000}"/>
    <cellStyle name="Comma 8" xfId="2500" xr:uid="{00000000-0005-0000-0000-0000C6090000}"/>
    <cellStyle name="Comma 8 2" xfId="2501" xr:uid="{00000000-0005-0000-0000-0000C7090000}"/>
    <cellStyle name="Comma 8 2 2" xfId="2502" xr:uid="{00000000-0005-0000-0000-0000C8090000}"/>
    <cellStyle name="Comma 8 2 2 2" xfId="2503" xr:uid="{00000000-0005-0000-0000-0000C9090000}"/>
    <cellStyle name="Comma 8 2 3" xfId="2504" xr:uid="{00000000-0005-0000-0000-0000CA090000}"/>
    <cellStyle name="Comma 8 3" xfId="2505" xr:uid="{00000000-0005-0000-0000-0000CB090000}"/>
    <cellStyle name="Comma 8 3 2" xfId="2506" xr:uid="{00000000-0005-0000-0000-0000CC090000}"/>
    <cellStyle name="Comma 8 4" xfId="2507" xr:uid="{00000000-0005-0000-0000-0000CD090000}"/>
    <cellStyle name="Comma 8 4 2" xfId="2508" xr:uid="{00000000-0005-0000-0000-0000CE090000}"/>
    <cellStyle name="Comma 8 5" xfId="2509" xr:uid="{00000000-0005-0000-0000-0000CF090000}"/>
    <cellStyle name="Comma 8 5 2" xfId="2510" xr:uid="{00000000-0005-0000-0000-0000D0090000}"/>
    <cellStyle name="Comma 8 6" xfId="2511" xr:uid="{00000000-0005-0000-0000-0000D1090000}"/>
    <cellStyle name="Comma 8 6 2" xfId="2512" xr:uid="{00000000-0005-0000-0000-0000D2090000}"/>
    <cellStyle name="Comma 8 7" xfId="2513" xr:uid="{00000000-0005-0000-0000-0000D3090000}"/>
    <cellStyle name="Comma 8 7 2" xfId="2514" xr:uid="{00000000-0005-0000-0000-0000D4090000}"/>
    <cellStyle name="Comma 8 8" xfId="2515" xr:uid="{00000000-0005-0000-0000-0000D5090000}"/>
    <cellStyle name="Comma 8 8 2" xfId="2516" xr:uid="{00000000-0005-0000-0000-0000D6090000}"/>
    <cellStyle name="Comma 9" xfId="2517" xr:uid="{00000000-0005-0000-0000-0000D7090000}"/>
    <cellStyle name="Comma 9 10" xfId="2518" xr:uid="{00000000-0005-0000-0000-0000D8090000}"/>
    <cellStyle name="Comma 9 10 2" xfId="2519" xr:uid="{00000000-0005-0000-0000-0000D9090000}"/>
    <cellStyle name="Comma 9 2" xfId="2520" xr:uid="{00000000-0005-0000-0000-0000DA090000}"/>
    <cellStyle name="Comma 9 2 2" xfId="2521" xr:uid="{00000000-0005-0000-0000-0000DB090000}"/>
    <cellStyle name="Comma 9 3" xfId="2522" xr:uid="{00000000-0005-0000-0000-0000DC090000}"/>
    <cellStyle name="Comma 9 3 2" xfId="2523" xr:uid="{00000000-0005-0000-0000-0000DD090000}"/>
    <cellStyle name="Comma 9 4" xfId="2524" xr:uid="{00000000-0005-0000-0000-0000DE090000}"/>
    <cellStyle name="Comma 9 4 2" xfId="2525" xr:uid="{00000000-0005-0000-0000-0000DF090000}"/>
    <cellStyle name="Comma 9 5" xfId="2526" xr:uid="{00000000-0005-0000-0000-0000E0090000}"/>
    <cellStyle name="Comma 9 5 2" xfId="2527" xr:uid="{00000000-0005-0000-0000-0000E1090000}"/>
    <cellStyle name="Comma 9 6" xfId="2528" xr:uid="{00000000-0005-0000-0000-0000E2090000}"/>
    <cellStyle name="Comma 9 6 2" xfId="2529" xr:uid="{00000000-0005-0000-0000-0000E3090000}"/>
    <cellStyle name="Comma 9 7" xfId="2530" xr:uid="{00000000-0005-0000-0000-0000E4090000}"/>
    <cellStyle name="Comma 9 7 2" xfId="2531" xr:uid="{00000000-0005-0000-0000-0000E5090000}"/>
    <cellStyle name="Comma 9 8" xfId="2532" xr:uid="{00000000-0005-0000-0000-0000E6090000}"/>
    <cellStyle name="Comma 9 8 2" xfId="2533" xr:uid="{00000000-0005-0000-0000-0000E7090000}"/>
    <cellStyle name="Comma 9 9" xfId="2534" xr:uid="{00000000-0005-0000-0000-0000E8090000}"/>
    <cellStyle name="Comma 9 9 2" xfId="2535" xr:uid="{00000000-0005-0000-0000-0000E9090000}"/>
    <cellStyle name="Comma0 - Type3" xfId="17772" xr:uid="{00000000-0005-0000-0000-0000EA090000}"/>
    <cellStyle name="Constants" xfId="2536" xr:uid="{00000000-0005-0000-0000-0000EB090000}"/>
    <cellStyle name="Currency 2" xfId="2537" xr:uid="{00000000-0005-0000-0000-0000EC090000}"/>
    <cellStyle name="Currency 2 2" xfId="2538" xr:uid="{00000000-0005-0000-0000-0000ED090000}"/>
    <cellStyle name="CustomCellsOrange" xfId="2539" xr:uid="{00000000-0005-0000-0000-0000EE090000}"/>
    <cellStyle name="CustomizationCells" xfId="2540" xr:uid="{00000000-0005-0000-0000-0000EF090000}"/>
    <cellStyle name="CustomizationGreenCells" xfId="2541" xr:uid="{00000000-0005-0000-0000-0000F0090000}"/>
    <cellStyle name="DocBox_EmptyRow" xfId="2542" xr:uid="{00000000-0005-0000-0000-0000F1090000}"/>
    <cellStyle name="donn_normal" xfId="2543" xr:uid="{00000000-0005-0000-0000-0000F2090000}"/>
    <cellStyle name="Eingabe" xfId="2544" xr:uid="{00000000-0005-0000-0000-0000F3090000}"/>
    <cellStyle name="Empty_B_border" xfId="2545" xr:uid="{00000000-0005-0000-0000-0000F4090000}"/>
    <cellStyle name="ent_col_ser" xfId="2546" xr:uid="{00000000-0005-0000-0000-0000F5090000}"/>
    <cellStyle name="entete_source" xfId="2547" xr:uid="{00000000-0005-0000-0000-0000F6090000}"/>
    <cellStyle name="Ergebnis" xfId="2548" xr:uid="{00000000-0005-0000-0000-0000F7090000}"/>
    <cellStyle name="Erklärender Text" xfId="2549" xr:uid="{00000000-0005-0000-0000-0000F8090000}"/>
    <cellStyle name="Estilo 1" xfId="2550" xr:uid="{00000000-0005-0000-0000-0000F9090000}"/>
    <cellStyle name="Euro" xfId="2551" xr:uid="{00000000-0005-0000-0000-0000FA090000}"/>
    <cellStyle name="Euro 10" xfId="2552" xr:uid="{00000000-0005-0000-0000-0000FB090000}"/>
    <cellStyle name="Euro 10 2" xfId="2553" xr:uid="{00000000-0005-0000-0000-0000FC090000}"/>
    <cellStyle name="Euro 11" xfId="2554" xr:uid="{00000000-0005-0000-0000-0000FD090000}"/>
    <cellStyle name="Euro 11 2" xfId="2555" xr:uid="{00000000-0005-0000-0000-0000FE090000}"/>
    <cellStyle name="Euro 12" xfId="2556" xr:uid="{00000000-0005-0000-0000-0000FF090000}"/>
    <cellStyle name="Euro 13" xfId="2557" xr:uid="{00000000-0005-0000-0000-0000000A0000}"/>
    <cellStyle name="Euro 14" xfId="2558" xr:uid="{00000000-0005-0000-0000-0000010A0000}"/>
    <cellStyle name="Euro 15" xfId="2559" xr:uid="{00000000-0005-0000-0000-0000020A0000}"/>
    <cellStyle name="Euro 16" xfId="2560" xr:uid="{00000000-0005-0000-0000-0000030A0000}"/>
    <cellStyle name="Euro 17" xfId="2561" xr:uid="{00000000-0005-0000-0000-0000040A0000}"/>
    <cellStyle name="Euro 18" xfId="2562" xr:uid="{00000000-0005-0000-0000-0000050A0000}"/>
    <cellStyle name="Euro 19" xfId="2563" xr:uid="{00000000-0005-0000-0000-0000060A0000}"/>
    <cellStyle name="Euro 2" xfId="2564" xr:uid="{00000000-0005-0000-0000-0000070A0000}"/>
    <cellStyle name="Euro 2 2" xfId="2565" xr:uid="{00000000-0005-0000-0000-0000080A0000}"/>
    <cellStyle name="Euro 2 2 2" xfId="2566" xr:uid="{00000000-0005-0000-0000-0000090A0000}"/>
    <cellStyle name="Euro 2 2 2 2" xfId="2567" xr:uid="{00000000-0005-0000-0000-00000A0A0000}"/>
    <cellStyle name="Euro 2 2 3" xfId="2568" xr:uid="{00000000-0005-0000-0000-00000B0A0000}"/>
    <cellStyle name="Euro 2 2 4" xfId="2569" xr:uid="{00000000-0005-0000-0000-00000C0A0000}"/>
    <cellStyle name="Euro 2 2 4 2" xfId="2570" xr:uid="{00000000-0005-0000-0000-00000D0A0000}"/>
    <cellStyle name="Euro 2 2 4 3" xfId="2571" xr:uid="{00000000-0005-0000-0000-00000E0A0000}"/>
    <cellStyle name="Euro 2 2 5" xfId="2572" xr:uid="{00000000-0005-0000-0000-00000F0A0000}"/>
    <cellStyle name="Euro 2 2 6" xfId="2573" xr:uid="{00000000-0005-0000-0000-0000100A0000}"/>
    <cellStyle name="Euro 2 3" xfId="2574" xr:uid="{00000000-0005-0000-0000-0000110A0000}"/>
    <cellStyle name="Euro 2 3 2" xfId="2575" xr:uid="{00000000-0005-0000-0000-0000120A0000}"/>
    <cellStyle name="Euro 2 4" xfId="2576" xr:uid="{00000000-0005-0000-0000-0000130A0000}"/>
    <cellStyle name="Euro 2 5" xfId="2577" xr:uid="{00000000-0005-0000-0000-0000140A0000}"/>
    <cellStyle name="Euro 2 6" xfId="2578" xr:uid="{00000000-0005-0000-0000-0000150A0000}"/>
    <cellStyle name="Euro 2 7" xfId="2579" xr:uid="{00000000-0005-0000-0000-0000160A0000}"/>
    <cellStyle name="Euro 2 8" xfId="2580" xr:uid="{00000000-0005-0000-0000-0000170A0000}"/>
    <cellStyle name="Euro 20" xfId="2581" xr:uid="{00000000-0005-0000-0000-0000180A0000}"/>
    <cellStyle name="Euro 21" xfId="2582" xr:uid="{00000000-0005-0000-0000-0000190A0000}"/>
    <cellStyle name="Euro 22" xfId="2583" xr:uid="{00000000-0005-0000-0000-00001A0A0000}"/>
    <cellStyle name="Euro 23" xfId="2584" xr:uid="{00000000-0005-0000-0000-00001B0A0000}"/>
    <cellStyle name="Euro 24" xfId="2585" xr:uid="{00000000-0005-0000-0000-00001C0A0000}"/>
    <cellStyle name="Euro 25" xfId="2586" xr:uid="{00000000-0005-0000-0000-00001D0A0000}"/>
    <cellStyle name="Euro 26" xfId="2587" xr:uid="{00000000-0005-0000-0000-00001E0A0000}"/>
    <cellStyle name="Euro 27" xfId="2588" xr:uid="{00000000-0005-0000-0000-00001F0A0000}"/>
    <cellStyle name="Euro 28" xfId="2589" xr:uid="{00000000-0005-0000-0000-0000200A0000}"/>
    <cellStyle name="Euro 29" xfId="2590" xr:uid="{00000000-0005-0000-0000-0000210A0000}"/>
    <cellStyle name="Euro 3" xfId="2591" xr:uid="{00000000-0005-0000-0000-0000220A0000}"/>
    <cellStyle name="Euro 3 10" xfId="2592" xr:uid="{00000000-0005-0000-0000-0000230A0000}"/>
    <cellStyle name="Euro 3 2" xfId="2593" xr:uid="{00000000-0005-0000-0000-0000240A0000}"/>
    <cellStyle name="Euro 3 2 2" xfId="2594" xr:uid="{00000000-0005-0000-0000-0000250A0000}"/>
    <cellStyle name="Euro 3 3" xfId="2595" xr:uid="{00000000-0005-0000-0000-0000260A0000}"/>
    <cellStyle name="Euro 3 3 2" xfId="2596" xr:uid="{00000000-0005-0000-0000-0000270A0000}"/>
    <cellStyle name="Euro 3 3 3" xfId="2597" xr:uid="{00000000-0005-0000-0000-0000280A0000}"/>
    <cellStyle name="Euro 3 3 4" xfId="2598" xr:uid="{00000000-0005-0000-0000-0000290A0000}"/>
    <cellStyle name="Euro 3 3 4 2" xfId="2599" xr:uid="{00000000-0005-0000-0000-00002A0A0000}"/>
    <cellStyle name="Euro 3 4" xfId="2600" xr:uid="{00000000-0005-0000-0000-00002B0A0000}"/>
    <cellStyle name="Euro 3 5" xfId="2601" xr:uid="{00000000-0005-0000-0000-00002C0A0000}"/>
    <cellStyle name="Euro 3 6" xfId="2602" xr:uid="{00000000-0005-0000-0000-00002D0A0000}"/>
    <cellStyle name="Euro 3 7" xfId="2603" xr:uid="{00000000-0005-0000-0000-00002E0A0000}"/>
    <cellStyle name="Euro 3 8" xfId="2604" xr:uid="{00000000-0005-0000-0000-00002F0A0000}"/>
    <cellStyle name="Euro 3 9" xfId="2605" xr:uid="{00000000-0005-0000-0000-0000300A0000}"/>
    <cellStyle name="Euro 3_PrimaryEnergyPrices_TIMES" xfId="2606" xr:uid="{00000000-0005-0000-0000-0000310A0000}"/>
    <cellStyle name="Euro 30" xfId="2607" xr:uid="{00000000-0005-0000-0000-0000320A0000}"/>
    <cellStyle name="Euro 31" xfId="2608" xr:uid="{00000000-0005-0000-0000-0000330A0000}"/>
    <cellStyle name="Euro 32" xfId="2609" xr:uid="{00000000-0005-0000-0000-0000340A0000}"/>
    <cellStyle name="Euro 33" xfId="2610" xr:uid="{00000000-0005-0000-0000-0000350A0000}"/>
    <cellStyle name="Euro 34" xfId="2611" xr:uid="{00000000-0005-0000-0000-0000360A0000}"/>
    <cellStyle name="Euro 35" xfId="2612" xr:uid="{00000000-0005-0000-0000-0000370A0000}"/>
    <cellStyle name="Euro 36" xfId="2613" xr:uid="{00000000-0005-0000-0000-0000380A0000}"/>
    <cellStyle name="Euro 37" xfId="2614" xr:uid="{00000000-0005-0000-0000-0000390A0000}"/>
    <cellStyle name="Euro 38" xfId="2615" xr:uid="{00000000-0005-0000-0000-00003A0A0000}"/>
    <cellStyle name="Euro 39" xfId="2616" xr:uid="{00000000-0005-0000-0000-00003B0A0000}"/>
    <cellStyle name="Euro 4" xfId="2617" xr:uid="{00000000-0005-0000-0000-00003C0A0000}"/>
    <cellStyle name="Euro 4 2" xfId="2618" xr:uid="{00000000-0005-0000-0000-00003D0A0000}"/>
    <cellStyle name="Euro 4 2 2" xfId="2619" xr:uid="{00000000-0005-0000-0000-00003E0A0000}"/>
    <cellStyle name="Euro 4 2 3" xfId="2620" xr:uid="{00000000-0005-0000-0000-00003F0A0000}"/>
    <cellStyle name="Euro 4 3" xfId="2621" xr:uid="{00000000-0005-0000-0000-0000400A0000}"/>
    <cellStyle name="Euro 4 3 2" xfId="2622" xr:uid="{00000000-0005-0000-0000-0000410A0000}"/>
    <cellStyle name="Euro 4 3 3" xfId="2623" xr:uid="{00000000-0005-0000-0000-0000420A0000}"/>
    <cellStyle name="Euro 4 3 4" xfId="2624" xr:uid="{00000000-0005-0000-0000-0000430A0000}"/>
    <cellStyle name="Euro 4 3 4 2" xfId="2625" xr:uid="{00000000-0005-0000-0000-0000440A0000}"/>
    <cellStyle name="Euro 4 4" xfId="2626" xr:uid="{00000000-0005-0000-0000-0000450A0000}"/>
    <cellStyle name="Euro 4 4 2" xfId="2627" xr:uid="{00000000-0005-0000-0000-0000460A0000}"/>
    <cellStyle name="Euro 4 4 3" xfId="2628" xr:uid="{00000000-0005-0000-0000-0000470A0000}"/>
    <cellStyle name="Euro 4 5" xfId="2629" xr:uid="{00000000-0005-0000-0000-0000480A0000}"/>
    <cellStyle name="Euro 4 6" xfId="2630" xr:uid="{00000000-0005-0000-0000-0000490A0000}"/>
    <cellStyle name="Euro 40" xfId="2631" xr:uid="{00000000-0005-0000-0000-00004A0A0000}"/>
    <cellStyle name="Euro 41" xfId="2632" xr:uid="{00000000-0005-0000-0000-00004B0A0000}"/>
    <cellStyle name="Euro 42" xfId="2633" xr:uid="{00000000-0005-0000-0000-00004C0A0000}"/>
    <cellStyle name="Euro 43" xfId="2634" xr:uid="{00000000-0005-0000-0000-00004D0A0000}"/>
    <cellStyle name="Euro 44" xfId="2635" xr:uid="{00000000-0005-0000-0000-00004E0A0000}"/>
    <cellStyle name="Euro 45" xfId="2636" xr:uid="{00000000-0005-0000-0000-00004F0A0000}"/>
    <cellStyle name="Euro 46" xfId="2637" xr:uid="{00000000-0005-0000-0000-0000500A0000}"/>
    <cellStyle name="Euro 47" xfId="2638" xr:uid="{00000000-0005-0000-0000-0000510A0000}"/>
    <cellStyle name="Euro 48" xfId="2639" xr:uid="{00000000-0005-0000-0000-0000520A0000}"/>
    <cellStyle name="Euro 48 2" xfId="2640" xr:uid="{00000000-0005-0000-0000-0000530A0000}"/>
    <cellStyle name="Euro 49" xfId="2641" xr:uid="{00000000-0005-0000-0000-0000540A0000}"/>
    <cellStyle name="Euro 49 2" xfId="2642" xr:uid="{00000000-0005-0000-0000-0000550A0000}"/>
    <cellStyle name="Euro 5" xfId="2643" xr:uid="{00000000-0005-0000-0000-0000560A0000}"/>
    <cellStyle name="Euro 5 2" xfId="2644" xr:uid="{00000000-0005-0000-0000-0000570A0000}"/>
    <cellStyle name="Euro 5 2 2" xfId="2645" xr:uid="{00000000-0005-0000-0000-0000580A0000}"/>
    <cellStyle name="Euro 5 3" xfId="2646" xr:uid="{00000000-0005-0000-0000-0000590A0000}"/>
    <cellStyle name="Euro 5 4" xfId="2647" xr:uid="{00000000-0005-0000-0000-00005A0A0000}"/>
    <cellStyle name="Euro 5 4 2" xfId="2648" xr:uid="{00000000-0005-0000-0000-00005B0A0000}"/>
    <cellStyle name="Euro 5 5" xfId="2649" xr:uid="{00000000-0005-0000-0000-00005C0A0000}"/>
    <cellStyle name="Euro 50" xfId="2650" xr:uid="{00000000-0005-0000-0000-00005D0A0000}"/>
    <cellStyle name="Euro 50 2" xfId="2651" xr:uid="{00000000-0005-0000-0000-00005E0A0000}"/>
    <cellStyle name="Euro 51" xfId="2652" xr:uid="{00000000-0005-0000-0000-00005F0A0000}"/>
    <cellStyle name="Euro 51 2" xfId="2653" xr:uid="{00000000-0005-0000-0000-0000600A0000}"/>
    <cellStyle name="Euro 52" xfId="2654" xr:uid="{00000000-0005-0000-0000-0000610A0000}"/>
    <cellStyle name="Euro 52 2" xfId="2655" xr:uid="{00000000-0005-0000-0000-0000620A0000}"/>
    <cellStyle name="Euro 53" xfId="2656" xr:uid="{00000000-0005-0000-0000-0000630A0000}"/>
    <cellStyle name="Euro 53 2" xfId="2657" xr:uid="{00000000-0005-0000-0000-0000640A0000}"/>
    <cellStyle name="Euro 54" xfId="2658" xr:uid="{00000000-0005-0000-0000-0000650A0000}"/>
    <cellStyle name="Euro 54 2" xfId="2659" xr:uid="{00000000-0005-0000-0000-0000660A0000}"/>
    <cellStyle name="Euro 55" xfId="2660" xr:uid="{00000000-0005-0000-0000-0000670A0000}"/>
    <cellStyle name="Euro 55 2" xfId="2661" xr:uid="{00000000-0005-0000-0000-0000680A0000}"/>
    <cellStyle name="Euro 56" xfId="2662" xr:uid="{00000000-0005-0000-0000-0000690A0000}"/>
    <cellStyle name="Euro 56 2" xfId="2663" xr:uid="{00000000-0005-0000-0000-00006A0A0000}"/>
    <cellStyle name="Euro 57" xfId="2664" xr:uid="{00000000-0005-0000-0000-00006B0A0000}"/>
    <cellStyle name="Euro 58" xfId="2665" xr:uid="{00000000-0005-0000-0000-00006C0A0000}"/>
    <cellStyle name="Euro 59" xfId="2666" xr:uid="{00000000-0005-0000-0000-00006D0A0000}"/>
    <cellStyle name="Euro 6" xfId="2667" xr:uid="{00000000-0005-0000-0000-00006E0A0000}"/>
    <cellStyle name="Euro 6 2" xfId="2668" xr:uid="{00000000-0005-0000-0000-00006F0A0000}"/>
    <cellStyle name="Euro 6 2 2" xfId="2669" xr:uid="{00000000-0005-0000-0000-0000700A0000}"/>
    <cellStyle name="Euro 6 3" xfId="2670" xr:uid="{00000000-0005-0000-0000-0000710A0000}"/>
    <cellStyle name="Euro 6 4" xfId="2671" xr:uid="{00000000-0005-0000-0000-0000720A0000}"/>
    <cellStyle name="Euro 6 5" xfId="2672" xr:uid="{00000000-0005-0000-0000-0000730A0000}"/>
    <cellStyle name="Euro 6 5 2" xfId="2673" xr:uid="{00000000-0005-0000-0000-0000740A0000}"/>
    <cellStyle name="Euro 60" xfId="2674" xr:uid="{00000000-0005-0000-0000-0000750A0000}"/>
    <cellStyle name="Euro 61" xfId="2675" xr:uid="{00000000-0005-0000-0000-0000760A0000}"/>
    <cellStyle name="Euro 61 2" xfId="2676" xr:uid="{00000000-0005-0000-0000-0000770A0000}"/>
    <cellStyle name="Euro 62" xfId="2677" xr:uid="{00000000-0005-0000-0000-0000780A0000}"/>
    <cellStyle name="Euro 62 2" xfId="2678" xr:uid="{00000000-0005-0000-0000-0000790A0000}"/>
    <cellStyle name="Euro 7" xfId="2679" xr:uid="{00000000-0005-0000-0000-00007A0A0000}"/>
    <cellStyle name="Euro 7 2" xfId="2680" xr:uid="{00000000-0005-0000-0000-00007B0A0000}"/>
    <cellStyle name="Euro 7 3" xfId="2681" xr:uid="{00000000-0005-0000-0000-00007C0A0000}"/>
    <cellStyle name="Euro 8" xfId="2682" xr:uid="{00000000-0005-0000-0000-00007D0A0000}"/>
    <cellStyle name="Euro 8 2" xfId="2683" xr:uid="{00000000-0005-0000-0000-00007E0A0000}"/>
    <cellStyle name="Euro 9" xfId="2684" xr:uid="{00000000-0005-0000-0000-00007F0A0000}"/>
    <cellStyle name="Euro 9 2" xfId="2685" xr:uid="{00000000-0005-0000-0000-0000800A0000}"/>
    <cellStyle name="Euro_Potentials in TIMES" xfId="2686" xr:uid="{00000000-0005-0000-0000-0000810A0000}"/>
    <cellStyle name="Explanatory Text" xfId="2687" builtinId="53" customBuiltin="1"/>
    <cellStyle name="Explanatory Text 10" xfId="2688" xr:uid="{00000000-0005-0000-0000-0000830A0000}"/>
    <cellStyle name="Explanatory Text 11" xfId="2689" xr:uid="{00000000-0005-0000-0000-0000840A0000}"/>
    <cellStyle name="Explanatory Text 12" xfId="2690" xr:uid="{00000000-0005-0000-0000-0000850A0000}"/>
    <cellStyle name="Explanatory Text 13" xfId="2691" xr:uid="{00000000-0005-0000-0000-0000860A0000}"/>
    <cellStyle name="Explanatory Text 14" xfId="2692" xr:uid="{00000000-0005-0000-0000-0000870A0000}"/>
    <cellStyle name="Explanatory Text 15" xfId="2693" xr:uid="{00000000-0005-0000-0000-0000880A0000}"/>
    <cellStyle name="Explanatory Text 16" xfId="2694" xr:uid="{00000000-0005-0000-0000-0000890A0000}"/>
    <cellStyle name="Explanatory Text 17" xfId="2695" xr:uid="{00000000-0005-0000-0000-00008A0A0000}"/>
    <cellStyle name="Explanatory Text 18" xfId="2696" xr:uid="{00000000-0005-0000-0000-00008B0A0000}"/>
    <cellStyle name="Explanatory Text 19" xfId="2697" xr:uid="{00000000-0005-0000-0000-00008C0A0000}"/>
    <cellStyle name="Explanatory Text 2" xfId="2698" xr:uid="{00000000-0005-0000-0000-00008D0A0000}"/>
    <cellStyle name="Explanatory Text 2 10" xfId="2699" xr:uid="{00000000-0005-0000-0000-00008E0A0000}"/>
    <cellStyle name="Explanatory Text 2 2" xfId="2700" xr:uid="{00000000-0005-0000-0000-00008F0A0000}"/>
    <cellStyle name="Explanatory Text 2 3" xfId="2701" xr:uid="{00000000-0005-0000-0000-0000900A0000}"/>
    <cellStyle name="Explanatory Text 2 4" xfId="2702" xr:uid="{00000000-0005-0000-0000-0000910A0000}"/>
    <cellStyle name="Explanatory Text 2 5" xfId="2703" xr:uid="{00000000-0005-0000-0000-0000920A0000}"/>
    <cellStyle name="Explanatory Text 2 6" xfId="2704" xr:uid="{00000000-0005-0000-0000-0000930A0000}"/>
    <cellStyle name="Explanatory Text 2 7" xfId="2705" xr:uid="{00000000-0005-0000-0000-0000940A0000}"/>
    <cellStyle name="Explanatory Text 2 8" xfId="2706" xr:uid="{00000000-0005-0000-0000-0000950A0000}"/>
    <cellStyle name="Explanatory Text 2 9" xfId="2707" xr:uid="{00000000-0005-0000-0000-0000960A0000}"/>
    <cellStyle name="Explanatory Text 20" xfId="2708" xr:uid="{00000000-0005-0000-0000-0000970A0000}"/>
    <cellStyle name="Explanatory Text 21" xfId="2709" xr:uid="{00000000-0005-0000-0000-0000980A0000}"/>
    <cellStyle name="Explanatory Text 22" xfId="2710" xr:uid="{00000000-0005-0000-0000-0000990A0000}"/>
    <cellStyle name="Explanatory Text 23" xfId="2711" xr:uid="{00000000-0005-0000-0000-00009A0A0000}"/>
    <cellStyle name="Explanatory Text 24" xfId="2712" xr:uid="{00000000-0005-0000-0000-00009B0A0000}"/>
    <cellStyle name="Explanatory Text 25" xfId="2713" xr:uid="{00000000-0005-0000-0000-00009C0A0000}"/>
    <cellStyle name="Explanatory Text 26" xfId="2714" xr:uid="{00000000-0005-0000-0000-00009D0A0000}"/>
    <cellStyle name="Explanatory Text 27" xfId="2715" xr:uid="{00000000-0005-0000-0000-00009E0A0000}"/>
    <cellStyle name="Explanatory Text 28" xfId="2716" xr:uid="{00000000-0005-0000-0000-00009F0A0000}"/>
    <cellStyle name="Explanatory Text 29" xfId="2717" xr:uid="{00000000-0005-0000-0000-0000A00A0000}"/>
    <cellStyle name="Explanatory Text 3" xfId="2718" xr:uid="{00000000-0005-0000-0000-0000A10A0000}"/>
    <cellStyle name="Explanatory Text 3 2" xfId="2719" xr:uid="{00000000-0005-0000-0000-0000A20A0000}"/>
    <cellStyle name="Explanatory Text 30" xfId="2720" xr:uid="{00000000-0005-0000-0000-0000A30A0000}"/>
    <cellStyle name="Explanatory Text 31" xfId="2721" xr:uid="{00000000-0005-0000-0000-0000A40A0000}"/>
    <cellStyle name="Explanatory Text 32" xfId="2722" xr:uid="{00000000-0005-0000-0000-0000A50A0000}"/>
    <cellStyle name="Explanatory Text 33" xfId="2723" xr:uid="{00000000-0005-0000-0000-0000A60A0000}"/>
    <cellStyle name="Explanatory Text 34" xfId="2724" xr:uid="{00000000-0005-0000-0000-0000A70A0000}"/>
    <cellStyle name="Explanatory Text 35" xfId="2725" xr:uid="{00000000-0005-0000-0000-0000A80A0000}"/>
    <cellStyle name="Explanatory Text 36" xfId="2726" xr:uid="{00000000-0005-0000-0000-0000A90A0000}"/>
    <cellStyle name="Explanatory Text 37" xfId="2727" xr:uid="{00000000-0005-0000-0000-0000AA0A0000}"/>
    <cellStyle name="Explanatory Text 38" xfId="2728" xr:uid="{00000000-0005-0000-0000-0000AB0A0000}"/>
    <cellStyle name="Explanatory Text 39" xfId="2729" xr:uid="{00000000-0005-0000-0000-0000AC0A0000}"/>
    <cellStyle name="Explanatory Text 4" xfId="2730" xr:uid="{00000000-0005-0000-0000-0000AD0A0000}"/>
    <cellStyle name="Explanatory Text 4 2" xfId="2731" xr:uid="{00000000-0005-0000-0000-0000AE0A0000}"/>
    <cellStyle name="Explanatory Text 40" xfId="2732" xr:uid="{00000000-0005-0000-0000-0000AF0A0000}"/>
    <cellStyle name="Explanatory Text 41" xfId="2733" xr:uid="{00000000-0005-0000-0000-0000B00A0000}"/>
    <cellStyle name="Explanatory Text 42" xfId="2734" xr:uid="{00000000-0005-0000-0000-0000B10A0000}"/>
    <cellStyle name="Explanatory Text 43" xfId="2735" xr:uid="{00000000-0005-0000-0000-0000B20A0000}"/>
    <cellStyle name="Explanatory Text 5" xfId="2736" xr:uid="{00000000-0005-0000-0000-0000B30A0000}"/>
    <cellStyle name="Explanatory Text 5 2" xfId="2737" xr:uid="{00000000-0005-0000-0000-0000B40A0000}"/>
    <cellStyle name="Explanatory Text 6" xfId="2738" xr:uid="{00000000-0005-0000-0000-0000B50A0000}"/>
    <cellStyle name="Explanatory Text 6 2" xfId="2739" xr:uid="{00000000-0005-0000-0000-0000B60A0000}"/>
    <cellStyle name="Explanatory Text 7" xfId="2740" xr:uid="{00000000-0005-0000-0000-0000B70A0000}"/>
    <cellStyle name="Explanatory Text 8" xfId="2741" xr:uid="{00000000-0005-0000-0000-0000B80A0000}"/>
    <cellStyle name="Explanatory Text 9" xfId="2742" xr:uid="{00000000-0005-0000-0000-0000B90A0000}"/>
    <cellStyle name="Fixed2 - Type2" xfId="17773" xr:uid="{00000000-0005-0000-0000-0000BA0A0000}"/>
    <cellStyle name="Float" xfId="2743" xr:uid="{00000000-0005-0000-0000-0000BB0A0000}"/>
    <cellStyle name="Float 2" xfId="2744" xr:uid="{00000000-0005-0000-0000-0000BC0A0000}"/>
    <cellStyle name="Float 2 2" xfId="2745" xr:uid="{00000000-0005-0000-0000-0000BD0A0000}"/>
    <cellStyle name="Float 2 3" xfId="2746" xr:uid="{00000000-0005-0000-0000-0000BE0A0000}"/>
    <cellStyle name="Float 3" xfId="2747" xr:uid="{00000000-0005-0000-0000-0000BF0A0000}"/>
    <cellStyle name="Float 3 2" xfId="2748" xr:uid="{00000000-0005-0000-0000-0000C00A0000}"/>
    <cellStyle name="Float 3 3" xfId="2749" xr:uid="{00000000-0005-0000-0000-0000C10A0000}"/>
    <cellStyle name="Float 4" xfId="2750" xr:uid="{00000000-0005-0000-0000-0000C20A0000}"/>
    <cellStyle name="Float 4 2" xfId="2751" xr:uid="{00000000-0005-0000-0000-0000C30A0000}"/>
    <cellStyle name="Good" xfId="2752" builtinId="26" customBuiltin="1"/>
    <cellStyle name="Good 10" xfId="2753" xr:uid="{00000000-0005-0000-0000-0000C50A0000}"/>
    <cellStyle name="Good 11" xfId="2754" xr:uid="{00000000-0005-0000-0000-0000C60A0000}"/>
    <cellStyle name="Good 12" xfId="2755" xr:uid="{00000000-0005-0000-0000-0000C70A0000}"/>
    <cellStyle name="Good 13" xfId="2756" xr:uid="{00000000-0005-0000-0000-0000C80A0000}"/>
    <cellStyle name="Good 14" xfId="2757" xr:uid="{00000000-0005-0000-0000-0000C90A0000}"/>
    <cellStyle name="Good 15" xfId="2758" xr:uid="{00000000-0005-0000-0000-0000CA0A0000}"/>
    <cellStyle name="Good 16" xfId="2759" xr:uid="{00000000-0005-0000-0000-0000CB0A0000}"/>
    <cellStyle name="Good 17" xfId="2760" xr:uid="{00000000-0005-0000-0000-0000CC0A0000}"/>
    <cellStyle name="Good 18" xfId="2761" xr:uid="{00000000-0005-0000-0000-0000CD0A0000}"/>
    <cellStyle name="Good 19" xfId="2762" xr:uid="{00000000-0005-0000-0000-0000CE0A0000}"/>
    <cellStyle name="Good 2" xfId="2763" xr:uid="{00000000-0005-0000-0000-0000CF0A0000}"/>
    <cellStyle name="Good 2 10" xfId="2764" xr:uid="{00000000-0005-0000-0000-0000D00A0000}"/>
    <cellStyle name="Good 2 11" xfId="2765" xr:uid="{00000000-0005-0000-0000-0000D10A0000}"/>
    <cellStyle name="Good 2 2" xfId="2766" xr:uid="{00000000-0005-0000-0000-0000D20A0000}"/>
    <cellStyle name="Good 2 2 2" xfId="2767" xr:uid="{00000000-0005-0000-0000-0000D30A0000}"/>
    <cellStyle name="Good 2 2 3" xfId="2768" xr:uid="{00000000-0005-0000-0000-0000D40A0000}"/>
    <cellStyle name="Good 2 3" xfId="2769" xr:uid="{00000000-0005-0000-0000-0000D50A0000}"/>
    <cellStyle name="Good 2 3 2" xfId="2770" xr:uid="{00000000-0005-0000-0000-0000D60A0000}"/>
    <cellStyle name="Good 2 3 3" xfId="2771" xr:uid="{00000000-0005-0000-0000-0000D70A0000}"/>
    <cellStyle name="Good 2 3 4" xfId="2772" xr:uid="{00000000-0005-0000-0000-0000D80A0000}"/>
    <cellStyle name="Good 2 4" xfId="2773" xr:uid="{00000000-0005-0000-0000-0000D90A0000}"/>
    <cellStyle name="Good 2 5" xfId="2774" xr:uid="{00000000-0005-0000-0000-0000DA0A0000}"/>
    <cellStyle name="Good 2 6" xfId="2775" xr:uid="{00000000-0005-0000-0000-0000DB0A0000}"/>
    <cellStyle name="Good 2 7" xfId="2776" xr:uid="{00000000-0005-0000-0000-0000DC0A0000}"/>
    <cellStyle name="Good 2 8" xfId="2777" xr:uid="{00000000-0005-0000-0000-0000DD0A0000}"/>
    <cellStyle name="Good 2 9" xfId="2778" xr:uid="{00000000-0005-0000-0000-0000DE0A0000}"/>
    <cellStyle name="Good 20" xfId="2779" xr:uid="{00000000-0005-0000-0000-0000DF0A0000}"/>
    <cellStyle name="Good 21" xfId="2780" xr:uid="{00000000-0005-0000-0000-0000E00A0000}"/>
    <cellStyle name="Good 22" xfId="2781" xr:uid="{00000000-0005-0000-0000-0000E10A0000}"/>
    <cellStyle name="Good 23" xfId="2782" xr:uid="{00000000-0005-0000-0000-0000E20A0000}"/>
    <cellStyle name="Good 24" xfId="2783" xr:uid="{00000000-0005-0000-0000-0000E30A0000}"/>
    <cellStyle name="Good 25" xfId="2784" xr:uid="{00000000-0005-0000-0000-0000E40A0000}"/>
    <cellStyle name="Good 26" xfId="2785" xr:uid="{00000000-0005-0000-0000-0000E50A0000}"/>
    <cellStyle name="Good 27" xfId="2786" xr:uid="{00000000-0005-0000-0000-0000E60A0000}"/>
    <cellStyle name="Good 28" xfId="2787" xr:uid="{00000000-0005-0000-0000-0000E70A0000}"/>
    <cellStyle name="Good 29" xfId="2788" xr:uid="{00000000-0005-0000-0000-0000E80A0000}"/>
    <cellStyle name="Good 3" xfId="2789" xr:uid="{00000000-0005-0000-0000-0000E90A0000}"/>
    <cellStyle name="Good 3 2" xfId="2790" xr:uid="{00000000-0005-0000-0000-0000EA0A0000}"/>
    <cellStyle name="Good 3 3" xfId="2791" xr:uid="{00000000-0005-0000-0000-0000EB0A0000}"/>
    <cellStyle name="Good 3 4" xfId="2792" xr:uid="{00000000-0005-0000-0000-0000EC0A0000}"/>
    <cellStyle name="Good 30" xfId="2793" xr:uid="{00000000-0005-0000-0000-0000ED0A0000}"/>
    <cellStyle name="Good 31" xfId="2794" xr:uid="{00000000-0005-0000-0000-0000EE0A0000}"/>
    <cellStyle name="Good 32" xfId="2795" xr:uid="{00000000-0005-0000-0000-0000EF0A0000}"/>
    <cellStyle name="Good 33" xfId="2796" xr:uid="{00000000-0005-0000-0000-0000F00A0000}"/>
    <cellStyle name="Good 34" xfId="2797" xr:uid="{00000000-0005-0000-0000-0000F10A0000}"/>
    <cellStyle name="Good 35" xfId="2798" xr:uid="{00000000-0005-0000-0000-0000F20A0000}"/>
    <cellStyle name="Good 36" xfId="2799" xr:uid="{00000000-0005-0000-0000-0000F30A0000}"/>
    <cellStyle name="Good 37" xfId="2800" xr:uid="{00000000-0005-0000-0000-0000F40A0000}"/>
    <cellStyle name="Good 38" xfId="2801" xr:uid="{00000000-0005-0000-0000-0000F50A0000}"/>
    <cellStyle name="Good 39" xfId="2802" xr:uid="{00000000-0005-0000-0000-0000F60A0000}"/>
    <cellStyle name="Good 4" xfId="2803" xr:uid="{00000000-0005-0000-0000-0000F70A0000}"/>
    <cellStyle name="Good 4 2" xfId="2804" xr:uid="{00000000-0005-0000-0000-0000F80A0000}"/>
    <cellStyle name="Good 40" xfId="2805" xr:uid="{00000000-0005-0000-0000-0000F90A0000}"/>
    <cellStyle name="Good 41" xfId="2806" xr:uid="{00000000-0005-0000-0000-0000FA0A0000}"/>
    <cellStyle name="Good 42" xfId="2807" xr:uid="{00000000-0005-0000-0000-0000FB0A0000}"/>
    <cellStyle name="Good 5" xfId="2808" xr:uid="{00000000-0005-0000-0000-0000FC0A0000}"/>
    <cellStyle name="Good 5 2" xfId="2809" xr:uid="{00000000-0005-0000-0000-0000FD0A0000}"/>
    <cellStyle name="Good 6" xfId="2810" xr:uid="{00000000-0005-0000-0000-0000FE0A0000}"/>
    <cellStyle name="Good 6 2" xfId="2811" xr:uid="{00000000-0005-0000-0000-0000FF0A0000}"/>
    <cellStyle name="Good 7" xfId="2812" xr:uid="{00000000-0005-0000-0000-0000000B0000}"/>
    <cellStyle name="Good 8" xfId="2813" xr:uid="{00000000-0005-0000-0000-0000010B0000}"/>
    <cellStyle name="Good 9" xfId="2814" xr:uid="{00000000-0005-0000-0000-0000020B0000}"/>
    <cellStyle name="Gut" xfId="2815" xr:uid="{00000000-0005-0000-0000-0000030B0000}"/>
    <cellStyle name="Heading 1" xfId="2816" builtinId="16" customBuiltin="1"/>
    <cellStyle name="Heading 1 10" xfId="2817" xr:uid="{00000000-0005-0000-0000-0000050B0000}"/>
    <cellStyle name="Heading 1 11" xfId="2818" xr:uid="{00000000-0005-0000-0000-0000060B0000}"/>
    <cellStyle name="Heading 1 12" xfId="2819" xr:uid="{00000000-0005-0000-0000-0000070B0000}"/>
    <cellStyle name="Heading 1 13" xfId="2820" xr:uid="{00000000-0005-0000-0000-0000080B0000}"/>
    <cellStyle name="Heading 1 14" xfId="2821" xr:uid="{00000000-0005-0000-0000-0000090B0000}"/>
    <cellStyle name="Heading 1 15" xfId="2822" xr:uid="{00000000-0005-0000-0000-00000A0B0000}"/>
    <cellStyle name="Heading 1 16" xfId="2823" xr:uid="{00000000-0005-0000-0000-00000B0B0000}"/>
    <cellStyle name="Heading 1 17" xfId="2824" xr:uid="{00000000-0005-0000-0000-00000C0B0000}"/>
    <cellStyle name="Heading 1 18" xfId="2825" xr:uid="{00000000-0005-0000-0000-00000D0B0000}"/>
    <cellStyle name="Heading 1 19" xfId="2826" xr:uid="{00000000-0005-0000-0000-00000E0B0000}"/>
    <cellStyle name="Heading 1 2" xfId="2827" xr:uid="{00000000-0005-0000-0000-00000F0B0000}"/>
    <cellStyle name="Heading 1 2 10" xfId="2828" xr:uid="{00000000-0005-0000-0000-0000100B0000}"/>
    <cellStyle name="Heading 1 2 11" xfId="2829" xr:uid="{00000000-0005-0000-0000-0000110B0000}"/>
    <cellStyle name="Heading 1 2 2" xfId="2830" xr:uid="{00000000-0005-0000-0000-0000120B0000}"/>
    <cellStyle name="Heading 1 2 2 2" xfId="2831" xr:uid="{00000000-0005-0000-0000-0000130B0000}"/>
    <cellStyle name="Heading 1 2 3" xfId="2832" xr:uid="{00000000-0005-0000-0000-0000140B0000}"/>
    <cellStyle name="Heading 1 2 3 2" xfId="2833" xr:uid="{00000000-0005-0000-0000-0000150B0000}"/>
    <cellStyle name="Heading 1 2 4" xfId="2834" xr:uid="{00000000-0005-0000-0000-0000160B0000}"/>
    <cellStyle name="Heading 1 2 5" xfId="2835" xr:uid="{00000000-0005-0000-0000-0000170B0000}"/>
    <cellStyle name="Heading 1 2 6" xfId="2836" xr:uid="{00000000-0005-0000-0000-0000180B0000}"/>
    <cellStyle name="Heading 1 2 7" xfId="2837" xr:uid="{00000000-0005-0000-0000-0000190B0000}"/>
    <cellStyle name="Heading 1 2 8" xfId="2838" xr:uid="{00000000-0005-0000-0000-00001A0B0000}"/>
    <cellStyle name="Heading 1 2 9" xfId="2839" xr:uid="{00000000-0005-0000-0000-00001B0B0000}"/>
    <cellStyle name="Heading 1 20" xfId="2840" xr:uid="{00000000-0005-0000-0000-00001C0B0000}"/>
    <cellStyle name="Heading 1 21" xfId="2841" xr:uid="{00000000-0005-0000-0000-00001D0B0000}"/>
    <cellStyle name="Heading 1 22" xfId="2842" xr:uid="{00000000-0005-0000-0000-00001E0B0000}"/>
    <cellStyle name="Heading 1 23" xfId="2843" xr:uid="{00000000-0005-0000-0000-00001F0B0000}"/>
    <cellStyle name="Heading 1 24" xfId="2844" xr:uid="{00000000-0005-0000-0000-0000200B0000}"/>
    <cellStyle name="Heading 1 25" xfId="2845" xr:uid="{00000000-0005-0000-0000-0000210B0000}"/>
    <cellStyle name="Heading 1 26" xfId="2846" xr:uid="{00000000-0005-0000-0000-0000220B0000}"/>
    <cellStyle name="Heading 1 27" xfId="2847" xr:uid="{00000000-0005-0000-0000-0000230B0000}"/>
    <cellStyle name="Heading 1 28" xfId="2848" xr:uid="{00000000-0005-0000-0000-0000240B0000}"/>
    <cellStyle name="Heading 1 29" xfId="2849" xr:uid="{00000000-0005-0000-0000-0000250B0000}"/>
    <cellStyle name="Heading 1 3" xfId="2850" xr:uid="{00000000-0005-0000-0000-0000260B0000}"/>
    <cellStyle name="Heading 1 3 2" xfId="2851" xr:uid="{00000000-0005-0000-0000-0000270B0000}"/>
    <cellStyle name="Heading 1 3 3" xfId="2852" xr:uid="{00000000-0005-0000-0000-0000280B0000}"/>
    <cellStyle name="Heading 1 3 4" xfId="2853" xr:uid="{00000000-0005-0000-0000-0000290B0000}"/>
    <cellStyle name="Heading 1 30" xfId="2854" xr:uid="{00000000-0005-0000-0000-00002A0B0000}"/>
    <cellStyle name="Heading 1 31" xfId="2855" xr:uid="{00000000-0005-0000-0000-00002B0B0000}"/>
    <cellStyle name="Heading 1 32" xfId="2856" xr:uid="{00000000-0005-0000-0000-00002C0B0000}"/>
    <cellStyle name="Heading 1 33" xfId="2857" xr:uid="{00000000-0005-0000-0000-00002D0B0000}"/>
    <cellStyle name="Heading 1 34" xfId="2858" xr:uid="{00000000-0005-0000-0000-00002E0B0000}"/>
    <cellStyle name="Heading 1 35" xfId="2859" xr:uid="{00000000-0005-0000-0000-00002F0B0000}"/>
    <cellStyle name="Heading 1 36" xfId="2860" xr:uid="{00000000-0005-0000-0000-0000300B0000}"/>
    <cellStyle name="Heading 1 37" xfId="2861" xr:uid="{00000000-0005-0000-0000-0000310B0000}"/>
    <cellStyle name="Heading 1 38" xfId="2862" xr:uid="{00000000-0005-0000-0000-0000320B0000}"/>
    <cellStyle name="Heading 1 39" xfId="2863" xr:uid="{00000000-0005-0000-0000-0000330B0000}"/>
    <cellStyle name="Heading 1 4" xfId="2864" xr:uid="{00000000-0005-0000-0000-0000340B0000}"/>
    <cellStyle name="Heading 1 4 2" xfId="2865" xr:uid="{00000000-0005-0000-0000-0000350B0000}"/>
    <cellStyle name="Heading 1 40" xfId="2866" xr:uid="{00000000-0005-0000-0000-0000360B0000}"/>
    <cellStyle name="Heading 1 41" xfId="2867" xr:uid="{00000000-0005-0000-0000-0000370B0000}"/>
    <cellStyle name="Heading 1 5" xfId="2868" xr:uid="{00000000-0005-0000-0000-0000380B0000}"/>
    <cellStyle name="Heading 1 5 2" xfId="2869" xr:uid="{00000000-0005-0000-0000-0000390B0000}"/>
    <cellStyle name="Heading 1 6" xfId="2870" xr:uid="{00000000-0005-0000-0000-00003A0B0000}"/>
    <cellStyle name="Heading 1 6 2" xfId="2871" xr:uid="{00000000-0005-0000-0000-00003B0B0000}"/>
    <cellStyle name="Heading 1 7" xfId="2872" xr:uid="{00000000-0005-0000-0000-00003C0B0000}"/>
    <cellStyle name="Heading 1 8" xfId="2873" xr:uid="{00000000-0005-0000-0000-00003D0B0000}"/>
    <cellStyle name="Heading 1 9" xfId="2874" xr:uid="{00000000-0005-0000-0000-00003E0B0000}"/>
    <cellStyle name="Heading 2" xfId="2875" builtinId="17" customBuiltin="1"/>
    <cellStyle name="Heading 2 10" xfId="2876" xr:uid="{00000000-0005-0000-0000-0000400B0000}"/>
    <cellStyle name="Heading 2 11" xfId="2877" xr:uid="{00000000-0005-0000-0000-0000410B0000}"/>
    <cellStyle name="Heading 2 12" xfId="2878" xr:uid="{00000000-0005-0000-0000-0000420B0000}"/>
    <cellStyle name="Heading 2 13" xfId="2879" xr:uid="{00000000-0005-0000-0000-0000430B0000}"/>
    <cellStyle name="Heading 2 14" xfId="2880" xr:uid="{00000000-0005-0000-0000-0000440B0000}"/>
    <cellStyle name="Heading 2 15" xfId="2881" xr:uid="{00000000-0005-0000-0000-0000450B0000}"/>
    <cellStyle name="Heading 2 16" xfId="2882" xr:uid="{00000000-0005-0000-0000-0000460B0000}"/>
    <cellStyle name="Heading 2 17" xfId="2883" xr:uid="{00000000-0005-0000-0000-0000470B0000}"/>
    <cellStyle name="Heading 2 18" xfId="2884" xr:uid="{00000000-0005-0000-0000-0000480B0000}"/>
    <cellStyle name="Heading 2 19" xfId="2885" xr:uid="{00000000-0005-0000-0000-0000490B0000}"/>
    <cellStyle name="Heading 2 2" xfId="2886" xr:uid="{00000000-0005-0000-0000-00004A0B0000}"/>
    <cellStyle name="Heading 2 2 10" xfId="2887" xr:uid="{00000000-0005-0000-0000-00004B0B0000}"/>
    <cellStyle name="Heading 2 2 11" xfId="2888" xr:uid="{00000000-0005-0000-0000-00004C0B0000}"/>
    <cellStyle name="Heading 2 2 2" xfId="2889" xr:uid="{00000000-0005-0000-0000-00004D0B0000}"/>
    <cellStyle name="Heading 2 2 2 2" xfId="2890" xr:uid="{00000000-0005-0000-0000-00004E0B0000}"/>
    <cellStyle name="Heading 2 2 3" xfId="2891" xr:uid="{00000000-0005-0000-0000-00004F0B0000}"/>
    <cellStyle name="Heading 2 2 3 2" xfId="2892" xr:uid="{00000000-0005-0000-0000-0000500B0000}"/>
    <cellStyle name="Heading 2 2 4" xfId="2893" xr:uid="{00000000-0005-0000-0000-0000510B0000}"/>
    <cellStyle name="Heading 2 2 5" xfId="2894" xr:uid="{00000000-0005-0000-0000-0000520B0000}"/>
    <cellStyle name="Heading 2 2 6" xfId="2895" xr:uid="{00000000-0005-0000-0000-0000530B0000}"/>
    <cellStyle name="Heading 2 2 7" xfId="2896" xr:uid="{00000000-0005-0000-0000-0000540B0000}"/>
    <cellStyle name="Heading 2 2 8" xfId="2897" xr:uid="{00000000-0005-0000-0000-0000550B0000}"/>
    <cellStyle name="Heading 2 2 9" xfId="2898" xr:uid="{00000000-0005-0000-0000-0000560B0000}"/>
    <cellStyle name="Heading 2 20" xfId="2899" xr:uid="{00000000-0005-0000-0000-0000570B0000}"/>
    <cellStyle name="Heading 2 21" xfId="2900" xr:uid="{00000000-0005-0000-0000-0000580B0000}"/>
    <cellStyle name="Heading 2 22" xfId="2901" xr:uid="{00000000-0005-0000-0000-0000590B0000}"/>
    <cellStyle name="Heading 2 23" xfId="2902" xr:uid="{00000000-0005-0000-0000-00005A0B0000}"/>
    <cellStyle name="Heading 2 24" xfId="2903" xr:uid="{00000000-0005-0000-0000-00005B0B0000}"/>
    <cellStyle name="Heading 2 25" xfId="2904" xr:uid="{00000000-0005-0000-0000-00005C0B0000}"/>
    <cellStyle name="Heading 2 26" xfId="2905" xr:uid="{00000000-0005-0000-0000-00005D0B0000}"/>
    <cellStyle name="Heading 2 27" xfId="2906" xr:uid="{00000000-0005-0000-0000-00005E0B0000}"/>
    <cellStyle name="Heading 2 28" xfId="2907" xr:uid="{00000000-0005-0000-0000-00005F0B0000}"/>
    <cellStyle name="Heading 2 29" xfId="2908" xr:uid="{00000000-0005-0000-0000-0000600B0000}"/>
    <cellStyle name="Heading 2 3" xfId="2909" xr:uid="{00000000-0005-0000-0000-0000610B0000}"/>
    <cellStyle name="Heading 2 3 2" xfId="2910" xr:uid="{00000000-0005-0000-0000-0000620B0000}"/>
    <cellStyle name="Heading 2 3 3" xfId="2911" xr:uid="{00000000-0005-0000-0000-0000630B0000}"/>
    <cellStyle name="Heading 2 3 4" xfId="2912" xr:uid="{00000000-0005-0000-0000-0000640B0000}"/>
    <cellStyle name="Heading 2 30" xfId="2913" xr:uid="{00000000-0005-0000-0000-0000650B0000}"/>
    <cellStyle name="Heading 2 31" xfId="2914" xr:uid="{00000000-0005-0000-0000-0000660B0000}"/>
    <cellStyle name="Heading 2 32" xfId="2915" xr:uid="{00000000-0005-0000-0000-0000670B0000}"/>
    <cellStyle name="Heading 2 33" xfId="2916" xr:uid="{00000000-0005-0000-0000-0000680B0000}"/>
    <cellStyle name="Heading 2 34" xfId="2917" xr:uid="{00000000-0005-0000-0000-0000690B0000}"/>
    <cellStyle name="Heading 2 35" xfId="2918" xr:uid="{00000000-0005-0000-0000-00006A0B0000}"/>
    <cellStyle name="Heading 2 36" xfId="2919" xr:uid="{00000000-0005-0000-0000-00006B0B0000}"/>
    <cellStyle name="Heading 2 37" xfId="2920" xr:uid="{00000000-0005-0000-0000-00006C0B0000}"/>
    <cellStyle name="Heading 2 38" xfId="2921" xr:uid="{00000000-0005-0000-0000-00006D0B0000}"/>
    <cellStyle name="Heading 2 39" xfId="2922" xr:uid="{00000000-0005-0000-0000-00006E0B0000}"/>
    <cellStyle name="Heading 2 4" xfId="2923" xr:uid="{00000000-0005-0000-0000-00006F0B0000}"/>
    <cellStyle name="Heading 2 4 2" xfId="2924" xr:uid="{00000000-0005-0000-0000-0000700B0000}"/>
    <cellStyle name="Heading 2 40" xfId="2925" xr:uid="{00000000-0005-0000-0000-0000710B0000}"/>
    <cellStyle name="Heading 2 41" xfId="2926" xr:uid="{00000000-0005-0000-0000-0000720B0000}"/>
    <cellStyle name="Heading 2 5" xfId="2927" xr:uid="{00000000-0005-0000-0000-0000730B0000}"/>
    <cellStyle name="Heading 2 5 2" xfId="2928" xr:uid="{00000000-0005-0000-0000-0000740B0000}"/>
    <cellStyle name="Heading 2 6" xfId="2929" xr:uid="{00000000-0005-0000-0000-0000750B0000}"/>
    <cellStyle name="Heading 2 6 2" xfId="2930" xr:uid="{00000000-0005-0000-0000-0000760B0000}"/>
    <cellStyle name="Heading 2 7" xfId="2931" xr:uid="{00000000-0005-0000-0000-0000770B0000}"/>
    <cellStyle name="Heading 2 8" xfId="2932" xr:uid="{00000000-0005-0000-0000-0000780B0000}"/>
    <cellStyle name="Heading 2 9" xfId="2933" xr:uid="{00000000-0005-0000-0000-0000790B0000}"/>
    <cellStyle name="Heading 3" xfId="2934" builtinId="18" customBuiltin="1"/>
    <cellStyle name="Heading 3 10" xfId="2935" xr:uid="{00000000-0005-0000-0000-00007B0B0000}"/>
    <cellStyle name="Heading 3 11" xfId="2936" xr:uid="{00000000-0005-0000-0000-00007C0B0000}"/>
    <cellStyle name="Heading 3 12" xfId="2937" xr:uid="{00000000-0005-0000-0000-00007D0B0000}"/>
    <cellStyle name="Heading 3 13" xfId="2938" xr:uid="{00000000-0005-0000-0000-00007E0B0000}"/>
    <cellStyle name="Heading 3 14" xfId="2939" xr:uid="{00000000-0005-0000-0000-00007F0B0000}"/>
    <cellStyle name="Heading 3 15" xfId="2940" xr:uid="{00000000-0005-0000-0000-0000800B0000}"/>
    <cellStyle name="Heading 3 16" xfId="2941" xr:uid="{00000000-0005-0000-0000-0000810B0000}"/>
    <cellStyle name="Heading 3 17" xfId="2942" xr:uid="{00000000-0005-0000-0000-0000820B0000}"/>
    <cellStyle name="Heading 3 18" xfId="2943" xr:uid="{00000000-0005-0000-0000-0000830B0000}"/>
    <cellStyle name="Heading 3 19" xfId="2944" xr:uid="{00000000-0005-0000-0000-0000840B0000}"/>
    <cellStyle name="Heading 3 2" xfId="2945" xr:uid="{00000000-0005-0000-0000-0000850B0000}"/>
    <cellStyle name="Heading 3 2 10" xfId="2946" xr:uid="{00000000-0005-0000-0000-0000860B0000}"/>
    <cellStyle name="Heading 3 2 11" xfId="2947" xr:uid="{00000000-0005-0000-0000-0000870B0000}"/>
    <cellStyle name="Heading 3 2 2" xfId="2948" xr:uid="{00000000-0005-0000-0000-0000880B0000}"/>
    <cellStyle name="Heading 3 2 2 2" xfId="2949" xr:uid="{00000000-0005-0000-0000-0000890B0000}"/>
    <cellStyle name="Heading 3 2 3" xfId="2950" xr:uid="{00000000-0005-0000-0000-00008A0B0000}"/>
    <cellStyle name="Heading 3 2 3 2" xfId="2951" xr:uid="{00000000-0005-0000-0000-00008B0B0000}"/>
    <cellStyle name="Heading 3 2 4" xfId="2952" xr:uid="{00000000-0005-0000-0000-00008C0B0000}"/>
    <cellStyle name="Heading 3 2 5" xfId="2953" xr:uid="{00000000-0005-0000-0000-00008D0B0000}"/>
    <cellStyle name="Heading 3 2 6" xfId="2954" xr:uid="{00000000-0005-0000-0000-00008E0B0000}"/>
    <cellStyle name="Heading 3 2 7" xfId="2955" xr:uid="{00000000-0005-0000-0000-00008F0B0000}"/>
    <cellStyle name="Heading 3 2 8" xfId="2956" xr:uid="{00000000-0005-0000-0000-0000900B0000}"/>
    <cellStyle name="Heading 3 2 9" xfId="2957" xr:uid="{00000000-0005-0000-0000-0000910B0000}"/>
    <cellStyle name="Heading 3 20" xfId="2958" xr:uid="{00000000-0005-0000-0000-0000920B0000}"/>
    <cellStyle name="Heading 3 21" xfId="2959" xr:uid="{00000000-0005-0000-0000-0000930B0000}"/>
    <cellStyle name="Heading 3 22" xfId="2960" xr:uid="{00000000-0005-0000-0000-0000940B0000}"/>
    <cellStyle name="Heading 3 23" xfId="2961" xr:uid="{00000000-0005-0000-0000-0000950B0000}"/>
    <cellStyle name="Heading 3 24" xfId="2962" xr:uid="{00000000-0005-0000-0000-0000960B0000}"/>
    <cellStyle name="Heading 3 25" xfId="2963" xr:uid="{00000000-0005-0000-0000-0000970B0000}"/>
    <cellStyle name="Heading 3 26" xfId="2964" xr:uid="{00000000-0005-0000-0000-0000980B0000}"/>
    <cellStyle name="Heading 3 27" xfId="2965" xr:uid="{00000000-0005-0000-0000-0000990B0000}"/>
    <cellStyle name="Heading 3 28" xfId="2966" xr:uid="{00000000-0005-0000-0000-00009A0B0000}"/>
    <cellStyle name="Heading 3 29" xfId="2967" xr:uid="{00000000-0005-0000-0000-00009B0B0000}"/>
    <cellStyle name="Heading 3 3" xfId="2968" xr:uid="{00000000-0005-0000-0000-00009C0B0000}"/>
    <cellStyle name="Heading 3 3 2" xfId="2969" xr:uid="{00000000-0005-0000-0000-00009D0B0000}"/>
    <cellStyle name="Heading 3 3 3" xfId="2970" xr:uid="{00000000-0005-0000-0000-00009E0B0000}"/>
    <cellStyle name="Heading 3 3 4" xfId="2971" xr:uid="{00000000-0005-0000-0000-00009F0B0000}"/>
    <cellStyle name="Heading 3 30" xfId="2972" xr:uid="{00000000-0005-0000-0000-0000A00B0000}"/>
    <cellStyle name="Heading 3 31" xfId="2973" xr:uid="{00000000-0005-0000-0000-0000A10B0000}"/>
    <cellStyle name="Heading 3 32" xfId="2974" xr:uid="{00000000-0005-0000-0000-0000A20B0000}"/>
    <cellStyle name="Heading 3 33" xfId="2975" xr:uid="{00000000-0005-0000-0000-0000A30B0000}"/>
    <cellStyle name="Heading 3 34" xfId="2976" xr:uid="{00000000-0005-0000-0000-0000A40B0000}"/>
    <cellStyle name="Heading 3 35" xfId="2977" xr:uid="{00000000-0005-0000-0000-0000A50B0000}"/>
    <cellStyle name="Heading 3 36" xfId="2978" xr:uid="{00000000-0005-0000-0000-0000A60B0000}"/>
    <cellStyle name="Heading 3 37" xfId="2979" xr:uid="{00000000-0005-0000-0000-0000A70B0000}"/>
    <cellStyle name="Heading 3 38" xfId="2980" xr:uid="{00000000-0005-0000-0000-0000A80B0000}"/>
    <cellStyle name="Heading 3 39" xfId="2981" xr:uid="{00000000-0005-0000-0000-0000A90B0000}"/>
    <cellStyle name="Heading 3 4" xfId="2982" xr:uid="{00000000-0005-0000-0000-0000AA0B0000}"/>
    <cellStyle name="Heading 3 4 2" xfId="2983" xr:uid="{00000000-0005-0000-0000-0000AB0B0000}"/>
    <cellStyle name="Heading 3 40" xfId="2984" xr:uid="{00000000-0005-0000-0000-0000AC0B0000}"/>
    <cellStyle name="Heading 3 41" xfId="2985" xr:uid="{00000000-0005-0000-0000-0000AD0B0000}"/>
    <cellStyle name="Heading 3 5" xfId="2986" xr:uid="{00000000-0005-0000-0000-0000AE0B0000}"/>
    <cellStyle name="Heading 3 5 2" xfId="2987" xr:uid="{00000000-0005-0000-0000-0000AF0B0000}"/>
    <cellStyle name="Heading 3 6" xfId="2988" xr:uid="{00000000-0005-0000-0000-0000B00B0000}"/>
    <cellStyle name="Heading 3 6 2" xfId="2989" xr:uid="{00000000-0005-0000-0000-0000B10B0000}"/>
    <cellStyle name="Heading 3 7" xfId="2990" xr:uid="{00000000-0005-0000-0000-0000B20B0000}"/>
    <cellStyle name="Heading 3 8" xfId="2991" xr:uid="{00000000-0005-0000-0000-0000B30B0000}"/>
    <cellStyle name="Heading 3 9" xfId="2992" xr:uid="{00000000-0005-0000-0000-0000B40B0000}"/>
    <cellStyle name="Heading 4" xfId="2993" builtinId="19" customBuiltin="1"/>
    <cellStyle name="Heading 4 10" xfId="2994" xr:uid="{00000000-0005-0000-0000-0000B60B0000}"/>
    <cellStyle name="Heading 4 11" xfId="2995" xr:uid="{00000000-0005-0000-0000-0000B70B0000}"/>
    <cellStyle name="Heading 4 12" xfId="2996" xr:uid="{00000000-0005-0000-0000-0000B80B0000}"/>
    <cellStyle name="Heading 4 13" xfId="2997" xr:uid="{00000000-0005-0000-0000-0000B90B0000}"/>
    <cellStyle name="Heading 4 14" xfId="2998" xr:uid="{00000000-0005-0000-0000-0000BA0B0000}"/>
    <cellStyle name="Heading 4 15" xfId="2999" xr:uid="{00000000-0005-0000-0000-0000BB0B0000}"/>
    <cellStyle name="Heading 4 16" xfId="3000" xr:uid="{00000000-0005-0000-0000-0000BC0B0000}"/>
    <cellStyle name="Heading 4 17" xfId="3001" xr:uid="{00000000-0005-0000-0000-0000BD0B0000}"/>
    <cellStyle name="Heading 4 18" xfId="3002" xr:uid="{00000000-0005-0000-0000-0000BE0B0000}"/>
    <cellStyle name="Heading 4 19" xfId="3003" xr:uid="{00000000-0005-0000-0000-0000BF0B0000}"/>
    <cellStyle name="Heading 4 2" xfId="3004" xr:uid="{00000000-0005-0000-0000-0000C00B0000}"/>
    <cellStyle name="Heading 4 2 10" xfId="3005" xr:uid="{00000000-0005-0000-0000-0000C10B0000}"/>
    <cellStyle name="Heading 4 2 11" xfId="3006" xr:uid="{00000000-0005-0000-0000-0000C20B0000}"/>
    <cellStyle name="Heading 4 2 2" xfId="3007" xr:uid="{00000000-0005-0000-0000-0000C30B0000}"/>
    <cellStyle name="Heading 4 2 2 2" xfId="3008" xr:uid="{00000000-0005-0000-0000-0000C40B0000}"/>
    <cellStyle name="Heading 4 2 3" xfId="3009" xr:uid="{00000000-0005-0000-0000-0000C50B0000}"/>
    <cellStyle name="Heading 4 2 3 2" xfId="3010" xr:uid="{00000000-0005-0000-0000-0000C60B0000}"/>
    <cellStyle name="Heading 4 2 4" xfId="3011" xr:uid="{00000000-0005-0000-0000-0000C70B0000}"/>
    <cellStyle name="Heading 4 2 5" xfId="3012" xr:uid="{00000000-0005-0000-0000-0000C80B0000}"/>
    <cellStyle name="Heading 4 2 6" xfId="3013" xr:uid="{00000000-0005-0000-0000-0000C90B0000}"/>
    <cellStyle name="Heading 4 2 7" xfId="3014" xr:uid="{00000000-0005-0000-0000-0000CA0B0000}"/>
    <cellStyle name="Heading 4 2 8" xfId="3015" xr:uid="{00000000-0005-0000-0000-0000CB0B0000}"/>
    <cellStyle name="Heading 4 2 9" xfId="3016" xr:uid="{00000000-0005-0000-0000-0000CC0B0000}"/>
    <cellStyle name="Heading 4 20" xfId="3017" xr:uid="{00000000-0005-0000-0000-0000CD0B0000}"/>
    <cellStyle name="Heading 4 21" xfId="3018" xr:uid="{00000000-0005-0000-0000-0000CE0B0000}"/>
    <cellStyle name="Heading 4 22" xfId="3019" xr:uid="{00000000-0005-0000-0000-0000CF0B0000}"/>
    <cellStyle name="Heading 4 23" xfId="3020" xr:uid="{00000000-0005-0000-0000-0000D00B0000}"/>
    <cellStyle name="Heading 4 24" xfId="3021" xr:uid="{00000000-0005-0000-0000-0000D10B0000}"/>
    <cellStyle name="Heading 4 25" xfId="3022" xr:uid="{00000000-0005-0000-0000-0000D20B0000}"/>
    <cellStyle name="Heading 4 26" xfId="3023" xr:uid="{00000000-0005-0000-0000-0000D30B0000}"/>
    <cellStyle name="Heading 4 27" xfId="3024" xr:uid="{00000000-0005-0000-0000-0000D40B0000}"/>
    <cellStyle name="Heading 4 28" xfId="3025" xr:uid="{00000000-0005-0000-0000-0000D50B0000}"/>
    <cellStyle name="Heading 4 29" xfId="3026" xr:uid="{00000000-0005-0000-0000-0000D60B0000}"/>
    <cellStyle name="Heading 4 3" xfId="3027" xr:uid="{00000000-0005-0000-0000-0000D70B0000}"/>
    <cellStyle name="Heading 4 3 2" xfId="3028" xr:uid="{00000000-0005-0000-0000-0000D80B0000}"/>
    <cellStyle name="Heading 4 3 3" xfId="3029" xr:uid="{00000000-0005-0000-0000-0000D90B0000}"/>
    <cellStyle name="Heading 4 3 4" xfId="3030" xr:uid="{00000000-0005-0000-0000-0000DA0B0000}"/>
    <cellStyle name="Heading 4 30" xfId="3031" xr:uid="{00000000-0005-0000-0000-0000DB0B0000}"/>
    <cellStyle name="Heading 4 31" xfId="3032" xr:uid="{00000000-0005-0000-0000-0000DC0B0000}"/>
    <cellStyle name="Heading 4 32" xfId="3033" xr:uid="{00000000-0005-0000-0000-0000DD0B0000}"/>
    <cellStyle name="Heading 4 33" xfId="3034" xr:uid="{00000000-0005-0000-0000-0000DE0B0000}"/>
    <cellStyle name="Heading 4 34" xfId="3035" xr:uid="{00000000-0005-0000-0000-0000DF0B0000}"/>
    <cellStyle name="Heading 4 35" xfId="3036" xr:uid="{00000000-0005-0000-0000-0000E00B0000}"/>
    <cellStyle name="Heading 4 36" xfId="3037" xr:uid="{00000000-0005-0000-0000-0000E10B0000}"/>
    <cellStyle name="Heading 4 37" xfId="3038" xr:uid="{00000000-0005-0000-0000-0000E20B0000}"/>
    <cellStyle name="Heading 4 38" xfId="3039" xr:uid="{00000000-0005-0000-0000-0000E30B0000}"/>
    <cellStyle name="Heading 4 39" xfId="3040" xr:uid="{00000000-0005-0000-0000-0000E40B0000}"/>
    <cellStyle name="Heading 4 4" xfId="3041" xr:uid="{00000000-0005-0000-0000-0000E50B0000}"/>
    <cellStyle name="Heading 4 4 2" xfId="3042" xr:uid="{00000000-0005-0000-0000-0000E60B0000}"/>
    <cellStyle name="Heading 4 40" xfId="3043" xr:uid="{00000000-0005-0000-0000-0000E70B0000}"/>
    <cellStyle name="Heading 4 41" xfId="3044" xr:uid="{00000000-0005-0000-0000-0000E80B0000}"/>
    <cellStyle name="Heading 4 5" xfId="3045" xr:uid="{00000000-0005-0000-0000-0000E90B0000}"/>
    <cellStyle name="Heading 4 5 2" xfId="3046" xr:uid="{00000000-0005-0000-0000-0000EA0B0000}"/>
    <cellStyle name="Heading 4 6" xfId="3047" xr:uid="{00000000-0005-0000-0000-0000EB0B0000}"/>
    <cellStyle name="Heading 4 6 2" xfId="3048" xr:uid="{00000000-0005-0000-0000-0000EC0B0000}"/>
    <cellStyle name="Heading 4 7" xfId="3049" xr:uid="{00000000-0005-0000-0000-0000ED0B0000}"/>
    <cellStyle name="Heading 4 8" xfId="3050" xr:uid="{00000000-0005-0000-0000-0000EE0B0000}"/>
    <cellStyle name="Heading 4 9" xfId="3051" xr:uid="{00000000-0005-0000-0000-0000EF0B0000}"/>
    <cellStyle name="Headline" xfId="3052" xr:uid="{00000000-0005-0000-0000-0000F00B0000}"/>
    <cellStyle name="Hyperlink 2" xfId="3053" xr:uid="{00000000-0005-0000-0000-0000F10B0000}"/>
    <cellStyle name="Hyperlink 3" xfId="3054" xr:uid="{00000000-0005-0000-0000-0000F20B0000}"/>
    <cellStyle name="Input" xfId="3055" builtinId="20" customBuiltin="1"/>
    <cellStyle name="Input 10 2" xfId="3056" xr:uid="{00000000-0005-0000-0000-0000F40B0000}"/>
    <cellStyle name="Input 11 2" xfId="3057" xr:uid="{00000000-0005-0000-0000-0000F50B0000}"/>
    <cellStyle name="Input 12 2" xfId="3058" xr:uid="{00000000-0005-0000-0000-0000F60B0000}"/>
    <cellStyle name="Input 13 2" xfId="3059" xr:uid="{00000000-0005-0000-0000-0000F70B0000}"/>
    <cellStyle name="Input 14 2" xfId="3060" xr:uid="{00000000-0005-0000-0000-0000F80B0000}"/>
    <cellStyle name="Input 15 2" xfId="3061" xr:uid="{00000000-0005-0000-0000-0000F90B0000}"/>
    <cellStyle name="Input 16 2" xfId="3062" xr:uid="{00000000-0005-0000-0000-0000FA0B0000}"/>
    <cellStyle name="Input 17 2" xfId="3063" xr:uid="{00000000-0005-0000-0000-0000FB0B0000}"/>
    <cellStyle name="Input 18 2" xfId="3064" xr:uid="{00000000-0005-0000-0000-0000FC0B0000}"/>
    <cellStyle name="Input 19 2" xfId="3065" xr:uid="{00000000-0005-0000-0000-0000FD0B0000}"/>
    <cellStyle name="Input 2" xfId="3066" xr:uid="{00000000-0005-0000-0000-0000FE0B0000}"/>
    <cellStyle name="Input 2 10" xfId="3067" xr:uid="{00000000-0005-0000-0000-0000FF0B0000}"/>
    <cellStyle name="Input 2 11" xfId="3068" xr:uid="{00000000-0005-0000-0000-0000000C0000}"/>
    <cellStyle name="Input 2 2" xfId="3069" xr:uid="{00000000-0005-0000-0000-0000010C0000}"/>
    <cellStyle name="Input 2 2 2" xfId="3070" xr:uid="{00000000-0005-0000-0000-0000020C0000}"/>
    <cellStyle name="Input 2 2 3" xfId="3071" xr:uid="{00000000-0005-0000-0000-0000030C0000}"/>
    <cellStyle name="Input 2 3" xfId="3072" xr:uid="{00000000-0005-0000-0000-0000040C0000}"/>
    <cellStyle name="Input 2 3 2" xfId="3073" xr:uid="{00000000-0005-0000-0000-0000050C0000}"/>
    <cellStyle name="Input 2 3 3" xfId="3074" xr:uid="{00000000-0005-0000-0000-0000060C0000}"/>
    <cellStyle name="Input 2 3 4" xfId="3075" xr:uid="{00000000-0005-0000-0000-0000070C0000}"/>
    <cellStyle name="Input 2 4" xfId="3076" xr:uid="{00000000-0005-0000-0000-0000080C0000}"/>
    <cellStyle name="Input 2 5" xfId="3077" xr:uid="{00000000-0005-0000-0000-0000090C0000}"/>
    <cellStyle name="Input 2 6" xfId="3078" xr:uid="{00000000-0005-0000-0000-00000A0C0000}"/>
    <cellStyle name="Input 2 7" xfId="3079" xr:uid="{00000000-0005-0000-0000-00000B0C0000}"/>
    <cellStyle name="Input 2 8" xfId="3080" xr:uid="{00000000-0005-0000-0000-00000C0C0000}"/>
    <cellStyle name="Input 2 9" xfId="3081" xr:uid="{00000000-0005-0000-0000-00000D0C0000}"/>
    <cellStyle name="Input 2_PrimaryEnergyPrices_TIMES" xfId="3082" xr:uid="{00000000-0005-0000-0000-00000E0C0000}"/>
    <cellStyle name="Input 20 2" xfId="3083" xr:uid="{00000000-0005-0000-0000-00000F0C0000}"/>
    <cellStyle name="Input 21 2" xfId="3084" xr:uid="{00000000-0005-0000-0000-0000100C0000}"/>
    <cellStyle name="Input 22 2" xfId="3085" xr:uid="{00000000-0005-0000-0000-0000110C0000}"/>
    <cellStyle name="Input 23 2" xfId="3086" xr:uid="{00000000-0005-0000-0000-0000120C0000}"/>
    <cellStyle name="Input 24 2" xfId="3087" xr:uid="{00000000-0005-0000-0000-0000130C0000}"/>
    <cellStyle name="Input 25 2" xfId="3088" xr:uid="{00000000-0005-0000-0000-0000140C0000}"/>
    <cellStyle name="Input 26 2" xfId="3089" xr:uid="{00000000-0005-0000-0000-0000150C0000}"/>
    <cellStyle name="Input 27 2" xfId="3090" xr:uid="{00000000-0005-0000-0000-0000160C0000}"/>
    <cellStyle name="Input 28 2" xfId="3091" xr:uid="{00000000-0005-0000-0000-0000170C0000}"/>
    <cellStyle name="Input 29 2" xfId="3092" xr:uid="{00000000-0005-0000-0000-0000180C0000}"/>
    <cellStyle name="Input 3" xfId="3093" xr:uid="{00000000-0005-0000-0000-0000190C0000}"/>
    <cellStyle name="Input 3 2" xfId="3094" xr:uid="{00000000-0005-0000-0000-00001A0C0000}"/>
    <cellStyle name="Input 3 3" xfId="3095" xr:uid="{00000000-0005-0000-0000-00001B0C0000}"/>
    <cellStyle name="Input 3 4" xfId="3096" xr:uid="{00000000-0005-0000-0000-00001C0C0000}"/>
    <cellStyle name="Input 3 5" xfId="3097" xr:uid="{00000000-0005-0000-0000-00001D0C0000}"/>
    <cellStyle name="Input 30 2" xfId="3098" xr:uid="{00000000-0005-0000-0000-00001E0C0000}"/>
    <cellStyle name="Input 31 2" xfId="3099" xr:uid="{00000000-0005-0000-0000-00001F0C0000}"/>
    <cellStyle name="Input 32 2" xfId="3100" xr:uid="{00000000-0005-0000-0000-0000200C0000}"/>
    <cellStyle name="Input 33 2" xfId="3101" xr:uid="{00000000-0005-0000-0000-0000210C0000}"/>
    <cellStyle name="Input 34" xfId="3102" xr:uid="{00000000-0005-0000-0000-0000220C0000}"/>
    <cellStyle name="Input 34 2" xfId="3103" xr:uid="{00000000-0005-0000-0000-0000230C0000}"/>
    <cellStyle name="Input 34_ELC_final" xfId="3104" xr:uid="{00000000-0005-0000-0000-0000240C0000}"/>
    <cellStyle name="Input 35" xfId="3105" xr:uid="{00000000-0005-0000-0000-0000250C0000}"/>
    <cellStyle name="Input 36" xfId="3106" xr:uid="{00000000-0005-0000-0000-0000260C0000}"/>
    <cellStyle name="Input 37" xfId="3107" xr:uid="{00000000-0005-0000-0000-0000270C0000}"/>
    <cellStyle name="Input 38" xfId="3108" xr:uid="{00000000-0005-0000-0000-0000280C0000}"/>
    <cellStyle name="Input 39" xfId="3109" xr:uid="{00000000-0005-0000-0000-0000290C0000}"/>
    <cellStyle name="Input 4" xfId="3110" xr:uid="{00000000-0005-0000-0000-00002A0C0000}"/>
    <cellStyle name="Input 4 2" xfId="3111" xr:uid="{00000000-0005-0000-0000-00002B0C0000}"/>
    <cellStyle name="Input 40" xfId="3112" xr:uid="{00000000-0005-0000-0000-00002C0C0000}"/>
    <cellStyle name="Input 5" xfId="3113" xr:uid="{00000000-0005-0000-0000-00002D0C0000}"/>
    <cellStyle name="Input 5 2" xfId="3114" xr:uid="{00000000-0005-0000-0000-00002E0C0000}"/>
    <cellStyle name="Input 6" xfId="3115" xr:uid="{00000000-0005-0000-0000-00002F0C0000}"/>
    <cellStyle name="Input 6 2" xfId="3116" xr:uid="{00000000-0005-0000-0000-0000300C0000}"/>
    <cellStyle name="Input 7 2" xfId="3117" xr:uid="{00000000-0005-0000-0000-0000310C0000}"/>
    <cellStyle name="Input 8 2" xfId="3118" xr:uid="{00000000-0005-0000-0000-0000320C0000}"/>
    <cellStyle name="Input 9 2" xfId="3119" xr:uid="{00000000-0005-0000-0000-0000330C0000}"/>
    <cellStyle name="InputCells" xfId="3120" xr:uid="{00000000-0005-0000-0000-0000340C0000}"/>
    <cellStyle name="InputCells12" xfId="3121" xr:uid="{00000000-0005-0000-0000-0000350C0000}"/>
    <cellStyle name="InputCells12 2" xfId="3122" xr:uid="{00000000-0005-0000-0000-0000360C0000}"/>
    <cellStyle name="InputCells12_BBorder" xfId="3123" xr:uid="{00000000-0005-0000-0000-0000370C0000}"/>
    <cellStyle name="IntCells" xfId="3124" xr:uid="{00000000-0005-0000-0000-0000380C0000}"/>
    <cellStyle name="Komma 2" xfId="17774" xr:uid="{00000000-0005-0000-0000-0000390C0000}"/>
    <cellStyle name="Komma 3" xfId="17775" xr:uid="{00000000-0005-0000-0000-00003A0C0000}"/>
    <cellStyle name="KP_thin_border_dark_grey" xfId="3125" xr:uid="{00000000-0005-0000-0000-00003B0C0000}"/>
    <cellStyle name="ligne_titre_0" xfId="3126" xr:uid="{00000000-0005-0000-0000-00003C0C0000}"/>
    <cellStyle name="Link 2" xfId="17776" xr:uid="{00000000-0005-0000-0000-00003D0C0000}"/>
    <cellStyle name="Linked Cell" xfId="3127" builtinId="24" customBuiltin="1"/>
    <cellStyle name="Linked Cell 10" xfId="3128" xr:uid="{00000000-0005-0000-0000-00003F0C0000}"/>
    <cellStyle name="Linked Cell 11" xfId="3129" xr:uid="{00000000-0005-0000-0000-0000400C0000}"/>
    <cellStyle name="Linked Cell 12" xfId="3130" xr:uid="{00000000-0005-0000-0000-0000410C0000}"/>
    <cellStyle name="Linked Cell 13" xfId="3131" xr:uid="{00000000-0005-0000-0000-0000420C0000}"/>
    <cellStyle name="Linked Cell 14" xfId="3132" xr:uid="{00000000-0005-0000-0000-0000430C0000}"/>
    <cellStyle name="Linked Cell 15" xfId="3133" xr:uid="{00000000-0005-0000-0000-0000440C0000}"/>
    <cellStyle name="Linked Cell 16" xfId="3134" xr:uid="{00000000-0005-0000-0000-0000450C0000}"/>
    <cellStyle name="Linked Cell 17" xfId="3135" xr:uid="{00000000-0005-0000-0000-0000460C0000}"/>
    <cellStyle name="Linked Cell 18" xfId="3136" xr:uid="{00000000-0005-0000-0000-0000470C0000}"/>
    <cellStyle name="Linked Cell 19" xfId="3137" xr:uid="{00000000-0005-0000-0000-0000480C0000}"/>
    <cellStyle name="Linked Cell 2" xfId="3138" xr:uid="{00000000-0005-0000-0000-0000490C0000}"/>
    <cellStyle name="Linked Cell 2 10" xfId="3139" xr:uid="{00000000-0005-0000-0000-00004A0C0000}"/>
    <cellStyle name="Linked Cell 2 11" xfId="3140" xr:uid="{00000000-0005-0000-0000-00004B0C0000}"/>
    <cellStyle name="Linked Cell 2 2" xfId="3141" xr:uid="{00000000-0005-0000-0000-00004C0C0000}"/>
    <cellStyle name="Linked Cell 2 2 2" xfId="3142" xr:uid="{00000000-0005-0000-0000-00004D0C0000}"/>
    <cellStyle name="Linked Cell 2 3" xfId="3143" xr:uid="{00000000-0005-0000-0000-00004E0C0000}"/>
    <cellStyle name="Linked Cell 2 3 2" xfId="3144" xr:uid="{00000000-0005-0000-0000-00004F0C0000}"/>
    <cellStyle name="Linked Cell 2 4" xfId="3145" xr:uid="{00000000-0005-0000-0000-0000500C0000}"/>
    <cellStyle name="Linked Cell 2 5" xfId="3146" xr:uid="{00000000-0005-0000-0000-0000510C0000}"/>
    <cellStyle name="Linked Cell 2 6" xfId="3147" xr:uid="{00000000-0005-0000-0000-0000520C0000}"/>
    <cellStyle name="Linked Cell 2 7" xfId="3148" xr:uid="{00000000-0005-0000-0000-0000530C0000}"/>
    <cellStyle name="Linked Cell 2 8" xfId="3149" xr:uid="{00000000-0005-0000-0000-0000540C0000}"/>
    <cellStyle name="Linked Cell 2 9" xfId="3150" xr:uid="{00000000-0005-0000-0000-0000550C0000}"/>
    <cellStyle name="Linked Cell 20" xfId="3151" xr:uid="{00000000-0005-0000-0000-0000560C0000}"/>
    <cellStyle name="Linked Cell 21" xfId="3152" xr:uid="{00000000-0005-0000-0000-0000570C0000}"/>
    <cellStyle name="Linked Cell 22" xfId="3153" xr:uid="{00000000-0005-0000-0000-0000580C0000}"/>
    <cellStyle name="Linked Cell 23" xfId="3154" xr:uid="{00000000-0005-0000-0000-0000590C0000}"/>
    <cellStyle name="Linked Cell 24" xfId="3155" xr:uid="{00000000-0005-0000-0000-00005A0C0000}"/>
    <cellStyle name="Linked Cell 25" xfId="3156" xr:uid="{00000000-0005-0000-0000-00005B0C0000}"/>
    <cellStyle name="Linked Cell 26" xfId="3157" xr:uid="{00000000-0005-0000-0000-00005C0C0000}"/>
    <cellStyle name="Linked Cell 27" xfId="3158" xr:uid="{00000000-0005-0000-0000-00005D0C0000}"/>
    <cellStyle name="Linked Cell 28" xfId="3159" xr:uid="{00000000-0005-0000-0000-00005E0C0000}"/>
    <cellStyle name="Linked Cell 29" xfId="3160" xr:uid="{00000000-0005-0000-0000-00005F0C0000}"/>
    <cellStyle name="Linked Cell 3" xfId="3161" xr:uid="{00000000-0005-0000-0000-0000600C0000}"/>
    <cellStyle name="Linked Cell 3 2" xfId="3162" xr:uid="{00000000-0005-0000-0000-0000610C0000}"/>
    <cellStyle name="Linked Cell 3 3" xfId="3163" xr:uid="{00000000-0005-0000-0000-0000620C0000}"/>
    <cellStyle name="Linked Cell 3 4" xfId="3164" xr:uid="{00000000-0005-0000-0000-0000630C0000}"/>
    <cellStyle name="Linked Cell 30" xfId="3165" xr:uid="{00000000-0005-0000-0000-0000640C0000}"/>
    <cellStyle name="Linked Cell 31" xfId="3166" xr:uid="{00000000-0005-0000-0000-0000650C0000}"/>
    <cellStyle name="Linked Cell 32" xfId="3167" xr:uid="{00000000-0005-0000-0000-0000660C0000}"/>
    <cellStyle name="Linked Cell 33" xfId="3168" xr:uid="{00000000-0005-0000-0000-0000670C0000}"/>
    <cellStyle name="Linked Cell 34" xfId="3169" xr:uid="{00000000-0005-0000-0000-0000680C0000}"/>
    <cellStyle name="Linked Cell 35" xfId="3170" xr:uid="{00000000-0005-0000-0000-0000690C0000}"/>
    <cellStyle name="Linked Cell 36" xfId="3171" xr:uid="{00000000-0005-0000-0000-00006A0C0000}"/>
    <cellStyle name="Linked Cell 37" xfId="3172" xr:uid="{00000000-0005-0000-0000-00006B0C0000}"/>
    <cellStyle name="Linked Cell 38" xfId="3173" xr:uid="{00000000-0005-0000-0000-00006C0C0000}"/>
    <cellStyle name="Linked Cell 39" xfId="3174" xr:uid="{00000000-0005-0000-0000-00006D0C0000}"/>
    <cellStyle name="Linked Cell 4" xfId="3175" xr:uid="{00000000-0005-0000-0000-00006E0C0000}"/>
    <cellStyle name="Linked Cell 4 2" xfId="3176" xr:uid="{00000000-0005-0000-0000-00006F0C0000}"/>
    <cellStyle name="Linked Cell 40" xfId="3177" xr:uid="{00000000-0005-0000-0000-0000700C0000}"/>
    <cellStyle name="Linked Cell 41" xfId="3178" xr:uid="{00000000-0005-0000-0000-0000710C0000}"/>
    <cellStyle name="Linked Cell 5" xfId="3179" xr:uid="{00000000-0005-0000-0000-0000720C0000}"/>
    <cellStyle name="Linked Cell 5 2" xfId="3180" xr:uid="{00000000-0005-0000-0000-0000730C0000}"/>
    <cellStyle name="Linked Cell 6" xfId="3181" xr:uid="{00000000-0005-0000-0000-0000740C0000}"/>
    <cellStyle name="Linked Cell 6 2" xfId="3182" xr:uid="{00000000-0005-0000-0000-0000750C0000}"/>
    <cellStyle name="Linked Cell 7" xfId="3183" xr:uid="{00000000-0005-0000-0000-0000760C0000}"/>
    <cellStyle name="Linked Cell 8" xfId="3184" xr:uid="{00000000-0005-0000-0000-0000770C0000}"/>
    <cellStyle name="Linked Cell 9" xfId="3185" xr:uid="{00000000-0005-0000-0000-0000780C0000}"/>
    <cellStyle name="Migliaia_Oil&amp;Gas IFE ARC POLITO" xfId="3186" xr:uid="{00000000-0005-0000-0000-0000790C0000}"/>
    <cellStyle name="Neutral" xfId="3187" builtinId="28" customBuiltin="1"/>
    <cellStyle name="Neutral 10" xfId="3188" xr:uid="{00000000-0005-0000-0000-00007B0C0000}"/>
    <cellStyle name="Neutral 11" xfId="3189" xr:uid="{00000000-0005-0000-0000-00007C0C0000}"/>
    <cellStyle name="Neutral 12" xfId="3190" xr:uid="{00000000-0005-0000-0000-00007D0C0000}"/>
    <cellStyle name="Neutral 13" xfId="3191" xr:uid="{00000000-0005-0000-0000-00007E0C0000}"/>
    <cellStyle name="Neutral 14" xfId="3192" xr:uid="{00000000-0005-0000-0000-00007F0C0000}"/>
    <cellStyle name="Neutral 15" xfId="3193" xr:uid="{00000000-0005-0000-0000-0000800C0000}"/>
    <cellStyle name="Neutral 16" xfId="3194" xr:uid="{00000000-0005-0000-0000-0000810C0000}"/>
    <cellStyle name="Neutral 17" xfId="3195" xr:uid="{00000000-0005-0000-0000-0000820C0000}"/>
    <cellStyle name="Neutral 18" xfId="3196" xr:uid="{00000000-0005-0000-0000-0000830C0000}"/>
    <cellStyle name="Neutral 19" xfId="3197" xr:uid="{00000000-0005-0000-0000-0000840C0000}"/>
    <cellStyle name="Neutral 2" xfId="3198" xr:uid="{00000000-0005-0000-0000-0000850C0000}"/>
    <cellStyle name="Neutral 2 10" xfId="3199" xr:uid="{00000000-0005-0000-0000-0000860C0000}"/>
    <cellStyle name="Neutral 2 11" xfId="3200" xr:uid="{00000000-0005-0000-0000-0000870C0000}"/>
    <cellStyle name="Neutral 2 2" xfId="3201" xr:uid="{00000000-0005-0000-0000-0000880C0000}"/>
    <cellStyle name="Neutral 2 2 2" xfId="3202" xr:uid="{00000000-0005-0000-0000-0000890C0000}"/>
    <cellStyle name="Neutral 2 3" xfId="3203" xr:uid="{00000000-0005-0000-0000-00008A0C0000}"/>
    <cellStyle name="Neutral 2 3 2" xfId="3204" xr:uid="{00000000-0005-0000-0000-00008B0C0000}"/>
    <cellStyle name="Neutral 2 4" xfId="3205" xr:uid="{00000000-0005-0000-0000-00008C0C0000}"/>
    <cellStyle name="Neutral 2 4 2" xfId="3206" xr:uid="{00000000-0005-0000-0000-00008D0C0000}"/>
    <cellStyle name="Neutral 2 5" xfId="3207" xr:uid="{00000000-0005-0000-0000-00008E0C0000}"/>
    <cellStyle name="Neutral 2 6" xfId="3208" xr:uid="{00000000-0005-0000-0000-00008F0C0000}"/>
    <cellStyle name="Neutral 2 7" xfId="3209" xr:uid="{00000000-0005-0000-0000-0000900C0000}"/>
    <cellStyle name="Neutral 2 8" xfId="3210" xr:uid="{00000000-0005-0000-0000-0000910C0000}"/>
    <cellStyle name="Neutral 2 9" xfId="3211" xr:uid="{00000000-0005-0000-0000-0000920C0000}"/>
    <cellStyle name="Neutral 20" xfId="3212" xr:uid="{00000000-0005-0000-0000-0000930C0000}"/>
    <cellStyle name="Neutral 21" xfId="3213" xr:uid="{00000000-0005-0000-0000-0000940C0000}"/>
    <cellStyle name="Neutral 22" xfId="3214" xr:uid="{00000000-0005-0000-0000-0000950C0000}"/>
    <cellStyle name="Neutral 23" xfId="3215" xr:uid="{00000000-0005-0000-0000-0000960C0000}"/>
    <cellStyle name="Neutral 24" xfId="3216" xr:uid="{00000000-0005-0000-0000-0000970C0000}"/>
    <cellStyle name="Neutral 25" xfId="3217" xr:uid="{00000000-0005-0000-0000-0000980C0000}"/>
    <cellStyle name="Neutral 26" xfId="3218" xr:uid="{00000000-0005-0000-0000-0000990C0000}"/>
    <cellStyle name="Neutral 27" xfId="3219" xr:uid="{00000000-0005-0000-0000-00009A0C0000}"/>
    <cellStyle name="Neutral 28" xfId="3220" xr:uid="{00000000-0005-0000-0000-00009B0C0000}"/>
    <cellStyle name="Neutral 29" xfId="3221" xr:uid="{00000000-0005-0000-0000-00009C0C0000}"/>
    <cellStyle name="Neutral 3" xfId="3222" xr:uid="{00000000-0005-0000-0000-00009D0C0000}"/>
    <cellStyle name="Neutral 3 2" xfId="3223" xr:uid="{00000000-0005-0000-0000-00009E0C0000}"/>
    <cellStyle name="Neutral 3 2 2" xfId="3224" xr:uid="{00000000-0005-0000-0000-00009F0C0000}"/>
    <cellStyle name="Neutral 3 3" xfId="3225" xr:uid="{00000000-0005-0000-0000-0000A00C0000}"/>
    <cellStyle name="Neutral 3 4" xfId="3226" xr:uid="{00000000-0005-0000-0000-0000A10C0000}"/>
    <cellStyle name="Neutral 3 5" xfId="3227" xr:uid="{00000000-0005-0000-0000-0000A20C0000}"/>
    <cellStyle name="Neutral 3 6" xfId="3228" xr:uid="{00000000-0005-0000-0000-0000A30C0000}"/>
    <cellStyle name="Neutral 3 7" xfId="3229" xr:uid="{00000000-0005-0000-0000-0000A40C0000}"/>
    <cellStyle name="Neutral 3 8" xfId="3230" xr:uid="{00000000-0005-0000-0000-0000A50C0000}"/>
    <cellStyle name="Neutral 30" xfId="3231" xr:uid="{00000000-0005-0000-0000-0000A60C0000}"/>
    <cellStyle name="Neutral 31" xfId="3232" xr:uid="{00000000-0005-0000-0000-0000A70C0000}"/>
    <cellStyle name="Neutral 32" xfId="3233" xr:uid="{00000000-0005-0000-0000-0000A80C0000}"/>
    <cellStyle name="Neutral 33" xfId="3234" xr:uid="{00000000-0005-0000-0000-0000A90C0000}"/>
    <cellStyle name="Neutral 34" xfId="3235" xr:uid="{00000000-0005-0000-0000-0000AA0C0000}"/>
    <cellStyle name="Neutral 35" xfId="3236" xr:uid="{00000000-0005-0000-0000-0000AB0C0000}"/>
    <cellStyle name="Neutral 36" xfId="3237" xr:uid="{00000000-0005-0000-0000-0000AC0C0000}"/>
    <cellStyle name="Neutral 37" xfId="3238" xr:uid="{00000000-0005-0000-0000-0000AD0C0000}"/>
    <cellStyle name="Neutral 38" xfId="3239" xr:uid="{00000000-0005-0000-0000-0000AE0C0000}"/>
    <cellStyle name="Neutral 39" xfId="3240" xr:uid="{00000000-0005-0000-0000-0000AF0C0000}"/>
    <cellStyle name="Neutral 4" xfId="3241" xr:uid="{00000000-0005-0000-0000-0000B00C0000}"/>
    <cellStyle name="Neutral 4 2" xfId="3242" xr:uid="{00000000-0005-0000-0000-0000B10C0000}"/>
    <cellStyle name="Neutral 40" xfId="3243" xr:uid="{00000000-0005-0000-0000-0000B20C0000}"/>
    <cellStyle name="Neutral 41" xfId="3244" xr:uid="{00000000-0005-0000-0000-0000B30C0000}"/>
    <cellStyle name="Neutral 42" xfId="3245" xr:uid="{00000000-0005-0000-0000-0000B40C0000}"/>
    <cellStyle name="Neutral 43" xfId="3246" xr:uid="{00000000-0005-0000-0000-0000B50C0000}"/>
    <cellStyle name="Neutral 5" xfId="3247" xr:uid="{00000000-0005-0000-0000-0000B60C0000}"/>
    <cellStyle name="Neutral 5 2" xfId="3248" xr:uid="{00000000-0005-0000-0000-0000B70C0000}"/>
    <cellStyle name="Neutral 6" xfId="3249" xr:uid="{00000000-0005-0000-0000-0000B80C0000}"/>
    <cellStyle name="Neutral 6 2" xfId="3250" xr:uid="{00000000-0005-0000-0000-0000B90C0000}"/>
    <cellStyle name="Neutral 7" xfId="3251" xr:uid="{00000000-0005-0000-0000-0000BA0C0000}"/>
    <cellStyle name="Neutral 8" xfId="3252" xr:uid="{00000000-0005-0000-0000-0000BB0C0000}"/>
    <cellStyle name="Neutral 9" xfId="3253" xr:uid="{00000000-0005-0000-0000-0000BC0C0000}"/>
    <cellStyle name="Normaali_Baseline050902" xfId="17757" xr:uid="{00000000-0005-0000-0000-0000BD0C0000}"/>
    <cellStyle name="Normal" xfId="0" builtinId="0"/>
    <cellStyle name="Normal 10" xfId="3254" xr:uid="{00000000-0005-0000-0000-0000BF0C0000}"/>
    <cellStyle name="Normal 10 2" xfId="3255" xr:uid="{00000000-0005-0000-0000-0000C00C0000}"/>
    <cellStyle name="Normal 10 2 2" xfId="3256" xr:uid="{00000000-0005-0000-0000-0000C10C0000}"/>
    <cellStyle name="Normal 10 2 2 2" xfId="3257" xr:uid="{00000000-0005-0000-0000-0000C20C0000}"/>
    <cellStyle name="Normal 10 2 2 3" xfId="3258" xr:uid="{00000000-0005-0000-0000-0000C30C0000}"/>
    <cellStyle name="Normal 10 2 2 3 2" xfId="3259" xr:uid="{00000000-0005-0000-0000-0000C40C0000}"/>
    <cellStyle name="Normal 10 2 2 3 2 2" xfId="3260" xr:uid="{00000000-0005-0000-0000-0000C50C0000}"/>
    <cellStyle name="Normal 10 2 2 3 3" xfId="3261" xr:uid="{00000000-0005-0000-0000-0000C60C0000}"/>
    <cellStyle name="Normal 10 2 2 3 3 2" xfId="3262" xr:uid="{00000000-0005-0000-0000-0000C70C0000}"/>
    <cellStyle name="Normal 10 2 2 3 4" xfId="3263" xr:uid="{00000000-0005-0000-0000-0000C80C0000}"/>
    <cellStyle name="Normal 10 2 2 4" xfId="3264" xr:uid="{00000000-0005-0000-0000-0000C90C0000}"/>
    <cellStyle name="Normal 10 2 2 4 2" xfId="3265" xr:uid="{00000000-0005-0000-0000-0000CA0C0000}"/>
    <cellStyle name="Normal 10 2 2 5" xfId="3266" xr:uid="{00000000-0005-0000-0000-0000CB0C0000}"/>
    <cellStyle name="Normal 10 2 2 5 2" xfId="3267" xr:uid="{00000000-0005-0000-0000-0000CC0C0000}"/>
    <cellStyle name="Normal 10 2 2 6" xfId="3268" xr:uid="{00000000-0005-0000-0000-0000CD0C0000}"/>
    <cellStyle name="Normal 10 2 3" xfId="3269" xr:uid="{00000000-0005-0000-0000-0000CE0C0000}"/>
    <cellStyle name="Normal 10 2 3 2" xfId="3270" xr:uid="{00000000-0005-0000-0000-0000CF0C0000}"/>
    <cellStyle name="Normal 10 2 3 2 2" xfId="3271" xr:uid="{00000000-0005-0000-0000-0000D00C0000}"/>
    <cellStyle name="Normal 10 2 3 2 2 2" xfId="3272" xr:uid="{00000000-0005-0000-0000-0000D10C0000}"/>
    <cellStyle name="Normal 10 2 3 2 3" xfId="3273" xr:uid="{00000000-0005-0000-0000-0000D20C0000}"/>
    <cellStyle name="Normal 10 2 3 2 3 2" xfId="3274" xr:uid="{00000000-0005-0000-0000-0000D30C0000}"/>
    <cellStyle name="Normal 10 2 3 2 4" xfId="3275" xr:uid="{00000000-0005-0000-0000-0000D40C0000}"/>
    <cellStyle name="Normal 10 2 3 3" xfId="3276" xr:uid="{00000000-0005-0000-0000-0000D50C0000}"/>
    <cellStyle name="Normal 10 2 3 3 2" xfId="3277" xr:uid="{00000000-0005-0000-0000-0000D60C0000}"/>
    <cellStyle name="Normal 10 2 3 4" xfId="3278" xr:uid="{00000000-0005-0000-0000-0000D70C0000}"/>
    <cellStyle name="Normal 10 2 3 4 2" xfId="3279" xr:uid="{00000000-0005-0000-0000-0000D80C0000}"/>
    <cellStyle name="Normal 10 2 3 5" xfId="3280" xr:uid="{00000000-0005-0000-0000-0000D90C0000}"/>
    <cellStyle name="Normal 10 2 4" xfId="3281" xr:uid="{00000000-0005-0000-0000-0000DA0C0000}"/>
    <cellStyle name="Normal 10 2 5" xfId="3282" xr:uid="{00000000-0005-0000-0000-0000DB0C0000}"/>
    <cellStyle name="Normal 10 2 5 2" xfId="3283" xr:uid="{00000000-0005-0000-0000-0000DC0C0000}"/>
    <cellStyle name="Normal 10 2 5 2 2" xfId="3284" xr:uid="{00000000-0005-0000-0000-0000DD0C0000}"/>
    <cellStyle name="Normal 10 2 5 2 2 2" xfId="3285" xr:uid="{00000000-0005-0000-0000-0000DE0C0000}"/>
    <cellStyle name="Normal 10 2 5 2 3" xfId="3286" xr:uid="{00000000-0005-0000-0000-0000DF0C0000}"/>
    <cellStyle name="Normal 10 2 5 2 3 2" xfId="3287" xr:uid="{00000000-0005-0000-0000-0000E00C0000}"/>
    <cellStyle name="Normal 10 2 5 2 4" xfId="3288" xr:uid="{00000000-0005-0000-0000-0000E10C0000}"/>
    <cellStyle name="Normal 10 2 5 3" xfId="3289" xr:uid="{00000000-0005-0000-0000-0000E20C0000}"/>
    <cellStyle name="Normal 10 2 5 3 2" xfId="3290" xr:uid="{00000000-0005-0000-0000-0000E30C0000}"/>
    <cellStyle name="Normal 10 2 5 4" xfId="3291" xr:uid="{00000000-0005-0000-0000-0000E40C0000}"/>
    <cellStyle name="Normal 10 2 5 4 2" xfId="3292" xr:uid="{00000000-0005-0000-0000-0000E50C0000}"/>
    <cellStyle name="Normal 10 2 5 5" xfId="3293" xr:uid="{00000000-0005-0000-0000-0000E60C0000}"/>
    <cellStyle name="Normal 10 2 6" xfId="3294" xr:uid="{00000000-0005-0000-0000-0000E70C0000}"/>
    <cellStyle name="Normal 10 2 6 2" xfId="3295" xr:uid="{00000000-0005-0000-0000-0000E80C0000}"/>
    <cellStyle name="Normal 10 2 6 2 2" xfId="3296" xr:uid="{00000000-0005-0000-0000-0000E90C0000}"/>
    <cellStyle name="Normal 10 2 6 3" xfId="3297" xr:uid="{00000000-0005-0000-0000-0000EA0C0000}"/>
    <cellStyle name="Normal 10 2 6 3 2" xfId="3298" xr:uid="{00000000-0005-0000-0000-0000EB0C0000}"/>
    <cellStyle name="Normal 10 2 6 4" xfId="3299" xr:uid="{00000000-0005-0000-0000-0000EC0C0000}"/>
    <cellStyle name="Normal 10 2 7" xfId="3300" xr:uid="{00000000-0005-0000-0000-0000ED0C0000}"/>
    <cellStyle name="Normal 10 2 7 2" xfId="3301" xr:uid="{00000000-0005-0000-0000-0000EE0C0000}"/>
    <cellStyle name="Normal 10 2 7 2 2" xfId="3302" xr:uid="{00000000-0005-0000-0000-0000EF0C0000}"/>
    <cellStyle name="Normal 10 2 7 3" xfId="3303" xr:uid="{00000000-0005-0000-0000-0000F00C0000}"/>
    <cellStyle name="Normal 10 2 8" xfId="3304" xr:uid="{00000000-0005-0000-0000-0000F10C0000}"/>
    <cellStyle name="Normal 10 3" xfId="3305" xr:uid="{00000000-0005-0000-0000-0000F20C0000}"/>
    <cellStyle name="Normal 10 4" xfId="3306" xr:uid="{00000000-0005-0000-0000-0000F30C0000}"/>
    <cellStyle name="Normal 10 5" xfId="3307" xr:uid="{00000000-0005-0000-0000-0000F40C0000}"/>
    <cellStyle name="Normal 10 6" xfId="3308" xr:uid="{00000000-0005-0000-0000-0000F50C0000}"/>
    <cellStyle name="Normal 10 7" xfId="3309" xr:uid="{00000000-0005-0000-0000-0000F60C0000}"/>
    <cellStyle name="Normal 10 8" xfId="3310" xr:uid="{00000000-0005-0000-0000-0000F70C0000}"/>
    <cellStyle name="Normal 10 9" xfId="3311" xr:uid="{00000000-0005-0000-0000-0000F80C0000}"/>
    <cellStyle name="Normal 11" xfId="3312" xr:uid="{00000000-0005-0000-0000-0000F90C0000}"/>
    <cellStyle name="Normal 11 2" xfId="3313" xr:uid="{00000000-0005-0000-0000-0000FA0C0000}"/>
    <cellStyle name="Normal 11 2 2" xfId="3314" xr:uid="{00000000-0005-0000-0000-0000FB0C0000}"/>
    <cellStyle name="Normal 11 3" xfId="3315" xr:uid="{00000000-0005-0000-0000-0000FC0C0000}"/>
    <cellStyle name="Normal 11 4" xfId="3316" xr:uid="{00000000-0005-0000-0000-0000FD0C0000}"/>
    <cellStyle name="Normal 11 4 2" xfId="3317" xr:uid="{00000000-0005-0000-0000-0000FE0C0000}"/>
    <cellStyle name="Normal 11 5" xfId="3318" xr:uid="{00000000-0005-0000-0000-0000FF0C0000}"/>
    <cellStyle name="Normal 11 5 2" xfId="3319" xr:uid="{00000000-0005-0000-0000-0000000D0000}"/>
    <cellStyle name="Normal 11 5 3" xfId="3320" xr:uid="{00000000-0005-0000-0000-0000010D0000}"/>
    <cellStyle name="Normal 11 5 3 2" xfId="3321" xr:uid="{00000000-0005-0000-0000-0000020D0000}"/>
    <cellStyle name="Normal 11 5 3 2 2" xfId="3322" xr:uid="{00000000-0005-0000-0000-0000030D0000}"/>
    <cellStyle name="Normal 11 5 3 3" xfId="3323" xr:uid="{00000000-0005-0000-0000-0000040D0000}"/>
    <cellStyle name="Normal 11 5 3 3 2" xfId="3324" xr:uid="{00000000-0005-0000-0000-0000050D0000}"/>
    <cellStyle name="Normal 11 5 3 4" xfId="3325" xr:uid="{00000000-0005-0000-0000-0000060D0000}"/>
    <cellStyle name="Normal 11 5 4" xfId="3326" xr:uid="{00000000-0005-0000-0000-0000070D0000}"/>
    <cellStyle name="Normal 11 5 4 2" xfId="3327" xr:uid="{00000000-0005-0000-0000-0000080D0000}"/>
    <cellStyle name="Normal 11 5 4 2 2" xfId="3328" xr:uid="{00000000-0005-0000-0000-0000090D0000}"/>
    <cellStyle name="Normal 11 5 4 3" xfId="3329" xr:uid="{00000000-0005-0000-0000-00000A0D0000}"/>
    <cellStyle name="Normal 11 5 5" xfId="3330" xr:uid="{00000000-0005-0000-0000-00000B0D0000}"/>
    <cellStyle name="Normal 11 6" xfId="3331" xr:uid="{00000000-0005-0000-0000-00000C0D0000}"/>
    <cellStyle name="Normal 11 7" xfId="3332" xr:uid="{00000000-0005-0000-0000-00000D0D0000}"/>
    <cellStyle name="Normal 11 8" xfId="3333" xr:uid="{00000000-0005-0000-0000-00000E0D0000}"/>
    <cellStyle name="Normal 12" xfId="3334" xr:uid="{00000000-0005-0000-0000-00000F0D0000}"/>
    <cellStyle name="Normal 12 2" xfId="3335" xr:uid="{00000000-0005-0000-0000-0000100D0000}"/>
    <cellStyle name="Normal 12 3" xfId="3336" xr:uid="{00000000-0005-0000-0000-0000110D0000}"/>
    <cellStyle name="Normal 12 4" xfId="3337" xr:uid="{00000000-0005-0000-0000-0000120D0000}"/>
    <cellStyle name="Normal 12 5" xfId="3338" xr:uid="{00000000-0005-0000-0000-0000130D0000}"/>
    <cellStyle name="Normal 12 6" xfId="3339" xr:uid="{00000000-0005-0000-0000-0000140D0000}"/>
    <cellStyle name="Normal 12 7" xfId="3340" xr:uid="{00000000-0005-0000-0000-0000150D0000}"/>
    <cellStyle name="Normal 12 8" xfId="3341" xr:uid="{00000000-0005-0000-0000-0000160D0000}"/>
    <cellStyle name="Normal 13" xfId="3342" xr:uid="{00000000-0005-0000-0000-0000170D0000}"/>
    <cellStyle name="Normal 13 10" xfId="3343" xr:uid="{00000000-0005-0000-0000-0000180D0000}"/>
    <cellStyle name="Normal 13 10 2" xfId="3344" xr:uid="{00000000-0005-0000-0000-0000190D0000}"/>
    <cellStyle name="Normal 13 10 2 2" xfId="3345" xr:uid="{00000000-0005-0000-0000-00001A0D0000}"/>
    <cellStyle name="Normal 13 10 2 2 2" xfId="3346" xr:uid="{00000000-0005-0000-0000-00001B0D0000}"/>
    <cellStyle name="Normal 13 10 2 3" xfId="3347" xr:uid="{00000000-0005-0000-0000-00001C0D0000}"/>
    <cellStyle name="Normal 13 10 2 3 2" xfId="3348" xr:uid="{00000000-0005-0000-0000-00001D0D0000}"/>
    <cellStyle name="Normal 13 10 2 4" xfId="3349" xr:uid="{00000000-0005-0000-0000-00001E0D0000}"/>
    <cellStyle name="Normal 13 10 3" xfId="3350" xr:uid="{00000000-0005-0000-0000-00001F0D0000}"/>
    <cellStyle name="Normal 13 10 3 2" xfId="3351" xr:uid="{00000000-0005-0000-0000-0000200D0000}"/>
    <cellStyle name="Normal 13 10 3 2 2" xfId="3352" xr:uid="{00000000-0005-0000-0000-0000210D0000}"/>
    <cellStyle name="Normal 13 10 3 3" xfId="3353" xr:uid="{00000000-0005-0000-0000-0000220D0000}"/>
    <cellStyle name="Normal 13 10 4" xfId="3354" xr:uid="{00000000-0005-0000-0000-0000230D0000}"/>
    <cellStyle name="Normal 13 10 5" xfId="3355" xr:uid="{00000000-0005-0000-0000-0000240D0000}"/>
    <cellStyle name="Normal 13 11" xfId="3356" xr:uid="{00000000-0005-0000-0000-0000250D0000}"/>
    <cellStyle name="Normal 13 11 2" xfId="3357" xr:uid="{00000000-0005-0000-0000-0000260D0000}"/>
    <cellStyle name="Normal 13 11 2 2" xfId="3358" xr:uid="{00000000-0005-0000-0000-0000270D0000}"/>
    <cellStyle name="Normal 13 11 2 2 2" xfId="3359" xr:uid="{00000000-0005-0000-0000-0000280D0000}"/>
    <cellStyle name="Normal 13 11 2 3" xfId="3360" xr:uid="{00000000-0005-0000-0000-0000290D0000}"/>
    <cellStyle name="Normal 13 11 2 3 2" xfId="3361" xr:uid="{00000000-0005-0000-0000-00002A0D0000}"/>
    <cellStyle name="Normal 13 11 2 4" xfId="3362" xr:uid="{00000000-0005-0000-0000-00002B0D0000}"/>
    <cellStyle name="Normal 13 11 3" xfId="3363" xr:uid="{00000000-0005-0000-0000-00002C0D0000}"/>
    <cellStyle name="Normal 13 11 3 2" xfId="3364" xr:uid="{00000000-0005-0000-0000-00002D0D0000}"/>
    <cellStyle name="Normal 13 11 3 2 2" xfId="3365" xr:uid="{00000000-0005-0000-0000-00002E0D0000}"/>
    <cellStyle name="Normal 13 11 3 3" xfId="3366" xr:uid="{00000000-0005-0000-0000-00002F0D0000}"/>
    <cellStyle name="Normal 13 11 4" xfId="3367" xr:uid="{00000000-0005-0000-0000-0000300D0000}"/>
    <cellStyle name="Normal 13 11 5" xfId="3368" xr:uid="{00000000-0005-0000-0000-0000310D0000}"/>
    <cellStyle name="Normal 13 12" xfId="3369" xr:uid="{00000000-0005-0000-0000-0000320D0000}"/>
    <cellStyle name="Normal 13 13" xfId="3370" xr:uid="{00000000-0005-0000-0000-0000330D0000}"/>
    <cellStyle name="Normal 13 13 2" xfId="3371" xr:uid="{00000000-0005-0000-0000-0000340D0000}"/>
    <cellStyle name="Normal 13 13 2 2" xfId="3372" xr:uid="{00000000-0005-0000-0000-0000350D0000}"/>
    <cellStyle name="Normal 13 13 2 2 2" xfId="3373" xr:uid="{00000000-0005-0000-0000-0000360D0000}"/>
    <cellStyle name="Normal 13 13 2 3" xfId="3374" xr:uid="{00000000-0005-0000-0000-0000370D0000}"/>
    <cellStyle name="Normal 13 13 2 3 2" xfId="3375" xr:uid="{00000000-0005-0000-0000-0000380D0000}"/>
    <cellStyle name="Normal 13 13 2 4" xfId="3376" xr:uid="{00000000-0005-0000-0000-0000390D0000}"/>
    <cellStyle name="Normal 13 13 3" xfId="3377" xr:uid="{00000000-0005-0000-0000-00003A0D0000}"/>
    <cellStyle name="Normal 13 13 3 2" xfId="3378" xr:uid="{00000000-0005-0000-0000-00003B0D0000}"/>
    <cellStyle name="Normal 13 13 3 2 2" xfId="3379" xr:uid="{00000000-0005-0000-0000-00003C0D0000}"/>
    <cellStyle name="Normal 13 13 3 3" xfId="3380" xr:uid="{00000000-0005-0000-0000-00003D0D0000}"/>
    <cellStyle name="Normal 13 13 4" xfId="3381" xr:uid="{00000000-0005-0000-0000-00003E0D0000}"/>
    <cellStyle name="Normal 13 13 5" xfId="3382" xr:uid="{00000000-0005-0000-0000-00003F0D0000}"/>
    <cellStyle name="Normal 13 14" xfId="3383" xr:uid="{00000000-0005-0000-0000-0000400D0000}"/>
    <cellStyle name="Normal 13 14 2" xfId="3384" xr:uid="{00000000-0005-0000-0000-0000410D0000}"/>
    <cellStyle name="Normal 13 14 2 2" xfId="3385" xr:uid="{00000000-0005-0000-0000-0000420D0000}"/>
    <cellStyle name="Normal 13 14 2 2 2" xfId="3386" xr:uid="{00000000-0005-0000-0000-0000430D0000}"/>
    <cellStyle name="Normal 13 14 2 3" xfId="3387" xr:uid="{00000000-0005-0000-0000-0000440D0000}"/>
    <cellStyle name="Normal 13 14 2 3 2" xfId="3388" xr:uid="{00000000-0005-0000-0000-0000450D0000}"/>
    <cellStyle name="Normal 13 14 2 4" xfId="3389" xr:uid="{00000000-0005-0000-0000-0000460D0000}"/>
    <cellStyle name="Normal 13 14 3" xfId="3390" xr:uid="{00000000-0005-0000-0000-0000470D0000}"/>
    <cellStyle name="Normal 13 14 3 2" xfId="3391" xr:uid="{00000000-0005-0000-0000-0000480D0000}"/>
    <cellStyle name="Normal 13 14 3 2 2" xfId="3392" xr:uid="{00000000-0005-0000-0000-0000490D0000}"/>
    <cellStyle name="Normal 13 14 3 3" xfId="3393" xr:uid="{00000000-0005-0000-0000-00004A0D0000}"/>
    <cellStyle name="Normal 13 14 4" xfId="3394" xr:uid="{00000000-0005-0000-0000-00004B0D0000}"/>
    <cellStyle name="Normal 13 14 5" xfId="3395" xr:uid="{00000000-0005-0000-0000-00004C0D0000}"/>
    <cellStyle name="Normal 13 15" xfId="3396" xr:uid="{00000000-0005-0000-0000-00004D0D0000}"/>
    <cellStyle name="Normal 13 15 2" xfId="3397" xr:uid="{00000000-0005-0000-0000-00004E0D0000}"/>
    <cellStyle name="Normal 13 15 2 2" xfId="3398" xr:uid="{00000000-0005-0000-0000-00004F0D0000}"/>
    <cellStyle name="Normal 13 15 2 2 2" xfId="3399" xr:uid="{00000000-0005-0000-0000-0000500D0000}"/>
    <cellStyle name="Normal 13 15 2 3" xfId="3400" xr:uid="{00000000-0005-0000-0000-0000510D0000}"/>
    <cellStyle name="Normal 13 15 2 3 2" xfId="3401" xr:uid="{00000000-0005-0000-0000-0000520D0000}"/>
    <cellStyle name="Normal 13 15 2 4" xfId="3402" xr:uid="{00000000-0005-0000-0000-0000530D0000}"/>
    <cellStyle name="Normal 13 15 3" xfId="3403" xr:uid="{00000000-0005-0000-0000-0000540D0000}"/>
    <cellStyle name="Normal 13 15 3 2" xfId="3404" xr:uid="{00000000-0005-0000-0000-0000550D0000}"/>
    <cellStyle name="Normal 13 15 3 2 2" xfId="3405" xr:uid="{00000000-0005-0000-0000-0000560D0000}"/>
    <cellStyle name="Normal 13 15 3 3" xfId="3406" xr:uid="{00000000-0005-0000-0000-0000570D0000}"/>
    <cellStyle name="Normal 13 15 4" xfId="3407" xr:uid="{00000000-0005-0000-0000-0000580D0000}"/>
    <cellStyle name="Normal 13 15 5" xfId="3408" xr:uid="{00000000-0005-0000-0000-0000590D0000}"/>
    <cellStyle name="Normal 13 16" xfId="3409" xr:uid="{00000000-0005-0000-0000-00005A0D0000}"/>
    <cellStyle name="Normal 13 16 2" xfId="3410" xr:uid="{00000000-0005-0000-0000-00005B0D0000}"/>
    <cellStyle name="Normal 13 16 2 2" xfId="3411" xr:uid="{00000000-0005-0000-0000-00005C0D0000}"/>
    <cellStyle name="Normal 13 16 2 2 2" xfId="3412" xr:uid="{00000000-0005-0000-0000-00005D0D0000}"/>
    <cellStyle name="Normal 13 16 2 3" xfId="3413" xr:uid="{00000000-0005-0000-0000-00005E0D0000}"/>
    <cellStyle name="Normal 13 16 2 3 2" xfId="3414" xr:uid="{00000000-0005-0000-0000-00005F0D0000}"/>
    <cellStyle name="Normal 13 16 2 4" xfId="3415" xr:uid="{00000000-0005-0000-0000-0000600D0000}"/>
    <cellStyle name="Normal 13 16 3" xfId="3416" xr:uid="{00000000-0005-0000-0000-0000610D0000}"/>
    <cellStyle name="Normal 13 16 3 2" xfId="3417" xr:uid="{00000000-0005-0000-0000-0000620D0000}"/>
    <cellStyle name="Normal 13 16 3 2 2" xfId="3418" xr:uid="{00000000-0005-0000-0000-0000630D0000}"/>
    <cellStyle name="Normal 13 16 3 3" xfId="3419" xr:uid="{00000000-0005-0000-0000-0000640D0000}"/>
    <cellStyle name="Normal 13 16 4" xfId="3420" xr:uid="{00000000-0005-0000-0000-0000650D0000}"/>
    <cellStyle name="Normal 13 16 5" xfId="3421" xr:uid="{00000000-0005-0000-0000-0000660D0000}"/>
    <cellStyle name="Normal 13 17" xfId="3422" xr:uid="{00000000-0005-0000-0000-0000670D0000}"/>
    <cellStyle name="Normal 13 18" xfId="3423" xr:uid="{00000000-0005-0000-0000-0000680D0000}"/>
    <cellStyle name="Normal 13 19" xfId="3424" xr:uid="{00000000-0005-0000-0000-0000690D0000}"/>
    <cellStyle name="Normal 13 2" xfId="3425" xr:uid="{00000000-0005-0000-0000-00006A0D0000}"/>
    <cellStyle name="Normal 13 2 10" xfId="3426" xr:uid="{00000000-0005-0000-0000-00006B0D0000}"/>
    <cellStyle name="Normal 13 2 2" xfId="3427" xr:uid="{00000000-0005-0000-0000-00006C0D0000}"/>
    <cellStyle name="Normal 13 2 2 2" xfId="3428" xr:uid="{00000000-0005-0000-0000-00006D0D0000}"/>
    <cellStyle name="Normal 13 2 2 2 2" xfId="3429" xr:uid="{00000000-0005-0000-0000-00006E0D0000}"/>
    <cellStyle name="Normal 13 2 2 2 2 2" xfId="3430" xr:uid="{00000000-0005-0000-0000-00006F0D0000}"/>
    <cellStyle name="Normal 13 2 2 2 3" xfId="3431" xr:uid="{00000000-0005-0000-0000-0000700D0000}"/>
    <cellStyle name="Normal 13 2 2 2 3 2" xfId="3432" xr:uid="{00000000-0005-0000-0000-0000710D0000}"/>
    <cellStyle name="Normal 13 2 2 2 4" xfId="3433" xr:uid="{00000000-0005-0000-0000-0000720D0000}"/>
    <cellStyle name="Normal 13 2 2 3" xfId="3434" xr:uid="{00000000-0005-0000-0000-0000730D0000}"/>
    <cellStyle name="Normal 13 2 2 3 2" xfId="3435" xr:uid="{00000000-0005-0000-0000-0000740D0000}"/>
    <cellStyle name="Normal 13 2 2 3 2 2" xfId="3436" xr:uid="{00000000-0005-0000-0000-0000750D0000}"/>
    <cellStyle name="Normal 13 2 2 3 3" xfId="3437" xr:uid="{00000000-0005-0000-0000-0000760D0000}"/>
    <cellStyle name="Normal 13 2 2 4" xfId="3438" xr:uid="{00000000-0005-0000-0000-0000770D0000}"/>
    <cellStyle name="Normal 13 2 2 5" xfId="3439" xr:uid="{00000000-0005-0000-0000-0000780D0000}"/>
    <cellStyle name="Normal 13 2 3" xfId="3440" xr:uid="{00000000-0005-0000-0000-0000790D0000}"/>
    <cellStyle name="Normal 13 2 3 2" xfId="3441" xr:uid="{00000000-0005-0000-0000-00007A0D0000}"/>
    <cellStyle name="Normal 13 2 3 2 2" xfId="3442" xr:uid="{00000000-0005-0000-0000-00007B0D0000}"/>
    <cellStyle name="Normal 13 2 3 2 2 2" xfId="3443" xr:uid="{00000000-0005-0000-0000-00007C0D0000}"/>
    <cellStyle name="Normal 13 2 3 2 3" xfId="3444" xr:uid="{00000000-0005-0000-0000-00007D0D0000}"/>
    <cellStyle name="Normal 13 2 3 2 3 2" xfId="3445" xr:uid="{00000000-0005-0000-0000-00007E0D0000}"/>
    <cellStyle name="Normal 13 2 3 2 4" xfId="3446" xr:uid="{00000000-0005-0000-0000-00007F0D0000}"/>
    <cellStyle name="Normal 13 2 3 3" xfId="3447" xr:uid="{00000000-0005-0000-0000-0000800D0000}"/>
    <cellStyle name="Normal 13 2 3 3 2" xfId="3448" xr:uid="{00000000-0005-0000-0000-0000810D0000}"/>
    <cellStyle name="Normal 13 2 3 3 2 2" xfId="3449" xr:uid="{00000000-0005-0000-0000-0000820D0000}"/>
    <cellStyle name="Normal 13 2 3 3 3" xfId="3450" xr:uid="{00000000-0005-0000-0000-0000830D0000}"/>
    <cellStyle name="Normal 13 2 3 4" xfId="3451" xr:uid="{00000000-0005-0000-0000-0000840D0000}"/>
    <cellStyle name="Normal 13 2 3 5" xfId="3452" xr:uid="{00000000-0005-0000-0000-0000850D0000}"/>
    <cellStyle name="Normal 13 2 4" xfId="3453" xr:uid="{00000000-0005-0000-0000-0000860D0000}"/>
    <cellStyle name="Normal 13 2 4 2" xfId="3454" xr:uid="{00000000-0005-0000-0000-0000870D0000}"/>
    <cellStyle name="Normal 13 2 4 2 2" xfId="3455" xr:uid="{00000000-0005-0000-0000-0000880D0000}"/>
    <cellStyle name="Normal 13 2 4 2 2 2" xfId="3456" xr:uid="{00000000-0005-0000-0000-0000890D0000}"/>
    <cellStyle name="Normal 13 2 4 2 3" xfId="3457" xr:uid="{00000000-0005-0000-0000-00008A0D0000}"/>
    <cellStyle name="Normal 13 2 4 2 3 2" xfId="3458" xr:uid="{00000000-0005-0000-0000-00008B0D0000}"/>
    <cellStyle name="Normal 13 2 4 2 4" xfId="3459" xr:uid="{00000000-0005-0000-0000-00008C0D0000}"/>
    <cellStyle name="Normal 13 2 4 3" xfId="3460" xr:uid="{00000000-0005-0000-0000-00008D0D0000}"/>
    <cellStyle name="Normal 13 2 4 3 2" xfId="3461" xr:uid="{00000000-0005-0000-0000-00008E0D0000}"/>
    <cellStyle name="Normal 13 2 4 3 2 2" xfId="3462" xr:uid="{00000000-0005-0000-0000-00008F0D0000}"/>
    <cellStyle name="Normal 13 2 4 3 3" xfId="3463" xr:uid="{00000000-0005-0000-0000-0000900D0000}"/>
    <cellStyle name="Normal 13 2 4 4" xfId="3464" xr:uid="{00000000-0005-0000-0000-0000910D0000}"/>
    <cellStyle name="Normal 13 2 4 5" xfId="3465" xr:uid="{00000000-0005-0000-0000-0000920D0000}"/>
    <cellStyle name="Normal 13 2 5" xfId="3466" xr:uid="{00000000-0005-0000-0000-0000930D0000}"/>
    <cellStyle name="Normal 13 2 5 2" xfId="3467" xr:uid="{00000000-0005-0000-0000-0000940D0000}"/>
    <cellStyle name="Normal 13 2 5 2 2" xfId="3468" xr:uid="{00000000-0005-0000-0000-0000950D0000}"/>
    <cellStyle name="Normal 13 2 5 2 2 2" xfId="3469" xr:uid="{00000000-0005-0000-0000-0000960D0000}"/>
    <cellStyle name="Normal 13 2 5 2 3" xfId="3470" xr:uid="{00000000-0005-0000-0000-0000970D0000}"/>
    <cellStyle name="Normal 13 2 5 2 3 2" xfId="3471" xr:uid="{00000000-0005-0000-0000-0000980D0000}"/>
    <cellStyle name="Normal 13 2 5 2 4" xfId="3472" xr:uid="{00000000-0005-0000-0000-0000990D0000}"/>
    <cellStyle name="Normal 13 2 5 3" xfId="3473" xr:uid="{00000000-0005-0000-0000-00009A0D0000}"/>
    <cellStyle name="Normal 13 2 5 3 2" xfId="3474" xr:uid="{00000000-0005-0000-0000-00009B0D0000}"/>
    <cellStyle name="Normal 13 2 5 3 2 2" xfId="3475" xr:uid="{00000000-0005-0000-0000-00009C0D0000}"/>
    <cellStyle name="Normal 13 2 5 3 3" xfId="3476" xr:uid="{00000000-0005-0000-0000-00009D0D0000}"/>
    <cellStyle name="Normal 13 2 5 4" xfId="3477" xr:uid="{00000000-0005-0000-0000-00009E0D0000}"/>
    <cellStyle name="Normal 13 2 5 5" xfId="3478" xr:uid="{00000000-0005-0000-0000-00009F0D0000}"/>
    <cellStyle name="Normal 13 2 6" xfId="3479" xr:uid="{00000000-0005-0000-0000-0000A00D0000}"/>
    <cellStyle name="Normal 13 2 6 2" xfId="3480" xr:uid="{00000000-0005-0000-0000-0000A10D0000}"/>
    <cellStyle name="Normal 13 2 6 2 2" xfId="3481" xr:uid="{00000000-0005-0000-0000-0000A20D0000}"/>
    <cellStyle name="Normal 13 2 6 2 2 2" xfId="3482" xr:uid="{00000000-0005-0000-0000-0000A30D0000}"/>
    <cellStyle name="Normal 13 2 6 2 3" xfId="3483" xr:uid="{00000000-0005-0000-0000-0000A40D0000}"/>
    <cellStyle name="Normal 13 2 6 2 3 2" xfId="3484" xr:uid="{00000000-0005-0000-0000-0000A50D0000}"/>
    <cellStyle name="Normal 13 2 6 2 4" xfId="3485" xr:uid="{00000000-0005-0000-0000-0000A60D0000}"/>
    <cellStyle name="Normal 13 2 6 3" xfId="3486" xr:uid="{00000000-0005-0000-0000-0000A70D0000}"/>
    <cellStyle name="Normal 13 2 6 3 2" xfId="3487" xr:uid="{00000000-0005-0000-0000-0000A80D0000}"/>
    <cellStyle name="Normal 13 2 6 3 2 2" xfId="3488" xr:uid="{00000000-0005-0000-0000-0000A90D0000}"/>
    <cellStyle name="Normal 13 2 6 3 3" xfId="3489" xr:uid="{00000000-0005-0000-0000-0000AA0D0000}"/>
    <cellStyle name="Normal 13 2 6 4" xfId="3490" xr:uid="{00000000-0005-0000-0000-0000AB0D0000}"/>
    <cellStyle name="Normal 13 2 6 5" xfId="3491" xr:uid="{00000000-0005-0000-0000-0000AC0D0000}"/>
    <cellStyle name="Normal 13 2 7" xfId="3492" xr:uid="{00000000-0005-0000-0000-0000AD0D0000}"/>
    <cellStyle name="Normal 13 2 7 2" xfId="3493" xr:uid="{00000000-0005-0000-0000-0000AE0D0000}"/>
    <cellStyle name="Normal 13 2 7 2 2" xfId="3494" xr:uid="{00000000-0005-0000-0000-0000AF0D0000}"/>
    <cellStyle name="Normal 13 2 7 2 2 2" xfId="3495" xr:uid="{00000000-0005-0000-0000-0000B00D0000}"/>
    <cellStyle name="Normal 13 2 7 2 3" xfId="3496" xr:uid="{00000000-0005-0000-0000-0000B10D0000}"/>
    <cellStyle name="Normal 13 2 7 2 3 2" xfId="3497" xr:uid="{00000000-0005-0000-0000-0000B20D0000}"/>
    <cellStyle name="Normal 13 2 7 2 4" xfId="3498" xr:uid="{00000000-0005-0000-0000-0000B30D0000}"/>
    <cellStyle name="Normal 13 2 7 3" xfId="3499" xr:uid="{00000000-0005-0000-0000-0000B40D0000}"/>
    <cellStyle name="Normal 13 2 7 3 2" xfId="3500" xr:uid="{00000000-0005-0000-0000-0000B50D0000}"/>
    <cellStyle name="Normal 13 2 7 3 2 2" xfId="3501" xr:uid="{00000000-0005-0000-0000-0000B60D0000}"/>
    <cellStyle name="Normal 13 2 7 3 3" xfId="3502" xr:uid="{00000000-0005-0000-0000-0000B70D0000}"/>
    <cellStyle name="Normal 13 2 7 4" xfId="3503" xr:uid="{00000000-0005-0000-0000-0000B80D0000}"/>
    <cellStyle name="Normal 13 2 7 5" xfId="3504" xr:uid="{00000000-0005-0000-0000-0000B90D0000}"/>
    <cellStyle name="Normal 13 2 8" xfId="3505" xr:uid="{00000000-0005-0000-0000-0000BA0D0000}"/>
    <cellStyle name="Normal 13 2 8 2" xfId="3506" xr:uid="{00000000-0005-0000-0000-0000BB0D0000}"/>
    <cellStyle name="Normal 13 2 8 2 2" xfId="3507" xr:uid="{00000000-0005-0000-0000-0000BC0D0000}"/>
    <cellStyle name="Normal 13 2 8 2 2 2" xfId="3508" xr:uid="{00000000-0005-0000-0000-0000BD0D0000}"/>
    <cellStyle name="Normal 13 2 8 2 3" xfId="3509" xr:uid="{00000000-0005-0000-0000-0000BE0D0000}"/>
    <cellStyle name="Normal 13 2 8 2 3 2" xfId="3510" xr:uid="{00000000-0005-0000-0000-0000BF0D0000}"/>
    <cellStyle name="Normal 13 2 8 2 4" xfId="3511" xr:uid="{00000000-0005-0000-0000-0000C00D0000}"/>
    <cellStyle name="Normal 13 2 8 3" xfId="3512" xr:uid="{00000000-0005-0000-0000-0000C10D0000}"/>
    <cellStyle name="Normal 13 2 8 3 2" xfId="3513" xr:uid="{00000000-0005-0000-0000-0000C20D0000}"/>
    <cellStyle name="Normal 13 2 8 3 2 2" xfId="3514" xr:uid="{00000000-0005-0000-0000-0000C30D0000}"/>
    <cellStyle name="Normal 13 2 8 3 3" xfId="3515" xr:uid="{00000000-0005-0000-0000-0000C40D0000}"/>
    <cellStyle name="Normal 13 2 8 4" xfId="3516" xr:uid="{00000000-0005-0000-0000-0000C50D0000}"/>
    <cellStyle name="Normal 13 2 8 5" xfId="3517" xr:uid="{00000000-0005-0000-0000-0000C60D0000}"/>
    <cellStyle name="Normal 13 2 9" xfId="3518" xr:uid="{00000000-0005-0000-0000-0000C70D0000}"/>
    <cellStyle name="Normal 13 20" xfId="3519" xr:uid="{00000000-0005-0000-0000-0000C80D0000}"/>
    <cellStyle name="Normal 13 21" xfId="3520" xr:uid="{00000000-0005-0000-0000-0000C90D0000}"/>
    <cellStyle name="Normal 13 22" xfId="3521" xr:uid="{00000000-0005-0000-0000-0000CA0D0000}"/>
    <cellStyle name="Normal 13 23" xfId="3522" xr:uid="{00000000-0005-0000-0000-0000CB0D0000}"/>
    <cellStyle name="Normal 13 24" xfId="3523" xr:uid="{00000000-0005-0000-0000-0000CC0D0000}"/>
    <cellStyle name="Normal 13 25" xfId="3524" xr:uid="{00000000-0005-0000-0000-0000CD0D0000}"/>
    <cellStyle name="Normal 13 26" xfId="3525" xr:uid="{00000000-0005-0000-0000-0000CE0D0000}"/>
    <cellStyle name="Normal 13 27" xfId="3526" xr:uid="{00000000-0005-0000-0000-0000CF0D0000}"/>
    <cellStyle name="Normal 13 28" xfId="3527" xr:uid="{00000000-0005-0000-0000-0000D00D0000}"/>
    <cellStyle name="Normal 13 29" xfId="3528" xr:uid="{00000000-0005-0000-0000-0000D10D0000}"/>
    <cellStyle name="Normal 13 3" xfId="3529" xr:uid="{00000000-0005-0000-0000-0000D20D0000}"/>
    <cellStyle name="Normal 13 3 2" xfId="3530" xr:uid="{00000000-0005-0000-0000-0000D30D0000}"/>
    <cellStyle name="Normal 13 3 2 2" xfId="3531" xr:uid="{00000000-0005-0000-0000-0000D40D0000}"/>
    <cellStyle name="Normal 13 3 2 2 2" xfId="3532" xr:uid="{00000000-0005-0000-0000-0000D50D0000}"/>
    <cellStyle name="Normal 13 3 2 2 2 2" xfId="3533" xr:uid="{00000000-0005-0000-0000-0000D60D0000}"/>
    <cellStyle name="Normal 13 3 2 2 3" xfId="3534" xr:uid="{00000000-0005-0000-0000-0000D70D0000}"/>
    <cellStyle name="Normal 13 3 2 2 3 2" xfId="3535" xr:uid="{00000000-0005-0000-0000-0000D80D0000}"/>
    <cellStyle name="Normal 13 3 2 2 4" xfId="3536" xr:uid="{00000000-0005-0000-0000-0000D90D0000}"/>
    <cellStyle name="Normal 13 3 2 3" xfId="3537" xr:uid="{00000000-0005-0000-0000-0000DA0D0000}"/>
    <cellStyle name="Normal 13 3 2 3 2" xfId="3538" xr:uid="{00000000-0005-0000-0000-0000DB0D0000}"/>
    <cellStyle name="Normal 13 3 2 4" xfId="3539" xr:uid="{00000000-0005-0000-0000-0000DC0D0000}"/>
    <cellStyle name="Normal 13 3 2 4 2" xfId="3540" xr:uid="{00000000-0005-0000-0000-0000DD0D0000}"/>
    <cellStyle name="Normal 13 3 2 5" xfId="3541" xr:uid="{00000000-0005-0000-0000-0000DE0D0000}"/>
    <cellStyle name="Normal 13 3 3" xfId="3542" xr:uid="{00000000-0005-0000-0000-0000DF0D0000}"/>
    <cellStyle name="Normal 13 3 4" xfId="3543" xr:uid="{00000000-0005-0000-0000-0000E00D0000}"/>
    <cellStyle name="Normal 13 30" xfId="3544" xr:uid="{00000000-0005-0000-0000-0000E10D0000}"/>
    <cellStyle name="Normal 13 31" xfId="3545" xr:uid="{00000000-0005-0000-0000-0000E20D0000}"/>
    <cellStyle name="Normal 13 32" xfId="3546" xr:uid="{00000000-0005-0000-0000-0000E30D0000}"/>
    <cellStyle name="Normal 13 33" xfId="3547" xr:uid="{00000000-0005-0000-0000-0000E40D0000}"/>
    <cellStyle name="Normal 13 34" xfId="3548" xr:uid="{00000000-0005-0000-0000-0000E50D0000}"/>
    <cellStyle name="Normal 13 35" xfId="3549" xr:uid="{00000000-0005-0000-0000-0000E60D0000}"/>
    <cellStyle name="Normal 13 36" xfId="3550" xr:uid="{00000000-0005-0000-0000-0000E70D0000}"/>
    <cellStyle name="Normal 13 37" xfId="3551" xr:uid="{00000000-0005-0000-0000-0000E80D0000}"/>
    <cellStyle name="Normal 13 38" xfId="3552" xr:uid="{00000000-0005-0000-0000-0000E90D0000}"/>
    <cellStyle name="Normal 13 39" xfId="3553" xr:uid="{00000000-0005-0000-0000-0000EA0D0000}"/>
    <cellStyle name="Normal 13 39 2" xfId="3554" xr:uid="{00000000-0005-0000-0000-0000EB0D0000}"/>
    <cellStyle name="Normal 13 39 2 2" xfId="3555" xr:uid="{00000000-0005-0000-0000-0000EC0D0000}"/>
    <cellStyle name="Normal 13 39 3" xfId="3556" xr:uid="{00000000-0005-0000-0000-0000ED0D0000}"/>
    <cellStyle name="Normal 13 39 3 2" xfId="3557" xr:uid="{00000000-0005-0000-0000-0000EE0D0000}"/>
    <cellStyle name="Normal 13 39 4" xfId="3558" xr:uid="{00000000-0005-0000-0000-0000EF0D0000}"/>
    <cellStyle name="Normal 13 4" xfId="3559" xr:uid="{00000000-0005-0000-0000-0000F00D0000}"/>
    <cellStyle name="Normal 13 4 2" xfId="3560" xr:uid="{00000000-0005-0000-0000-0000F10D0000}"/>
    <cellStyle name="Normal 13 4 2 2" xfId="3561" xr:uid="{00000000-0005-0000-0000-0000F20D0000}"/>
    <cellStyle name="Normal 13 4 2 2 2" xfId="3562" xr:uid="{00000000-0005-0000-0000-0000F30D0000}"/>
    <cellStyle name="Normal 13 4 2 2 2 2" xfId="3563" xr:uid="{00000000-0005-0000-0000-0000F40D0000}"/>
    <cellStyle name="Normal 13 4 2 2 3" xfId="3564" xr:uid="{00000000-0005-0000-0000-0000F50D0000}"/>
    <cellStyle name="Normal 13 4 2 2 3 2" xfId="3565" xr:uid="{00000000-0005-0000-0000-0000F60D0000}"/>
    <cellStyle name="Normal 13 4 2 2 4" xfId="3566" xr:uid="{00000000-0005-0000-0000-0000F70D0000}"/>
    <cellStyle name="Normal 13 4 2 3" xfId="3567" xr:uid="{00000000-0005-0000-0000-0000F80D0000}"/>
    <cellStyle name="Normal 13 4 2 3 2" xfId="3568" xr:uid="{00000000-0005-0000-0000-0000F90D0000}"/>
    <cellStyle name="Normal 13 4 2 4" xfId="3569" xr:uid="{00000000-0005-0000-0000-0000FA0D0000}"/>
    <cellStyle name="Normal 13 4 2 4 2" xfId="3570" xr:uid="{00000000-0005-0000-0000-0000FB0D0000}"/>
    <cellStyle name="Normal 13 4 2 5" xfId="3571" xr:uid="{00000000-0005-0000-0000-0000FC0D0000}"/>
    <cellStyle name="Normal 13 4 3" xfId="3572" xr:uid="{00000000-0005-0000-0000-0000FD0D0000}"/>
    <cellStyle name="Normal 13 4 3 2" xfId="3573" xr:uid="{00000000-0005-0000-0000-0000FE0D0000}"/>
    <cellStyle name="Normal 13 4 3 2 2" xfId="3574" xr:uid="{00000000-0005-0000-0000-0000FF0D0000}"/>
    <cellStyle name="Normal 13 4 3 3" xfId="3575" xr:uid="{00000000-0005-0000-0000-0000000E0000}"/>
    <cellStyle name="Normal 13 4 3 3 2" xfId="3576" xr:uid="{00000000-0005-0000-0000-0000010E0000}"/>
    <cellStyle name="Normal 13 4 3 4" xfId="3577" xr:uid="{00000000-0005-0000-0000-0000020E0000}"/>
    <cellStyle name="Normal 13 4 4" xfId="3578" xr:uid="{00000000-0005-0000-0000-0000030E0000}"/>
    <cellStyle name="Normal 13 4 4 2" xfId="3579" xr:uid="{00000000-0005-0000-0000-0000040E0000}"/>
    <cellStyle name="Normal 13 4 4 2 2" xfId="3580" xr:uid="{00000000-0005-0000-0000-0000050E0000}"/>
    <cellStyle name="Normal 13 4 4 3" xfId="3581" xr:uid="{00000000-0005-0000-0000-0000060E0000}"/>
    <cellStyle name="Normal 13 4 5" xfId="3582" xr:uid="{00000000-0005-0000-0000-0000070E0000}"/>
    <cellStyle name="Normal 13 4 6" xfId="3583" xr:uid="{00000000-0005-0000-0000-0000080E0000}"/>
    <cellStyle name="Normal 13 40" xfId="3584" xr:uid="{00000000-0005-0000-0000-0000090E0000}"/>
    <cellStyle name="Normal 13 40 2" xfId="3585" xr:uid="{00000000-0005-0000-0000-00000A0E0000}"/>
    <cellStyle name="Normal 13 40 2 2" xfId="3586" xr:uid="{00000000-0005-0000-0000-00000B0E0000}"/>
    <cellStyle name="Normal 13 40 3" xfId="3587" xr:uid="{00000000-0005-0000-0000-00000C0E0000}"/>
    <cellStyle name="Normal 13 41" xfId="3588" xr:uid="{00000000-0005-0000-0000-00000D0E0000}"/>
    <cellStyle name="Normal 13 5" xfId="3589" xr:uid="{00000000-0005-0000-0000-00000E0E0000}"/>
    <cellStyle name="Normal 13 6" xfId="3590" xr:uid="{00000000-0005-0000-0000-00000F0E0000}"/>
    <cellStyle name="Normal 13 7" xfId="3591" xr:uid="{00000000-0005-0000-0000-0000100E0000}"/>
    <cellStyle name="Normal 13 8" xfId="3592" xr:uid="{00000000-0005-0000-0000-0000110E0000}"/>
    <cellStyle name="Normal 13 9" xfId="3593" xr:uid="{00000000-0005-0000-0000-0000120E0000}"/>
    <cellStyle name="Normal 13 9 2" xfId="3594" xr:uid="{00000000-0005-0000-0000-0000130E0000}"/>
    <cellStyle name="Normal 13 9 2 2" xfId="3595" xr:uid="{00000000-0005-0000-0000-0000140E0000}"/>
    <cellStyle name="Normal 13 9 2 2 2" xfId="3596" xr:uid="{00000000-0005-0000-0000-0000150E0000}"/>
    <cellStyle name="Normal 13 9 2 3" xfId="3597" xr:uid="{00000000-0005-0000-0000-0000160E0000}"/>
    <cellStyle name="Normal 13 9 2 3 2" xfId="3598" xr:uid="{00000000-0005-0000-0000-0000170E0000}"/>
    <cellStyle name="Normal 13 9 2 4" xfId="3599" xr:uid="{00000000-0005-0000-0000-0000180E0000}"/>
    <cellStyle name="Normal 13 9 3" xfId="3600" xr:uid="{00000000-0005-0000-0000-0000190E0000}"/>
    <cellStyle name="Normal 13 9 3 2" xfId="3601" xr:uid="{00000000-0005-0000-0000-00001A0E0000}"/>
    <cellStyle name="Normal 13 9 3 2 2" xfId="3602" xr:uid="{00000000-0005-0000-0000-00001B0E0000}"/>
    <cellStyle name="Normal 13 9 3 3" xfId="3603" xr:uid="{00000000-0005-0000-0000-00001C0E0000}"/>
    <cellStyle name="Normal 13 9 4" xfId="3604" xr:uid="{00000000-0005-0000-0000-00001D0E0000}"/>
    <cellStyle name="Normal 13 9 5" xfId="3605" xr:uid="{00000000-0005-0000-0000-00001E0E0000}"/>
    <cellStyle name="Normal 13_DACNEW" xfId="17759" xr:uid="{00000000-0005-0000-0000-00001F0E0000}"/>
    <cellStyle name="Normal 14" xfId="3606" xr:uid="{00000000-0005-0000-0000-0000200E0000}"/>
    <cellStyle name="Normal 14 10" xfId="3607" xr:uid="{00000000-0005-0000-0000-0000210E0000}"/>
    <cellStyle name="Normal 14 10 2" xfId="3608" xr:uid="{00000000-0005-0000-0000-0000220E0000}"/>
    <cellStyle name="Normal 14 10 2 2" xfId="3609" xr:uid="{00000000-0005-0000-0000-0000230E0000}"/>
    <cellStyle name="Normal 14 10 2 2 2" xfId="3610" xr:uid="{00000000-0005-0000-0000-0000240E0000}"/>
    <cellStyle name="Normal 14 10 2 3" xfId="3611" xr:uid="{00000000-0005-0000-0000-0000250E0000}"/>
    <cellStyle name="Normal 14 10 2 3 2" xfId="3612" xr:uid="{00000000-0005-0000-0000-0000260E0000}"/>
    <cellStyle name="Normal 14 10 2 4" xfId="3613" xr:uid="{00000000-0005-0000-0000-0000270E0000}"/>
    <cellStyle name="Normal 14 10 3" xfId="3614" xr:uid="{00000000-0005-0000-0000-0000280E0000}"/>
    <cellStyle name="Normal 14 10 3 2" xfId="3615" xr:uid="{00000000-0005-0000-0000-0000290E0000}"/>
    <cellStyle name="Normal 14 10 3 2 2" xfId="3616" xr:uid="{00000000-0005-0000-0000-00002A0E0000}"/>
    <cellStyle name="Normal 14 10 3 3" xfId="3617" xr:uid="{00000000-0005-0000-0000-00002B0E0000}"/>
    <cellStyle name="Normal 14 10 4" xfId="3618" xr:uid="{00000000-0005-0000-0000-00002C0E0000}"/>
    <cellStyle name="Normal 14 10 5" xfId="3619" xr:uid="{00000000-0005-0000-0000-00002D0E0000}"/>
    <cellStyle name="Normal 14 11" xfId="3620" xr:uid="{00000000-0005-0000-0000-00002E0E0000}"/>
    <cellStyle name="Normal 14 11 2" xfId="3621" xr:uid="{00000000-0005-0000-0000-00002F0E0000}"/>
    <cellStyle name="Normal 14 11 2 2" xfId="3622" xr:uid="{00000000-0005-0000-0000-0000300E0000}"/>
    <cellStyle name="Normal 14 11 2 2 2" xfId="3623" xr:uid="{00000000-0005-0000-0000-0000310E0000}"/>
    <cellStyle name="Normal 14 11 2 3" xfId="3624" xr:uid="{00000000-0005-0000-0000-0000320E0000}"/>
    <cellStyle name="Normal 14 11 2 3 2" xfId="3625" xr:uid="{00000000-0005-0000-0000-0000330E0000}"/>
    <cellStyle name="Normal 14 11 2 4" xfId="3626" xr:uid="{00000000-0005-0000-0000-0000340E0000}"/>
    <cellStyle name="Normal 14 11 3" xfId="3627" xr:uid="{00000000-0005-0000-0000-0000350E0000}"/>
    <cellStyle name="Normal 14 11 3 2" xfId="3628" xr:uid="{00000000-0005-0000-0000-0000360E0000}"/>
    <cellStyle name="Normal 14 11 3 2 2" xfId="3629" xr:uid="{00000000-0005-0000-0000-0000370E0000}"/>
    <cellStyle name="Normal 14 11 3 3" xfId="3630" xr:uid="{00000000-0005-0000-0000-0000380E0000}"/>
    <cellStyle name="Normal 14 11 4" xfId="3631" xr:uid="{00000000-0005-0000-0000-0000390E0000}"/>
    <cellStyle name="Normal 14 11 5" xfId="3632" xr:uid="{00000000-0005-0000-0000-00003A0E0000}"/>
    <cellStyle name="Normal 14 12" xfId="3633" xr:uid="{00000000-0005-0000-0000-00003B0E0000}"/>
    <cellStyle name="Normal 14 12 2" xfId="3634" xr:uid="{00000000-0005-0000-0000-00003C0E0000}"/>
    <cellStyle name="Normal 14 12 2 2" xfId="3635" xr:uid="{00000000-0005-0000-0000-00003D0E0000}"/>
    <cellStyle name="Normal 14 12 2 2 2" xfId="3636" xr:uid="{00000000-0005-0000-0000-00003E0E0000}"/>
    <cellStyle name="Normal 14 12 2 3" xfId="3637" xr:uid="{00000000-0005-0000-0000-00003F0E0000}"/>
    <cellStyle name="Normal 14 12 2 3 2" xfId="3638" xr:uid="{00000000-0005-0000-0000-0000400E0000}"/>
    <cellStyle name="Normal 14 12 2 4" xfId="3639" xr:uid="{00000000-0005-0000-0000-0000410E0000}"/>
    <cellStyle name="Normal 14 12 3" xfId="3640" xr:uid="{00000000-0005-0000-0000-0000420E0000}"/>
    <cellStyle name="Normal 14 12 3 2" xfId="3641" xr:uid="{00000000-0005-0000-0000-0000430E0000}"/>
    <cellStyle name="Normal 14 12 3 2 2" xfId="3642" xr:uid="{00000000-0005-0000-0000-0000440E0000}"/>
    <cellStyle name="Normal 14 12 3 3" xfId="3643" xr:uid="{00000000-0005-0000-0000-0000450E0000}"/>
    <cellStyle name="Normal 14 12 4" xfId="3644" xr:uid="{00000000-0005-0000-0000-0000460E0000}"/>
    <cellStyle name="Normal 14 12 5" xfId="3645" xr:uid="{00000000-0005-0000-0000-0000470E0000}"/>
    <cellStyle name="Normal 14 13" xfId="3646" xr:uid="{00000000-0005-0000-0000-0000480E0000}"/>
    <cellStyle name="Normal 14 13 2" xfId="3647" xr:uid="{00000000-0005-0000-0000-0000490E0000}"/>
    <cellStyle name="Normal 14 13 2 2" xfId="3648" xr:uid="{00000000-0005-0000-0000-00004A0E0000}"/>
    <cellStyle name="Normal 14 13 2 2 2" xfId="3649" xr:uid="{00000000-0005-0000-0000-00004B0E0000}"/>
    <cellStyle name="Normal 14 13 2 3" xfId="3650" xr:uid="{00000000-0005-0000-0000-00004C0E0000}"/>
    <cellStyle name="Normal 14 13 2 3 2" xfId="3651" xr:uid="{00000000-0005-0000-0000-00004D0E0000}"/>
    <cellStyle name="Normal 14 13 2 4" xfId="3652" xr:uid="{00000000-0005-0000-0000-00004E0E0000}"/>
    <cellStyle name="Normal 14 13 3" xfId="3653" xr:uid="{00000000-0005-0000-0000-00004F0E0000}"/>
    <cellStyle name="Normal 14 13 3 2" xfId="3654" xr:uid="{00000000-0005-0000-0000-0000500E0000}"/>
    <cellStyle name="Normal 14 13 3 2 2" xfId="3655" xr:uid="{00000000-0005-0000-0000-0000510E0000}"/>
    <cellStyle name="Normal 14 13 3 3" xfId="3656" xr:uid="{00000000-0005-0000-0000-0000520E0000}"/>
    <cellStyle name="Normal 14 13 4" xfId="3657" xr:uid="{00000000-0005-0000-0000-0000530E0000}"/>
    <cellStyle name="Normal 14 13 5" xfId="3658" xr:uid="{00000000-0005-0000-0000-0000540E0000}"/>
    <cellStyle name="Normal 14 14" xfId="3659" xr:uid="{00000000-0005-0000-0000-0000550E0000}"/>
    <cellStyle name="Normal 14 14 2" xfId="3660" xr:uid="{00000000-0005-0000-0000-0000560E0000}"/>
    <cellStyle name="Normal 14 14 2 2" xfId="3661" xr:uid="{00000000-0005-0000-0000-0000570E0000}"/>
    <cellStyle name="Normal 14 14 2 2 2" xfId="3662" xr:uid="{00000000-0005-0000-0000-0000580E0000}"/>
    <cellStyle name="Normal 14 14 2 3" xfId="3663" xr:uid="{00000000-0005-0000-0000-0000590E0000}"/>
    <cellStyle name="Normal 14 14 2 3 2" xfId="3664" xr:uid="{00000000-0005-0000-0000-00005A0E0000}"/>
    <cellStyle name="Normal 14 14 2 4" xfId="3665" xr:uid="{00000000-0005-0000-0000-00005B0E0000}"/>
    <cellStyle name="Normal 14 14 3" xfId="3666" xr:uid="{00000000-0005-0000-0000-00005C0E0000}"/>
    <cellStyle name="Normal 14 14 3 2" xfId="3667" xr:uid="{00000000-0005-0000-0000-00005D0E0000}"/>
    <cellStyle name="Normal 14 14 3 2 2" xfId="3668" xr:uid="{00000000-0005-0000-0000-00005E0E0000}"/>
    <cellStyle name="Normal 14 14 3 3" xfId="3669" xr:uid="{00000000-0005-0000-0000-00005F0E0000}"/>
    <cellStyle name="Normal 14 14 4" xfId="3670" xr:uid="{00000000-0005-0000-0000-0000600E0000}"/>
    <cellStyle name="Normal 14 14 5" xfId="3671" xr:uid="{00000000-0005-0000-0000-0000610E0000}"/>
    <cellStyle name="Normal 14 15" xfId="3672" xr:uid="{00000000-0005-0000-0000-0000620E0000}"/>
    <cellStyle name="Normal 14 15 2" xfId="3673" xr:uid="{00000000-0005-0000-0000-0000630E0000}"/>
    <cellStyle name="Normal 14 15 2 2" xfId="3674" xr:uid="{00000000-0005-0000-0000-0000640E0000}"/>
    <cellStyle name="Normal 14 15 2 2 2" xfId="3675" xr:uid="{00000000-0005-0000-0000-0000650E0000}"/>
    <cellStyle name="Normal 14 15 2 3" xfId="3676" xr:uid="{00000000-0005-0000-0000-0000660E0000}"/>
    <cellStyle name="Normal 14 15 2 3 2" xfId="3677" xr:uid="{00000000-0005-0000-0000-0000670E0000}"/>
    <cellStyle name="Normal 14 15 2 4" xfId="3678" xr:uid="{00000000-0005-0000-0000-0000680E0000}"/>
    <cellStyle name="Normal 14 15 3" xfId="3679" xr:uid="{00000000-0005-0000-0000-0000690E0000}"/>
    <cellStyle name="Normal 14 15 3 2" xfId="3680" xr:uid="{00000000-0005-0000-0000-00006A0E0000}"/>
    <cellStyle name="Normal 14 15 3 2 2" xfId="3681" xr:uid="{00000000-0005-0000-0000-00006B0E0000}"/>
    <cellStyle name="Normal 14 15 3 3" xfId="3682" xr:uid="{00000000-0005-0000-0000-00006C0E0000}"/>
    <cellStyle name="Normal 14 15 4" xfId="3683" xr:uid="{00000000-0005-0000-0000-00006D0E0000}"/>
    <cellStyle name="Normal 14 15 5" xfId="3684" xr:uid="{00000000-0005-0000-0000-00006E0E0000}"/>
    <cellStyle name="Normal 14 16" xfId="3685" xr:uid="{00000000-0005-0000-0000-00006F0E0000}"/>
    <cellStyle name="Normal 14 17" xfId="3686" xr:uid="{00000000-0005-0000-0000-0000700E0000}"/>
    <cellStyle name="Normal 14 17 2" xfId="3687" xr:uid="{00000000-0005-0000-0000-0000710E0000}"/>
    <cellStyle name="Normal 14 17 2 2" xfId="3688" xr:uid="{00000000-0005-0000-0000-0000720E0000}"/>
    <cellStyle name="Normal 14 17 3" xfId="3689" xr:uid="{00000000-0005-0000-0000-0000730E0000}"/>
    <cellStyle name="Normal 14 17 3 2" xfId="3690" xr:uid="{00000000-0005-0000-0000-0000740E0000}"/>
    <cellStyle name="Normal 14 17 4" xfId="3691" xr:uid="{00000000-0005-0000-0000-0000750E0000}"/>
    <cellStyle name="Normal 14 18" xfId="3692" xr:uid="{00000000-0005-0000-0000-0000760E0000}"/>
    <cellStyle name="Normal 14 18 2" xfId="3693" xr:uid="{00000000-0005-0000-0000-0000770E0000}"/>
    <cellStyle name="Normal 14 18 2 2" xfId="3694" xr:uid="{00000000-0005-0000-0000-0000780E0000}"/>
    <cellStyle name="Normal 14 18 3" xfId="3695" xr:uid="{00000000-0005-0000-0000-0000790E0000}"/>
    <cellStyle name="Normal 14 19" xfId="3696" xr:uid="{00000000-0005-0000-0000-00007A0E0000}"/>
    <cellStyle name="Normal 14 2" xfId="3697" xr:uid="{00000000-0005-0000-0000-00007B0E0000}"/>
    <cellStyle name="Normal 14 2 2" xfId="3698" xr:uid="{00000000-0005-0000-0000-00007C0E0000}"/>
    <cellStyle name="Normal 14 2 3" xfId="3699" xr:uid="{00000000-0005-0000-0000-00007D0E0000}"/>
    <cellStyle name="Normal 14 2 4" xfId="3700" xr:uid="{00000000-0005-0000-0000-00007E0E0000}"/>
    <cellStyle name="Normal 14 2 5" xfId="3701" xr:uid="{00000000-0005-0000-0000-00007F0E0000}"/>
    <cellStyle name="Normal 14 2 6" xfId="3702" xr:uid="{00000000-0005-0000-0000-0000800E0000}"/>
    <cellStyle name="Normal 14 2 7" xfId="3703" xr:uid="{00000000-0005-0000-0000-0000810E0000}"/>
    <cellStyle name="Normal 14 2 8" xfId="3704" xr:uid="{00000000-0005-0000-0000-0000820E0000}"/>
    <cellStyle name="Normal 14 2 8 2" xfId="3705" xr:uid="{00000000-0005-0000-0000-0000830E0000}"/>
    <cellStyle name="Normal 14 2 8 2 2" xfId="3706" xr:uid="{00000000-0005-0000-0000-0000840E0000}"/>
    <cellStyle name="Normal 14 2 8 2 2 2" xfId="3707" xr:uid="{00000000-0005-0000-0000-0000850E0000}"/>
    <cellStyle name="Normal 14 2 8 2 3" xfId="3708" xr:uid="{00000000-0005-0000-0000-0000860E0000}"/>
    <cellStyle name="Normal 14 2 8 2 3 2" xfId="3709" xr:uid="{00000000-0005-0000-0000-0000870E0000}"/>
    <cellStyle name="Normal 14 2 8 2 4" xfId="3710" xr:uid="{00000000-0005-0000-0000-0000880E0000}"/>
    <cellStyle name="Normal 14 2 8 3" xfId="3711" xr:uid="{00000000-0005-0000-0000-0000890E0000}"/>
    <cellStyle name="Normal 14 2 8 3 2" xfId="3712" xr:uid="{00000000-0005-0000-0000-00008A0E0000}"/>
    <cellStyle name="Normal 14 2 8 4" xfId="3713" xr:uid="{00000000-0005-0000-0000-00008B0E0000}"/>
    <cellStyle name="Normal 14 2 8 4 2" xfId="3714" xr:uid="{00000000-0005-0000-0000-00008C0E0000}"/>
    <cellStyle name="Normal 14 2 8 5" xfId="3715" xr:uid="{00000000-0005-0000-0000-00008D0E0000}"/>
    <cellStyle name="Normal 14 2 9" xfId="3716" xr:uid="{00000000-0005-0000-0000-00008E0E0000}"/>
    <cellStyle name="Normal 14 3" xfId="3717" xr:uid="{00000000-0005-0000-0000-00008F0E0000}"/>
    <cellStyle name="Normal 14 4" xfId="3718" xr:uid="{00000000-0005-0000-0000-0000900E0000}"/>
    <cellStyle name="Normal 14 4 2" xfId="3719" xr:uid="{00000000-0005-0000-0000-0000910E0000}"/>
    <cellStyle name="Normal 14 4 2 2" xfId="3720" xr:uid="{00000000-0005-0000-0000-0000920E0000}"/>
    <cellStyle name="Normal 14 4 2 2 2" xfId="3721" xr:uid="{00000000-0005-0000-0000-0000930E0000}"/>
    <cellStyle name="Normal 14 4 2 3" xfId="3722" xr:uid="{00000000-0005-0000-0000-0000940E0000}"/>
    <cellStyle name="Normal 14 4 2 3 2" xfId="3723" xr:uid="{00000000-0005-0000-0000-0000950E0000}"/>
    <cellStyle name="Normal 14 4 2 4" xfId="3724" xr:uid="{00000000-0005-0000-0000-0000960E0000}"/>
    <cellStyle name="Normal 14 4 3" xfId="3725" xr:uid="{00000000-0005-0000-0000-0000970E0000}"/>
    <cellStyle name="Normal 14 4 3 2" xfId="3726" xr:uid="{00000000-0005-0000-0000-0000980E0000}"/>
    <cellStyle name="Normal 14 4 3 2 2" xfId="3727" xr:uid="{00000000-0005-0000-0000-0000990E0000}"/>
    <cellStyle name="Normal 14 4 3 3" xfId="3728" xr:uid="{00000000-0005-0000-0000-00009A0E0000}"/>
    <cellStyle name="Normal 14 4 4" xfId="3729" xr:uid="{00000000-0005-0000-0000-00009B0E0000}"/>
    <cellStyle name="Normal 14 4 5" xfId="3730" xr:uid="{00000000-0005-0000-0000-00009C0E0000}"/>
    <cellStyle name="Normal 14 5" xfId="3731" xr:uid="{00000000-0005-0000-0000-00009D0E0000}"/>
    <cellStyle name="Normal 14 5 2" xfId="3732" xr:uid="{00000000-0005-0000-0000-00009E0E0000}"/>
    <cellStyle name="Normal 14 5 2 2" xfId="3733" xr:uid="{00000000-0005-0000-0000-00009F0E0000}"/>
    <cellStyle name="Normal 14 5 2 2 2" xfId="3734" xr:uid="{00000000-0005-0000-0000-0000A00E0000}"/>
    <cellStyle name="Normal 14 5 2 3" xfId="3735" xr:uid="{00000000-0005-0000-0000-0000A10E0000}"/>
    <cellStyle name="Normal 14 5 2 3 2" xfId="3736" xr:uid="{00000000-0005-0000-0000-0000A20E0000}"/>
    <cellStyle name="Normal 14 5 2 4" xfId="3737" xr:uid="{00000000-0005-0000-0000-0000A30E0000}"/>
    <cellStyle name="Normal 14 5 3" xfId="3738" xr:uid="{00000000-0005-0000-0000-0000A40E0000}"/>
    <cellStyle name="Normal 14 5 3 2" xfId="3739" xr:uid="{00000000-0005-0000-0000-0000A50E0000}"/>
    <cellStyle name="Normal 14 5 3 2 2" xfId="3740" xr:uid="{00000000-0005-0000-0000-0000A60E0000}"/>
    <cellStyle name="Normal 14 5 3 3" xfId="3741" xr:uid="{00000000-0005-0000-0000-0000A70E0000}"/>
    <cellStyle name="Normal 14 5 4" xfId="3742" xr:uid="{00000000-0005-0000-0000-0000A80E0000}"/>
    <cellStyle name="Normal 14 5 5" xfId="3743" xr:uid="{00000000-0005-0000-0000-0000A90E0000}"/>
    <cellStyle name="Normal 14 6" xfId="3744" xr:uid="{00000000-0005-0000-0000-0000AA0E0000}"/>
    <cellStyle name="Normal 14 7" xfId="3745" xr:uid="{00000000-0005-0000-0000-0000AB0E0000}"/>
    <cellStyle name="Normal 14 8" xfId="3746" xr:uid="{00000000-0005-0000-0000-0000AC0E0000}"/>
    <cellStyle name="Normal 14 9" xfId="3747" xr:uid="{00000000-0005-0000-0000-0000AD0E0000}"/>
    <cellStyle name="Normal 15" xfId="3748" xr:uid="{00000000-0005-0000-0000-0000AE0E0000}"/>
    <cellStyle name="Normal 15 2" xfId="3749" xr:uid="{00000000-0005-0000-0000-0000AF0E0000}"/>
    <cellStyle name="Normal 15 2 2" xfId="3750" xr:uid="{00000000-0005-0000-0000-0000B00E0000}"/>
    <cellStyle name="Normal 15 2 3" xfId="3751" xr:uid="{00000000-0005-0000-0000-0000B10E0000}"/>
    <cellStyle name="Normal 15 3" xfId="3752" xr:uid="{00000000-0005-0000-0000-0000B20E0000}"/>
    <cellStyle name="Normal 15 4" xfId="3753" xr:uid="{00000000-0005-0000-0000-0000B30E0000}"/>
    <cellStyle name="Normal 15 5" xfId="3754" xr:uid="{00000000-0005-0000-0000-0000B40E0000}"/>
    <cellStyle name="Normal 15 6" xfId="3755" xr:uid="{00000000-0005-0000-0000-0000B50E0000}"/>
    <cellStyle name="Normal 15 7" xfId="3756" xr:uid="{00000000-0005-0000-0000-0000B60E0000}"/>
    <cellStyle name="Normal 16" xfId="3757" xr:uid="{00000000-0005-0000-0000-0000B70E0000}"/>
    <cellStyle name="Normal 16 2" xfId="3758" xr:uid="{00000000-0005-0000-0000-0000B80E0000}"/>
    <cellStyle name="Normal 16 2 2" xfId="3759" xr:uid="{00000000-0005-0000-0000-0000B90E0000}"/>
    <cellStyle name="Normal 16 2 3" xfId="3760" xr:uid="{00000000-0005-0000-0000-0000BA0E0000}"/>
    <cellStyle name="Normal 16 3" xfId="3761" xr:uid="{00000000-0005-0000-0000-0000BB0E0000}"/>
    <cellStyle name="Normal 16 4" xfId="3762" xr:uid="{00000000-0005-0000-0000-0000BC0E0000}"/>
    <cellStyle name="Normal 16 5" xfId="3763" xr:uid="{00000000-0005-0000-0000-0000BD0E0000}"/>
    <cellStyle name="Normal 16 6" xfId="3764" xr:uid="{00000000-0005-0000-0000-0000BE0E0000}"/>
    <cellStyle name="Normal 16 7" xfId="3765" xr:uid="{00000000-0005-0000-0000-0000BF0E0000}"/>
    <cellStyle name="Normal 16 7 2" xfId="3766" xr:uid="{00000000-0005-0000-0000-0000C00E0000}"/>
    <cellStyle name="Normal 16 7 2 2" xfId="3767" xr:uid="{00000000-0005-0000-0000-0000C10E0000}"/>
    <cellStyle name="Normal 16 7 2 2 2" xfId="3768" xr:uid="{00000000-0005-0000-0000-0000C20E0000}"/>
    <cellStyle name="Normal 16 7 2 3" xfId="3769" xr:uid="{00000000-0005-0000-0000-0000C30E0000}"/>
    <cellStyle name="Normal 16 7 2 3 2" xfId="3770" xr:uid="{00000000-0005-0000-0000-0000C40E0000}"/>
    <cellStyle name="Normal 16 7 2 4" xfId="3771" xr:uid="{00000000-0005-0000-0000-0000C50E0000}"/>
    <cellStyle name="Normal 16 7 3" xfId="3772" xr:uid="{00000000-0005-0000-0000-0000C60E0000}"/>
    <cellStyle name="Normal 16 7 3 2" xfId="3773" xr:uid="{00000000-0005-0000-0000-0000C70E0000}"/>
    <cellStyle name="Normal 16 7 4" xfId="3774" xr:uid="{00000000-0005-0000-0000-0000C80E0000}"/>
    <cellStyle name="Normal 16 7 4 2" xfId="3775" xr:uid="{00000000-0005-0000-0000-0000C90E0000}"/>
    <cellStyle name="Normal 16 7 5" xfId="3776" xr:uid="{00000000-0005-0000-0000-0000CA0E0000}"/>
    <cellStyle name="Normal 17" xfId="3777" xr:uid="{00000000-0005-0000-0000-0000CB0E0000}"/>
    <cellStyle name="Normal 17 10" xfId="3778" xr:uid="{00000000-0005-0000-0000-0000CC0E0000}"/>
    <cellStyle name="Normal 17 11" xfId="3779" xr:uid="{00000000-0005-0000-0000-0000CD0E0000}"/>
    <cellStyle name="Normal 17 12" xfId="3780" xr:uid="{00000000-0005-0000-0000-0000CE0E0000}"/>
    <cellStyle name="Normal 17 13" xfId="3781" xr:uid="{00000000-0005-0000-0000-0000CF0E0000}"/>
    <cellStyle name="Normal 17 14" xfId="3782" xr:uid="{00000000-0005-0000-0000-0000D00E0000}"/>
    <cellStyle name="Normal 17 14 2" xfId="3783" xr:uid="{00000000-0005-0000-0000-0000D10E0000}"/>
    <cellStyle name="Normal 17 14 2 2" xfId="3784" xr:uid="{00000000-0005-0000-0000-0000D20E0000}"/>
    <cellStyle name="Normal 17 14 2 2 2" xfId="3785" xr:uid="{00000000-0005-0000-0000-0000D30E0000}"/>
    <cellStyle name="Normal 17 14 2 3" xfId="3786" xr:uid="{00000000-0005-0000-0000-0000D40E0000}"/>
    <cellStyle name="Normal 17 14 2 3 2" xfId="3787" xr:uid="{00000000-0005-0000-0000-0000D50E0000}"/>
    <cellStyle name="Normal 17 14 2 4" xfId="3788" xr:uid="{00000000-0005-0000-0000-0000D60E0000}"/>
    <cellStyle name="Normal 17 14 3" xfId="3789" xr:uid="{00000000-0005-0000-0000-0000D70E0000}"/>
    <cellStyle name="Normal 17 14 3 2" xfId="3790" xr:uid="{00000000-0005-0000-0000-0000D80E0000}"/>
    <cellStyle name="Normal 17 14 4" xfId="3791" xr:uid="{00000000-0005-0000-0000-0000D90E0000}"/>
    <cellStyle name="Normal 17 14 4 2" xfId="3792" xr:uid="{00000000-0005-0000-0000-0000DA0E0000}"/>
    <cellStyle name="Normal 17 14 5" xfId="3793" xr:uid="{00000000-0005-0000-0000-0000DB0E0000}"/>
    <cellStyle name="Normal 17 2" xfId="3794" xr:uid="{00000000-0005-0000-0000-0000DC0E0000}"/>
    <cellStyle name="Normal 17 2 2" xfId="3795" xr:uid="{00000000-0005-0000-0000-0000DD0E0000}"/>
    <cellStyle name="Normal 17 2 3" xfId="3796" xr:uid="{00000000-0005-0000-0000-0000DE0E0000}"/>
    <cellStyle name="Normal 17 3" xfId="3797" xr:uid="{00000000-0005-0000-0000-0000DF0E0000}"/>
    <cellStyle name="Normal 17 4" xfId="3798" xr:uid="{00000000-0005-0000-0000-0000E00E0000}"/>
    <cellStyle name="Normal 17 5" xfId="3799" xr:uid="{00000000-0005-0000-0000-0000E10E0000}"/>
    <cellStyle name="Normal 17 6" xfId="3800" xr:uid="{00000000-0005-0000-0000-0000E20E0000}"/>
    <cellStyle name="Normal 17 7" xfId="3801" xr:uid="{00000000-0005-0000-0000-0000E30E0000}"/>
    <cellStyle name="Normal 17 8" xfId="3802" xr:uid="{00000000-0005-0000-0000-0000E40E0000}"/>
    <cellStyle name="Normal 17 9" xfId="3803" xr:uid="{00000000-0005-0000-0000-0000E50E0000}"/>
    <cellStyle name="Normal 18" xfId="3804" xr:uid="{00000000-0005-0000-0000-0000E60E0000}"/>
    <cellStyle name="Normal 18 2" xfId="3805" xr:uid="{00000000-0005-0000-0000-0000E70E0000}"/>
    <cellStyle name="Normal 18 3" xfId="3806" xr:uid="{00000000-0005-0000-0000-0000E80E0000}"/>
    <cellStyle name="Normal 18 3 2" xfId="3807" xr:uid="{00000000-0005-0000-0000-0000E90E0000}"/>
    <cellStyle name="Normal 18 3 2 2" xfId="3808" xr:uid="{00000000-0005-0000-0000-0000EA0E0000}"/>
    <cellStyle name="Normal 18 3 2 2 2" xfId="3809" xr:uid="{00000000-0005-0000-0000-0000EB0E0000}"/>
    <cellStyle name="Normal 18 3 2 3" xfId="3810" xr:uid="{00000000-0005-0000-0000-0000EC0E0000}"/>
    <cellStyle name="Normal 18 3 2 3 2" xfId="3811" xr:uid="{00000000-0005-0000-0000-0000ED0E0000}"/>
    <cellStyle name="Normal 18 3 2 4" xfId="3812" xr:uid="{00000000-0005-0000-0000-0000EE0E0000}"/>
    <cellStyle name="Normal 18 3 3" xfId="3813" xr:uid="{00000000-0005-0000-0000-0000EF0E0000}"/>
    <cellStyle name="Normal 18 3 3 2" xfId="3814" xr:uid="{00000000-0005-0000-0000-0000F00E0000}"/>
    <cellStyle name="Normal 18 3 4" xfId="3815" xr:uid="{00000000-0005-0000-0000-0000F10E0000}"/>
    <cellStyle name="Normal 18 3 4 2" xfId="3816" xr:uid="{00000000-0005-0000-0000-0000F20E0000}"/>
    <cellStyle name="Normal 18 3 5" xfId="3817" xr:uid="{00000000-0005-0000-0000-0000F30E0000}"/>
    <cellStyle name="Normal 18 4" xfId="3818" xr:uid="{00000000-0005-0000-0000-0000F40E0000}"/>
    <cellStyle name="Normal 19" xfId="3819" xr:uid="{00000000-0005-0000-0000-0000F50E0000}"/>
    <cellStyle name="Normal 19 2" xfId="3820" xr:uid="{00000000-0005-0000-0000-0000F60E0000}"/>
    <cellStyle name="Normal 2" xfId="3821" xr:uid="{00000000-0005-0000-0000-0000F70E0000}"/>
    <cellStyle name="Normal 2 10" xfId="3822" xr:uid="{00000000-0005-0000-0000-0000F80E0000}"/>
    <cellStyle name="Normal 2 10 2" xfId="3823" xr:uid="{00000000-0005-0000-0000-0000F90E0000}"/>
    <cellStyle name="Normal 2 10 3" xfId="3824" xr:uid="{00000000-0005-0000-0000-0000FA0E0000}"/>
    <cellStyle name="Normal 2 10 3 2" xfId="3825" xr:uid="{00000000-0005-0000-0000-0000FB0E0000}"/>
    <cellStyle name="Normal 2 10 3 2 2" xfId="3826" xr:uid="{00000000-0005-0000-0000-0000FC0E0000}"/>
    <cellStyle name="Normal 2 10 3 3" xfId="3827" xr:uid="{00000000-0005-0000-0000-0000FD0E0000}"/>
    <cellStyle name="Normal 2 10 3 3 2" xfId="3828" xr:uid="{00000000-0005-0000-0000-0000FE0E0000}"/>
    <cellStyle name="Normal 2 10 3 4" xfId="3829" xr:uid="{00000000-0005-0000-0000-0000FF0E0000}"/>
    <cellStyle name="Normal 2 10 4" xfId="3830" xr:uid="{00000000-0005-0000-0000-0000000F0000}"/>
    <cellStyle name="Normal 2 10 4 2" xfId="3831" xr:uid="{00000000-0005-0000-0000-0000010F0000}"/>
    <cellStyle name="Normal 2 10 4 2 2" xfId="3832" xr:uid="{00000000-0005-0000-0000-0000020F0000}"/>
    <cellStyle name="Normal 2 10 4 3" xfId="3833" xr:uid="{00000000-0005-0000-0000-0000030F0000}"/>
    <cellStyle name="Normal 2 10 5" xfId="3834" xr:uid="{00000000-0005-0000-0000-0000040F0000}"/>
    <cellStyle name="Normal 2 11" xfId="3835" xr:uid="{00000000-0005-0000-0000-0000050F0000}"/>
    <cellStyle name="Normal 2 12" xfId="3836" xr:uid="{00000000-0005-0000-0000-0000060F0000}"/>
    <cellStyle name="Normal 2 13" xfId="3837" xr:uid="{00000000-0005-0000-0000-0000070F0000}"/>
    <cellStyle name="Normal 2 14" xfId="3838" xr:uid="{00000000-0005-0000-0000-0000080F0000}"/>
    <cellStyle name="Normal 2 15" xfId="3839" xr:uid="{00000000-0005-0000-0000-0000090F0000}"/>
    <cellStyle name="Normal 2 16" xfId="3840" xr:uid="{00000000-0005-0000-0000-00000A0F0000}"/>
    <cellStyle name="Normal 2 17" xfId="3841" xr:uid="{00000000-0005-0000-0000-00000B0F0000}"/>
    <cellStyle name="Normal 2 18" xfId="3842" xr:uid="{00000000-0005-0000-0000-00000C0F0000}"/>
    <cellStyle name="Normal 2 18 2" xfId="3843" xr:uid="{00000000-0005-0000-0000-00000D0F0000}"/>
    <cellStyle name="Normal 2 18 2 2" xfId="3844" xr:uid="{00000000-0005-0000-0000-00000E0F0000}"/>
    <cellStyle name="Normal 2 18 2 2 2" xfId="3845" xr:uid="{00000000-0005-0000-0000-00000F0F0000}"/>
    <cellStyle name="Normal 2 18 2 2 2 2" xfId="3846" xr:uid="{00000000-0005-0000-0000-0000100F0000}"/>
    <cellStyle name="Normal 2 18 2 2 3" xfId="3847" xr:uid="{00000000-0005-0000-0000-0000110F0000}"/>
    <cellStyle name="Normal 2 18 2 2 3 2" xfId="3848" xr:uid="{00000000-0005-0000-0000-0000120F0000}"/>
    <cellStyle name="Normal 2 18 2 2 4" xfId="3849" xr:uid="{00000000-0005-0000-0000-0000130F0000}"/>
    <cellStyle name="Normal 2 18 2 3" xfId="3850" xr:uid="{00000000-0005-0000-0000-0000140F0000}"/>
    <cellStyle name="Normal 2 18 2 3 2" xfId="3851" xr:uid="{00000000-0005-0000-0000-0000150F0000}"/>
    <cellStyle name="Normal 2 18 2 4" xfId="3852" xr:uid="{00000000-0005-0000-0000-0000160F0000}"/>
    <cellStyle name="Normal 2 18 2 4 2" xfId="3853" xr:uid="{00000000-0005-0000-0000-0000170F0000}"/>
    <cellStyle name="Normal 2 18 2 5" xfId="3854" xr:uid="{00000000-0005-0000-0000-0000180F0000}"/>
    <cellStyle name="Normal 2 18 3" xfId="3855" xr:uid="{00000000-0005-0000-0000-0000190F0000}"/>
    <cellStyle name="Normal 2 18 3 2" xfId="3856" xr:uid="{00000000-0005-0000-0000-00001A0F0000}"/>
    <cellStyle name="Normal 2 19" xfId="3857" xr:uid="{00000000-0005-0000-0000-00001B0F0000}"/>
    <cellStyle name="Normal 2 2" xfId="3858" xr:uid="{00000000-0005-0000-0000-00001C0F0000}"/>
    <cellStyle name="Normal 2 2 10" xfId="3859" xr:uid="{00000000-0005-0000-0000-00001D0F0000}"/>
    <cellStyle name="Normal 2 2 10 2" xfId="3860" xr:uid="{00000000-0005-0000-0000-00001E0F0000}"/>
    <cellStyle name="Normal 2 2 10 2 2" xfId="3861" xr:uid="{00000000-0005-0000-0000-00001F0F0000}"/>
    <cellStyle name="Normal 2 2 10 2 2 2" xfId="3862" xr:uid="{00000000-0005-0000-0000-0000200F0000}"/>
    <cellStyle name="Normal 2 2 10 2 3" xfId="3863" xr:uid="{00000000-0005-0000-0000-0000210F0000}"/>
    <cellStyle name="Normal 2 2 10 2 3 2" xfId="3864" xr:uid="{00000000-0005-0000-0000-0000220F0000}"/>
    <cellStyle name="Normal 2 2 10 2 4" xfId="3865" xr:uid="{00000000-0005-0000-0000-0000230F0000}"/>
    <cellStyle name="Normal 2 2 10 3" xfId="3866" xr:uid="{00000000-0005-0000-0000-0000240F0000}"/>
    <cellStyle name="Normal 2 2 10 3 2" xfId="3867" xr:uid="{00000000-0005-0000-0000-0000250F0000}"/>
    <cellStyle name="Normal 2 2 10 3 2 2" xfId="3868" xr:uid="{00000000-0005-0000-0000-0000260F0000}"/>
    <cellStyle name="Normal 2 2 10 3 3" xfId="3869" xr:uid="{00000000-0005-0000-0000-0000270F0000}"/>
    <cellStyle name="Normal 2 2 10 4" xfId="3870" xr:uid="{00000000-0005-0000-0000-0000280F0000}"/>
    <cellStyle name="Normal 2 2 10 5" xfId="3871" xr:uid="{00000000-0005-0000-0000-0000290F0000}"/>
    <cellStyle name="Normal 2 2 11" xfId="3872" xr:uid="{00000000-0005-0000-0000-00002A0F0000}"/>
    <cellStyle name="Normal 2 2 11 2" xfId="3873" xr:uid="{00000000-0005-0000-0000-00002B0F0000}"/>
    <cellStyle name="Normal 2 2 11 2 2" xfId="3874" xr:uid="{00000000-0005-0000-0000-00002C0F0000}"/>
    <cellStyle name="Normal 2 2 11 2 2 2" xfId="3875" xr:uid="{00000000-0005-0000-0000-00002D0F0000}"/>
    <cellStyle name="Normal 2 2 11 2 3" xfId="3876" xr:uid="{00000000-0005-0000-0000-00002E0F0000}"/>
    <cellStyle name="Normal 2 2 11 2 3 2" xfId="3877" xr:uid="{00000000-0005-0000-0000-00002F0F0000}"/>
    <cellStyle name="Normal 2 2 11 2 4" xfId="3878" xr:uid="{00000000-0005-0000-0000-0000300F0000}"/>
    <cellStyle name="Normal 2 2 11 3" xfId="3879" xr:uid="{00000000-0005-0000-0000-0000310F0000}"/>
    <cellStyle name="Normal 2 2 11 3 2" xfId="3880" xr:uid="{00000000-0005-0000-0000-0000320F0000}"/>
    <cellStyle name="Normal 2 2 11 3 2 2" xfId="3881" xr:uid="{00000000-0005-0000-0000-0000330F0000}"/>
    <cellStyle name="Normal 2 2 11 3 3" xfId="3882" xr:uid="{00000000-0005-0000-0000-0000340F0000}"/>
    <cellStyle name="Normal 2 2 11 4" xfId="3883" xr:uid="{00000000-0005-0000-0000-0000350F0000}"/>
    <cellStyle name="Normal 2 2 11 5" xfId="3884" xr:uid="{00000000-0005-0000-0000-0000360F0000}"/>
    <cellStyle name="Normal 2 2 12" xfId="3885" xr:uid="{00000000-0005-0000-0000-0000370F0000}"/>
    <cellStyle name="Normal 2 2 12 2" xfId="3886" xr:uid="{00000000-0005-0000-0000-0000380F0000}"/>
    <cellStyle name="Normal 2 2 12 2 2" xfId="3887" xr:uid="{00000000-0005-0000-0000-0000390F0000}"/>
    <cellStyle name="Normal 2 2 12 2 2 2" xfId="3888" xr:uid="{00000000-0005-0000-0000-00003A0F0000}"/>
    <cellStyle name="Normal 2 2 12 2 3" xfId="3889" xr:uid="{00000000-0005-0000-0000-00003B0F0000}"/>
    <cellStyle name="Normal 2 2 12 2 3 2" xfId="3890" xr:uid="{00000000-0005-0000-0000-00003C0F0000}"/>
    <cellStyle name="Normal 2 2 12 2 4" xfId="3891" xr:uid="{00000000-0005-0000-0000-00003D0F0000}"/>
    <cellStyle name="Normal 2 2 12 3" xfId="3892" xr:uid="{00000000-0005-0000-0000-00003E0F0000}"/>
    <cellStyle name="Normal 2 2 12 3 2" xfId="3893" xr:uid="{00000000-0005-0000-0000-00003F0F0000}"/>
    <cellStyle name="Normal 2 2 12 3 2 2" xfId="3894" xr:uid="{00000000-0005-0000-0000-0000400F0000}"/>
    <cellStyle name="Normal 2 2 12 3 3" xfId="3895" xr:uid="{00000000-0005-0000-0000-0000410F0000}"/>
    <cellStyle name="Normal 2 2 12 4" xfId="3896" xr:uid="{00000000-0005-0000-0000-0000420F0000}"/>
    <cellStyle name="Normal 2 2 12 5" xfId="3897" xr:uid="{00000000-0005-0000-0000-0000430F0000}"/>
    <cellStyle name="Normal 2 2 13" xfId="3898" xr:uid="{00000000-0005-0000-0000-0000440F0000}"/>
    <cellStyle name="Normal 2 2 13 2" xfId="3899" xr:uid="{00000000-0005-0000-0000-0000450F0000}"/>
    <cellStyle name="Normal 2 2 13 2 2" xfId="3900" xr:uid="{00000000-0005-0000-0000-0000460F0000}"/>
    <cellStyle name="Normal 2 2 13 2 2 2" xfId="3901" xr:uid="{00000000-0005-0000-0000-0000470F0000}"/>
    <cellStyle name="Normal 2 2 13 2 3" xfId="3902" xr:uid="{00000000-0005-0000-0000-0000480F0000}"/>
    <cellStyle name="Normal 2 2 13 2 3 2" xfId="3903" xr:uid="{00000000-0005-0000-0000-0000490F0000}"/>
    <cellStyle name="Normal 2 2 13 2 4" xfId="3904" xr:uid="{00000000-0005-0000-0000-00004A0F0000}"/>
    <cellStyle name="Normal 2 2 13 3" xfId="3905" xr:uid="{00000000-0005-0000-0000-00004B0F0000}"/>
    <cellStyle name="Normal 2 2 13 3 2" xfId="3906" xr:uid="{00000000-0005-0000-0000-00004C0F0000}"/>
    <cellStyle name="Normal 2 2 13 3 2 2" xfId="3907" xr:uid="{00000000-0005-0000-0000-00004D0F0000}"/>
    <cellStyle name="Normal 2 2 13 3 3" xfId="3908" xr:uid="{00000000-0005-0000-0000-00004E0F0000}"/>
    <cellStyle name="Normal 2 2 13 4" xfId="3909" xr:uid="{00000000-0005-0000-0000-00004F0F0000}"/>
    <cellStyle name="Normal 2 2 13 5" xfId="3910" xr:uid="{00000000-0005-0000-0000-0000500F0000}"/>
    <cellStyle name="Normal 2 2 14" xfId="3911" xr:uid="{00000000-0005-0000-0000-0000510F0000}"/>
    <cellStyle name="Normal 2 2 14 2" xfId="3912" xr:uid="{00000000-0005-0000-0000-0000520F0000}"/>
    <cellStyle name="Normal 2 2 14 3" xfId="3913" xr:uid="{00000000-0005-0000-0000-0000530F0000}"/>
    <cellStyle name="Normal 2 2 14 3 2" xfId="3914" xr:uid="{00000000-0005-0000-0000-0000540F0000}"/>
    <cellStyle name="Normal 2 2 15" xfId="3915" xr:uid="{00000000-0005-0000-0000-0000550F0000}"/>
    <cellStyle name="Normal 2 2 15 2" xfId="3916" xr:uid="{00000000-0005-0000-0000-0000560F0000}"/>
    <cellStyle name="Normal 2 2 15 2 2" xfId="3917" xr:uid="{00000000-0005-0000-0000-0000570F0000}"/>
    <cellStyle name="Normal 2 2 15 2 2 2" xfId="3918" xr:uid="{00000000-0005-0000-0000-0000580F0000}"/>
    <cellStyle name="Normal 2 2 15 2 3" xfId="3919" xr:uid="{00000000-0005-0000-0000-0000590F0000}"/>
    <cellStyle name="Normal 2 2 15 2 3 2" xfId="3920" xr:uid="{00000000-0005-0000-0000-00005A0F0000}"/>
    <cellStyle name="Normal 2 2 15 2 4" xfId="3921" xr:uid="{00000000-0005-0000-0000-00005B0F0000}"/>
    <cellStyle name="Normal 2 2 15 3" xfId="3922" xr:uid="{00000000-0005-0000-0000-00005C0F0000}"/>
    <cellStyle name="Normal 2 2 15 3 2" xfId="3923" xr:uid="{00000000-0005-0000-0000-00005D0F0000}"/>
    <cellStyle name="Normal 2 2 15 4" xfId="3924" xr:uid="{00000000-0005-0000-0000-00005E0F0000}"/>
    <cellStyle name="Normal 2 2 15 4 2" xfId="3925" xr:uid="{00000000-0005-0000-0000-00005F0F0000}"/>
    <cellStyle name="Normal 2 2 15 5" xfId="3926" xr:uid="{00000000-0005-0000-0000-0000600F0000}"/>
    <cellStyle name="Normal 2 2 2" xfId="3927" xr:uid="{00000000-0005-0000-0000-0000610F0000}"/>
    <cellStyle name="Normal 2 2 2 2" xfId="3928" xr:uid="{00000000-0005-0000-0000-0000620F0000}"/>
    <cellStyle name="Normal 2 2 2 2 2" xfId="3929" xr:uid="{00000000-0005-0000-0000-0000630F0000}"/>
    <cellStyle name="Normal 2 2 2 3" xfId="3930" xr:uid="{00000000-0005-0000-0000-0000640F0000}"/>
    <cellStyle name="Normal 2 2 2 4" xfId="3931" xr:uid="{00000000-0005-0000-0000-0000650F0000}"/>
    <cellStyle name="Normal 2 2 2 5" xfId="3932" xr:uid="{00000000-0005-0000-0000-0000660F0000}"/>
    <cellStyle name="Normal 2 2 2 5 2" xfId="3933" xr:uid="{00000000-0005-0000-0000-0000670F0000}"/>
    <cellStyle name="Normal 2 2 2 5 2 2" xfId="3934" xr:uid="{00000000-0005-0000-0000-0000680F0000}"/>
    <cellStyle name="Normal 2 2 2 5 2 2 2" xfId="3935" xr:uid="{00000000-0005-0000-0000-0000690F0000}"/>
    <cellStyle name="Normal 2 2 2 5 2 3" xfId="3936" xr:uid="{00000000-0005-0000-0000-00006A0F0000}"/>
    <cellStyle name="Normal 2 2 2 5 2 3 2" xfId="3937" xr:uid="{00000000-0005-0000-0000-00006B0F0000}"/>
    <cellStyle name="Normal 2 2 2 5 2 4" xfId="3938" xr:uid="{00000000-0005-0000-0000-00006C0F0000}"/>
    <cellStyle name="Normal 2 2 2 5 3" xfId="3939" xr:uid="{00000000-0005-0000-0000-00006D0F0000}"/>
    <cellStyle name="Normal 2 2 2 5 3 2" xfId="3940" xr:uid="{00000000-0005-0000-0000-00006E0F0000}"/>
    <cellStyle name="Normal 2 2 2 5 4" xfId="3941" xr:uid="{00000000-0005-0000-0000-00006F0F0000}"/>
    <cellStyle name="Normal 2 2 2 5 4 2" xfId="3942" xr:uid="{00000000-0005-0000-0000-0000700F0000}"/>
    <cellStyle name="Normal 2 2 2 5 5" xfId="3943" xr:uid="{00000000-0005-0000-0000-0000710F0000}"/>
    <cellStyle name="Normal 2 2 2 6" xfId="3944" xr:uid="{00000000-0005-0000-0000-0000720F0000}"/>
    <cellStyle name="Normal 2 2 2 6 2" xfId="3945" xr:uid="{00000000-0005-0000-0000-0000730F0000}"/>
    <cellStyle name="Normal 2 2 2 6 2 2" xfId="3946" xr:uid="{00000000-0005-0000-0000-0000740F0000}"/>
    <cellStyle name="Normal 2 2 2 6 2 2 2" xfId="3947" xr:uid="{00000000-0005-0000-0000-0000750F0000}"/>
    <cellStyle name="Normal 2 2 2 6 2 3" xfId="3948" xr:uid="{00000000-0005-0000-0000-0000760F0000}"/>
    <cellStyle name="Normal 2 2 2 6 2 3 2" xfId="3949" xr:uid="{00000000-0005-0000-0000-0000770F0000}"/>
    <cellStyle name="Normal 2 2 2 6 2 4" xfId="3950" xr:uid="{00000000-0005-0000-0000-0000780F0000}"/>
    <cellStyle name="Normal 2 2 2 6 3" xfId="3951" xr:uid="{00000000-0005-0000-0000-0000790F0000}"/>
    <cellStyle name="Normal 2 2 2 6 3 2" xfId="3952" xr:uid="{00000000-0005-0000-0000-00007A0F0000}"/>
    <cellStyle name="Normal 2 2 2 6 4" xfId="3953" xr:uid="{00000000-0005-0000-0000-00007B0F0000}"/>
    <cellStyle name="Normal 2 2 2 6 4 2" xfId="3954" xr:uid="{00000000-0005-0000-0000-00007C0F0000}"/>
    <cellStyle name="Normal 2 2 2 6 5" xfId="3955" xr:uid="{00000000-0005-0000-0000-00007D0F0000}"/>
    <cellStyle name="Normal 2 2 2 7" xfId="3956" xr:uid="{00000000-0005-0000-0000-00007E0F0000}"/>
    <cellStyle name="Normal 2 2 3" xfId="3957" xr:uid="{00000000-0005-0000-0000-00007F0F0000}"/>
    <cellStyle name="Normal 2 2 3 2" xfId="3958" xr:uid="{00000000-0005-0000-0000-0000800F0000}"/>
    <cellStyle name="Normal 2 2 3 2 2" xfId="3959" xr:uid="{00000000-0005-0000-0000-0000810F0000}"/>
    <cellStyle name="Normal 2 2 3 2 2 2" xfId="3960" xr:uid="{00000000-0005-0000-0000-0000820F0000}"/>
    <cellStyle name="Normal 2 2 3 2 2 2 2" xfId="3961" xr:uid="{00000000-0005-0000-0000-0000830F0000}"/>
    <cellStyle name="Normal 2 2 3 2 2 3" xfId="3962" xr:uid="{00000000-0005-0000-0000-0000840F0000}"/>
    <cellStyle name="Normal 2 2 3 2 2 3 2" xfId="3963" xr:uid="{00000000-0005-0000-0000-0000850F0000}"/>
    <cellStyle name="Normal 2 2 3 2 2 4" xfId="3964" xr:uid="{00000000-0005-0000-0000-0000860F0000}"/>
    <cellStyle name="Normal 2 2 3 2 3" xfId="3965" xr:uid="{00000000-0005-0000-0000-0000870F0000}"/>
    <cellStyle name="Normal 2 2 3 2 3 2" xfId="3966" xr:uid="{00000000-0005-0000-0000-0000880F0000}"/>
    <cellStyle name="Normal 2 2 3 2 4" xfId="3967" xr:uid="{00000000-0005-0000-0000-0000890F0000}"/>
    <cellStyle name="Normal 2 2 3 2 4 2" xfId="3968" xr:uid="{00000000-0005-0000-0000-00008A0F0000}"/>
    <cellStyle name="Normal 2 2 3 2 5" xfId="3969" xr:uid="{00000000-0005-0000-0000-00008B0F0000}"/>
    <cellStyle name="Normal 2 2 3 3" xfId="3970" xr:uid="{00000000-0005-0000-0000-00008C0F0000}"/>
    <cellStyle name="Normal 2 2 4" xfId="3971" xr:uid="{00000000-0005-0000-0000-00008D0F0000}"/>
    <cellStyle name="Normal 2 2 4 2" xfId="3972" xr:uid="{00000000-0005-0000-0000-00008E0F0000}"/>
    <cellStyle name="Normal 2 2 4 3" xfId="3973" xr:uid="{00000000-0005-0000-0000-00008F0F0000}"/>
    <cellStyle name="Normal 2 2 4 3 2" xfId="3974" xr:uid="{00000000-0005-0000-0000-0000900F0000}"/>
    <cellStyle name="Normal 2 2 4 3 2 2" xfId="3975" xr:uid="{00000000-0005-0000-0000-0000910F0000}"/>
    <cellStyle name="Normal 2 2 4 3 2 2 2" xfId="3976" xr:uid="{00000000-0005-0000-0000-0000920F0000}"/>
    <cellStyle name="Normal 2 2 4 3 2 3" xfId="3977" xr:uid="{00000000-0005-0000-0000-0000930F0000}"/>
    <cellStyle name="Normal 2 2 4 3 2 3 2" xfId="3978" xr:uid="{00000000-0005-0000-0000-0000940F0000}"/>
    <cellStyle name="Normal 2 2 4 3 2 4" xfId="3979" xr:uid="{00000000-0005-0000-0000-0000950F0000}"/>
    <cellStyle name="Normal 2 2 4 3 3" xfId="3980" xr:uid="{00000000-0005-0000-0000-0000960F0000}"/>
    <cellStyle name="Normal 2 2 4 3 3 2" xfId="3981" xr:uid="{00000000-0005-0000-0000-0000970F0000}"/>
    <cellStyle name="Normal 2 2 4 3 4" xfId="3982" xr:uid="{00000000-0005-0000-0000-0000980F0000}"/>
    <cellStyle name="Normal 2 2 4 3 4 2" xfId="3983" xr:uid="{00000000-0005-0000-0000-0000990F0000}"/>
    <cellStyle name="Normal 2 2 4 3 5" xfId="3984" xr:uid="{00000000-0005-0000-0000-00009A0F0000}"/>
    <cellStyle name="Normal 2 2 4 4" xfId="3985" xr:uid="{00000000-0005-0000-0000-00009B0F0000}"/>
    <cellStyle name="Normal 2 2 4 5" xfId="3986" xr:uid="{00000000-0005-0000-0000-00009C0F0000}"/>
    <cellStyle name="Normal 2 2 5" xfId="3987" xr:uid="{00000000-0005-0000-0000-00009D0F0000}"/>
    <cellStyle name="Normal 2 2 5 2" xfId="3988" xr:uid="{00000000-0005-0000-0000-00009E0F0000}"/>
    <cellStyle name="Normal 2 2 5 2 2" xfId="3989" xr:uid="{00000000-0005-0000-0000-00009F0F0000}"/>
    <cellStyle name="Normal 2 2 5 2 2 2" xfId="3990" xr:uid="{00000000-0005-0000-0000-0000A00F0000}"/>
    <cellStyle name="Normal 2 2 5 2 2 2 2" xfId="3991" xr:uid="{00000000-0005-0000-0000-0000A10F0000}"/>
    <cellStyle name="Normal 2 2 5 2 2 3" xfId="3992" xr:uid="{00000000-0005-0000-0000-0000A20F0000}"/>
    <cellStyle name="Normal 2 2 5 2 2 3 2" xfId="3993" xr:uid="{00000000-0005-0000-0000-0000A30F0000}"/>
    <cellStyle name="Normal 2 2 5 2 2 4" xfId="3994" xr:uid="{00000000-0005-0000-0000-0000A40F0000}"/>
    <cellStyle name="Normal 2 2 5 2 3" xfId="3995" xr:uid="{00000000-0005-0000-0000-0000A50F0000}"/>
    <cellStyle name="Normal 2 2 5 2 3 2" xfId="3996" xr:uid="{00000000-0005-0000-0000-0000A60F0000}"/>
    <cellStyle name="Normal 2 2 5 2 4" xfId="3997" xr:uid="{00000000-0005-0000-0000-0000A70F0000}"/>
    <cellStyle name="Normal 2 2 5 2 4 2" xfId="3998" xr:uid="{00000000-0005-0000-0000-0000A80F0000}"/>
    <cellStyle name="Normal 2 2 5 2 5" xfId="3999" xr:uid="{00000000-0005-0000-0000-0000A90F0000}"/>
    <cellStyle name="Normal 2 2 5 3" xfId="4000" xr:uid="{00000000-0005-0000-0000-0000AA0F0000}"/>
    <cellStyle name="Normal 2 2 5 3 2" xfId="4001" xr:uid="{00000000-0005-0000-0000-0000AB0F0000}"/>
    <cellStyle name="Normal 2 2 5 3 2 2" xfId="4002" xr:uid="{00000000-0005-0000-0000-0000AC0F0000}"/>
    <cellStyle name="Normal 2 2 5 3 2 2 2" xfId="4003" xr:uid="{00000000-0005-0000-0000-0000AD0F0000}"/>
    <cellStyle name="Normal 2 2 5 3 2 3" xfId="4004" xr:uid="{00000000-0005-0000-0000-0000AE0F0000}"/>
    <cellStyle name="Normal 2 2 5 3 2 3 2" xfId="4005" xr:uid="{00000000-0005-0000-0000-0000AF0F0000}"/>
    <cellStyle name="Normal 2 2 5 3 2 4" xfId="4006" xr:uid="{00000000-0005-0000-0000-0000B00F0000}"/>
    <cellStyle name="Normal 2 2 5 3 3" xfId="4007" xr:uid="{00000000-0005-0000-0000-0000B10F0000}"/>
    <cellStyle name="Normal 2 2 5 3 3 2" xfId="4008" xr:uid="{00000000-0005-0000-0000-0000B20F0000}"/>
    <cellStyle name="Normal 2 2 5 3 4" xfId="4009" xr:uid="{00000000-0005-0000-0000-0000B30F0000}"/>
    <cellStyle name="Normal 2 2 5 3 4 2" xfId="4010" xr:uid="{00000000-0005-0000-0000-0000B40F0000}"/>
    <cellStyle name="Normal 2 2 5 3 5" xfId="4011" xr:uid="{00000000-0005-0000-0000-0000B50F0000}"/>
    <cellStyle name="Normal 2 2 5 4" xfId="4012" xr:uid="{00000000-0005-0000-0000-0000B60F0000}"/>
    <cellStyle name="Normal 2 2 5 5" xfId="4013" xr:uid="{00000000-0005-0000-0000-0000B70F0000}"/>
    <cellStyle name="Normal 2 2 6" xfId="4014" xr:uid="{00000000-0005-0000-0000-0000B80F0000}"/>
    <cellStyle name="Normal 2 2 6 2" xfId="4015" xr:uid="{00000000-0005-0000-0000-0000B90F0000}"/>
    <cellStyle name="Normal 2 2 6 2 2" xfId="4016" xr:uid="{00000000-0005-0000-0000-0000BA0F0000}"/>
    <cellStyle name="Normal 2 2 6 2 2 2" xfId="4017" xr:uid="{00000000-0005-0000-0000-0000BB0F0000}"/>
    <cellStyle name="Normal 2 2 6 2 2 2 2" xfId="4018" xr:uid="{00000000-0005-0000-0000-0000BC0F0000}"/>
    <cellStyle name="Normal 2 2 6 2 2 3" xfId="4019" xr:uid="{00000000-0005-0000-0000-0000BD0F0000}"/>
    <cellStyle name="Normal 2 2 6 2 2 3 2" xfId="4020" xr:uid="{00000000-0005-0000-0000-0000BE0F0000}"/>
    <cellStyle name="Normal 2 2 6 2 2 4" xfId="4021" xr:uid="{00000000-0005-0000-0000-0000BF0F0000}"/>
    <cellStyle name="Normal 2 2 6 2 3" xfId="4022" xr:uid="{00000000-0005-0000-0000-0000C00F0000}"/>
    <cellStyle name="Normal 2 2 6 2 3 2" xfId="4023" xr:uid="{00000000-0005-0000-0000-0000C10F0000}"/>
    <cellStyle name="Normal 2 2 6 2 4" xfId="4024" xr:uid="{00000000-0005-0000-0000-0000C20F0000}"/>
    <cellStyle name="Normal 2 2 6 2 4 2" xfId="4025" xr:uid="{00000000-0005-0000-0000-0000C30F0000}"/>
    <cellStyle name="Normal 2 2 6 2 5" xfId="4026" xr:uid="{00000000-0005-0000-0000-0000C40F0000}"/>
    <cellStyle name="Normal 2 2 6 3" xfId="4027" xr:uid="{00000000-0005-0000-0000-0000C50F0000}"/>
    <cellStyle name="Normal 2 2 6 4" xfId="4028" xr:uid="{00000000-0005-0000-0000-0000C60F0000}"/>
    <cellStyle name="Normal 2 2 7" xfId="4029" xr:uid="{00000000-0005-0000-0000-0000C70F0000}"/>
    <cellStyle name="Normal 2 2 7 2" xfId="4030" xr:uid="{00000000-0005-0000-0000-0000C80F0000}"/>
    <cellStyle name="Normal 2 2 7 2 2" xfId="4031" xr:uid="{00000000-0005-0000-0000-0000C90F0000}"/>
    <cellStyle name="Normal 2 2 7 2 2 2" xfId="4032" xr:uid="{00000000-0005-0000-0000-0000CA0F0000}"/>
    <cellStyle name="Normal 2 2 7 2 2 2 2" xfId="4033" xr:uid="{00000000-0005-0000-0000-0000CB0F0000}"/>
    <cellStyle name="Normal 2 2 7 2 2 3" xfId="4034" xr:uid="{00000000-0005-0000-0000-0000CC0F0000}"/>
    <cellStyle name="Normal 2 2 7 2 2 3 2" xfId="4035" xr:uid="{00000000-0005-0000-0000-0000CD0F0000}"/>
    <cellStyle name="Normal 2 2 7 2 2 4" xfId="4036" xr:uid="{00000000-0005-0000-0000-0000CE0F0000}"/>
    <cellStyle name="Normal 2 2 7 2 3" xfId="4037" xr:uid="{00000000-0005-0000-0000-0000CF0F0000}"/>
    <cellStyle name="Normal 2 2 7 2 3 2" xfId="4038" xr:uid="{00000000-0005-0000-0000-0000D00F0000}"/>
    <cellStyle name="Normal 2 2 7 2 4" xfId="4039" xr:uid="{00000000-0005-0000-0000-0000D10F0000}"/>
    <cellStyle name="Normal 2 2 7 2 4 2" xfId="4040" xr:uid="{00000000-0005-0000-0000-0000D20F0000}"/>
    <cellStyle name="Normal 2 2 7 2 5" xfId="4041" xr:uid="{00000000-0005-0000-0000-0000D30F0000}"/>
    <cellStyle name="Normal 2 2 7 3" xfId="4042" xr:uid="{00000000-0005-0000-0000-0000D40F0000}"/>
    <cellStyle name="Normal 2 2 7 3 2" xfId="4043" xr:uid="{00000000-0005-0000-0000-0000D50F0000}"/>
    <cellStyle name="Normal 2 2 7 3 2 2" xfId="4044" xr:uid="{00000000-0005-0000-0000-0000D60F0000}"/>
    <cellStyle name="Normal 2 2 7 3 3" xfId="4045" xr:uid="{00000000-0005-0000-0000-0000D70F0000}"/>
    <cellStyle name="Normal 2 2 7 3 3 2" xfId="4046" xr:uid="{00000000-0005-0000-0000-0000D80F0000}"/>
    <cellStyle name="Normal 2 2 7 3 4" xfId="4047" xr:uid="{00000000-0005-0000-0000-0000D90F0000}"/>
    <cellStyle name="Normal 2 2 7 3 5" xfId="4048" xr:uid="{00000000-0005-0000-0000-0000DA0F0000}"/>
    <cellStyle name="Normal 2 2 7 4" xfId="4049" xr:uid="{00000000-0005-0000-0000-0000DB0F0000}"/>
    <cellStyle name="Normal 2 2 7 4 2" xfId="4050" xr:uid="{00000000-0005-0000-0000-0000DC0F0000}"/>
    <cellStyle name="Normal 2 2 7 4 2 2" xfId="4051" xr:uid="{00000000-0005-0000-0000-0000DD0F0000}"/>
    <cellStyle name="Normal 2 2 7 4 3" xfId="4052" xr:uid="{00000000-0005-0000-0000-0000DE0F0000}"/>
    <cellStyle name="Normal 2 2 7 4 3 2" xfId="4053" xr:uid="{00000000-0005-0000-0000-0000DF0F0000}"/>
    <cellStyle name="Normal 2 2 7 5" xfId="4054" xr:uid="{00000000-0005-0000-0000-0000E00F0000}"/>
    <cellStyle name="Normal 2 2 7 5 2" xfId="4055" xr:uid="{00000000-0005-0000-0000-0000E10F0000}"/>
    <cellStyle name="Normal 2 2 7 6" xfId="4056" xr:uid="{00000000-0005-0000-0000-0000E20F0000}"/>
    <cellStyle name="Normal 2 2 7 6 2" xfId="4057" xr:uid="{00000000-0005-0000-0000-0000E30F0000}"/>
    <cellStyle name="Normal 2 2 8" xfId="4058" xr:uid="{00000000-0005-0000-0000-0000E40F0000}"/>
    <cellStyle name="Normal 2 2 8 2" xfId="4059" xr:uid="{00000000-0005-0000-0000-0000E50F0000}"/>
    <cellStyle name="Normal 2 2 8 2 2" xfId="4060" xr:uid="{00000000-0005-0000-0000-0000E60F0000}"/>
    <cellStyle name="Normal 2 2 8 2 2 2" xfId="4061" xr:uid="{00000000-0005-0000-0000-0000E70F0000}"/>
    <cellStyle name="Normal 2 2 8 2 2 2 2" xfId="4062" xr:uid="{00000000-0005-0000-0000-0000E80F0000}"/>
    <cellStyle name="Normal 2 2 8 2 2 2 2 2" xfId="4063" xr:uid="{00000000-0005-0000-0000-0000E90F0000}"/>
    <cellStyle name="Normal 2 2 8 2 2 2 3" xfId="4064" xr:uid="{00000000-0005-0000-0000-0000EA0F0000}"/>
    <cellStyle name="Normal 2 2 8 2 2 3" xfId="4065" xr:uid="{00000000-0005-0000-0000-0000EB0F0000}"/>
    <cellStyle name="Normal 2 2 8 2 2 3 2" xfId="4066" xr:uid="{00000000-0005-0000-0000-0000EC0F0000}"/>
    <cellStyle name="Normal 2 2 8 2 2 3 2 2" xfId="4067" xr:uid="{00000000-0005-0000-0000-0000ED0F0000}"/>
    <cellStyle name="Normal 2 2 8 2 2 3 3" xfId="4068" xr:uid="{00000000-0005-0000-0000-0000EE0F0000}"/>
    <cellStyle name="Normal 2 2 8 2 2 4" xfId="4069" xr:uid="{00000000-0005-0000-0000-0000EF0F0000}"/>
    <cellStyle name="Normal 2 2 8 2 2 4 2" xfId="4070" xr:uid="{00000000-0005-0000-0000-0000F00F0000}"/>
    <cellStyle name="Normal 2 2 8 2 2 5" xfId="4071" xr:uid="{00000000-0005-0000-0000-0000F10F0000}"/>
    <cellStyle name="Normal 2 2 8 2 2 6" xfId="4072" xr:uid="{00000000-0005-0000-0000-0000F20F0000}"/>
    <cellStyle name="Normal 2 2 8 2 3" xfId="4073" xr:uid="{00000000-0005-0000-0000-0000F30F0000}"/>
    <cellStyle name="Normal 2 2 8 2 3 2" xfId="4074" xr:uid="{00000000-0005-0000-0000-0000F40F0000}"/>
    <cellStyle name="Normal 2 2 8 2 3 2 2" xfId="4075" xr:uid="{00000000-0005-0000-0000-0000F50F0000}"/>
    <cellStyle name="Normal 2 2 8 2 3 3" xfId="4076" xr:uid="{00000000-0005-0000-0000-0000F60F0000}"/>
    <cellStyle name="Normal 2 2 8 2 4" xfId="4077" xr:uid="{00000000-0005-0000-0000-0000F70F0000}"/>
    <cellStyle name="Normal 2 2 8 2 4 2" xfId="4078" xr:uid="{00000000-0005-0000-0000-0000F80F0000}"/>
    <cellStyle name="Normal 2 2 8 2 4 2 2" xfId="4079" xr:uid="{00000000-0005-0000-0000-0000F90F0000}"/>
    <cellStyle name="Normal 2 2 8 2 4 2 3" xfId="4080" xr:uid="{00000000-0005-0000-0000-0000FA0F0000}"/>
    <cellStyle name="Normal 2 2 8 2 4 3" xfId="4081" xr:uid="{00000000-0005-0000-0000-0000FB0F0000}"/>
    <cellStyle name="Normal 2 2 8 2 5" xfId="4082" xr:uid="{00000000-0005-0000-0000-0000FC0F0000}"/>
    <cellStyle name="Normal 2 2 8 2 5 2" xfId="4083" xr:uid="{00000000-0005-0000-0000-0000FD0F0000}"/>
    <cellStyle name="Normal 2 2 8 2 5 3" xfId="4084" xr:uid="{00000000-0005-0000-0000-0000FE0F0000}"/>
    <cellStyle name="Normal 2 2 8 2 6" xfId="4085" xr:uid="{00000000-0005-0000-0000-0000FF0F0000}"/>
    <cellStyle name="Normal 2 2 8 2 7" xfId="4086" xr:uid="{00000000-0005-0000-0000-000000100000}"/>
    <cellStyle name="Normal 2 2 8 3" xfId="4087" xr:uid="{00000000-0005-0000-0000-000001100000}"/>
    <cellStyle name="Normal 2 2 8 3 2" xfId="4088" xr:uid="{00000000-0005-0000-0000-000002100000}"/>
    <cellStyle name="Normal 2 2 8 4" xfId="4089" xr:uid="{00000000-0005-0000-0000-000003100000}"/>
    <cellStyle name="Normal 2 2 9" xfId="4090" xr:uid="{00000000-0005-0000-0000-000004100000}"/>
    <cellStyle name="Normal 2 2 9 2" xfId="4091" xr:uid="{00000000-0005-0000-0000-000005100000}"/>
    <cellStyle name="Normal 2 2 9 2 2" xfId="4092" xr:uid="{00000000-0005-0000-0000-000006100000}"/>
    <cellStyle name="Normal 2 2 9 2 2 2" xfId="4093" xr:uid="{00000000-0005-0000-0000-000007100000}"/>
    <cellStyle name="Normal 2 2 9 2 2 2 2" xfId="4094" xr:uid="{00000000-0005-0000-0000-000008100000}"/>
    <cellStyle name="Normal 2 2 9 2 2 2 3" xfId="4095" xr:uid="{00000000-0005-0000-0000-000009100000}"/>
    <cellStyle name="Normal 2 2 9 2 2 3" xfId="4096" xr:uid="{00000000-0005-0000-0000-00000A100000}"/>
    <cellStyle name="Normal 2 2 9 2 2 4" xfId="4097" xr:uid="{00000000-0005-0000-0000-00000B100000}"/>
    <cellStyle name="Normal 2 2 9 2 3" xfId="4098" xr:uid="{00000000-0005-0000-0000-00000C100000}"/>
    <cellStyle name="Normal 2 2 9 2 3 2" xfId="4099" xr:uid="{00000000-0005-0000-0000-00000D100000}"/>
    <cellStyle name="Normal 2 2 9 2 3 2 2" xfId="4100" xr:uid="{00000000-0005-0000-0000-00000E100000}"/>
    <cellStyle name="Normal 2 2 9 2 3 2 3" xfId="4101" xr:uid="{00000000-0005-0000-0000-00000F100000}"/>
    <cellStyle name="Normal 2 2 9 2 3 3" xfId="4102" xr:uid="{00000000-0005-0000-0000-000010100000}"/>
    <cellStyle name="Normal 2 2 9 2 3 4" xfId="4103" xr:uid="{00000000-0005-0000-0000-000011100000}"/>
    <cellStyle name="Normal 2 2 9 2 4" xfId="4104" xr:uid="{00000000-0005-0000-0000-000012100000}"/>
    <cellStyle name="Normal 2 2 9 2 4 2" xfId="4105" xr:uid="{00000000-0005-0000-0000-000013100000}"/>
    <cellStyle name="Normal 2 2 9 2 4 3" xfId="4106" xr:uid="{00000000-0005-0000-0000-000014100000}"/>
    <cellStyle name="Normal 2 2 9 2 5" xfId="4107" xr:uid="{00000000-0005-0000-0000-000015100000}"/>
    <cellStyle name="Normal 2 2 9 2 6" xfId="4108" xr:uid="{00000000-0005-0000-0000-000016100000}"/>
    <cellStyle name="Normal 2 2 9 2 7" xfId="4109" xr:uid="{00000000-0005-0000-0000-000017100000}"/>
    <cellStyle name="Normal 2 2 9 3" xfId="4110" xr:uid="{00000000-0005-0000-0000-000018100000}"/>
    <cellStyle name="Normal 2 2 9 3 2" xfId="4111" xr:uid="{00000000-0005-0000-0000-000019100000}"/>
    <cellStyle name="Normal 2 2 9 3 2 2" xfId="4112" xr:uid="{00000000-0005-0000-0000-00001A100000}"/>
    <cellStyle name="Normal 2 2 9 3 2 2 2" xfId="4113" xr:uid="{00000000-0005-0000-0000-00001B100000}"/>
    <cellStyle name="Normal 2 2 9 3 2 2 3" xfId="4114" xr:uid="{00000000-0005-0000-0000-00001C100000}"/>
    <cellStyle name="Normal 2 2 9 3 2 3" xfId="4115" xr:uid="{00000000-0005-0000-0000-00001D100000}"/>
    <cellStyle name="Normal 2 2 9 3 2 4" xfId="4116" xr:uid="{00000000-0005-0000-0000-00001E100000}"/>
    <cellStyle name="Normal 2 2 9 3 3" xfId="4117" xr:uid="{00000000-0005-0000-0000-00001F100000}"/>
    <cellStyle name="Normal 2 2 9 3 3 2" xfId="4118" xr:uid="{00000000-0005-0000-0000-000020100000}"/>
    <cellStyle name="Normal 2 2 9 3 3 3" xfId="4119" xr:uid="{00000000-0005-0000-0000-000021100000}"/>
    <cellStyle name="Normal 2 2 9 3 4" xfId="4120" xr:uid="{00000000-0005-0000-0000-000022100000}"/>
    <cellStyle name="Normal 2 2 9 3 5" xfId="4121" xr:uid="{00000000-0005-0000-0000-000023100000}"/>
    <cellStyle name="Normal 2 2 9 4" xfId="4122" xr:uid="{00000000-0005-0000-0000-000024100000}"/>
    <cellStyle name="Normal 2 2 9 4 2" xfId="4123" xr:uid="{00000000-0005-0000-0000-000025100000}"/>
    <cellStyle name="Normal 2 2 9 4 3" xfId="4124" xr:uid="{00000000-0005-0000-0000-000026100000}"/>
    <cellStyle name="Normal 2 2 9 5" xfId="4125" xr:uid="{00000000-0005-0000-0000-000027100000}"/>
    <cellStyle name="Normal 2 2 9 5 2" xfId="4126" xr:uid="{00000000-0005-0000-0000-000028100000}"/>
    <cellStyle name="Normal 2 2 9 5 3" xfId="4127" xr:uid="{00000000-0005-0000-0000-000029100000}"/>
    <cellStyle name="Normal 2 2 9 6" xfId="4128" xr:uid="{00000000-0005-0000-0000-00002A100000}"/>
    <cellStyle name="Normal 2 2 9 7" xfId="4129" xr:uid="{00000000-0005-0000-0000-00002B100000}"/>
    <cellStyle name="Normal 2 2 9 8" xfId="4130" xr:uid="{00000000-0005-0000-0000-00002C100000}"/>
    <cellStyle name="Normal 2 2_DACNEW" xfId="17777" xr:uid="{00000000-0005-0000-0000-00002D100000}"/>
    <cellStyle name="Normal 2 20" xfId="4131" xr:uid="{00000000-0005-0000-0000-00002E100000}"/>
    <cellStyle name="Normal 2 20 2" xfId="4132" xr:uid="{00000000-0005-0000-0000-00002F100000}"/>
    <cellStyle name="Normal 2 20 3" xfId="4133" xr:uid="{00000000-0005-0000-0000-000030100000}"/>
    <cellStyle name="Normal 2 20 4" xfId="4134" xr:uid="{00000000-0005-0000-0000-000031100000}"/>
    <cellStyle name="Normal 2 21" xfId="4135" xr:uid="{00000000-0005-0000-0000-000032100000}"/>
    <cellStyle name="Normal 2 21 2" xfId="4136" xr:uid="{00000000-0005-0000-0000-000033100000}"/>
    <cellStyle name="Normal 2 21 3" xfId="4137" xr:uid="{00000000-0005-0000-0000-000034100000}"/>
    <cellStyle name="Normal 2 21 4" xfId="4138" xr:uid="{00000000-0005-0000-0000-000035100000}"/>
    <cellStyle name="Normal 2 22" xfId="4139" xr:uid="{00000000-0005-0000-0000-000036100000}"/>
    <cellStyle name="Normal 2 22 2" xfId="4140" xr:uid="{00000000-0005-0000-0000-000037100000}"/>
    <cellStyle name="Normal 2 22 3" xfId="4141" xr:uid="{00000000-0005-0000-0000-000038100000}"/>
    <cellStyle name="Normal 2 22 4" xfId="4142" xr:uid="{00000000-0005-0000-0000-000039100000}"/>
    <cellStyle name="Normal 2 23" xfId="4143" xr:uid="{00000000-0005-0000-0000-00003A100000}"/>
    <cellStyle name="Normal 2 23 2" xfId="4144" xr:uid="{00000000-0005-0000-0000-00003B100000}"/>
    <cellStyle name="Normal 2 23 3" xfId="4145" xr:uid="{00000000-0005-0000-0000-00003C100000}"/>
    <cellStyle name="Normal 2 23 4" xfId="4146" xr:uid="{00000000-0005-0000-0000-00003D100000}"/>
    <cellStyle name="Normal 2 24" xfId="4147" xr:uid="{00000000-0005-0000-0000-00003E100000}"/>
    <cellStyle name="Normal 2 24 2" xfId="4148" xr:uid="{00000000-0005-0000-0000-00003F100000}"/>
    <cellStyle name="Normal 2 24 3" xfId="4149" xr:uid="{00000000-0005-0000-0000-000040100000}"/>
    <cellStyle name="Normal 2 24 4" xfId="4150" xr:uid="{00000000-0005-0000-0000-000041100000}"/>
    <cellStyle name="Normal 2 25" xfId="4151" xr:uid="{00000000-0005-0000-0000-000042100000}"/>
    <cellStyle name="Normal 2 25 2" xfId="4152" xr:uid="{00000000-0005-0000-0000-000043100000}"/>
    <cellStyle name="Normal 2 25 3" xfId="4153" xr:uid="{00000000-0005-0000-0000-000044100000}"/>
    <cellStyle name="Normal 2 25 4" xfId="4154" xr:uid="{00000000-0005-0000-0000-000045100000}"/>
    <cellStyle name="Normal 2 26" xfId="4155" xr:uid="{00000000-0005-0000-0000-000046100000}"/>
    <cellStyle name="Normal 2 26 2" xfId="4156" xr:uid="{00000000-0005-0000-0000-000047100000}"/>
    <cellStyle name="Normal 2 26 3" xfId="4157" xr:uid="{00000000-0005-0000-0000-000048100000}"/>
    <cellStyle name="Normal 2 26 4" xfId="4158" xr:uid="{00000000-0005-0000-0000-000049100000}"/>
    <cellStyle name="Normal 2 27" xfId="4159" xr:uid="{00000000-0005-0000-0000-00004A100000}"/>
    <cellStyle name="Normal 2 27 2" xfId="4160" xr:uid="{00000000-0005-0000-0000-00004B100000}"/>
    <cellStyle name="Normal 2 27 3" xfId="4161" xr:uid="{00000000-0005-0000-0000-00004C100000}"/>
    <cellStyle name="Normal 2 27 4" xfId="4162" xr:uid="{00000000-0005-0000-0000-00004D100000}"/>
    <cellStyle name="Normal 2 28" xfId="4163" xr:uid="{00000000-0005-0000-0000-00004E100000}"/>
    <cellStyle name="Normal 2 28 2" xfId="4164" xr:uid="{00000000-0005-0000-0000-00004F100000}"/>
    <cellStyle name="Normal 2 28 3" xfId="4165" xr:uid="{00000000-0005-0000-0000-000050100000}"/>
    <cellStyle name="Normal 2 28 4" xfId="4166" xr:uid="{00000000-0005-0000-0000-000051100000}"/>
    <cellStyle name="Normal 2 29" xfId="4167" xr:uid="{00000000-0005-0000-0000-000052100000}"/>
    <cellStyle name="Normal 2 29 2" xfId="4168" xr:uid="{00000000-0005-0000-0000-000053100000}"/>
    <cellStyle name="Normal 2 29 3" xfId="4169" xr:uid="{00000000-0005-0000-0000-000054100000}"/>
    <cellStyle name="Normal 2 29 4" xfId="4170" xr:uid="{00000000-0005-0000-0000-000055100000}"/>
    <cellStyle name="Normal 2 3" xfId="4171" xr:uid="{00000000-0005-0000-0000-000056100000}"/>
    <cellStyle name="Normal 2 3 10" xfId="4172" xr:uid="{00000000-0005-0000-0000-000057100000}"/>
    <cellStyle name="Normal 2 3 10 2" xfId="4173" xr:uid="{00000000-0005-0000-0000-000058100000}"/>
    <cellStyle name="Normal 2 3 10 2 2" xfId="4174" xr:uid="{00000000-0005-0000-0000-000059100000}"/>
    <cellStyle name="Normal 2 3 10 2 2 2" xfId="4175" xr:uid="{00000000-0005-0000-0000-00005A100000}"/>
    <cellStyle name="Normal 2 3 10 2 2 2 2" xfId="4176" xr:uid="{00000000-0005-0000-0000-00005B100000}"/>
    <cellStyle name="Normal 2 3 10 2 2 2 3" xfId="4177" xr:uid="{00000000-0005-0000-0000-00005C100000}"/>
    <cellStyle name="Normal 2 3 10 2 2 3" xfId="4178" xr:uid="{00000000-0005-0000-0000-00005D100000}"/>
    <cellStyle name="Normal 2 3 10 2 2 4" xfId="4179" xr:uid="{00000000-0005-0000-0000-00005E100000}"/>
    <cellStyle name="Normal 2 3 10 2 3" xfId="4180" xr:uid="{00000000-0005-0000-0000-00005F100000}"/>
    <cellStyle name="Normal 2 3 10 2 3 2" xfId="4181" xr:uid="{00000000-0005-0000-0000-000060100000}"/>
    <cellStyle name="Normal 2 3 10 2 3 2 2" xfId="4182" xr:uid="{00000000-0005-0000-0000-000061100000}"/>
    <cellStyle name="Normal 2 3 10 2 3 2 3" xfId="4183" xr:uid="{00000000-0005-0000-0000-000062100000}"/>
    <cellStyle name="Normal 2 3 10 2 3 3" xfId="4184" xr:uid="{00000000-0005-0000-0000-000063100000}"/>
    <cellStyle name="Normal 2 3 10 2 3 4" xfId="4185" xr:uid="{00000000-0005-0000-0000-000064100000}"/>
    <cellStyle name="Normal 2 3 10 2 4" xfId="4186" xr:uid="{00000000-0005-0000-0000-000065100000}"/>
    <cellStyle name="Normal 2 3 10 2 4 2" xfId="4187" xr:uid="{00000000-0005-0000-0000-000066100000}"/>
    <cellStyle name="Normal 2 3 10 2 4 3" xfId="4188" xr:uid="{00000000-0005-0000-0000-000067100000}"/>
    <cellStyle name="Normal 2 3 10 2 5" xfId="4189" xr:uid="{00000000-0005-0000-0000-000068100000}"/>
    <cellStyle name="Normal 2 3 10 2 6" xfId="4190" xr:uid="{00000000-0005-0000-0000-000069100000}"/>
    <cellStyle name="Normal 2 3 10 2 7" xfId="4191" xr:uid="{00000000-0005-0000-0000-00006A100000}"/>
    <cellStyle name="Normal 2 3 10 3" xfId="4192" xr:uid="{00000000-0005-0000-0000-00006B100000}"/>
    <cellStyle name="Normal 2 3 10 3 2" xfId="4193" xr:uid="{00000000-0005-0000-0000-00006C100000}"/>
    <cellStyle name="Normal 2 3 10 3 2 2" xfId="4194" xr:uid="{00000000-0005-0000-0000-00006D100000}"/>
    <cellStyle name="Normal 2 3 10 3 2 2 2" xfId="4195" xr:uid="{00000000-0005-0000-0000-00006E100000}"/>
    <cellStyle name="Normal 2 3 10 3 2 2 3" xfId="4196" xr:uid="{00000000-0005-0000-0000-00006F100000}"/>
    <cellStyle name="Normal 2 3 10 3 2 3" xfId="4197" xr:uid="{00000000-0005-0000-0000-000070100000}"/>
    <cellStyle name="Normal 2 3 10 3 2 4" xfId="4198" xr:uid="{00000000-0005-0000-0000-000071100000}"/>
    <cellStyle name="Normal 2 3 10 3 3" xfId="4199" xr:uid="{00000000-0005-0000-0000-000072100000}"/>
    <cellStyle name="Normal 2 3 10 3 3 2" xfId="4200" xr:uid="{00000000-0005-0000-0000-000073100000}"/>
    <cellStyle name="Normal 2 3 10 3 3 3" xfId="4201" xr:uid="{00000000-0005-0000-0000-000074100000}"/>
    <cellStyle name="Normal 2 3 10 3 4" xfId="4202" xr:uid="{00000000-0005-0000-0000-000075100000}"/>
    <cellStyle name="Normal 2 3 10 3 5" xfId="4203" xr:uid="{00000000-0005-0000-0000-000076100000}"/>
    <cellStyle name="Normal 2 3 10 4" xfId="4204" xr:uid="{00000000-0005-0000-0000-000077100000}"/>
    <cellStyle name="Normal 2 3 10 4 2" xfId="4205" xr:uid="{00000000-0005-0000-0000-000078100000}"/>
    <cellStyle name="Normal 2 3 10 4 3" xfId="4206" xr:uid="{00000000-0005-0000-0000-000079100000}"/>
    <cellStyle name="Normal 2 3 10 5" xfId="4207" xr:uid="{00000000-0005-0000-0000-00007A100000}"/>
    <cellStyle name="Normal 2 3 10 5 2" xfId="4208" xr:uid="{00000000-0005-0000-0000-00007B100000}"/>
    <cellStyle name="Normal 2 3 10 5 3" xfId="4209" xr:uid="{00000000-0005-0000-0000-00007C100000}"/>
    <cellStyle name="Normal 2 3 10 6" xfId="4210" xr:uid="{00000000-0005-0000-0000-00007D100000}"/>
    <cellStyle name="Normal 2 3 10 7" xfId="4211" xr:uid="{00000000-0005-0000-0000-00007E100000}"/>
    <cellStyle name="Normal 2 3 10 8" xfId="4212" xr:uid="{00000000-0005-0000-0000-00007F100000}"/>
    <cellStyle name="Normal 2 3 11" xfId="4213" xr:uid="{00000000-0005-0000-0000-000080100000}"/>
    <cellStyle name="Normal 2 3 11 2" xfId="4214" xr:uid="{00000000-0005-0000-0000-000081100000}"/>
    <cellStyle name="Normal 2 3 11 2 2" xfId="4215" xr:uid="{00000000-0005-0000-0000-000082100000}"/>
    <cellStyle name="Normal 2 3 11 2 2 2" xfId="4216" xr:uid="{00000000-0005-0000-0000-000083100000}"/>
    <cellStyle name="Normal 2 3 11 2 2 2 2" xfId="4217" xr:uid="{00000000-0005-0000-0000-000084100000}"/>
    <cellStyle name="Normal 2 3 11 2 2 2 3" xfId="4218" xr:uid="{00000000-0005-0000-0000-000085100000}"/>
    <cellStyle name="Normal 2 3 11 2 2 3" xfId="4219" xr:uid="{00000000-0005-0000-0000-000086100000}"/>
    <cellStyle name="Normal 2 3 11 2 2 4" xfId="4220" xr:uid="{00000000-0005-0000-0000-000087100000}"/>
    <cellStyle name="Normal 2 3 11 2 3" xfId="4221" xr:uid="{00000000-0005-0000-0000-000088100000}"/>
    <cellStyle name="Normal 2 3 11 2 3 2" xfId="4222" xr:uid="{00000000-0005-0000-0000-000089100000}"/>
    <cellStyle name="Normal 2 3 11 2 3 2 2" xfId="4223" xr:uid="{00000000-0005-0000-0000-00008A100000}"/>
    <cellStyle name="Normal 2 3 11 2 3 2 3" xfId="4224" xr:uid="{00000000-0005-0000-0000-00008B100000}"/>
    <cellStyle name="Normal 2 3 11 2 3 3" xfId="4225" xr:uid="{00000000-0005-0000-0000-00008C100000}"/>
    <cellStyle name="Normal 2 3 11 2 3 4" xfId="4226" xr:uid="{00000000-0005-0000-0000-00008D100000}"/>
    <cellStyle name="Normal 2 3 11 2 4" xfId="4227" xr:uid="{00000000-0005-0000-0000-00008E100000}"/>
    <cellStyle name="Normal 2 3 11 2 4 2" xfId="4228" xr:uid="{00000000-0005-0000-0000-00008F100000}"/>
    <cellStyle name="Normal 2 3 11 2 4 3" xfId="4229" xr:uid="{00000000-0005-0000-0000-000090100000}"/>
    <cellStyle name="Normal 2 3 11 2 5" xfId="4230" xr:uid="{00000000-0005-0000-0000-000091100000}"/>
    <cellStyle name="Normal 2 3 11 2 6" xfId="4231" xr:uid="{00000000-0005-0000-0000-000092100000}"/>
    <cellStyle name="Normal 2 3 11 2 7" xfId="4232" xr:uid="{00000000-0005-0000-0000-000093100000}"/>
    <cellStyle name="Normal 2 3 11 3" xfId="4233" xr:uid="{00000000-0005-0000-0000-000094100000}"/>
    <cellStyle name="Normal 2 3 11 3 2" xfId="4234" xr:uid="{00000000-0005-0000-0000-000095100000}"/>
    <cellStyle name="Normal 2 3 11 3 2 2" xfId="4235" xr:uid="{00000000-0005-0000-0000-000096100000}"/>
    <cellStyle name="Normal 2 3 11 3 2 2 2" xfId="4236" xr:uid="{00000000-0005-0000-0000-000097100000}"/>
    <cellStyle name="Normal 2 3 11 3 2 2 3" xfId="4237" xr:uid="{00000000-0005-0000-0000-000098100000}"/>
    <cellStyle name="Normal 2 3 11 3 2 3" xfId="4238" xr:uid="{00000000-0005-0000-0000-000099100000}"/>
    <cellStyle name="Normal 2 3 11 3 2 4" xfId="4239" xr:uid="{00000000-0005-0000-0000-00009A100000}"/>
    <cellStyle name="Normal 2 3 11 3 3" xfId="4240" xr:uid="{00000000-0005-0000-0000-00009B100000}"/>
    <cellStyle name="Normal 2 3 11 3 3 2" xfId="4241" xr:uid="{00000000-0005-0000-0000-00009C100000}"/>
    <cellStyle name="Normal 2 3 11 3 3 3" xfId="4242" xr:uid="{00000000-0005-0000-0000-00009D100000}"/>
    <cellStyle name="Normal 2 3 11 3 4" xfId="4243" xr:uid="{00000000-0005-0000-0000-00009E100000}"/>
    <cellStyle name="Normal 2 3 11 3 5" xfId="4244" xr:uid="{00000000-0005-0000-0000-00009F100000}"/>
    <cellStyle name="Normal 2 3 11 4" xfId="4245" xr:uid="{00000000-0005-0000-0000-0000A0100000}"/>
    <cellStyle name="Normal 2 3 11 4 2" xfId="4246" xr:uid="{00000000-0005-0000-0000-0000A1100000}"/>
    <cellStyle name="Normal 2 3 11 4 3" xfId="4247" xr:uid="{00000000-0005-0000-0000-0000A2100000}"/>
    <cellStyle name="Normal 2 3 11 5" xfId="4248" xr:uid="{00000000-0005-0000-0000-0000A3100000}"/>
    <cellStyle name="Normal 2 3 11 5 2" xfId="4249" xr:uid="{00000000-0005-0000-0000-0000A4100000}"/>
    <cellStyle name="Normal 2 3 11 5 3" xfId="4250" xr:uid="{00000000-0005-0000-0000-0000A5100000}"/>
    <cellStyle name="Normal 2 3 11 6" xfId="4251" xr:uid="{00000000-0005-0000-0000-0000A6100000}"/>
    <cellStyle name="Normal 2 3 11 7" xfId="4252" xr:uid="{00000000-0005-0000-0000-0000A7100000}"/>
    <cellStyle name="Normal 2 3 11 8" xfId="4253" xr:uid="{00000000-0005-0000-0000-0000A8100000}"/>
    <cellStyle name="Normal 2 3 12" xfId="4254" xr:uid="{00000000-0005-0000-0000-0000A9100000}"/>
    <cellStyle name="Normal 2 3 12 2" xfId="4255" xr:uid="{00000000-0005-0000-0000-0000AA100000}"/>
    <cellStyle name="Normal 2 3 12 2 2" xfId="4256" xr:uid="{00000000-0005-0000-0000-0000AB100000}"/>
    <cellStyle name="Normal 2 3 12 2 2 2" xfId="4257" xr:uid="{00000000-0005-0000-0000-0000AC100000}"/>
    <cellStyle name="Normal 2 3 12 2 2 2 2" xfId="4258" xr:uid="{00000000-0005-0000-0000-0000AD100000}"/>
    <cellStyle name="Normal 2 3 12 2 2 2 3" xfId="4259" xr:uid="{00000000-0005-0000-0000-0000AE100000}"/>
    <cellStyle name="Normal 2 3 12 2 2 3" xfId="4260" xr:uid="{00000000-0005-0000-0000-0000AF100000}"/>
    <cellStyle name="Normal 2 3 12 2 2 4" xfId="4261" xr:uid="{00000000-0005-0000-0000-0000B0100000}"/>
    <cellStyle name="Normal 2 3 12 2 3" xfId="4262" xr:uid="{00000000-0005-0000-0000-0000B1100000}"/>
    <cellStyle name="Normal 2 3 12 2 3 2" xfId="4263" xr:uid="{00000000-0005-0000-0000-0000B2100000}"/>
    <cellStyle name="Normal 2 3 12 2 3 2 2" xfId="4264" xr:uid="{00000000-0005-0000-0000-0000B3100000}"/>
    <cellStyle name="Normal 2 3 12 2 3 2 3" xfId="4265" xr:uid="{00000000-0005-0000-0000-0000B4100000}"/>
    <cellStyle name="Normal 2 3 12 2 3 3" xfId="4266" xr:uid="{00000000-0005-0000-0000-0000B5100000}"/>
    <cellStyle name="Normal 2 3 12 2 3 4" xfId="4267" xr:uid="{00000000-0005-0000-0000-0000B6100000}"/>
    <cellStyle name="Normal 2 3 12 2 4" xfId="4268" xr:uid="{00000000-0005-0000-0000-0000B7100000}"/>
    <cellStyle name="Normal 2 3 12 2 4 2" xfId="4269" xr:uid="{00000000-0005-0000-0000-0000B8100000}"/>
    <cellStyle name="Normal 2 3 12 2 4 3" xfId="4270" xr:uid="{00000000-0005-0000-0000-0000B9100000}"/>
    <cellStyle name="Normal 2 3 12 2 5" xfId="4271" xr:uid="{00000000-0005-0000-0000-0000BA100000}"/>
    <cellStyle name="Normal 2 3 12 2 6" xfId="4272" xr:uid="{00000000-0005-0000-0000-0000BB100000}"/>
    <cellStyle name="Normal 2 3 12 2 7" xfId="4273" xr:uid="{00000000-0005-0000-0000-0000BC100000}"/>
    <cellStyle name="Normal 2 3 12 3" xfId="4274" xr:uid="{00000000-0005-0000-0000-0000BD100000}"/>
    <cellStyle name="Normal 2 3 12 3 2" xfId="4275" xr:uid="{00000000-0005-0000-0000-0000BE100000}"/>
    <cellStyle name="Normal 2 3 12 3 2 2" xfId="4276" xr:uid="{00000000-0005-0000-0000-0000BF100000}"/>
    <cellStyle name="Normal 2 3 12 3 2 2 2" xfId="4277" xr:uid="{00000000-0005-0000-0000-0000C0100000}"/>
    <cellStyle name="Normal 2 3 12 3 2 2 3" xfId="4278" xr:uid="{00000000-0005-0000-0000-0000C1100000}"/>
    <cellStyle name="Normal 2 3 12 3 2 3" xfId="4279" xr:uid="{00000000-0005-0000-0000-0000C2100000}"/>
    <cellStyle name="Normal 2 3 12 3 2 4" xfId="4280" xr:uid="{00000000-0005-0000-0000-0000C3100000}"/>
    <cellStyle name="Normal 2 3 12 3 3" xfId="4281" xr:uid="{00000000-0005-0000-0000-0000C4100000}"/>
    <cellStyle name="Normal 2 3 12 3 3 2" xfId="4282" xr:uid="{00000000-0005-0000-0000-0000C5100000}"/>
    <cellStyle name="Normal 2 3 12 3 3 3" xfId="4283" xr:uid="{00000000-0005-0000-0000-0000C6100000}"/>
    <cellStyle name="Normal 2 3 12 3 4" xfId="4284" xr:uid="{00000000-0005-0000-0000-0000C7100000}"/>
    <cellStyle name="Normal 2 3 12 3 5" xfId="4285" xr:uid="{00000000-0005-0000-0000-0000C8100000}"/>
    <cellStyle name="Normal 2 3 12 4" xfId="4286" xr:uid="{00000000-0005-0000-0000-0000C9100000}"/>
    <cellStyle name="Normal 2 3 12 4 2" xfId="4287" xr:uid="{00000000-0005-0000-0000-0000CA100000}"/>
    <cellStyle name="Normal 2 3 12 4 3" xfId="4288" xr:uid="{00000000-0005-0000-0000-0000CB100000}"/>
    <cellStyle name="Normal 2 3 12 5" xfId="4289" xr:uid="{00000000-0005-0000-0000-0000CC100000}"/>
    <cellStyle name="Normal 2 3 12 5 2" xfId="4290" xr:uid="{00000000-0005-0000-0000-0000CD100000}"/>
    <cellStyle name="Normal 2 3 12 5 3" xfId="4291" xr:uid="{00000000-0005-0000-0000-0000CE100000}"/>
    <cellStyle name="Normal 2 3 12 6" xfId="4292" xr:uid="{00000000-0005-0000-0000-0000CF100000}"/>
    <cellStyle name="Normal 2 3 12 7" xfId="4293" xr:uid="{00000000-0005-0000-0000-0000D0100000}"/>
    <cellStyle name="Normal 2 3 12 8" xfId="4294" xr:uid="{00000000-0005-0000-0000-0000D1100000}"/>
    <cellStyle name="Normal 2 3 13" xfId="4295" xr:uid="{00000000-0005-0000-0000-0000D2100000}"/>
    <cellStyle name="Normal 2 3 13 2" xfId="4296" xr:uid="{00000000-0005-0000-0000-0000D3100000}"/>
    <cellStyle name="Normal 2 3 13 2 2" xfId="4297" xr:uid="{00000000-0005-0000-0000-0000D4100000}"/>
    <cellStyle name="Normal 2 3 13 2 2 2" xfId="4298" xr:uid="{00000000-0005-0000-0000-0000D5100000}"/>
    <cellStyle name="Normal 2 3 13 2 2 2 2" xfId="4299" xr:uid="{00000000-0005-0000-0000-0000D6100000}"/>
    <cellStyle name="Normal 2 3 13 2 2 2 3" xfId="4300" xr:uid="{00000000-0005-0000-0000-0000D7100000}"/>
    <cellStyle name="Normal 2 3 13 2 2 3" xfId="4301" xr:uid="{00000000-0005-0000-0000-0000D8100000}"/>
    <cellStyle name="Normal 2 3 13 2 2 4" xfId="4302" xr:uid="{00000000-0005-0000-0000-0000D9100000}"/>
    <cellStyle name="Normal 2 3 13 2 3" xfId="4303" xr:uid="{00000000-0005-0000-0000-0000DA100000}"/>
    <cellStyle name="Normal 2 3 13 2 3 2" xfId="4304" xr:uid="{00000000-0005-0000-0000-0000DB100000}"/>
    <cellStyle name="Normal 2 3 13 2 3 2 2" xfId="4305" xr:uid="{00000000-0005-0000-0000-0000DC100000}"/>
    <cellStyle name="Normal 2 3 13 2 3 2 3" xfId="4306" xr:uid="{00000000-0005-0000-0000-0000DD100000}"/>
    <cellStyle name="Normal 2 3 13 2 3 3" xfId="4307" xr:uid="{00000000-0005-0000-0000-0000DE100000}"/>
    <cellStyle name="Normal 2 3 13 2 3 4" xfId="4308" xr:uid="{00000000-0005-0000-0000-0000DF100000}"/>
    <cellStyle name="Normal 2 3 13 2 4" xfId="4309" xr:uid="{00000000-0005-0000-0000-0000E0100000}"/>
    <cellStyle name="Normal 2 3 13 2 4 2" xfId="4310" xr:uid="{00000000-0005-0000-0000-0000E1100000}"/>
    <cellStyle name="Normal 2 3 13 2 4 3" xfId="4311" xr:uid="{00000000-0005-0000-0000-0000E2100000}"/>
    <cellStyle name="Normal 2 3 13 2 5" xfId="4312" xr:uid="{00000000-0005-0000-0000-0000E3100000}"/>
    <cellStyle name="Normal 2 3 13 2 6" xfId="4313" xr:uid="{00000000-0005-0000-0000-0000E4100000}"/>
    <cellStyle name="Normal 2 3 13 2 7" xfId="4314" xr:uid="{00000000-0005-0000-0000-0000E5100000}"/>
    <cellStyle name="Normal 2 3 13 3" xfId="4315" xr:uid="{00000000-0005-0000-0000-0000E6100000}"/>
    <cellStyle name="Normal 2 3 13 3 2" xfId="4316" xr:uid="{00000000-0005-0000-0000-0000E7100000}"/>
    <cellStyle name="Normal 2 3 13 3 2 2" xfId="4317" xr:uid="{00000000-0005-0000-0000-0000E8100000}"/>
    <cellStyle name="Normal 2 3 13 3 2 2 2" xfId="4318" xr:uid="{00000000-0005-0000-0000-0000E9100000}"/>
    <cellStyle name="Normal 2 3 13 3 2 2 3" xfId="4319" xr:uid="{00000000-0005-0000-0000-0000EA100000}"/>
    <cellStyle name="Normal 2 3 13 3 2 3" xfId="4320" xr:uid="{00000000-0005-0000-0000-0000EB100000}"/>
    <cellStyle name="Normal 2 3 13 3 2 4" xfId="4321" xr:uid="{00000000-0005-0000-0000-0000EC100000}"/>
    <cellStyle name="Normal 2 3 13 3 3" xfId="4322" xr:uid="{00000000-0005-0000-0000-0000ED100000}"/>
    <cellStyle name="Normal 2 3 13 3 3 2" xfId="4323" xr:uid="{00000000-0005-0000-0000-0000EE100000}"/>
    <cellStyle name="Normal 2 3 13 3 3 3" xfId="4324" xr:uid="{00000000-0005-0000-0000-0000EF100000}"/>
    <cellStyle name="Normal 2 3 13 3 4" xfId="4325" xr:uid="{00000000-0005-0000-0000-0000F0100000}"/>
    <cellStyle name="Normal 2 3 13 3 5" xfId="4326" xr:uid="{00000000-0005-0000-0000-0000F1100000}"/>
    <cellStyle name="Normal 2 3 13 4" xfId="4327" xr:uid="{00000000-0005-0000-0000-0000F2100000}"/>
    <cellStyle name="Normal 2 3 13 4 2" xfId="4328" xr:uid="{00000000-0005-0000-0000-0000F3100000}"/>
    <cellStyle name="Normal 2 3 13 4 3" xfId="4329" xr:uid="{00000000-0005-0000-0000-0000F4100000}"/>
    <cellStyle name="Normal 2 3 13 5" xfId="4330" xr:uid="{00000000-0005-0000-0000-0000F5100000}"/>
    <cellStyle name="Normal 2 3 13 5 2" xfId="4331" xr:uid="{00000000-0005-0000-0000-0000F6100000}"/>
    <cellStyle name="Normal 2 3 13 5 3" xfId="4332" xr:uid="{00000000-0005-0000-0000-0000F7100000}"/>
    <cellStyle name="Normal 2 3 13 6" xfId="4333" xr:uid="{00000000-0005-0000-0000-0000F8100000}"/>
    <cellStyle name="Normal 2 3 13 7" xfId="4334" xr:uid="{00000000-0005-0000-0000-0000F9100000}"/>
    <cellStyle name="Normal 2 3 13 8" xfId="4335" xr:uid="{00000000-0005-0000-0000-0000FA100000}"/>
    <cellStyle name="Normal 2 3 14" xfId="4336" xr:uid="{00000000-0005-0000-0000-0000FB100000}"/>
    <cellStyle name="Normal 2 3 14 2" xfId="4337" xr:uid="{00000000-0005-0000-0000-0000FC100000}"/>
    <cellStyle name="Normal 2 3 14 3" xfId="4338" xr:uid="{00000000-0005-0000-0000-0000FD100000}"/>
    <cellStyle name="Normal 2 3 14 4" xfId="4339" xr:uid="{00000000-0005-0000-0000-0000FE100000}"/>
    <cellStyle name="Normal 2 3 15" xfId="4340" xr:uid="{00000000-0005-0000-0000-0000FF100000}"/>
    <cellStyle name="Normal 2 3 16" xfId="4341" xr:uid="{00000000-0005-0000-0000-000000110000}"/>
    <cellStyle name="Normal 2 3 17" xfId="4342" xr:uid="{00000000-0005-0000-0000-000001110000}"/>
    <cellStyle name="Normal 2 3 2" xfId="4343" xr:uid="{00000000-0005-0000-0000-000002110000}"/>
    <cellStyle name="Normal 2 3 2 10" xfId="4344" xr:uid="{00000000-0005-0000-0000-000003110000}"/>
    <cellStyle name="Normal 2 3 2 10 2" xfId="4345" xr:uid="{00000000-0005-0000-0000-000004110000}"/>
    <cellStyle name="Normal 2 3 2 10 3" xfId="4346" xr:uid="{00000000-0005-0000-0000-000005110000}"/>
    <cellStyle name="Normal 2 3 2 11" xfId="4347" xr:uid="{00000000-0005-0000-0000-000006110000}"/>
    <cellStyle name="Normal 2 3 2 12" xfId="4348" xr:uid="{00000000-0005-0000-0000-000007110000}"/>
    <cellStyle name="Normal 2 3 2 13" xfId="4349" xr:uid="{00000000-0005-0000-0000-000008110000}"/>
    <cellStyle name="Normal 2 3 2 14" xfId="4350" xr:uid="{00000000-0005-0000-0000-000009110000}"/>
    <cellStyle name="Normal 2 3 2 2" xfId="4351" xr:uid="{00000000-0005-0000-0000-00000A110000}"/>
    <cellStyle name="Normal 2 3 2 2 10" xfId="4352" xr:uid="{00000000-0005-0000-0000-00000B110000}"/>
    <cellStyle name="Normal 2 3 2 2 2" xfId="4353" xr:uid="{00000000-0005-0000-0000-00000C110000}"/>
    <cellStyle name="Normal 2 3 2 2 2 2" xfId="4354" xr:uid="{00000000-0005-0000-0000-00000D110000}"/>
    <cellStyle name="Normal 2 3 2 2 2 2 2" xfId="4355" xr:uid="{00000000-0005-0000-0000-00000E110000}"/>
    <cellStyle name="Normal 2 3 2 2 2 2 2 2" xfId="4356" xr:uid="{00000000-0005-0000-0000-00000F110000}"/>
    <cellStyle name="Normal 2 3 2 2 2 2 2 2 2" xfId="4357" xr:uid="{00000000-0005-0000-0000-000010110000}"/>
    <cellStyle name="Normal 2 3 2 2 2 2 2 2 3" xfId="4358" xr:uid="{00000000-0005-0000-0000-000011110000}"/>
    <cellStyle name="Normal 2 3 2 2 2 2 2 3" xfId="4359" xr:uid="{00000000-0005-0000-0000-000012110000}"/>
    <cellStyle name="Normal 2 3 2 2 2 2 2 4" xfId="4360" xr:uid="{00000000-0005-0000-0000-000013110000}"/>
    <cellStyle name="Normal 2 3 2 2 2 2 3" xfId="4361" xr:uid="{00000000-0005-0000-0000-000014110000}"/>
    <cellStyle name="Normal 2 3 2 2 2 2 3 2" xfId="4362" xr:uid="{00000000-0005-0000-0000-000015110000}"/>
    <cellStyle name="Normal 2 3 2 2 2 2 3 2 2" xfId="4363" xr:uid="{00000000-0005-0000-0000-000016110000}"/>
    <cellStyle name="Normal 2 3 2 2 2 2 3 2 3" xfId="4364" xr:uid="{00000000-0005-0000-0000-000017110000}"/>
    <cellStyle name="Normal 2 3 2 2 2 2 3 3" xfId="4365" xr:uid="{00000000-0005-0000-0000-000018110000}"/>
    <cellStyle name="Normal 2 3 2 2 2 2 3 4" xfId="4366" xr:uid="{00000000-0005-0000-0000-000019110000}"/>
    <cellStyle name="Normal 2 3 2 2 2 2 4" xfId="4367" xr:uid="{00000000-0005-0000-0000-00001A110000}"/>
    <cellStyle name="Normal 2 3 2 2 2 2 4 2" xfId="4368" xr:uid="{00000000-0005-0000-0000-00001B110000}"/>
    <cellStyle name="Normal 2 3 2 2 2 2 4 3" xfId="4369" xr:uid="{00000000-0005-0000-0000-00001C110000}"/>
    <cellStyle name="Normal 2 3 2 2 2 2 5" xfId="4370" xr:uid="{00000000-0005-0000-0000-00001D110000}"/>
    <cellStyle name="Normal 2 3 2 2 2 2 6" xfId="4371" xr:uid="{00000000-0005-0000-0000-00001E110000}"/>
    <cellStyle name="Normal 2 3 2 2 2 2 7" xfId="4372" xr:uid="{00000000-0005-0000-0000-00001F110000}"/>
    <cellStyle name="Normal 2 3 2 2 2 3" xfId="4373" xr:uid="{00000000-0005-0000-0000-000020110000}"/>
    <cellStyle name="Normal 2 3 2 2 2 3 2" xfId="4374" xr:uid="{00000000-0005-0000-0000-000021110000}"/>
    <cellStyle name="Normal 2 3 2 2 2 3 2 2" xfId="4375" xr:uid="{00000000-0005-0000-0000-000022110000}"/>
    <cellStyle name="Normal 2 3 2 2 2 3 2 3" xfId="4376" xr:uid="{00000000-0005-0000-0000-000023110000}"/>
    <cellStyle name="Normal 2 3 2 2 2 3 3" xfId="4377" xr:uid="{00000000-0005-0000-0000-000024110000}"/>
    <cellStyle name="Normal 2 3 2 2 2 3 4" xfId="4378" xr:uid="{00000000-0005-0000-0000-000025110000}"/>
    <cellStyle name="Normal 2 3 2 2 2 4" xfId="4379" xr:uid="{00000000-0005-0000-0000-000026110000}"/>
    <cellStyle name="Normal 2 3 2 2 2 4 2" xfId="4380" xr:uid="{00000000-0005-0000-0000-000027110000}"/>
    <cellStyle name="Normal 2 3 2 2 2 4 2 2" xfId="4381" xr:uid="{00000000-0005-0000-0000-000028110000}"/>
    <cellStyle name="Normal 2 3 2 2 2 4 2 3" xfId="4382" xr:uid="{00000000-0005-0000-0000-000029110000}"/>
    <cellStyle name="Normal 2 3 2 2 2 4 3" xfId="4383" xr:uid="{00000000-0005-0000-0000-00002A110000}"/>
    <cellStyle name="Normal 2 3 2 2 2 4 4" xfId="4384" xr:uid="{00000000-0005-0000-0000-00002B110000}"/>
    <cellStyle name="Normal 2 3 2 2 2 5" xfId="4385" xr:uid="{00000000-0005-0000-0000-00002C110000}"/>
    <cellStyle name="Normal 2 3 2 2 2 5 2" xfId="4386" xr:uid="{00000000-0005-0000-0000-00002D110000}"/>
    <cellStyle name="Normal 2 3 2 2 2 5 3" xfId="4387" xr:uid="{00000000-0005-0000-0000-00002E110000}"/>
    <cellStyle name="Normal 2 3 2 2 2 6" xfId="4388" xr:uid="{00000000-0005-0000-0000-00002F110000}"/>
    <cellStyle name="Normal 2 3 2 2 2 7" xfId="4389" xr:uid="{00000000-0005-0000-0000-000030110000}"/>
    <cellStyle name="Normal 2 3 2 2 2 8" xfId="4390" xr:uid="{00000000-0005-0000-0000-000031110000}"/>
    <cellStyle name="Normal 2 3 2 2 3" xfId="4391" xr:uid="{00000000-0005-0000-0000-000032110000}"/>
    <cellStyle name="Normal 2 3 2 2 3 2" xfId="4392" xr:uid="{00000000-0005-0000-0000-000033110000}"/>
    <cellStyle name="Normal 2 3 2 2 3 2 2" xfId="4393" xr:uid="{00000000-0005-0000-0000-000034110000}"/>
    <cellStyle name="Normal 2 3 2 2 3 2 2 2" xfId="4394" xr:uid="{00000000-0005-0000-0000-000035110000}"/>
    <cellStyle name="Normal 2 3 2 2 3 2 2 2 2" xfId="4395" xr:uid="{00000000-0005-0000-0000-000036110000}"/>
    <cellStyle name="Normal 2 3 2 2 3 2 2 2 3" xfId="4396" xr:uid="{00000000-0005-0000-0000-000037110000}"/>
    <cellStyle name="Normal 2 3 2 2 3 2 2 3" xfId="4397" xr:uid="{00000000-0005-0000-0000-000038110000}"/>
    <cellStyle name="Normal 2 3 2 2 3 2 2 4" xfId="4398" xr:uid="{00000000-0005-0000-0000-000039110000}"/>
    <cellStyle name="Normal 2 3 2 2 3 2 3" xfId="4399" xr:uid="{00000000-0005-0000-0000-00003A110000}"/>
    <cellStyle name="Normal 2 3 2 2 3 2 3 2" xfId="4400" xr:uid="{00000000-0005-0000-0000-00003B110000}"/>
    <cellStyle name="Normal 2 3 2 2 3 2 3 2 2" xfId="4401" xr:uid="{00000000-0005-0000-0000-00003C110000}"/>
    <cellStyle name="Normal 2 3 2 2 3 2 3 2 3" xfId="4402" xr:uid="{00000000-0005-0000-0000-00003D110000}"/>
    <cellStyle name="Normal 2 3 2 2 3 2 3 3" xfId="4403" xr:uid="{00000000-0005-0000-0000-00003E110000}"/>
    <cellStyle name="Normal 2 3 2 2 3 2 3 4" xfId="4404" xr:uid="{00000000-0005-0000-0000-00003F110000}"/>
    <cellStyle name="Normal 2 3 2 2 3 2 4" xfId="4405" xr:uid="{00000000-0005-0000-0000-000040110000}"/>
    <cellStyle name="Normal 2 3 2 2 3 2 4 2" xfId="4406" xr:uid="{00000000-0005-0000-0000-000041110000}"/>
    <cellStyle name="Normal 2 3 2 2 3 2 4 3" xfId="4407" xr:uid="{00000000-0005-0000-0000-000042110000}"/>
    <cellStyle name="Normal 2 3 2 2 3 2 5" xfId="4408" xr:uid="{00000000-0005-0000-0000-000043110000}"/>
    <cellStyle name="Normal 2 3 2 2 3 2 6" xfId="4409" xr:uid="{00000000-0005-0000-0000-000044110000}"/>
    <cellStyle name="Normal 2 3 2 2 3 2 7" xfId="4410" xr:uid="{00000000-0005-0000-0000-000045110000}"/>
    <cellStyle name="Normal 2 3 2 2 3 3" xfId="4411" xr:uid="{00000000-0005-0000-0000-000046110000}"/>
    <cellStyle name="Normal 2 3 2 2 3 3 2" xfId="4412" xr:uid="{00000000-0005-0000-0000-000047110000}"/>
    <cellStyle name="Normal 2 3 2 2 3 3 2 2" xfId="4413" xr:uid="{00000000-0005-0000-0000-000048110000}"/>
    <cellStyle name="Normal 2 3 2 2 3 3 2 3" xfId="4414" xr:uid="{00000000-0005-0000-0000-000049110000}"/>
    <cellStyle name="Normal 2 3 2 2 3 3 3" xfId="4415" xr:uid="{00000000-0005-0000-0000-00004A110000}"/>
    <cellStyle name="Normal 2 3 2 2 3 3 4" xfId="4416" xr:uid="{00000000-0005-0000-0000-00004B110000}"/>
    <cellStyle name="Normal 2 3 2 2 3 4" xfId="4417" xr:uid="{00000000-0005-0000-0000-00004C110000}"/>
    <cellStyle name="Normal 2 3 2 2 3 4 2" xfId="4418" xr:uid="{00000000-0005-0000-0000-00004D110000}"/>
    <cellStyle name="Normal 2 3 2 2 3 4 2 2" xfId="4419" xr:uid="{00000000-0005-0000-0000-00004E110000}"/>
    <cellStyle name="Normal 2 3 2 2 3 4 2 3" xfId="4420" xr:uid="{00000000-0005-0000-0000-00004F110000}"/>
    <cellStyle name="Normal 2 3 2 2 3 4 3" xfId="4421" xr:uid="{00000000-0005-0000-0000-000050110000}"/>
    <cellStyle name="Normal 2 3 2 2 3 4 4" xfId="4422" xr:uid="{00000000-0005-0000-0000-000051110000}"/>
    <cellStyle name="Normal 2 3 2 2 3 5" xfId="4423" xr:uid="{00000000-0005-0000-0000-000052110000}"/>
    <cellStyle name="Normal 2 3 2 2 3 5 2" xfId="4424" xr:uid="{00000000-0005-0000-0000-000053110000}"/>
    <cellStyle name="Normal 2 3 2 2 3 5 3" xfId="4425" xr:uid="{00000000-0005-0000-0000-000054110000}"/>
    <cellStyle name="Normal 2 3 2 2 3 6" xfId="4426" xr:uid="{00000000-0005-0000-0000-000055110000}"/>
    <cellStyle name="Normal 2 3 2 2 3 7" xfId="4427" xr:uid="{00000000-0005-0000-0000-000056110000}"/>
    <cellStyle name="Normal 2 3 2 2 3 8" xfId="4428" xr:uid="{00000000-0005-0000-0000-000057110000}"/>
    <cellStyle name="Normal 2 3 2 2 4" xfId="4429" xr:uid="{00000000-0005-0000-0000-000058110000}"/>
    <cellStyle name="Normal 2 3 2 2 4 2" xfId="4430" xr:uid="{00000000-0005-0000-0000-000059110000}"/>
    <cellStyle name="Normal 2 3 2 2 4 2 2" xfId="4431" xr:uid="{00000000-0005-0000-0000-00005A110000}"/>
    <cellStyle name="Normal 2 3 2 2 4 2 2 2" xfId="4432" xr:uid="{00000000-0005-0000-0000-00005B110000}"/>
    <cellStyle name="Normal 2 3 2 2 4 2 2 3" xfId="4433" xr:uid="{00000000-0005-0000-0000-00005C110000}"/>
    <cellStyle name="Normal 2 3 2 2 4 2 3" xfId="4434" xr:uid="{00000000-0005-0000-0000-00005D110000}"/>
    <cellStyle name="Normal 2 3 2 2 4 2 4" xfId="4435" xr:uid="{00000000-0005-0000-0000-00005E110000}"/>
    <cellStyle name="Normal 2 3 2 2 4 3" xfId="4436" xr:uid="{00000000-0005-0000-0000-00005F110000}"/>
    <cellStyle name="Normal 2 3 2 2 4 3 2" xfId="4437" xr:uid="{00000000-0005-0000-0000-000060110000}"/>
    <cellStyle name="Normal 2 3 2 2 4 3 2 2" xfId="4438" xr:uid="{00000000-0005-0000-0000-000061110000}"/>
    <cellStyle name="Normal 2 3 2 2 4 3 2 3" xfId="4439" xr:uid="{00000000-0005-0000-0000-000062110000}"/>
    <cellStyle name="Normal 2 3 2 2 4 3 3" xfId="4440" xr:uid="{00000000-0005-0000-0000-000063110000}"/>
    <cellStyle name="Normal 2 3 2 2 4 3 4" xfId="4441" xr:uid="{00000000-0005-0000-0000-000064110000}"/>
    <cellStyle name="Normal 2 3 2 2 4 4" xfId="4442" xr:uid="{00000000-0005-0000-0000-000065110000}"/>
    <cellStyle name="Normal 2 3 2 2 4 4 2" xfId="4443" xr:uid="{00000000-0005-0000-0000-000066110000}"/>
    <cellStyle name="Normal 2 3 2 2 4 4 3" xfId="4444" xr:uid="{00000000-0005-0000-0000-000067110000}"/>
    <cellStyle name="Normal 2 3 2 2 4 5" xfId="4445" xr:uid="{00000000-0005-0000-0000-000068110000}"/>
    <cellStyle name="Normal 2 3 2 2 4 6" xfId="4446" xr:uid="{00000000-0005-0000-0000-000069110000}"/>
    <cellStyle name="Normal 2 3 2 2 4 7" xfId="4447" xr:uid="{00000000-0005-0000-0000-00006A110000}"/>
    <cellStyle name="Normal 2 3 2 2 5" xfId="4448" xr:uid="{00000000-0005-0000-0000-00006B110000}"/>
    <cellStyle name="Normal 2 3 2 2 5 2" xfId="4449" xr:uid="{00000000-0005-0000-0000-00006C110000}"/>
    <cellStyle name="Normal 2 3 2 2 5 2 2" xfId="4450" xr:uid="{00000000-0005-0000-0000-00006D110000}"/>
    <cellStyle name="Normal 2 3 2 2 5 2 3" xfId="4451" xr:uid="{00000000-0005-0000-0000-00006E110000}"/>
    <cellStyle name="Normal 2 3 2 2 5 3" xfId="4452" xr:uid="{00000000-0005-0000-0000-00006F110000}"/>
    <cellStyle name="Normal 2 3 2 2 5 4" xfId="4453" xr:uid="{00000000-0005-0000-0000-000070110000}"/>
    <cellStyle name="Normal 2 3 2 2 6" xfId="4454" xr:uid="{00000000-0005-0000-0000-000071110000}"/>
    <cellStyle name="Normal 2 3 2 2 6 2" xfId="4455" xr:uid="{00000000-0005-0000-0000-000072110000}"/>
    <cellStyle name="Normal 2 3 2 2 6 2 2" xfId="4456" xr:uid="{00000000-0005-0000-0000-000073110000}"/>
    <cellStyle name="Normal 2 3 2 2 6 2 3" xfId="4457" xr:uid="{00000000-0005-0000-0000-000074110000}"/>
    <cellStyle name="Normal 2 3 2 2 6 3" xfId="4458" xr:uid="{00000000-0005-0000-0000-000075110000}"/>
    <cellStyle name="Normal 2 3 2 2 6 4" xfId="4459" xr:uid="{00000000-0005-0000-0000-000076110000}"/>
    <cellStyle name="Normal 2 3 2 2 7" xfId="4460" xr:uid="{00000000-0005-0000-0000-000077110000}"/>
    <cellStyle name="Normal 2 3 2 2 7 2" xfId="4461" xr:uid="{00000000-0005-0000-0000-000078110000}"/>
    <cellStyle name="Normal 2 3 2 2 7 3" xfId="4462" xr:uid="{00000000-0005-0000-0000-000079110000}"/>
    <cellStyle name="Normal 2 3 2 2 8" xfId="4463" xr:uid="{00000000-0005-0000-0000-00007A110000}"/>
    <cellStyle name="Normal 2 3 2 2 9" xfId="4464" xr:uid="{00000000-0005-0000-0000-00007B110000}"/>
    <cellStyle name="Normal 2 3 2 3" xfId="4465" xr:uid="{00000000-0005-0000-0000-00007C110000}"/>
    <cellStyle name="Normal 2 3 2 3 2" xfId="4466" xr:uid="{00000000-0005-0000-0000-00007D110000}"/>
    <cellStyle name="Normal 2 3 2 3 2 2" xfId="4467" xr:uid="{00000000-0005-0000-0000-00007E110000}"/>
    <cellStyle name="Normal 2 3 2 3 2 2 2" xfId="4468" xr:uid="{00000000-0005-0000-0000-00007F110000}"/>
    <cellStyle name="Normal 2 3 2 3 2 2 2 2" xfId="4469" xr:uid="{00000000-0005-0000-0000-000080110000}"/>
    <cellStyle name="Normal 2 3 2 3 2 2 2 3" xfId="4470" xr:uid="{00000000-0005-0000-0000-000081110000}"/>
    <cellStyle name="Normal 2 3 2 3 2 2 3" xfId="4471" xr:uid="{00000000-0005-0000-0000-000082110000}"/>
    <cellStyle name="Normal 2 3 2 3 2 2 4" xfId="4472" xr:uid="{00000000-0005-0000-0000-000083110000}"/>
    <cellStyle name="Normal 2 3 2 3 2 3" xfId="4473" xr:uid="{00000000-0005-0000-0000-000084110000}"/>
    <cellStyle name="Normal 2 3 2 3 2 3 2" xfId="4474" xr:uid="{00000000-0005-0000-0000-000085110000}"/>
    <cellStyle name="Normal 2 3 2 3 2 3 2 2" xfId="4475" xr:uid="{00000000-0005-0000-0000-000086110000}"/>
    <cellStyle name="Normal 2 3 2 3 2 3 2 3" xfId="4476" xr:uid="{00000000-0005-0000-0000-000087110000}"/>
    <cellStyle name="Normal 2 3 2 3 2 3 3" xfId="4477" xr:uid="{00000000-0005-0000-0000-000088110000}"/>
    <cellStyle name="Normal 2 3 2 3 2 3 4" xfId="4478" xr:uid="{00000000-0005-0000-0000-000089110000}"/>
    <cellStyle name="Normal 2 3 2 3 2 4" xfId="4479" xr:uid="{00000000-0005-0000-0000-00008A110000}"/>
    <cellStyle name="Normal 2 3 2 3 2 4 2" xfId="4480" xr:uid="{00000000-0005-0000-0000-00008B110000}"/>
    <cellStyle name="Normal 2 3 2 3 2 4 3" xfId="4481" xr:uid="{00000000-0005-0000-0000-00008C110000}"/>
    <cellStyle name="Normal 2 3 2 3 2 5" xfId="4482" xr:uid="{00000000-0005-0000-0000-00008D110000}"/>
    <cellStyle name="Normal 2 3 2 3 2 6" xfId="4483" xr:uid="{00000000-0005-0000-0000-00008E110000}"/>
    <cellStyle name="Normal 2 3 2 3 2 7" xfId="4484" xr:uid="{00000000-0005-0000-0000-00008F110000}"/>
    <cellStyle name="Normal 2 3 2 3 3" xfId="4485" xr:uid="{00000000-0005-0000-0000-000090110000}"/>
    <cellStyle name="Normal 2 3 2 3 3 2" xfId="4486" xr:uid="{00000000-0005-0000-0000-000091110000}"/>
    <cellStyle name="Normal 2 3 2 3 3 2 2" xfId="4487" xr:uid="{00000000-0005-0000-0000-000092110000}"/>
    <cellStyle name="Normal 2 3 2 3 3 2 3" xfId="4488" xr:uid="{00000000-0005-0000-0000-000093110000}"/>
    <cellStyle name="Normal 2 3 2 3 3 3" xfId="4489" xr:uid="{00000000-0005-0000-0000-000094110000}"/>
    <cellStyle name="Normal 2 3 2 3 3 4" xfId="4490" xr:uid="{00000000-0005-0000-0000-000095110000}"/>
    <cellStyle name="Normal 2 3 2 3 4" xfId="4491" xr:uid="{00000000-0005-0000-0000-000096110000}"/>
    <cellStyle name="Normal 2 3 2 3 4 2" xfId="4492" xr:uid="{00000000-0005-0000-0000-000097110000}"/>
    <cellStyle name="Normal 2 3 2 3 4 2 2" xfId="4493" xr:uid="{00000000-0005-0000-0000-000098110000}"/>
    <cellStyle name="Normal 2 3 2 3 4 2 3" xfId="4494" xr:uid="{00000000-0005-0000-0000-000099110000}"/>
    <cellStyle name="Normal 2 3 2 3 4 3" xfId="4495" xr:uid="{00000000-0005-0000-0000-00009A110000}"/>
    <cellStyle name="Normal 2 3 2 3 4 4" xfId="4496" xr:uid="{00000000-0005-0000-0000-00009B110000}"/>
    <cellStyle name="Normal 2 3 2 3 5" xfId="4497" xr:uid="{00000000-0005-0000-0000-00009C110000}"/>
    <cellStyle name="Normal 2 3 2 3 5 2" xfId="4498" xr:uid="{00000000-0005-0000-0000-00009D110000}"/>
    <cellStyle name="Normal 2 3 2 3 5 3" xfId="4499" xr:uid="{00000000-0005-0000-0000-00009E110000}"/>
    <cellStyle name="Normal 2 3 2 3 6" xfId="4500" xr:uid="{00000000-0005-0000-0000-00009F110000}"/>
    <cellStyle name="Normal 2 3 2 3 7" xfId="4501" xr:uid="{00000000-0005-0000-0000-0000A0110000}"/>
    <cellStyle name="Normal 2 3 2 3 8" xfId="4502" xr:uid="{00000000-0005-0000-0000-0000A1110000}"/>
    <cellStyle name="Normal 2 3 2 4" xfId="4503" xr:uid="{00000000-0005-0000-0000-0000A2110000}"/>
    <cellStyle name="Normal 2 3 2 4 2" xfId="4504" xr:uid="{00000000-0005-0000-0000-0000A3110000}"/>
    <cellStyle name="Normal 2 3 2 4 2 2" xfId="4505" xr:uid="{00000000-0005-0000-0000-0000A4110000}"/>
    <cellStyle name="Normal 2 3 2 4 2 2 2" xfId="4506" xr:uid="{00000000-0005-0000-0000-0000A5110000}"/>
    <cellStyle name="Normal 2 3 2 4 2 2 2 2" xfId="4507" xr:uid="{00000000-0005-0000-0000-0000A6110000}"/>
    <cellStyle name="Normal 2 3 2 4 2 2 2 3" xfId="4508" xr:uid="{00000000-0005-0000-0000-0000A7110000}"/>
    <cellStyle name="Normal 2 3 2 4 2 2 3" xfId="4509" xr:uid="{00000000-0005-0000-0000-0000A8110000}"/>
    <cellStyle name="Normal 2 3 2 4 2 2 4" xfId="4510" xr:uid="{00000000-0005-0000-0000-0000A9110000}"/>
    <cellStyle name="Normal 2 3 2 4 2 3" xfId="4511" xr:uid="{00000000-0005-0000-0000-0000AA110000}"/>
    <cellStyle name="Normal 2 3 2 4 2 3 2" xfId="4512" xr:uid="{00000000-0005-0000-0000-0000AB110000}"/>
    <cellStyle name="Normal 2 3 2 4 2 3 2 2" xfId="4513" xr:uid="{00000000-0005-0000-0000-0000AC110000}"/>
    <cellStyle name="Normal 2 3 2 4 2 3 2 3" xfId="4514" xr:uid="{00000000-0005-0000-0000-0000AD110000}"/>
    <cellStyle name="Normal 2 3 2 4 2 3 3" xfId="4515" xr:uid="{00000000-0005-0000-0000-0000AE110000}"/>
    <cellStyle name="Normal 2 3 2 4 2 3 4" xfId="4516" xr:uid="{00000000-0005-0000-0000-0000AF110000}"/>
    <cellStyle name="Normal 2 3 2 4 2 4" xfId="4517" xr:uid="{00000000-0005-0000-0000-0000B0110000}"/>
    <cellStyle name="Normal 2 3 2 4 2 4 2" xfId="4518" xr:uid="{00000000-0005-0000-0000-0000B1110000}"/>
    <cellStyle name="Normal 2 3 2 4 2 4 3" xfId="4519" xr:uid="{00000000-0005-0000-0000-0000B2110000}"/>
    <cellStyle name="Normal 2 3 2 4 2 5" xfId="4520" xr:uid="{00000000-0005-0000-0000-0000B3110000}"/>
    <cellStyle name="Normal 2 3 2 4 2 6" xfId="4521" xr:uid="{00000000-0005-0000-0000-0000B4110000}"/>
    <cellStyle name="Normal 2 3 2 4 2 7" xfId="4522" xr:uid="{00000000-0005-0000-0000-0000B5110000}"/>
    <cellStyle name="Normal 2 3 2 4 3" xfId="4523" xr:uid="{00000000-0005-0000-0000-0000B6110000}"/>
    <cellStyle name="Normal 2 3 2 4 3 2" xfId="4524" xr:uid="{00000000-0005-0000-0000-0000B7110000}"/>
    <cellStyle name="Normal 2 3 2 4 3 2 2" xfId="4525" xr:uid="{00000000-0005-0000-0000-0000B8110000}"/>
    <cellStyle name="Normal 2 3 2 4 3 2 3" xfId="4526" xr:uid="{00000000-0005-0000-0000-0000B9110000}"/>
    <cellStyle name="Normal 2 3 2 4 3 3" xfId="4527" xr:uid="{00000000-0005-0000-0000-0000BA110000}"/>
    <cellStyle name="Normal 2 3 2 4 3 4" xfId="4528" xr:uid="{00000000-0005-0000-0000-0000BB110000}"/>
    <cellStyle name="Normal 2 3 2 4 4" xfId="4529" xr:uid="{00000000-0005-0000-0000-0000BC110000}"/>
    <cellStyle name="Normal 2 3 2 4 4 2" xfId="4530" xr:uid="{00000000-0005-0000-0000-0000BD110000}"/>
    <cellStyle name="Normal 2 3 2 4 4 2 2" xfId="4531" xr:uid="{00000000-0005-0000-0000-0000BE110000}"/>
    <cellStyle name="Normal 2 3 2 4 4 2 3" xfId="4532" xr:uid="{00000000-0005-0000-0000-0000BF110000}"/>
    <cellStyle name="Normal 2 3 2 4 4 3" xfId="4533" xr:uid="{00000000-0005-0000-0000-0000C0110000}"/>
    <cellStyle name="Normal 2 3 2 4 4 4" xfId="4534" xr:uid="{00000000-0005-0000-0000-0000C1110000}"/>
    <cellStyle name="Normal 2 3 2 4 5" xfId="4535" xr:uid="{00000000-0005-0000-0000-0000C2110000}"/>
    <cellStyle name="Normal 2 3 2 4 5 2" xfId="4536" xr:uid="{00000000-0005-0000-0000-0000C3110000}"/>
    <cellStyle name="Normal 2 3 2 4 5 3" xfId="4537" xr:uid="{00000000-0005-0000-0000-0000C4110000}"/>
    <cellStyle name="Normal 2 3 2 4 6" xfId="4538" xr:uid="{00000000-0005-0000-0000-0000C5110000}"/>
    <cellStyle name="Normal 2 3 2 4 7" xfId="4539" xr:uid="{00000000-0005-0000-0000-0000C6110000}"/>
    <cellStyle name="Normal 2 3 2 4 8" xfId="4540" xr:uid="{00000000-0005-0000-0000-0000C7110000}"/>
    <cellStyle name="Normal 2 3 2 5" xfId="4541" xr:uid="{00000000-0005-0000-0000-0000C8110000}"/>
    <cellStyle name="Normal 2 3 2 5 2" xfId="4542" xr:uid="{00000000-0005-0000-0000-0000C9110000}"/>
    <cellStyle name="Normal 2 3 2 5 2 2" xfId="4543" xr:uid="{00000000-0005-0000-0000-0000CA110000}"/>
    <cellStyle name="Normal 2 3 2 5 2 2 2" xfId="4544" xr:uid="{00000000-0005-0000-0000-0000CB110000}"/>
    <cellStyle name="Normal 2 3 2 5 2 2 2 2" xfId="4545" xr:uid="{00000000-0005-0000-0000-0000CC110000}"/>
    <cellStyle name="Normal 2 3 2 5 2 2 2 3" xfId="4546" xr:uid="{00000000-0005-0000-0000-0000CD110000}"/>
    <cellStyle name="Normal 2 3 2 5 2 2 3" xfId="4547" xr:uid="{00000000-0005-0000-0000-0000CE110000}"/>
    <cellStyle name="Normal 2 3 2 5 2 2 4" xfId="4548" xr:uid="{00000000-0005-0000-0000-0000CF110000}"/>
    <cellStyle name="Normal 2 3 2 5 2 3" xfId="4549" xr:uid="{00000000-0005-0000-0000-0000D0110000}"/>
    <cellStyle name="Normal 2 3 2 5 2 3 2" xfId="4550" xr:uid="{00000000-0005-0000-0000-0000D1110000}"/>
    <cellStyle name="Normal 2 3 2 5 2 3 2 2" xfId="4551" xr:uid="{00000000-0005-0000-0000-0000D2110000}"/>
    <cellStyle name="Normal 2 3 2 5 2 3 2 3" xfId="4552" xr:uid="{00000000-0005-0000-0000-0000D3110000}"/>
    <cellStyle name="Normal 2 3 2 5 2 3 3" xfId="4553" xr:uid="{00000000-0005-0000-0000-0000D4110000}"/>
    <cellStyle name="Normal 2 3 2 5 2 3 4" xfId="4554" xr:uid="{00000000-0005-0000-0000-0000D5110000}"/>
    <cellStyle name="Normal 2 3 2 5 2 4" xfId="4555" xr:uid="{00000000-0005-0000-0000-0000D6110000}"/>
    <cellStyle name="Normal 2 3 2 5 2 4 2" xfId="4556" xr:uid="{00000000-0005-0000-0000-0000D7110000}"/>
    <cellStyle name="Normal 2 3 2 5 2 4 3" xfId="4557" xr:uid="{00000000-0005-0000-0000-0000D8110000}"/>
    <cellStyle name="Normal 2 3 2 5 2 5" xfId="4558" xr:uid="{00000000-0005-0000-0000-0000D9110000}"/>
    <cellStyle name="Normal 2 3 2 5 2 6" xfId="4559" xr:uid="{00000000-0005-0000-0000-0000DA110000}"/>
    <cellStyle name="Normal 2 3 2 5 2 7" xfId="4560" xr:uid="{00000000-0005-0000-0000-0000DB110000}"/>
    <cellStyle name="Normal 2 3 2 5 3" xfId="4561" xr:uid="{00000000-0005-0000-0000-0000DC110000}"/>
    <cellStyle name="Normal 2 3 2 5 3 2" xfId="4562" xr:uid="{00000000-0005-0000-0000-0000DD110000}"/>
    <cellStyle name="Normal 2 3 2 5 3 2 2" xfId="4563" xr:uid="{00000000-0005-0000-0000-0000DE110000}"/>
    <cellStyle name="Normal 2 3 2 5 3 2 3" xfId="4564" xr:uid="{00000000-0005-0000-0000-0000DF110000}"/>
    <cellStyle name="Normal 2 3 2 5 3 3" xfId="4565" xr:uid="{00000000-0005-0000-0000-0000E0110000}"/>
    <cellStyle name="Normal 2 3 2 5 3 4" xfId="4566" xr:uid="{00000000-0005-0000-0000-0000E1110000}"/>
    <cellStyle name="Normal 2 3 2 5 4" xfId="4567" xr:uid="{00000000-0005-0000-0000-0000E2110000}"/>
    <cellStyle name="Normal 2 3 2 5 4 2" xfId="4568" xr:uid="{00000000-0005-0000-0000-0000E3110000}"/>
    <cellStyle name="Normal 2 3 2 5 4 2 2" xfId="4569" xr:uid="{00000000-0005-0000-0000-0000E4110000}"/>
    <cellStyle name="Normal 2 3 2 5 4 2 3" xfId="4570" xr:uid="{00000000-0005-0000-0000-0000E5110000}"/>
    <cellStyle name="Normal 2 3 2 5 4 3" xfId="4571" xr:uid="{00000000-0005-0000-0000-0000E6110000}"/>
    <cellStyle name="Normal 2 3 2 5 4 4" xfId="4572" xr:uid="{00000000-0005-0000-0000-0000E7110000}"/>
    <cellStyle name="Normal 2 3 2 5 5" xfId="4573" xr:uid="{00000000-0005-0000-0000-0000E8110000}"/>
    <cellStyle name="Normal 2 3 2 5 5 2" xfId="4574" xr:uid="{00000000-0005-0000-0000-0000E9110000}"/>
    <cellStyle name="Normal 2 3 2 5 5 3" xfId="4575" xr:uid="{00000000-0005-0000-0000-0000EA110000}"/>
    <cellStyle name="Normal 2 3 2 5 6" xfId="4576" xr:uid="{00000000-0005-0000-0000-0000EB110000}"/>
    <cellStyle name="Normal 2 3 2 5 7" xfId="4577" xr:uid="{00000000-0005-0000-0000-0000EC110000}"/>
    <cellStyle name="Normal 2 3 2 5 8" xfId="4578" xr:uid="{00000000-0005-0000-0000-0000ED110000}"/>
    <cellStyle name="Normal 2 3 2 6" xfId="4579" xr:uid="{00000000-0005-0000-0000-0000EE110000}"/>
    <cellStyle name="Normal 2 3 2 6 2" xfId="4580" xr:uid="{00000000-0005-0000-0000-0000EF110000}"/>
    <cellStyle name="Normal 2 3 2 6 2 2" xfId="4581" xr:uid="{00000000-0005-0000-0000-0000F0110000}"/>
    <cellStyle name="Normal 2 3 2 6 2 2 2" xfId="4582" xr:uid="{00000000-0005-0000-0000-0000F1110000}"/>
    <cellStyle name="Normal 2 3 2 6 2 2 2 2" xfId="4583" xr:uid="{00000000-0005-0000-0000-0000F2110000}"/>
    <cellStyle name="Normal 2 3 2 6 2 2 2 3" xfId="4584" xr:uid="{00000000-0005-0000-0000-0000F3110000}"/>
    <cellStyle name="Normal 2 3 2 6 2 2 3" xfId="4585" xr:uid="{00000000-0005-0000-0000-0000F4110000}"/>
    <cellStyle name="Normal 2 3 2 6 2 2 4" xfId="4586" xr:uid="{00000000-0005-0000-0000-0000F5110000}"/>
    <cellStyle name="Normal 2 3 2 6 2 3" xfId="4587" xr:uid="{00000000-0005-0000-0000-0000F6110000}"/>
    <cellStyle name="Normal 2 3 2 6 2 3 2" xfId="4588" xr:uid="{00000000-0005-0000-0000-0000F7110000}"/>
    <cellStyle name="Normal 2 3 2 6 2 3 2 2" xfId="4589" xr:uid="{00000000-0005-0000-0000-0000F8110000}"/>
    <cellStyle name="Normal 2 3 2 6 2 3 2 3" xfId="4590" xr:uid="{00000000-0005-0000-0000-0000F9110000}"/>
    <cellStyle name="Normal 2 3 2 6 2 3 3" xfId="4591" xr:uid="{00000000-0005-0000-0000-0000FA110000}"/>
    <cellStyle name="Normal 2 3 2 6 2 3 4" xfId="4592" xr:uid="{00000000-0005-0000-0000-0000FB110000}"/>
    <cellStyle name="Normal 2 3 2 6 2 4" xfId="4593" xr:uid="{00000000-0005-0000-0000-0000FC110000}"/>
    <cellStyle name="Normal 2 3 2 6 2 4 2" xfId="4594" xr:uid="{00000000-0005-0000-0000-0000FD110000}"/>
    <cellStyle name="Normal 2 3 2 6 2 4 3" xfId="4595" xr:uid="{00000000-0005-0000-0000-0000FE110000}"/>
    <cellStyle name="Normal 2 3 2 6 2 5" xfId="4596" xr:uid="{00000000-0005-0000-0000-0000FF110000}"/>
    <cellStyle name="Normal 2 3 2 6 2 6" xfId="4597" xr:uid="{00000000-0005-0000-0000-000000120000}"/>
    <cellStyle name="Normal 2 3 2 6 2 7" xfId="4598" xr:uid="{00000000-0005-0000-0000-000001120000}"/>
    <cellStyle name="Normal 2 3 2 6 3" xfId="4599" xr:uid="{00000000-0005-0000-0000-000002120000}"/>
    <cellStyle name="Normal 2 3 2 6 3 2" xfId="4600" xr:uid="{00000000-0005-0000-0000-000003120000}"/>
    <cellStyle name="Normal 2 3 2 6 3 2 2" xfId="4601" xr:uid="{00000000-0005-0000-0000-000004120000}"/>
    <cellStyle name="Normal 2 3 2 6 3 2 3" xfId="4602" xr:uid="{00000000-0005-0000-0000-000005120000}"/>
    <cellStyle name="Normal 2 3 2 6 3 3" xfId="4603" xr:uid="{00000000-0005-0000-0000-000006120000}"/>
    <cellStyle name="Normal 2 3 2 6 3 4" xfId="4604" xr:uid="{00000000-0005-0000-0000-000007120000}"/>
    <cellStyle name="Normal 2 3 2 6 4" xfId="4605" xr:uid="{00000000-0005-0000-0000-000008120000}"/>
    <cellStyle name="Normal 2 3 2 6 4 2" xfId="4606" xr:uid="{00000000-0005-0000-0000-000009120000}"/>
    <cellStyle name="Normal 2 3 2 6 4 2 2" xfId="4607" xr:uid="{00000000-0005-0000-0000-00000A120000}"/>
    <cellStyle name="Normal 2 3 2 6 4 2 3" xfId="4608" xr:uid="{00000000-0005-0000-0000-00000B120000}"/>
    <cellStyle name="Normal 2 3 2 6 4 3" xfId="4609" xr:uid="{00000000-0005-0000-0000-00000C120000}"/>
    <cellStyle name="Normal 2 3 2 6 4 4" xfId="4610" xr:uid="{00000000-0005-0000-0000-00000D120000}"/>
    <cellStyle name="Normal 2 3 2 6 5" xfId="4611" xr:uid="{00000000-0005-0000-0000-00000E120000}"/>
    <cellStyle name="Normal 2 3 2 6 5 2" xfId="4612" xr:uid="{00000000-0005-0000-0000-00000F120000}"/>
    <cellStyle name="Normal 2 3 2 6 5 3" xfId="4613" xr:uid="{00000000-0005-0000-0000-000010120000}"/>
    <cellStyle name="Normal 2 3 2 6 6" xfId="4614" xr:uid="{00000000-0005-0000-0000-000011120000}"/>
    <cellStyle name="Normal 2 3 2 6 7" xfId="4615" xr:uid="{00000000-0005-0000-0000-000012120000}"/>
    <cellStyle name="Normal 2 3 2 6 8" xfId="4616" xr:uid="{00000000-0005-0000-0000-000013120000}"/>
    <cellStyle name="Normal 2 3 2 7" xfId="4617" xr:uid="{00000000-0005-0000-0000-000014120000}"/>
    <cellStyle name="Normal 2 3 2 7 2" xfId="4618" xr:uid="{00000000-0005-0000-0000-000015120000}"/>
    <cellStyle name="Normal 2 3 2 7 2 2" xfId="4619" xr:uid="{00000000-0005-0000-0000-000016120000}"/>
    <cellStyle name="Normal 2 3 2 7 2 2 2" xfId="4620" xr:uid="{00000000-0005-0000-0000-000017120000}"/>
    <cellStyle name="Normal 2 3 2 7 2 2 3" xfId="4621" xr:uid="{00000000-0005-0000-0000-000018120000}"/>
    <cellStyle name="Normal 2 3 2 7 2 3" xfId="4622" xr:uid="{00000000-0005-0000-0000-000019120000}"/>
    <cellStyle name="Normal 2 3 2 7 2 4" xfId="4623" xr:uid="{00000000-0005-0000-0000-00001A120000}"/>
    <cellStyle name="Normal 2 3 2 7 3" xfId="4624" xr:uid="{00000000-0005-0000-0000-00001B120000}"/>
    <cellStyle name="Normal 2 3 2 7 3 2" xfId="4625" xr:uid="{00000000-0005-0000-0000-00001C120000}"/>
    <cellStyle name="Normal 2 3 2 7 3 2 2" xfId="4626" xr:uid="{00000000-0005-0000-0000-00001D120000}"/>
    <cellStyle name="Normal 2 3 2 7 3 2 3" xfId="4627" xr:uid="{00000000-0005-0000-0000-00001E120000}"/>
    <cellStyle name="Normal 2 3 2 7 3 3" xfId="4628" xr:uid="{00000000-0005-0000-0000-00001F120000}"/>
    <cellStyle name="Normal 2 3 2 7 3 4" xfId="4629" xr:uid="{00000000-0005-0000-0000-000020120000}"/>
    <cellStyle name="Normal 2 3 2 7 4" xfId="4630" xr:uid="{00000000-0005-0000-0000-000021120000}"/>
    <cellStyle name="Normal 2 3 2 7 4 2" xfId="4631" xr:uid="{00000000-0005-0000-0000-000022120000}"/>
    <cellStyle name="Normal 2 3 2 7 4 3" xfId="4632" xr:uid="{00000000-0005-0000-0000-000023120000}"/>
    <cellStyle name="Normal 2 3 2 7 5" xfId="4633" xr:uid="{00000000-0005-0000-0000-000024120000}"/>
    <cellStyle name="Normal 2 3 2 7 6" xfId="4634" xr:uid="{00000000-0005-0000-0000-000025120000}"/>
    <cellStyle name="Normal 2 3 2 7 7" xfId="4635" xr:uid="{00000000-0005-0000-0000-000026120000}"/>
    <cellStyle name="Normal 2 3 2 8" xfId="4636" xr:uid="{00000000-0005-0000-0000-000027120000}"/>
    <cellStyle name="Normal 2 3 2 8 2" xfId="4637" xr:uid="{00000000-0005-0000-0000-000028120000}"/>
    <cellStyle name="Normal 2 3 2 8 2 2" xfId="4638" xr:uid="{00000000-0005-0000-0000-000029120000}"/>
    <cellStyle name="Normal 2 3 2 8 2 2 2" xfId="4639" xr:uid="{00000000-0005-0000-0000-00002A120000}"/>
    <cellStyle name="Normal 2 3 2 8 2 2 3" xfId="4640" xr:uid="{00000000-0005-0000-0000-00002B120000}"/>
    <cellStyle name="Normal 2 3 2 8 2 3" xfId="4641" xr:uid="{00000000-0005-0000-0000-00002C120000}"/>
    <cellStyle name="Normal 2 3 2 8 2 4" xfId="4642" xr:uid="{00000000-0005-0000-0000-00002D120000}"/>
    <cellStyle name="Normal 2 3 2 8 3" xfId="4643" xr:uid="{00000000-0005-0000-0000-00002E120000}"/>
    <cellStyle name="Normal 2 3 2 8 3 2" xfId="4644" xr:uid="{00000000-0005-0000-0000-00002F120000}"/>
    <cellStyle name="Normal 2 3 2 8 3 3" xfId="4645" xr:uid="{00000000-0005-0000-0000-000030120000}"/>
    <cellStyle name="Normal 2 3 2 8 4" xfId="4646" xr:uid="{00000000-0005-0000-0000-000031120000}"/>
    <cellStyle name="Normal 2 3 2 8 5" xfId="4647" xr:uid="{00000000-0005-0000-0000-000032120000}"/>
    <cellStyle name="Normal 2 3 2 9" xfId="4648" xr:uid="{00000000-0005-0000-0000-000033120000}"/>
    <cellStyle name="Normal 2 3 2 9 2" xfId="4649" xr:uid="{00000000-0005-0000-0000-000034120000}"/>
    <cellStyle name="Normal 2 3 2 9 3" xfId="4650" xr:uid="{00000000-0005-0000-0000-000035120000}"/>
    <cellStyle name="Normal 2 3 3" xfId="4651" xr:uid="{00000000-0005-0000-0000-000036120000}"/>
    <cellStyle name="Normal 2 3 3 2" xfId="4652" xr:uid="{00000000-0005-0000-0000-000037120000}"/>
    <cellStyle name="Normal 2 3 3 2 2" xfId="4653" xr:uid="{00000000-0005-0000-0000-000038120000}"/>
    <cellStyle name="Normal 2 3 3 2 2 2" xfId="4654" xr:uid="{00000000-0005-0000-0000-000039120000}"/>
    <cellStyle name="Normal 2 3 3 2 2 2 2" xfId="4655" xr:uid="{00000000-0005-0000-0000-00003A120000}"/>
    <cellStyle name="Normal 2 3 3 2 2 2 2 2" xfId="4656" xr:uid="{00000000-0005-0000-0000-00003B120000}"/>
    <cellStyle name="Normal 2 3 3 2 2 2 2 3" xfId="4657" xr:uid="{00000000-0005-0000-0000-00003C120000}"/>
    <cellStyle name="Normal 2 3 3 2 2 2 3" xfId="4658" xr:uid="{00000000-0005-0000-0000-00003D120000}"/>
    <cellStyle name="Normal 2 3 3 2 2 2 4" xfId="4659" xr:uid="{00000000-0005-0000-0000-00003E120000}"/>
    <cellStyle name="Normal 2 3 3 2 2 3" xfId="4660" xr:uid="{00000000-0005-0000-0000-00003F120000}"/>
    <cellStyle name="Normal 2 3 3 2 2 3 2" xfId="4661" xr:uid="{00000000-0005-0000-0000-000040120000}"/>
    <cellStyle name="Normal 2 3 3 2 2 3 2 2" xfId="4662" xr:uid="{00000000-0005-0000-0000-000041120000}"/>
    <cellStyle name="Normal 2 3 3 2 2 3 2 3" xfId="4663" xr:uid="{00000000-0005-0000-0000-000042120000}"/>
    <cellStyle name="Normal 2 3 3 2 2 3 3" xfId="4664" xr:uid="{00000000-0005-0000-0000-000043120000}"/>
    <cellStyle name="Normal 2 3 3 2 2 3 4" xfId="4665" xr:uid="{00000000-0005-0000-0000-000044120000}"/>
    <cellStyle name="Normal 2 3 3 2 2 4" xfId="4666" xr:uid="{00000000-0005-0000-0000-000045120000}"/>
    <cellStyle name="Normal 2 3 3 2 2 4 2" xfId="4667" xr:uid="{00000000-0005-0000-0000-000046120000}"/>
    <cellStyle name="Normal 2 3 3 2 2 4 3" xfId="4668" xr:uid="{00000000-0005-0000-0000-000047120000}"/>
    <cellStyle name="Normal 2 3 3 2 2 5" xfId="4669" xr:uid="{00000000-0005-0000-0000-000048120000}"/>
    <cellStyle name="Normal 2 3 3 2 2 6" xfId="4670" xr:uid="{00000000-0005-0000-0000-000049120000}"/>
    <cellStyle name="Normal 2 3 3 2 2 7" xfId="4671" xr:uid="{00000000-0005-0000-0000-00004A120000}"/>
    <cellStyle name="Normal 2 3 3 2 3" xfId="4672" xr:uid="{00000000-0005-0000-0000-00004B120000}"/>
    <cellStyle name="Normal 2 3 3 2 3 2" xfId="4673" xr:uid="{00000000-0005-0000-0000-00004C120000}"/>
    <cellStyle name="Normal 2 3 3 2 3 2 2" xfId="4674" xr:uid="{00000000-0005-0000-0000-00004D120000}"/>
    <cellStyle name="Normal 2 3 3 2 3 2 3" xfId="4675" xr:uid="{00000000-0005-0000-0000-00004E120000}"/>
    <cellStyle name="Normal 2 3 3 2 3 3" xfId="4676" xr:uid="{00000000-0005-0000-0000-00004F120000}"/>
    <cellStyle name="Normal 2 3 3 2 3 4" xfId="4677" xr:uid="{00000000-0005-0000-0000-000050120000}"/>
    <cellStyle name="Normal 2 3 3 2 4" xfId="4678" xr:uid="{00000000-0005-0000-0000-000051120000}"/>
    <cellStyle name="Normal 2 3 3 2 4 2" xfId="4679" xr:uid="{00000000-0005-0000-0000-000052120000}"/>
    <cellStyle name="Normal 2 3 3 2 4 2 2" xfId="4680" xr:uid="{00000000-0005-0000-0000-000053120000}"/>
    <cellStyle name="Normal 2 3 3 2 4 2 3" xfId="4681" xr:uid="{00000000-0005-0000-0000-000054120000}"/>
    <cellStyle name="Normal 2 3 3 2 4 3" xfId="4682" xr:uid="{00000000-0005-0000-0000-000055120000}"/>
    <cellStyle name="Normal 2 3 3 2 4 4" xfId="4683" xr:uid="{00000000-0005-0000-0000-000056120000}"/>
    <cellStyle name="Normal 2 3 3 2 5" xfId="4684" xr:uid="{00000000-0005-0000-0000-000057120000}"/>
    <cellStyle name="Normal 2 3 3 2 5 2" xfId="4685" xr:uid="{00000000-0005-0000-0000-000058120000}"/>
    <cellStyle name="Normal 2 3 3 2 5 3" xfId="4686" xr:uid="{00000000-0005-0000-0000-000059120000}"/>
    <cellStyle name="Normal 2 3 3 2 6" xfId="4687" xr:uid="{00000000-0005-0000-0000-00005A120000}"/>
    <cellStyle name="Normal 2 3 3 2 7" xfId="4688" xr:uid="{00000000-0005-0000-0000-00005B120000}"/>
    <cellStyle name="Normal 2 3 3 2 8" xfId="4689" xr:uid="{00000000-0005-0000-0000-00005C120000}"/>
    <cellStyle name="Normal 2 3 3 3" xfId="4690" xr:uid="{00000000-0005-0000-0000-00005D120000}"/>
    <cellStyle name="Normal 2 3 3 3 2" xfId="4691" xr:uid="{00000000-0005-0000-0000-00005E120000}"/>
    <cellStyle name="Normal 2 3 3 3 3" xfId="4692" xr:uid="{00000000-0005-0000-0000-00005F120000}"/>
    <cellStyle name="Normal 2 3 3 3 4" xfId="4693" xr:uid="{00000000-0005-0000-0000-000060120000}"/>
    <cellStyle name="Normal 2 3 3 4" xfId="4694" xr:uid="{00000000-0005-0000-0000-000061120000}"/>
    <cellStyle name="Normal 2 3 3 4 2" xfId="4695" xr:uid="{00000000-0005-0000-0000-000062120000}"/>
    <cellStyle name="Normal 2 3 3 4 3" xfId="4696" xr:uid="{00000000-0005-0000-0000-000063120000}"/>
    <cellStyle name="Normal 2 3 3 5" xfId="4697" xr:uid="{00000000-0005-0000-0000-000064120000}"/>
    <cellStyle name="Normal 2 3 3 6" xfId="4698" xr:uid="{00000000-0005-0000-0000-000065120000}"/>
    <cellStyle name="Normal 2 3 3 7" xfId="4699" xr:uid="{00000000-0005-0000-0000-000066120000}"/>
    <cellStyle name="Normal 2 3 4" xfId="4700" xr:uid="{00000000-0005-0000-0000-000067120000}"/>
    <cellStyle name="Normal 2 3 4 10" xfId="4701" xr:uid="{00000000-0005-0000-0000-000068120000}"/>
    <cellStyle name="Normal 2 3 4 11" xfId="4702" xr:uid="{00000000-0005-0000-0000-000069120000}"/>
    <cellStyle name="Normal 2 3 4 12" xfId="4703" xr:uid="{00000000-0005-0000-0000-00006A120000}"/>
    <cellStyle name="Normal 2 3 4 2" xfId="4704" xr:uid="{00000000-0005-0000-0000-00006B120000}"/>
    <cellStyle name="Normal 2 3 4 2 2" xfId="4705" xr:uid="{00000000-0005-0000-0000-00006C120000}"/>
    <cellStyle name="Normal 2 3 4 2 2 2" xfId="4706" xr:uid="{00000000-0005-0000-0000-00006D120000}"/>
    <cellStyle name="Normal 2 3 4 2 2 2 2" xfId="4707" xr:uid="{00000000-0005-0000-0000-00006E120000}"/>
    <cellStyle name="Normal 2 3 4 2 2 2 2 2" xfId="4708" xr:uid="{00000000-0005-0000-0000-00006F120000}"/>
    <cellStyle name="Normal 2 3 4 2 2 2 2 2 2" xfId="4709" xr:uid="{00000000-0005-0000-0000-000070120000}"/>
    <cellStyle name="Normal 2 3 4 2 2 2 2 2 3" xfId="4710" xr:uid="{00000000-0005-0000-0000-000071120000}"/>
    <cellStyle name="Normal 2 3 4 2 2 2 2 3" xfId="4711" xr:uid="{00000000-0005-0000-0000-000072120000}"/>
    <cellStyle name="Normal 2 3 4 2 2 2 2 4" xfId="4712" xr:uid="{00000000-0005-0000-0000-000073120000}"/>
    <cellStyle name="Normal 2 3 4 2 2 2 3" xfId="4713" xr:uid="{00000000-0005-0000-0000-000074120000}"/>
    <cellStyle name="Normal 2 3 4 2 2 2 3 2" xfId="4714" xr:uid="{00000000-0005-0000-0000-000075120000}"/>
    <cellStyle name="Normal 2 3 4 2 2 2 3 2 2" xfId="4715" xr:uid="{00000000-0005-0000-0000-000076120000}"/>
    <cellStyle name="Normal 2 3 4 2 2 2 3 2 3" xfId="4716" xr:uid="{00000000-0005-0000-0000-000077120000}"/>
    <cellStyle name="Normal 2 3 4 2 2 2 3 3" xfId="4717" xr:uid="{00000000-0005-0000-0000-000078120000}"/>
    <cellStyle name="Normal 2 3 4 2 2 2 3 4" xfId="4718" xr:uid="{00000000-0005-0000-0000-000079120000}"/>
    <cellStyle name="Normal 2 3 4 2 2 2 4" xfId="4719" xr:uid="{00000000-0005-0000-0000-00007A120000}"/>
    <cellStyle name="Normal 2 3 4 2 2 2 4 2" xfId="4720" xr:uid="{00000000-0005-0000-0000-00007B120000}"/>
    <cellStyle name="Normal 2 3 4 2 2 2 4 3" xfId="4721" xr:uid="{00000000-0005-0000-0000-00007C120000}"/>
    <cellStyle name="Normal 2 3 4 2 2 2 5" xfId="4722" xr:uid="{00000000-0005-0000-0000-00007D120000}"/>
    <cellStyle name="Normal 2 3 4 2 2 2 6" xfId="4723" xr:uid="{00000000-0005-0000-0000-00007E120000}"/>
    <cellStyle name="Normal 2 3 4 2 2 2 7" xfId="4724" xr:uid="{00000000-0005-0000-0000-00007F120000}"/>
    <cellStyle name="Normal 2 3 4 2 2 3" xfId="4725" xr:uid="{00000000-0005-0000-0000-000080120000}"/>
    <cellStyle name="Normal 2 3 4 2 2 3 2" xfId="4726" xr:uid="{00000000-0005-0000-0000-000081120000}"/>
    <cellStyle name="Normal 2 3 4 2 2 3 2 2" xfId="4727" xr:uid="{00000000-0005-0000-0000-000082120000}"/>
    <cellStyle name="Normal 2 3 4 2 2 3 2 3" xfId="4728" xr:uid="{00000000-0005-0000-0000-000083120000}"/>
    <cellStyle name="Normal 2 3 4 2 2 3 3" xfId="4729" xr:uid="{00000000-0005-0000-0000-000084120000}"/>
    <cellStyle name="Normal 2 3 4 2 2 3 4" xfId="4730" xr:uid="{00000000-0005-0000-0000-000085120000}"/>
    <cellStyle name="Normal 2 3 4 2 2 4" xfId="4731" xr:uid="{00000000-0005-0000-0000-000086120000}"/>
    <cellStyle name="Normal 2 3 4 2 2 4 2" xfId="4732" xr:uid="{00000000-0005-0000-0000-000087120000}"/>
    <cellStyle name="Normal 2 3 4 2 2 4 2 2" xfId="4733" xr:uid="{00000000-0005-0000-0000-000088120000}"/>
    <cellStyle name="Normal 2 3 4 2 2 4 2 3" xfId="4734" xr:uid="{00000000-0005-0000-0000-000089120000}"/>
    <cellStyle name="Normal 2 3 4 2 2 4 3" xfId="4735" xr:uid="{00000000-0005-0000-0000-00008A120000}"/>
    <cellStyle name="Normal 2 3 4 2 2 4 4" xfId="4736" xr:uid="{00000000-0005-0000-0000-00008B120000}"/>
    <cellStyle name="Normal 2 3 4 2 2 5" xfId="4737" xr:uid="{00000000-0005-0000-0000-00008C120000}"/>
    <cellStyle name="Normal 2 3 4 2 2 5 2" xfId="4738" xr:uid="{00000000-0005-0000-0000-00008D120000}"/>
    <cellStyle name="Normal 2 3 4 2 2 5 3" xfId="4739" xr:uid="{00000000-0005-0000-0000-00008E120000}"/>
    <cellStyle name="Normal 2 3 4 2 2 6" xfId="4740" xr:uid="{00000000-0005-0000-0000-00008F120000}"/>
    <cellStyle name="Normal 2 3 4 2 2 7" xfId="4741" xr:uid="{00000000-0005-0000-0000-000090120000}"/>
    <cellStyle name="Normal 2 3 4 2 2 8" xfId="4742" xr:uid="{00000000-0005-0000-0000-000091120000}"/>
    <cellStyle name="Normal 2 3 4 2 3" xfId="4743" xr:uid="{00000000-0005-0000-0000-000092120000}"/>
    <cellStyle name="Normal 2 3 4 2 3 2" xfId="4744" xr:uid="{00000000-0005-0000-0000-000093120000}"/>
    <cellStyle name="Normal 2 3 4 2 3 2 2" xfId="4745" xr:uid="{00000000-0005-0000-0000-000094120000}"/>
    <cellStyle name="Normal 2 3 4 2 3 2 2 2" xfId="4746" xr:uid="{00000000-0005-0000-0000-000095120000}"/>
    <cellStyle name="Normal 2 3 4 2 3 2 2 3" xfId="4747" xr:uid="{00000000-0005-0000-0000-000096120000}"/>
    <cellStyle name="Normal 2 3 4 2 3 2 3" xfId="4748" xr:uid="{00000000-0005-0000-0000-000097120000}"/>
    <cellStyle name="Normal 2 3 4 2 3 2 4" xfId="4749" xr:uid="{00000000-0005-0000-0000-000098120000}"/>
    <cellStyle name="Normal 2 3 4 2 3 3" xfId="4750" xr:uid="{00000000-0005-0000-0000-000099120000}"/>
    <cellStyle name="Normal 2 3 4 2 3 3 2" xfId="4751" xr:uid="{00000000-0005-0000-0000-00009A120000}"/>
    <cellStyle name="Normal 2 3 4 2 3 3 2 2" xfId="4752" xr:uid="{00000000-0005-0000-0000-00009B120000}"/>
    <cellStyle name="Normal 2 3 4 2 3 3 2 3" xfId="4753" xr:uid="{00000000-0005-0000-0000-00009C120000}"/>
    <cellStyle name="Normal 2 3 4 2 3 3 3" xfId="4754" xr:uid="{00000000-0005-0000-0000-00009D120000}"/>
    <cellStyle name="Normal 2 3 4 2 3 3 4" xfId="4755" xr:uid="{00000000-0005-0000-0000-00009E120000}"/>
    <cellStyle name="Normal 2 3 4 2 3 4" xfId="4756" xr:uid="{00000000-0005-0000-0000-00009F120000}"/>
    <cellStyle name="Normal 2 3 4 2 3 4 2" xfId="4757" xr:uid="{00000000-0005-0000-0000-0000A0120000}"/>
    <cellStyle name="Normal 2 3 4 2 3 4 3" xfId="4758" xr:uid="{00000000-0005-0000-0000-0000A1120000}"/>
    <cellStyle name="Normal 2 3 4 2 3 5" xfId="4759" xr:uid="{00000000-0005-0000-0000-0000A2120000}"/>
    <cellStyle name="Normal 2 3 4 2 3 6" xfId="4760" xr:uid="{00000000-0005-0000-0000-0000A3120000}"/>
    <cellStyle name="Normal 2 3 4 2 3 7" xfId="4761" xr:uid="{00000000-0005-0000-0000-0000A4120000}"/>
    <cellStyle name="Normal 2 3 4 2 4" xfId="4762" xr:uid="{00000000-0005-0000-0000-0000A5120000}"/>
    <cellStyle name="Normal 2 3 4 2 4 2" xfId="4763" xr:uid="{00000000-0005-0000-0000-0000A6120000}"/>
    <cellStyle name="Normal 2 3 4 2 4 2 2" xfId="4764" xr:uid="{00000000-0005-0000-0000-0000A7120000}"/>
    <cellStyle name="Normal 2 3 4 2 4 2 3" xfId="4765" xr:uid="{00000000-0005-0000-0000-0000A8120000}"/>
    <cellStyle name="Normal 2 3 4 2 4 3" xfId="4766" xr:uid="{00000000-0005-0000-0000-0000A9120000}"/>
    <cellStyle name="Normal 2 3 4 2 4 4" xfId="4767" xr:uid="{00000000-0005-0000-0000-0000AA120000}"/>
    <cellStyle name="Normal 2 3 4 2 5" xfId="4768" xr:uid="{00000000-0005-0000-0000-0000AB120000}"/>
    <cellStyle name="Normal 2 3 4 2 5 2" xfId="4769" xr:uid="{00000000-0005-0000-0000-0000AC120000}"/>
    <cellStyle name="Normal 2 3 4 2 5 2 2" xfId="4770" xr:uid="{00000000-0005-0000-0000-0000AD120000}"/>
    <cellStyle name="Normal 2 3 4 2 5 2 3" xfId="4771" xr:uid="{00000000-0005-0000-0000-0000AE120000}"/>
    <cellStyle name="Normal 2 3 4 2 5 3" xfId="4772" xr:uid="{00000000-0005-0000-0000-0000AF120000}"/>
    <cellStyle name="Normal 2 3 4 2 5 4" xfId="4773" xr:uid="{00000000-0005-0000-0000-0000B0120000}"/>
    <cellStyle name="Normal 2 3 4 2 6" xfId="4774" xr:uid="{00000000-0005-0000-0000-0000B1120000}"/>
    <cellStyle name="Normal 2 3 4 2 6 2" xfId="4775" xr:uid="{00000000-0005-0000-0000-0000B2120000}"/>
    <cellStyle name="Normal 2 3 4 2 6 3" xfId="4776" xr:uid="{00000000-0005-0000-0000-0000B3120000}"/>
    <cellStyle name="Normal 2 3 4 2 7" xfId="4777" xr:uid="{00000000-0005-0000-0000-0000B4120000}"/>
    <cellStyle name="Normal 2 3 4 2 8" xfId="4778" xr:uid="{00000000-0005-0000-0000-0000B5120000}"/>
    <cellStyle name="Normal 2 3 4 2 9" xfId="4779" xr:uid="{00000000-0005-0000-0000-0000B6120000}"/>
    <cellStyle name="Normal 2 3 4 3" xfId="4780" xr:uid="{00000000-0005-0000-0000-0000B7120000}"/>
    <cellStyle name="Normal 2 3 4 3 2" xfId="4781" xr:uid="{00000000-0005-0000-0000-0000B8120000}"/>
    <cellStyle name="Normal 2 3 4 3 2 2" xfId="4782" xr:uid="{00000000-0005-0000-0000-0000B9120000}"/>
    <cellStyle name="Normal 2 3 4 3 2 2 2" xfId="4783" xr:uid="{00000000-0005-0000-0000-0000BA120000}"/>
    <cellStyle name="Normal 2 3 4 3 2 2 2 2" xfId="4784" xr:uid="{00000000-0005-0000-0000-0000BB120000}"/>
    <cellStyle name="Normal 2 3 4 3 2 2 2 3" xfId="4785" xr:uid="{00000000-0005-0000-0000-0000BC120000}"/>
    <cellStyle name="Normal 2 3 4 3 2 2 3" xfId="4786" xr:uid="{00000000-0005-0000-0000-0000BD120000}"/>
    <cellStyle name="Normal 2 3 4 3 2 2 4" xfId="4787" xr:uid="{00000000-0005-0000-0000-0000BE120000}"/>
    <cellStyle name="Normal 2 3 4 3 2 3" xfId="4788" xr:uid="{00000000-0005-0000-0000-0000BF120000}"/>
    <cellStyle name="Normal 2 3 4 3 2 3 2" xfId="4789" xr:uid="{00000000-0005-0000-0000-0000C0120000}"/>
    <cellStyle name="Normal 2 3 4 3 2 3 2 2" xfId="4790" xr:uid="{00000000-0005-0000-0000-0000C1120000}"/>
    <cellStyle name="Normal 2 3 4 3 2 3 2 3" xfId="4791" xr:uid="{00000000-0005-0000-0000-0000C2120000}"/>
    <cellStyle name="Normal 2 3 4 3 2 3 3" xfId="4792" xr:uid="{00000000-0005-0000-0000-0000C3120000}"/>
    <cellStyle name="Normal 2 3 4 3 2 3 4" xfId="4793" xr:uid="{00000000-0005-0000-0000-0000C4120000}"/>
    <cellStyle name="Normal 2 3 4 3 2 4" xfId="4794" xr:uid="{00000000-0005-0000-0000-0000C5120000}"/>
    <cellStyle name="Normal 2 3 4 3 2 4 2" xfId="4795" xr:uid="{00000000-0005-0000-0000-0000C6120000}"/>
    <cellStyle name="Normal 2 3 4 3 2 4 3" xfId="4796" xr:uid="{00000000-0005-0000-0000-0000C7120000}"/>
    <cellStyle name="Normal 2 3 4 3 2 5" xfId="4797" xr:uid="{00000000-0005-0000-0000-0000C8120000}"/>
    <cellStyle name="Normal 2 3 4 3 2 6" xfId="4798" xr:uid="{00000000-0005-0000-0000-0000C9120000}"/>
    <cellStyle name="Normal 2 3 4 3 2 7" xfId="4799" xr:uid="{00000000-0005-0000-0000-0000CA120000}"/>
    <cellStyle name="Normal 2 3 4 3 3" xfId="4800" xr:uid="{00000000-0005-0000-0000-0000CB120000}"/>
    <cellStyle name="Normal 2 3 4 3 3 2" xfId="4801" xr:uid="{00000000-0005-0000-0000-0000CC120000}"/>
    <cellStyle name="Normal 2 3 4 3 3 2 2" xfId="4802" xr:uid="{00000000-0005-0000-0000-0000CD120000}"/>
    <cellStyle name="Normal 2 3 4 3 3 2 3" xfId="4803" xr:uid="{00000000-0005-0000-0000-0000CE120000}"/>
    <cellStyle name="Normal 2 3 4 3 3 3" xfId="4804" xr:uid="{00000000-0005-0000-0000-0000CF120000}"/>
    <cellStyle name="Normal 2 3 4 3 3 4" xfId="4805" xr:uid="{00000000-0005-0000-0000-0000D0120000}"/>
    <cellStyle name="Normal 2 3 4 3 4" xfId="4806" xr:uid="{00000000-0005-0000-0000-0000D1120000}"/>
    <cellStyle name="Normal 2 3 4 3 4 2" xfId="4807" xr:uid="{00000000-0005-0000-0000-0000D2120000}"/>
    <cellStyle name="Normal 2 3 4 3 4 2 2" xfId="4808" xr:uid="{00000000-0005-0000-0000-0000D3120000}"/>
    <cellStyle name="Normal 2 3 4 3 4 2 3" xfId="4809" xr:uid="{00000000-0005-0000-0000-0000D4120000}"/>
    <cellStyle name="Normal 2 3 4 3 4 3" xfId="4810" xr:uid="{00000000-0005-0000-0000-0000D5120000}"/>
    <cellStyle name="Normal 2 3 4 3 4 4" xfId="4811" xr:uid="{00000000-0005-0000-0000-0000D6120000}"/>
    <cellStyle name="Normal 2 3 4 3 5" xfId="4812" xr:uid="{00000000-0005-0000-0000-0000D7120000}"/>
    <cellStyle name="Normal 2 3 4 3 5 2" xfId="4813" xr:uid="{00000000-0005-0000-0000-0000D8120000}"/>
    <cellStyle name="Normal 2 3 4 3 5 3" xfId="4814" xr:uid="{00000000-0005-0000-0000-0000D9120000}"/>
    <cellStyle name="Normal 2 3 4 3 6" xfId="4815" xr:uid="{00000000-0005-0000-0000-0000DA120000}"/>
    <cellStyle name="Normal 2 3 4 3 7" xfId="4816" xr:uid="{00000000-0005-0000-0000-0000DB120000}"/>
    <cellStyle name="Normal 2 3 4 3 8" xfId="4817" xr:uid="{00000000-0005-0000-0000-0000DC120000}"/>
    <cellStyle name="Normal 2 3 4 4" xfId="4818" xr:uid="{00000000-0005-0000-0000-0000DD120000}"/>
    <cellStyle name="Normal 2 3 4 4 2" xfId="4819" xr:uid="{00000000-0005-0000-0000-0000DE120000}"/>
    <cellStyle name="Normal 2 3 4 4 2 2" xfId="4820" xr:uid="{00000000-0005-0000-0000-0000DF120000}"/>
    <cellStyle name="Normal 2 3 4 4 2 2 2" xfId="4821" xr:uid="{00000000-0005-0000-0000-0000E0120000}"/>
    <cellStyle name="Normal 2 3 4 4 2 2 2 2" xfId="4822" xr:uid="{00000000-0005-0000-0000-0000E1120000}"/>
    <cellStyle name="Normal 2 3 4 4 2 2 2 3" xfId="4823" xr:uid="{00000000-0005-0000-0000-0000E2120000}"/>
    <cellStyle name="Normal 2 3 4 4 2 2 3" xfId="4824" xr:uid="{00000000-0005-0000-0000-0000E3120000}"/>
    <cellStyle name="Normal 2 3 4 4 2 2 4" xfId="4825" xr:uid="{00000000-0005-0000-0000-0000E4120000}"/>
    <cellStyle name="Normal 2 3 4 4 2 3" xfId="4826" xr:uid="{00000000-0005-0000-0000-0000E5120000}"/>
    <cellStyle name="Normal 2 3 4 4 2 3 2" xfId="4827" xr:uid="{00000000-0005-0000-0000-0000E6120000}"/>
    <cellStyle name="Normal 2 3 4 4 2 3 2 2" xfId="4828" xr:uid="{00000000-0005-0000-0000-0000E7120000}"/>
    <cellStyle name="Normal 2 3 4 4 2 3 2 3" xfId="4829" xr:uid="{00000000-0005-0000-0000-0000E8120000}"/>
    <cellStyle name="Normal 2 3 4 4 2 3 3" xfId="4830" xr:uid="{00000000-0005-0000-0000-0000E9120000}"/>
    <cellStyle name="Normal 2 3 4 4 2 3 4" xfId="4831" xr:uid="{00000000-0005-0000-0000-0000EA120000}"/>
    <cellStyle name="Normal 2 3 4 4 2 4" xfId="4832" xr:uid="{00000000-0005-0000-0000-0000EB120000}"/>
    <cellStyle name="Normal 2 3 4 4 2 4 2" xfId="4833" xr:uid="{00000000-0005-0000-0000-0000EC120000}"/>
    <cellStyle name="Normal 2 3 4 4 2 4 3" xfId="4834" xr:uid="{00000000-0005-0000-0000-0000ED120000}"/>
    <cellStyle name="Normal 2 3 4 4 2 5" xfId="4835" xr:uid="{00000000-0005-0000-0000-0000EE120000}"/>
    <cellStyle name="Normal 2 3 4 4 2 6" xfId="4836" xr:uid="{00000000-0005-0000-0000-0000EF120000}"/>
    <cellStyle name="Normal 2 3 4 4 2 7" xfId="4837" xr:uid="{00000000-0005-0000-0000-0000F0120000}"/>
    <cellStyle name="Normal 2 3 4 4 3" xfId="4838" xr:uid="{00000000-0005-0000-0000-0000F1120000}"/>
    <cellStyle name="Normal 2 3 4 4 3 2" xfId="4839" xr:uid="{00000000-0005-0000-0000-0000F2120000}"/>
    <cellStyle name="Normal 2 3 4 4 3 2 2" xfId="4840" xr:uid="{00000000-0005-0000-0000-0000F3120000}"/>
    <cellStyle name="Normal 2 3 4 4 3 2 3" xfId="4841" xr:uid="{00000000-0005-0000-0000-0000F4120000}"/>
    <cellStyle name="Normal 2 3 4 4 3 3" xfId="4842" xr:uid="{00000000-0005-0000-0000-0000F5120000}"/>
    <cellStyle name="Normal 2 3 4 4 3 4" xfId="4843" xr:uid="{00000000-0005-0000-0000-0000F6120000}"/>
    <cellStyle name="Normal 2 3 4 4 4" xfId="4844" xr:uid="{00000000-0005-0000-0000-0000F7120000}"/>
    <cellStyle name="Normal 2 3 4 4 4 2" xfId="4845" xr:uid="{00000000-0005-0000-0000-0000F8120000}"/>
    <cellStyle name="Normal 2 3 4 4 4 2 2" xfId="4846" xr:uid="{00000000-0005-0000-0000-0000F9120000}"/>
    <cellStyle name="Normal 2 3 4 4 4 2 3" xfId="4847" xr:uid="{00000000-0005-0000-0000-0000FA120000}"/>
    <cellStyle name="Normal 2 3 4 4 4 3" xfId="4848" xr:uid="{00000000-0005-0000-0000-0000FB120000}"/>
    <cellStyle name="Normal 2 3 4 4 4 4" xfId="4849" xr:uid="{00000000-0005-0000-0000-0000FC120000}"/>
    <cellStyle name="Normal 2 3 4 4 5" xfId="4850" xr:uid="{00000000-0005-0000-0000-0000FD120000}"/>
    <cellStyle name="Normal 2 3 4 4 5 2" xfId="4851" xr:uid="{00000000-0005-0000-0000-0000FE120000}"/>
    <cellStyle name="Normal 2 3 4 4 5 3" xfId="4852" xr:uid="{00000000-0005-0000-0000-0000FF120000}"/>
    <cellStyle name="Normal 2 3 4 4 6" xfId="4853" xr:uid="{00000000-0005-0000-0000-000000130000}"/>
    <cellStyle name="Normal 2 3 4 4 7" xfId="4854" xr:uid="{00000000-0005-0000-0000-000001130000}"/>
    <cellStyle name="Normal 2 3 4 4 8" xfId="4855" xr:uid="{00000000-0005-0000-0000-000002130000}"/>
    <cellStyle name="Normal 2 3 4 5" xfId="4856" xr:uid="{00000000-0005-0000-0000-000003130000}"/>
    <cellStyle name="Normal 2 3 4 5 2" xfId="4857" xr:uid="{00000000-0005-0000-0000-000004130000}"/>
    <cellStyle name="Normal 2 3 4 5 2 2" xfId="4858" xr:uid="{00000000-0005-0000-0000-000005130000}"/>
    <cellStyle name="Normal 2 3 4 5 2 2 2" xfId="4859" xr:uid="{00000000-0005-0000-0000-000006130000}"/>
    <cellStyle name="Normal 2 3 4 5 2 2 2 2" xfId="4860" xr:uid="{00000000-0005-0000-0000-000007130000}"/>
    <cellStyle name="Normal 2 3 4 5 2 2 2 3" xfId="4861" xr:uid="{00000000-0005-0000-0000-000008130000}"/>
    <cellStyle name="Normal 2 3 4 5 2 2 3" xfId="4862" xr:uid="{00000000-0005-0000-0000-000009130000}"/>
    <cellStyle name="Normal 2 3 4 5 2 2 4" xfId="4863" xr:uid="{00000000-0005-0000-0000-00000A130000}"/>
    <cellStyle name="Normal 2 3 4 5 2 3" xfId="4864" xr:uid="{00000000-0005-0000-0000-00000B130000}"/>
    <cellStyle name="Normal 2 3 4 5 2 3 2" xfId="4865" xr:uid="{00000000-0005-0000-0000-00000C130000}"/>
    <cellStyle name="Normal 2 3 4 5 2 3 2 2" xfId="4866" xr:uid="{00000000-0005-0000-0000-00000D130000}"/>
    <cellStyle name="Normal 2 3 4 5 2 3 2 3" xfId="4867" xr:uid="{00000000-0005-0000-0000-00000E130000}"/>
    <cellStyle name="Normal 2 3 4 5 2 3 3" xfId="4868" xr:uid="{00000000-0005-0000-0000-00000F130000}"/>
    <cellStyle name="Normal 2 3 4 5 2 3 4" xfId="4869" xr:uid="{00000000-0005-0000-0000-000010130000}"/>
    <cellStyle name="Normal 2 3 4 5 2 4" xfId="4870" xr:uid="{00000000-0005-0000-0000-000011130000}"/>
    <cellStyle name="Normal 2 3 4 5 2 4 2" xfId="4871" xr:uid="{00000000-0005-0000-0000-000012130000}"/>
    <cellStyle name="Normal 2 3 4 5 2 4 3" xfId="4872" xr:uid="{00000000-0005-0000-0000-000013130000}"/>
    <cellStyle name="Normal 2 3 4 5 2 5" xfId="4873" xr:uid="{00000000-0005-0000-0000-000014130000}"/>
    <cellStyle name="Normal 2 3 4 5 2 6" xfId="4874" xr:uid="{00000000-0005-0000-0000-000015130000}"/>
    <cellStyle name="Normal 2 3 4 5 2 7" xfId="4875" xr:uid="{00000000-0005-0000-0000-000016130000}"/>
    <cellStyle name="Normal 2 3 4 5 3" xfId="4876" xr:uid="{00000000-0005-0000-0000-000017130000}"/>
    <cellStyle name="Normal 2 3 4 5 3 2" xfId="4877" xr:uid="{00000000-0005-0000-0000-000018130000}"/>
    <cellStyle name="Normal 2 3 4 5 3 2 2" xfId="4878" xr:uid="{00000000-0005-0000-0000-000019130000}"/>
    <cellStyle name="Normal 2 3 4 5 3 2 3" xfId="4879" xr:uid="{00000000-0005-0000-0000-00001A130000}"/>
    <cellStyle name="Normal 2 3 4 5 3 3" xfId="4880" xr:uid="{00000000-0005-0000-0000-00001B130000}"/>
    <cellStyle name="Normal 2 3 4 5 3 4" xfId="4881" xr:uid="{00000000-0005-0000-0000-00001C130000}"/>
    <cellStyle name="Normal 2 3 4 5 4" xfId="4882" xr:uid="{00000000-0005-0000-0000-00001D130000}"/>
    <cellStyle name="Normal 2 3 4 5 4 2" xfId="4883" xr:uid="{00000000-0005-0000-0000-00001E130000}"/>
    <cellStyle name="Normal 2 3 4 5 4 2 2" xfId="4884" xr:uid="{00000000-0005-0000-0000-00001F130000}"/>
    <cellStyle name="Normal 2 3 4 5 4 2 3" xfId="4885" xr:uid="{00000000-0005-0000-0000-000020130000}"/>
    <cellStyle name="Normal 2 3 4 5 4 3" xfId="4886" xr:uid="{00000000-0005-0000-0000-000021130000}"/>
    <cellStyle name="Normal 2 3 4 5 4 4" xfId="4887" xr:uid="{00000000-0005-0000-0000-000022130000}"/>
    <cellStyle name="Normal 2 3 4 5 5" xfId="4888" xr:uid="{00000000-0005-0000-0000-000023130000}"/>
    <cellStyle name="Normal 2 3 4 5 5 2" xfId="4889" xr:uid="{00000000-0005-0000-0000-000024130000}"/>
    <cellStyle name="Normal 2 3 4 5 5 3" xfId="4890" xr:uid="{00000000-0005-0000-0000-000025130000}"/>
    <cellStyle name="Normal 2 3 4 5 6" xfId="4891" xr:uid="{00000000-0005-0000-0000-000026130000}"/>
    <cellStyle name="Normal 2 3 4 5 7" xfId="4892" xr:uid="{00000000-0005-0000-0000-000027130000}"/>
    <cellStyle name="Normal 2 3 4 5 8" xfId="4893" xr:uid="{00000000-0005-0000-0000-000028130000}"/>
    <cellStyle name="Normal 2 3 4 6" xfId="4894" xr:uid="{00000000-0005-0000-0000-000029130000}"/>
    <cellStyle name="Normal 2 3 4 6 2" xfId="4895" xr:uid="{00000000-0005-0000-0000-00002A130000}"/>
    <cellStyle name="Normal 2 3 4 6 2 2" xfId="4896" xr:uid="{00000000-0005-0000-0000-00002B130000}"/>
    <cellStyle name="Normal 2 3 4 6 2 2 2" xfId="4897" xr:uid="{00000000-0005-0000-0000-00002C130000}"/>
    <cellStyle name="Normal 2 3 4 6 2 2 3" xfId="4898" xr:uid="{00000000-0005-0000-0000-00002D130000}"/>
    <cellStyle name="Normal 2 3 4 6 2 3" xfId="4899" xr:uid="{00000000-0005-0000-0000-00002E130000}"/>
    <cellStyle name="Normal 2 3 4 6 2 4" xfId="4900" xr:uid="{00000000-0005-0000-0000-00002F130000}"/>
    <cellStyle name="Normal 2 3 4 6 3" xfId="4901" xr:uid="{00000000-0005-0000-0000-000030130000}"/>
    <cellStyle name="Normal 2 3 4 6 3 2" xfId="4902" xr:uid="{00000000-0005-0000-0000-000031130000}"/>
    <cellStyle name="Normal 2 3 4 6 3 2 2" xfId="4903" xr:uid="{00000000-0005-0000-0000-000032130000}"/>
    <cellStyle name="Normal 2 3 4 6 3 2 3" xfId="4904" xr:uid="{00000000-0005-0000-0000-000033130000}"/>
    <cellStyle name="Normal 2 3 4 6 3 3" xfId="4905" xr:uid="{00000000-0005-0000-0000-000034130000}"/>
    <cellStyle name="Normal 2 3 4 6 3 4" xfId="4906" xr:uid="{00000000-0005-0000-0000-000035130000}"/>
    <cellStyle name="Normal 2 3 4 6 4" xfId="4907" xr:uid="{00000000-0005-0000-0000-000036130000}"/>
    <cellStyle name="Normal 2 3 4 6 4 2" xfId="4908" xr:uid="{00000000-0005-0000-0000-000037130000}"/>
    <cellStyle name="Normal 2 3 4 6 4 3" xfId="4909" xr:uid="{00000000-0005-0000-0000-000038130000}"/>
    <cellStyle name="Normal 2 3 4 6 5" xfId="4910" xr:uid="{00000000-0005-0000-0000-000039130000}"/>
    <cellStyle name="Normal 2 3 4 6 6" xfId="4911" xr:uid="{00000000-0005-0000-0000-00003A130000}"/>
    <cellStyle name="Normal 2 3 4 6 7" xfId="4912" xr:uid="{00000000-0005-0000-0000-00003B130000}"/>
    <cellStyle name="Normal 2 3 4 7" xfId="4913" xr:uid="{00000000-0005-0000-0000-00003C130000}"/>
    <cellStyle name="Normal 2 3 4 7 2" xfId="4914" xr:uid="{00000000-0005-0000-0000-00003D130000}"/>
    <cellStyle name="Normal 2 3 4 7 2 2" xfId="4915" xr:uid="{00000000-0005-0000-0000-00003E130000}"/>
    <cellStyle name="Normal 2 3 4 7 2 2 2" xfId="4916" xr:uid="{00000000-0005-0000-0000-00003F130000}"/>
    <cellStyle name="Normal 2 3 4 7 2 2 3" xfId="4917" xr:uid="{00000000-0005-0000-0000-000040130000}"/>
    <cellStyle name="Normal 2 3 4 7 2 3" xfId="4918" xr:uid="{00000000-0005-0000-0000-000041130000}"/>
    <cellStyle name="Normal 2 3 4 7 2 4" xfId="4919" xr:uid="{00000000-0005-0000-0000-000042130000}"/>
    <cellStyle name="Normal 2 3 4 7 3" xfId="4920" xr:uid="{00000000-0005-0000-0000-000043130000}"/>
    <cellStyle name="Normal 2 3 4 7 3 2" xfId="4921" xr:uid="{00000000-0005-0000-0000-000044130000}"/>
    <cellStyle name="Normal 2 3 4 7 3 3" xfId="4922" xr:uid="{00000000-0005-0000-0000-000045130000}"/>
    <cellStyle name="Normal 2 3 4 7 4" xfId="4923" xr:uid="{00000000-0005-0000-0000-000046130000}"/>
    <cellStyle name="Normal 2 3 4 7 5" xfId="4924" xr:uid="{00000000-0005-0000-0000-000047130000}"/>
    <cellStyle name="Normal 2 3 4 8" xfId="4925" xr:uid="{00000000-0005-0000-0000-000048130000}"/>
    <cellStyle name="Normal 2 3 4 8 2" xfId="4926" xr:uid="{00000000-0005-0000-0000-000049130000}"/>
    <cellStyle name="Normal 2 3 4 8 3" xfId="4927" xr:uid="{00000000-0005-0000-0000-00004A130000}"/>
    <cellStyle name="Normal 2 3 4 9" xfId="4928" xr:uid="{00000000-0005-0000-0000-00004B130000}"/>
    <cellStyle name="Normal 2 3 4 9 2" xfId="4929" xr:uid="{00000000-0005-0000-0000-00004C130000}"/>
    <cellStyle name="Normal 2 3 4 9 3" xfId="4930" xr:uid="{00000000-0005-0000-0000-00004D130000}"/>
    <cellStyle name="Normal 2 3 5" xfId="4931" xr:uid="{00000000-0005-0000-0000-00004E130000}"/>
    <cellStyle name="Normal 2 3 5 10" xfId="4932" xr:uid="{00000000-0005-0000-0000-00004F130000}"/>
    <cellStyle name="Normal 2 3 5 11" xfId="4933" xr:uid="{00000000-0005-0000-0000-000050130000}"/>
    <cellStyle name="Normal 2 3 5 2" xfId="4934" xr:uid="{00000000-0005-0000-0000-000051130000}"/>
    <cellStyle name="Normal 2 3 5 2 2" xfId="4935" xr:uid="{00000000-0005-0000-0000-000052130000}"/>
    <cellStyle name="Normal 2 3 5 2 2 2" xfId="4936" xr:uid="{00000000-0005-0000-0000-000053130000}"/>
    <cellStyle name="Normal 2 3 5 2 2 2 2" xfId="4937" xr:uid="{00000000-0005-0000-0000-000054130000}"/>
    <cellStyle name="Normal 2 3 5 2 2 2 2 2" xfId="4938" xr:uid="{00000000-0005-0000-0000-000055130000}"/>
    <cellStyle name="Normal 2 3 5 2 2 2 2 3" xfId="4939" xr:uid="{00000000-0005-0000-0000-000056130000}"/>
    <cellStyle name="Normal 2 3 5 2 2 2 3" xfId="4940" xr:uid="{00000000-0005-0000-0000-000057130000}"/>
    <cellStyle name="Normal 2 3 5 2 2 2 4" xfId="4941" xr:uid="{00000000-0005-0000-0000-000058130000}"/>
    <cellStyle name="Normal 2 3 5 2 2 3" xfId="4942" xr:uid="{00000000-0005-0000-0000-000059130000}"/>
    <cellStyle name="Normal 2 3 5 2 2 3 2" xfId="4943" xr:uid="{00000000-0005-0000-0000-00005A130000}"/>
    <cellStyle name="Normal 2 3 5 2 2 3 2 2" xfId="4944" xr:uid="{00000000-0005-0000-0000-00005B130000}"/>
    <cellStyle name="Normal 2 3 5 2 2 3 2 3" xfId="4945" xr:uid="{00000000-0005-0000-0000-00005C130000}"/>
    <cellStyle name="Normal 2 3 5 2 2 3 3" xfId="4946" xr:uid="{00000000-0005-0000-0000-00005D130000}"/>
    <cellStyle name="Normal 2 3 5 2 2 3 4" xfId="4947" xr:uid="{00000000-0005-0000-0000-00005E130000}"/>
    <cellStyle name="Normal 2 3 5 2 2 4" xfId="4948" xr:uid="{00000000-0005-0000-0000-00005F130000}"/>
    <cellStyle name="Normal 2 3 5 2 2 4 2" xfId="4949" xr:uid="{00000000-0005-0000-0000-000060130000}"/>
    <cellStyle name="Normal 2 3 5 2 2 4 3" xfId="4950" xr:uid="{00000000-0005-0000-0000-000061130000}"/>
    <cellStyle name="Normal 2 3 5 2 2 5" xfId="4951" xr:uid="{00000000-0005-0000-0000-000062130000}"/>
    <cellStyle name="Normal 2 3 5 2 2 6" xfId="4952" xr:uid="{00000000-0005-0000-0000-000063130000}"/>
    <cellStyle name="Normal 2 3 5 2 2 7" xfId="4953" xr:uid="{00000000-0005-0000-0000-000064130000}"/>
    <cellStyle name="Normal 2 3 5 2 3" xfId="4954" xr:uid="{00000000-0005-0000-0000-000065130000}"/>
    <cellStyle name="Normal 2 3 5 2 3 2" xfId="4955" xr:uid="{00000000-0005-0000-0000-000066130000}"/>
    <cellStyle name="Normal 2 3 5 2 3 2 2" xfId="4956" xr:uid="{00000000-0005-0000-0000-000067130000}"/>
    <cellStyle name="Normal 2 3 5 2 3 2 3" xfId="4957" xr:uid="{00000000-0005-0000-0000-000068130000}"/>
    <cellStyle name="Normal 2 3 5 2 3 3" xfId="4958" xr:uid="{00000000-0005-0000-0000-000069130000}"/>
    <cellStyle name="Normal 2 3 5 2 3 4" xfId="4959" xr:uid="{00000000-0005-0000-0000-00006A130000}"/>
    <cellStyle name="Normal 2 3 5 2 4" xfId="4960" xr:uid="{00000000-0005-0000-0000-00006B130000}"/>
    <cellStyle name="Normal 2 3 5 2 4 2" xfId="4961" xr:uid="{00000000-0005-0000-0000-00006C130000}"/>
    <cellStyle name="Normal 2 3 5 2 4 2 2" xfId="4962" xr:uid="{00000000-0005-0000-0000-00006D130000}"/>
    <cellStyle name="Normal 2 3 5 2 4 2 3" xfId="4963" xr:uid="{00000000-0005-0000-0000-00006E130000}"/>
    <cellStyle name="Normal 2 3 5 2 4 3" xfId="4964" xr:uid="{00000000-0005-0000-0000-00006F130000}"/>
    <cellStyle name="Normal 2 3 5 2 4 4" xfId="4965" xr:uid="{00000000-0005-0000-0000-000070130000}"/>
    <cellStyle name="Normal 2 3 5 2 5" xfId="4966" xr:uid="{00000000-0005-0000-0000-000071130000}"/>
    <cellStyle name="Normal 2 3 5 2 5 2" xfId="4967" xr:uid="{00000000-0005-0000-0000-000072130000}"/>
    <cellStyle name="Normal 2 3 5 2 5 3" xfId="4968" xr:uid="{00000000-0005-0000-0000-000073130000}"/>
    <cellStyle name="Normal 2 3 5 2 6" xfId="4969" xr:uid="{00000000-0005-0000-0000-000074130000}"/>
    <cellStyle name="Normal 2 3 5 2 7" xfId="4970" xr:uid="{00000000-0005-0000-0000-000075130000}"/>
    <cellStyle name="Normal 2 3 5 2 8" xfId="4971" xr:uid="{00000000-0005-0000-0000-000076130000}"/>
    <cellStyle name="Normal 2 3 5 3" xfId="4972" xr:uid="{00000000-0005-0000-0000-000077130000}"/>
    <cellStyle name="Normal 2 3 5 3 2" xfId="4973" xr:uid="{00000000-0005-0000-0000-000078130000}"/>
    <cellStyle name="Normal 2 3 5 3 2 2" xfId="4974" xr:uid="{00000000-0005-0000-0000-000079130000}"/>
    <cellStyle name="Normal 2 3 5 3 2 2 2" xfId="4975" xr:uid="{00000000-0005-0000-0000-00007A130000}"/>
    <cellStyle name="Normal 2 3 5 3 2 2 2 2" xfId="4976" xr:uid="{00000000-0005-0000-0000-00007B130000}"/>
    <cellStyle name="Normal 2 3 5 3 2 2 2 3" xfId="4977" xr:uid="{00000000-0005-0000-0000-00007C130000}"/>
    <cellStyle name="Normal 2 3 5 3 2 2 3" xfId="4978" xr:uid="{00000000-0005-0000-0000-00007D130000}"/>
    <cellStyle name="Normal 2 3 5 3 2 2 4" xfId="4979" xr:uid="{00000000-0005-0000-0000-00007E130000}"/>
    <cellStyle name="Normal 2 3 5 3 2 3" xfId="4980" xr:uid="{00000000-0005-0000-0000-00007F130000}"/>
    <cellStyle name="Normal 2 3 5 3 2 3 2" xfId="4981" xr:uid="{00000000-0005-0000-0000-000080130000}"/>
    <cellStyle name="Normal 2 3 5 3 2 3 2 2" xfId="4982" xr:uid="{00000000-0005-0000-0000-000081130000}"/>
    <cellStyle name="Normal 2 3 5 3 2 3 2 3" xfId="4983" xr:uid="{00000000-0005-0000-0000-000082130000}"/>
    <cellStyle name="Normal 2 3 5 3 2 3 3" xfId="4984" xr:uid="{00000000-0005-0000-0000-000083130000}"/>
    <cellStyle name="Normal 2 3 5 3 2 3 4" xfId="4985" xr:uid="{00000000-0005-0000-0000-000084130000}"/>
    <cellStyle name="Normal 2 3 5 3 2 4" xfId="4986" xr:uid="{00000000-0005-0000-0000-000085130000}"/>
    <cellStyle name="Normal 2 3 5 3 2 4 2" xfId="4987" xr:uid="{00000000-0005-0000-0000-000086130000}"/>
    <cellStyle name="Normal 2 3 5 3 2 4 3" xfId="4988" xr:uid="{00000000-0005-0000-0000-000087130000}"/>
    <cellStyle name="Normal 2 3 5 3 2 5" xfId="4989" xr:uid="{00000000-0005-0000-0000-000088130000}"/>
    <cellStyle name="Normal 2 3 5 3 2 6" xfId="4990" xr:uid="{00000000-0005-0000-0000-000089130000}"/>
    <cellStyle name="Normal 2 3 5 3 2 7" xfId="4991" xr:uid="{00000000-0005-0000-0000-00008A130000}"/>
    <cellStyle name="Normal 2 3 5 3 3" xfId="4992" xr:uid="{00000000-0005-0000-0000-00008B130000}"/>
    <cellStyle name="Normal 2 3 5 3 3 2" xfId="4993" xr:uid="{00000000-0005-0000-0000-00008C130000}"/>
    <cellStyle name="Normal 2 3 5 3 3 2 2" xfId="4994" xr:uid="{00000000-0005-0000-0000-00008D130000}"/>
    <cellStyle name="Normal 2 3 5 3 3 2 3" xfId="4995" xr:uid="{00000000-0005-0000-0000-00008E130000}"/>
    <cellStyle name="Normal 2 3 5 3 3 3" xfId="4996" xr:uid="{00000000-0005-0000-0000-00008F130000}"/>
    <cellStyle name="Normal 2 3 5 3 3 4" xfId="4997" xr:uid="{00000000-0005-0000-0000-000090130000}"/>
    <cellStyle name="Normal 2 3 5 3 4" xfId="4998" xr:uid="{00000000-0005-0000-0000-000091130000}"/>
    <cellStyle name="Normal 2 3 5 3 4 2" xfId="4999" xr:uid="{00000000-0005-0000-0000-000092130000}"/>
    <cellStyle name="Normal 2 3 5 3 4 2 2" xfId="5000" xr:uid="{00000000-0005-0000-0000-000093130000}"/>
    <cellStyle name="Normal 2 3 5 3 4 2 3" xfId="5001" xr:uid="{00000000-0005-0000-0000-000094130000}"/>
    <cellStyle name="Normal 2 3 5 3 4 3" xfId="5002" xr:uid="{00000000-0005-0000-0000-000095130000}"/>
    <cellStyle name="Normal 2 3 5 3 4 4" xfId="5003" xr:uid="{00000000-0005-0000-0000-000096130000}"/>
    <cellStyle name="Normal 2 3 5 3 5" xfId="5004" xr:uid="{00000000-0005-0000-0000-000097130000}"/>
    <cellStyle name="Normal 2 3 5 3 5 2" xfId="5005" xr:uid="{00000000-0005-0000-0000-000098130000}"/>
    <cellStyle name="Normal 2 3 5 3 5 3" xfId="5006" xr:uid="{00000000-0005-0000-0000-000099130000}"/>
    <cellStyle name="Normal 2 3 5 3 6" xfId="5007" xr:uid="{00000000-0005-0000-0000-00009A130000}"/>
    <cellStyle name="Normal 2 3 5 3 7" xfId="5008" xr:uid="{00000000-0005-0000-0000-00009B130000}"/>
    <cellStyle name="Normal 2 3 5 3 8" xfId="5009" xr:uid="{00000000-0005-0000-0000-00009C130000}"/>
    <cellStyle name="Normal 2 3 5 4" xfId="5010" xr:uid="{00000000-0005-0000-0000-00009D130000}"/>
    <cellStyle name="Normal 2 3 5 4 2" xfId="5011" xr:uid="{00000000-0005-0000-0000-00009E130000}"/>
    <cellStyle name="Normal 2 3 5 4 2 2" xfId="5012" xr:uid="{00000000-0005-0000-0000-00009F130000}"/>
    <cellStyle name="Normal 2 3 5 4 2 2 2" xfId="5013" xr:uid="{00000000-0005-0000-0000-0000A0130000}"/>
    <cellStyle name="Normal 2 3 5 4 2 2 3" xfId="5014" xr:uid="{00000000-0005-0000-0000-0000A1130000}"/>
    <cellStyle name="Normal 2 3 5 4 2 3" xfId="5015" xr:uid="{00000000-0005-0000-0000-0000A2130000}"/>
    <cellStyle name="Normal 2 3 5 4 2 4" xfId="5016" xr:uid="{00000000-0005-0000-0000-0000A3130000}"/>
    <cellStyle name="Normal 2 3 5 4 3" xfId="5017" xr:uid="{00000000-0005-0000-0000-0000A4130000}"/>
    <cellStyle name="Normal 2 3 5 4 3 2" xfId="5018" xr:uid="{00000000-0005-0000-0000-0000A5130000}"/>
    <cellStyle name="Normal 2 3 5 4 3 2 2" xfId="5019" xr:uid="{00000000-0005-0000-0000-0000A6130000}"/>
    <cellStyle name="Normal 2 3 5 4 3 2 3" xfId="5020" xr:uid="{00000000-0005-0000-0000-0000A7130000}"/>
    <cellStyle name="Normal 2 3 5 4 3 3" xfId="5021" xr:uid="{00000000-0005-0000-0000-0000A8130000}"/>
    <cellStyle name="Normal 2 3 5 4 3 4" xfId="5022" xr:uid="{00000000-0005-0000-0000-0000A9130000}"/>
    <cellStyle name="Normal 2 3 5 4 4" xfId="5023" xr:uid="{00000000-0005-0000-0000-0000AA130000}"/>
    <cellStyle name="Normal 2 3 5 4 4 2" xfId="5024" xr:uid="{00000000-0005-0000-0000-0000AB130000}"/>
    <cellStyle name="Normal 2 3 5 4 4 3" xfId="5025" xr:uid="{00000000-0005-0000-0000-0000AC130000}"/>
    <cellStyle name="Normal 2 3 5 4 5" xfId="5026" xr:uid="{00000000-0005-0000-0000-0000AD130000}"/>
    <cellStyle name="Normal 2 3 5 4 6" xfId="5027" xr:uid="{00000000-0005-0000-0000-0000AE130000}"/>
    <cellStyle name="Normal 2 3 5 4 7" xfId="5028" xr:uid="{00000000-0005-0000-0000-0000AF130000}"/>
    <cellStyle name="Normal 2 3 5 5" xfId="5029" xr:uid="{00000000-0005-0000-0000-0000B0130000}"/>
    <cellStyle name="Normal 2 3 5 5 2" xfId="5030" xr:uid="{00000000-0005-0000-0000-0000B1130000}"/>
    <cellStyle name="Normal 2 3 5 5 2 2" xfId="5031" xr:uid="{00000000-0005-0000-0000-0000B2130000}"/>
    <cellStyle name="Normal 2 3 5 5 2 2 2" xfId="5032" xr:uid="{00000000-0005-0000-0000-0000B3130000}"/>
    <cellStyle name="Normal 2 3 5 5 2 2 3" xfId="5033" xr:uid="{00000000-0005-0000-0000-0000B4130000}"/>
    <cellStyle name="Normal 2 3 5 5 2 3" xfId="5034" xr:uid="{00000000-0005-0000-0000-0000B5130000}"/>
    <cellStyle name="Normal 2 3 5 5 2 4" xfId="5035" xr:uid="{00000000-0005-0000-0000-0000B6130000}"/>
    <cellStyle name="Normal 2 3 5 5 3" xfId="5036" xr:uid="{00000000-0005-0000-0000-0000B7130000}"/>
    <cellStyle name="Normal 2 3 5 5 3 2" xfId="5037" xr:uid="{00000000-0005-0000-0000-0000B8130000}"/>
    <cellStyle name="Normal 2 3 5 5 3 3" xfId="5038" xr:uid="{00000000-0005-0000-0000-0000B9130000}"/>
    <cellStyle name="Normal 2 3 5 5 4" xfId="5039" xr:uid="{00000000-0005-0000-0000-0000BA130000}"/>
    <cellStyle name="Normal 2 3 5 5 5" xfId="5040" xr:uid="{00000000-0005-0000-0000-0000BB130000}"/>
    <cellStyle name="Normal 2 3 5 6" xfId="5041" xr:uid="{00000000-0005-0000-0000-0000BC130000}"/>
    <cellStyle name="Normal 2 3 5 6 2" xfId="5042" xr:uid="{00000000-0005-0000-0000-0000BD130000}"/>
    <cellStyle name="Normal 2 3 5 6 3" xfId="5043" xr:uid="{00000000-0005-0000-0000-0000BE130000}"/>
    <cellStyle name="Normal 2 3 5 7" xfId="5044" xr:uid="{00000000-0005-0000-0000-0000BF130000}"/>
    <cellStyle name="Normal 2 3 5 7 2" xfId="5045" xr:uid="{00000000-0005-0000-0000-0000C0130000}"/>
    <cellStyle name="Normal 2 3 5 7 3" xfId="5046" xr:uid="{00000000-0005-0000-0000-0000C1130000}"/>
    <cellStyle name="Normal 2 3 5 8" xfId="5047" xr:uid="{00000000-0005-0000-0000-0000C2130000}"/>
    <cellStyle name="Normal 2 3 5 9" xfId="5048" xr:uid="{00000000-0005-0000-0000-0000C3130000}"/>
    <cellStyle name="Normal 2 3 6" xfId="5049" xr:uid="{00000000-0005-0000-0000-0000C4130000}"/>
    <cellStyle name="Normal 2 3 6 10" xfId="5050" xr:uid="{00000000-0005-0000-0000-0000C5130000}"/>
    <cellStyle name="Normal 2 3 6 2" xfId="5051" xr:uid="{00000000-0005-0000-0000-0000C6130000}"/>
    <cellStyle name="Normal 2 3 6 2 2" xfId="5052" xr:uid="{00000000-0005-0000-0000-0000C7130000}"/>
    <cellStyle name="Normal 2 3 6 2 3" xfId="5053" xr:uid="{00000000-0005-0000-0000-0000C8130000}"/>
    <cellStyle name="Normal 2 3 6 2 4" xfId="5054" xr:uid="{00000000-0005-0000-0000-0000C9130000}"/>
    <cellStyle name="Normal 2 3 6 3" xfId="5055" xr:uid="{00000000-0005-0000-0000-0000CA130000}"/>
    <cellStyle name="Normal 2 3 6 3 2" xfId="5056" xr:uid="{00000000-0005-0000-0000-0000CB130000}"/>
    <cellStyle name="Normal 2 3 6 3 2 2" xfId="5057" xr:uid="{00000000-0005-0000-0000-0000CC130000}"/>
    <cellStyle name="Normal 2 3 6 3 2 2 2" xfId="5058" xr:uid="{00000000-0005-0000-0000-0000CD130000}"/>
    <cellStyle name="Normal 2 3 6 3 2 2 2 2" xfId="5059" xr:uid="{00000000-0005-0000-0000-0000CE130000}"/>
    <cellStyle name="Normal 2 3 6 3 2 2 2 3" xfId="5060" xr:uid="{00000000-0005-0000-0000-0000CF130000}"/>
    <cellStyle name="Normal 2 3 6 3 2 2 3" xfId="5061" xr:uid="{00000000-0005-0000-0000-0000D0130000}"/>
    <cellStyle name="Normal 2 3 6 3 2 2 4" xfId="5062" xr:uid="{00000000-0005-0000-0000-0000D1130000}"/>
    <cellStyle name="Normal 2 3 6 3 2 3" xfId="5063" xr:uid="{00000000-0005-0000-0000-0000D2130000}"/>
    <cellStyle name="Normal 2 3 6 3 2 3 2" xfId="5064" xr:uid="{00000000-0005-0000-0000-0000D3130000}"/>
    <cellStyle name="Normal 2 3 6 3 2 3 2 2" xfId="5065" xr:uid="{00000000-0005-0000-0000-0000D4130000}"/>
    <cellStyle name="Normal 2 3 6 3 2 3 2 3" xfId="5066" xr:uid="{00000000-0005-0000-0000-0000D5130000}"/>
    <cellStyle name="Normal 2 3 6 3 2 3 3" xfId="5067" xr:uid="{00000000-0005-0000-0000-0000D6130000}"/>
    <cellStyle name="Normal 2 3 6 3 2 3 4" xfId="5068" xr:uid="{00000000-0005-0000-0000-0000D7130000}"/>
    <cellStyle name="Normal 2 3 6 3 2 4" xfId="5069" xr:uid="{00000000-0005-0000-0000-0000D8130000}"/>
    <cellStyle name="Normal 2 3 6 3 2 4 2" xfId="5070" xr:uid="{00000000-0005-0000-0000-0000D9130000}"/>
    <cellStyle name="Normal 2 3 6 3 2 4 3" xfId="5071" xr:uid="{00000000-0005-0000-0000-0000DA130000}"/>
    <cellStyle name="Normal 2 3 6 3 2 5" xfId="5072" xr:uid="{00000000-0005-0000-0000-0000DB130000}"/>
    <cellStyle name="Normal 2 3 6 3 2 6" xfId="5073" xr:uid="{00000000-0005-0000-0000-0000DC130000}"/>
    <cellStyle name="Normal 2 3 6 3 2 7" xfId="5074" xr:uid="{00000000-0005-0000-0000-0000DD130000}"/>
    <cellStyle name="Normal 2 3 6 3 3" xfId="5075" xr:uid="{00000000-0005-0000-0000-0000DE130000}"/>
    <cellStyle name="Normal 2 3 6 3 3 2" xfId="5076" xr:uid="{00000000-0005-0000-0000-0000DF130000}"/>
    <cellStyle name="Normal 2 3 6 3 3 2 2" xfId="5077" xr:uid="{00000000-0005-0000-0000-0000E0130000}"/>
    <cellStyle name="Normal 2 3 6 3 3 2 3" xfId="5078" xr:uid="{00000000-0005-0000-0000-0000E1130000}"/>
    <cellStyle name="Normal 2 3 6 3 3 3" xfId="5079" xr:uid="{00000000-0005-0000-0000-0000E2130000}"/>
    <cellStyle name="Normal 2 3 6 3 3 4" xfId="5080" xr:uid="{00000000-0005-0000-0000-0000E3130000}"/>
    <cellStyle name="Normal 2 3 6 3 4" xfId="5081" xr:uid="{00000000-0005-0000-0000-0000E4130000}"/>
    <cellStyle name="Normal 2 3 6 3 4 2" xfId="5082" xr:uid="{00000000-0005-0000-0000-0000E5130000}"/>
    <cellStyle name="Normal 2 3 6 3 4 2 2" xfId="5083" xr:uid="{00000000-0005-0000-0000-0000E6130000}"/>
    <cellStyle name="Normal 2 3 6 3 4 2 3" xfId="5084" xr:uid="{00000000-0005-0000-0000-0000E7130000}"/>
    <cellStyle name="Normal 2 3 6 3 4 3" xfId="5085" xr:uid="{00000000-0005-0000-0000-0000E8130000}"/>
    <cellStyle name="Normal 2 3 6 3 4 4" xfId="5086" xr:uid="{00000000-0005-0000-0000-0000E9130000}"/>
    <cellStyle name="Normal 2 3 6 3 5" xfId="5087" xr:uid="{00000000-0005-0000-0000-0000EA130000}"/>
    <cellStyle name="Normal 2 3 6 3 5 2" xfId="5088" xr:uid="{00000000-0005-0000-0000-0000EB130000}"/>
    <cellStyle name="Normal 2 3 6 3 5 3" xfId="5089" xr:uid="{00000000-0005-0000-0000-0000EC130000}"/>
    <cellStyle name="Normal 2 3 6 3 6" xfId="5090" xr:uid="{00000000-0005-0000-0000-0000ED130000}"/>
    <cellStyle name="Normal 2 3 6 3 7" xfId="5091" xr:uid="{00000000-0005-0000-0000-0000EE130000}"/>
    <cellStyle name="Normal 2 3 6 3 8" xfId="5092" xr:uid="{00000000-0005-0000-0000-0000EF130000}"/>
    <cellStyle name="Normal 2 3 6 4" xfId="5093" xr:uid="{00000000-0005-0000-0000-0000F0130000}"/>
    <cellStyle name="Normal 2 3 6 4 2" xfId="5094" xr:uid="{00000000-0005-0000-0000-0000F1130000}"/>
    <cellStyle name="Normal 2 3 6 4 2 2" xfId="5095" xr:uid="{00000000-0005-0000-0000-0000F2130000}"/>
    <cellStyle name="Normal 2 3 6 4 2 2 2" xfId="5096" xr:uid="{00000000-0005-0000-0000-0000F3130000}"/>
    <cellStyle name="Normal 2 3 6 4 2 2 3" xfId="5097" xr:uid="{00000000-0005-0000-0000-0000F4130000}"/>
    <cellStyle name="Normal 2 3 6 4 2 3" xfId="5098" xr:uid="{00000000-0005-0000-0000-0000F5130000}"/>
    <cellStyle name="Normal 2 3 6 4 2 4" xfId="5099" xr:uid="{00000000-0005-0000-0000-0000F6130000}"/>
    <cellStyle name="Normal 2 3 6 4 3" xfId="5100" xr:uid="{00000000-0005-0000-0000-0000F7130000}"/>
    <cellStyle name="Normal 2 3 6 4 3 2" xfId="5101" xr:uid="{00000000-0005-0000-0000-0000F8130000}"/>
    <cellStyle name="Normal 2 3 6 4 3 2 2" xfId="5102" xr:uid="{00000000-0005-0000-0000-0000F9130000}"/>
    <cellStyle name="Normal 2 3 6 4 3 2 3" xfId="5103" xr:uid="{00000000-0005-0000-0000-0000FA130000}"/>
    <cellStyle name="Normal 2 3 6 4 3 3" xfId="5104" xr:uid="{00000000-0005-0000-0000-0000FB130000}"/>
    <cellStyle name="Normal 2 3 6 4 3 4" xfId="5105" xr:uid="{00000000-0005-0000-0000-0000FC130000}"/>
    <cellStyle name="Normal 2 3 6 4 4" xfId="5106" xr:uid="{00000000-0005-0000-0000-0000FD130000}"/>
    <cellStyle name="Normal 2 3 6 4 4 2" xfId="5107" xr:uid="{00000000-0005-0000-0000-0000FE130000}"/>
    <cellStyle name="Normal 2 3 6 4 4 3" xfId="5108" xr:uid="{00000000-0005-0000-0000-0000FF130000}"/>
    <cellStyle name="Normal 2 3 6 4 5" xfId="5109" xr:uid="{00000000-0005-0000-0000-000000140000}"/>
    <cellStyle name="Normal 2 3 6 4 6" xfId="5110" xr:uid="{00000000-0005-0000-0000-000001140000}"/>
    <cellStyle name="Normal 2 3 6 4 7" xfId="5111" xr:uid="{00000000-0005-0000-0000-000002140000}"/>
    <cellStyle name="Normal 2 3 6 5" xfId="5112" xr:uid="{00000000-0005-0000-0000-000003140000}"/>
    <cellStyle name="Normal 2 3 6 5 2" xfId="5113" xr:uid="{00000000-0005-0000-0000-000004140000}"/>
    <cellStyle name="Normal 2 3 6 5 2 2" xfId="5114" xr:uid="{00000000-0005-0000-0000-000005140000}"/>
    <cellStyle name="Normal 2 3 6 5 2 2 2" xfId="5115" xr:uid="{00000000-0005-0000-0000-000006140000}"/>
    <cellStyle name="Normal 2 3 6 5 2 2 3" xfId="5116" xr:uid="{00000000-0005-0000-0000-000007140000}"/>
    <cellStyle name="Normal 2 3 6 5 2 3" xfId="5117" xr:uid="{00000000-0005-0000-0000-000008140000}"/>
    <cellStyle name="Normal 2 3 6 5 2 4" xfId="5118" xr:uid="{00000000-0005-0000-0000-000009140000}"/>
    <cellStyle name="Normal 2 3 6 5 3" xfId="5119" xr:uid="{00000000-0005-0000-0000-00000A140000}"/>
    <cellStyle name="Normal 2 3 6 5 3 2" xfId="5120" xr:uid="{00000000-0005-0000-0000-00000B140000}"/>
    <cellStyle name="Normal 2 3 6 5 3 3" xfId="5121" xr:uid="{00000000-0005-0000-0000-00000C140000}"/>
    <cellStyle name="Normal 2 3 6 5 4" xfId="5122" xr:uid="{00000000-0005-0000-0000-00000D140000}"/>
    <cellStyle name="Normal 2 3 6 5 5" xfId="5123" xr:uid="{00000000-0005-0000-0000-00000E140000}"/>
    <cellStyle name="Normal 2 3 6 6" xfId="5124" xr:uid="{00000000-0005-0000-0000-00000F140000}"/>
    <cellStyle name="Normal 2 3 6 6 2" xfId="5125" xr:uid="{00000000-0005-0000-0000-000010140000}"/>
    <cellStyle name="Normal 2 3 6 6 3" xfId="5126" xr:uid="{00000000-0005-0000-0000-000011140000}"/>
    <cellStyle name="Normal 2 3 6 7" xfId="5127" xr:uid="{00000000-0005-0000-0000-000012140000}"/>
    <cellStyle name="Normal 2 3 6 8" xfId="5128" xr:uid="{00000000-0005-0000-0000-000013140000}"/>
    <cellStyle name="Normal 2 3 6 9" xfId="5129" xr:uid="{00000000-0005-0000-0000-000014140000}"/>
    <cellStyle name="Normal 2 3 7" xfId="5130" xr:uid="{00000000-0005-0000-0000-000015140000}"/>
    <cellStyle name="Normal 2 3 7 2" xfId="5131" xr:uid="{00000000-0005-0000-0000-000016140000}"/>
    <cellStyle name="Normal 2 3 7 2 2" xfId="5132" xr:uid="{00000000-0005-0000-0000-000017140000}"/>
    <cellStyle name="Normal 2 3 7 2 2 2" xfId="5133" xr:uid="{00000000-0005-0000-0000-000018140000}"/>
    <cellStyle name="Normal 2 3 7 2 2 2 2" xfId="5134" xr:uid="{00000000-0005-0000-0000-000019140000}"/>
    <cellStyle name="Normal 2 3 7 2 2 2 3" xfId="5135" xr:uid="{00000000-0005-0000-0000-00001A140000}"/>
    <cellStyle name="Normal 2 3 7 2 2 3" xfId="5136" xr:uid="{00000000-0005-0000-0000-00001B140000}"/>
    <cellStyle name="Normal 2 3 7 2 2 4" xfId="5137" xr:uid="{00000000-0005-0000-0000-00001C140000}"/>
    <cellStyle name="Normal 2 3 7 2 3" xfId="5138" xr:uid="{00000000-0005-0000-0000-00001D140000}"/>
    <cellStyle name="Normal 2 3 7 2 3 2" xfId="5139" xr:uid="{00000000-0005-0000-0000-00001E140000}"/>
    <cellStyle name="Normal 2 3 7 2 3 2 2" xfId="5140" xr:uid="{00000000-0005-0000-0000-00001F140000}"/>
    <cellStyle name="Normal 2 3 7 2 3 2 3" xfId="5141" xr:uid="{00000000-0005-0000-0000-000020140000}"/>
    <cellStyle name="Normal 2 3 7 2 3 3" xfId="5142" xr:uid="{00000000-0005-0000-0000-000021140000}"/>
    <cellStyle name="Normal 2 3 7 2 3 4" xfId="5143" xr:uid="{00000000-0005-0000-0000-000022140000}"/>
    <cellStyle name="Normal 2 3 7 2 4" xfId="5144" xr:uid="{00000000-0005-0000-0000-000023140000}"/>
    <cellStyle name="Normal 2 3 7 2 4 2" xfId="5145" xr:uid="{00000000-0005-0000-0000-000024140000}"/>
    <cellStyle name="Normal 2 3 7 2 4 3" xfId="5146" xr:uid="{00000000-0005-0000-0000-000025140000}"/>
    <cellStyle name="Normal 2 3 7 2 5" xfId="5147" xr:uid="{00000000-0005-0000-0000-000026140000}"/>
    <cellStyle name="Normal 2 3 7 2 6" xfId="5148" xr:uid="{00000000-0005-0000-0000-000027140000}"/>
    <cellStyle name="Normal 2 3 7 2 7" xfId="5149" xr:uid="{00000000-0005-0000-0000-000028140000}"/>
    <cellStyle name="Normal 2 3 7 3" xfId="5150" xr:uid="{00000000-0005-0000-0000-000029140000}"/>
    <cellStyle name="Normal 2 3 7 3 2" xfId="5151" xr:uid="{00000000-0005-0000-0000-00002A140000}"/>
    <cellStyle name="Normal 2 3 7 3 2 2" xfId="5152" xr:uid="{00000000-0005-0000-0000-00002B140000}"/>
    <cellStyle name="Normal 2 3 7 3 2 2 2" xfId="5153" xr:uid="{00000000-0005-0000-0000-00002C140000}"/>
    <cellStyle name="Normal 2 3 7 3 2 2 3" xfId="5154" xr:uid="{00000000-0005-0000-0000-00002D140000}"/>
    <cellStyle name="Normal 2 3 7 3 2 3" xfId="5155" xr:uid="{00000000-0005-0000-0000-00002E140000}"/>
    <cellStyle name="Normal 2 3 7 3 2 4" xfId="5156" xr:uid="{00000000-0005-0000-0000-00002F140000}"/>
    <cellStyle name="Normal 2 3 7 3 3" xfId="5157" xr:uid="{00000000-0005-0000-0000-000030140000}"/>
    <cellStyle name="Normal 2 3 7 3 3 2" xfId="5158" xr:uid="{00000000-0005-0000-0000-000031140000}"/>
    <cellStyle name="Normal 2 3 7 3 3 3" xfId="5159" xr:uid="{00000000-0005-0000-0000-000032140000}"/>
    <cellStyle name="Normal 2 3 7 3 4" xfId="5160" xr:uid="{00000000-0005-0000-0000-000033140000}"/>
    <cellStyle name="Normal 2 3 7 3 5" xfId="5161" xr:uid="{00000000-0005-0000-0000-000034140000}"/>
    <cellStyle name="Normal 2 3 7 4" xfId="5162" xr:uid="{00000000-0005-0000-0000-000035140000}"/>
    <cellStyle name="Normal 2 3 7 4 2" xfId="5163" xr:uid="{00000000-0005-0000-0000-000036140000}"/>
    <cellStyle name="Normal 2 3 7 4 3" xfId="5164" xr:uid="{00000000-0005-0000-0000-000037140000}"/>
    <cellStyle name="Normal 2 3 7 5" xfId="5165" xr:uid="{00000000-0005-0000-0000-000038140000}"/>
    <cellStyle name="Normal 2 3 7 5 2" xfId="5166" xr:uid="{00000000-0005-0000-0000-000039140000}"/>
    <cellStyle name="Normal 2 3 7 5 3" xfId="5167" xr:uid="{00000000-0005-0000-0000-00003A140000}"/>
    <cellStyle name="Normal 2 3 7 6" xfId="5168" xr:uid="{00000000-0005-0000-0000-00003B140000}"/>
    <cellStyle name="Normal 2 3 7 7" xfId="5169" xr:uid="{00000000-0005-0000-0000-00003C140000}"/>
    <cellStyle name="Normal 2 3 7 8" xfId="5170" xr:uid="{00000000-0005-0000-0000-00003D140000}"/>
    <cellStyle name="Normal 2 3 7 9" xfId="5171" xr:uid="{00000000-0005-0000-0000-00003E140000}"/>
    <cellStyle name="Normal 2 3 8" xfId="5172" xr:uid="{00000000-0005-0000-0000-00003F140000}"/>
    <cellStyle name="Normal 2 3 8 2" xfId="5173" xr:uid="{00000000-0005-0000-0000-000040140000}"/>
    <cellStyle name="Normal 2 3 8 2 2" xfId="5174" xr:uid="{00000000-0005-0000-0000-000041140000}"/>
    <cellStyle name="Normal 2 3 8 2 2 2" xfId="5175" xr:uid="{00000000-0005-0000-0000-000042140000}"/>
    <cellStyle name="Normal 2 3 8 2 2 2 2" xfId="5176" xr:uid="{00000000-0005-0000-0000-000043140000}"/>
    <cellStyle name="Normal 2 3 8 2 2 2 3" xfId="5177" xr:uid="{00000000-0005-0000-0000-000044140000}"/>
    <cellStyle name="Normal 2 3 8 2 2 3" xfId="5178" xr:uid="{00000000-0005-0000-0000-000045140000}"/>
    <cellStyle name="Normal 2 3 8 2 2 4" xfId="5179" xr:uid="{00000000-0005-0000-0000-000046140000}"/>
    <cellStyle name="Normal 2 3 8 2 3" xfId="5180" xr:uid="{00000000-0005-0000-0000-000047140000}"/>
    <cellStyle name="Normal 2 3 8 2 3 2" xfId="5181" xr:uid="{00000000-0005-0000-0000-000048140000}"/>
    <cellStyle name="Normal 2 3 8 2 3 2 2" xfId="5182" xr:uid="{00000000-0005-0000-0000-000049140000}"/>
    <cellStyle name="Normal 2 3 8 2 3 2 3" xfId="5183" xr:uid="{00000000-0005-0000-0000-00004A140000}"/>
    <cellStyle name="Normal 2 3 8 2 3 3" xfId="5184" xr:uid="{00000000-0005-0000-0000-00004B140000}"/>
    <cellStyle name="Normal 2 3 8 2 3 4" xfId="5185" xr:uid="{00000000-0005-0000-0000-00004C140000}"/>
    <cellStyle name="Normal 2 3 8 2 4" xfId="5186" xr:uid="{00000000-0005-0000-0000-00004D140000}"/>
    <cellStyle name="Normal 2 3 8 2 4 2" xfId="5187" xr:uid="{00000000-0005-0000-0000-00004E140000}"/>
    <cellStyle name="Normal 2 3 8 2 4 3" xfId="5188" xr:uid="{00000000-0005-0000-0000-00004F140000}"/>
    <cellStyle name="Normal 2 3 8 2 5" xfId="5189" xr:uid="{00000000-0005-0000-0000-000050140000}"/>
    <cellStyle name="Normal 2 3 8 2 6" xfId="5190" xr:uid="{00000000-0005-0000-0000-000051140000}"/>
    <cellStyle name="Normal 2 3 8 2 7" xfId="5191" xr:uid="{00000000-0005-0000-0000-000052140000}"/>
    <cellStyle name="Normal 2 3 8 3" xfId="5192" xr:uid="{00000000-0005-0000-0000-000053140000}"/>
    <cellStyle name="Normal 2 3 8 3 2" xfId="5193" xr:uid="{00000000-0005-0000-0000-000054140000}"/>
    <cellStyle name="Normal 2 3 8 3 2 2" xfId="5194" xr:uid="{00000000-0005-0000-0000-000055140000}"/>
    <cellStyle name="Normal 2 3 8 3 2 2 2" xfId="5195" xr:uid="{00000000-0005-0000-0000-000056140000}"/>
    <cellStyle name="Normal 2 3 8 3 2 2 3" xfId="5196" xr:uid="{00000000-0005-0000-0000-000057140000}"/>
    <cellStyle name="Normal 2 3 8 3 2 3" xfId="5197" xr:uid="{00000000-0005-0000-0000-000058140000}"/>
    <cellStyle name="Normal 2 3 8 3 2 4" xfId="5198" xr:uid="{00000000-0005-0000-0000-000059140000}"/>
    <cellStyle name="Normal 2 3 8 3 3" xfId="5199" xr:uid="{00000000-0005-0000-0000-00005A140000}"/>
    <cellStyle name="Normal 2 3 8 3 3 2" xfId="5200" xr:uid="{00000000-0005-0000-0000-00005B140000}"/>
    <cellStyle name="Normal 2 3 8 3 3 3" xfId="5201" xr:uid="{00000000-0005-0000-0000-00005C140000}"/>
    <cellStyle name="Normal 2 3 8 3 4" xfId="5202" xr:uid="{00000000-0005-0000-0000-00005D140000}"/>
    <cellStyle name="Normal 2 3 8 3 5" xfId="5203" xr:uid="{00000000-0005-0000-0000-00005E140000}"/>
    <cellStyle name="Normal 2 3 8 4" xfId="5204" xr:uid="{00000000-0005-0000-0000-00005F140000}"/>
    <cellStyle name="Normal 2 3 8 4 2" xfId="5205" xr:uid="{00000000-0005-0000-0000-000060140000}"/>
    <cellStyle name="Normal 2 3 8 4 3" xfId="5206" xr:uid="{00000000-0005-0000-0000-000061140000}"/>
    <cellStyle name="Normal 2 3 8 5" xfId="5207" xr:uid="{00000000-0005-0000-0000-000062140000}"/>
    <cellStyle name="Normal 2 3 8 5 2" xfId="5208" xr:uid="{00000000-0005-0000-0000-000063140000}"/>
    <cellStyle name="Normal 2 3 8 5 3" xfId="5209" xr:uid="{00000000-0005-0000-0000-000064140000}"/>
    <cellStyle name="Normal 2 3 8 6" xfId="5210" xr:uid="{00000000-0005-0000-0000-000065140000}"/>
    <cellStyle name="Normal 2 3 8 7" xfId="5211" xr:uid="{00000000-0005-0000-0000-000066140000}"/>
    <cellStyle name="Normal 2 3 8 8" xfId="5212" xr:uid="{00000000-0005-0000-0000-000067140000}"/>
    <cellStyle name="Normal 2 3 8 9" xfId="5213" xr:uid="{00000000-0005-0000-0000-000068140000}"/>
    <cellStyle name="Normal 2 3 9" xfId="5214" xr:uid="{00000000-0005-0000-0000-000069140000}"/>
    <cellStyle name="Normal 2 3 9 2" xfId="5215" xr:uid="{00000000-0005-0000-0000-00006A140000}"/>
    <cellStyle name="Normal 2 3 9 2 2" xfId="5216" xr:uid="{00000000-0005-0000-0000-00006B140000}"/>
    <cellStyle name="Normal 2 3 9 2 2 2" xfId="5217" xr:uid="{00000000-0005-0000-0000-00006C140000}"/>
    <cellStyle name="Normal 2 3 9 2 2 2 2" xfId="5218" xr:uid="{00000000-0005-0000-0000-00006D140000}"/>
    <cellStyle name="Normal 2 3 9 2 2 2 3" xfId="5219" xr:uid="{00000000-0005-0000-0000-00006E140000}"/>
    <cellStyle name="Normal 2 3 9 2 2 3" xfId="5220" xr:uid="{00000000-0005-0000-0000-00006F140000}"/>
    <cellStyle name="Normal 2 3 9 2 2 4" xfId="5221" xr:uid="{00000000-0005-0000-0000-000070140000}"/>
    <cellStyle name="Normal 2 3 9 2 3" xfId="5222" xr:uid="{00000000-0005-0000-0000-000071140000}"/>
    <cellStyle name="Normal 2 3 9 2 3 2" xfId="5223" xr:uid="{00000000-0005-0000-0000-000072140000}"/>
    <cellStyle name="Normal 2 3 9 2 3 2 2" xfId="5224" xr:uid="{00000000-0005-0000-0000-000073140000}"/>
    <cellStyle name="Normal 2 3 9 2 3 2 3" xfId="5225" xr:uid="{00000000-0005-0000-0000-000074140000}"/>
    <cellStyle name="Normal 2 3 9 2 3 3" xfId="5226" xr:uid="{00000000-0005-0000-0000-000075140000}"/>
    <cellStyle name="Normal 2 3 9 2 3 4" xfId="5227" xr:uid="{00000000-0005-0000-0000-000076140000}"/>
    <cellStyle name="Normal 2 3 9 2 4" xfId="5228" xr:uid="{00000000-0005-0000-0000-000077140000}"/>
    <cellStyle name="Normal 2 3 9 2 4 2" xfId="5229" xr:uid="{00000000-0005-0000-0000-000078140000}"/>
    <cellStyle name="Normal 2 3 9 2 4 3" xfId="5230" xr:uid="{00000000-0005-0000-0000-000079140000}"/>
    <cellStyle name="Normal 2 3 9 2 5" xfId="5231" xr:uid="{00000000-0005-0000-0000-00007A140000}"/>
    <cellStyle name="Normal 2 3 9 2 6" xfId="5232" xr:uid="{00000000-0005-0000-0000-00007B140000}"/>
    <cellStyle name="Normal 2 3 9 2 7" xfId="5233" xr:uid="{00000000-0005-0000-0000-00007C140000}"/>
    <cellStyle name="Normal 2 3 9 3" xfId="5234" xr:uid="{00000000-0005-0000-0000-00007D140000}"/>
    <cellStyle name="Normal 2 3 9 3 2" xfId="5235" xr:uid="{00000000-0005-0000-0000-00007E140000}"/>
    <cellStyle name="Normal 2 3 9 3 2 2" xfId="5236" xr:uid="{00000000-0005-0000-0000-00007F140000}"/>
    <cellStyle name="Normal 2 3 9 3 2 2 2" xfId="5237" xr:uid="{00000000-0005-0000-0000-000080140000}"/>
    <cellStyle name="Normal 2 3 9 3 2 2 3" xfId="5238" xr:uid="{00000000-0005-0000-0000-000081140000}"/>
    <cellStyle name="Normal 2 3 9 3 2 3" xfId="5239" xr:uid="{00000000-0005-0000-0000-000082140000}"/>
    <cellStyle name="Normal 2 3 9 3 2 4" xfId="5240" xr:uid="{00000000-0005-0000-0000-000083140000}"/>
    <cellStyle name="Normal 2 3 9 3 3" xfId="5241" xr:uid="{00000000-0005-0000-0000-000084140000}"/>
    <cellStyle name="Normal 2 3 9 3 3 2" xfId="5242" xr:uid="{00000000-0005-0000-0000-000085140000}"/>
    <cellStyle name="Normal 2 3 9 3 3 3" xfId="5243" xr:uid="{00000000-0005-0000-0000-000086140000}"/>
    <cellStyle name="Normal 2 3 9 3 4" xfId="5244" xr:uid="{00000000-0005-0000-0000-000087140000}"/>
    <cellStyle name="Normal 2 3 9 3 5" xfId="5245" xr:uid="{00000000-0005-0000-0000-000088140000}"/>
    <cellStyle name="Normal 2 3 9 4" xfId="5246" xr:uid="{00000000-0005-0000-0000-000089140000}"/>
    <cellStyle name="Normal 2 3 9 4 2" xfId="5247" xr:uid="{00000000-0005-0000-0000-00008A140000}"/>
    <cellStyle name="Normal 2 3 9 4 3" xfId="5248" xr:uid="{00000000-0005-0000-0000-00008B140000}"/>
    <cellStyle name="Normal 2 3 9 5" xfId="5249" xr:uid="{00000000-0005-0000-0000-00008C140000}"/>
    <cellStyle name="Normal 2 3 9 5 2" xfId="5250" xr:uid="{00000000-0005-0000-0000-00008D140000}"/>
    <cellStyle name="Normal 2 3 9 5 3" xfId="5251" xr:uid="{00000000-0005-0000-0000-00008E140000}"/>
    <cellStyle name="Normal 2 3 9 6" xfId="5252" xr:uid="{00000000-0005-0000-0000-00008F140000}"/>
    <cellStyle name="Normal 2 3 9 7" xfId="5253" xr:uid="{00000000-0005-0000-0000-000090140000}"/>
    <cellStyle name="Normal 2 3 9 8" xfId="5254" xr:uid="{00000000-0005-0000-0000-000091140000}"/>
    <cellStyle name="Normal 2 3 9 9" xfId="5255" xr:uid="{00000000-0005-0000-0000-000092140000}"/>
    <cellStyle name="Normal 2 30" xfId="5256" xr:uid="{00000000-0005-0000-0000-000093140000}"/>
    <cellStyle name="Normal 2 30 2" xfId="5257" xr:uid="{00000000-0005-0000-0000-000094140000}"/>
    <cellStyle name="Normal 2 30 3" xfId="5258" xr:uid="{00000000-0005-0000-0000-000095140000}"/>
    <cellStyle name="Normal 2 30 4" xfId="5259" xr:uid="{00000000-0005-0000-0000-000096140000}"/>
    <cellStyle name="Normal 2 31" xfId="5260" xr:uid="{00000000-0005-0000-0000-000097140000}"/>
    <cellStyle name="Normal 2 31 2" xfId="5261" xr:uid="{00000000-0005-0000-0000-000098140000}"/>
    <cellStyle name="Normal 2 31 3" xfId="5262" xr:uid="{00000000-0005-0000-0000-000099140000}"/>
    <cellStyle name="Normal 2 31 4" xfId="5263" xr:uid="{00000000-0005-0000-0000-00009A140000}"/>
    <cellStyle name="Normal 2 32" xfId="5264" xr:uid="{00000000-0005-0000-0000-00009B140000}"/>
    <cellStyle name="Normal 2 32 2" xfId="5265" xr:uid="{00000000-0005-0000-0000-00009C140000}"/>
    <cellStyle name="Normal 2 32 3" xfId="5266" xr:uid="{00000000-0005-0000-0000-00009D140000}"/>
    <cellStyle name="Normal 2 32 4" xfId="5267" xr:uid="{00000000-0005-0000-0000-00009E140000}"/>
    <cellStyle name="Normal 2 33" xfId="5268" xr:uid="{00000000-0005-0000-0000-00009F140000}"/>
    <cellStyle name="Normal 2 33 2" xfId="5269" xr:uid="{00000000-0005-0000-0000-0000A0140000}"/>
    <cellStyle name="Normal 2 33 3" xfId="5270" xr:uid="{00000000-0005-0000-0000-0000A1140000}"/>
    <cellStyle name="Normal 2 33 4" xfId="5271" xr:uid="{00000000-0005-0000-0000-0000A2140000}"/>
    <cellStyle name="Normal 2 34" xfId="5272" xr:uid="{00000000-0005-0000-0000-0000A3140000}"/>
    <cellStyle name="Normal 2 34 2" xfId="5273" xr:uid="{00000000-0005-0000-0000-0000A4140000}"/>
    <cellStyle name="Normal 2 34 3" xfId="5274" xr:uid="{00000000-0005-0000-0000-0000A5140000}"/>
    <cellStyle name="Normal 2 34 4" xfId="5275" xr:uid="{00000000-0005-0000-0000-0000A6140000}"/>
    <cellStyle name="Normal 2 35" xfId="5276" xr:uid="{00000000-0005-0000-0000-0000A7140000}"/>
    <cellStyle name="Normal 2 35 2" xfId="5277" xr:uid="{00000000-0005-0000-0000-0000A8140000}"/>
    <cellStyle name="Normal 2 35 3" xfId="5278" xr:uid="{00000000-0005-0000-0000-0000A9140000}"/>
    <cellStyle name="Normal 2 35 4" xfId="5279" xr:uid="{00000000-0005-0000-0000-0000AA140000}"/>
    <cellStyle name="Normal 2 36" xfId="5280" xr:uid="{00000000-0005-0000-0000-0000AB140000}"/>
    <cellStyle name="Normal 2 36 2" xfId="5281" xr:uid="{00000000-0005-0000-0000-0000AC140000}"/>
    <cellStyle name="Normal 2 36 3" xfId="5282" xr:uid="{00000000-0005-0000-0000-0000AD140000}"/>
    <cellStyle name="Normal 2 36 4" xfId="5283" xr:uid="{00000000-0005-0000-0000-0000AE140000}"/>
    <cellStyle name="Normal 2 37" xfId="5284" xr:uid="{00000000-0005-0000-0000-0000AF140000}"/>
    <cellStyle name="Normal 2 37 2" xfId="5285" xr:uid="{00000000-0005-0000-0000-0000B0140000}"/>
    <cellStyle name="Normal 2 37 3" xfId="5286" xr:uid="{00000000-0005-0000-0000-0000B1140000}"/>
    <cellStyle name="Normal 2 37 4" xfId="5287" xr:uid="{00000000-0005-0000-0000-0000B2140000}"/>
    <cellStyle name="Normal 2 38" xfId="5288" xr:uid="{00000000-0005-0000-0000-0000B3140000}"/>
    <cellStyle name="Normal 2 38 2" xfId="5289" xr:uid="{00000000-0005-0000-0000-0000B4140000}"/>
    <cellStyle name="Normal 2 38 3" xfId="5290" xr:uid="{00000000-0005-0000-0000-0000B5140000}"/>
    <cellStyle name="Normal 2 38 4" xfId="5291" xr:uid="{00000000-0005-0000-0000-0000B6140000}"/>
    <cellStyle name="Normal 2 39" xfId="5292" xr:uid="{00000000-0005-0000-0000-0000B7140000}"/>
    <cellStyle name="Normal 2 39 2" xfId="5293" xr:uid="{00000000-0005-0000-0000-0000B8140000}"/>
    <cellStyle name="Normal 2 39 3" xfId="5294" xr:uid="{00000000-0005-0000-0000-0000B9140000}"/>
    <cellStyle name="Normal 2 39 4" xfId="5295" xr:uid="{00000000-0005-0000-0000-0000BA140000}"/>
    <cellStyle name="Normal 2 4" xfId="5296" xr:uid="{00000000-0005-0000-0000-0000BB140000}"/>
    <cellStyle name="Normal 2 4 10" xfId="5297" xr:uid="{00000000-0005-0000-0000-0000BC140000}"/>
    <cellStyle name="Normal 2 4 10 2" xfId="5298" xr:uid="{00000000-0005-0000-0000-0000BD140000}"/>
    <cellStyle name="Normal 2 4 10 2 2" xfId="5299" xr:uid="{00000000-0005-0000-0000-0000BE140000}"/>
    <cellStyle name="Normal 2 4 10 2 2 2" xfId="5300" xr:uid="{00000000-0005-0000-0000-0000BF140000}"/>
    <cellStyle name="Normal 2 4 10 2 2 2 2" xfId="5301" xr:uid="{00000000-0005-0000-0000-0000C0140000}"/>
    <cellStyle name="Normal 2 4 10 2 2 2 3" xfId="5302" xr:uid="{00000000-0005-0000-0000-0000C1140000}"/>
    <cellStyle name="Normal 2 4 10 2 2 3" xfId="5303" xr:uid="{00000000-0005-0000-0000-0000C2140000}"/>
    <cellStyle name="Normal 2 4 10 2 2 4" xfId="5304" xr:uid="{00000000-0005-0000-0000-0000C3140000}"/>
    <cellStyle name="Normal 2 4 10 2 3" xfId="5305" xr:uid="{00000000-0005-0000-0000-0000C4140000}"/>
    <cellStyle name="Normal 2 4 10 2 3 2" xfId="5306" xr:uid="{00000000-0005-0000-0000-0000C5140000}"/>
    <cellStyle name="Normal 2 4 10 2 3 2 2" xfId="5307" xr:uid="{00000000-0005-0000-0000-0000C6140000}"/>
    <cellStyle name="Normal 2 4 10 2 3 2 3" xfId="5308" xr:uid="{00000000-0005-0000-0000-0000C7140000}"/>
    <cellStyle name="Normal 2 4 10 2 3 3" xfId="5309" xr:uid="{00000000-0005-0000-0000-0000C8140000}"/>
    <cellStyle name="Normal 2 4 10 2 3 4" xfId="5310" xr:uid="{00000000-0005-0000-0000-0000C9140000}"/>
    <cellStyle name="Normal 2 4 10 2 4" xfId="5311" xr:uid="{00000000-0005-0000-0000-0000CA140000}"/>
    <cellStyle name="Normal 2 4 10 2 4 2" xfId="5312" xr:uid="{00000000-0005-0000-0000-0000CB140000}"/>
    <cellStyle name="Normal 2 4 10 2 4 3" xfId="5313" xr:uid="{00000000-0005-0000-0000-0000CC140000}"/>
    <cellStyle name="Normal 2 4 10 2 5" xfId="5314" xr:uid="{00000000-0005-0000-0000-0000CD140000}"/>
    <cellStyle name="Normal 2 4 10 2 6" xfId="5315" xr:uid="{00000000-0005-0000-0000-0000CE140000}"/>
    <cellStyle name="Normal 2 4 10 2 7" xfId="5316" xr:uid="{00000000-0005-0000-0000-0000CF140000}"/>
    <cellStyle name="Normal 2 4 10 3" xfId="5317" xr:uid="{00000000-0005-0000-0000-0000D0140000}"/>
    <cellStyle name="Normal 2 4 10 3 2" xfId="5318" xr:uid="{00000000-0005-0000-0000-0000D1140000}"/>
    <cellStyle name="Normal 2 4 10 3 2 2" xfId="5319" xr:uid="{00000000-0005-0000-0000-0000D2140000}"/>
    <cellStyle name="Normal 2 4 10 3 2 2 2" xfId="5320" xr:uid="{00000000-0005-0000-0000-0000D3140000}"/>
    <cellStyle name="Normal 2 4 10 3 2 2 3" xfId="5321" xr:uid="{00000000-0005-0000-0000-0000D4140000}"/>
    <cellStyle name="Normal 2 4 10 3 2 3" xfId="5322" xr:uid="{00000000-0005-0000-0000-0000D5140000}"/>
    <cellStyle name="Normal 2 4 10 3 2 4" xfId="5323" xr:uid="{00000000-0005-0000-0000-0000D6140000}"/>
    <cellStyle name="Normal 2 4 10 3 3" xfId="5324" xr:uid="{00000000-0005-0000-0000-0000D7140000}"/>
    <cellStyle name="Normal 2 4 10 3 3 2" xfId="5325" xr:uid="{00000000-0005-0000-0000-0000D8140000}"/>
    <cellStyle name="Normal 2 4 10 3 3 3" xfId="5326" xr:uid="{00000000-0005-0000-0000-0000D9140000}"/>
    <cellStyle name="Normal 2 4 10 3 4" xfId="5327" xr:uid="{00000000-0005-0000-0000-0000DA140000}"/>
    <cellStyle name="Normal 2 4 10 3 5" xfId="5328" xr:uid="{00000000-0005-0000-0000-0000DB140000}"/>
    <cellStyle name="Normal 2 4 10 4" xfId="5329" xr:uid="{00000000-0005-0000-0000-0000DC140000}"/>
    <cellStyle name="Normal 2 4 10 4 2" xfId="5330" xr:uid="{00000000-0005-0000-0000-0000DD140000}"/>
    <cellStyle name="Normal 2 4 10 4 3" xfId="5331" xr:uid="{00000000-0005-0000-0000-0000DE140000}"/>
    <cellStyle name="Normal 2 4 10 5" xfId="5332" xr:uid="{00000000-0005-0000-0000-0000DF140000}"/>
    <cellStyle name="Normal 2 4 10 5 2" xfId="5333" xr:uid="{00000000-0005-0000-0000-0000E0140000}"/>
    <cellStyle name="Normal 2 4 10 5 3" xfId="5334" xr:uid="{00000000-0005-0000-0000-0000E1140000}"/>
    <cellStyle name="Normal 2 4 10 6" xfId="5335" xr:uid="{00000000-0005-0000-0000-0000E2140000}"/>
    <cellStyle name="Normal 2 4 10 7" xfId="5336" xr:uid="{00000000-0005-0000-0000-0000E3140000}"/>
    <cellStyle name="Normal 2 4 10 8" xfId="5337" xr:uid="{00000000-0005-0000-0000-0000E4140000}"/>
    <cellStyle name="Normal 2 4 10 9" xfId="5338" xr:uid="{00000000-0005-0000-0000-0000E5140000}"/>
    <cellStyle name="Normal 2 4 11" xfId="5339" xr:uid="{00000000-0005-0000-0000-0000E6140000}"/>
    <cellStyle name="Normal 2 4 11 2" xfId="5340" xr:uid="{00000000-0005-0000-0000-0000E7140000}"/>
    <cellStyle name="Normal 2 4 11 2 2" xfId="5341" xr:uid="{00000000-0005-0000-0000-0000E8140000}"/>
    <cellStyle name="Normal 2 4 11 2 2 2" xfId="5342" xr:uid="{00000000-0005-0000-0000-0000E9140000}"/>
    <cellStyle name="Normal 2 4 11 2 2 2 2" xfId="5343" xr:uid="{00000000-0005-0000-0000-0000EA140000}"/>
    <cellStyle name="Normal 2 4 11 2 2 2 3" xfId="5344" xr:uid="{00000000-0005-0000-0000-0000EB140000}"/>
    <cellStyle name="Normal 2 4 11 2 2 3" xfId="5345" xr:uid="{00000000-0005-0000-0000-0000EC140000}"/>
    <cellStyle name="Normal 2 4 11 2 2 4" xfId="5346" xr:uid="{00000000-0005-0000-0000-0000ED140000}"/>
    <cellStyle name="Normal 2 4 11 2 3" xfId="5347" xr:uid="{00000000-0005-0000-0000-0000EE140000}"/>
    <cellStyle name="Normal 2 4 11 2 3 2" xfId="5348" xr:uid="{00000000-0005-0000-0000-0000EF140000}"/>
    <cellStyle name="Normal 2 4 11 2 3 2 2" xfId="5349" xr:uid="{00000000-0005-0000-0000-0000F0140000}"/>
    <cellStyle name="Normal 2 4 11 2 3 2 3" xfId="5350" xr:uid="{00000000-0005-0000-0000-0000F1140000}"/>
    <cellStyle name="Normal 2 4 11 2 3 3" xfId="5351" xr:uid="{00000000-0005-0000-0000-0000F2140000}"/>
    <cellStyle name="Normal 2 4 11 2 3 4" xfId="5352" xr:uid="{00000000-0005-0000-0000-0000F3140000}"/>
    <cellStyle name="Normal 2 4 11 2 4" xfId="5353" xr:uid="{00000000-0005-0000-0000-0000F4140000}"/>
    <cellStyle name="Normal 2 4 11 2 4 2" xfId="5354" xr:uid="{00000000-0005-0000-0000-0000F5140000}"/>
    <cellStyle name="Normal 2 4 11 2 4 3" xfId="5355" xr:uid="{00000000-0005-0000-0000-0000F6140000}"/>
    <cellStyle name="Normal 2 4 11 2 5" xfId="5356" xr:uid="{00000000-0005-0000-0000-0000F7140000}"/>
    <cellStyle name="Normal 2 4 11 2 6" xfId="5357" xr:uid="{00000000-0005-0000-0000-0000F8140000}"/>
    <cellStyle name="Normal 2 4 11 2 7" xfId="5358" xr:uid="{00000000-0005-0000-0000-0000F9140000}"/>
    <cellStyle name="Normal 2 4 11 3" xfId="5359" xr:uid="{00000000-0005-0000-0000-0000FA140000}"/>
    <cellStyle name="Normal 2 4 11 3 2" xfId="5360" xr:uid="{00000000-0005-0000-0000-0000FB140000}"/>
    <cellStyle name="Normal 2 4 11 3 2 2" xfId="5361" xr:uid="{00000000-0005-0000-0000-0000FC140000}"/>
    <cellStyle name="Normal 2 4 11 3 2 2 2" xfId="5362" xr:uid="{00000000-0005-0000-0000-0000FD140000}"/>
    <cellStyle name="Normal 2 4 11 3 2 2 3" xfId="5363" xr:uid="{00000000-0005-0000-0000-0000FE140000}"/>
    <cellStyle name="Normal 2 4 11 3 2 3" xfId="5364" xr:uid="{00000000-0005-0000-0000-0000FF140000}"/>
    <cellStyle name="Normal 2 4 11 3 2 4" xfId="5365" xr:uid="{00000000-0005-0000-0000-000000150000}"/>
    <cellStyle name="Normal 2 4 11 3 3" xfId="5366" xr:uid="{00000000-0005-0000-0000-000001150000}"/>
    <cellStyle name="Normal 2 4 11 3 3 2" xfId="5367" xr:uid="{00000000-0005-0000-0000-000002150000}"/>
    <cellStyle name="Normal 2 4 11 3 3 3" xfId="5368" xr:uid="{00000000-0005-0000-0000-000003150000}"/>
    <cellStyle name="Normal 2 4 11 3 4" xfId="5369" xr:uid="{00000000-0005-0000-0000-000004150000}"/>
    <cellStyle name="Normal 2 4 11 3 5" xfId="5370" xr:uid="{00000000-0005-0000-0000-000005150000}"/>
    <cellStyle name="Normal 2 4 11 4" xfId="5371" xr:uid="{00000000-0005-0000-0000-000006150000}"/>
    <cellStyle name="Normal 2 4 11 4 2" xfId="5372" xr:uid="{00000000-0005-0000-0000-000007150000}"/>
    <cellStyle name="Normal 2 4 11 4 3" xfId="5373" xr:uid="{00000000-0005-0000-0000-000008150000}"/>
    <cellStyle name="Normal 2 4 11 5" xfId="5374" xr:uid="{00000000-0005-0000-0000-000009150000}"/>
    <cellStyle name="Normal 2 4 11 5 2" xfId="5375" xr:uid="{00000000-0005-0000-0000-00000A150000}"/>
    <cellStyle name="Normal 2 4 11 5 3" xfId="5376" xr:uid="{00000000-0005-0000-0000-00000B150000}"/>
    <cellStyle name="Normal 2 4 11 6" xfId="5377" xr:uid="{00000000-0005-0000-0000-00000C150000}"/>
    <cellStyle name="Normal 2 4 11 7" xfId="5378" xr:uid="{00000000-0005-0000-0000-00000D150000}"/>
    <cellStyle name="Normal 2 4 11 8" xfId="5379" xr:uid="{00000000-0005-0000-0000-00000E150000}"/>
    <cellStyle name="Normal 2 4 11 9" xfId="5380" xr:uid="{00000000-0005-0000-0000-00000F150000}"/>
    <cellStyle name="Normal 2 4 12" xfId="5381" xr:uid="{00000000-0005-0000-0000-000010150000}"/>
    <cellStyle name="Normal 2 4 12 2" xfId="5382" xr:uid="{00000000-0005-0000-0000-000011150000}"/>
    <cellStyle name="Normal 2 4 12 2 2" xfId="5383" xr:uid="{00000000-0005-0000-0000-000012150000}"/>
    <cellStyle name="Normal 2 4 12 2 2 2" xfId="5384" xr:uid="{00000000-0005-0000-0000-000013150000}"/>
    <cellStyle name="Normal 2 4 12 2 2 2 2" xfId="5385" xr:uid="{00000000-0005-0000-0000-000014150000}"/>
    <cellStyle name="Normal 2 4 12 2 2 2 3" xfId="5386" xr:uid="{00000000-0005-0000-0000-000015150000}"/>
    <cellStyle name="Normal 2 4 12 2 2 3" xfId="5387" xr:uid="{00000000-0005-0000-0000-000016150000}"/>
    <cellStyle name="Normal 2 4 12 2 2 4" xfId="5388" xr:uid="{00000000-0005-0000-0000-000017150000}"/>
    <cellStyle name="Normal 2 4 12 2 3" xfId="5389" xr:uid="{00000000-0005-0000-0000-000018150000}"/>
    <cellStyle name="Normal 2 4 12 2 3 2" xfId="5390" xr:uid="{00000000-0005-0000-0000-000019150000}"/>
    <cellStyle name="Normal 2 4 12 2 3 2 2" xfId="5391" xr:uid="{00000000-0005-0000-0000-00001A150000}"/>
    <cellStyle name="Normal 2 4 12 2 3 2 3" xfId="5392" xr:uid="{00000000-0005-0000-0000-00001B150000}"/>
    <cellStyle name="Normal 2 4 12 2 3 3" xfId="5393" xr:uid="{00000000-0005-0000-0000-00001C150000}"/>
    <cellStyle name="Normal 2 4 12 2 3 4" xfId="5394" xr:uid="{00000000-0005-0000-0000-00001D150000}"/>
    <cellStyle name="Normal 2 4 12 2 4" xfId="5395" xr:uid="{00000000-0005-0000-0000-00001E150000}"/>
    <cellStyle name="Normal 2 4 12 2 4 2" xfId="5396" xr:uid="{00000000-0005-0000-0000-00001F150000}"/>
    <cellStyle name="Normal 2 4 12 2 4 3" xfId="5397" xr:uid="{00000000-0005-0000-0000-000020150000}"/>
    <cellStyle name="Normal 2 4 12 2 5" xfId="5398" xr:uid="{00000000-0005-0000-0000-000021150000}"/>
    <cellStyle name="Normal 2 4 12 2 6" xfId="5399" xr:uid="{00000000-0005-0000-0000-000022150000}"/>
    <cellStyle name="Normal 2 4 12 2 7" xfId="5400" xr:uid="{00000000-0005-0000-0000-000023150000}"/>
    <cellStyle name="Normal 2 4 12 3" xfId="5401" xr:uid="{00000000-0005-0000-0000-000024150000}"/>
    <cellStyle name="Normal 2 4 12 3 2" xfId="5402" xr:uid="{00000000-0005-0000-0000-000025150000}"/>
    <cellStyle name="Normal 2 4 12 3 2 2" xfId="5403" xr:uid="{00000000-0005-0000-0000-000026150000}"/>
    <cellStyle name="Normal 2 4 12 3 2 2 2" xfId="5404" xr:uid="{00000000-0005-0000-0000-000027150000}"/>
    <cellStyle name="Normal 2 4 12 3 2 2 3" xfId="5405" xr:uid="{00000000-0005-0000-0000-000028150000}"/>
    <cellStyle name="Normal 2 4 12 3 2 3" xfId="5406" xr:uid="{00000000-0005-0000-0000-000029150000}"/>
    <cellStyle name="Normal 2 4 12 3 2 4" xfId="5407" xr:uid="{00000000-0005-0000-0000-00002A150000}"/>
    <cellStyle name="Normal 2 4 12 3 3" xfId="5408" xr:uid="{00000000-0005-0000-0000-00002B150000}"/>
    <cellStyle name="Normal 2 4 12 3 3 2" xfId="5409" xr:uid="{00000000-0005-0000-0000-00002C150000}"/>
    <cellStyle name="Normal 2 4 12 3 3 3" xfId="5410" xr:uid="{00000000-0005-0000-0000-00002D150000}"/>
    <cellStyle name="Normal 2 4 12 3 4" xfId="5411" xr:uid="{00000000-0005-0000-0000-00002E150000}"/>
    <cellStyle name="Normal 2 4 12 3 5" xfId="5412" xr:uid="{00000000-0005-0000-0000-00002F150000}"/>
    <cellStyle name="Normal 2 4 12 4" xfId="5413" xr:uid="{00000000-0005-0000-0000-000030150000}"/>
    <cellStyle name="Normal 2 4 12 4 2" xfId="5414" xr:uid="{00000000-0005-0000-0000-000031150000}"/>
    <cellStyle name="Normal 2 4 12 4 3" xfId="5415" xr:uid="{00000000-0005-0000-0000-000032150000}"/>
    <cellStyle name="Normal 2 4 12 5" xfId="5416" xr:uid="{00000000-0005-0000-0000-000033150000}"/>
    <cellStyle name="Normal 2 4 12 5 2" xfId="5417" xr:uid="{00000000-0005-0000-0000-000034150000}"/>
    <cellStyle name="Normal 2 4 12 5 3" xfId="5418" xr:uid="{00000000-0005-0000-0000-000035150000}"/>
    <cellStyle name="Normal 2 4 12 6" xfId="5419" xr:uid="{00000000-0005-0000-0000-000036150000}"/>
    <cellStyle name="Normal 2 4 12 7" xfId="5420" xr:uid="{00000000-0005-0000-0000-000037150000}"/>
    <cellStyle name="Normal 2 4 12 8" xfId="5421" xr:uid="{00000000-0005-0000-0000-000038150000}"/>
    <cellStyle name="Normal 2 4 12 9" xfId="5422" xr:uid="{00000000-0005-0000-0000-000039150000}"/>
    <cellStyle name="Normal 2 4 13" xfId="5423" xr:uid="{00000000-0005-0000-0000-00003A150000}"/>
    <cellStyle name="Normal 2 4 13 2" xfId="5424" xr:uid="{00000000-0005-0000-0000-00003B150000}"/>
    <cellStyle name="Normal 2 4 13 2 2" xfId="5425" xr:uid="{00000000-0005-0000-0000-00003C150000}"/>
    <cellStyle name="Normal 2 4 13 2 2 2" xfId="5426" xr:uid="{00000000-0005-0000-0000-00003D150000}"/>
    <cellStyle name="Normal 2 4 13 2 2 2 2" xfId="5427" xr:uid="{00000000-0005-0000-0000-00003E150000}"/>
    <cellStyle name="Normal 2 4 13 2 2 2 3" xfId="5428" xr:uid="{00000000-0005-0000-0000-00003F150000}"/>
    <cellStyle name="Normal 2 4 13 2 2 3" xfId="5429" xr:uid="{00000000-0005-0000-0000-000040150000}"/>
    <cellStyle name="Normal 2 4 13 2 2 4" xfId="5430" xr:uid="{00000000-0005-0000-0000-000041150000}"/>
    <cellStyle name="Normal 2 4 13 2 3" xfId="5431" xr:uid="{00000000-0005-0000-0000-000042150000}"/>
    <cellStyle name="Normal 2 4 13 2 3 2" xfId="5432" xr:uid="{00000000-0005-0000-0000-000043150000}"/>
    <cellStyle name="Normal 2 4 13 2 3 2 2" xfId="5433" xr:uid="{00000000-0005-0000-0000-000044150000}"/>
    <cellStyle name="Normal 2 4 13 2 3 2 3" xfId="5434" xr:uid="{00000000-0005-0000-0000-000045150000}"/>
    <cellStyle name="Normal 2 4 13 2 3 3" xfId="5435" xr:uid="{00000000-0005-0000-0000-000046150000}"/>
    <cellStyle name="Normal 2 4 13 2 3 4" xfId="5436" xr:uid="{00000000-0005-0000-0000-000047150000}"/>
    <cellStyle name="Normal 2 4 13 2 4" xfId="5437" xr:uid="{00000000-0005-0000-0000-000048150000}"/>
    <cellStyle name="Normal 2 4 13 2 4 2" xfId="5438" xr:uid="{00000000-0005-0000-0000-000049150000}"/>
    <cellStyle name="Normal 2 4 13 2 4 3" xfId="5439" xr:uid="{00000000-0005-0000-0000-00004A150000}"/>
    <cellStyle name="Normal 2 4 13 2 5" xfId="5440" xr:uid="{00000000-0005-0000-0000-00004B150000}"/>
    <cellStyle name="Normal 2 4 13 2 6" xfId="5441" xr:uid="{00000000-0005-0000-0000-00004C150000}"/>
    <cellStyle name="Normal 2 4 13 2 7" xfId="5442" xr:uid="{00000000-0005-0000-0000-00004D150000}"/>
    <cellStyle name="Normal 2 4 13 3" xfId="5443" xr:uid="{00000000-0005-0000-0000-00004E150000}"/>
    <cellStyle name="Normal 2 4 13 3 2" xfId="5444" xr:uid="{00000000-0005-0000-0000-00004F150000}"/>
    <cellStyle name="Normal 2 4 13 3 2 2" xfId="5445" xr:uid="{00000000-0005-0000-0000-000050150000}"/>
    <cellStyle name="Normal 2 4 13 3 2 2 2" xfId="5446" xr:uid="{00000000-0005-0000-0000-000051150000}"/>
    <cellStyle name="Normal 2 4 13 3 2 2 3" xfId="5447" xr:uid="{00000000-0005-0000-0000-000052150000}"/>
    <cellStyle name="Normal 2 4 13 3 2 3" xfId="5448" xr:uid="{00000000-0005-0000-0000-000053150000}"/>
    <cellStyle name="Normal 2 4 13 3 2 4" xfId="5449" xr:uid="{00000000-0005-0000-0000-000054150000}"/>
    <cellStyle name="Normal 2 4 13 3 3" xfId="5450" xr:uid="{00000000-0005-0000-0000-000055150000}"/>
    <cellStyle name="Normal 2 4 13 3 3 2" xfId="5451" xr:uid="{00000000-0005-0000-0000-000056150000}"/>
    <cellStyle name="Normal 2 4 13 3 3 3" xfId="5452" xr:uid="{00000000-0005-0000-0000-000057150000}"/>
    <cellStyle name="Normal 2 4 13 3 4" xfId="5453" xr:uid="{00000000-0005-0000-0000-000058150000}"/>
    <cellStyle name="Normal 2 4 13 3 5" xfId="5454" xr:uid="{00000000-0005-0000-0000-000059150000}"/>
    <cellStyle name="Normal 2 4 13 4" xfId="5455" xr:uid="{00000000-0005-0000-0000-00005A150000}"/>
    <cellStyle name="Normal 2 4 13 4 2" xfId="5456" xr:uid="{00000000-0005-0000-0000-00005B150000}"/>
    <cellStyle name="Normal 2 4 13 4 3" xfId="5457" xr:uid="{00000000-0005-0000-0000-00005C150000}"/>
    <cellStyle name="Normal 2 4 13 5" xfId="5458" xr:uid="{00000000-0005-0000-0000-00005D150000}"/>
    <cellStyle name="Normal 2 4 13 5 2" xfId="5459" xr:uid="{00000000-0005-0000-0000-00005E150000}"/>
    <cellStyle name="Normal 2 4 13 5 3" xfId="5460" xr:uid="{00000000-0005-0000-0000-00005F150000}"/>
    <cellStyle name="Normal 2 4 13 6" xfId="5461" xr:uid="{00000000-0005-0000-0000-000060150000}"/>
    <cellStyle name="Normal 2 4 13 7" xfId="5462" xr:uid="{00000000-0005-0000-0000-000061150000}"/>
    <cellStyle name="Normal 2 4 13 8" xfId="5463" xr:uid="{00000000-0005-0000-0000-000062150000}"/>
    <cellStyle name="Normal 2 4 13 9" xfId="5464" xr:uid="{00000000-0005-0000-0000-000063150000}"/>
    <cellStyle name="Normal 2 4 14" xfId="5465" xr:uid="{00000000-0005-0000-0000-000064150000}"/>
    <cellStyle name="Normal 2 4 14 2" xfId="5466" xr:uid="{00000000-0005-0000-0000-000065150000}"/>
    <cellStyle name="Normal 2 4 15" xfId="5467" xr:uid="{00000000-0005-0000-0000-000066150000}"/>
    <cellStyle name="Normal 2 4 16" xfId="5468" xr:uid="{00000000-0005-0000-0000-000067150000}"/>
    <cellStyle name="Normal 2 4 17" xfId="5469" xr:uid="{00000000-0005-0000-0000-000068150000}"/>
    <cellStyle name="Normal 2 4 2" xfId="5470" xr:uid="{00000000-0005-0000-0000-000069150000}"/>
    <cellStyle name="Normal 2 4 2 2" xfId="5471" xr:uid="{00000000-0005-0000-0000-00006A150000}"/>
    <cellStyle name="Normal 2 4 2 2 2" xfId="5472" xr:uid="{00000000-0005-0000-0000-00006B150000}"/>
    <cellStyle name="Normal 2 4 2 2 2 2" xfId="5473" xr:uid="{00000000-0005-0000-0000-00006C150000}"/>
    <cellStyle name="Normal 2 4 2 2 2 2 2" xfId="5474" xr:uid="{00000000-0005-0000-0000-00006D150000}"/>
    <cellStyle name="Normal 2 4 2 2 2 2 2 2" xfId="5475" xr:uid="{00000000-0005-0000-0000-00006E150000}"/>
    <cellStyle name="Normal 2 4 2 2 2 2 2 3" xfId="5476" xr:uid="{00000000-0005-0000-0000-00006F150000}"/>
    <cellStyle name="Normal 2 4 2 2 2 2 3" xfId="5477" xr:uid="{00000000-0005-0000-0000-000070150000}"/>
    <cellStyle name="Normal 2 4 2 2 2 2 4" xfId="5478" xr:uid="{00000000-0005-0000-0000-000071150000}"/>
    <cellStyle name="Normal 2 4 2 2 2 3" xfId="5479" xr:uid="{00000000-0005-0000-0000-000072150000}"/>
    <cellStyle name="Normal 2 4 2 2 2 3 2" xfId="5480" xr:uid="{00000000-0005-0000-0000-000073150000}"/>
    <cellStyle name="Normal 2 4 2 2 2 3 2 2" xfId="5481" xr:uid="{00000000-0005-0000-0000-000074150000}"/>
    <cellStyle name="Normal 2 4 2 2 2 3 2 3" xfId="5482" xr:uid="{00000000-0005-0000-0000-000075150000}"/>
    <cellStyle name="Normal 2 4 2 2 2 3 3" xfId="5483" xr:uid="{00000000-0005-0000-0000-000076150000}"/>
    <cellStyle name="Normal 2 4 2 2 2 3 4" xfId="5484" xr:uid="{00000000-0005-0000-0000-000077150000}"/>
    <cellStyle name="Normal 2 4 2 2 2 4" xfId="5485" xr:uid="{00000000-0005-0000-0000-000078150000}"/>
    <cellStyle name="Normal 2 4 2 2 2 4 2" xfId="5486" xr:uid="{00000000-0005-0000-0000-000079150000}"/>
    <cellStyle name="Normal 2 4 2 2 2 4 3" xfId="5487" xr:uid="{00000000-0005-0000-0000-00007A150000}"/>
    <cellStyle name="Normal 2 4 2 2 2 5" xfId="5488" xr:uid="{00000000-0005-0000-0000-00007B150000}"/>
    <cellStyle name="Normal 2 4 2 2 2 6" xfId="5489" xr:uid="{00000000-0005-0000-0000-00007C150000}"/>
    <cellStyle name="Normal 2 4 2 2 2 7" xfId="5490" xr:uid="{00000000-0005-0000-0000-00007D150000}"/>
    <cellStyle name="Normal 2 4 2 2 3" xfId="5491" xr:uid="{00000000-0005-0000-0000-00007E150000}"/>
    <cellStyle name="Normal 2 4 2 2 3 2" xfId="5492" xr:uid="{00000000-0005-0000-0000-00007F150000}"/>
    <cellStyle name="Normal 2 4 2 2 3 2 2" xfId="5493" xr:uid="{00000000-0005-0000-0000-000080150000}"/>
    <cellStyle name="Normal 2 4 2 2 3 2 3" xfId="5494" xr:uid="{00000000-0005-0000-0000-000081150000}"/>
    <cellStyle name="Normal 2 4 2 2 3 3" xfId="5495" xr:uid="{00000000-0005-0000-0000-000082150000}"/>
    <cellStyle name="Normal 2 4 2 2 3 4" xfId="5496" xr:uid="{00000000-0005-0000-0000-000083150000}"/>
    <cellStyle name="Normal 2 4 2 2 4" xfId="5497" xr:uid="{00000000-0005-0000-0000-000084150000}"/>
    <cellStyle name="Normal 2 4 2 2 4 2" xfId="5498" xr:uid="{00000000-0005-0000-0000-000085150000}"/>
    <cellStyle name="Normal 2 4 2 2 4 2 2" xfId="5499" xr:uid="{00000000-0005-0000-0000-000086150000}"/>
    <cellStyle name="Normal 2 4 2 2 4 2 3" xfId="5500" xr:uid="{00000000-0005-0000-0000-000087150000}"/>
    <cellStyle name="Normal 2 4 2 2 4 3" xfId="5501" xr:uid="{00000000-0005-0000-0000-000088150000}"/>
    <cellStyle name="Normal 2 4 2 2 4 4" xfId="5502" xr:uid="{00000000-0005-0000-0000-000089150000}"/>
    <cellStyle name="Normal 2 4 2 2 5" xfId="5503" xr:uid="{00000000-0005-0000-0000-00008A150000}"/>
    <cellStyle name="Normal 2 4 2 2 5 2" xfId="5504" xr:uid="{00000000-0005-0000-0000-00008B150000}"/>
    <cellStyle name="Normal 2 4 2 2 5 3" xfId="5505" xr:uid="{00000000-0005-0000-0000-00008C150000}"/>
    <cellStyle name="Normal 2 4 2 2 6" xfId="5506" xr:uid="{00000000-0005-0000-0000-00008D150000}"/>
    <cellStyle name="Normal 2 4 2 2 7" xfId="5507" xr:uid="{00000000-0005-0000-0000-00008E150000}"/>
    <cellStyle name="Normal 2 4 2 2 8" xfId="5508" xr:uid="{00000000-0005-0000-0000-00008F150000}"/>
    <cellStyle name="Normal 2 4 2 3" xfId="5509" xr:uid="{00000000-0005-0000-0000-000090150000}"/>
    <cellStyle name="Normal 2 4 2 3 2" xfId="5510" xr:uid="{00000000-0005-0000-0000-000091150000}"/>
    <cellStyle name="Normal 2 4 2 4" xfId="5511" xr:uid="{00000000-0005-0000-0000-000092150000}"/>
    <cellStyle name="Normal 2 4 2 5" xfId="5512" xr:uid="{00000000-0005-0000-0000-000093150000}"/>
    <cellStyle name="Normal 2 4 2 6" xfId="5513" xr:uid="{00000000-0005-0000-0000-000094150000}"/>
    <cellStyle name="Normal 2 4 3" xfId="5514" xr:uid="{00000000-0005-0000-0000-000095150000}"/>
    <cellStyle name="Normal 2 4 3 2" xfId="5515" xr:uid="{00000000-0005-0000-0000-000096150000}"/>
    <cellStyle name="Normal 2 4 3 2 2" xfId="5516" xr:uid="{00000000-0005-0000-0000-000097150000}"/>
    <cellStyle name="Normal 2 4 3 2 2 2" xfId="5517" xr:uid="{00000000-0005-0000-0000-000098150000}"/>
    <cellStyle name="Normal 2 4 3 2 2 2 2" xfId="5518" xr:uid="{00000000-0005-0000-0000-000099150000}"/>
    <cellStyle name="Normal 2 4 3 2 2 2 2 2" xfId="5519" xr:uid="{00000000-0005-0000-0000-00009A150000}"/>
    <cellStyle name="Normal 2 4 3 2 2 2 2 3" xfId="5520" xr:uid="{00000000-0005-0000-0000-00009B150000}"/>
    <cellStyle name="Normal 2 4 3 2 2 2 3" xfId="5521" xr:uid="{00000000-0005-0000-0000-00009C150000}"/>
    <cellStyle name="Normal 2 4 3 2 2 2 4" xfId="5522" xr:uid="{00000000-0005-0000-0000-00009D150000}"/>
    <cellStyle name="Normal 2 4 3 2 2 3" xfId="5523" xr:uid="{00000000-0005-0000-0000-00009E150000}"/>
    <cellStyle name="Normal 2 4 3 2 2 3 2" xfId="5524" xr:uid="{00000000-0005-0000-0000-00009F150000}"/>
    <cellStyle name="Normal 2 4 3 2 2 3 2 2" xfId="5525" xr:uid="{00000000-0005-0000-0000-0000A0150000}"/>
    <cellStyle name="Normal 2 4 3 2 2 3 2 3" xfId="5526" xr:uid="{00000000-0005-0000-0000-0000A1150000}"/>
    <cellStyle name="Normal 2 4 3 2 2 3 3" xfId="5527" xr:uid="{00000000-0005-0000-0000-0000A2150000}"/>
    <cellStyle name="Normal 2 4 3 2 2 3 4" xfId="5528" xr:uid="{00000000-0005-0000-0000-0000A3150000}"/>
    <cellStyle name="Normal 2 4 3 2 2 4" xfId="5529" xr:uid="{00000000-0005-0000-0000-0000A4150000}"/>
    <cellStyle name="Normal 2 4 3 2 2 4 2" xfId="5530" xr:uid="{00000000-0005-0000-0000-0000A5150000}"/>
    <cellStyle name="Normal 2 4 3 2 2 4 3" xfId="5531" xr:uid="{00000000-0005-0000-0000-0000A6150000}"/>
    <cellStyle name="Normal 2 4 3 2 2 5" xfId="5532" xr:uid="{00000000-0005-0000-0000-0000A7150000}"/>
    <cellStyle name="Normal 2 4 3 2 2 6" xfId="5533" xr:uid="{00000000-0005-0000-0000-0000A8150000}"/>
    <cellStyle name="Normal 2 4 3 2 2 7" xfId="5534" xr:uid="{00000000-0005-0000-0000-0000A9150000}"/>
    <cellStyle name="Normal 2 4 3 2 3" xfId="5535" xr:uid="{00000000-0005-0000-0000-0000AA150000}"/>
    <cellStyle name="Normal 2 4 3 2 3 2" xfId="5536" xr:uid="{00000000-0005-0000-0000-0000AB150000}"/>
    <cellStyle name="Normal 2 4 3 2 3 2 2" xfId="5537" xr:uid="{00000000-0005-0000-0000-0000AC150000}"/>
    <cellStyle name="Normal 2 4 3 2 3 2 3" xfId="5538" xr:uid="{00000000-0005-0000-0000-0000AD150000}"/>
    <cellStyle name="Normal 2 4 3 2 3 3" xfId="5539" xr:uid="{00000000-0005-0000-0000-0000AE150000}"/>
    <cellStyle name="Normal 2 4 3 2 3 4" xfId="5540" xr:uid="{00000000-0005-0000-0000-0000AF150000}"/>
    <cellStyle name="Normal 2 4 3 2 4" xfId="5541" xr:uid="{00000000-0005-0000-0000-0000B0150000}"/>
    <cellStyle name="Normal 2 4 3 2 4 2" xfId="5542" xr:uid="{00000000-0005-0000-0000-0000B1150000}"/>
    <cellStyle name="Normal 2 4 3 2 4 2 2" xfId="5543" xr:uid="{00000000-0005-0000-0000-0000B2150000}"/>
    <cellStyle name="Normal 2 4 3 2 4 2 3" xfId="5544" xr:uid="{00000000-0005-0000-0000-0000B3150000}"/>
    <cellStyle name="Normal 2 4 3 2 4 3" xfId="5545" xr:uid="{00000000-0005-0000-0000-0000B4150000}"/>
    <cellStyle name="Normal 2 4 3 2 4 4" xfId="5546" xr:uid="{00000000-0005-0000-0000-0000B5150000}"/>
    <cellStyle name="Normal 2 4 3 2 5" xfId="5547" xr:uid="{00000000-0005-0000-0000-0000B6150000}"/>
    <cellStyle name="Normal 2 4 3 2 5 2" xfId="5548" xr:uid="{00000000-0005-0000-0000-0000B7150000}"/>
    <cellStyle name="Normal 2 4 3 2 5 3" xfId="5549" xr:uid="{00000000-0005-0000-0000-0000B8150000}"/>
    <cellStyle name="Normal 2 4 3 2 6" xfId="5550" xr:uid="{00000000-0005-0000-0000-0000B9150000}"/>
    <cellStyle name="Normal 2 4 3 2 7" xfId="5551" xr:uid="{00000000-0005-0000-0000-0000BA150000}"/>
    <cellStyle name="Normal 2 4 3 2 8" xfId="5552" xr:uid="{00000000-0005-0000-0000-0000BB150000}"/>
    <cellStyle name="Normal 2 4 3 3" xfId="5553" xr:uid="{00000000-0005-0000-0000-0000BC150000}"/>
    <cellStyle name="Normal 2 4 3 3 2" xfId="5554" xr:uid="{00000000-0005-0000-0000-0000BD150000}"/>
    <cellStyle name="Normal 2 4 3 3 3" xfId="5555" xr:uid="{00000000-0005-0000-0000-0000BE150000}"/>
    <cellStyle name="Normal 2 4 3 3 4" xfId="5556" xr:uid="{00000000-0005-0000-0000-0000BF150000}"/>
    <cellStyle name="Normal 2 4 3 4" xfId="5557" xr:uid="{00000000-0005-0000-0000-0000C0150000}"/>
    <cellStyle name="Normal 2 4 3 4 2" xfId="5558" xr:uid="{00000000-0005-0000-0000-0000C1150000}"/>
    <cellStyle name="Normal 2 4 3 4 3" xfId="5559" xr:uid="{00000000-0005-0000-0000-0000C2150000}"/>
    <cellStyle name="Normal 2 4 3 5" xfId="5560" xr:uid="{00000000-0005-0000-0000-0000C3150000}"/>
    <cellStyle name="Normal 2 4 3 6" xfId="5561" xr:uid="{00000000-0005-0000-0000-0000C4150000}"/>
    <cellStyle name="Normal 2 4 3 7" xfId="5562" xr:uid="{00000000-0005-0000-0000-0000C5150000}"/>
    <cellStyle name="Normal 2 4 3 8" xfId="5563" xr:uid="{00000000-0005-0000-0000-0000C6150000}"/>
    <cellStyle name="Normal 2 4 4" xfId="5564" xr:uid="{00000000-0005-0000-0000-0000C7150000}"/>
    <cellStyle name="Normal 2 4 4 2" xfId="5565" xr:uid="{00000000-0005-0000-0000-0000C8150000}"/>
    <cellStyle name="Normal 2 4 4 2 2" xfId="5566" xr:uid="{00000000-0005-0000-0000-0000C9150000}"/>
    <cellStyle name="Normal 2 4 4 2 2 2" xfId="5567" xr:uid="{00000000-0005-0000-0000-0000CA150000}"/>
    <cellStyle name="Normal 2 4 4 2 2 2 2" xfId="5568" xr:uid="{00000000-0005-0000-0000-0000CB150000}"/>
    <cellStyle name="Normal 2 4 4 2 2 2 2 2" xfId="5569" xr:uid="{00000000-0005-0000-0000-0000CC150000}"/>
    <cellStyle name="Normal 2 4 4 2 2 2 2 3" xfId="5570" xr:uid="{00000000-0005-0000-0000-0000CD150000}"/>
    <cellStyle name="Normal 2 4 4 2 2 2 3" xfId="5571" xr:uid="{00000000-0005-0000-0000-0000CE150000}"/>
    <cellStyle name="Normal 2 4 4 2 2 2 4" xfId="5572" xr:uid="{00000000-0005-0000-0000-0000CF150000}"/>
    <cellStyle name="Normal 2 4 4 2 2 3" xfId="5573" xr:uid="{00000000-0005-0000-0000-0000D0150000}"/>
    <cellStyle name="Normal 2 4 4 2 2 3 2" xfId="5574" xr:uid="{00000000-0005-0000-0000-0000D1150000}"/>
    <cellStyle name="Normal 2 4 4 2 2 3 2 2" xfId="5575" xr:uid="{00000000-0005-0000-0000-0000D2150000}"/>
    <cellStyle name="Normal 2 4 4 2 2 3 2 3" xfId="5576" xr:uid="{00000000-0005-0000-0000-0000D3150000}"/>
    <cellStyle name="Normal 2 4 4 2 2 3 3" xfId="5577" xr:uid="{00000000-0005-0000-0000-0000D4150000}"/>
    <cellStyle name="Normal 2 4 4 2 2 3 4" xfId="5578" xr:uid="{00000000-0005-0000-0000-0000D5150000}"/>
    <cellStyle name="Normal 2 4 4 2 2 4" xfId="5579" xr:uid="{00000000-0005-0000-0000-0000D6150000}"/>
    <cellStyle name="Normal 2 4 4 2 2 4 2" xfId="5580" xr:uid="{00000000-0005-0000-0000-0000D7150000}"/>
    <cellStyle name="Normal 2 4 4 2 2 4 3" xfId="5581" xr:uid="{00000000-0005-0000-0000-0000D8150000}"/>
    <cellStyle name="Normal 2 4 4 2 2 5" xfId="5582" xr:uid="{00000000-0005-0000-0000-0000D9150000}"/>
    <cellStyle name="Normal 2 4 4 2 2 6" xfId="5583" xr:uid="{00000000-0005-0000-0000-0000DA150000}"/>
    <cellStyle name="Normal 2 4 4 2 2 7" xfId="5584" xr:uid="{00000000-0005-0000-0000-0000DB150000}"/>
    <cellStyle name="Normal 2 4 4 2 3" xfId="5585" xr:uid="{00000000-0005-0000-0000-0000DC150000}"/>
    <cellStyle name="Normal 2 4 4 2 3 2" xfId="5586" xr:uid="{00000000-0005-0000-0000-0000DD150000}"/>
    <cellStyle name="Normal 2 4 4 2 3 2 2" xfId="5587" xr:uid="{00000000-0005-0000-0000-0000DE150000}"/>
    <cellStyle name="Normal 2 4 4 2 3 2 3" xfId="5588" xr:uid="{00000000-0005-0000-0000-0000DF150000}"/>
    <cellStyle name="Normal 2 4 4 2 3 3" xfId="5589" xr:uid="{00000000-0005-0000-0000-0000E0150000}"/>
    <cellStyle name="Normal 2 4 4 2 3 4" xfId="5590" xr:uid="{00000000-0005-0000-0000-0000E1150000}"/>
    <cellStyle name="Normal 2 4 4 2 4" xfId="5591" xr:uid="{00000000-0005-0000-0000-0000E2150000}"/>
    <cellStyle name="Normal 2 4 4 2 4 2" xfId="5592" xr:uid="{00000000-0005-0000-0000-0000E3150000}"/>
    <cellStyle name="Normal 2 4 4 2 4 2 2" xfId="5593" xr:uid="{00000000-0005-0000-0000-0000E4150000}"/>
    <cellStyle name="Normal 2 4 4 2 4 2 3" xfId="5594" xr:uid="{00000000-0005-0000-0000-0000E5150000}"/>
    <cellStyle name="Normal 2 4 4 2 4 3" xfId="5595" xr:uid="{00000000-0005-0000-0000-0000E6150000}"/>
    <cellStyle name="Normal 2 4 4 2 4 4" xfId="5596" xr:uid="{00000000-0005-0000-0000-0000E7150000}"/>
    <cellStyle name="Normal 2 4 4 2 5" xfId="5597" xr:uid="{00000000-0005-0000-0000-0000E8150000}"/>
    <cellStyle name="Normal 2 4 4 2 5 2" xfId="5598" xr:uid="{00000000-0005-0000-0000-0000E9150000}"/>
    <cellStyle name="Normal 2 4 4 2 5 3" xfId="5599" xr:uid="{00000000-0005-0000-0000-0000EA150000}"/>
    <cellStyle name="Normal 2 4 4 2 6" xfId="5600" xr:uid="{00000000-0005-0000-0000-0000EB150000}"/>
    <cellStyle name="Normal 2 4 4 2 7" xfId="5601" xr:uid="{00000000-0005-0000-0000-0000EC150000}"/>
    <cellStyle name="Normal 2 4 4 2 8" xfId="5602" xr:uid="{00000000-0005-0000-0000-0000ED150000}"/>
    <cellStyle name="Normal 2 4 4 3" xfId="5603" xr:uid="{00000000-0005-0000-0000-0000EE150000}"/>
    <cellStyle name="Normal 2 4 4 3 2" xfId="5604" xr:uid="{00000000-0005-0000-0000-0000EF150000}"/>
    <cellStyle name="Normal 2 4 4 3 3" xfId="5605" xr:uid="{00000000-0005-0000-0000-0000F0150000}"/>
    <cellStyle name="Normal 2 4 4 3 4" xfId="5606" xr:uid="{00000000-0005-0000-0000-0000F1150000}"/>
    <cellStyle name="Normal 2 4 4 4" xfId="5607" xr:uid="{00000000-0005-0000-0000-0000F2150000}"/>
    <cellStyle name="Normal 2 4 4 4 2" xfId="5608" xr:uid="{00000000-0005-0000-0000-0000F3150000}"/>
    <cellStyle name="Normal 2 4 4 4 3" xfId="5609" xr:uid="{00000000-0005-0000-0000-0000F4150000}"/>
    <cellStyle name="Normal 2 4 4 5" xfId="5610" xr:uid="{00000000-0005-0000-0000-0000F5150000}"/>
    <cellStyle name="Normal 2 4 4 6" xfId="5611" xr:uid="{00000000-0005-0000-0000-0000F6150000}"/>
    <cellStyle name="Normal 2 4 4 7" xfId="5612" xr:uid="{00000000-0005-0000-0000-0000F7150000}"/>
    <cellStyle name="Normal 2 4 4 8" xfId="5613" xr:uid="{00000000-0005-0000-0000-0000F8150000}"/>
    <cellStyle name="Normal 2 4 5" xfId="5614" xr:uid="{00000000-0005-0000-0000-0000F9150000}"/>
    <cellStyle name="Normal 2 4 5 10" xfId="5615" xr:uid="{00000000-0005-0000-0000-0000FA150000}"/>
    <cellStyle name="Normal 2 4 5 2" xfId="5616" xr:uid="{00000000-0005-0000-0000-0000FB150000}"/>
    <cellStyle name="Normal 2 4 5 2 2" xfId="5617" xr:uid="{00000000-0005-0000-0000-0000FC150000}"/>
    <cellStyle name="Normal 2 4 5 2 2 2" xfId="5618" xr:uid="{00000000-0005-0000-0000-0000FD150000}"/>
    <cellStyle name="Normal 2 4 5 2 2 2 2" xfId="5619" xr:uid="{00000000-0005-0000-0000-0000FE150000}"/>
    <cellStyle name="Normal 2 4 5 2 2 2 2 2" xfId="5620" xr:uid="{00000000-0005-0000-0000-0000FF150000}"/>
    <cellStyle name="Normal 2 4 5 2 2 2 2 3" xfId="5621" xr:uid="{00000000-0005-0000-0000-000000160000}"/>
    <cellStyle name="Normal 2 4 5 2 2 2 3" xfId="5622" xr:uid="{00000000-0005-0000-0000-000001160000}"/>
    <cellStyle name="Normal 2 4 5 2 2 2 4" xfId="5623" xr:uid="{00000000-0005-0000-0000-000002160000}"/>
    <cellStyle name="Normal 2 4 5 2 2 3" xfId="5624" xr:uid="{00000000-0005-0000-0000-000003160000}"/>
    <cellStyle name="Normal 2 4 5 2 2 3 2" xfId="5625" xr:uid="{00000000-0005-0000-0000-000004160000}"/>
    <cellStyle name="Normal 2 4 5 2 2 3 2 2" xfId="5626" xr:uid="{00000000-0005-0000-0000-000005160000}"/>
    <cellStyle name="Normal 2 4 5 2 2 3 2 3" xfId="5627" xr:uid="{00000000-0005-0000-0000-000006160000}"/>
    <cellStyle name="Normal 2 4 5 2 2 3 3" xfId="5628" xr:uid="{00000000-0005-0000-0000-000007160000}"/>
    <cellStyle name="Normal 2 4 5 2 2 3 4" xfId="5629" xr:uid="{00000000-0005-0000-0000-000008160000}"/>
    <cellStyle name="Normal 2 4 5 2 2 4" xfId="5630" xr:uid="{00000000-0005-0000-0000-000009160000}"/>
    <cellStyle name="Normal 2 4 5 2 2 4 2" xfId="5631" xr:uid="{00000000-0005-0000-0000-00000A160000}"/>
    <cellStyle name="Normal 2 4 5 2 2 4 3" xfId="5632" xr:uid="{00000000-0005-0000-0000-00000B160000}"/>
    <cellStyle name="Normal 2 4 5 2 2 5" xfId="5633" xr:uid="{00000000-0005-0000-0000-00000C160000}"/>
    <cellStyle name="Normal 2 4 5 2 2 6" xfId="5634" xr:uid="{00000000-0005-0000-0000-00000D160000}"/>
    <cellStyle name="Normal 2 4 5 2 2 7" xfId="5635" xr:uid="{00000000-0005-0000-0000-00000E160000}"/>
    <cellStyle name="Normal 2 4 5 2 3" xfId="5636" xr:uid="{00000000-0005-0000-0000-00000F160000}"/>
    <cellStyle name="Normal 2 4 5 2 3 2" xfId="5637" xr:uid="{00000000-0005-0000-0000-000010160000}"/>
    <cellStyle name="Normal 2 4 5 2 3 2 2" xfId="5638" xr:uid="{00000000-0005-0000-0000-000011160000}"/>
    <cellStyle name="Normal 2 4 5 2 3 2 3" xfId="5639" xr:uid="{00000000-0005-0000-0000-000012160000}"/>
    <cellStyle name="Normal 2 4 5 2 3 3" xfId="5640" xr:uid="{00000000-0005-0000-0000-000013160000}"/>
    <cellStyle name="Normal 2 4 5 2 3 4" xfId="5641" xr:uid="{00000000-0005-0000-0000-000014160000}"/>
    <cellStyle name="Normal 2 4 5 2 4" xfId="5642" xr:uid="{00000000-0005-0000-0000-000015160000}"/>
    <cellStyle name="Normal 2 4 5 2 4 2" xfId="5643" xr:uid="{00000000-0005-0000-0000-000016160000}"/>
    <cellStyle name="Normal 2 4 5 2 4 2 2" xfId="5644" xr:uid="{00000000-0005-0000-0000-000017160000}"/>
    <cellStyle name="Normal 2 4 5 2 4 2 3" xfId="5645" xr:uid="{00000000-0005-0000-0000-000018160000}"/>
    <cellStyle name="Normal 2 4 5 2 4 3" xfId="5646" xr:uid="{00000000-0005-0000-0000-000019160000}"/>
    <cellStyle name="Normal 2 4 5 2 4 4" xfId="5647" xr:uid="{00000000-0005-0000-0000-00001A160000}"/>
    <cellStyle name="Normal 2 4 5 2 5" xfId="5648" xr:uid="{00000000-0005-0000-0000-00001B160000}"/>
    <cellStyle name="Normal 2 4 5 2 5 2" xfId="5649" xr:uid="{00000000-0005-0000-0000-00001C160000}"/>
    <cellStyle name="Normal 2 4 5 2 5 3" xfId="5650" xr:uid="{00000000-0005-0000-0000-00001D160000}"/>
    <cellStyle name="Normal 2 4 5 2 6" xfId="5651" xr:uid="{00000000-0005-0000-0000-00001E160000}"/>
    <cellStyle name="Normal 2 4 5 2 7" xfId="5652" xr:uid="{00000000-0005-0000-0000-00001F160000}"/>
    <cellStyle name="Normal 2 4 5 2 8" xfId="5653" xr:uid="{00000000-0005-0000-0000-000020160000}"/>
    <cellStyle name="Normal 2 4 5 3" xfId="5654" xr:uid="{00000000-0005-0000-0000-000021160000}"/>
    <cellStyle name="Normal 2 4 5 3 2" xfId="5655" xr:uid="{00000000-0005-0000-0000-000022160000}"/>
    <cellStyle name="Normal 2 4 5 3 2 2" xfId="5656" xr:uid="{00000000-0005-0000-0000-000023160000}"/>
    <cellStyle name="Normal 2 4 5 3 2 2 2" xfId="5657" xr:uid="{00000000-0005-0000-0000-000024160000}"/>
    <cellStyle name="Normal 2 4 5 3 2 2 3" xfId="5658" xr:uid="{00000000-0005-0000-0000-000025160000}"/>
    <cellStyle name="Normal 2 4 5 3 2 3" xfId="5659" xr:uid="{00000000-0005-0000-0000-000026160000}"/>
    <cellStyle name="Normal 2 4 5 3 2 4" xfId="5660" xr:uid="{00000000-0005-0000-0000-000027160000}"/>
    <cellStyle name="Normal 2 4 5 3 3" xfId="5661" xr:uid="{00000000-0005-0000-0000-000028160000}"/>
    <cellStyle name="Normal 2 4 5 3 3 2" xfId="5662" xr:uid="{00000000-0005-0000-0000-000029160000}"/>
    <cellStyle name="Normal 2 4 5 3 3 2 2" xfId="5663" xr:uid="{00000000-0005-0000-0000-00002A160000}"/>
    <cellStyle name="Normal 2 4 5 3 3 2 3" xfId="5664" xr:uid="{00000000-0005-0000-0000-00002B160000}"/>
    <cellStyle name="Normal 2 4 5 3 3 3" xfId="5665" xr:uid="{00000000-0005-0000-0000-00002C160000}"/>
    <cellStyle name="Normal 2 4 5 3 3 4" xfId="5666" xr:uid="{00000000-0005-0000-0000-00002D160000}"/>
    <cellStyle name="Normal 2 4 5 3 4" xfId="5667" xr:uid="{00000000-0005-0000-0000-00002E160000}"/>
    <cellStyle name="Normal 2 4 5 3 4 2" xfId="5668" xr:uid="{00000000-0005-0000-0000-00002F160000}"/>
    <cellStyle name="Normal 2 4 5 3 4 3" xfId="5669" xr:uid="{00000000-0005-0000-0000-000030160000}"/>
    <cellStyle name="Normal 2 4 5 3 5" xfId="5670" xr:uid="{00000000-0005-0000-0000-000031160000}"/>
    <cellStyle name="Normal 2 4 5 3 6" xfId="5671" xr:uid="{00000000-0005-0000-0000-000032160000}"/>
    <cellStyle name="Normal 2 4 5 3 7" xfId="5672" xr:uid="{00000000-0005-0000-0000-000033160000}"/>
    <cellStyle name="Normal 2 4 5 4" xfId="5673" xr:uid="{00000000-0005-0000-0000-000034160000}"/>
    <cellStyle name="Normal 2 4 5 4 2" xfId="5674" xr:uid="{00000000-0005-0000-0000-000035160000}"/>
    <cellStyle name="Normal 2 4 5 4 2 2" xfId="5675" xr:uid="{00000000-0005-0000-0000-000036160000}"/>
    <cellStyle name="Normal 2 4 5 4 2 2 2" xfId="5676" xr:uid="{00000000-0005-0000-0000-000037160000}"/>
    <cellStyle name="Normal 2 4 5 4 2 2 3" xfId="5677" xr:uid="{00000000-0005-0000-0000-000038160000}"/>
    <cellStyle name="Normal 2 4 5 4 2 3" xfId="5678" xr:uid="{00000000-0005-0000-0000-000039160000}"/>
    <cellStyle name="Normal 2 4 5 4 2 4" xfId="5679" xr:uid="{00000000-0005-0000-0000-00003A160000}"/>
    <cellStyle name="Normal 2 4 5 4 3" xfId="5680" xr:uid="{00000000-0005-0000-0000-00003B160000}"/>
    <cellStyle name="Normal 2 4 5 4 3 2" xfId="5681" xr:uid="{00000000-0005-0000-0000-00003C160000}"/>
    <cellStyle name="Normal 2 4 5 4 3 3" xfId="5682" xr:uid="{00000000-0005-0000-0000-00003D160000}"/>
    <cellStyle name="Normal 2 4 5 4 4" xfId="5683" xr:uid="{00000000-0005-0000-0000-00003E160000}"/>
    <cellStyle name="Normal 2 4 5 4 5" xfId="5684" xr:uid="{00000000-0005-0000-0000-00003F160000}"/>
    <cellStyle name="Normal 2 4 5 5" xfId="5685" xr:uid="{00000000-0005-0000-0000-000040160000}"/>
    <cellStyle name="Normal 2 4 5 5 2" xfId="5686" xr:uid="{00000000-0005-0000-0000-000041160000}"/>
    <cellStyle name="Normal 2 4 5 5 3" xfId="5687" xr:uid="{00000000-0005-0000-0000-000042160000}"/>
    <cellStyle name="Normal 2 4 5 6" xfId="5688" xr:uid="{00000000-0005-0000-0000-000043160000}"/>
    <cellStyle name="Normal 2 4 5 6 2" xfId="5689" xr:uid="{00000000-0005-0000-0000-000044160000}"/>
    <cellStyle name="Normal 2 4 5 6 3" xfId="5690" xr:uid="{00000000-0005-0000-0000-000045160000}"/>
    <cellStyle name="Normal 2 4 5 7" xfId="5691" xr:uid="{00000000-0005-0000-0000-000046160000}"/>
    <cellStyle name="Normal 2 4 5 8" xfId="5692" xr:uid="{00000000-0005-0000-0000-000047160000}"/>
    <cellStyle name="Normal 2 4 5 9" xfId="5693" xr:uid="{00000000-0005-0000-0000-000048160000}"/>
    <cellStyle name="Normal 2 4 6" xfId="5694" xr:uid="{00000000-0005-0000-0000-000049160000}"/>
    <cellStyle name="Normal 2 4 6 2" xfId="5695" xr:uid="{00000000-0005-0000-0000-00004A160000}"/>
    <cellStyle name="Normal 2 4 6 2 2" xfId="5696" xr:uid="{00000000-0005-0000-0000-00004B160000}"/>
    <cellStyle name="Normal 2 4 6 2 2 2" xfId="5697" xr:uid="{00000000-0005-0000-0000-00004C160000}"/>
    <cellStyle name="Normal 2 4 6 2 2 2 2" xfId="5698" xr:uid="{00000000-0005-0000-0000-00004D160000}"/>
    <cellStyle name="Normal 2 4 6 2 2 2 3" xfId="5699" xr:uid="{00000000-0005-0000-0000-00004E160000}"/>
    <cellStyle name="Normal 2 4 6 2 2 3" xfId="5700" xr:uid="{00000000-0005-0000-0000-00004F160000}"/>
    <cellStyle name="Normal 2 4 6 2 2 4" xfId="5701" xr:uid="{00000000-0005-0000-0000-000050160000}"/>
    <cellStyle name="Normal 2 4 6 2 3" xfId="5702" xr:uid="{00000000-0005-0000-0000-000051160000}"/>
    <cellStyle name="Normal 2 4 6 2 3 2" xfId="5703" xr:uid="{00000000-0005-0000-0000-000052160000}"/>
    <cellStyle name="Normal 2 4 6 2 3 2 2" xfId="5704" xr:uid="{00000000-0005-0000-0000-000053160000}"/>
    <cellStyle name="Normal 2 4 6 2 3 2 3" xfId="5705" xr:uid="{00000000-0005-0000-0000-000054160000}"/>
    <cellStyle name="Normal 2 4 6 2 3 3" xfId="5706" xr:uid="{00000000-0005-0000-0000-000055160000}"/>
    <cellStyle name="Normal 2 4 6 2 3 4" xfId="5707" xr:uid="{00000000-0005-0000-0000-000056160000}"/>
    <cellStyle name="Normal 2 4 6 2 4" xfId="5708" xr:uid="{00000000-0005-0000-0000-000057160000}"/>
    <cellStyle name="Normal 2 4 6 2 4 2" xfId="5709" xr:uid="{00000000-0005-0000-0000-000058160000}"/>
    <cellStyle name="Normal 2 4 6 2 4 3" xfId="5710" xr:uid="{00000000-0005-0000-0000-000059160000}"/>
    <cellStyle name="Normal 2 4 6 2 5" xfId="5711" xr:uid="{00000000-0005-0000-0000-00005A160000}"/>
    <cellStyle name="Normal 2 4 6 2 6" xfId="5712" xr:uid="{00000000-0005-0000-0000-00005B160000}"/>
    <cellStyle name="Normal 2 4 6 2 7" xfId="5713" xr:uid="{00000000-0005-0000-0000-00005C160000}"/>
    <cellStyle name="Normal 2 4 6 3" xfId="5714" xr:uid="{00000000-0005-0000-0000-00005D160000}"/>
    <cellStyle name="Normal 2 4 6 3 2" xfId="5715" xr:uid="{00000000-0005-0000-0000-00005E160000}"/>
    <cellStyle name="Normal 2 4 6 3 2 2" xfId="5716" xr:uid="{00000000-0005-0000-0000-00005F160000}"/>
    <cellStyle name="Normal 2 4 6 3 2 2 2" xfId="5717" xr:uid="{00000000-0005-0000-0000-000060160000}"/>
    <cellStyle name="Normal 2 4 6 3 2 2 3" xfId="5718" xr:uid="{00000000-0005-0000-0000-000061160000}"/>
    <cellStyle name="Normal 2 4 6 3 2 3" xfId="5719" xr:uid="{00000000-0005-0000-0000-000062160000}"/>
    <cellStyle name="Normal 2 4 6 3 2 4" xfId="5720" xr:uid="{00000000-0005-0000-0000-000063160000}"/>
    <cellStyle name="Normal 2 4 6 3 3" xfId="5721" xr:uid="{00000000-0005-0000-0000-000064160000}"/>
    <cellStyle name="Normal 2 4 6 3 3 2" xfId="5722" xr:uid="{00000000-0005-0000-0000-000065160000}"/>
    <cellStyle name="Normal 2 4 6 3 3 3" xfId="5723" xr:uid="{00000000-0005-0000-0000-000066160000}"/>
    <cellStyle name="Normal 2 4 6 3 4" xfId="5724" xr:uid="{00000000-0005-0000-0000-000067160000}"/>
    <cellStyle name="Normal 2 4 6 3 5" xfId="5725" xr:uid="{00000000-0005-0000-0000-000068160000}"/>
    <cellStyle name="Normal 2 4 6 4" xfId="5726" xr:uid="{00000000-0005-0000-0000-000069160000}"/>
    <cellStyle name="Normal 2 4 6 4 2" xfId="5727" xr:uid="{00000000-0005-0000-0000-00006A160000}"/>
    <cellStyle name="Normal 2 4 6 4 3" xfId="5728" xr:uid="{00000000-0005-0000-0000-00006B160000}"/>
    <cellStyle name="Normal 2 4 6 5" xfId="5729" xr:uid="{00000000-0005-0000-0000-00006C160000}"/>
    <cellStyle name="Normal 2 4 6 5 2" xfId="5730" xr:uid="{00000000-0005-0000-0000-00006D160000}"/>
    <cellStyle name="Normal 2 4 6 5 3" xfId="5731" xr:uid="{00000000-0005-0000-0000-00006E160000}"/>
    <cellStyle name="Normal 2 4 6 6" xfId="5732" xr:uid="{00000000-0005-0000-0000-00006F160000}"/>
    <cellStyle name="Normal 2 4 6 7" xfId="5733" xr:uid="{00000000-0005-0000-0000-000070160000}"/>
    <cellStyle name="Normal 2 4 6 8" xfId="5734" xr:uid="{00000000-0005-0000-0000-000071160000}"/>
    <cellStyle name="Normal 2 4 6 9" xfId="5735" xr:uid="{00000000-0005-0000-0000-000072160000}"/>
    <cellStyle name="Normal 2 4 7" xfId="5736" xr:uid="{00000000-0005-0000-0000-000073160000}"/>
    <cellStyle name="Normal 2 4 7 2" xfId="5737" xr:uid="{00000000-0005-0000-0000-000074160000}"/>
    <cellStyle name="Normal 2 4 7 2 2" xfId="5738" xr:uid="{00000000-0005-0000-0000-000075160000}"/>
    <cellStyle name="Normal 2 4 7 2 2 2" xfId="5739" xr:uid="{00000000-0005-0000-0000-000076160000}"/>
    <cellStyle name="Normal 2 4 7 2 2 2 2" xfId="5740" xr:uid="{00000000-0005-0000-0000-000077160000}"/>
    <cellStyle name="Normal 2 4 7 2 2 2 3" xfId="5741" xr:uid="{00000000-0005-0000-0000-000078160000}"/>
    <cellStyle name="Normal 2 4 7 2 2 3" xfId="5742" xr:uid="{00000000-0005-0000-0000-000079160000}"/>
    <cellStyle name="Normal 2 4 7 2 2 4" xfId="5743" xr:uid="{00000000-0005-0000-0000-00007A160000}"/>
    <cellStyle name="Normal 2 4 7 2 3" xfId="5744" xr:uid="{00000000-0005-0000-0000-00007B160000}"/>
    <cellStyle name="Normal 2 4 7 2 3 2" xfId="5745" xr:uid="{00000000-0005-0000-0000-00007C160000}"/>
    <cellStyle name="Normal 2 4 7 2 3 2 2" xfId="5746" xr:uid="{00000000-0005-0000-0000-00007D160000}"/>
    <cellStyle name="Normal 2 4 7 2 3 2 3" xfId="5747" xr:uid="{00000000-0005-0000-0000-00007E160000}"/>
    <cellStyle name="Normal 2 4 7 2 3 3" xfId="5748" xr:uid="{00000000-0005-0000-0000-00007F160000}"/>
    <cellStyle name="Normal 2 4 7 2 3 4" xfId="5749" xr:uid="{00000000-0005-0000-0000-000080160000}"/>
    <cellStyle name="Normal 2 4 7 2 4" xfId="5750" xr:uid="{00000000-0005-0000-0000-000081160000}"/>
    <cellStyle name="Normal 2 4 7 2 4 2" xfId="5751" xr:uid="{00000000-0005-0000-0000-000082160000}"/>
    <cellStyle name="Normal 2 4 7 2 4 3" xfId="5752" xr:uid="{00000000-0005-0000-0000-000083160000}"/>
    <cellStyle name="Normal 2 4 7 2 5" xfId="5753" xr:uid="{00000000-0005-0000-0000-000084160000}"/>
    <cellStyle name="Normal 2 4 7 2 6" xfId="5754" xr:uid="{00000000-0005-0000-0000-000085160000}"/>
    <cellStyle name="Normal 2 4 7 2 7" xfId="5755" xr:uid="{00000000-0005-0000-0000-000086160000}"/>
    <cellStyle name="Normal 2 4 7 3" xfId="5756" xr:uid="{00000000-0005-0000-0000-000087160000}"/>
    <cellStyle name="Normal 2 4 7 3 2" xfId="5757" xr:uid="{00000000-0005-0000-0000-000088160000}"/>
    <cellStyle name="Normal 2 4 7 3 2 2" xfId="5758" xr:uid="{00000000-0005-0000-0000-000089160000}"/>
    <cellStyle name="Normal 2 4 7 3 2 2 2" xfId="5759" xr:uid="{00000000-0005-0000-0000-00008A160000}"/>
    <cellStyle name="Normal 2 4 7 3 2 2 3" xfId="5760" xr:uid="{00000000-0005-0000-0000-00008B160000}"/>
    <cellStyle name="Normal 2 4 7 3 2 3" xfId="5761" xr:uid="{00000000-0005-0000-0000-00008C160000}"/>
    <cellStyle name="Normal 2 4 7 3 2 4" xfId="5762" xr:uid="{00000000-0005-0000-0000-00008D160000}"/>
    <cellStyle name="Normal 2 4 7 3 3" xfId="5763" xr:uid="{00000000-0005-0000-0000-00008E160000}"/>
    <cellStyle name="Normal 2 4 7 3 3 2" xfId="5764" xr:uid="{00000000-0005-0000-0000-00008F160000}"/>
    <cellStyle name="Normal 2 4 7 3 3 3" xfId="5765" xr:uid="{00000000-0005-0000-0000-000090160000}"/>
    <cellStyle name="Normal 2 4 7 3 4" xfId="5766" xr:uid="{00000000-0005-0000-0000-000091160000}"/>
    <cellStyle name="Normal 2 4 7 3 5" xfId="5767" xr:uid="{00000000-0005-0000-0000-000092160000}"/>
    <cellStyle name="Normal 2 4 7 4" xfId="5768" xr:uid="{00000000-0005-0000-0000-000093160000}"/>
    <cellStyle name="Normal 2 4 7 4 2" xfId="5769" xr:uid="{00000000-0005-0000-0000-000094160000}"/>
    <cellStyle name="Normal 2 4 7 4 3" xfId="5770" xr:uid="{00000000-0005-0000-0000-000095160000}"/>
    <cellStyle name="Normal 2 4 7 5" xfId="5771" xr:uid="{00000000-0005-0000-0000-000096160000}"/>
    <cellStyle name="Normal 2 4 7 5 2" xfId="5772" xr:uid="{00000000-0005-0000-0000-000097160000}"/>
    <cellStyle name="Normal 2 4 7 5 3" xfId="5773" xr:uid="{00000000-0005-0000-0000-000098160000}"/>
    <cellStyle name="Normal 2 4 7 6" xfId="5774" xr:uid="{00000000-0005-0000-0000-000099160000}"/>
    <cellStyle name="Normal 2 4 7 7" xfId="5775" xr:uid="{00000000-0005-0000-0000-00009A160000}"/>
    <cellStyle name="Normal 2 4 7 8" xfId="5776" xr:uid="{00000000-0005-0000-0000-00009B160000}"/>
    <cellStyle name="Normal 2 4 7 9" xfId="5777" xr:uid="{00000000-0005-0000-0000-00009C160000}"/>
    <cellStyle name="Normal 2 4 8" xfId="5778" xr:uid="{00000000-0005-0000-0000-00009D160000}"/>
    <cellStyle name="Normal 2 4 8 2" xfId="5779" xr:uid="{00000000-0005-0000-0000-00009E160000}"/>
    <cellStyle name="Normal 2 4 8 2 2" xfId="5780" xr:uid="{00000000-0005-0000-0000-00009F160000}"/>
    <cellStyle name="Normal 2 4 8 2 2 2" xfId="5781" xr:uid="{00000000-0005-0000-0000-0000A0160000}"/>
    <cellStyle name="Normal 2 4 8 2 2 2 2" xfId="5782" xr:uid="{00000000-0005-0000-0000-0000A1160000}"/>
    <cellStyle name="Normal 2 4 8 2 2 2 3" xfId="5783" xr:uid="{00000000-0005-0000-0000-0000A2160000}"/>
    <cellStyle name="Normal 2 4 8 2 2 3" xfId="5784" xr:uid="{00000000-0005-0000-0000-0000A3160000}"/>
    <cellStyle name="Normal 2 4 8 2 2 4" xfId="5785" xr:uid="{00000000-0005-0000-0000-0000A4160000}"/>
    <cellStyle name="Normal 2 4 8 2 3" xfId="5786" xr:uid="{00000000-0005-0000-0000-0000A5160000}"/>
    <cellStyle name="Normal 2 4 8 2 3 2" xfId="5787" xr:uid="{00000000-0005-0000-0000-0000A6160000}"/>
    <cellStyle name="Normal 2 4 8 2 3 2 2" xfId="5788" xr:uid="{00000000-0005-0000-0000-0000A7160000}"/>
    <cellStyle name="Normal 2 4 8 2 3 2 3" xfId="5789" xr:uid="{00000000-0005-0000-0000-0000A8160000}"/>
    <cellStyle name="Normal 2 4 8 2 3 3" xfId="5790" xr:uid="{00000000-0005-0000-0000-0000A9160000}"/>
    <cellStyle name="Normal 2 4 8 2 3 4" xfId="5791" xr:uid="{00000000-0005-0000-0000-0000AA160000}"/>
    <cellStyle name="Normal 2 4 8 2 4" xfId="5792" xr:uid="{00000000-0005-0000-0000-0000AB160000}"/>
    <cellStyle name="Normal 2 4 8 2 4 2" xfId="5793" xr:uid="{00000000-0005-0000-0000-0000AC160000}"/>
    <cellStyle name="Normal 2 4 8 2 4 3" xfId="5794" xr:uid="{00000000-0005-0000-0000-0000AD160000}"/>
    <cellStyle name="Normal 2 4 8 2 5" xfId="5795" xr:uid="{00000000-0005-0000-0000-0000AE160000}"/>
    <cellStyle name="Normal 2 4 8 2 6" xfId="5796" xr:uid="{00000000-0005-0000-0000-0000AF160000}"/>
    <cellStyle name="Normal 2 4 8 2 7" xfId="5797" xr:uid="{00000000-0005-0000-0000-0000B0160000}"/>
    <cellStyle name="Normal 2 4 8 3" xfId="5798" xr:uid="{00000000-0005-0000-0000-0000B1160000}"/>
    <cellStyle name="Normal 2 4 8 3 2" xfId="5799" xr:uid="{00000000-0005-0000-0000-0000B2160000}"/>
    <cellStyle name="Normal 2 4 8 3 2 2" xfId="5800" xr:uid="{00000000-0005-0000-0000-0000B3160000}"/>
    <cellStyle name="Normal 2 4 8 3 2 2 2" xfId="5801" xr:uid="{00000000-0005-0000-0000-0000B4160000}"/>
    <cellStyle name="Normal 2 4 8 3 2 2 3" xfId="5802" xr:uid="{00000000-0005-0000-0000-0000B5160000}"/>
    <cellStyle name="Normal 2 4 8 3 2 3" xfId="5803" xr:uid="{00000000-0005-0000-0000-0000B6160000}"/>
    <cellStyle name="Normal 2 4 8 3 2 4" xfId="5804" xr:uid="{00000000-0005-0000-0000-0000B7160000}"/>
    <cellStyle name="Normal 2 4 8 3 3" xfId="5805" xr:uid="{00000000-0005-0000-0000-0000B8160000}"/>
    <cellStyle name="Normal 2 4 8 3 3 2" xfId="5806" xr:uid="{00000000-0005-0000-0000-0000B9160000}"/>
    <cellStyle name="Normal 2 4 8 3 3 3" xfId="5807" xr:uid="{00000000-0005-0000-0000-0000BA160000}"/>
    <cellStyle name="Normal 2 4 8 3 4" xfId="5808" xr:uid="{00000000-0005-0000-0000-0000BB160000}"/>
    <cellStyle name="Normal 2 4 8 3 5" xfId="5809" xr:uid="{00000000-0005-0000-0000-0000BC160000}"/>
    <cellStyle name="Normal 2 4 8 4" xfId="5810" xr:uid="{00000000-0005-0000-0000-0000BD160000}"/>
    <cellStyle name="Normal 2 4 8 4 2" xfId="5811" xr:uid="{00000000-0005-0000-0000-0000BE160000}"/>
    <cellStyle name="Normal 2 4 8 4 3" xfId="5812" xr:uid="{00000000-0005-0000-0000-0000BF160000}"/>
    <cellStyle name="Normal 2 4 8 5" xfId="5813" xr:uid="{00000000-0005-0000-0000-0000C0160000}"/>
    <cellStyle name="Normal 2 4 8 5 2" xfId="5814" xr:uid="{00000000-0005-0000-0000-0000C1160000}"/>
    <cellStyle name="Normal 2 4 8 5 3" xfId="5815" xr:uid="{00000000-0005-0000-0000-0000C2160000}"/>
    <cellStyle name="Normal 2 4 8 6" xfId="5816" xr:uid="{00000000-0005-0000-0000-0000C3160000}"/>
    <cellStyle name="Normal 2 4 8 7" xfId="5817" xr:uid="{00000000-0005-0000-0000-0000C4160000}"/>
    <cellStyle name="Normal 2 4 8 8" xfId="5818" xr:uid="{00000000-0005-0000-0000-0000C5160000}"/>
    <cellStyle name="Normal 2 4 8 9" xfId="5819" xr:uid="{00000000-0005-0000-0000-0000C6160000}"/>
    <cellStyle name="Normal 2 4 9" xfId="5820" xr:uid="{00000000-0005-0000-0000-0000C7160000}"/>
    <cellStyle name="Normal 2 4 9 2" xfId="5821" xr:uid="{00000000-0005-0000-0000-0000C8160000}"/>
    <cellStyle name="Normal 2 4 9 2 2" xfId="5822" xr:uid="{00000000-0005-0000-0000-0000C9160000}"/>
    <cellStyle name="Normal 2 4 9 2 2 2" xfId="5823" xr:uid="{00000000-0005-0000-0000-0000CA160000}"/>
    <cellStyle name="Normal 2 4 9 2 2 2 2" xfId="5824" xr:uid="{00000000-0005-0000-0000-0000CB160000}"/>
    <cellStyle name="Normal 2 4 9 2 2 2 3" xfId="5825" xr:uid="{00000000-0005-0000-0000-0000CC160000}"/>
    <cellStyle name="Normal 2 4 9 2 2 3" xfId="5826" xr:uid="{00000000-0005-0000-0000-0000CD160000}"/>
    <cellStyle name="Normal 2 4 9 2 2 4" xfId="5827" xr:uid="{00000000-0005-0000-0000-0000CE160000}"/>
    <cellStyle name="Normal 2 4 9 2 3" xfId="5828" xr:uid="{00000000-0005-0000-0000-0000CF160000}"/>
    <cellStyle name="Normal 2 4 9 2 3 2" xfId="5829" xr:uid="{00000000-0005-0000-0000-0000D0160000}"/>
    <cellStyle name="Normal 2 4 9 2 3 2 2" xfId="5830" xr:uid="{00000000-0005-0000-0000-0000D1160000}"/>
    <cellStyle name="Normal 2 4 9 2 3 2 3" xfId="5831" xr:uid="{00000000-0005-0000-0000-0000D2160000}"/>
    <cellStyle name="Normal 2 4 9 2 3 3" xfId="5832" xr:uid="{00000000-0005-0000-0000-0000D3160000}"/>
    <cellStyle name="Normal 2 4 9 2 3 4" xfId="5833" xr:uid="{00000000-0005-0000-0000-0000D4160000}"/>
    <cellStyle name="Normal 2 4 9 2 4" xfId="5834" xr:uid="{00000000-0005-0000-0000-0000D5160000}"/>
    <cellStyle name="Normal 2 4 9 2 4 2" xfId="5835" xr:uid="{00000000-0005-0000-0000-0000D6160000}"/>
    <cellStyle name="Normal 2 4 9 2 4 3" xfId="5836" xr:uid="{00000000-0005-0000-0000-0000D7160000}"/>
    <cellStyle name="Normal 2 4 9 2 5" xfId="5837" xr:uid="{00000000-0005-0000-0000-0000D8160000}"/>
    <cellStyle name="Normal 2 4 9 2 6" xfId="5838" xr:uid="{00000000-0005-0000-0000-0000D9160000}"/>
    <cellStyle name="Normal 2 4 9 2 7" xfId="5839" xr:uid="{00000000-0005-0000-0000-0000DA160000}"/>
    <cellStyle name="Normal 2 4 9 3" xfId="5840" xr:uid="{00000000-0005-0000-0000-0000DB160000}"/>
    <cellStyle name="Normal 2 4 9 3 2" xfId="5841" xr:uid="{00000000-0005-0000-0000-0000DC160000}"/>
    <cellStyle name="Normal 2 4 9 3 2 2" xfId="5842" xr:uid="{00000000-0005-0000-0000-0000DD160000}"/>
    <cellStyle name="Normal 2 4 9 3 2 2 2" xfId="5843" xr:uid="{00000000-0005-0000-0000-0000DE160000}"/>
    <cellStyle name="Normal 2 4 9 3 2 2 3" xfId="5844" xr:uid="{00000000-0005-0000-0000-0000DF160000}"/>
    <cellStyle name="Normal 2 4 9 3 2 3" xfId="5845" xr:uid="{00000000-0005-0000-0000-0000E0160000}"/>
    <cellStyle name="Normal 2 4 9 3 2 4" xfId="5846" xr:uid="{00000000-0005-0000-0000-0000E1160000}"/>
    <cellStyle name="Normal 2 4 9 3 3" xfId="5847" xr:uid="{00000000-0005-0000-0000-0000E2160000}"/>
    <cellStyle name="Normal 2 4 9 3 3 2" xfId="5848" xr:uid="{00000000-0005-0000-0000-0000E3160000}"/>
    <cellStyle name="Normal 2 4 9 3 3 3" xfId="5849" xr:uid="{00000000-0005-0000-0000-0000E4160000}"/>
    <cellStyle name="Normal 2 4 9 3 4" xfId="5850" xr:uid="{00000000-0005-0000-0000-0000E5160000}"/>
    <cellStyle name="Normal 2 4 9 3 5" xfId="5851" xr:uid="{00000000-0005-0000-0000-0000E6160000}"/>
    <cellStyle name="Normal 2 4 9 4" xfId="5852" xr:uid="{00000000-0005-0000-0000-0000E7160000}"/>
    <cellStyle name="Normal 2 4 9 4 2" xfId="5853" xr:uid="{00000000-0005-0000-0000-0000E8160000}"/>
    <cellStyle name="Normal 2 4 9 4 3" xfId="5854" xr:uid="{00000000-0005-0000-0000-0000E9160000}"/>
    <cellStyle name="Normal 2 4 9 5" xfId="5855" xr:uid="{00000000-0005-0000-0000-0000EA160000}"/>
    <cellStyle name="Normal 2 4 9 5 2" xfId="5856" xr:uid="{00000000-0005-0000-0000-0000EB160000}"/>
    <cellStyle name="Normal 2 4 9 5 3" xfId="5857" xr:uid="{00000000-0005-0000-0000-0000EC160000}"/>
    <cellStyle name="Normal 2 4 9 6" xfId="5858" xr:uid="{00000000-0005-0000-0000-0000ED160000}"/>
    <cellStyle name="Normal 2 4 9 7" xfId="5859" xr:uid="{00000000-0005-0000-0000-0000EE160000}"/>
    <cellStyle name="Normal 2 4 9 8" xfId="5860" xr:uid="{00000000-0005-0000-0000-0000EF160000}"/>
    <cellStyle name="Normal 2 4 9 9" xfId="5861" xr:uid="{00000000-0005-0000-0000-0000F0160000}"/>
    <cellStyle name="Normal 2 40" xfId="5862" xr:uid="{00000000-0005-0000-0000-0000F1160000}"/>
    <cellStyle name="Normal 2 40 2" xfId="5863" xr:uid="{00000000-0005-0000-0000-0000F2160000}"/>
    <cellStyle name="Normal 2 40 3" xfId="5864" xr:uid="{00000000-0005-0000-0000-0000F3160000}"/>
    <cellStyle name="Normal 2 40 4" xfId="5865" xr:uid="{00000000-0005-0000-0000-0000F4160000}"/>
    <cellStyle name="Normal 2 41" xfId="5866" xr:uid="{00000000-0005-0000-0000-0000F5160000}"/>
    <cellStyle name="Normal 2 41 2" xfId="5867" xr:uid="{00000000-0005-0000-0000-0000F6160000}"/>
    <cellStyle name="Normal 2 41 3" xfId="5868" xr:uid="{00000000-0005-0000-0000-0000F7160000}"/>
    <cellStyle name="Normal 2 41 4" xfId="5869" xr:uid="{00000000-0005-0000-0000-0000F8160000}"/>
    <cellStyle name="Normal 2 42" xfId="5870" xr:uid="{00000000-0005-0000-0000-0000F9160000}"/>
    <cellStyle name="Normal 2 42 2" xfId="5871" xr:uid="{00000000-0005-0000-0000-0000FA160000}"/>
    <cellStyle name="Normal 2 42 3" xfId="5872" xr:uid="{00000000-0005-0000-0000-0000FB160000}"/>
    <cellStyle name="Normal 2 42 4" xfId="5873" xr:uid="{00000000-0005-0000-0000-0000FC160000}"/>
    <cellStyle name="Normal 2 43" xfId="5874" xr:uid="{00000000-0005-0000-0000-0000FD160000}"/>
    <cellStyle name="Normal 2 43 2" xfId="5875" xr:uid="{00000000-0005-0000-0000-0000FE160000}"/>
    <cellStyle name="Normal 2 43 3" xfId="5876" xr:uid="{00000000-0005-0000-0000-0000FF160000}"/>
    <cellStyle name="Normal 2 43 4" xfId="5877" xr:uid="{00000000-0005-0000-0000-000000170000}"/>
    <cellStyle name="Normal 2 44" xfId="5878" xr:uid="{00000000-0005-0000-0000-000001170000}"/>
    <cellStyle name="Normal 2 44 2" xfId="5879" xr:uid="{00000000-0005-0000-0000-000002170000}"/>
    <cellStyle name="Normal 2 44 3" xfId="5880" xr:uid="{00000000-0005-0000-0000-000003170000}"/>
    <cellStyle name="Normal 2 44 4" xfId="5881" xr:uid="{00000000-0005-0000-0000-000004170000}"/>
    <cellStyle name="Normal 2 45" xfId="5882" xr:uid="{00000000-0005-0000-0000-000005170000}"/>
    <cellStyle name="Normal 2 45 2" xfId="5883" xr:uid="{00000000-0005-0000-0000-000006170000}"/>
    <cellStyle name="Normal 2 45 2 2" xfId="5884" xr:uid="{00000000-0005-0000-0000-000007170000}"/>
    <cellStyle name="Normal 2 45 2 2 2" xfId="5885" xr:uid="{00000000-0005-0000-0000-000008170000}"/>
    <cellStyle name="Normal 2 45 2 2 2 2" xfId="5886" xr:uid="{00000000-0005-0000-0000-000009170000}"/>
    <cellStyle name="Normal 2 45 2 2 2 3" xfId="5887" xr:uid="{00000000-0005-0000-0000-00000A170000}"/>
    <cellStyle name="Normal 2 45 2 2 3" xfId="5888" xr:uid="{00000000-0005-0000-0000-00000B170000}"/>
    <cellStyle name="Normal 2 45 2 2 4" xfId="5889" xr:uid="{00000000-0005-0000-0000-00000C170000}"/>
    <cellStyle name="Normal 2 45 2 3" xfId="5890" xr:uid="{00000000-0005-0000-0000-00000D170000}"/>
    <cellStyle name="Normal 2 45 2 3 2" xfId="5891" xr:uid="{00000000-0005-0000-0000-00000E170000}"/>
    <cellStyle name="Normal 2 45 2 3 2 2" xfId="5892" xr:uid="{00000000-0005-0000-0000-00000F170000}"/>
    <cellStyle name="Normal 2 45 2 3 2 3" xfId="5893" xr:uid="{00000000-0005-0000-0000-000010170000}"/>
    <cellStyle name="Normal 2 45 2 3 3" xfId="5894" xr:uid="{00000000-0005-0000-0000-000011170000}"/>
    <cellStyle name="Normal 2 45 2 3 4" xfId="5895" xr:uid="{00000000-0005-0000-0000-000012170000}"/>
    <cellStyle name="Normal 2 45 2 4" xfId="5896" xr:uid="{00000000-0005-0000-0000-000013170000}"/>
    <cellStyle name="Normal 2 45 2 4 2" xfId="5897" xr:uid="{00000000-0005-0000-0000-000014170000}"/>
    <cellStyle name="Normal 2 45 2 4 3" xfId="5898" xr:uid="{00000000-0005-0000-0000-000015170000}"/>
    <cellStyle name="Normal 2 45 2 5" xfId="5899" xr:uid="{00000000-0005-0000-0000-000016170000}"/>
    <cellStyle name="Normal 2 45 2 6" xfId="5900" xr:uid="{00000000-0005-0000-0000-000017170000}"/>
    <cellStyle name="Normal 2 45 2 7" xfId="5901" xr:uid="{00000000-0005-0000-0000-000018170000}"/>
    <cellStyle name="Normal 2 45 3" xfId="5902" xr:uid="{00000000-0005-0000-0000-000019170000}"/>
    <cellStyle name="Normal 2 45 3 2" xfId="5903" xr:uid="{00000000-0005-0000-0000-00001A170000}"/>
    <cellStyle name="Normal 2 45 3 2 2" xfId="5904" xr:uid="{00000000-0005-0000-0000-00001B170000}"/>
    <cellStyle name="Normal 2 45 3 2 3" xfId="5905" xr:uid="{00000000-0005-0000-0000-00001C170000}"/>
    <cellStyle name="Normal 2 45 3 3" xfId="5906" xr:uid="{00000000-0005-0000-0000-00001D170000}"/>
    <cellStyle name="Normal 2 45 3 4" xfId="5907" xr:uid="{00000000-0005-0000-0000-00001E170000}"/>
    <cellStyle name="Normal 2 45 4" xfId="5908" xr:uid="{00000000-0005-0000-0000-00001F170000}"/>
    <cellStyle name="Normal 2 45 4 2" xfId="5909" xr:uid="{00000000-0005-0000-0000-000020170000}"/>
    <cellStyle name="Normal 2 45 4 2 2" xfId="5910" xr:uid="{00000000-0005-0000-0000-000021170000}"/>
    <cellStyle name="Normal 2 45 4 2 3" xfId="5911" xr:uid="{00000000-0005-0000-0000-000022170000}"/>
    <cellStyle name="Normal 2 45 4 3" xfId="5912" xr:uid="{00000000-0005-0000-0000-000023170000}"/>
    <cellStyle name="Normal 2 45 4 4" xfId="5913" xr:uid="{00000000-0005-0000-0000-000024170000}"/>
    <cellStyle name="Normal 2 45 5" xfId="5914" xr:uid="{00000000-0005-0000-0000-000025170000}"/>
    <cellStyle name="Normal 2 45 5 2" xfId="5915" xr:uid="{00000000-0005-0000-0000-000026170000}"/>
    <cellStyle name="Normal 2 45 5 3" xfId="5916" xr:uid="{00000000-0005-0000-0000-000027170000}"/>
    <cellStyle name="Normal 2 45 6" xfId="5917" xr:uid="{00000000-0005-0000-0000-000028170000}"/>
    <cellStyle name="Normal 2 45 7" xfId="5918" xr:uid="{00000000-0005-0000-0000-000029170000}"/>
    <cellStyle name="Normal 2 45 8" xfId="5919" xr:uid="{00000000-0005-0000-0000-00002A170000}"/>
    <cellStyle name="Normal 2 46" xfId="5920" xr:uid="{00000000-0005-0000-0000-00002B170000}"/>
    <cellStyle name="Normal 2 46 2" xfId="5921" xr:uid="{00000000-0005-0000-0000-00002C170000}"/>
    <cellStyle name="Normal 2 46 2 2" xfId="5922" xr:uid="{00000000-0005-0000-0000-00002D170000}"/>
    <cellStyle name="Normal 2 46 2 2 2" xfId="5923" xr:uid="{00000000-0005-0000-0000-00002E170000}"/>
    <cellStyle name="Normal 2 46 2 2 2 2" xfId="5924" xr:uid="{00000000-0005-0000-0000-00002F170000}"/>
    <cellStyle name="Normal 2 46 2 2 2 3" xfId="5925" xr:uid="{00000000-0005-0000-0000-000030170000}"/>
    <cellStyle name="Normal 2 46 2 2 3" xfId="5926" xr:uid="{00000000-0005-0000-0000-000031170000}"/>
    <cellStyle name="Normal 2 46 2 2 4" xfId="5927" xr:uid="{00000000-0005-0000-0000-000032170000}"/>
    <cellStyle name="Normal 2 46 2 3" xfId="5928" xr:uid="{00000000-0005-0000-0000-000033170000}"/>
    <cellStyle name="Normal 2 46 2 3 2" xfId="5929" xr:uid="{00000000-0005-0000-0000-000034170000}"/>
    <cellStyle name="Normal 2 46 2 3 2 2" xfId="5930" xr:uid="{00000000-0005-0000-0000-000035170000}"/>
    <cellStyle name="Normal 2 46 2 3 2 3" xfId="5931" xr:uid="{00000000-0005-0000-0000-000036170000}"/>
    <cellStyle name="Normal 2 46 2 3 3" xfId="5932" xr:uid="{00000000-0005-0000-0000-000037170000}"/>
    <cellStyle name="Normal 2 46 2 3 4" xfId="5933" xr:uid="{00000000-0005-0000-0000-000038170000}"/>
    <cellStyle name="Normal 2 46 2 4" xfId="5934" xr:uid="{00000000-0005-0000-0000-000039170000}"/>
    <cellStyle name="Normal 2 46 2 4 2" xfId="5935" xr:uid="{00000000-0005-0000-0000-00003A170000}"/>
    <cellStyle name="Normal 2 46 2 4 3" xfId="5936" xr:uid="{00000000-0005-0000-0000-00003B170000}"/>
    <cellStyle name="Normal 2 46 2 5" xfId="5937" xr:uid="{00000000-0005-0000-0000-00003C170000}"/>
    <cellStyle name="Normal 2 46 2 6" xfId="5938" xr:uid="{00000000-0005-0000-0000-00003D170000}"/>
    <cellStyle name="Normal 2 46 2 7" xfId="5939" xr:uid="{00000000-0005-0000-0000-00003E170000}"/>
    <cellStyle name="Normal 2 46 3" xfId="5940" xr:uid="{00000000-0005-0000-0000-00003F170000}"/>
    <cellStyle name="Normal 2 46 3 2" xfId="5941" xr:uid="{00000000-0005-0000-0000-000040170000}"/>
    <cellStyle name="Normal 2 46 3 2 2" xfId="5942" xr:uid="{00000000-0005-0000-0000-000041170000}"/>
    <cellStyle name="Normal 2 46 3 2 3" xfId="5943" xr:uid="{00000000-0005-0000-0000-000042170000}"/>
    <cellStyle name="Normal 2 46 3 3" xfId="5944" xr:uid="{00000000-0005-0000-0000-000043170000}"/>
    <cellStyle name="Normal 2 46 3 4" xfId="5945" xr:uid="{00000000-0005-0000-0000-000044170000}"/>
    <cellStyle name="Normal 2 46 4" xfId="5946" xr:uid="{00000000-0005-0000-0000-000045170000}"/>
    <cellStyle name="Normal 2 46 4 2" xfId="5947" xr:uid="{00000000-0005-0000-0000-000046170000}"/>
    <cellStyle name="Normal 2 46 4 2 2" xfId="5948" xr:uid="{00000000-0005-0000-0000-000047170000}"/>
    <cellStyle name="Normal 2 46 4 2 3" xfId="5949" xr:uid="{00000000-0005-0000-0000-000048170000}"/>
    <cellStyle name="Normal 2 46 4 3" xfId="5950" xr:uid="{00000000-0005-0000-0000-000049170000}"/>
    <cellStyle name="Normal 2 46 4 4" xfId="5951" xr:uid="{00000000-0005-0000-0000-00004A170000}"/>
    <cellStyle name="Normal 2 46 5" xfId="5952" xr:uid="{00000000-0005-0000-0000-00004B170000}"/>
    <cellStyle name="Normal 2 46 5 2" xfId="5953" xr:uid="{00000000-0005-0000-0000-00004C170000}"/>
    <cellStyle name="Normal 2 46 5 3" xfId="5954" xr:uid="{00000000-0005-0000-0000-00004D170000}"/>
    <cellStyle name="Normal 2 46 6" xfId="5955" xr:uid="{00000000-0005-0000-0000-00004E170000}"/>
    <cellStyle name="Normal 2 46 7" xfId="5956" xr:uid="{00000000-0005-0000-0000-00004F170000}"/>
    <cellStyle name="Normal 2 46 8" xfId="5957" xr:uid="{00000000-0005-0000-0000-000050170000}"/>
    <cellStyle name="Normal 2 47" xfId="5958" xr:uid="{00000000-0005-0000-0000-000051170000}"/>
    <cellStyle name="Normal 2 47 2" xfId="5959" xr:uid="{00000000-0005-0000-0000-000052170000}"/>
    <cellStyle name="Normal 2 47 2 2" xfId="5960" xr:uid="{00000000-0005-0000-0000-000053170000}"/>
    <cellStyle name="Normal 2 47 2 2 2" xfId="5961" xr:uid="{00000000-0005-0000-0000-000054170000}"/>
    <cellStyle name="Normal 2 47 2 2 2 2" xfId="5962" xr:uid="{00000000-0005-0000-0000-000055170000}"/>
    <cellStyle name="Normal 2 47 2 2 2 3" xfId="5963" xr:uid="{00000000-0005-0000-0000-000056170000}"/>
    <cellStyle name="Normal 2 47 2 2 3" xfId="5964" xr:uid="{00000000-0005-0000-0000-000057170000}"/>
    <cellStyle name="Normal 2 47 2 2 4" xfId="5965" xr:uid="{00000000-0005-0000-0000-000058170000}"/>
    <cellStyle name="Normal 2 47 2 3" xfId="5966" xr:uid="{00000000-0005-0000-0000-000059170000}"/>
    <cellStyle name="Normal 2 47 2 3 2" xfId="5967" xr:uid="{00000000-0005-0000-0000-00005A170000}"/>
    <cellStyle name="Normal 2 47 2 3 2 2" xfId="5968" xr:uid="{00000000-0005-0000-0000-00005B170000}"/>
    <cellStyle name="Normal 2 47 2 3 2 3" xfId="5969" xr:uid="{00000000-0005-0000-0000-00005C170000}"/>
    <cellStyle name="Normal 2 47 2 3 3" xfId="5970" xr:uid="{00000000-0005-0000-0000-00005D170000}"/>
    <cellStyle name="Normal 2 47 2 3 4" xfId="5971" xr:uid="{00000000-0005-0000-0000-00005E170000}"/>
    <cellStyle name="Normal 2 47 2 4" xfId="5972" xr:uid="{00000000-0005-0000-0000-00005F170000}"/>
    <cellStyle name="Normal 2 47 2 4 2" xfId="5973" xr:uid="{00000000-0005-0000-0000-000060170000}"/>
    <cellStyle name="Normal 2 47 2 4 3" xfId="5974" xr:uid="{00000000-0005-0000-0000-000061170000}"/>
    <cellStyle name="Normal 2 47 2 5" xfId="5975" xr:uid="{00000000-0005-0000-0000-000062170000}"/>
    <cellStyle name="Normal 2 47 2 6" xfId="5976" xr:uid="{00000000-0005-0000-0000-000063170000}"/>
    <cellStyle name="Normal 2 47 2 7" xfId="5977" xr:uid="{00000000-0005-0000-0000-000064170000}"/>
    <cellStyle name="Normal 2 47 3" xfId="5978" xr:uid="{00000000-0005-0000-0000-000065170000}"/>
    <cellStyle name="Normal 2 47 3 2" xfId="5979" xr:uid="{00000000-0005-0000-0000-000066170000}"/>
    <cellStyle name="Normal 2 47 3 2 2" xfId="5980" xr:uid="{00000000-0005-0000-0000-000067170000}"/>
    <cellStyle name="Normal 2 47 3 2 3" xfId="5981" xr:uid="{00000000-0005-0000-0000-000068170000}"/>
    <cellStyle name="Normal 2 47 3 3" xfId="5982" xr:uid="{00000000-0005-0000-0000-000069170000}"/>
    <cellStyle name="Normal 2 47 3 4" xfId="5983" xr:uid="{00000000-0005-0000-0000-00006A170000}"/>
    <cellStyle name="Normal 2 47 4" xfId="5984" xr:uid="{00000000-0005-0000-0000-00006B170000}"/>
    <cellStyle name="Normal 2 47 4 2" xfId="5985" xr:uid="{00000000-0005-0000-0000-00006C170000}"/>
    <cellStyle name="Normal 2 47 4 2 2" xfId="5986" xr:uid="{00000000-0005-0000-0000-00006D170000}"/>
    <cellStyle name="Normal 2 47 4 2 3" xfId="5987" xr:uid="{00000000-0005-0000-0000-00006E170000}"/>
    <cellStyle name="Normal 2 47 4 3" xfId="5988" xr:uid="{00000000-0005-0000-0000-00006F170000}"/>
    <cellStyle name="Normal 2 47 4 4" xfId="5989" xr:uid="{00000000-0005-0000-0000-000070170000}"/>
    <cellStyle name="Normal 2 47 5" xfId="5990" xr:uid="{00000000-0005-0000-0000-000071170000}"/>
    <cellStyle name="Normal 2 47 5 2" xfId="5991" xr:uid="{00000000-0005-0000-0000-000072170000}"/>
    <cellStyle name="Normal 2 47 5 3" xfId="5992" xr:uid="{00000000-0005-0000-0000-000073170000}"/>
    <cellStyle name="Normal 2 47 6" xfId="5993" xr:uid="{00000000-0005-0000-0000-000074170000}"/>
    <cellStyle name="Normal 2 47 7" xfId="5994" xr:uid="{00000000-0005-0000-0000-000075170000}"/>
    <cellStyle name="Normal 2 47 8" xfId="5995" xr:uid="{00000000-0005-0000-0000-000076170000}"/>
    <cellStyle name="Normal 2 48" xfId="5996" xr:uid="{00000000-0005-0000-0000-000077170000}"/>
    <cellStyle name="Normal 2 48 2" xfId="5997" xr:uid="{00000000-0005-0000-0000-000078170000}"/>
    <cellStyle name="Normal 2 48 2 2" xfId="5998" xr:uid="{00000000-0005-0000-0000-000079170000}"/>
    <cellStyle name="Normal 2 48 2 2 2" xfId="5999" xr:uid="{00000000-0005-0000-0000-00007A170000}"/>
    <cellStyle name="Normal 2 48 2 2 2 2" xfId="6000" xr:uid="{00000000-0005-0000-0000-00007B170000}"/>
    <cellStyle name="Normal 2 48 2 2 2 3" xfId="6001" xr:uid="{00000000-0005-0000-0000-00007C170000}"/>
    <cellStyle name="Normal 2 48 2 2 3" xfId="6002" xr:uid="{00000000-0005-0000-0000-00007D170000}"/>
    <cellStyle name="Normal 2 48 2 2 4" xfId="6003" xr:uid="{00000000-0005-0000-0000-00007E170000}"/>
    <cellStyle name="Normal 2 48 2 3" xfId="6004" xr:uid="{00000000-0005-0000-0000-00007F170000}"/>
    <cellStyle name="Normal 2 48 2 3 2" xfId="6005" xr:uid="{00000000-0005-0000-0000-000080170000}"/>
    <cellStyle name="Normal 2 48 2 3 2 2" xfId="6006" xr:uid="{00000000-0005-0000-0000-000081170000}"/>
    <cellStyle name="Normal 2 48 2 3 2 3" xfId="6007" xr:uid="{00000000-0005-0000-0000-000082170000}"/>
    <cellStyle name="Normal 2 48 2 3 3" xfId="6008" xr:uid="{00000000-0005-0000-0000-000083170000}"/>
    <cellStyle name="Normal 2 48 2 3 4" xfId="6009" xr:uid="{00000000-0005-0000-0000-000084170000}"/>
    <cellStyle name="Normal 2 48 2 4" xfId="6010" xr:uid="{00000000-0005-0000-0000-000085170000}"/>
    <cellStyle name="Normal 2 48 2 4 2" xfId="6011" xr:uid="{00000000-0005-0000-0000-000086170000}"/>
    <cellStyle name="Normal 2 48 2 4 3" xfId="6012" xr:uid="{00000000-0005-0000-0000-000087170000}"/>
    <cellStyle name="Normal 2 48 2 5" xfId="6013" xr:uid="{00000000-0005-0000-0000-000088170000}"/>
    <cellStyle name="Normal 2 48 2 6" xfId="6014" xr:uid="{00000000-0005-0000-0000-000089170000}"/>
    <cellStyle name="Normal 2 48 2 7" xfId="6015" xr:uid="{00000000-0005-0000-0000-00008A170000}"/>
    <cellStyle name="Normal 2 48 3" xfId="6016" xr:uid="{00000000-0005-0000-0000-00008B170000}"/>
    <cellStyle name="Normal 2 48 3 2" xfId="6017" xr:uid="{00000000-0005-0000-0000-00008C170000}"/>
    <cellStyle name="Normal 2 48 3 2 2" xfId="6018" xr:uid="{00000000-0005-0000-0000-00008D170000}"/>
    <cellStyle name="Normal 2 48 3 2 3" xfId="6019" xr:uid="{00000000-0005-0000-0000-00008E170000}"/>
    <cellStyle name="Normal 2 48 3 3" xfId="6020" xr:uid="{00000000-0005-0000-0000-00008F170000}"/>
    <cellStyle name="Normal 2 48 3 4" xfId="6021" xr:uid="{00000000-0005-0000-0000-000090170000}"/>
    <cellStyle name="Normal 2 48 4" xfId="6022" xr:uid="{00000000-0005-0000-0000-000091170000}"/>
    <cellStyle name="Normal 2 48 4 2" xfId="6023" xr:uid="{00000000-0005-0000-0000-000092170000}"/>
    <cellStyle name="Normal 2 48 4 2 2" xfId="6024" xr:uid="{00000000-0005-0000-0000-000093170000}"/>
    <cellStyle name="Normal 2 48 4 2 3" xfId="6025" xr:uid="{00000000-0005-0000-0000-000094170000}"/>
    <cellStyle name="Normal 2 48 4 3" xfId="6026" xr:uid="{00000000-0005-0000-0000-000095170000}"/>
    <cellStyle name="Normal 2 48 4 4" xfId="6027" xr:uid="{00000000-0005-0000-0000-000096170000}"/>
    <cellStyle name="Normal 2 48 5" xfId="6028" xr:uid="{00000000-0005-0000-0000-000097170000}"/>
    <cellStyle name="Normal 2 48 5 2" xfId="6029" xr:uid="{00000000-0005-0000-0000-000098170000}"/>
    <cellStyle name="Normal 2 48 5 3" xfId="6030" xr:uid="{00000000-0005-0000-0000-000099170000}"/>
    <cellStyle name="Normal 2 48 6" xfId="6031" xr:uid="{00000000-0005-0000-0000-00009A170000}"/>
    <cellStyle name="Normal 2 48 7" xfId="6032" xr:uid="{00000000-0005-0000-0000-00009B170000}"/>
    <cellStyle name="Normal 2 48 8" xfId="6033" xr:uid="{00000000-0005-0000-0000-00009C170000}"/>
    <cellStyle name="Normal 2 49" xfId="6034" xr:uid="{00000000-0005-0000-0000-00009D170000}"/>
    <cellStyle name="Normal 2 49 2" xfId="6035" xr:uid="{00000000-0005-0000-0000-00009E170000}"/>
    <cellStyle name="Normal 2 49 2 2" xfId="6036" xr:uid="{00000000-0005-0000-0000-00009F170000}"/>
    <cellStyle name="Normal 2 49 2 2 2" xfId="6037" xr:uid="{00000000-0005-0000-0000-0000A0170000}"/>
    <cellStyle name="Normal 2 49 2 2 3" xfId="6038" xr:uid="{00000000-0005-0000-0000-0000A1170000}"/>
    <cellStyle name="Normal 2 49 2 3" xfId="6039" xr:uid="{00000000-0005-0000-0000-0000A2170000}"/>
    <cellStyle name="Normal 2 49 2 4" xfId="6040" xr:uid="{00000000-0005-0000-0000-0000A3170000}"/>
    <cellStyle name="Normal 2 49 3" xfId="6041" xr:uid="{00000000-0005-0000-0000-0000A4170000}"/>
    <cellStyle name="Normal 2 49 3 2" xfId="6042" xr:uid="{00000000-0005-0000-0000-0000A5170000}"/>
    <cellStyle name="Normal 2 49 3 2 2" xfId="6043" xr:uid="{00000000-0005-0000-0000-0000A6170000}"/>
    <cellStyle name="Normal 2 49 3 2 3" xfId="6044" xr:uid="{00000000-0005-0000-0000-0000A7170000}"/>
    <cellStyle name="Normal 2 49 3 3" xfId="6045" xr:uid="{00000000-0005-0000-0000-0000A8170000}"/>
    <cellStyle name="Normal 2 49 3 4" xfId="6046" xr:uid="{00000000-0005-0000-0000-0000A9170000}"/>
    <cellStyle name="Normal 2 49 4" xfId="6047" xr:uid="{00000000-0005-0000-0000-0000AA170000}"/>
    <cellStyle name="Normal 2 49 4 2" xfId="6048" xr:uid="{00000000-0005-0000-0000-0000AB170000}"/>
    <cellStyle name="Normal 2 49 4 3" xfId="6049" xr:uid="{00000000-0005-0000-0000-0000AC170000}"/>
    <cellStyle name="Normal 2 49 5" xfId="6050" xr:uid="{00000000-0005-0000-0000-0000AD170000}"/>
    <cellStyle name="Normal 2 49 6" xfId="6051" xr:uid="{00000000-0005-0000-0000-0000AE170000}"/>
    <cellStyle name="Normal 2 49 7" xfId="6052" xr:uid="{00000000-0005-0000-0000-0000AF170000}"/>
    <cellStyle name="Normal 2 5" xfId="6053" xr:uid="{00000000-0005-0000-0000-0000B0170000}"/>
    <cellStyle name="Normal 2 5 10" xfId="6054" xr:uid="{00000000-0005-0000-0000-0000B1170000}"/>
    <cellStyle name="Normal 2 5 10 2" xfId="6055" xr:uid="{00000000-0005-0000-0000-0000B2170000}"/>
    <cellStyle name="Normal 2 5 10 3" xfId="6056" xr:uid="{00000000-0005-0000-0000-0000B3170000}"/>
    <cellStyle name="Normal 2 5 10 4" xfId="6057" xr:uid="{00000000-0005-0000-0000-0000B4170000}"/>
    <cellStyle name="Normal 2 5 11" xfId="6058" xr:uid="{00000000-0005-0000-0000-0000B5170000}"/>
    <cellStyle name="Normal 2 5 11 2" xfId="6059" xr:uid="{00000000-0005-0000-0000-0000B6170000}"/>
    <cellStyle name="Normal 2 5 11 3" xfId="6060" xr:uid="{00000000-0005-0000-0000-0000B7170000}"/>
    <cellStyle name="Normal 2 5 11 4" xfId="6061" xr:uid="{00000000-0005-0000-0000-0000B8170000}"/>
    <cellStyle name="Normal 2 5 12" xfId="6062" xr:uid="{00000000-0005-0000-0000-0000B9170000}"/>
    <cellStyle name="Normal 2 5 12 2" xfId="6063" xr:uid="{00000000-0005-0000-0000-0000BA170000}"/>
    <cellStyle name="Normal 2 5 12 3" xfId="6064" xr:uid="{00000000-0005-0000-0000-0000BB170000}"/>
    <cellStyle name="Normal 2 5 12 4" xfId="6065" xr:uid="{00000000-0005-0000-0000-0000BC170000}"/>
    <cellStyle name="Normal 2 5 13" xfId="6066" xr:uid="{00000000-0005-0000-0000-0000BD170000}"/>
    <cellStyle name="Normal 2 5 13 2" xfId="6067" xr:uid="{00000000-0005-0000-0000-0000BE170000}"/>
    <cellStyle name="Normal 2 5 13 3" xfId="6068" xr:uid="{00000000-0005-0000-0000-0000BF170000}"/>
    <cellStyle name="Normal 2 5 13 4" xfId="6069" xr:uid="{00000000-0005-0000-0000-0000C0170000}"/>
    <cellStyle name="Normal 2 5 14" xfId="6070" xr:uid="{00000000-0005-0000-0000-0000C1170000}"/>
    <cellStyle name="Normal 2 5 14 2" xfId="6071" xr:uid="{00000000-0005-0000-0000-0000C2170000}"/>
    <cellStyle name="Normal 2 5 14 3" xfId="6072" xr:uid="{00000000-0005-0000-0000-0000C3170000}"/>
    <cellStyle name="Normal 2 5 14 4" xfId="6073" xr:uid="{00000000-0005-0000-0000-0000C4170000}"/>
    <cellStyle name="Normal 2 5 15" xfId="6074" xr:uid="{00000000-0005-0000-0000-0000C5170000}"/>
    <cellStyle name="Normal 2 5 15 2" xfId="6075" xr:uid="{00000000-0005-0000-0000-0000C6170000}"/>
    <cellStyle name="Normal 2 5 15 3" xfId="6076" xr:uid="{00000000-0005-0000-0000-0000C7170000}"/>
    <cellStyle name="Normal 2 5 15 4" xfId="6077" xr:uid="{00000000-0005-0000-0000-0000C8170000}"/>
    <cellStyle name="Normal 2 5 16" xfId="6078" xr:uid="{00000000-0005-0000-0000-0000C9170000}"/>
    <cellStyle name="Normal 2 5 16 2" xfId="6079" xr:uid="{00000000-0005-0000-0000-0000CA170000}"/>
    <cellStyle name="Normal 2 5 16 3" xfId="6080" xr:uid="{00000000-0005-0000-0000-0000CB170000}"/>
    <cellStyle name="Normal 2 5 16 4" xfId="6081" xr:uid="{00000000-0005-0000-0000-0000CC170000}"/>
    <cellStyle name="Normal 2 5 17" xfId="6082" xr:uid="{00000000-0005-0000-0000-0000CD170000}"/>
    <cellStyle name="Normal 2 5 17 2" xfId="6083" xr:uid="{00000000-0005-0000-0000-0000CE170000}"/>
    <cellStyle name="Normal 2 5 17 3" xfId="6084" xr:uid="{00000000-0005-0000-0000-0000CF170000}"/>
    <cellStyle name="Normal 2 5 17 4" xfId="6085" xr:uid="{00000000-0005-0000-0000-0000D0170000}"/>
    <cellStyle name="Normal 2 5 18" xfId="6086" xr:uid="{00000000-0005-0000-0000-0000D1170000}"/>
    <cellStyle name="Normal 2 5 19" xfId="6087" xr:uid="{00000000-0005-0000-0000-0000D2170000}"/>
    <cellStyle name="Normal 2 5 2" xfId="6088" xr:uid="{00000000-0005-0000-0000-0000D3170000}"/>
    <cellStyle name="Normal 2 5 2 10" xfId="6089" xr:uid="{00000000-0005-0000-0000-0000D4170000}"/>
    <cellStyle name="Normal 2 5 2 11" xfId="6090" xr:uid="{00000000-0005-0000-0000-0000D5170000}"/>
    <cellStyle name="Normal 2 5 2 12" xfId="6091" xr:uid="{00000000-0005-0000-0000-0000D6170000}"/>
    <cellStyle name="Normal 2 5 2 2" xfId="6092" xr:uid="{00000000-0005-0000-0000-0000D7170000}"/>
    <cellStyle name="Normal 2 5 2 2 2" xfId="6093" xr:uid="{00000000-0005-0000-0000-0000D8170000}"/>
    <cellStyle name="Normal 2 5 2 2 2 2" xfId="6094" xr:uid="{00000000-0005-0000-0000-0000D9170000}"/>
    <cellStyle name="Normal 2 5 2 2 2 3" xfId="6095" xr:uid="{00000000-0005-0000-0000-0000DA170000}"/>
    <cellStyle name="Normal 2 5 2 2 2 4" xfId="6096" xr:uid="{00000000-0005-0000-0000-0000DB170000}"/>
    <cellStyle name="Normal 2 5 2 2 3" xfId="6097" xr:uid="{00000000-0005-0000-0000-0000DC170000}"/>
    <cellStyle name="Normal 2 5 2 2 3 2" xfId="6098" xr:uid="{00000000-0005-0000-0000-0000DD170000}"/>
    <cellStyle name="Normal 2 5 2 2 3 2 2" xfId="6099" xr:uid="{00000000-0005-0000-0000-0000DE170000}"/>
    <cellStyle name="Normal 2 5 2 2 3 2 2 2" xfId="6100" xr:uid="{00000000-0005-0000-0000-0000DF170000}"/>
    <cellStyle name="Normal 2 5 2 2 3 2 2 3" xfId="6101" xr:uid="{00000000-0005-0000-0000-0000E0170000}"/>
    <cellStyle name="Normal 2 5 2 2 3 2 3" xfId="6102" xr:uid="{00000000-0005-0000-0000-0000E1170000}"/>
    <cellStyle name="Normal 2 5 2 2 3 2 4" xfId="6103" xr:uid="{00000000-0005-0000-0000-0000E2170000}"/>
    <cellStyle name="Normal 2 5 2 2 3 3" xfId="6104" xr:uid="{00000000-0005-0000-0000-0000E3170000}"/>
    <cellStyle name="Normal 2 5 2 2 3 3 2" xfId="6105" xr:uid="{00000000-0005-0000-0000-0000E4170000}"/>
    <cellStyle name="Normal 2 5 2 2 3 3 2 2" xfId="6106" xr:uid="{00000000-0005-0000-0000-0000E5170000}"/>
    <cellStyle name="Normal 2 5 2 2 3 3 2 3" xfId="6107" xr:uid="{00000000-0005-0000-0000-0000E6170000}"/>
    <cellStyle name="Normal 2 5 2 2 3 3 3" xfId="6108" xr:uid="{00000000-0005-0000-0000-0000E7170000}"/>
    <cellStyle name="Normal 2 5 2 2 3 3 4" xfId="6109" xr:uid="{00000000-0005-0000-0000-0000E8170000}"/>
    <cellStyle name="Normal 2 5 2 2 3 4" xfId="6110" xr:uid="{00000000-0005-0000-0000-0000E9170000}"/>
    <cellStyle name="Normal 2 5 2 2 3 4 2" xfId="6111" xr:uid="{00000000-0005-0000-0000-0000EA170000}"/>
    <cellStyle name="Normal 2 5 2 2 3 4 3" xfId="6112" xr:uid="{00000000-0005-0000-0000-0000EB170000}"/>
    <cellStyle name="Normal 2 5 2 2 3 5" xfId="6113" xr:uid="{00000000-0005-0000-0000-0000EC170000}"/>
    <cellStyle name="Normal 2 5 2 2 3 6" xfId="6114" xr:uid="{00000000-0005-0000-0000-0000ED170000}"/>
    <cellStyle name="Normal 2 5 2 2 3 7" xfId="6115" xr:uid="{00000000-0005-0000-0000-0000EE170000}"/>
    <cellStyle name="Normal 2 5 2 2 4" xfId="6116" xr:uid="{00000000-0005-0000-0000-0000EF170000}"/>
    <cellStyle name="Normal 2 5 2 2 4 2" xfId="6117" xr:uid="{00000000-0005-0000-0000-0000F0170000}"/>
    <cellStyle name="Normal 2 5 2 2 4 2 2" xfId="6118" xr:uid="{00000000-0005-0000-0000-0000F1170000}"/>
    <cellStyle name="Normal 2 5 2 2 4 2 3" xfId="6119" xr:uid="{00000000-0005-0000-0000-0000F2170000}"/>
    <cellStyle name="Normal 2 5 2 2 4 3" xfId="6120" xr:uid="{00000000-0005-0000-0000-0000F3170000}"/>
    <cellStyle name="Normal 2 5 2 2 4 4" xfId="6121" xr:uid="{00000000-0005-0000-0000-0000F4170000}"/>
    <cellStyle name="Normal 2 5 2 2 5" xfId="6122" xr:uid="{00000000-0005-0000-0000-0000F5170000}"/>
    <cellStyle name="Normal 2 5 2 2 5 2" xfId="6123" xr:uid="{00000000-0005-0000-0000-0000F6170000}"/>
    <cellStyle name="Normal 2 5 2 2 5 2 2" xfId="6124" xr:uid="{00000000-0005-0000-0000-0000F7170000}"/>
    <cellStyle name="Normal 2 5 2 2 5 2 3" xfId="6125" xr:uid="{00000000-0005-0000-0000-0000F8170000}"/>
    <cellStyle name="Normal 2 5 2 2 5 3" xfId="6126" xr:uid="{00000000-0005-0000-0000-0000F9170000}"/>
    <cellStyle name="Normal 2 5 2 2 5 4" xfId="6127" xr:uid="{00000000-0005-0000-0000-0000FA170000}"/>
    <cellStyle name="Normal 2 5 2 2 6" xfId="6128" xr:uid="{00000000-0005-0000-0000-0000FB170000}"/>
    <cellStyle name="Normal 2 5 2 2 6 2" xfId="6129" xr:uid="{00000000-0005-0000-0000-0000FC170000}"/>
    <cellStyle name="Normal 2 5 2 2 6 3" xfId="6130" xr:uid="{00000000-0005-0000-0000-0000FD170000}"/>
    <cellStyle name="Normal 2 5 2 2 7" xfId="6131" xr:uid="{00000000-0005-0000-0000-0000FE170000}"/>
    <cellStyle name="Normal 2 5 2 2 8" xfId="6132" xr:uid="{00000000-0005-0000-0000-0000FF170000}"/>
    <cellStyle name="Normal 2 5 2 2 9" xfId="6133" xr:uid="{00000000-0005-0000-0000-000000180000}"/>
    <cellStyle name="Normal 2 5 2 3" xfId="6134" xr:uid="{00000000-0005-0000-0000-000001180000}"/>
    <cellStyle name="Normal 2 5 2 3 2" xfId="6135" xr:uid="{00000000-0005-0000-0000-000002180000}"/>
    <cellStyle name="Normal 2 5 2 3 2 2" xfId="6136" xr:uid="{00000000-0005-0000-0000-000003180000}"/>
    <cellStyle name="Normal 2 5 2 3 2 2 2" xfId="6137" xr:uid="{00000000-0005-0000-0000-000004180000}"/>
    <cellStyle name="Normal 2 5 2 3 2 2 2 2" xfId="6138" xr:uid="{00000000-0005-0000-0000-000005180000}"/>
    <cellStyle name="Normal 2 5 2 3 2 2 2 3" xfId="6139" xr:uid="{00000000-0005-0000-0000-000006180000}"/>
    <cellStyle name="Normal 2 5 2 3 2 2 3" xfId="6140" xr:uid="{00000000-0005-0000-0000-000007180000}"/>
    <cellStyle name="Normal 2 5 2 3 2 2 4" xfId="6141" xr:uid="{00000000-0005-0000-0000-000008180000}"/>
    <cellStyle name="Normal 2 5 2 3 2 3" xfId="6142" xr:uid="{00000000-0005-0000-0000-000009180000}"/>
    <cellStyle name="Normal 2 5 2 3 2 3 2" xfId="6143" xr:uid="{00000000-0005-0000-0000-00000A180000}"/>
    <cellStyle name="Normal 2 5 2 3 2 3 2 2" xfId="6144" xr:uid="{00000000-0005-0000-0000-00000B180000}"/>
    <cellStyle name="Normal 2 5 2 3 2 3 2 3" xfId="6145" xr:uid="{00000000-0005-0000-0000-00000C180000}"/>
    <cellStyle name="Normal 2 5 2 3 2 3 3" xfId="6146" xr:uid="{00000000-0005-0000-0000-00000D180000}"/>
    <cellStyle name="Normal 2 5 2 3 2 3 4" xfId="6147" xr:uid="{00000000-0005-0000-0000-00000E180000}"/>
    <cellStyle name="Normal 2 5 2 3 2 4" xfId="6148" xr:uid="{00000000-0005-0000-0000-00000F180000}"/>
    <cellStyle name="Normal 2 5 2 3 2 4 2" xfId="6149" xr:uid="{00000000-0005-0000-0000-000010180000}"/>
    <cellStyle name="Normal 2 5 2 3 2 4 3" xfId="6150" xr:uid="{00000000-0005-0000-0000-000011180000}"/>
    <cellStyle name="Normal 2 5 2 3 2 5" xfId="6151" xr:uid="{00000000-0005-0000-0000-000012180000}"/>
    <cellStyle name="Normal 2 5 2 3 2 6" xfId="6152" xr:uid="{00000000-0005-0000-0000-000013180000}"/>
    <cellStyle name="Normal 2 5 2 3 2 7" xfId="6153" xr:uid="{00000000-0005-0000-0000-000014180000}"/>
    <cellStyle name="Normal 2 5 2 3 3" xfId="6154" xr:uid="{00000000-0005-0000-0000-000015180000}"/>
    <cellStyle name="Normal 2 5 2 3 3 2" xfId="6155" xr:uid="{00000000-0005-0000-0000-000016180000}"/>
    <cellStyle name="Normal 2 5 2 3 3 2 2" xfId="6156" xr:uid="{00000000-0005-0000-0000-000017180000}"/>
    <cellStyle name="Normal 2 5 2 3 3 2 3" xfId="6157" xr:uid="{00000000-0005-0000-0000-000018180000}"/>
    <cellStyle name="Normal 2 5 2 3 3 3" xfId="6158" xr:uid="{00000000-0005-0000-0000-000019180000}"/>
    <cellStyle name="Normal 2 5 2 3 3 4" xfId="6159" xr:uid="{00000000-0005-0000-0000-00001A180000}"/>
    <cellStyle name="Normal 2 5 2 3 4" xfId="6160" xr:uid="{00000000-0005-0000-0000-00001B180000}"/>
    <cellStyle name="Normal 2 5 2 3 4 2" xfId="6161" xr:uid="{00000000-0005-0000-0000-00001C180000}"/>
    <cellStyle name="Normal 2 5 2 3 4 2 2" xfId="6162" xr:uid="{00000000-0005-0000-0000-00001D180000}"/>
    <cellStyle name="Normal 2 5 2 3 4 2 3" xfId="6163" xr:uid="{00000000-0005-0000-0000-00001E180000}"/>
    <cellStyle name="Normal 2 5 2 3 4 3" xfId="6164" xr:uid="{00000000-0005-0000-0000-00001F180000}"/>
    <cellStyle name="Normal 2 5 2 3 4 4" xfId="6165" xr:uid="{00000000-0005-0000-0000-000020180000}"/>
    <cellStyle name="Normal 2 5 2 3 5" xfId="6166" xr:uid="{00000000-0005-0000-0000-000021180000}"/>
    <cellStyle name="Normal 2 5 2 3 5 2" xfId="6167" xr:uid="{00000000-0005-0000-0000-000022180000}"/>
    <cellStyle name="Normal 2 5 2 3 5 3" xfId="6168" xr:uid="{00000000-0005-0000-0000-000023180000}"/>
    <cellStyle name="Normal 2 5 2 3 6" xfId="6169" xr:uid="{00000000-0005-0000-0000-000024180000}"/>
    <cellStyle name="Normal 2 5 2 3 7" xfId="6170" xr:uid="{00000000-0005-0000-0000-000025180000}"/>
    <cellStyle name="Normal 2 5 2 3 8" xfId="6171" xr:uid="{00000000-0005-0000-0000-000026180000}"/>
    <cellStyle name="Normal 2 5 2 4" xfId="6172" xr:uid="{00000000-0005-0000-0000-000027180000}"/>
    <cellStyle name="Normal 2 5 2 4 2" xfId="6173" xr:uid="{00000000-0005-0000-0000-000028180000}"/>
    <cellStyle name="Normal 2 5 2 4 2 2" xfId="6174" xr:uid="{00000000-0005-0000-0000-000029180000}"/>
    <cellStyle name="Normal 2 5 2 4 2 2 2" xfId="6175" xr:uid="{00000000-0005-0000-0000-00002A180000}"/>
    <cellStyle name="Normal 2 5 2 4 2 2 2 2" xfId="6176" xr:uid="{00000000-0005-0000-0000-00002B180000}"/>
    <cellStyle name="Normal 2 5 2 4 2 2 2 3" xfId="6177" xr:uid="{00000000-0005-0000-0000-00002C180000}"/>
    <cellStyle name="Normal 2 5 2 4 2 2 3" xfId="6178" xr:uid="{00000000-0005-0000-0000-00002D180000}"/>
    <cellStyle name="Normal 2 5 2 4 2 2 4" xfId="6179" xr:uid="{00000000-0005-0000-0000-00002E180000}"/>
    <cellStyle name="Normal 2 5 2 4 2 3" xfId="6180" xr:uid="{00000000-0005-0000-0000-00002F180000}"/>
    <cellStyle name="Normal 2 5 2 4 2 3 2" xfId="6181" xr:uid="{00000000-0005-0000-0000-000030180000}"/>
    <cellStyle name="Normal 2 5 2 4 2 3 2 2" xfId="6182" xr:uid="{00000000-0005-0000-0000-000031180000}"/>
    <cellStyle name="Normal 2 5 2 4 2 3 2 3" xfId="6183" xr:uid="{00000000-0005-0000-0000-000032180000}"/>
    <cellStyle name="Normal 2 5 2 4 2 3 3" xfId="6184" xr:uid="{00000000-0005-0000-0000-000033180000}"/>
    <cellStyle name="Normal 2 5 2 4 2 3 4" xfId="6185" xr:uid="{00000000-0005-0000-0000-000034180000}"/>
    <cellStyle name="Normal 2 5 2 4 2 4" xfId="6186" xr:uid="{00000000-0005-0000-0000-000035180000}"/>
    <cellStyle name="Normal 2 5 2 4 2 4 2" xfId="6187" xr:uid="{00000000-0005-0000-0000-000036180000}"/>
    <cellStyle name="Normal 2 5 2 4 2 4 3" xfId="6188" xr:uid="{00000000-0005-0000-0000-000037180000}"/>
    <cellStyle name="Normal 2 5 2 4 2 5" xfId="6189" xr:uid="{00000000-0005-0000-0000-000038180000}"/>
    <cellStyle name="Normal 2 5 2 4 2 6" xfId="6190" xr:uid="{00000000-0005-0000-0000-000039180000}"/>
    <cellStyle name="Normal 2 5 2 4 2 7" xfId="6191" xr:uid="{00000000-0005-0000-0000-00003A180000}"/>
    <cellStyle name="Normal 2 5 2 4 3" xfId="6192" xr:uid="{00000000-0005-0000-0000-00003B180000}"/>
    <cellStyle name="Normal 2 5 2 4 3 2" xfId="6193" xr:uid="{00000000-0005-0000-0000-00003C180000}"/>
    <cellStyle name="Normal 2 5 2 4 3 2 2" xfId="6194" xr:uid="{00000000-0005-0000-0000-00003D180000}"/>
    <cellStyle name="Normal 2 5 2 4 3 2 3" xfId="6195" xr:uid="{00000000-0005-0000-0000-00003E180000}"/>
    <cellStyle name="Normal 2 5 2 4 3 3" xfId="6196" xr:uid="{00000000-0005-0000-0000-00003F180000}"/>
    <cellStyle name="Normal 2 5 2 4 3 4" xfId="6197" xr:uid="{00000000-0005-0000-0000-000040180000}"/>
    <cellStyle name="Normal 2 5 2 4 4" xfId="6198" xr:uid="{00000000-0005-0000-0000-000041180000}"/>
    <cellStyle name="Normal 2 5 2 4 4 2" xfId="6199" xr:uid="{00000000-0005-0000-0000-000042180000}"/>
    <cellStyle name="Normal 2 5 2 4 4 2 2" xfId="6200" xr:uid="{00000000-0005-0000-0000-000043180000}"/>
    <cellStyle name="Normal 2 5 2 4 4 2 3" xfId="6201" xr:uid="{00000000-0005-0000-0000-000044180000}"/>
    <cellStyle name="Normal 2 5 2 4 4 3" xfId="6202" xr:uid="{00000000-0005-0000-0000-000045180000}"/>
    <cellStyle name="Normal 2 5 2 4 4 4" xfId="6203" xr:uid="{00000000-0005-0000-0000-000046180000}"/>
    <cellStyle name="Normal 2 5 2 4 5" xfId="6204" xr:uid="{00000000-0005-0000-0000-000047180000}"/>
    <cellStyle name="Normal 2 5 2 4 5 2" xfId="6205" xr:uid="{00000000-0005-0000-0000-000048180000}"/>
    <cellStyle name="Normal 2 5 2 4 5 3" xfId="6206" xr:uid="{00000000-0005-0000-0000-000049180000}"/>
    <cellStyle name="Normal 2 5 2 4 6" xfId="6207" xr:uid="{00000000-0005-0000-0000-00004A180000}"/>
    <cellStyle name="Normal 2 5 2 4 7" xfId="6208" xr:uid="{00000000-0005-0000-0000-00004B180000}"/>
    <cellStyle name="Normal 2 5 2 4 8" xfId="6209" xr:uid="{00000000-0005-0000-0000-00004C180000}"/>
    <cellStyle name="Normal 2 5 2 5" xfId="6210" xr:uid="{00000000-0005-0000-0000-00004D180000}"/>
    <cellStyle name="Normal 2 5 2 5 2" xfId="6211" xr:uid="{00000000-0005-0000-0000-00004E180000}"/>
    <cellStyle name="Normal 2 5 2 5 2 2" xfId="6212" xr:uid="{00000000-0005-0000-0000-00004F180000}"/>
    <cellStyle name="Normal 2 5 2 5 2 2 2" xfId="6213" xr:uid="{00000000-0005-0000-0000-000050180000}"/>
    <cellStyle name="Normal 2 5 2 5 2 2 2 2" xfId="6214" xr:uid="{00000000-0005-0000-0000-000051180000}"/>
    <cellStyle name="Normal 2 5 2 5 2 2 2 3" xfId="6215" xr:uid="{00000000-0005-0000-0000-000052180000}"/>
    <cellStyle name="Normal 2 5 2 5 2 2 3" xfId="6216" xr:uid="{00000000-0005-0000-0000-000053180000}"/>
    <cellStyle name="Normal 2 5 2 5 2 2 4" xfId="6217" xr:uid="{00000000-0005-0000-0000-000054180000}"/>
    <cellStyle name="Normal 2 5 2 5 2 3" xfId="6218" xr:uid="{00000000-0005-0000-0000-000055180000}"/>
    <cellStyle name="Normal 2 5 2 5 2 3 2" xfId="6219" xr:uid="{00000000-0005-0000-0000-000056180000}"/>
    <cellStyle name="Normal 2 5 2 5 2 3 2 2" xfId="6220" xr:uid="{00000000-0005-0000-0000-000057180000}"/>
    <cellStyle name="Normal 2 5 2 5 2 3 2 3" xfId="6221" xr:uid="{00000000-0005-0000-0000-000058180000}"/>
    <cellStyle name="Normal 2 5 2 5 2 3 3" xfId="6222" xr:uid="{00000000-0005-0000-0000-000059180000}"/>
    <cellStyle name="Normal 2 5 2 5 2 3 4" xfId="6223" xr:uid="{00000000-0005-0000-0000-00005A180000}"/>
    <cellStyle name="Normal 2 5 2 5 2 4" xfId="6224" xr:uid="{00000000-0005-0000-0000-00005B180000}"/>
    <cellStyle name="Normal 2 5 2 5 2 4 2" xfId="6225" xr:uid="{00000000-0005-0000-0000-00005C180000}"/>
    <cellStyle name="Normal 2 5 2 5 2 4 3" xfId="6226" xr:uid="{00000000-0005-0000-0000-00005D180000}"/>
    <cellStyle name="Normal 2 5 2 5 2 5" xfId="6227" xr:uid="{00000000-0005-0000-0000-00005E180000}"/>
    <cellStyle name="Normal 2 5 2 5 2 6" xfId="6228" xr:uid="{00000000-0005-0000-0000-00005F180000}"/>
    <cellStyle name="Normal 2 5 2 5 2 7" xfId="6229" xr:uid="{00000000-0005-0000-0000-000060180000}"/>
    <cellStyle name="Normal 2 5 2 5 3" xfId="6230" xr:uid="{00000000-0005-0000-0000-000061180000}"/>
    <cellStyle name="Normal 2 5 2 5 3 2" xfId="6231" xr:uid="{00000000-0005-0000-0000-000062180000}"/>
    <cellStyle name="Normal 2 5 2 5 3 2 2" xfId="6232" xr:uid="{00000000-0005-0000-0000-000063180000}"/>
    <cellStyle name="Normal 2 5 2 5 3 2 3" xfId="6233" xr:uid="{00000000-0005-0000-0000-000064180000}"/>
    <cellStyle name="Normal 2 5 2 5 3 3" xfId="6234" xr:uid="{00000000-0005-0000-0000-000065180000}"/>
    <cellStyle name="Normal 2 5 2 5 3 4" xfId="6235" xr:uid="{00000000-0005-0000-0000-000066180000}"/>
    <cellStyle name="Normal 2 5 2 5 4" xfId="6236" xr:uid="{00000000-0005-0000-0000-000067180000}"/>
    <cellStyle name="Normal 2 5 2 5 4 2" xfId="6237" xr:uid="{00000000-0005-0000-0000-000068180000}"/>
    <cellStyle name="Normal 2 5 2 5 4 2 2" xfId="6238" xr:uid="{00000000-0005-0000-0000-000069180000}"/>
    <cellStyle name="Normal 2 5 2 5 4 2 3" xfId="6239" xr:uid="{00000000-0005-0000-0000-00006A180000}"/>
    <cellStyle name="Normal 2 5 2 5 4 3" xfId="6240" xr:uid="{00000000-0005-0000-0000-00006B180000}"/>
    <cellStyle name="Normal 2 5 2 5 4 4" xfId="6241" xr:uid="{00000000-0005-0000-0000-00006C180000}"/>
    <cellStyle name="Normal 2 5 2 5 5" xfId="6242" xr:uid="{00000000-0005-0000-0000-00006D180000}"/>
    <cellStyle name="Normal 2 5 2 5 5 2" xfId="6243" xr:uid="{00000000-0005-0000-0000-00006E180000}"/>
    <cellStyle name="Normal 2 5 2 5 5 3" xfId="6244" xr:uid="{00000000-0005-0000-0000-00006F180000}"/>
    <cellStyle name="Normal 2 5 2 5 6" xfId="6245" xr:uid="{00000000-0005-0000-0000-000070180000}"/>
    <cellStyle name="Normal 2 5 2 5 7" xfId="6246" xr:uid="{00000000-0005-0000-0000-000071180000}"/>
    <cellStyle name="Normal 2 5 2 5 8" xfId="6247" xr:uid="{00000000-0005-0000-0000-000072180000}"/>
    <cellStyle name="Normal 2 5 2 6" xfId="6248" xr:uid="{00000000-0005-0000-0000-000073180000}"/>
    <cellStyle name="Normal 2 5 2 6 2" xfId="6249" xr:uid="{00000000-0005-0000-0000-000074180000}"/>
    <cellStyle name="Normal 2 5 2 6 2 2" xfId="6250" xr:uid="{00000000-0005-0000-0000-000075180000}"/>
    <cellStyle name="Normal 2 5 2 6 2 2 2" xfId="6251" xr:uid="{00000000-0005-0000-0000-000076180000}"/>
    <cellStyle name="Normal 2 5 2 6 2 2 3" xfId="6252" xr:uid="{00000000-0005-0000-0000-000077180000}"/>
    <cellStyle name="Normal 2 5 2 6 2 3" xfId="6253" xr:uid="{00000000-0005-0000-0000-000078180000}"/>
    <cellStyle name="Normal 2 5 2 6 2 4" xfId="6254" xr:uid="{00000000-0005-0000-0000-000079180000}"/>
    <cellStyle name="Normal 2 5 2 6 3" xfId="6255" xr:uid="{00000000-0005-0000-0000-00007A180000}"/>
    <cellStyle name="Normal 2 5 2 6 3 2" xfId="6256" xr:uid="{00000000-0005-0000-0000-00007B180000}"/>
    <cellStyle name="Normal 2 5 2 6 3 2 2" xfId="6257" xr:uid="{00000000-0005-0000-0000-00007C180000}"/>
    <cellStyle name="Normal 2 5 2 6 3 2 3" xfId="6258" xr:uid="{00000000-0005-0000-0000-00007D180000}"/>
    <cellStyle name="Normal 2 5 2 6 3 3" xfId="6259" xr:uid="{00000000-0005-0000-0000-00007E180000}"/>
    <cellStyle name="Normal 2 5 2 6 3 4" xfId="6260" xr:uid="{00000000-0005-0000-0000-00007F180000}"/>
    <cellStyle name="Normal 2 5 2 6 4" xfId="6261" xr:uid="{00000000-0005-0000-0000-000080180000}"/>
    <cellStyle name="Normal 2 5 2 6 4 2" xfId="6262" xr:uid="{00000000-0005-0000-0000-000081180000}"/>
    <cellStyle name="Normal 2 5 2 6 4 3" xfId="6263" xr:uid="{00000000-0005-0000-0000-000082180000}"/>
    <cellStyle name="Normal 2 5 2 6 5" xfId="6264" xr:uid="{00000000-0005-0000-0000-000083180000}"/>
    <cellStyle name="Normal 2 5 2 6 6" xfId="6265" xr:uid="{00000000-0005-0000-0000-000084180000}"/>
    <cellStyle name="Normal 2 5 2 6 7" xfId="6266" xr:uid="{00000000-0005-0000-0000-000085180000}"/>
    <cellStyle name="Normal 2 5 2 7" xfId="6267" xr:uid="{00000000-0005-0000-0000-000086180000}"/>
    <cellStyle name="Normal 2 5 2 7 2" xfId="6268" xr:uid="{00000000-0005-0000-0000-000087180000}"/>
    <cellStyle name="Normal 2 5 2 7 2 2" xfId="6269" xr:uid="{00000000-0005-0000-0000-000088180000}"/>
    <cellStyle name="Normal 2 5 2 7 2 3" xfId="6270" xr:uid="{00000000-0005-0000-0000-000089180000}"/>
    <cellStyle name="Normal 2 5 2 7 3" xfId="6271" xr:uid="{00000000-0005-0000-0000-00008A180000}"/>
    <cellStyle name="Normal 2 5 2 7 4" xfId="6272" xr:uid="{00000000-0005-0000-0000-00008B180000}"/>
    <cellStyle name="Normal 2 5 2 8" xfId="6273" xr:uid="{00000000-0005-0000-0000-00008C180000}"/>
    <cellStyle name="Normal 2 5 2 8 2" xfId="6274" xr:uid="{00000000-0005-0000-0000-00008D180000}"/>
    <cellStyle name="Normal 2 5 2 8 2 2" xfId="6275" xr:uid="{00000000-0005-0000-0000-00008E180000}"/>
    <cellStyle name="Normal 2 5 2 8 2 3" xfId="6276" xr:uid="{00000000-0005-0000-0000-00008F180000}"/>
    <cellStyle name="Normal 2 5 2 8 3" xfId="6277" xr:uid="{00000000-0005-0000-0000-000090180000}"/>
    <cellStyle name="Normal 2 5 2 8 4" xfId="6278" xr:uid="{00000000-0005-0000-0000-000091180000}"/>
    <cellStyle name="Normal 2 5 2 9" xfId="6279" xr:uid="{00000000-0005-0000-0000-000092180000}"/>
    <cellStyle name="Normal 2 5 2 9 2" xfId="6280" xr:uid="{00000000-0005-0000-0000-000093180000}"/>
    <cellStyle name="Normal 2 5 2 9 3" xfId="6281" xr:uid="{00000000-0005-0000-0000-000094180000}"/>
    <cellStyle name="Normal 2 5 20" xfId="6282" xr:uid="{00000000-0005-0000-0000-000095180000}"/>
    <cellStyle name="Normal 2 5 21" xfId="6283" xr:uid="{00000000-0005-0000-0000-000096180000}"/>
    <cellStyle name="Normal 2 5 3" xfId="6284" xr:uid="{00000000-0005-0000-0000-000097180000}"/>
    <cellStyle name="Normal 2 5 3 2" xfId="6285" xr:uid="{00000000-0005-0000-0000-000098180000}"/>
    <cellStyle name="Normal 2 5 3 3" xfId="6286" xr:uid="{00000000-0005-0000-0000-000099180000}"/>
    <cellStyle name="Normal 2 5 3 4" xfId="6287" xr:uid="{00000000-0005-0000-0000-00009A180000}"/>
    <cellStyle name="Normal 2 5 4" xfId="6288" xr:uid="{00000000-0005-0000-0000-00009B180000}"/>
    <cellStyle name="Normal 2 5 4 2" xfId="6289" xr:uid="{00000000-0005-0000-0000-00009C180000}"/>
    <cellStyle name="Normal 2 5 4 3" xfId="6290" xr:uid="{00000000-0005-0000-0000-00009D180000}"/>
    <cellStyle name="Normal 2 5 4 4" xfId="6291" xr:uid="{00000000-0005-0000-0000-00009E180000}"/>
    <cellStyle name="Normal 2 5 5" xfId="6292" xr:uid="{00000000-0005-0000-0000-00009F180000}"/>
    <cellStyle name="Normal 2 5 5 2" xfId="6293" xr:uid="{00000000-0005-0000-0000-0000A0180000}"/>
    <cellStyle name="Normal 2 5 5 3" xfId="6294" xr:uid="{00000000-0005-0000-0000-0000A1180000}"/>
    <cellStyle name="Normal 2 5 5 4" xfId="6295" xr:uid="{00000000-0005-0000-0000-0000A2180000}"/>
    <cellStyle name="Normal 2 5 6" xfId="6296" xr:uid="{00000000-0005-0000-0000-0000A3180000}"/>
    <cellStyle name="Normal 2 5 6 2" xfId="6297" xr:uid="{00000000-0005-0000-0000-0000A4180000}"/>
    <cellStyle name="Normal 2 5 6 3" xfId="6298" xr:uid="{00000000-0005-0000-0000-0000A5180000}"/>
    <cellStyle name="Normal 2 5 6 4" xfId="6299" xr:uid="{00000000-0005-0000-0000-0000A6180000}"/>
    <cellStyle name="Normal 2 5 7" xfId="6300" xr:uid="{00000000-0005-0000-0000-0000A7180000}"/>
    <cellStyle name="Normal 2 5 7 2" xfId="6301" xr:uid="{00000000-0005-0000-0000-0000A8180000}"/>
    <cellStyle name="Normal 2 5 7 3" xfId="6302" xr:uid="{00000000-0005-0000-0000-0000A9180000}"/>
    <cellStyle name="Normal 2 5 7 4" xfId="6303" xr:uid="{00000000-0005-0000-0000-0000AA180000}"/>
    <cellStyle name="Normal 2 5 8" xfId="6304" xr:uid="{00000000-0005-0000-0000-0000AB180000}"/>
    <cellStyle name="Normal 2 5 8 2" xfId="6305" xr:uid="{00000000-0005-0000-0000-0000AC180000}"/>
    <cellStyle name="Normal 2 5 8 3" xfId="6306" xr:uid="{00000000-0005-0000-0000-0000AD180000}"/>
    <cellStyle name="Normal 2 5 8 4" xfId="6307" xr:uid="{00000000-0005-0000-0000-0000AE180000}"/>
    <cellStyle name="Normal 2 5 9" xfId="6308" xr:uid="{00000000-0005-0000-0000-0000AF180000}"/>
    <cellStyle name="Normal 2 5 9 2" xfId="6309" xr:uid="{00000000-0005-0000-0000-0000B0180000}"/>
    <cellStyle name="Normal 2 5 9 3" xfId="6310" xr:uid="{00000000-0005-0000-0000-0000B1180000}"/>
    <cellStyle name="Normal 2 5 9 4" xfId="6311" xr:uid="{00000000-0005-0000-0000-0000B2180000}"/>
    <cellStyle name="Normal 2 50" xfId="6312" xr:uid="{00000000-0005-0000-0000-0000B3180000}"/>
    <cellStyle name="Normal 2 50 2" xfId="6313" xr:uid="{00000000-0005-0000-0000-0000B4180000}"/>
    <cellStyle name="Normal 2 50 2 2" xfId="6314" xr:uid="{00000000-0005-0000-0000-0000B5180000}"/>
    <cellStyle name="Normal 2 50 2 3" xfId="6315" xr:uid="{00000000-0005-0000-0000-0000B6180000}"/>
    <cellStyle name="Normal 2 50 3" xfId="6316" xr:uid="{00000000-0005-0000-0000-0000B7180000}"/>
    <cellStyle name="Normal 2 50 4" xfId="6317" xr:uid="{00000000-0005-0000-0000-0000B8180000}"/>
    <cellStyle name="Normal 2 51" xfId="6318" xr:uid="{00000000-0005-0000-0000-0000B9180000}"/>
    <cellStyle name="Normal 2 51 2" xfId="6319" xr:uid="{00000000-0005-0000-0000-0000BA180000}"/>
    <cellStyle name="Normal 2 51 3" xfId="6320" xr:uid="{00000000-0005-0000-0000-0000BB180000}"/>
    <cellStyle name="Normal 2 52" xfId="6321" xr:uid="{00000000-0005-0000-0000-0000BC180000}"/>
    <cellStyle name="Normal 2 52 2" xfId="6322" xr:uid="{00000000-0005-0000-0000-0000BD180000}"/>
    <cellStyle name="Normal 2 52 3" xfId="6323" xr:uid="{00000000-0005-0000-0000-0000BE180000}"/>
    <cellStyle name="Normal 2 53" xfId="6324" xr:uid="{00000000-0005-0000-0000-0000BF180000}"/>
    <cellStyle name="Normal 2 53 2" xfId="6325" xr:uid="{00000000-0005-0000-0000-0000C0180000}"/>
    <cellStyle name="Normal 2 53 3" xfId="6326" xr:uid="{00000000-0005-0000-0000-0000C1180000}"/>
    <cellStyle name="Normal 2 54" xfId="6327" xr:uid="{00000000-0005-0000-0000-0000C2180000}"/>
    <cellStyle name="Normal 2 54 2" xfId="6328" xr:uid="{00000000-0005-0000-0000-0000C3180000}"/>
    <cellStyle name="Normal 2 6" xfId="6329" xr:uid="{00000000-0005-0000-0000-0000C4180000}"/>
    <cellStyle name="Normal 2 6 10" xfId="6330" xr:uid="{00000000-0005-0000-0000-0000C5180000}"/>
    <cellStyle name="Normal 2 6 10 2" xfId="6331" xr:uid="{00000000-0005-0000-0000-0000C6180000}"/>
    <cellStyle name="Normal 2 6 10 3" xfId="6332" xr:uid="{00000000-0005-0000-0000-0000C7180000}"/>
    <cellStyle name="Normal 2 6 10 4" xfId="6333" xr:uid="{00000000-0005-0000-0000-0000C8180000}"/>
    <cellStyle name="Normal 2 6 11" xfId="6334" xr:uid="{00000000-0005-0000-0000-0000C9180000}"/>
    <cellStyle name="Normal 2 6 11 2" xfId="6335" xr:uid="{00000000-0005-0000-0000-0000CA180000}"/>
    <cellStyle name="Normal 2 6 11 3" xfId="6336" xr:uid="{00000000-0005-0000-0000-0000CB180000}"/>
    <cellStyle name="Normal 2 6 11 4" xfId="6337" xr:uid="{00000000-0005-0000-0000-0000CC180000}"/>
    <cellStyle name="Normal 2 6 12" xfId="6338" xr:uid="{00000000-0005-0000-0000-0000CD180000}"/>
    <cellStyle name="Normal 2 6 12 2" xfId="6339" xr:uid="{00000000-0005-0000-0000-0000CE180000}"/>
    <cellStyle name="Normal 2 6 12 3" xfId="6340" xr:uid="{00000000-0005-0000-0000-0000CF180000}"/>
    <cellStyle name="Normal 2 6 12 4" xfId="6341" xr:uid="{00000000-0005-0000-0000-0000D0180000}"/>
    <cellStyle name="Normal 2 6 13" xfId="6342" xr:uid="{00000000-0005-0000-0000-0000D1180000}"/>
    <cellStyle name="Normal 2 6 13 2" xfId="6343" xr:uid="{00000000-0005-0000-0000-0000D2180000}"/>
    <cellStyle name="Normal 2 6 13 3" xfId="6344" xr:uid="{00000000-0005-0000-0000-0000D3180000}"/>
    <cellStyle name="Normal 2 6 13 4" xfId="6345" xr:uid="{00000000-0005-0000-0000-0000D4180000}"/>
    <cellStyle name="Normal 2 6 14" xfId="6346" xr:uid="{00000000-0005-0000-0000-0000D5180000}"/>
    <cellStyle name="Normal 2 6 14 2" xfId="6347" xr:uid="{00000000-0005-0000-0000-0000D6180000}"/>
    <cellStyle name="Normal 2 6 14 3" xfId="6348" xr:uid="{00000000-0005-0000-0000-0000D7180000}"/>
    <cellStyle name="Normal 2 6 14 4" xfId="6349" xr:uid="{00000000-0005-0000-0000-0000D8180000}"/>
    <cellStyle name="Normal 2 6 15" xfId="6350" xr:uid="{00000000-0005-0000-0000-0000D9180000}"/>
    <cellStyle name="Normal 2 6 15 2" xfId="6351" xr:uid="{00000000-0005-0000-0000-0000DA180000}"/>
    <cellStyle name="Normal 2 6 15 3" xfId="6352" xr:uid="{00000000-0005-0000-0000-0000DB180000}"/>
    <cellStyle name="Normal 2 6 15 4" xfId="6353" xr:uid="{00000000-0005-0000-0000-0000DC180000}"/>
    <cellStyle name="Normal 2 6 16" xfId="6354" xr:uid="{00000000-0005-0000-0000-0000DD180000}"/>
    <cellStyle name="Normal 2 6 16 2" xfId="6355" xr:uid="{00000000-0005-0000-0000-0000DE180000}"/>
    <cellStyle name="Normal 2 6 16 3" xfId="6356" xr:uid="{00000000-0005-0000-0000-0000DF180000}"/>
    <cellStyle name="Normal 2 6 16 4" xfId="6357" xr:uid="{00000000-0005-0000-0000-0000E0180000}"/>
    <cellStyle name="Normal 2 6 17" xfId="6358" xr:uid="{00000000-0005-0000-0000-0000E1180000}"/>
    <cellStyle name="Normal 2 6 17 2" xfId="6359" xr:uid="{00000000-0005-0000-0000-0000E2180000}"/>
    <cellStyle name="Normal 2 6 17 2 2" xfId="6360" xr:uid="{00000000-0005-0000-0000-0000E3180000}"/>
    <cellStyle name="Normal 2 6 17 2 2 2" xfId="6361" xr:uid="{00000000-0005-0000-0000-0000E4180000}"/>
    <cellStyle name="Normal 2 6 17 2 2 2 2" xfId="6362" xr:uid="{00000000-0005-0000-0000-0000E5180000}"/>
    <cellStyle name="Normal 2 6 17 2 2 2 3" xfId="6363" xr:uid="{00000000-0005-0000-0000-0000E6180000}"/>
    <cellStyle name="Normal 2 6 17 2 2 3" xfId="6364" xr:uid="{00000000-0005-0000-0000-0000E7180000}"/>
    <cellStyle name="Normal 2 6 17 2 2 4" xfId="6365" xr:uid="{00000000-0005-0000-0000-0000E8180000}"/>
    <cellStyle name="Normal 2 6 17 2 3" xfId="6366" xr:uid="{00000000-0005-0000-0000-0000E9180000}"/>
    <cellStyle name="Normal 2 6 17 2 3 2" xfId="6367" xr:uid="{00000000-0005-0000-0000-0000EA180000}"/>
    <cellStyle name="Normal 2 6 17 2 3 2 2" xfId="6368" xr:uid="{00000000-0005-0000-0000-0000EB180000}"/>
    <cellStyle name="Normal 2 6 17 2 3 2 3" xfId="6369" xr:uid="{00000000-0005-0000-0000-0000EC180000}"/>
    <cellStyle name="Normal 2 6 17 2 3 3" xfId="6370" xr:uid="{00000000-0005-0000-0000-0000ED180000}"/>
    <cellStyle name="Normal 2 6 17 2 3 4" xfId="6371" xr:uid="{00000000-0005-0000-0000-0000EE180000}"/>
    <cellStyle name="Normal 2 6 17 2 4" xfId="6372" xr:uid="{00000000-0005-0000-0000-0000EF180000}"/>
    <cellStyle name="Normal 2 6 17 2 4 2" xfId="6373" xr:uid="{00000000-0005-0000-0000-0000F0180000}"/>
    <cellStyle name="Normal 2 6 17 2 4 3" xfId="6374" xr:uid="{00000000-0005-0000-0000-0000F1180000}"/>
    <cellStyle name="Normal 2 6 17 2 5" xfId="6375" xr:uid="{00000000-0005-0000-0000-0000F2180000}"/>
    <cellStyle name="Normal 2 6 17 2 6" xfId="6376" xr:uid="{00000000-0005-0000-0000-0000F3180000}"/>
    <cellStyle name="Normal 2 6 17 2 7" xfId="6377" xr:uid="{00000000-0005-0000-0000-0000F4180000}"/>
    <cellStyle name="Normal 2 6 17 3" xfId="6378" xr:uid="{00000000-0005-0000-0000-0000F5180000}"/>
    <cellStyle name="Normal 2 6 17 3 2" xfId="6379" xr:uid="{00000000-0005-0000-0000-0000F6180000}"/>
    <cellStyle name="Normal 2 6 17 3 2 2" xfId="6380" xr:uid="{00000000-0005-0000-0000-0000F7180000}"/>
    <cellStyle name="Normal 2 6 17 3 2 3" xfId="6381" xr:uid="{00000000-0005-0000-0000-0000F8180000}"/>
    <cellStyle name="Normal 2 6 17 3 3" xfId="6382" xr:uid="{00000000-0005-0000-0000-0000F9180000}"/>
    <cellStyle name="Normal 2 6 17 3 4" xfId="6383" xr:uid="{00000000-0005-0000-0000-0000FA180000}"/>
    <cellStyle name="Normal 2 6 17 4" xfId="6384" xr:uid="{00000000-0005-0000-0000-0000FB180000}"/>
    <cellStyle name="Normal 2 6 17 4 2" xfId="6385" xr:uid="{00000000-0005-0000-0000-0000FC180000}"/>
    <cellStyle name="Normal 2 6 17 4 2 2" xfId="6386" xr:uid="{00000000-0005-0000-0000-0000FD180000}"/>
    <cellStyle name="Normal 2 6 17 4 2 3" xfId="6387" xr:uid="{00000000-0005-0000-0000-0000FE180000}"/>
    <cellStyle name="Normal 2 6 17 4 3" xfId="6388" xr:uid="{00000000-0005-0000-0000-0000FF180000}"/>
    <cellStyle name="Normal 2 6 17 4 4" xfId="6389" xr:uid="{00000000-0005-0000-0000-000000190000}"/>
    <cellStyle name="Normal 2 6 17 5" xfId="6390" xr:uid="{00000000-0005-0000-0000-000001190000}"/>
    <cellStyle name="Normal 2 6 17 5 2" xfId="6391" xr:uid="{00000000-0005-0000-0000-000002190000}"/>
    <cellStyle name="Normal 2 6 17 5 3" xfId="6392" xr:uid="{00000000-0005-0000-0000-000003190000}"/>
    <cellStyle name="Normal 2 6 17 6" xfId="6393" xr:uid="{00000000-0005-0000-0000-000004190000}"/>
    <cellStyle name="Normal 2 6 17 7" xfId="6394" xr:uid="{00000000-0005-0000-0000-000005190000}"/>
    <cellStyle name="Normal 2 6 17 8" xfId="6395" xr:uid="{00000000-0005-0000-0000-000006190000}"/>
    <cellStyle name="Normal 2 6 18" xfId="6396" xr:uid="{00000000-0005-0000-0000-000007190000}"/>
    <cellStyle name="Normal 2 6 18 2" xfId="6397" xr:uid="{00000000-0005-0000-0000-000008190000}"/>
    <cellStyle name="Normal 2 6 18 2 2" xfId="6398" xr:uid="{00000000-0005-0000-0000-000009190000}"/>
    <cellStyle name="Normal 2 6 18 2 2 2" xfId="6399" xr:uid="{00000000-0005-0000-0000-00000A190000}"/>
    <cellStyle name="Normal 2 6 18 2 2 2 2" xfId="6400" xr:uid="{00000000-0005-0000-0000-00000B190000}"/>
    <cellStyle name="Normal 2 6 18 2 2 2 3" xfId="6401" xr:uid="{00000000-0005-0000-0000-00000C190000}"/>
    <cellStyle name="Normal 2 6 18 2 2 3" xfId="6402" xr:uid="{00000000-0005-0000-0000-00000D190000}"/>
    <cellStyle name="Normal 2 6 18 2 2 4" xfId="6403" xr:uid="{00000000-0005-0000-0000-00000E190000}"/>
    <cellStyle name="Normal 2 6 18 2 3" xfId="6404" xr:uid="{00000000-0005-0000-0000-00000F190000}"/>
    <cellStyle name="Normal 2 6 18 2 3 2" xfId="6405" xr:uid="{00000000-0005-0000-0000-000010190000}"/>
    <cellStyle name="Normal 2 6 18 2 3 2 2" xfId="6406" xr:uid="{00000000-0005-0000-0000-000011190000}"/>
    <cellStyle name="Normal 2 6 18 2 3 2 3" xfId="6407" xr:uid="{00000000-0005-0000-0000-000012190000}"/>
    <cellStyle name="Normal 2 6 18 2 3 3" xfId="6408" xr:uid="{00000000-0005-0000-0000-000013190000}"/>
    <cellStyle name="Normal 2 6 18 2 3 4" xfId="6409" xr:uid="{00000000-0005-0000-0000-000014190000}"/>
    <cellStyle name="Normal 2 6 18 2 4" xfId="6410" xr:uid="{00000000-0005-0000-0000-000015190000}"/>
    <cellStyle name="Normal 2 6 18 2 4 2" xfId="6411" xr:uid="{00000000-0005-0000-0000-000016190000}"/>
    <cellStyle name="Normal 2 6 18 2 4 3" xfId="6412" xr:uid="{00000000-0005-0000-0000-000017190000}"/>
    <cellStyle name="Normal 2 6 18 2 5" xfId="6413" xr:uid="{00000000-0005-0000-0000-000018190000}"/>
    <cellStyle name="Normal 2 6 18 2 6" xfId="6414" xr:uid="{00000000-0005-0000-0000-000019190000}"/>
    <cellStyle name="Normal 2 6 18 2 7" xfId="6415" xr:uid="{00000000-0005-0000-0000-00001A190000}"/>
    <cellStyle name="Normal 2 6 18 3" xfId="6416" xr:uid="{00000000-0005-0000-0000-00001B190000}"/>
    <cellStyle name="Normal 2 6 18 3 2" xfId="6417" xr:uid="{00000000-0005-0000-0000-00001C190000}"/>
    <cellStyle name="Normal 2 6 18 3 2 2" xfId="6418" xr:uid="{00000000-0005-0000-0000-00001D190000}"/>
    <cellStyle name="Normal 2 6 18 3 2 3" xfId="6419" xr:uid="{00000000-0005-0000-0000-00001E190000}"/>
    <cellStyle name="Normal 2 6 18 3 3" xfId="6420" xr:uid="{00000000-0005-0000-0000-00001F190000}"/>
    <cellStyle name="Normal 2 6 18 3 4" xfId="6421" xr:uid="{00000000-0005-0000-0000-000020190000}"/>
    <cellStyle name="Normal 2 6 18 4" xfId="6422" xr:uid="{00000000-0005-0000-0000-000021190000}"/>
    <cellStyle name="Normal 2 6 18 4 2" xfId="6423" xr:uid="{00000000-0005-0000-0000-000022190000}"/>
    <cellStyle name="Normal 2 6 18 4 2 2" xfId="6424" xr:uid="{00000000-0005-0000-0000-000023190000}"/>
    <cellStyle name="Normal 2 6 18 4 2 3" xfId="6425" xr:uid="{00000000-0005-0000-0000-000024190000}"/>
    <cellStyle name="Normal 2 6 18 4 3" xfId="6426" xr:uid="{00000000-0005-0000-0000-000025190000}"/>
    <cellStyle name="Normal 2 6 18 4 4" xfId="6427" xr:uid="{00000000-0005-0000-0000-000026190000}"/>
    <cellStyle name="Normal 2 6 18 5" xfId="6428" xr:uid="{00000000-0005-0000-0000-000027190000}"/>
    <cellStyle name="Normal 2 6 18 5 2" xfId="6429" xr:uid="{00000000-0005-0000-0000-000028190000}"/>
    <cellStyle name="Normal 2 6 18 5 3" xfId="6430" xr:uid="{00000000-0005-0000-0000-000029190000}"/>
    <cellStyle name="Normal 2 6 18 6" xfId="6431" xr:uid="{00000000-0005-0000-0000-00002A190000}"/>
    <cellStyle name="Normal 2 6 18 7" xfId="6432" xr:uid="{00000000-0005-0000-0000-00002B190000}"/>
    <cellStyle name="Normal 2 6 18 8" xfId="6433" xr:uid="{00000000-0005-0000-0000-00002C190000}"/>
    <cellStyle name="Normal 2 6 19" xfId="6434" xr:uid="{00000000-0005-0000-0000-00002D190000}"/>
    <cellStyle name="Normal 2 6 19 2" xfId="6435" xr:uid="{00000000-0005-0000-0000-00002E190000}"/>
    <cellStyle name="Normal 2 6 19 2 2" xfId="6436" xr:uid="{00000000-0005-0000-0000-00002F190000}"/>
    <cellStyle name="Normal 2 6 19 2 2 2" xfId="6437" xr:uid="{00000000-0005-0000-0000-000030190000}"/>
    <cellStyle name="Normal 2 6 19 2 2 3" xfId="6438" xr:uid="{00000000-0005-0000-0000-000031190000}"/>
    <cellStyle name="Normal 2 6 19 2 3" xfId="6439" xr:uid="{00000000-0005-0000-0000-000032190000}"/>
    <cellStyle name="Normal 2 6 19 2 4" xfId="6440" xr:uid="{00000000-0005-0000-0000-000033190000}"/>
    <cellStyle name="Normal 2 6 19 3" xfId="6441" xr:uid="{00000000-0005-0000-0000-000034190000}"/>
    <cellStyle name="Normal 2 6 19 3 2" xfId="6442" xr:uid="{00000000-0005-0000-0000-000035190000}"/>
    <cellStyle name="Normal 2 6 19 3 2 2" xfId="6443" xr:uid="{00000000-0005-0000-0000-000036190000}"/>
    <cellStyle name="Normal 2 6 19 3 2 3" xfId="6444" xr:uid="{00000000-0005-0000-0000-000037190000}"/>
    <cellStyle name="Normal 2 6 19 3 3" xfId="6445" xr:uid="{00000000-0005-0000-0000-000038190000}"/>
    <cellStyle name="Normal 2 6 19 3 4" xfId="6446" xr:uid="{00000000-0005-0000-0000-000039190000}"/>
    <cellStyle name="Normal 2 6 19 4" xfId="6447" xr:uid="{00000000-0005-0000-0000-00003A190000}"/>
    <cellStyle name="Normal 2 6 19 4 2" xfId="6448" xr:uid="{00000000-0005-0000-0000-00003B190000}"/>
    <cellStyle name="Normal 2 6 19 4 3" xfId="6449" xr:uid="{00000000-0005-0000-0000-00003C190000}"/>
    <cellStyle name="Normal 2 6 19 5" xfId="6450" xr:uid="{00000000-0005-0000-0000-00003D190000}"/>
    <cellStyle name="Normal 2 6 19 6" xfId="6451" xr:uid="{00000000-0005-0000-0000-00003E190000}"/>
    <cellStyle name="Normal 2 6 19 7" xfId="6452" xr:uid="{00000000-0005-0000-0000-00003F190000}"/>
    <cellStyle name="Normal 2 6 2" xfId="6453" xr:uid="{00000000-0005-0000-0000-000040190000}"/>
    <cellStyle name="Normal 2 6 2 10" xfId="6454" xr:uid="{00000000-0005-0000-0000-000041190000}"/>
    <cellStyle name="Normal 2 6 2 11" xfId="6455" xr:uid="{00000000-0005-0000-0000-000042190000}"/>
    <cellStyle name="Normal 2 6 2 2" xfId="6456" xr:uid="{00000000-0005-0000-0000-000043190000}"/>
    <cellStyle name="Normal 2 6 2 2 2" xfId="6457" xr:uid="{00000000-0005-0000-0000-000044190000}"/>
    <cellStyle name="Normal 2 6 2 2 3" xfId="6458" xr:uid="{00000000-0005-0000-0000-000045190000}"/>
    <cellStyle name="Normal 2 6 2 2 4" xfId="6459" xr:uid="{00000000-0005-0000-0000-000046190000}"/>
    <cellStyle name="Normal 2 6 2 3" xfId="6460" xr:uid="{00000000-0005-0000-0000-000047190000}"/>
    <cellStyle name="Normal 2 6 2 3 2" xfId="6461" xr:uid="{00000000-0005-0000-0000-000048190000}"/>
    <cellStyle name="Normal 2 6 2 3 2 2" xfId="6462" xr:uid="{00000000-0005-0000-0000-000049190000}"/>
    <cellStyle name="Normal 2 6 2 3 2 2 2" xfId="6463" xr:uid="{00000000-0005-0000-0000-00004A190000}"/>
    <cellStyle name="Normal 2 6 2 3 2 2 2 2" xfId="6464" xr:uid="{00000000-0005-0000-0000-00004B190000}"/>
    <cellStyle name="Normal 2 6 2 3 2 2 2 3" xfId="6465" xr:uid="{00000000-0005-0000-0000-00004C190000}"/>
    <cellStyle name="Normal 2 6 2 3 2 2 3" xfId="6466" xr:uid="{00000000-0005-0000-0000-00004D190000}"/>
    <cellStyle name="Normal 2 6 2 3 2 2 4" xfId="6467" xr:uid="{00000000-0005-0000-0000-00004E190000}"/>
    <cellStyle name="Normal 2 6 2 3 2 3" xfId="6468" xr:uid="{00000000-0005-0000-0000-00004F190000}"/>
    <cellStyle name="Normal 2 6 2 3 2 3 2" xfId="6469" xr:uid="{00000000-0005-0000-0000-000050190000}"/>
    <cellStyle name="Normal 2 6 2 3 2 3 2 2" xfId="6470" xr:uid="{00000000-0005-0000-0000-000051190000}"/>
    <cellStyle name="Normal 2 6 2 3 2 3 2 3" xfId="6471" xr:uid="{00000000-0005-0000-0000-000052190000}"/>
    <cellStyle name="Normal 2 6 2 3 2 3 3" xfId="6472" xr:uid="{00000000-0005-0000-0000-000053190000}"/>
    <cellStyle name="Normal 2 6 2 3 2 3 4" xfId="6473" xr:uid="{00000000-0005-0000-0000-000054190000}"/>
    <cellStyle name="Normal 2 6 2 3 2 4" xfId="6474" xr:uid="{00000000-0005-0000-0000-000055190000}"/>
    <cellStyle name="Normal 2 6 2 3 2 4 2" xfId="6475" xr:uid="{00000000-0005-0000-0000-000056190000}"/>
    <cellStyle name="Normal 2 6 2 3 2 4 3" xfId="6476" xr:uid="{00000000-0005-0000-0000-000057190000}"/>
    <cellStyle name="Normal 2 6 2 3 2 5" xfId="6477" xr:uid="{00000000-0005-0000-0000-000058190000}"/>
    <cellStyle name="Normal 2 6 2 3 2 6" xfId="6478" xr:uid="{00000000-0005-0000-0000-000059190000}"/>
    <cellStyle name="Normal 2 6 2 3 2 7" xfId="6479" xr:uid="{00000000-0005-0000-0000-00005A190000}"/>
    <cellStyle name="Normal 2 6 2 3 3" xfId="6480" xr:uid="{00000000-0005-0000-0000-00005B190000}"/>
    <cellStyle name="Normal 2 6 2 3 3 2" xfId="6481" xr:uid="{00000000-0005-0000-0000-00005C190000}"/>
    <cellStyle name="Normal 2 6 2 3 3 2 2" xfId="6482" xr:uid="{00000000-0005-0000-0000-00005D190000}"/>
    <cellStyle name="Normal 2 6 2 3 3 2 3" xfId="6483" xr:uid="{00000000-0005-0000-0000-00005E190000}"/>
    <cellStyle name="Normal 2 6 2 3 3 3" xfId="6484" xr:uid="{00000000-0005-0000-0000-00005F190000}"/>
    <cellStyle name="Normal 2 6 2 3 3 4" xfId="6485" xr:uid="{00000000-0005-0000-0000-000060190000}"/>
    <cellStyle name="Normal 2 6 2 3 4" xfId="6486" xr:uid="{00000000-0005-0000-0000-000061190000}"/>
    <cellStyle name="Normal 2 6 2 3 4 2" xfId="6487" xr:uid="{00000000-0005-0000-0000-000062190000}"/>
    <cellStyle name="Normal 2 6 2 3 4 2 2" xfId="6488" xr:uid="{00000000-0005-0000-0000-000063190000}"/>
    <cellStyle name="Normal 2 6 2 3 4 2 3" xfId="6489" xr:uid="{00000000-0005-0000-0000-000064190000}"/>
    <cellStyle name="Normal 2 6 2 3 4 3" xfId="6490" xr:uid="{00000000-0005-0000-0000-000065190000}"/>
    <cellStyle name="Normal 2 6 2 3 4 4" xfId="6491" xr:uid="{00000000-0005-0000-0000-000066190000}"/>
    <cellStyle name="Normal 2 6 2 3 5" xfId="6492" xr:uid="{00000000-0005-0000-0000-000067190000}"/>
    <cellStyle name="Normal 2 6 2 3 5 2" xfId="6493" xr:uid="{00000000-0005-0000-0000-000068190000}"/>
    <cellStyle name="Normal 2 6 2 3 5 3" xfId="6494" xr:uid="{00000000-0005-0000-0000-000069190000}"/>
    <cellStyle name="Normal 2 6 2 3 6" xfId="6495" xr:uid="{00000000-0005-0000-0000-00006A190000}"/>
    <cellStyle name="Normal 2 6 2 3 7" xfId="6496" xr:uid="{00000000-0005-0000-0000-00006B190000}"/>
    <cellStyle name="Normal 2 6 2 3 8" xfId="6497" xr:uid="{00000000-0005-0000-0000-00006C190000}"/>
    <cellStyle name="Normal 2 6 2 4" xfId="6498" xr:uid="{00000000-0005-0000-0000-00006D190000}"/>
    <cellStyle name="Normal 2 6 2 4 2" xfId="6499" xr:uid="{00000000-0005-0000-0000-00006E190000}"/>
    <cellStyle name="Normal 2 6 2 4 2 2" xfId="6500" xr:uid="{00000000-0005-0000-0000-00006F190000}"/>
    <cellStyle name="Normal 2 6 2 4 2 2 2" xfId="6501" xr:uid="{00000000-0005-0000-0000-000070190000}"/>
    <cellStyle name="Normal 2 6 2 4 2 2 2 2" xfId="6502" xr:uid="{00000000-0005-0000-0000-000071190000}"/>
    <cellStyle name="Normal 2 6 2 4 2 2 2 3" xfId="6503" xr:uid="{00000000-0005-0000-0000-000072190000}"/>
    <cellStyle name="Normal 2 6 2 4 2 2 3" xfId="6504" xr:uid="{00000000-0005-0000-0000-000073190000}"/>
    <cellStyle name="Normal 2 6 2 4 2 2 4" xfId="6505" xr:uid="{00000000-0005-0000-0000-000074190000}"/>
    <cellStyle name="Normal 2 6 2 4 2 3" xfId="6506" xr:uid="{00000000-0005-0000-0000-000075190000}"/>
    <cellStyle name="Normal 2 6 2 4 2 3 2" xfId="6507" xr:uid="{00000000-0005-0000-0000-000076190000}"/>
    <cellStyle name="Normal 2 6 2 4 2 3 2 2" xfId="6508" xr:uid="{00000000-0005-0000-0000-000077190000}"/>
    <cellStyle name="Normal 2 6 2 4 2 3 2 3" xfId="6509" xr:uid="{00000000-0005-0000-0000-000078190000}"/>
    <cellStyle name="Normal 2 6 2 4 2 3 3" xfId="6510" xr:uid="{00000000-0005-0000-0000-000079190000}"/>
    <cellStyle name="Normal 2 6 2 4 2 3 4" xfId="6511" xr:uid="{00000000-0005-0000-0000-00007A190000}"/>
    <cellStyle name="Normal 2 6 2 4 2 4" xfId="6512" xr:uid="{00000000-0005-0000-0000-00007B190000}"/>
    <cellStyle name="Normal 2 6 2 4 2 4 2" xfId="6513" xr:uid="{00000000-0005-0000-0000-00007C190000}"/>
    <cellStyle name="Normal 2 6 2 4 2 4 3" xfId="6514" xr:uid="{00000000-0005-0000-0000-00007D190000}"/>
    <cellStyle name="Normal 2 6 2 4 2 5" xfId="6515" xr:uid="{00000000-0005-0000-0000-00007E190000}"/>
    <cellStyle name="Normal 2 6 2 4 2 6" xfId="6516" xr:uid="{00000000-0005-0000-0000-00007F190000}"/>
    <cellStyle name="Normal 2 6 2 4 2 7" xfId="6517" xr:uid="{00000000-0005-0000-0000-000080190000}"/>
    <cellStyle name="Normal 2 6 2 4 3" xfId="6518" xr:uid="{00000000-0005-0000-0000-000081190000}"/>
    <cellStyle name="Normal 2 6 2 4 3 2" xfId="6519" xr:uid="{00000000-0005-0000-0000-000082190000}"/>
    <cellStyle name="Normal 2 6 2 4 3 2 2" xfId="6520" xr:uid="{00000000-0005-0000-0000-000083190000}"/>
    <cellStyle name="Normal 2 6 2 4 3 2 3" xfId="6521" xr:uid="{00000000-0005-0000-0000-000084190000}"/>
    <cellStyle name="Normal 2 6 2 4 3 3" xfId="6522" xr:uid="{00000000-0005-0000-0000-000085190000}"/>
    <cellStyle name="Normal 2 6 2 4 3 4" xfId="6523" xr:uid="{00000000-0005-0000-0000-000086190000}"/>
    <cellStyle name="Normal 2 6 2 4 4" xfId="6524" xr:uid="{00000000-0005-0000-0000-000087190000}"/>
    <cellStyle name="Normal 2 6 2 4 4 2" xfId="6525" xr:uid="{00000000-0005-0000-0000-000088190000}"/>
    <cellStyle name="Normal 2 6 2 4 4 2 2" xfId="6526" xr:uid="{00000000-0005-0000-0000-000089190000}"/>
    <cellStyle name="Normal 2 6 2 4 4 2 3" xfId="6527" xr:uid="{00000000-0005-0000-0000-00008A190000}"/>
    <cellStyle name="Normal 2 6 2 4 4 3" xfId="6528" xr:uid="{00000000-0005-0000-0000-00008B190000}"/>
    <cellStyle name="Normal 2 6 2 4 4 4" xfId="6529" xr:uid="{00000000-0005-0000-0000-00008C190000}"/>
    <cellStyle name="Normal 2 6 2 4 5" xfId="6530" xr:uid="{00000000-0005-0000-0000-00008D190000}"/>
    <cellStyle name="Normal 2 6 2 4 5 2" xfId="6531" xr:uid="{00000000-0005-0000-0000-00008E190000}"/>
    <cellStyle name="Normal 2 6 2 4 5 3" xfId="6532" xr:uid="{00000000-0005-0000-0000-00008F190000}"/>
    <cellStyle name="Normal 2 6 2 4 6" xfId="6533" xr:uid="{00000000-0005-0000-0000-000090190000}"/>
    <cellStyle name="Normal 2 6 2 4 7" xfId="6534" xr:uid="{00000000-0005-0000-0000-000091190000}"/>
    <cellStyle name="Normal 2 6 2 4 8" xfId="6535" xr:uid="{00000000-0005-0000-0000-000092190000}"/>
    <cellStyle name="Normal 2 6 2 5" xfId="6536" xr:uid="{00000000-0005-0000-0000-000093190000}"/>
    <cellStyle name="Normal 2 6 2 5 2" xfId="6537" xr:uid="{00000000-0005-0000-0000-000094190000}"/>
    <cellStyle name="Normal 2 6 2 5 2 2" xfId="6538" xr:uid="{00000000-0005-0000-0000-000095190000}"/>
    <cellStyle name="Normal 2 6 2 5 2 2 2" xfId="6539" xr:uid="{00000000-0005-0000-0000-000096190000}"/>
    <cellStyle name="Normal 2 6 2 5 2 2 3" xfId="6540" xr:uid="{00000000-0005-0000-0000-000097190000}"/>
    <cellStyle name="Normal 2 6 2 5 2 3" xfId="6541" xr:uid="{00000000-0005-0000-0000-000098190000}"/>
    <cellStyle name="Normal 2 6 2 5 2 4" xfId="6542" xr:uid="{00000000-0005-0000-0000-000099190000}"/>
    <cellStyle name="Normal 2 6 2 5 3" xfId="6543" xr:uid="{00000000-0005-0000-0000-00009A190000}"/>
    <cellStyle name="Normal 2 6 2 5 3 2" xfId="6544" xr:uid="{00000000-0005-0000-0000-00009B190000}"/>
    <cellStyle name="Normal 2 6 2 5 3 2 2" xfId="6545" xr:uid="{00000000-0005-0000-0000-00009C190000}"/>
    <cellStyle name="Normal 2 6 2 5 3 2 3" xfId="6546" xr:uid="{00000000-0005-0000-0000-00009D190000}"/>
    <cellStyle name="Normal 2 6 2 5 3 3" xfId="6547" xr:uid="{00000000-0005-0000-0000-00009E190000}"/>
    <cellStyle name="Normal 2 6 2 5 3 4" xfId="6548" xr:uid="{00000000-0005-0000-0000-00009F190000}"/>
    <cellStyle name="Normal 2 6 2 5 4" xfId="6549" xr:uid="{00000000-0005-0000-0000-0000A0190000}"/>
    <cellStyle name="Normal 2 6 2 5 4 2" xfId="6550" xr:uid="{00000000-0005-0000-0000-0000A1190000}"/>
    <cellStyle name="Normal 2 6 2 5 4 3" xfId="6551" xr:uid="{00000000-0005-0000-0000-0000A2190000}"/>
    <cellStyle name="Normal 2 6 2 5 5" xfId="6552" xr:uid="{00000000-0005-0000-0000-0000A3190000}"/>
    <cellStyle name="Normal 2 6 2 5 6" xfId="6553" xr:uid="{00000000-0005-0000-0000-0000A4190000}"/>
    <cellStyle name="Normal 2 6 2 5 7" xfId="6554" xr:uid="{00000000-0005-0000-0000-0000A5190000}"/>
    <cellStyle name="Normal 2 6 2 6" xfId="6555" xr:uid="{00000000-0005-0000-0000-0000A6190000}"/>
    <cellStyle name="Normal 2 6 2 6 2" xfId="6556" xr:uid="{00000000-0005-0000-0000-0000A7190000}"/>
    <cellStyle name="Normal 2 6 2 6 2 2" xfId="6557" xr:uid="{00000000-0005-0000-0000-0000A8190000}"/>
    <cellStyle name="Normal 2 6 2 6 2 3" xfId="6558" xr:uid="{00000000-0005-0000-0000-0000A9190000}"/>
    <cellStyle name="Normal 2 6 2 6 3" xfId="6559" xr:uid="{00000000-0005-0000-0000-0000AA190000}"/>
    <cellStyle name="Normal 2 6 2 6 4" xfId="6560" xr:uid="{00000000-0005-0000-0000-0000AB190000}"/>
    <cellStyle name="Normal 2 6 2 7" xfId="6561" xr:uid="{00000000-0005-0000-0000-0000AC190000}"/>
    <cellStyle name="Normal 2 6 2 7 2" xfId="6562" xr:uid="{00000000-0005-0000-0000-0000AD190000}"/>
    <cellStyle name="Normal 2 6 2 7 2 2" xfId="6563" xr:uid="{00000000-0005-0000-0000-0000AE190000}"/>
    <cellStyle name="Normal 2 6 2 7 2 3" xfId="6564" xr:uid="{00000000-0005-0000-0000-0000AF190000}"/>
    <cellStyle name="Normal 2 6 2 7 3" xfId="6565" xr:uid="{00000000-0005-0000-0000-0000B0190000}"/>
    <cellStyle name="Normal 2 6 2 7 4" xfId="6566" xr:uid="{00000000-0005-0000-0000-0000B1190000}"/>
    <cellStyle name="Normal 2 6 2 8" xfId="6567" xr:uid="{00000000-0005-0000-0000-0000B2190000}"/>
    <cellStyle name="Normal 2 6 2 8 2" xfId="6568" xr:uid="{00000000-0005-0000-0000-0000B3190000}"/>
    <cellStyle name="Normal 2 6 2 8 3" xfId="6569" xr:uid="{00000000-0005-0000-0000-0000B4190000}"/>
    <cellStyle name="Normal 2 6 2 9" xfId="6570" xr:uid="{00000000-0005-0000-0000-0000B5190000}"/>
    <cellStyle name="Normal 2 6 20" xfId="6571" xr:uid="{00000000-0005-0000-0000-0000B6190000}"/>
    <cellStyle name="Normal 2 6 20 2" xfId="6572" xr:uid="{00000000-0005-0000-0000-0000B7190000}"/>
    <cellStyle name="Normal 2 6 20 2 2" xfId="6573" xr:uid="{00000000-0005-0000-0000-0000B8190000}"/>
    <cellStyle name="Normal 2 6 20 2 2 2" xfId="6574" xr:uid="{00000000-0005-0000-0000-0000B9190000}"/>
    <cellStyle name="Normal 2 6 20 2 2 3" xfId="6575" xr:uid="{00000000-0005-0000-0000-0000BA190000}"/>
    <cellStyle name="Normal 2 6 20 2 3" xfId="6576" xr:uid="{00000000-0005-0000-0000-0000BB190000}"/>
    <cellStyle name="Normal 2 6 20 2 4" xfId="6577" xr:uid="{00000000-0005-0000-0000-0000BC190000}"/>
    <cellStyle name="Normal 2 6 20 3" xfId="6578" xr:uid="{00000000-0005-0000-0000-0000BD190000}"/>
    <cellStyle name="Normal 2 6 20 3 2" xfId="6579" xr:uid="{00000000-0005-0000-0000-0000BE190000}"/>
    <cellStyle name="Normal 2 6 20 3 3" xfId="6580" xr:uid="{00000000-0005-0000-0000-0000BF190000}"/>
    <cellStyle name="Normal 2 6 20 4" xfId="6581" xr:uid="{00000000-0005-0000-0000-0000C0190000}"/>
    <cellStyle name="Normal 2 6 20 5" xfId="6582" xr:uid="{00000000-0005-0000-0000-0000C1190000}"/>
    <cellStyle name="Normal 2 6 21" xfId="6583" xr:uid="{00000000-0005-0000-0000-0000C2190000}"/>
    <cellStyle name="Normal 2 6 21 2" xfId="6584" xr:uid="{00000000-0005-0000-0000-0000C3190000}"/>
    <cellStyle name="Normal 2 6 21 3" xfId="6585" xr:uid="{00000000-0005-0000-0000-0000C4190000}"/>
    <cellStyle name="Normal 2 6 22" xfId="6586" xr:uid="{00000000-0005-0000-0000-0000C5190000}"/>
    <cellStyle name="Normal 2 6 23" xfId="6587" xr:uid="{00000000-0005-0000-0000-0000C6190000}"/>
    <cellStyle name="Normal 2 6 24" xfId="6588" xr:uid="{00000000-0005-0000-0000-0000C7190000}"/>
    <cellStyle name="Normal 2 6 25" xfId="6589" xr:uid="{00000000-0005-0000-0000-0000C8190000}"/>
    <cellStyle name="Normal 2 6 3" xfId="6590" xr:uid="{00000000-0005-0000-0000-0000C9190000}"/>
    <cellStyle name="Normal 2 6 3 2" xfId="6591" xr:uid="{00000000-0005-0000-0000-0000CA190000}"/>
    <cellStyle name="Normal 2 6 3 2 2" xfId="6592" xr:uid="{00000000-0005-0000-0000-0000CB190000}"/>
    <cellStyle name="Normal 2 6 3 2 3" xfId="6593" xr:uid="{00000000-0005-0000-0000-0000CC190000}"/>
    <cellStyle name="Normal 2 6 3 2 4" xfId="6594" xr:uid="{00000000-0005-0000-0000-0000CD190000}"/>
    <cellStyle name="Normal 2 6 3 3" xfId="6595" xr:uid="{00000000-0005-0000-0000-0000CE190000}"/>
    <cellStyle name="Normal 2 6 3 3 2" xfId="6596" xr:uid="{00000000-0005-0000-0000-0000CF190000}"/>
    <cellStyle name="Normal 2 6 3 3 2 2" xfId="6597" xr:uid="{00000000-0005-0000-0000-0000D0190000}"/>
    <cellStyle name="Normal 2 6 3 3 2 2 2" xfId="6598" xr:uid="{00000000-0005-0000-0000-0000D1190000}"/>
    <cellStyle name="Normal 2 6 3 3 2 2 3" xfId="6599" xr:uid="{00000000-0005-0000-0000-0000D2190000}"/>
    <cellStyle name="Normal 2 6 3 3 2 3" xfId="6600" xr:uid="{00000000-0005-0000-0000-0000D3190000}"/>
    <cellStyle name="Normal 2 6 3 3 2 4" xfId="6601" xr:uid="{00000000-0005-0000-0000-0000D4190000}"/>
    <cellStyle name="Normal 2 6 3 3 3" xfId="6602" xr:uid="{00000000-0005-0000-0000-0000D5190000}"/>
    <cellStyle name="Normal 2 6 3 3 3 2" xfId="6603" xr:uid="{00000000-0005-0000-0000-0000D6190000}"/>
    <cellStyle name="Normal 2 6 3 3 3 2 2" xfId="6604" xr:uid="{00000000-0005-0000-0000-0000D7190000}"/>
    <cellStyle name="Normal 2 6 3 3 3 2 3" xfId="6605" xr:uid="{00000000-0005-0000-0000-0000D8190000}"/>
    <cellStyle name="Normal 2 6 3 3 3 3" xfId="6606" xr:uid="{00000000-0005-0000-0000-0000D9190000}"/>
    <cellStyle name="Normal 2 6 3 3 3 4" xfId="6607" xr:uid="{00000000-0005-0000-0000-0000DA190000}"/>
    <cellStyle name="Normal 2 6 3 3 4" xfId="6608" xr:uid="{00000000-0005-0000-0000-0000DB190000}"/>
    <cellStyle name="Normal 2 6 3 3 4 2" xfId="6609" xr:uid="{00000000-0005-0000-0000-0000DC190000}"/>
    <cellStyle name="Normal 2 6 3 3 4 3" xfId="6610" xr:uid="{00000000-0005-0000-0000-0000DD190000}"/>
    <cellStyle name="Normal 2 6 3 3 5" xfId="6611" xr:uid="{00000000-0005-0000-0000-0000DE190000}"/>
    <cellStyle name="Normal 2 6 3 3 6" xfId="6612" xr:uid="{00000000-0005-0000-0000-0000DF190000}"/>
    <cellStyle name="Normal 2 6 3 3 7" xfId="6613" xr:uid="{00000000-0005-0000-0000-0000E0190000}"/>
    <cellStyle name="Normal 2 6 3 4" xfId="6614" xr:uid="{00000000-0005-0000-0000-0000E1190000}"/>
    <cellStyle name="Normal 2 6 3 4 2" xfId="6615" xr:uid="{00000000-0005-0000-0000-0000E2190000}"/>
    <cellStyle name="Normal 2 6 3 4 2 2" xfId="6616" xr:uid="{00000000-0005-0000-0000-0000E3190000}"/>
    <cellStyle name="Normal 2 6 3 4 2 3" xfId="6617" xr:uid="{00000000-0005-0000-0000-0000E4190000}"/>
    <cellStyle name="Normal 2 6 3 4 3" xfId="6618" xr:uid="{00000000-0005-0000-0000-0000E5190000}"/>
    <cellStyle name="Normal 2 6 3 4 4" xfId="6619" xr:uid="{00000000-0005-0000-0000-0000E6190000}"/>
    <cellStyle name="Normal 2 6 3 5" xfId="6620" xr:uid="{00000000-0005-0000-0000-0000E7190000}"/>
    <cellStyle name="Normal 2 6 3 5 2" xfId="6621" xr:uid="{00000000-0005-0000-0000-0000E8190000}"/>
    <cellStyle name="Normal 2 6 3 5 2 2" xfId="6622" xr:uid="{00000000-0005-0000-0000-0000E9190000}"/>
    <cellStyle name="Normal 2 6 3 5 2 3" xfId="6623" xr:uid="{00000000-0005-0000-0000-0000EA190000}"/>
    <cellStyle name="Normal 2 6 3 5 3" xfId="6624" xr:uid="{00000000-0005-0000-0000-0000EB190000}"/>
    <cellStyle name="Normal 2 6 3 5 4" xfId="6625" xr:uid="{00000000-0005-0000-0000-0000EC190000}"/>
    <cellStyle name="Normal 2 6 3 6" xfId="6626" xr:uid="{00000000-0005-0000-0000-0000ED190000}"/>
    <cellStyle name="Normal 2 6 3 6 2" xfId="6627" xr:uid="{00000000-0005-0000-0000-0000EE190000}"/>
    <cellStyle name="Normal 2 6 3 6 3" xfId="6628" xr:uid="{00000000-0005-0000-0000-0000EF190000}"/>
    <cellStyle name="Normal 2 6 3 7" xfId="6629" xr:uid="{00000000-0005-0000-0000-0000F0190000}"/>
    <cellStyle name="Normal 2 6 3 8" xfId="6630" xr:uid="{00000000-0005-0000-0000-0000F1190000}"/>
    <cellStyle name="Normal 2 6 3 9" xfId="6631" xr:uid="{00000000-0005-0000-0000-0000F2190000}"/>
    <cellStyle name="Normal 2 6 4" xfId="6632" xr:uid="{00000000-0005-0000-0000-0000F3190000}"/>
    <cellStyle name="Normal 2 6 4 2" xfId="6633" xr:uid="{00000000-0005-0000-0000-0000F4190000}"/>
    <cellStyle name="Normal 2 6 4 3" xfId="6634" xr:uid="{00000000-0005-0000-0000-0000F5190000}"/>
    <cellStyle name="Normal 2 6 4 4" xfId="6635" xr:uid="{00000000-0005-0000-0000-0000F6190000}"/>
    <cellStyle name="Normal 2 6 5" xfId="6636" xr:uid="{00000000-0005-0000-0000-0000F7190000}"/>
    <cellStyle name="Normal 2 6 5 2" xfId="6637" xr:uid="{00000000-0005-0000-0000-0000F8190000}"/>
    <cellStyle name="Normal 2 6 5 3" xfId="6638" xr:uid="{00000000-0005-0000-0000-0000F9190000}"/>
    <cellStyle name="Normal 2 6 5 4" xfId="6639" xr:uid="{00000000-0005-0000-0000-0000FA190000}"/>
    <cellStyle name="Normal 2 6 6" xfId="6640" xr:uid="{00000000-0005-0000-0000-0000FB190000}"/>
    <cellStyle name="Normal 2 6 6 2" xfId="6641" xr:uid="{00000000-0005-0000-0000-0000FC190000}"/>
    <cellStyle name="Normal 2 6 6 3" xfId="6642" xr:uid="{00000000-0005-0000-0000-0000FD190000}"/>
    <cellStyle name="Normal 2 6 6 4" xfId="6643" xr:uid="{00000000-0005-0000-0000-0000FE190000}"/>
    <cellStyle name="Normal 2 6 7" xfId="6644" xr:uid="{00000000-0005-0000-0000-0000FF190000}"/>
    <cellStyle name="Normal 2 6 7 2" xfId="6645" xr:uid="{00000000-0005-0000-0000-0000001A0000}"/>
    <cellStyle name="Normal 2 6 7 3" xfId="6646" xr:uid="{00000000-0005-0000-0000-0000011A0000}"/>
    <cellStyle name="Normal 2 6 7 4" xfId="6647" xr:uid="{00000000-0005-0000-0000-0000021A0000}"/>
    <cellStyle name="Normal 2 6 8" xfId="6648" xr:uid="{00000000-0005-0000-0000-0000031A0000}"/>
    <cellStyle name="Normal 2 6 8 2" xfId="6649" xr:uid="{00000000-0005-0000-0000-0000041A0000}"/>
    <cellStyle name="Normal 2 6 8 3" xfId="6650" xr:uid="{00000000-0005-0000-0000-0000051A0000}"/>
    <cellStyle name="Normal 2 6 8 4" xfId="6651" xr:uid="{00000000-0005-0000-0000-0000061A0000}"/>
    <cellStyle name="Normal 2 6 9" xfId="6652" xr:uid="{00000000-0005-0000-0000-0000071A0000}"/>
    <cellStyle name="Normal 2 6 9 2" xfId="6653" xr:uid="{00000000-0005-0000-0000-0000081A0000}"/>
    <cellStyle name="Normal 2 6 9 3" xfId="6654" xr:uid="{00000000-0005-0000-0000-0000091A0000}"/>
    <cellStyle name="Normal 2 6 9 4" xfId="6655" xr:uid="{00000000-0005-0000-0000-00000A1A0000}"/>
    <cellStyle name="Normal 2 7" xfId="6656" xr:uid="{00000000-0005-0000-0000-00000B1A0000}"/>
    <cellStyle name="Normal 2 7 2" xfId="6657" xr:uid="{00000000-0005-0000-0000-00000C1A0000}"/>
    <cellStyle name="Normal 2 7 2 2" xfId="6658" xr:uid="{00000000-0005-0000-0000-00000D1A0000}"/>
    <cellStyle name="Normal 2 7 2 3" xfId="6659" xr:uid="{00000000-0005-0000-0000-00000E1A0000}"/>
    <cellStyle name="Normal 2 7 2 4" xfId="6660" xr:uid="{00000000-0005-0000-0000-00000F1A0000}"/>
    <cellStyle name="Normal 2 7 3" xfId="6661" xr:uid="{00000000-0005-0000-0000-0000101A0000}"/>
    <cellStyle name="Normal 2 7 4" xfId="6662" xr:uid="{00000000-0005-0000-0000-0000111A0000}"/>
    <cellStyle name="Normal 2 7 5" xfId="6663" xr:uid="{00000000-0005-0000-0000-0000121A0000}"/>
    <cellStyle name="Normal 2 7 6" xfId="6664" xr:uid="{00000000-0005-0000-0000-0000131A0000}"/>
    <cellStyle name="Normal 2 8" xfId="6665" xr:uid="{00000000-0005-0000-0000-0000141A0000}"/>
    <cellStyle name="Normal 2 8 2" xfId="6666" xr:uid="{00000000-0005-0000-0000-0000151A0000}"/>
    <cellStyle name="Normal 2 8 2 2" xfId="6667" xr:uid="{00000000-0005-0000-0000-0000161A0000}"/>
    <cellStyle name="Normal 2 8 2 3" xfId="6668" xr:uid="{00000000-0005-0000-0000-0000171A0000}"/>
    <cellStyle name="Normal 2 8 2 4" xfId="6669" xr:uid="{00000000-0005-0000-0000-0000181A0000}"/>
    <cellStyle name="Normal 2 8 3" xfId="6670" xr:uid="{00000000-0005-0000-0000-0000191A0000}"/>
    <cellStyle name="Normal 2 8 3 2" xfId="6671" xr:uid="{00000000-0005-0000-0000-00001A1A0000}"/>
    <cellStyle name="Normal 2 8 3 3" xfId="6672" xr:uid="{00000000-0005-0000-0000-00001B1A0000}"/>
    <cellStyle name="Normal 2 8 3 4" xfId="6673" xr:uid="{00000000-0005-0000-0000-00001C1A0000}"/>
    <cellStyle name="Normal 2 8 4" xfId="6674" xr:uid="{00000000-0005-0000-0000-00001D1A0000}"/>
    <cellStyle name="Normal 2 8 4 2" xfId="6675" xr:uid="{00000000-0005-0000-0000-00001E1A0000}"/>
    <cellStyle name="Normal 2 8 4 2 2" xfId="6676" xr:uid="{00000000-0005-0000-0000-00001F1A0000}"/>
    <cellStyle name="Normal 2 8 4 2 3" xfId="6677" xr:uid="{00000000-0005-0000-0000-0000201A0000}"/>
    <cellStyle name="Normal 2 8 4 2 4" xfId="6678" xr:uid="{00000000-0005-0000-0000-0000211A0000}"/>
    <cellStyle name="Normal 2 8 4 3" xfId="6679" xr:uid="{00000000-0005-0000-0000-0000221A0000}"/>
    <cellStyle name="Normal 2 8 4 4" xfId="6680" xr:uid="{00000000-0005-0000-0000-0000231A0000}"/>
    <cellStyle name="Normal 2 8 4 5" xfId="6681" xr:uid="{00000000-0005-0000-0000-0000241A0000}"/>
    <cellStyle name="Normal 2 8 5" xfId="6682" xr:uid="{00000000-0005-0000-0000-0000251A0000}"/>
    <cellStyle name="Normal 2 8 6" xfId="6683" xr:uid="{00000000-0005-0000-0000-0000261A0000}"/>
    <cellStyle name="Normal 2 8 7" xfId="6684" xr:uid="{00000000-0005-0000-0000-0000271A0000}"/>
    <cellStyle name="Normal 2 8 8" xfId="6685" xr:uid="{00000000-0005-0000-0000-0000281A0000}"/>
    <cellStyle name="Normal 2 9" xfId="6686" xr:uid="{00000000-0005-0000-0000-0000291A0000}"/>
    <cellStyle name="Normal 2 9 10" xfId="6687" xr:uid="{00000000-0005-0000-0000-00002A1A0000}"/>
    <cellStyle name="Normal 2 9 2" xfId="6688" xr:uid="{00000000-0005-0000-0000-00002B1A0000}"/>
    <cellStyle name="Normal 2 9 2 2" xfId="6689" xr:uid="{00000000-0005-0000-0000-00002C1A0000}"/>
    <cellStyle name="Normal 2 9 2 2 2" xfId="6690" xr:uid="{00000000-0005-0000-0000-00002D1A0000}"/>
    <cellStyle name="Normal 2 9 2 2 3" xfId="6691" xr:uid="{00000000-0005-0000-0000-00002E1A0000}"/>
    <cellStyle name="Normal 2 9 2 2 4" xfId="6692" xr:uid="{00000000-0005-0000-0000-00002F1A0000}"/>
    <cellStyle name="Normal 2 9 2 3" xfId="6693" xr:uid="{00000000-0005-0000-0000-0000301A0000}"/>
    <cellStyle name="Normal 2 9 2 3 2" xfId="6694" xr:uid="{00000000-0005-0000-0000-0000311A0000}"/>
    <cellStyle name="Normal 2 9 2 3 2 2" xfId="6695" xr:uid="{00000000-0005-0000-0000-0000321A0000}"/>
    <cellStyle name="Normal 2 9 2 3 2 2 2" xfId="6696" xr:uid="{00000000-0005-0000-0000-0000331A0000}"/>
    <cellStyle name="Normal 2 9 2 3 2 2 3" xfId="6697" xr:uid="{00000000-0005-0000-0000-0000341A0000}"/>
    <cellStyle name="Normal 2 9 2 3 2 3" xfId="6698" xr:uid="{00000000-0005-0000-0000-0000351A0000}"/>
    <cellStyle name="Normal 2 9 2 3 2 4" xfId="6699" xr:uid="{00000000-0005-0000-0000-0000361A0000}"/>
    <cellStyle name="Normal 2 9 2 3 3" xfId="6700" xr:uid="{00000000-0005-0000-0000-0000371A0000}"/>
    <cellStyle name="Normal 2 9 2 3 3 2" xfId="6701" xr:uid="{00000000-0005-0000-0000-0000381A0000}"/>
    <cellStyle name="Normal 2 9 2 3 3 2 2" xfId="6702" xr:uid="{00000000-0005-0000-0000-0000391A0000}"/>
    <cellStyle name="Normal 2 9 2 3 3 2 3" xfId="6703" xr:uid="{00000000-0005-0000-0000-00003A1A0000}"/>
    <cellStyle name="Normal 2 9 2 3 3 3" xfId="6704" xr:uid="{00000000-0005-0000-0000-00003B1A0000}"/>
    <cellStyle name="Normal 2 9 2 3 3 4" xfId="6705" xr:uid="{00000000-0005-0000-0000-00003C1A0000}"/>
    <cellStyle name="Normal 2 9 2 3 4" xfId="6706" xr:uid="{00000000-0005-0000-0000-00003D1A0000}"/>
    <cellStyle name="Normal 2 9 2 3 4 2" xfId="6707" xr:uid="{00000000-0005-0000-0000-00003E1A0000}"/>
    <cellStyle name="Normal 2 9 2 3 4 3" xfId="6708" xr:uid="{00000000-0005-0000-0000-00003F1A0000}"/>
    <cellStyle name="Normal 2 9 2 3 5" xfId="6709" xr:uid="{00000000-0005-0000-0000-0000401A0000}"/>
    <cellStyle name="Normal 2 9 2 3 6" xfId="6710" xr:uid="{00000000-0005-0000-0000-0000411A0000}"/>
    <cellStyle name="Normal 2 9 2 3 7" xfId="6711" xr:uid="{00000000-0005-0000-0000-0000421A0000}"/>
    <cellStyle name="Normal 2 9 2 4" xfId="6712" xr:uid="{00000000-0005-0000-0000-0000431A0000}"/>
    <cellStyle name="Normal 2 9 2 4 2" xfId="6713" xr:uid="{00000000-0005-0000-0000-0000441A0000}"/>
    <cellStyle name="Normal 2 9 2 4 2 2" xfId="6714" xr:uid="{00000000-0005-0000-0000-0000451A0000}"/>
    <cellStyle name="Normal 2 9 2 4 2 3" xfId="6715" xr:uid="{00000000-0005-0000-0000-0000461A0000}"/>
    <cellStyle name="Normal 2 9 2 4 3" xfId="6716" xr:uid="{00000000-0005-0000-0000-0000471A0000}"/>
    <cellStyle name="Normal 2 9 2 4 4" xfId="6717" xr:uid="{00000000-0005-0000-0000-0000481A0000}"/>
    <cellStyle name="Normal 2 9 2 5" xfId="6718" xr:uid="{00000000-0005-0000-0000-0000491A0000}"/>
    <cellStyle name="Normal 2 9 2 5 2" xfId="6719" xr:uid="{00000000-0005-0000-0000-00004A1A0000}"/>
    <cellStyle name="Normal 2 9 2 5 2 2" xfId="6720" xr:uid="{00000000-0005-0000-0000-00004B1A0000}"/>
    <cellStyle name="Normal 2 9 2 5 2 3" xfId="6721" xr:uid="{00000000-0005-0000-0000-00004C1A0000}"/>
    <cellStyle name="Normal 2 9 2 5 3" xfId="6722" xr:uid="{00000000-0005-0000-0000-00004D1A0000}"/>
    <cellStyle name="Normal 2 9 2 5 4" xfId="6723" xr:uid="{00000000-0005-0000-0000-00004E1A0000}"/>
    <cellStyle name="Normal 2 9 2 6" xfId="6724" xr:uid="{00000000-0005-0000-0000-00004F1A0000}"/>
    <cellStyle name="Normal 2 9 2 6 2" xfId="6725" xr:uid="{00000000-0005-0000-0000-0000501A0000}"/>
    <cellStyle name="Normal 2 9 2 6 3" xfId="6726" xr:uid="{00000000-0005-0000-0000-0000511A0000}"/>
    <cellStyle name="Normal 2 9 2 7" xfId="6727" xr:uid="{00000000-0005-0000-0000-0000521A0000}"/>
    <cellStyle name="Normal 2 9 2 8" xfId="6728" xr:uid="{00000000-0005-0000-0000-0000531A0000}"/>
    <cellStyle name="Normal 2 9 2 9" xfId="6729" xr:uid="{00000000-0005-0000-0000-0000541A0000}"/>
    <cellStyle name="Normal 2 9 3" xfId="6730" xr:uid="{00000000-0005-0000-0000-0000551A0000}"/>
    <cellStyle name="Normal 2 9 3 2" xfId="6731" xr:uid="{00000000-0005-0000-0000-0000561A0000}"/>
    <cellStyle name="Normal 2 9 3 2 2" xfId="6732" xr:uid="{00000000-0005-0000-0000-0000571A0000}"/>
    <cellStyle name="Normal 2 9 3 2 2 2" xfId="6733" xr:uid="{00000000-0005-0000-0000-0000581A0000}"/>
    <cellStyle name="Normal 2 9 3 2 2 2 2" xfId="6734" xr:uid="{00000000-0005-0000-0000-0000591A0000}"/>
    <cellStyle name="Normal 2 9 3 2 2 2 3" xfId="6735" xr:uid="{00000000-0005-0000-0000-00005A1A0000}"/>
    <cellStyle name="Normal 2 9 3 2 2 3" xfId="6736" xr:uid="{00000000-0005-0000-0000-00005B1A0000}"/>
    <cellStyle name="Normal 2 9 3 2 2 4" xfId="6737" xr:uid="{00000000-0005-0000-0000-00005C1A0000}"/>
    <cellStyle name="Normal 2 9 3 2 3" xfId="6738" xr:uid="{00000000-0005-0000-0000-00005D1A0000}"/>
    <cellStyle name="Normal 2 9 3 2 3 2" xfId="6739" xr:uid="{00000000-0005-0000-0000-00005E1A0000}"/>
    <cellStyle name="Normal 2 9 3 2 3 2 2" xfId="6740" xr:uid="{00000000-0005-0000-0000-00005F1A0000}"/>
    <cellStyle name="Normal 2 9 3 2 3 2 3" xfId="6741" xr:uid="{00000000-0005-0000-0000-0000601A0000}"/>
    <cellStyle name="Normal 2 9 3 2 3 3" xfId="6742" xr:uid="{00000000-0005-0000-0000-0000611A0000}"/>
    <cellStyle name="Normal 2 9 3 2 3 4" xfId="6743" xr:uid="{00000000-0005-0000-0000-0000621A0000}"/>
    <cellStyle name="Normal 2 9 3 2 4" xfId="6744" xr:uid="{00000000-0005-0000-0000-0000631A0000}"/>
    <cellStyle name="Normal 2 9 3 2 4 2" xfId="6745" xr:uid="{00000000-0005-0000-0000-0000641A0000}"/>
    <cellStyle name="Normal 2 9 3 2 4 3" xfId="6746" xr:uid="{00000000-0005-0000-0000-0000651A0000}"/>
    <cellStyle name="Normal 2 9 3 2 5" xfId="6747" xr:uid="{00000000-0005-0000-0000-0000661A0000}"/>
    <cellStyle name="Normal 2 9 3 2 6" xfId="6748" xr:uid="{00000000-0005-0000-0000-0000671A0000}"/>
    <cellStyle name="Normal 2 9 3 2 7" xfId="6749" xr:uid="{00000000-0005-0000-0000-0000681A0000}"/>
    <cellStyle name="Normal 2 9 3 3" xfId="6750" xr:uid="{00000000-0005-0000-0000-0000691A0000}"/>
    <cellStyle name="Normal 2 9 3 3 2" xfId="6751" xr:uid="{00000000-0005-0000-0000-00006A1A0000}"/>
    <cellStyle name="Normal 2 9 3 3 2 2" xfId="6752" xr:uid="{00000000-0005-0000-0000-00006B1A0000}"/>
    <cellStyle name="Normal 2 9 3 3 2 3" xfId="6753" xr:uid="{00000000-0005-0000-0000-00006C1A0000}"/>
    <cellStyle name="Normal 2 9 3 3 3" xfId="6754" xr:uid="{00000000-0005-0000-0000-00006D1A0000}"/>
    <cellStyle name="Normal 2 9 3 3 4" xfId="6755" xr:uid="{00000000-0005-0000-0000-00006E1A0000}"/>
    <cellStyle name="Normal 2 9 3 4" xfId="6756" xr:uid="{00000000-0005-0000-0000-00006F1A0000}"/>
    <cellStyle name="Normal 2 9 3 4 2" xfId="6757" xr:uid="{00000000-0005-0000-0000-0000701A0000}"/>
    <cellStyle name="Normal 2 9 3 4 2 2" xfId="6758" xr:uid="{00000000-0005-0000-0000-0000711A0000}"/>
    <cellStyle name="Normal 2 9 3 4 2 3" xfId="6759" xr:uid="{00000000-0005-0000-0000-0000721A0000}"/>
    <cellStyle name="Normal 2 9 3 4 3" xfId="6760" xr:uid="{00000000-0005-0000-0000-0000731A0000}"/>
    <cellStyle name="Normal 2 9 3 4 4" xfId="6761" xr:uid="{00000000-0005-0000-0000-0000741A0000}"/>
    <cellStyle name="Normal 2 9 3 5" xfId="6762" xr:uid="{00000000-0005-0000-0000-0000751A0000}"/>
    <cellStyle name="Normal 2 9 3 5 2" xfId="6763" xr:uid="{00000000-0005-0000-0000-0000761A0000}"/>
    <cellStyle name="Normal 2 9 3 5 3" xfId="6764" xr:uid="{00000000-0005-0000-0000-0000771A0000}"/>
    <cellStyle name="Normal 2 9 3 6" xfId="6765" xr:uid="{00000000-0005-0000-0000-0000781A0000}"/>
    <cellStyle name="Normal 2 9 3 7" xfId="6766" xr:uid="{00000000-0005-0000-0000-0000791A0000}"/>
    <cellStyle name="Normal 2 9 3 8" xfId="6767" xr:uid="{00000000-0005-0000-0000-00007A1A0000}"/>
    <cellStyle name="Normal 2 9 4" xfId="6768" xr:uid="{00000000-0005-0000-0000-00007B1A0000}"/>
    <cellStyle name="Normal 2 9 4 2" xfId="6769" xr:uid="{00000000-0005-0000-0000-00007C1A0000}"/>
    <cellStyle name="Normal 2 9 4 2 2" xfId="6770" xr:uid="{00000000-0005-0000-0000-00007D1A0000}"/>
    <cellStyle name="Normal 2 9 4 2 2 2" xfId="6771" xr:uid="{00000000-0005-0000-0000-00007E1A0000}"/>
    <cellStyle name="Normal 2 9 4 2 2 3" xfId="6772" xr:uid="{00000000-0005-0000-0000-00007F1A0000}"/>
    <cellStyle name="Normal 2 9 4 2 3" xfId="6773" xr:uid="{00000000-0005-0000-0000-0000801A0000}"/>
    <cellStyle name="Normal 2 9 4 2 4" xfId="6774" xr:uid="{00000000-0005-0000-0000-0000811A0000}"/>
    <cellStyle name="Normal 2 9 4 3" xfId="6775" xr:uid="{00000000-0005-0000-0000-0000821A0000}"/>
    <cellStyle name="Normal 2 9 4 3 2" xfId="6776" xr:uid="{00000000-0005-0000-0000-0000831A0000}"/>
    <cellStyle name="Normal 2 9 4 3 2 2" xfId="6777" xr:uid="{00000000-0005-0000-0000-0000841A0000}"/>
    <cellStyle name="Normal 2 9 4 3 2 3" xfId="6778" xr:uid="{00000000-0005-0000-0000-0000851A0000}"/>
    <cellStyle name="Normal 2 9 4 3 3" xfId="6779" xr:uid="{00000000-0005-0000-0000-0000861A0000}"/>
    <cellStyle name="Normal 2 9 4 3 4" xfId="6780" xr:uid="{00000000-0005-0000-0000-0000871A0000}"/>
    <cellStyle name="Normal 2 9 4 4" xfId="6781" xr:uid="{00000000-0005-0000-0000-0000881A0000}"/>
    <cellStyle name="Normal 2 9 4 4 2" xfId="6782" xr:uid="{00000000-0005-0000-0000-0000891A0000}"/>
    <cellStyle name="Normal 2 9 4 4 3" xfId="6783" xr:uid="{00000000-0005-0000-0000-00008A1A0000}"/>
    <cellStyle name="Normal 2 9 4 5" xfId="6784" xr:uid="{00000000-0005-0000-0000-00008B1A0000}"/>
    <cellStyle name="Normal 2 9 4 6" xfId="6785" xr:uid="{00000000-0005-0000-0000-00008C1A0000}"/>
    <cellStyle name="Normal 2 9 4 7" xfId="6786" xr:uid="{00000000-0005-0000-0000-00008D1A0000}"/>
    <cellStyle name="Normal 2 9 5" xfId="6787" xr:uid="{00000000-0005-0000-0000-00008E1A0000}"/>
    <cellStyle name="Normal 2 9 5 2" xfId="6788" xr:uid="{00000000-0005-0000-0000-00008F1A0000}"/>
    <cellStyle name="Normal 2 9 5 2 2" xfId="6789" xr:uid="{00000000-0005-0000-0000-0000901A0000}"/>
    <cellStyle name="Normal 2 9 5 2 2 2" xfId="6790" xr:uid="{00000000-0005-0000-0000-0000911A0000}"/>
    <cellStyle name="Normal 2 9 5 2 2 3" xfId="6791" xr:uid="{00000000-0005-0000-0000-0000921A0000}"/>
    <cellStyle name="Normal 2 9 5 2 3" xfId="6792" xr:uid="{00000000-0005-0000-0000-0000931A0000}"/>
    <cellStyle name="Normal 2 9 5 2 4" xfId="6793" xr:uid="{00000000-0005-0000-0000-0000941A0000}"/>
    <cellStyle name="Normal 2 9 5 3" xfId="6794" xr:uid="{00000000-0005-0000-0000-0000951A0000}"/>
    <cellStyle name="Normal 2 9 5 3 2" xfId="6795" xr:uid="{00000000-0005-0000-0000-0000961A0000}"/>
    <cellStyle name="Normal 2 9 5 3 3" xfId="6796" xr:uid="{00000000-0005-0000-0000-0000971A0000}"/>
    <cellStyle name="Normal 2 9 5 4" xfId="6797" xr:uid="{00000000-0005-0000-0000-0000981A0000}"/>
    <cellStyle name="Normal 2 9 5 5" xfId="6798" xr:uid="{00000000-0005-0000-0000-0000991A0000}"/>
    <cellStyle name="Normal 2 9 5 6" xfId="6799" xr:uid="{00000000-0005-0000-0000-00009A1A0000}"/>
    <cellStyle name="Normal 2 9 6" xfId="6800" xr:uid="{00000000-0005-0000-0000-00009B1A0000}"/>
    <cellStyle name="Normal 2 9 6 2" xfId="6801" xr:uid="{00000000-0005-0000-0000-00009C1A0000}"/>
    <cellStyle name="Normal 2 9 6 3" xfId="6802" xr:uid="{00000000-0005-0000-0000-00009D1A0000}"/>
    <cellStyle name="Normal 2 9 7" xfId="6803" xr:uid="{00000000-0005-0000-0000-00009E1A0000}"/>
    <cellStyle name="Normal 2 9 8" xfId="6804" xr:uid="{00000000-0005-0000-0000-00009F1A0000}"/>
    <cellStyle name="Normal 2 9 9" xfId="6805" xr:uid="{00000000-0005-0000-0000-0000A01A0000}"/>
    <cellStyle name="Normal 2_bound" xfId="6806" xr:uid="{00000000-0005-0000-0000-0000A11A0000}"/>
    <cellStyle name="Normal 20" xfId="6807" xr:uid="{00000000-0005-0000-0000-0000A21A0000}"/>
    <cellStyle name="Normal 20 2" xfId="6808" xr:uid="{00000000-0005-0000-0000-0000A31A0000}"/>
    <cellStyle name="Normal 20 2 2" xfId="6809" xr:uid="{00000000-0005-0000-0000-0000A41A0000}"/>
    <cellStyle name="Normal 20 2 3" xfId="6810" xr:uid="{00000000-0005-0000-0000-0000A51A0000}"/>
    <cellStyle name="Normal 20 2 4" xfId="6811" xr:uid="{00000000-0005-0000-0000-0000A61A0000}"/>
    <cellStyle name="Normal 20 3" xfId="6812" xr:uid="{00000000-0005-0000-0000-0000A71A0000}"/>
    <cellStyle name="Normal 20 3 2" xfId="6813" xr:uid="{00000000-0005-0000-0000-0000A81A0000}"/>
    <cellStyle name="Normal 20 3 3" xfId="6814" xr:uid="{00000000-0005-0000-0000-0000A91A0000}"/>
    <cellStyle name="Normal 20 3 4" xfId="6815" xr:uid="{00000000-0005-0000-0000-0000AA1A0000}"/>
    <cellStyle name="Normal 20 4" xfId="6816" xr:uid="{00000000-0005-0000-0000-0000AB1A0000}"/>
    <cellStyle name="Normal 20 4 2" xfId="6817" xr:uid="{00000000-0005-0000-0000-0000AC1A0000}"/>
    <cellStyle name="Normal 20 4 3" xfId="6818" xr:uid="{00000000-0005-0000-0000-0000AD1A0000}"/>
    <cellStyle name="Normal 20 4 4" xfId="6819" xr:uid="{00000000-0005-0000-0000-0000AE1A0000}"/>
    <cellStyle name="Normal 20 5" xfId="6820" xr:uid="{00000000-0005-0000-0000-0000AF1A0000}"/>
    <cellStyle name="Normal 20 6" xfId="6821" xr:uid="{00000000-0005-0000-0000-0000B01A0000}"/>
    <cellStyle name="Normal 20 7" xfId="6822" xr:uid="{00000000-0005-0000-0000-0000B11A0000}"/>
    <cellStyle name="Normal 20 8" xfId="6823" xr:uid="{00000000-0005-0000-0000-0000B21A0000}"/>
    <cellStyle name="Normal 21" xfId="6824" xr:uid="{00000000-0005-0000-0000-0000B31A0000}"/>
    <cellStyle name="Normal 21 2" xfId="6825" xr:uid="{00000000-0005-0000-0000-0000B41A0000}"/>
    <cellStyle name="Normal 21 2 2" xfId="6826" xr:uid="{00000000-0005-0000-0000-0000B51A0000}"/>
    <cellStyle name="Normal 21 2 3" xfId="6827" xr:uid="{00000000-0005-0000-0000-0000B61A0000}"/>
    <cellStyle name="Normal 21 2 4" xfId="6828" xr:uid="{00000000-0005-0000-0000-0000B71A0000}"/>
    <cellStyle name="Normal 21 2 5" xfId="6829" xr:uid="{00000000-0005-0000-0000-0000B81A0000}"/>
    <cellStyle name="Normal 21 3" xfId="6830" xr:uid="{00000000-0005-0000-0000-0000B91A0000}"/>
    <cellStyle name="Normal 21 3 2" xfId="6831" xr:uid="{00000000-0005-0000-0000-0000BA1A0000}"/>
    <cellStyle name="Normal 21 3 3" xfId="6832" xr:uid="{00000000-0005-0000-0000-0000BB1A0000}"/>
    <cellStyle name="Normal 21 3 4" xfId="6833" xr:uid="{00000000-0005-0000-0000-0000BC1A0000}"/>
    <cellStyle name="Normal 21 4" xfId="6834" xr:uid="{00000000-0005-0000-0000-0000BD1A0000}"/>
    <cellStyle name="Normal 21 4 2" xfId="6835" xr:uid="{00000000-0005-0000-0000-0000BE1A0000}"/>
    <cellStyle name="Normal 21 4 3" xfId="6836" xr:uid="{00000000-0005-0000-0000-0000BF1A0000}"/>
    <cellStyle name="Normal 21 4 4" xfId="6837" xr:uid="{00000000-0005-0000-0000-0000C01A0000}"/>
    <cellStyle name="Normal 21 5" xfId="6838" xr:uid="{00000000-0005-0000-0000-0000C11A0000}"/>
    <cellStyle name="Normal 21 5 2" xfId="6839" xr:uid="{00000000-0005-0000-0000-0000C21A0000}"/>
    <cellStyle name="Normal 21 5 3" xfId="6840" xr:uid="{00000000-0005-0000-0000-0000C31A0000}"/>
    <cellStyle name="Normal 21 6" xfId="6841" xr:uid="{00000000-0005-0000-0000-0000C41A0000}"/>
    <cellStyle name="Normal 21 7" xfId="6842" xr:uid="{00000000-0005-0000-0000-0000C51A0000}"/>
    <cellStyle name="Normal 21 8" xfId="6843" xr:uid="{00000000-0005-0000-0000-0000C61A0000}"/>
    <cellStyle name="Normal 21 9" xfId="6844" xr:uid="{00000000-0005-0000-0000-0000C71A0000}"/>
    <cellStyle name="Normal 21_Scen_XBase" xfId="6845" xr:uid="{00000000-0005-0000-0000-0000C81A0000}"/>
    <cellStyle name="Normal 22" xfId="6846" xr:uid="{00000000-0005-0000-0000-0000C91A0000}"/>
    <cellStyle name="Normal 22 2" xfId="6847" xr:uid="{00000000-0005-0000-0000-0000CA1A0000}"/>
    <cellStyle name="Normal 22 3" xfId="6848" xr:uid="{00000000-0005-0000-0000-0000CB1A0000}"/>
    <cellStyle name="Normal 22 4" xfId="6849" xr:uid="{00000000-0005-0000-0000-0000CC1A0000}"/>
    <cellStyle name="Normal 22 5" xfId="6850" xr:uid="{00000000-0005-0000-0000-0000CD1A0000}"/>
    <cellStyle name="Normal 22 6" xfId="6851" xr:uid="{00000000-0005-0000-0000-0000CE1A0000}"/>
    <cellStyle name="Normal 23" xfId="6852" xr:uid="{00000000-0005-0000-0000-0000CF1A0000}"/>
    <cellStyle name="Normal 23 2" xfId="6853" xr:uid="{00000000-0005-0000-0000-0000D01A0000}"/>
    <cellStyle name="Normal 23 2 2" xfId="6854" xr:uid="{00000000-0005-0000-0000-0000D11A0000}"/>
    <cellStyle name="Normal 23 2 3" xfId="6855" xr:uid="{00000000-0005-0000-0000-0000D21A0000}"/>
    <cellStyle name="Normal 23 2 4" xfId="6856" xr:uid="{00000000-0005-0000-0000-0000D31A0000}"/>
    <cellStyle name="Normal 23 3" xfId="6857" xr:uid="{00000000-0005-0000-0000-0000D41A0000}"/>
    <cellStyle name="Normal 23 3 2" xfId="6858" xr:uid="{00000000-0005-0000-0000-0000D51A0000}"/>
    <cellStyle name="Normal 23 3 3" xfId="6859" xr:uid="{00000000-0005-0000-0000-0000D61A0000}"/>
    <cellStyle name="Normal 23 3 4" xfId="6860" xr:uid="{00000000-0005-0000-0000-0000D71A0000}"/>
    <cellStyle name="Normal 23 4" xfId="6861" xr:uid="{00000000-0005-0000-0000-0000D81A0000}"/>
    <cellStyle name="Normal 23 5" xfId="6862" xr:uid="{00000000-0005-0000-0000-0000D91A0000}"/>
    <cellStyle name="Normal 23 6" xfId="6863" xr:uid="{00000000-0005-0000-0000-0000DA1A0000}"/>
    <cellStyle name="Normal 23 7" xfId="6864" xr:uid="{00000000-0005-0000-0000-0000DB1A0000}"/>
    <cellStyle name="Normal 24" xfId="6865" xr:uid="{00000000-0005-0000-0000-0000DC1A0000}"/>
    <cellStyle name="Normal 24 10" xfId="6866" xr:uid="{00000000-0005-0000-0000-0000DD1A0000}"/>
    <cellStyle name="Normal 24 10 2" xfId="6867" xr:uid="{00000000-0005-0000-0000-0000DE1A0000}"/>
    <cellStyle name="Normal 24 10 3" xfId="6868" xr:uid="{00000000-0005-0000-0000-0000DF1A0000}"/>
    <cellStyle name="Normal 24 10 4" xfId="6869" xr:uid="{00000000-0005-0000-0000-0000E01A0000}"/>
    <cellStyle name="Normal 24 11" xfId="6870" xr:uid="{00000000-0005-0000-0000-0000E11A0000}"/>
    <cellStyle name="Normal 24 11 2" xfId="6871" xr:uid="{00000000-0005-0000-0000-0000E21A0000}"/>
    <cellStyle name="Normal 24 11 3" xfId="6872" xr:uid="{00000000-0005-0000-0000-0000E31A0000}"/>
    <cellStyle name="Normal 24 11 4" xfId="6873" xr:uid="{00000000-0005-0000-0000-0000E41A0000}"/>
    <cellStyle name="Normal 24 12" xfId="6874" xr:uid="{00000000-0005-0000-0000-0000E51A0000}"/>
    <cellStyle name="Normal 24 12 2" xfId="6875" xr:uid="{00000000-0005-0000-0000-0000E61A0000}"/>
    <cellStyle name="Normal 24 12 3" xfId="6876" xr:uid="{00000000-0005-0000-0000-0000E71A0000}"/>
    <cellStyle name="Normal 24 12 4" xfId="6877" xr:uid="{00000000-0005-0000-0000-0000E81A0000}"/>
    <cellStyle name="Normal 24 13" xfId="6878" xr:uid="{00000000-0005-0000-0000-0000E91A0000}"/>
    <cellStyle name="Normal 24 13 2" xfId="6879" xr:uid="{00000000-0005-0000-0000-0000EA1A0000}"/>
    <cellStyle name="Normal 24 13 3" xfId="6880" xr:uid="{00000000-0005-0000-0000-0000EB1A0000}"/>
    <cellStyle name="Normal 24 13 4" xfId="6881" xr:uid="{00000000-0005-0000-0000-0000EC1A0000}"/>
    <cellStyle name="Normal 24 14" xfId="6882" xr:uid="{00000000-0005-0000-0000-0000ED1A0000}"/>
    <cellStyle name="Normal 24 14 2" xfId="6883" xr:uid="{00000000-0005-0000-0000-0000EE1A0000}"/>
    <cellStyle name="Normal 24 14 3" xfId="6884" xr:uid="{00000000-0005-0000-0000-0000EF1A0000}"/>
    <cellStyle name="Normal 24 14 4" xfId="6885" xr:uid="{00000000-0005-0000-0000-0000F01A0000}"/>
    <cellStyle name="Normal 24 15" xfId="6886" xr:uid="{00000000-0005-0000-0000-0000F11A0000}"/>
    <cellStyle name="Normal 24 15 2" xfId="6887" xr:uid="{00000000-0005-0000-0000-0000F21A0000}"/>
    <cellStyle name="Normal 24 15 3" xfId="6888" xr:uid="{00000000-0005-0000-0000-0000F31A0000}"/>
    <cellStyle name="Normal 24 15 4" xfId="6889" xr:uid="{00000000-0005-0000-0000-0000F41A0000}"/>
    <cellStyle name="Normal 24 16" xfId="6890" xr:uid="{00000000-0005-0000-0000-0000F51A0000}"/>
    <cellStyle name="Normal 24 16 2" xfId="6891" xr:uid="{00000000-0005-0000-0000-0000F61A0000}"/>
    <cellStyle name="Normal 24 16 3" xfId="6892" xr:uid="{00000000-0005-0000-0000-0000F71A0000}"/>
    <cellStyle name="Normal 24 16 4" xfId="6893" xr:uid="{00000000-0005-0000-0000-0000F81A0000}"/>
    <cellStyle name="Normal 24 17" xfId="6894" xr:uid="{00000000-0005-0000-0000-0000F91A0000}"/>
    <cellStyle name="Normal 24 17 2" xfId="6895" xr:uid="{00000000-0005-0000-0000-0000FA1A0000}"/>
    <cellStyle name="Normal 24 17 3" xfId="6896" xr:uid="{00000000-0005-0000-0000-0000FB1A0000}"/>
    <cellStyle name="Normal 24 17 4" xfId="6897" xr:uid="{00000000-0005-0000-0000-0000FC1A0000}"/>
    <cellStyle name="Normal 24 18" xfId="6898" xr:uid="{00000000-0005-0000-0000-0000FD1A0000}"/>
    <cellStyle name="Normal 24 18 2" xfId="6899" xr:uid="{00000000-0005-0000-0000-0000FE1A0000}"/>
    <cellStyle name="Normal 24 18 3" xfId="6900" xr:uid="{00000000-0005-0000-0000-0000FF1A0000}"/>
    <cellStyle name="Normal 24 18 4" xfId="6901" xr:uid="{00000000-0005-0000-0000-0000001B0000}"/>
    <cellStyle name="Normal 24 19" xfId="6902" xr:uid="{00000000-0005-0000-0000-0000011B0000}"/>
    <cellStyle name="Normal 24 19 2" xfId="6903" xr:uid="{00000000-0005-0000-0000-0000021B0000}"/>
    <cellStyle name="Normal 24 19 3" xfId="6904" xr:uid="{00000000-0005-0000-0000-0000031B0000}"/>
    <cellStyle name="Normal 24 19 4" xfId="6905" xr:uid="{00000000-0005-0000-0000-0000041B0000}"/>
    <cellStyle name="Normal 24 2" xfId="6906" xr:uid="{00000000-0005-0000-0000-0000051B0000}"/>
    <cellStyle name="Normal 24 2 2" xfId="6907" xr:uid="{00000000-0005-0000-0000-0000061B0000}"/>
    <cellStyle name="Normal 24 2 3" xfId="6908" xr:uid="{00000000-0005-0000-0000-0000071B0000}"/>
    <cellStyle name="Normal 24 2 4" xfId="6909" xr:uid="{00000000-0005-0000-0000-0000081B0000}"/>
    <cellStyle name="Normal 24 20" xfId="6910" xr:uid="{00000000-0005-0000-0000-0000091B0000}"/>
    <cellStyle name="Normal 24 20 2" xfId="6911" xr:uid="{00000000-0005-0000-0000-00000A1B0000}"/>
    <cellStyle name="Normal 24 20 3" xfId="6912" xr:uid="{00000000-0005-0000-0000-00000B1B0000}"/>
    <cellStyle name="Normal 24 20 4" xfId="6913" xr:uid="{00000000-0005-0000-0000-00000C1B0000}"/>
    <cellStyle name="Normal 24 21" xfId="6914" xr:uid="{00000000-0005-0000-0000-00000D1B0000}"/>
    <cellStyle name="Normal 24 22" xfId="6915" xr:uid="{00000000-0005-0000-0000-00000E1B0000}"/>
    <cellStyle name="Normal 24 23" xfId="6916" xr:uid="{00000000-0005-0000-0000-00000F1B0000}"/>
    <cellStyle name="Normal 24 3" xfId="6917" xr:uid="{00000000-0005-0000-0000-0000101B0000}"/>
    <cellStyle name="Normal 24 3 2" xfId="6918" xr:uid="{00000000-0005-0000-0000-0000111B0000}"/>
    <cellStyle name="Normal 24 3 3" xfId="6919" xr:uid="{00000000-0005-0000-0000-0000121B0000}"/>
    <cellStyle name="Normal 24 3 4" xfId="6920" xr:uid="{00000000-0005-0000-0000-0000131B0000}"/>
    <cellStyle name="Normal 24 4" xfId="6921" xr:uid="{00000000-0005-0000-0000-0000141B0000}"/>
    <cellStyle name="Normal 24 4 2" xfId="6922" xr:uid="{00000000-0005-0000-0000-0000151B0000}"/>
    <cellStyle name="Normal 24 4 3" xfId="6923" xr:uid="{00000000-0005-0000-0000-0000161B0000}"/>
    <cellStyle name="Normal 24 4 4" xfId="6924" xr:uid="{00000000-0005-0000-0000-0000171B0000}"/>
    <cellStyle name="Normal 24 5" xfId="6925" xr:uid="{00000000-0005-0000-0000-0000181B0000}"/>
    <cellStyle name="Normal 24 5 2" xfId="6926" xr:uid="{00000000-0005-0000-0000-0000191B0000}"/>
    <cellStyle name="Normal 24 5 3" xfId="6927" xr:uid="{00000000-0005-0000-0000-00001A1B0000}"/>
    <cellStyle name="Normal 24 5 4" xfId="6928" xr:uid="{00000000-0005-0000-0000-00001B1B0000}"/>
    <cellStyle name="Normal 24 6" xfId="6929" xr:uid="{00000000-0005-0000-0000-00001C1B0000}"/>
    <cellStyle name="Normal 24 6 2" xfId="6930" xr:uid="{00000000-0005-0000-0000-00001D1B0000}"/>
    <cellStyle name="Normal 24 6 3" xfId="6931" xr:uid="{00000000-0005-0000-0000-00001E1B0000}"/>
    <cellStyle name="Normal 24 6 4" xfId="6932" xr:uid="{00000000-0005-0000-0000-00001F1B0000}"/>
    <cellStyle name="Normal 24 7" xfId="6933" xr:uid="{00000000-0005-0000-0000-0000201B0000}"/>
    <cellStyle name="Normal 24 7 2" xfId="6934" xr:uid="{00000000-0005-0000-0000-0000211B0000}"/>
    <cellStyle name="Normal 24 7 3" xfId="6935" xr:uid="{00000000-0005-0000-0000-0000221B0000}"/>
    <cellStyle name="Normal 24 7 4" xfId="6936" xr:uid="{00000000-0005-0000-0000-0000231B0000}"/>
    <cellStyle name="Normal 24 8" xfId="6937" xr:uid="{00000000-0005-0000-0000-0000241B0000}"/>
    <cellStyle name="Normal 24 8 2" xfId="6938" xr:uid="{00000000-0005-0000-0000-0000251B0000}"/>
    <cellStyle name="Normal 24 8 3" xfId="6939" xr:uid="{00000000-0005-0000-0000-0000261B0000}"/>
    <cellStyle name="Normal 24 8 4" xfId="6940" xr:uid="{00000000-0005-0000-0000-0000271B0000}"/>
    <cellStyle name="Normal 24 9" xfId="6941" xr:uid="{00000000-0005-0000-0000-0000281B0000}"/>
    <cellStyle name="Normal 24 9 2" xfId="6942" xr:uid="{00000000-0005-0000-0000-0000291B0000}"/>
    <cellStyle name="Normal 24 9 3" xfId="6943" xr:uid="{00000000-0005-0000-0000-00002A1B0000}"/>
    <cellStyle name="Normal 24 9 4" xfId="6944" xr:uid="{00000000-0005-0000-0000-00002B1B0000}"/>
    <cellStyle name="Normal 25" xfId="6945" xr:uid="{00000000-0005-0000-0000-00002C1B0000}"/>
    <cellStyle name="Normal 25 2" xfId="6946" xr:uid="{00000000-0005-0000-0000-00002D1B0000}"/>
    <cellStyle name="Normal 25 3" xfId="6947" xr:uid="{00000000-0005-0000-0000-00002E1B0000}"/>
    <cellStyle name="Normal 25 4" xfId="6948" xr:uid="{00000000-0005-0000-0000-00002F1B0000}"/>
    <cellStyle name="Normal 25 5" xfId="6949" xr:uid="{00000000-0005-0000-0000-0000301B0000}"/>
    <cellStyle name="Normal 25 6" xfId="6950" xr:uid="{00000000-0005-0000-0000-0000311B0000}"/>
    <cellStyle name="Normal 26" xfId="6951" xr:uid="{00000000-0005-0000-0000-0000321B0000}"/>
    <cellStyle name="Normal 26 2" xfId="6952" xr:uid="{00000000-0005-0000-0000-0000331B0000}"/>
    <cellStyle name="Normal 26 2 2" xfId="6953" xr:uid="{00000000-0005-0000-0000-0000341B0000}"/>
    <cellStyle name="Normal 26 2 3" xfId="6954" xr:uid="{00000000-0005-0000-0000-0000351B0000}"/>
    <cellStyle name="Normal 26 2 4" xfId="6955" xr:uid="{00000000-0005-0000-0000-0000361B0000}"/>
    <cellStyle name="Normal 26 2 5" xfId="6956" xr:uid="{00000000-0005-0000-0000-0000371B0000}"/>
    <cellStyle name="Normal 26 3" xfId="6957" xr:uid="{00000000-0005-0000-0000-0000381B0000}"/>
    <cellStyle name="Normal 26 3 2" xfId="6958" xr:uid="{00000000-0005-0000-0000-0000391B0000}"/>
    <cellStyle name="Normal 26 3 3" xfId="6959" xr:uid="{00000000-0005-0000-0000-00003A1B0000}"/>
    <cellStyle name="Normal 26 3 4" xfId="6960" xr:uid="{00000000-0005-0000-0000-00003B1B0000}"/>
    <cellStyle name="Normal 26 4" xfId="6961" xr:uid="{00000000-0005-0000-0000-00003C1B0000}"/>
    <cellStyle name="Normal 26 5" xfId="6962" xr:uid="{00000000-0005-0000-0000-00003D1B0000}"/>
    <cellStyle name="Normal 26 6" xfId="6963" xr:uid="{00000000-0005-0000-0000-00003E1B0000}"/>
    <cellStyle name="Normal 26 7" xfId="6964" xr:uid="{00000000-0005-0000-0000-00003F1B0000}"/>
    <cellStyle name="Normal 27" xfId="6965" xr:uid="{00000000-0005-0000-0000-0000401B0000}"/>
    <cellStyle name="Normal 27 2" xfId="6966" xr:uid="{00000000-0005-0000-0000-0000411B0000}"/>
    <cellStyle name="Normal 27 2 2" xfId="6967" xr:uid="{00000000-0005-0000-0000-0000421B0000}"/>
    <cellStyle name="Normal 27 2 3" xfId="6968" xr:uid="{00000000-0005-0000-0000-0000431B0000}"/>
    <cellStyle name="Normal 27 2 4" xfId="6969" xr:uid="{00000000-0005-0000-0000-0000441B0000}"/>
    <cellStyle name="Normal 27 3" xfId="6970" xr:uid="{00000000-0005-0000-0000-0000451B0000}"/>
    <cellStyle name="Normal 27 4" xfId="6971" xr:uid="{00000000-0005-0000-0000-0000461B0000}"/>
    <cellStyle name="Normal 27 5" xfId="6972" xr:uid="{00000000-0005-0000-0000-0000471B0000}"/>
    <cellStyle name="Normal 28" xfId="6973" xr:uid="{00000000-0005-0000-0000-0000481B0000}"/>
    <cellStyle name="Normal 28 2" xfId="6974" xr:uid="{00000000-0005-0000-0000-0000491B0000}"/>
    <cellStyle name="Normal 28 3" xfId="6975" xr:uid="{00000000-0005-0000-0000-00004A1B0000}"/>
    <cellStyle name="Normal 28 4" xfId="6976" xr:uid="{00000000-0005-0000-0000-00004B1B0000}"/>
    <cellStyle name="Normal 29" xfId="6977" xr:uid="{00000000-0005-0000-0000-00004C1B0000}"/>
    <cellStyle name="Normal 29 2" xfId="6978" xr:uid="{00000000-0005-0000-0000-00004D1B0000}"/>
    <cellStyle name="Normal 29 3" xfId="6979" xr:uid="{00000000-0005-0000-0000-00004E1B0000}"/>
    <cellStyle name="Normal 29 4" xfId="6980" xr:uid="{00000000-0005-0000-0000-00004F1B0000}"/>
    <cellStyle name="Normal 3" xfId="6981" xr:uid="{00000000-0005-0000-0000-0000501B0000}"/>
    <cellStyle name="Normal 3 10" xfId="6982" xr:uid="{00000000-0005-0000-0000-0000511B0000}"/>
    <cellStyle name="Normal 3 10 2" xfId="6983" xr:uid="{00000000-0005-0000-0000-0000521B0000}"/>
    <cellStyle name="Normal 3 10 3" xfId="6984" xr:uid="{00000000-0005-0000-0000-0000531B0000}"/>
    <cellStyle name="Normal 3 10 4" xfId="6985" xr:uid="{00000000-0005-0000-0000-0000541B0000}"/>
    <cellStyle name="Normal 3 10 5" xfId="6986" xr:uid="{00000000-0005-0000-0000-0000551B0000}"/>
    <cellStyle name="Normal 3 11" xfId="6987" xr:uid="{00000000-0005-0000-0000-0000561B0000}"/>
    <cellStyle name="Normal 3 11 2" xfId="6988" xr:uid="{00000000-0005-0000-0000-0000571B0000}"/>
    <cellStyle name="Normal 3 11 3" xfId="6989" xr:uid="{00000000-0005-0000-0000-0000581B0000}"/>
    <cellStyle name="Normal 3 11 4" xfId="6990" xr:uid="{00000000-0005-0000-0000-0000591B0000}"/>
    <cellStyle name="Normal 3 11 5" xfId="6991" xr:uid="{00000000-0005-0000-0000-00005A1B0000}"/>
    <cellStyle name="Normal 3 12" xfId="6992" xr:uid="{00000000-0005-0000-0000-00005B1B0000}"/>
    <cellStyle name="Normal 3 12 2" xfId="6993" xr:uid="{00000000-0005-0000-0000-00005C1B0000}"/>
    <cellStyle name="Normal 3 12 3" xfId="6994" xr:uid="{00000000-0005-0000-0000-00005D1B0000}"/>
    <cellStyle name="Normal 3 12 4" xfId="6995" xr:uid="{00000000-0005-0000-0000-00005E1B0000}"/>
    <cellStyle name="Normal 3 12 5" xfId="6996" xr:uid="{00000000-0005-0000-0000-00005F1B0000}"/>
    <cellStyle name="Normal 3 13" xfId="6997" xr:uid="{00000000-0005-0000-0000-0000601B0000}"/>
    <cellStyle name="Normal 3 13 2" xfId="6998" xr:uid="{00000000-0005-0000-0000-0000611B0000}"/>
    <cellStyle name="Normal 3 13 3" xfId="6999" xr:uid="{00000000-0005-0000-0000-0000621B0000}"/>
    <cellStyle name="Normal 3 13 4" xfId="7000" xr:uid="{00000000-0005-0000-0000-0000631B0000}"/>
    <cellStyle name="Normal 3 14" xfId="7001" xr:uid="{00000000-0005-0000-0000-0000641B0000}"/>
    <cellStyle name="Normal 3 14 2" xfId="7002" xr:uid="{00000000-0005-0000-0000-0000651B0000}"/>
    <cellStyle name="Normal 3 14 3" xfId="7003" xr:uid="{00000000-0005-0000-0000-0000661B0000}"/>
    <cellStyle name="Normal 3 14 4" xfId="7004" xr:uid="{00000000-0005-0000-0000-0000671B0000}"/>
    <cellStyle name="Normal 3 15" xfId="7005" xr:uid="{00000000-0005-0000-0000-0000681B0000}"/>
    <cellStyle name="Normal 3 15 2" xfId="7006" xr:uid="{00000000-0005-0000-0000-0000691B0000}"/>
    <cellStyle name="Normal 3 15 3" xfId="7007" xr:uid="{00000000-0005-0000-0000-00006A1B0000}"/>
    <cellStyle name="Normal 3 15 4" xfId="7008" xr:uid="{00000000-0005-0000-0000-00006B1B0000}"/>
    <cellStyle name="Normal 3 16" xfId="7009" xr:uid="{00000000-0005-0000-0000-00006C1B0000}"/>
    <cellStyle name="Normal 3 16 2" xfId="7010" xr:uid="{00000000-0005-0000-0000-00006D1B0000}"/>
    <cellStyle name="Normal 3 16 3" xfId="7011" xr:uid="{00000000-0005-0000-0000-00006E1B0000}"/>
    <cellStyle name="Normal 3 16 4" xfId="7012" xr:uid="{00000000-0005-0000-0000-00006F1B0000}"/>
    <cellStyle name="Normal 3 17" xfId="7013" xr:uid="{00000000-0005-0000-0000-0000701B0000}"/>
    <cellStyle name="Normal 3 17 2" xfId="7014" xr:uid="{00000000-0005-0000-0000-0000711B0000}"/>
    <cellStyle name="Normal 3 17 3" xfId="7015" xr:uid="{00000000-0005-0000-0000-0000721B0000}"/>
    <cellStyle name="Normal 3 17 4" xfId="7016" xr:uid="{00000000-0005-0000-0000-0000731B0000}"/>
    <cellStyle name="Normal 3 18" xfId="7017" xr:uid="{00000000-0005-0000-0000-0000741B0000}"/>
    <cellStyle name="Normal 3 18 2" xfId="7018" xr:uid="{00000000-0005-0000-0000-0000751B0000}"/>
    <cellStyle name="Normal 3 18 3" xfId="7019" xr:uid="{00000000-0005-0000-0000-0000761B0000}"/>
    <cellStyle name="Normal 3 18 4" xfId="7020" xr:uid="{00000000-0005-0000-0000-0000771B0000}"/>
    <cellStyle name="Normal 3 19" xfId="7021" xr:uid="{00000000-0005-0000-0000-0000781B0000}"/>
    <cellStyle name="Normal 3 19 2" xfId="7022" xr:uid="{00000000-0005-0000-0000-0000791B0000}"/>
    <cellStyle name="Normal 3 19 3" xfId="7023" xr:uid="{00000000-0005-0000-0000-00007A1B0000}"/>
    <cellStyle name="Normal 3 19 4" xfId="7024" xr:uid="{00000000-0005-0000-0000-00007B1B0000}"/>
    <cellStyle name="Normal 3 2" xfId="7025" xr:uid="{00000000-0005-0000-0000-00007C1B0000}"/>
    <cellStyle name="Normal 3 2 10" xfId="7026" xr:uid="{00000000-0005-0000-0000-00007D1B0000}"/>
    <cellStyle name="Normal 3 2 10 2" xfId="7027" xr:uid="{00000000-0005-0000-0000-00007E1B0000}"/>
    <cellStyle name="Normal 3 2 10 3" xfId="7028" xr:uid="{00000000-0005-0000-0000-00007F1B0000}"/>
    <cellStyle name="Normal 3 2 10 4" xfId="7029" xr:uid="{00000000-0005-0000-0000-0000801B0000}"/>
    <cellStyle name="Normal 3 2 11" xfId="7030" xr:uid="{00000000-0005-0000-0000-0000811B0000}"/>
    <cellStyle name="Normal 3 2 11 2" xfId="7031" xr:uid="{00000000-0005-0000-0000-0000821B0000}"/>
    <cellStyle name="Normal 3 2 11 2 2" xfId="7032" xr:uid="{00000000-0005-0000-0000-0000831B0000}"/>
    <cellStyle name="Normal 3 2 11 2 2 2" xfId="7033" xr:uid="{00000000-0005-0000-0000-0000841B0000}"/>
    <cellStyle name="Normal 3 2 11 2 2 2 2" xfId="7034" xr:uid="{00000000-0005-0000-0000-0000851B0000}"/>
    <cellStyle name="Normal 3 2 11 2 2 2 3" xfId="7035" xr:uid="{00000000-0005-0000-0000-0000861B0000}"/>
    <cellStyle name="Normal 3 2 11 2 2 3" xfId="7036" xr:uid="{00000000-0005-0000-0000-0000871B0000}"/>
    <cellStyle name="Normal 3 2 11 2 2 4" xfId="7037" xr:uid="{00000000-0005-0000-0000-0000881B0000}"/>
    <cellStyle name="Normal 3 2 11 2 3" xfId="7038" xr:uid="{00000000-0005-0000-0000-0000891B0000}"/>
    <cellStyle name="Normal 3 2 11 2 3 2" xfId="7039" xr:uid="{00000000-0005-0000-0000-00008A1B0000}"/>
    <cellStyle name="Normal 3 2 11 2 3 2 2" xfId="7040" xr:uid="{00000000-0005-0000-0000-00008B1B0000}"/>
    <cellStyle name="Normal 3 2 11 2 3 2 3" xfId="7041" xr:uid="{00000000-0005-0000-0000-00008C1B0000}"/>
    <cellStyle name="Normal 3 2 11 2 3 3" xfId="7042" xr:uid="{00000000-0005-0000-0000-00008D1B0000}"/>
    <cellStyle name="Normal 3 2 11 2 3 4" xfId="7043" xr:uid="{00000000-0005-0000-0000-00008E1B0000}"/>
    <cellStyle name="Normal 3 2 11 2 4" xfId="7044" xr:uid="{00000000-0005-0000-0000-00008F1B0000}"/>
    <cellStyle name="Normal 3 2 11 2 4 2" xfId="7045" xr:uid="{00000000-0005-0000-0000-0000901B0000}"/>
    <cellStyle name="Normal 3 2 11 2 4 3" xfId="7046" xr:uid="{00000000-0005-0000-0000-0000911B0000}"/>
    <cellStyle name="Normal 3 2 11 2 5" xfId="7047" xr:uid="{00000000-0005-0000-0000-0000921B0000}"/>
    <cellStyle name="Normal 3 2 11 2 6" xfId="7048" xr:uid="{00000000-0005-0000-0000-0000931B0000}"/>
    <cellStyle name="Normal 3 2 11 2 7" xfId="7049" xr:uid="{00000000-0005-0000-0000-0000941B0000}"/>
    <cellStyle name="Normal 3 2 11 3" xfId="7050" xr:uid="{00000000-0005-0000-0000-0000951B0000}"/>
    <cellStyle name="Normal 3 2 11 3 2" xfId="7051" xr:uid="{00000000-0005-0000-0000-0000961B0000}"/>
    <cellStyle name="Normal 3 2 11 3 2 2" xfId="7052" xr:uid="{00000000-0005-0000-0000-0000971B0000}"/>
    <cellStyle name="Normal 3 2 11 3 2 3" xfId="7053" xr:uid="{00000000-0005-0000-0000-0000981B0000}"/>
    <cellStyle name="Normal 3 2 11 3 3" xfId="7054" xr:uid="{00000000-0005-0000-0000-0000991B0000}"/>
    <cellStyle name="Normal 3 2 11 3 4" xfId="7055" xr:uid="{00000000-0005-0000-0000-00009A1B0000}"/>
    <cellStyle name="Normal 3 2 11 4" xfId="7056" xr:uid="{00000000-0005-0000-0000-00009B1B0000}"/>
    <cellStyle name="Normal 3 2 11 4 2" xfId="7057" xr:uid="{00000000-0005-0000-0000-00009C1B0000}"/>
    <cellStyle name="Normal 3 2 11 4 2 2" xfId="7058" xr:uid="{00000000-0005-0000-0000-00009D1B0000}"/>
    <cellStyle name="Normal 3 2 11 4 2 3" xfId="7059" xr:uid="{00000000-0005-0000-0000-00009E1B0000}"/>
    <cellStyle name="Normal 3 2 11 4 3" xfId="7060" xr:uid="{00000000-0005-0000-0000-00009F1B0000}"/>
    <cellStyle name="Normal 3 2 11 4 4" xfId="7061" xr:uid="{00000000-0005-0000-0000-0000A01B0000}"/>
    <cellStyle name="Normal 3 2 11 5" xfId="7062" xr:uid="{00000000-0005-0000-0000-0000A11B0000}"/>
    <cellStyle name="Normal 3 2 11 5 2" xfId="7063" xr:uid="{00000000-0005-0000-0000-0000A21B0000}"/>
    <cellStyle name="Normal 3 2 11 5 3" xfId="7064" xr:uid="{00000000-0005-0000-0000-0000A31B0000}"/>
    <cellStyle name="Normal 3 2 11 6" xfId="7065" xr:uid="{00000000-0005-0000-0000-0000A41B0000}"/>
    <cellStyle name="Normal 3 2 11 7" xfId="7066" xr:uid="{00000000-0005-0000-0000-0000A51B0000}"/>
    <cellStyle name="Normal 3 2 11 8" xfId="7067" xr:uid="{00000000-0005-0000-0000-0000A61B0000}"/>
    <cellStyle name="Normal 3 2 12" xfId="7068" xr:uid="{00000000-0005-0000-0000-0000A71B0000}"/>
    <cellStyle name="Normal 3 2 12 2" xfId="7069" xr:uid="{00000000-0005-0000-0000-0000A81B0000}"/>
    <cellStyle name="Normal 3 2 12 3" xfId="7070" xr:uid="{00000000-0005-0000-0000-0000A91B0000}"/>
    <cellStyle name="Normal 3 2 12 4" xfId="7071" xr:uid="{00000000-0005-0000-0000-0000AA1B0000}"/>
    <cellStyle name="Normal 3 2 13" xfId="7072" xr:uid="{00000000-0005-0000-0000-0000AB1B0000}"/>
    <cellStyle name="Normal 3 2 14" xfId="7073" xr:uid="{00000000-0005-0000-0000-0000AC1B0000}"/>
    <cellStyle name="Normal 3 2 15" xfId="7074" xr:uid="{00000000-0005-0000-0000-0000AD1B0000}"/>
    <cellStyle name="Normal 3 2 16" xfId="7075" xr:uid="{00000000-0005-0000-0000-0000AE1B0000}"/>
    <cellStyle name="Normal 3 2 2" xfId="7076" xr:uid="{00000000-0005-0000-0000-0000AF1B0000}"/>
    <cellStyle name="Normal 3 2 2 2" xfId="7077" xr:uid="{00000000-0005-0000-0000-0000B01B0000}"/>
    <cellStyle name="Normal 3 2 2 2 2" xfId="7078" xr:uid="{00000000-0005-0000-0000-0000B11B0000}"/>
    <cellStyle name="Normal 3 2 2 2 3" xfId="7079" xr:uid="{00000000-0005-0000-0000-0000B21B0000}"/>
    <cellStyle name="Normal 3 2 2 2 4" xfId="7080" xr:uid="{00000000-0005-0000-0000-0000B31B0000}"/>
    <cellStyle name="Normal 3 2 2 2 5" xfId="7081" xr:uid="{00000000-0005-0000-0000-0000B41B0000}"/>
    <cellStyle name="Normal 3 2 2 3" xfId="7082" xr:uid="{00000000-0005-0000-0000-0000B51B0000}"/>
    <cellStyle name="Normal 3 2 2 3 2" xfId="7083" xr:uid="{00000000-0005-0000-0000-0000B61B0000}"/>
    <cellStyle name="Normal 3 2 2 3 3" xfId="7084" xr:uid="{00000000-0005-0000-0000-0000B71B0000}"/>
    <cellStyle name="Normal 3 2 2 3 4" xfId="7085" xr:uid="{00000000-0005-0000-0000-0000B81B0000}"/>
    <cellStyle name="Normal 3 2 2 4" xfId="7086" xr:uid="{00000000-0005-0000-0000-0000B91B0000}"/>
    <cellStyle name="Normal 3 2 2 4 2" xfId="7087" xr:uid="{00000000-0005-0000-0000-0000BA1B0000}"/>
    <cellStyle name="Normal 3 2 2 4 2 2" xfId="7088" xr:uid="{00000000-0005-0000-0000-0000BB1B0000}"/>
    <cellStyle name="Normal 3 2 2 4 2 2 2" xfId="7089" xr:uid="{00000000-0005-0000-0000-0000BC1B0000}"/>
    <cellStyle name="Normal 3 2 2 4 2 2 2 2" xfId="7090" xr:uid="{00000000-0005-0000-0000-0000BD1B0000}"/>
    <cellStyle name="Normal 3 2 2 4 2 2 2 3" xfId="7091" xr:uid="{00000000-0005-0000-0000-0000BE1B0000}"/>
    <cellStyle name="Normal 3 2 2 4 2 2 3" xfId="7092" xr:uid="{00000000-0005-0000-0000-0000BF1B0000}"/>
    <cellStyle name="Normal 3 2 2 4 2 2 4" xfId="7093" xr:uid="{00000000-0005-0000-0000-0000C01B0000}"/>
    <cellStyle name="Normal 3 2 2 4 2 3" xfId="7094" xr:uid="{00000000-0005-0000-0000-0000C11B0000}"/>
    <cellStyle name="Normal 3 2 2 4 2 3 2" xfId="7095" xr:uid="{00000000-0005-0000-0000-0000C21B0000}"/>
    <cellStyle name="Normal 3 2 2 4 2 3 2 2" xfId="7096" xr:uid="{00000000-0005-0000-0000-0000C31B0000}"/>
    <cellStyle name="Normal 3 2 2 4 2 3 2 3" xfId="7097" xr:uid="{00000000-0005-0000-0000-0000C41B0000}"/>
    <cellStyle name="Normal 3 2 2 4 2 3 3" xfId="7098" xr:uid="{00000000-0005-0000-0000-0000C51B0000}"/>
    <cellStyle name="Normal 3 2 2 4 2 3 4" xfId="7099" xr:uid="{00000000-0005-0000-0000-0000C61B0000}"/>
    <cellStyle name="Normal 3 2 2 4 2 4" xfId="7100" xr:uid="{00000000-0005-0000-0000-0000C71B0000}"/>
    <cellStyle name="Normal 3 2 2 4 2 4 2" xfId="7101" xr:uid="{00000000-0005-0000-0000-0000C81B0000}"/>
    <cellStyle name="Normal 3 2 2 4 2 4 3" xfId="7102" xr:uid="{00000000-0005-0000-0000-0000C91B0000}"/>
    <cellStyle name="Normal 3 2 2 4 2 5" xfId="7103" xr:uid="{00000000-0005-0000-0000-0000CA1B0000}"/>
    <cellStyle name="Normal 3 2 2 4 2 6" xfId="7104" xr:uid="{00000000-0005-0000-0000-0000CB1B0000}"/>
    <cellStyle name="Normal 3 2 2 4 2 7" xfId="7105" xr:uid="{00000000-0005-0000-0000-0000CC1B0000}"/>
    <cellStyle name="Normal 3 2 2 4 3" xfId="7106" xr:uid="{00000000-0005-0000-0000-0000CD1B0000}"/>
    <cellStyle name="Normal 3 2 2 4 3 2" xfId="7107" xr:uid="{00000000-0005-0000-0000-0000CE1B0000}"/>
    <cellStyle name="Normal 3 2 2 4 3 2 2" xfId="7108" xr:uid="{00000000-0005-0000-0000-0000CF1B0000}"/>
    <cellStyle name="Normal 3 2 2 4 3 2 3" xfId="7109" xr:uid="{00000000-0005-0000-0000-0000D01B0000}"/>
    <cellStyle name="Normal 3 2 2 4 3 3" xfId="7110" xr:uid="{00000000-0005-0000-0000-0000D11B0000}"/>
    <cellStyle name="Normal 3 2 2 4 3 4" xfId="7111" xr:uid="{00000000-0005-0000-0000-0000D21B0000}"/>
    <cellStyle name="Normal 3 2 2 4 4" xfId="7112" xr:uid="{00000000-0005-0000-0000-0000D31B0000}"/>
    <cellStyle name="Normal 3 2 2 4 4 2" xfId="7113" xr:uid="{00000000-0005-0000-0000-0000D41B0000}"/>
    <cellStyle name="Normal 3 2 2 4 4 2 2" xfId="7114" xr:uid="{00000000-0005-0000-0000-0000D51B0000}"/>
    <cellStyle name="Normal 3 2 2 4 4 2 3" xfId="7115" xr:uid="{00000000-0005-0000-0000-0000D61B0000}"/>
    <cellStyle name="Normal 3 2 2 4 4 3" xfId="7116" xr:uid="{00000000-0005-0000-0000-0000D71B0000}"/>
    <cellStyle name="Normal 3 2 2 4 4 4" xfId="7117" xr:uid="{00000000-0005-0000-0000-0000D81B0000}"/>
    <cellStyle name="Normal 3 2 2 4 5" xfId="7118" xr:uid="{00000000-0005-0000-0000-0000D91B0000}"/>
    <cellStyle name="Normal 3 2 2 4 5 2" xfId="7119" xr:uid="{00000000-0005-0000-0000-0000DA1B0000}"/>
    <cellStyle name="Normal 3 2 2 4 5 3" xfId="7120" xr:uid="{00000000-0005-0000-0000-0000DB1B0000}"/>
    <cellStyle name="Normal 3 2 2 4 6" xfId="7121" xr:uid="{00000000-0005-0000-0000-0000DC1B0000}"/>
    <cellStyle name="Normal 3 2 2 4 7" xfId="7122" xr:uid="{00000000-0005-0000-0000-0000DD1B0000}"/>
    <cellStyle name="Normal 3 2 2 4 8" xfId="7123" xr:uid="{00000000-0005-0000-0000-0000DE1B0000}"/>
    <cellStyle name="Normal 3 2 2 5" xfId="7124" xr:uid="{00000000-0005-0000-0000-0000DF1B0000}"/>
    <cellStyle name="Normal 3 2 2 6" xfId="7125" xr:uid="{00000000-0005-0000-0000-0000E01B0000}"/>
    <cellStyle name="Normal 3 2 2 7" xfId="7126" xr:uid="{00000000-0005-0000-0000-0000E11B0000}"/>
    <cellStyle name="Normal 3 2 2 8" xfId="7127" xr:uid="{00000000-0005-0000-0000-0000E21B0000}"/>
    <cellStyle name="Normal 3 2 3" xfId="7128" xr:uid="{00000000-0005-0000-0000-0000E31B0000}"/>
    <cellStyle name="Normal 3 2 3 2" xfId="7129" xr:uid="{00000000-0005-0000-0000-0000E41B0000}"/>
    <cellStyle name="Normal 3 2 3 2 2" xfId="7130" xr:uid="{00000000-0005-0000-0000-0000E51B0000}"/>
    <cellStyle name="Normal 3 2 3 2 3" xfId="7131" xr:uid="{00000000-0005-0000-0000-0000E61B0000}"/>
    <cellStyle name="Normal 3 2 3 2 4" xfId="7132" xr:uid="{00000000-0005-0000-0000-0000E71B0000}"/>
    <cellStyle name="Normal 3 2 3 3" xfId="7133" xr:uid="{00000000-0005-0000-0000-0000E81B0000}"/>
    <cellStyle name="Normal 3 2 3 3 2" xfId="7134" xr:uid="{00000000-0005-0000-0000-0000E91B0000}"/>
    <cellStyle name="Normal 3 2 3 3 2 2" xfId="7135" xr:uid="{00000000-0005-0000-0000-0000EA1B0000}"/>
    <cellStyle name="Normal 3 2 3 3 2 2 2" xfId="7136" xr:uid="{00000000-0005-0000-0000-0000EB1B0000}"/>
    <cellStyle name="Normal 3 2 3 3 2 2 3" xfId="7137" xr:uid="{00000000-0005-0000-0000-0000EC1B0000}"/>
    <cellStyle name="Normal 3 2 3 3 2 3" xfId="7138" xr:uid="{00000000-0005-0000-0000-0000ED1B0000}"/>
    <cellStyle name="Normal 3 2 3 3 2 4" xfId="7139" xr:uid="{00000000-0005-0000-0000-0000EE1B0000}"/>
    <cellStyle name="Normal 3 2 3 3 3" xfId="7140" xr:uid="{00000000-0005-0000-0000-0000EF1B0000}"/>
    <cellStyle name="Normal 3 2 3 3 3 2" xfId="7141" xr:uid="{00000000-0005-0000-0000-0000F01B0000}"/>
    <cellStyle name="Normal 3 2 3 3 3 2 2" xfId="7142" xr:uid="{00000000-0005-0000-0000-0000F11B0000}"/>
    <cellStyle name="Normal 3 2 3 3 3 2 3" xfId="7143" xr:uid="{00000000-0005-0000-0000-0000F21B0000}"/>
    <cellStyle name="Normal 3 2 3 3 3 3" xfId="7144" xr:uid="{00000000-0005-0000-0000-0000F31B0000}"/>
    <cellStyle name="Normal 3 2 3 3 3 4" xfId="7145" xr:uid="{00000000-0005-0000-0000-0000F41B0000}"/>
    <cellStyle name="Normal 3 2 3 3 4" xfId="7146" xr:uid="{00000000-0005-0000-0000-0000F51B0000}"/>
    <cellStyle name="Normal 3 2 3 3 4 2" xfId="7147" xr:uid="{00000000-0005-0000-0000-0000F61B0000}"/>
    <cellStyle name="Normal 3 2 3 3 4 3" xfId="7148" xr:uid="{00000000-0005-0000-0000-0000F71B0000}"/>
    <cellStyle name="Normal 3 2 3 3 5" xfId="7149" xr:uid="{00000000-0005-0000-0000-0000F81B0000}"/>
    <cellStyle name="Normal 3 2 3 3 6" xfId="7150" xr:uid="{00000000-0005-0000-0000-0000F91B0000}"/>
    <cellStyle name="Normal 3 2 3 3 7" xfId="7151" xr:uid="{00000000-0005-0000-0000-0000FA1B0000}"/>
    <cellStyle name="Normal 3 2 3 4" xfId="7152" xr:uid="{00000000-0005-0000-0000-0000FB1B0000}"/>
    <cellStyle name="Normal 3 2 3 4 2" xfId="7153" xr:uid="{00000000-0005-0000-0000-0000FC1B0000}"/>
    <cellStyle name="Normal 3 2 3 4 2 2" xfId="7154" xr:uid="{00000000-0005-0000-0000-0000FD1B0000}"/>
    <cellStyle name="Normal 3 2 3 4 2 2 2" xfId="7155" xr:uid="{00000000-0005-0000-0000-0000FE1B0000}"/>
    <cellStyle name="Normal 3 2 3 4 2 2 3" xfId="7156" xr:uid="{00000000-0005-0000-0000-0000FF1B0000}"/>
    <cellStyle name="Normal 3 2 3 4 2 3" xfId="7157" xr:uid="{00000000-0005-0000-0000-0000001C0000}"/>
    <cellStyle name="Normal 3 2 3 4 2 4" xfId="7158" xr:uid="{00000000-0005-0000-0000-0000011C0000}"/>
    <cellStyle name="Normal 3 2 3 4 3" xfId="7159" xr:uid="{00000000-0005-0000-0000-0000021C0000}"/>
    <cellStyle name="Normal 3 2 3 4 3 2" xfId="7160" xr:uid="{00000000-0005-0000-0000-0000031C0000}"/>
    <cellStyle name="Normal 3 2 3 4 3 3" xfId="7161" xr:uid="{00000000-0005-0000-0000-0000041C0000}"/>
    <cellStyle name="Normal 3 2 3 4 4" xfId="7162" xr:uid="{00000000-0005-0000-0000-0000051C0000}"/>
    <cellStyle name="Normal 3 2 3 4 5" xfId="7163" xr:uid="{00000000-0005-0000-0000-0000061C0000}"/>
    <cellStyle name="Normal 3 2 3 4 6" xfId="7164" xr:uid="{00000000-0005-0000-0000-0000071C0000}"/>
    <cellStyle name="Normal 3 2 3 5" xfId="7165" xr:uid="{00000000-0005-0000-0000-0000081C0000}"/>
    <cellStyle name="Normal 3 2 3 5 2" xfId="7166" xr:uid="{00000000-0005-0000-0000-0000091C0000}"/>
    <cellStyle name="Normal 3 2 3 5 3" xfId="7167" xr:uid="{00000000-0005-0000-0000-00000A1C0000}"/>
    <cellStyle name="Normal 3 2 3 6" xfId="7168" xr:uid="{00000000-0005-0000-0000-00000B1C0000}"/>
    <cellStyle name="Normal 3 2 3 7" xfId="7169" xr:uid="{00000000-0005-0000-0000-00000C1C0000}"/>
    <cellStyle name="Normal 3 2 3 8" xfId="7170" xr:uid="{00000000-0005-0000-0000-00000D1C0000}"/>
    <cellStyle name="Normal 3 2 3 9" xfId="7171" xr:uid="{00000000-0005-0000-0000-00000E1C0000}"/>
    <cellStyle name="Normal 3 2 4" xfId="7172" xr:uid="{00000000-0005-0000-0000-00000F1C0000}"/>
    <cellStyle name="Normal 3 2 4 2" xfId="7173" xr:uid="{00000000-0005-0000-0000-0000101C0000}"/>
    <cellStyle name="Normal 3 2 4 2 2" xfId="7174" xr:uid="{00000000-0005-0000-0000-0000111C0000}"/>
    <cellStyle name="Normal 3 2 4 2 3" xfId="7175" xr:uid="{00000000-0005-0000-0000-0000121C0000}"/>
    <cellStyle name="Normal 3 2 4 2 4" xfId="7176" xr:uid="{00000000-0005-0000-0000-0000131C0000}"/>
    <cellStyle name="Normal 3 2 4 3" xfId="7177" xr:uid="{00000000-0005-0000-0000-0000141C0000}"/>
    <cellStyle name="Normal 3 2 4 3 2" xfId="7178" xr:uid="{00000000-0005-0000-0000-0000151C0000}"/>
    <cellStyle name="Normal 3 2 4 3 3" xfId="7179" xr:uid="{00000000-0005-0000-0000-0000161C0000}"/>
    <cellStyle name="Normal 3 2 4 3 4" xfId="7180" xr:uid="{00000000-0005-0000-0000-0000171C0000}"/>
    <cellStyle name="Normal 3 2 4 4" xfId="7181" xr:uid="{00000000-0005-0000-0000-0000181C0000}"/>
    <cellStyle name="Normal 3 2 4 5" xfId="7182" xr:uid="{00000000-0005-0000-0000-0000191C0000}"/>
    <cellStyle name="Normal 3 2 4 6" xfId="7183" xr:uid="{00000000-0005-0000-0000-00001A1C0000}"/>
    <cellStyle name="Normal 3 2 4 7" xfId="7184" xr:uid="{00000000-0005-0000-0000-00001B1C0000}"/>
    <cellStyle name="Normal 3 2 5" xfId="7185" xr:uid="{00000000-0005-0000-0000-00001C1C0000}"/>
    <cellStyle name="Normal 3 2 5 2" xfId="7186" xr:uid="{00000000-0005-0000-0000-00001D1C0000}"/>
    <cellStyle name="Normal 3 2 5 3" xfId="7187" xr:uid="{00000000-0005-0000-0000-00001E1C0000}"/>
    <cellStyle name="Normal 3 2 5 4" xfId="7188" xr:uid="{00000000-0005-0000-0000-00001F1C0000}"/>
    <cellStyle name="Normal 3 2 5 5" xfId="7189" xr:uid="{00000000-0005-0000-0000-0000201C0000}"/>
    <cellStyle name="Normal 3 2 6" xfId="7190" xr:uid="{00000000-0005-0000-0000-0000211C0000}"/>
    <cellStyle name="Normal 3 2 6 2" xfId="7191" xr:uid="{00000000-0005-0000-0000-0000221C0000}"/>
    <cellStyle name="Normal 3 2 6 3" xfId="7192" xr:uid="{00000000-0005-0000-0000-0000231C0000}"/>
    <cellStyle name="Normal 3 2 6 4" xfId="7193" xr:uid="{00000000-0005-0000-0000-0000241C0000}"/>
    <cellStyle name="Normal 3 2 6 5" xfId="7194" xr:uid="{00000000-0005-0000-0000-0000251C0000}"/>
    <cellStyle name="Normal 3 2 7" xfId="7195" xr:uid="{00000000-0005-0000-0000-0000261C0000}"/>
    <cellStyle name="Normal 3 2 7 2" xfId="7196" xr:uid="{00000000-0005-0000-0000-0000271C0000}"/>
    <cellStyle name="Normal 3 2 7 3" xfId="7197" xr:uid="{00000000-0005-0000-0000-0000281C0000}"/>
    <cellStyle name="Normal 3 2 7 4" xfId="7198" xr:uid="{00000000-0005-0000-0000-0000291C0000}"/>
    <cellStyle name="Normal 3 2 7 5" xfId="7199" xr:uid="{00000000-0005-0000-0000-00002A1C0000}"/>
    <cellStyle name="Normal 3 2 8" xfId="7200" xr:uid="{00000000-0005-0000-0000-00002B1C0000}"/>
    <cellStyle name="Normal 3 2 8 2" xfId="7201" xr:uid="{00000000-0005-0000-0000-00002C1C0000}"/>
    <cellStyle name="Normal 3 2 8 3" xfId="7202" xr:uid="{00000000-0005-0000-0000-00002D1C0000}"/>
    <cellStyle name="Normal 3 2 8 4" xfId="7203" xr:uid="{00000000-0005-0000-0000-00002E1C0000}"/>
    <cellStyle name="Normal 3 2 8 5" xfId="7204" xr:uid="{00000000-0005-0000-0000-00002F1C0000}"/>
    <cellStyle name="Normal 3 2 9" xfId="7205" xr:uid="{00000000-0005-0000-0000-0000301C0000}"/>
    <cellStyle name="Normal 3 2 9 2" xfId="7206" xr:uid="{00000000-0005-0000-0000-0000311C0000}"/>
    <cellStyle name="Normal 3 2 9 2 2" xfId="7207" xr:uid="{00000000-0005-0000-0000-0000321C0000}"/>
    <cellStyle name="Normal 3 2 9 2 2 2" xfId="7208" xr:uid="{00000000-0005-0000-0000-0000331C0000}"/>
    <cellStyle name="Normal 3 2 9 2 2 2 2" xfId="7209" xr:uid="{00000000-0005-0000-0000-0000341C0000}"/>
    <cellStyle name="Normal 3 2 9 2 2 2 2 2" xfId="7210" xr:uid="{00000000-0005-0000-0000-0000351C0000}"/>
    <cellStyle name="Normal 3 2 9 2 2 2 2 3" xfId="7211" xr:uid="{00000000-0005-0000-0000-0000361C0000}"/>
    <cellStyle name="Normal 3 2 9 2 2 2 3" xfId="7212" xr:uid="{00000000-0005-0000-0000-0000371C0000}"/>
    <cellStyle name="Normal 3 2 9 2 2 2 4" xfId="7213" xr:uid="{00000000-0005-0000-0000-0000381C0000}"/>
    <cellStyle name="Normal 3 2 9 2 2 3" xfId="7214" xr:uid="{00000000-0005-0000-0000-0000391C0000}"/>
    <cellStyle name="Normal 3 2 9 2 2 3 2" xfId="7215" xr:uid="{00000000-0005-0000-0000-00003A1C0000}"/>
    <cellStyle name="Normal 3 2 9 2 2 3 2 2" xfId="7216" xr:uid="{00000000-0005-0000-0000-00003B1C0000}"/>
    <cellStyle name="Normal 3 2 9 2 2 3 2 3" xfId="7217" xr:uid="{00000000-0005-0000-0000-00003C1C0000}"/>
    <cellStyle name="Normal 3 2 9 2 2 3 3" xfId="7218" xr:uid="{00000000-0005-0000-0000-00003D1C0000}"/>
    <cellStyle name="Normal 3 2 9 2 2 3 4" xfId="7219" xr:uid="{00000000-0005-0000-0000-00003E1C0000}"/>
    <cellStyle name="Normal 3 2 9 2 2 4" xfId="7220" xr:uid="{00000000-0005-0000-0000-00003F1C0000}"/>
    <cellStyle name="Normal 3 2 9 2 2 4 2" xfId="7221" xr:uid="{00000000-0005-0000-0000-0000401C0000}"/>
    <cellStyle name="Normal 3 2 9 2 2 4 3" xfId="7222" xr:uid="{00000000-0005-0000-0000-0000411C0000}"/>
    <cellStyle name="Normal 3 2 9 2 2 5" xfId="7223" xr:uid="{00000000-0005-0000-0000-0000421C0000}"/>
    <cellStyle name="Normal 3 2 9 2 2 6" xfId="7224" xr:uid="{00000000-0005-0000-0000-0000431C0000}"/>
    <cellStyle name="Normal 3 2 9 2 2 7" xfId="7225" xr:uid="{00000000-0005-0000-0000-0000441C0000}"/>
    <cellStyle name="Normal 3 2 9 2 3" xfId="7226" xr:uid="{00000000-0005-0000-0000-0000451C0000}"/>
    <cellStyle name="Normal 3 2 9 2 3 2" xfId="7227" xr:uid="{00000000-0005-0000-0000-0000461C0000}"/>
    <cellStyle name="Normal 3 2 9 2 3 2 2" xfId="7228" xr:uid="{00000000-0005-0000-0000-0000471C0000}"/>
    <cellStyle name="Normal 3 2 9 2 3 2 3" xfId="7229" xr:uid="{00000000-0005-0000-0000-0000481C0000}"/>
    <cellStyle name="Normal 3 2 9 2 3 3" xfId="7230" xr:uid="{00000000-0005-0000-0000-0000491C0000}"/>
    <cellStyle name="Normal 3 2 9 2 3 4" xfId="7231" xr:uid="{00000000-0005-0000-0000-00004A1C0000}"/>
    <cellStyle name="Normal 3 2 9 2 4" xfId="7232" xr:uid="{00000000-0005-0000-0000-00004B1C0000}"/>
    <cellStyle name="Normal 3 2 9 2 4 2" xfId="7233" xr:uid="{00000000-0005-0000-0000-00004C1C0000}"/>
    <cellStyle name="Normal 3 2 9 2 4 2 2" xfId="7234" xr:uid="{00000000-0005-0000-0000-00004D1C0000}"/>
    <cellStyle name="Normal 3 2 9 2 4 2 3" xfId="7235" xr:uid="{00000000-0005-0000-0000-00004E1C0000}"/>
    <cellStyle name="Normal 3 2 9 2 4 3" xfId="7236" xr:uid="{00000000-0005-0000-0000-00004F1C0000}"/>
    <cellStyle name="Normal 3 2 9 2 4 4" xfId="7237" xr:uid="{00000000-0005-0000-0000-0000501C0000}"/>
    <cellStyle name="Normal 3 2 9 2 5" xfId="7238" xr:uid="{00000000-0005-0000-0000-0000511C0000}"/>
    <cellStyle name="Normal 3 2 9 2 5 2" xfId="7239" xr:uid="{00000000-0005-0000-0000-0000521C0000}"/>
    <cellStyle name="Normal 3 2 9 2 5 3" xfId="7240" xr:uid="{00000000-0005-0000-0000-0000531C0000}"/>
    <cellStyle name="Normal 3 2 9 2 6" xfId="7241" xr:uid="{00000000-0005-0000-0000-0000541C0000}"/>
    <cellStyle name="Normal 3 2 9 2 7" xfId="7242" xr:uid="{00000000-0005-0000-0000-0000551C0000}"/>
    <cellStyle name="Normal 3 2 9 2 8" xfId="7243" xr:uid="{00000000-0005-0000-0000-0000561C0000}"/>
    <cellStyle name="Normal 3 2 9 3" xfId="7244" xr:uid="{00000000-0005-0000-0000-0000571C0000}"/>
    <cellStyle name="Normal 3 2 9 3 2" xfId="7245" xr:uid="{00000000-0005-0000-0000-0000581C0000}"/>
    <cellStyle name="Normal 3 2 9 3 3" xfId="7246" xr:uid="{00000000-0005-0000-0000-0000591C0000}"/>
    <cellStyle name="Normal 3 2 9 4" xfId="7247" xr:uid="{00000000-0005-0000-0000-00005A1C0000}"/>
    <cellStyle name="Normal 3 2 9 4 2" xfId="7248" xr:uid="{00000000-0005-0000-0000-00005B1C0000}"/>
    <cellStyle name="Normal 3 2 9 4 2 2" xfId="7249" xr:uid="{00000000-0005-0000-0000-00005C1C0000}"/>
    <cellStyle name="Normal 3 2 9 4 2 3" xfId="7250" xr:uid="{00000000-0005-0000-0000-00005D1C0000}"/>
    <cellStyle name="Normal 3 2 9 4 3" xfId="7251" xr:uid="{00000000-0005-0000-0000-00005E1C0000}"/>
    <cellStyle name="Normal 3 2 9 4 4" xfId="7252" xr:uid="{00000000-0005-0000-0000-00005F1C0000}"/>
    <cellStyle name="Normal 3 2 9 5" xfId="7253" xr:uid="{00000000-0005-0000-0000-0000601C0000}"/>
    <cellStyle name="Normal 3 2 9 6" xfId="7254" xr:uid="{00000000-0005-0000-0000-0000611C0000}"/>
    <cellStyle name="Normal 3 2 9 7" xfId="7255" xr:uid="{00000000-0005-0000-0000-0000621C0000}"/>
    <cellStyle name="Normal 3 2 9 8" xfId="7256" xr:uid="{00000000-0005-0000-0000-0000631C0000}"/>
    <cellStyle name="Normal 3 2_DACNEW" xfId="17761" xr:uid="{00000000-0005-0000-0000-0000641C0000}"/>
    <cellStyle name="Normal 3 20" xfId="7257" xr:uid="{00000000-0005-0000-0000-0000651C0000}"/>
    <cellStyle name="Normal 3 20 2" xfId="7258" xr:uid="{00000000-0005-0000-0000-0000661C0000}"/>
    <cellStyle name="Normal 3 20 3" xfId="7259" xr:uid="{00000000-0005-0000-0000-0000671C0000}"/>
    <cellStyle name="Normal 3 20 4" xfId="7260" xr:uid="{00000000-0005-0000-0000-0000681C0000}"/>
    <cellStyle name="Normal 3 21" xfId="7261" xr:uid="{00000000-0005-0000-0000-0000691C0000}"/>
    <cellStyle name="Normal 3 21 2" xfId="7262" xr:uid="{00000000-0005-0000-0000-00006A1C0000}"/>
    <cellStyle name="Normal 3 21 3" xfId="7263" xr:uid="{00000000-0005-0000-0000-00006B1C0000}"/>
    <cellStyle name="Normal 3 21 4" xfId="7264" xr:uid="{00000000-0005-0000-0000-00006C1C0000}"/>
    <cellStyle name="Normal 3 22" xfId="7265" xr:uid="{00000000-0005-0000-0000-00006D1C0000}"/>
    <cellStyle name="Normal 3 22 2" xfId="7266" xr:uid="{00000000-0005-0000-0000-00006E1C0000}"/>
    <cellStyle name="Normal 3 22 3" xfId="7267" xr:uid="{00000000-0005-0000-0000-00006F1C0000}"/>
    <cellStyle name="Normal 3 22 4" xfId="7268" xr:uid="{00000000-0005-0000-0000-0000701C0000}"/>
    <cellStyle name="Normal 3 23" xfId="7269" xr:uid="{00000000-0005-0000-0000-0000711C0000}"/>
    <cellStyle name="Normal 3 23 2" xfId="7270" xr:uid="{00000000-0005-0000-0000-0000721C0000}"/>
    <cellStyle name="Normal 3 23 3" xfId="7271" xr:uid="{00000000-0005-0000-0000-0000731C0000}"/>
    <cellStyle name="Normal 3 23 4" xfId="7272" xr:uid="{00000000-0005-0000-0000-0000741C0000}"/>
    <cellStyle name="Normal 3 24" xfId="7273" xr:uid="{00000000-0005-0000-0000-0000751C0000}"/>
    <cellStyle name="Normal 3 24 2" xfId="7274" xr:uid="{00000000-0005-0000-0000-0000761C0000}"/>
    <cellStyle name="Normal 3 24 3" xfId="7275" xr:uid="{00000000-0005-0000-0000-0000771C0000}"/>
    <cellStyle name="Normal 3 24 4" xfId="7276" xr:uid="{00000000-0005-0000-0000-0000781C0000}"/>
    <cellStyle name="Normal 3 25" xfId="7277" xr:uid="{00000000-0005-0000-0000-0000791C0000}"/>
    <cellStyle name="Normal 3 25 2" xfId="7278" xr:uid="{00000000-0005-0000-0000-00007A1C0000}"/>
    <cellStyle name="Normal 3 25 3" xfId="7279" xr:uid="{00000000-0005-0000-0000-00007B1C0000}"/>
    <cellStyle name="Normal 3 25 4" xfId="7280" xr:uid="{00000000-0005-0000-0000-00007C1C0000}"/>
    <cellStyle name="Normal 3 26" xfId="7281" xr:uid="{00000000-0005-0000-0000-00007D1C0000}"/>
    <cellStyle name="Normal 3 26 2" xfId="7282" xr:uid="{00000000-0005-0000-0000-00007E1C0000}"/>
    <cellStyle name="Normal 3 26 3" xfId="7283" xr:uid="{00000000-0005-0000-0000-00007F1C0000}"/>
    <cellStyle name="Normal 3 26 4" xfId="7284" xr:uid="{00000000-0005-0000-0000-0000801C0000}"/>
    <cellStyle name="Normal 3 27" xfId="7285" xr:uid="{00000000-0005-0000-0000-0000811C0000}"/>
    <cellStyle name="Normal 3 27 2" xfId="7286" xr:uid="{00000000-0005-0000-0000-0000821C0000}"/>
    <cellStyle name="Normal 3 27 3" xfId="7287" xr:uid="{00000000-0005-0000-0000-0000831C0000}"/>
    <cellStyle name="Normal 3 27 4" xfId="7288" xr:uid="{00000000-0005-0000-0000-0000841C0000}"/>
    <cellStyle name="Normal 3 28" xfId="7289" xr:uid="{00000000-0005-0000-0000-0000851C0000}"/>
    <cellStyle name="Normal 3 28 2" xfId="7290" xr:uid="{00000000-0005-0000-0000-0000861C0000}"/>
    <cellStyle name="Normal 3 28 3" xfId="7291" xr:uid="{00000000-0005-0000-0000-0000871C0000}"/>
    <cellStyle name="Normal 3 28 4" xfId="7292" xr:uid="{00000000-0005-0000-0000-0000881C0000}"/>
    <cellStyle name="Normal 3 29" xfId="7293" xr:uid="{00000000-0005-0000-0000-0000891C0000}"/>
    <cellStyle name="Normal 3 29 2" xfId="7294" xr:uid="{00000000-0005-0000-0000-00008A1C0000}"/>
    <cellStyle name="Normal 3 29 3" xfId="7295" xr:uid="{00000000-0005-0000-0000-00008B1C0000}"/>
    <cellStyle name="Normal 3 29 4" xfId="7296" xr:uid="{00000000-0005-0000-0000-00008C1C0000}"/>
    <cellStyle name="Normal 3 3" xfId="7297" xr:uid="{00000000-0005-0000-0000-00008D1C0000}"/>
    <cellStyle name="Normal 3 3 10" xfId="7298" xr:uid="{00000000-0005-0000-0000-00008E1C0000}"/>
    <cellStyle name="Normal 3 3 11" xfId="7299" xr:uid="{00000000-0005-0000-0000-00008F1C0000}"/>
    <cellStyle name="Normal 3 3 12" xfId="7300" xr:uid="{00000000-0005-0000-0000-0000901C0000}"/>
    <cellStyle name="Normal 3 3 13" xfId="7301" xr:uid="{00000000-0005-0000-0000-0000911C0000}"/>
    <cellStyle name="Normal 3 3 2" xfId="7302" xr:uid="{00000000-0005-0000-0000-0000921C0000}"/>
    <cellStyle name="Normal 3 3 2 2" xfId="7303" xr:uid="{00000000-0005-0000-0000-0000931C0000}"/>
    <cellStyle name="Normal 3 3 2 2 2" xfId="7304" xr:uid="{00000000-0005-0000-0000-0000941C0000}"/>
    <cellStyle name="Normal 3 3 2 2 3" xfId="7305" xr:uid="{00000000-0005-0000-0000-0000951C0000}"/>
    <cellStyle name="Normal 3 3 2 2 4" xfId="7306" xr:uid="{00000000-0005-0000-0000-0000961C0000}"/>
    <cellStyle name="Normal 3 3 2 3" xfId="7307" xr:uid="{00000000-0005-0000-0000-0000971C0000}"/>
    <cellStyle name="Normal 3 3 2 3 2" xfId="7308" xr:uid="{00000000-0005-0000-0000-0000981C0000}"/>
    <cellStyle name="Normal 3 3 2 3 3" xfId="7309" xr:uid="{00000000-0005-0000-0000-0000991C0000}"/>
    <cellStyle name="Normal 3 3 2 3 4" xfId="7310" xr:uid="{00000000-0005-0000-0000-00009A1C0000}"/>
    <cellStyle name="Normal 3 3 2 4" xfId="7311" xr:uid="{00000000-0005-0000-0000-00009B1C0000}"/>
    <cellStyle name="Normal 3 3 2 5" xfId="7312" xr:uid="{00000000-0005-0000-0000-00009C1C0000}"/>
    <cellStyle name="Normal 3 3 2 6" xfId="7313" xr:uid="{00000000-0005-0000-0000-00009D1C0000}"/>
    <cellStyle name="Normal 3 3 2 7" xfId="7314" xr:uid="{00000000-0005-0000-0000-00009E1C0000}"/>
    <cellStyle name="Normal 3 3 3" xfId="7315" xr:uid="{00000000-0005-0000-0000-00009F1C0000}"/>
    <cellStyle name="Normal 3 3 3 2" xfId="7316" xr:uid="{00000000-0005-0000-0000-0000A01C0000}"/>
    <cellStyle name="Normal 3 3 3 3" xfId="7317" xr:uid="{00000000-0005-0000-0000-0000A11C0000}"/>
    <cellStyle name="Normal 3 3 3 4" xfId="7318" xr:uid="{00000000-0005-0000-0000-0000A21C0000}"/>
    <cellStyle name="Normal 3 3 3 5" xfId="7319" xr:uid="{00000000-0005-0000-0000-0000A31C0000}"/>
    <cellStyle name="Normal 3 3 4" xfId="7320" xr:uid="{00000000-0005-0000-0000-0000A41C0000}"/>
    <cellStyle name="Normal 3 3 4 2" xfId="7321" xr:uid="{00000000-0005-0000-0000-0000A51C0000}"/>
    <cellStyle name="Normal 3 3 4 3" xfId="7322" xr:uid="{00000000-0005-0000-0000-0000A61C0000}"/>
    <cellStyle name="Normal 3 3 4 4" xfId="7323" xr:uid="{00000000-0005-0000-0000-0000A71C0000}"/>
    <cellStyle name="Normal 3 3 4 5" xfId="7324" xr:uid="{00000000-0005-0000-0000-0000A81C0000}"/>
    <cellStyle name="Normal 3 3 5" xfId="7325" xr:uid="{00000000-0005-0000-0000-0000A91C0000}"/>
    <cellStyle name="Normal 3 3 5 2" xfId="7326" xr:uid="{00000000-0005-0000-0000-0000AA1C0000}"/>
    <cellStyle name="Normal 3 3 5 3" xfId="7327" xr:uid="{00000000-0005-0000-0000-0000AB1C0000}"/>
    <cellStyle name="Normal 3 3 5 4" xfId="7328" xr:uid="{00000000-0005-0000-0000-0000AC1C0000}"/>
    <cellStyle name="Normal 3 3 5 5" xfId="7329" xr:uid="{00000000-0005-0000-0000-0000AD1C0000}"/>
    <cellStyle name="Normal 3 3 6" xfId="7330" xr:uid="{00000000-0005-0000-0000-0000AE1C0000}"/>
    <cellStyle name="Normal 3 3 6 2" xfId="7331" xr:uid="{00000000-0005-0000-0000-0000AF1C0000}"/>
    <cellStyle name="Normal 3 3 6 3" xfId="7332" xr:uid="{00000000-0005-0000-0000-0000B01C0000}"/>
    <cellStyle name="Normal 3 3 6 4" xfId="7333" xr:uid="{00000000-0005-0000-0000-0000B11C0000}"/>
    <cellStyle name="Normal 3 3 6 5" xfId="7334" xr:uid="{00000000-0005-0000-0000-0000B21C0000}"/>
    <cellStyle name="Normal 3 3 7" xfId="7335" xr:uid="{00000000-0005-0000-0000-0000B31C0000}"/>
    <cellStyle name="Normal 3 3 7 2" xfId="7336" xr:uid="{00000000-0005-0000-0000-0000B41C0000}"/>
    <cellStyle name="Normal 3 3 7 3" xfId="7337" xr:uid="{00000000-0005-0000-0000-0000B51C0000}"/>
    <cellStyle name="Normal 3 3 7 4" xfId="7338" xr:uid="{00000000-0005-0000-0000-0000B61C0000}"/>
    <cellStyle name="Normal 3 3 7 5" xfId="7339" xr:uid="{00000000-0005-0000-0000-0000B71C0000}"/>
    <cellStyle name="Normal 3 3 8" xfId="7340" xr:uid="{00000000-0005-0000-0000-0000B81C0000}"/>
    <cellStyle name="Normal 3 3 8 2" xfId="7341" xr:uid="{00000000-0005-0000-0000-0000B91C0000}"/>
    <cellStyle name="Normal 3 3 8 3" xfId="7342" xr:uid="{00000000-0005-0000-0000-0000BA1C0000}"/>
    <cellStyle name="Normal 3 3 8 4" xfId="7343" xr:uid="{00000000-0005-0000-0000-0000BB1C0000}"/>
    <cellStyle name="Normal 3 3 8 5" xfId="7344" xr:uid="{00000000-0005-0000-0000-0000BC1C0000}"/>
    <cellStyle name="Normal 3 3 9" xfId="7345" xr:uid="{00000000-0005-0000-0000-0000BD1C0000}"/>
    <cellStyle name="Normal 3 3 9 2" xfId="7346" xr:uid="{00000000-0005-0000-0000-0000BE1C0000}"/>
    <cellStyle name="Normal 3 3 9 3" xfId="7347" xr:uid="{00000000-0005-0000-0000-0000BF1C0000}"/>
    <cellStyle name="Normal 3 3 9 4" xfId="7348" xr:uid="{00000000-0005-0000-0000-0000C01C0000}"/>
    <cellStyle name="Normal 3 30" xfId="7349" xr:uid="{00000000-0005-0000-0000-0000C11C0000}"/>
    <cellStyle name="Normal 3 30 2" xfId="7350" xr:uid="{00000000-0005-0000-0000-0000C21C0000}"/>
    <cellStyle name="Normal 3 30 2 2" xfId="7351" xr:uid="{00000000-0005-0000-0000-0000C31C0000}"/>
    <cellStyle name="Normal 3 30 2 2 2" xfId="7352" xr:uid="{00000000-0005-0000-0000-0000C41C0000}"/>
    <cellStyle name="Normal 3 30 2 2 3" xfId="7353" xr:uid="{00000000-0005-0000-0000-0000C51C0000}"/>
    <cellStyle name="Normal 3 30 2 3" xfId="7354" xr:uid="{00000000-0005-0000-0000-0000C61C0000}"/>
    <cellStyle name="Normal 3 30 2 4" xfId="7355" xr:uid="{00000000-0005-0000-0000-0000C71C0000}"/>
    <cellStyle name="Normal 3 30 3" xfId="7356" xr:uid="{00000000-0005-0000-0000-0000C81C0000}"/>
    <cellStyle name="Normal 3 30 3 2" xfId="7357" xr:uid="{00000000-0005-0000-0000-0000C91C0000}"/>
    <cellStyle name="Normal 3 30 3 2 2" xfId="7358" xr:uid="{00000000-0005-0000-0000-0000CA1C0000}"/>
    <cellStyle name="Normal 3 30 3 2 3" xfId="7359" xr:uid="{00000000-0005-0000-0000-0000CB1C0000}"/>
    <cellStyle name="Normal 3 30 3 3" xfId="7360" xr:uid="{00000000-0005-0000-0000-0000CC1C0000}"/>
    <cellStyle name="Normal 3 30 3 4" xfId="7361" xr:uid="{00000000-0005-0000-0000-0000CD1C0000}"/>
    <cellStyle name="Normal 3 30 4" xfId="7362" xr:uid="{00000000-0005-0000-0000-0000CE1C0000}"/>
    <cellStyle name="Normal 3 30 4 2" xfId="7363" xr:uid="{00000000-0005-0000-0000-0000CF1C0000}"/>
    <cellStyle name="Normal 3 30 4 3" xfId="7364" xr:uid="{00000000-0005-0000-0000-0000D01C0000}"/>
    <cellStyle name="Normal 3 30 5" xfId="7365" xr:uid="{00000000-0005-0000-0000-0000D11C0000}"/>
    <cellStyle name="Normal 3 30 6" xfId="7366" xr:uid="{00000000-0005-0000-0000-0000D21C0000}"/>
    <cellStyle name="Normal 3 30 7" xfId="7367" xr:uid="{00000000-0005-0000-0000-0000D31C0000}"/>
    <cellStyle name="Normal 3 31" xfId="7368" xr:uid="{00000000-0005-0000-0000-0000D41C0000}"/>
    <cellStyle name="Normal 3 31 2" xfId="7369" xr:uid="{00000000-0005-0000-0000-0000D51C0000}"/>
    <cellStyle name="Normal 3 31 2 2" xfId="7370" xr:uid="{00000000-0005-0000-0000-0000D61C0000}"/>
    <cellStyle name="Normal 3 31 2 3" xfId="7371" xr:uid="{00000000-0005-0000-0000-0000D71C0000}"/>
    <cellStyle name="Normal 3 31 3" xfId="7372" xr:uid="{00000000-0005-0000-0000-0000D81C0000}"/>
    <cellStyle name="Normal 3 31 4" xfId="7373" xr:uid="{00000000-0005-0000-0000-0000D91C0000}"/>
    <cellStyle name="Normal 3 32" xfId="7374" xr:uid="{00000000-0005-0000-0000-0000DA1C0000}"/>
    <cellStyle name="Normal 3 32 2" xfId="7375" xr:uid="{00000000-0005-0000-0000-0000DB1C0000}"/>
    <cellStyle name="Normal 3 32 3" xfId="7376" xr:uid="{00000000-0005-0000-0000-0000DC1C0000}"/>
    <cellStyle name="Normal 3 33" xfId="7377" xr:uid="{00000000-0005-0000-0000-0000DD1C0000}"/>
    <cellStyle name="Normal 3 34" xfId="7378" xr:uid="{00000000-0005-0000-0000-0000DE1C0000}"/>
    <cellStyle name="Normal 3 35" xfId="7379" xr:uid="{00000000-0005-0000-0000-0000DF1C0000}"/>
    <cellStyle name="Normal 3 36" xfId="7380" xr:uid="{00000000-0005-0000-0000-0000E01C0000}"/>
    <cellStyle name="Normal 3 4" xfId="7381" xr:uid="{00000000-0005-0000-0000-0000E11C0000}"/>
    <cellStyle name="Normal 3 4 10" xfId="7382" xr:uid="{00000000-0005-0000-0000-0000E21C0000}"/>
    <cellStyle name="Normal 3 4 11" xfId="7383" xr:uid="{00000000-0005-0000-0000-0000E31C0000}"/>
    <cellStyle name="Normal 3 4 12" xfId="7384" xr:uid="{00000000-0005-0000-0000-0000E41C0000}"/>
    <cellStyle name="Normal 3 4 2" xfId="7385" xr:uid="{00000000-0005-0000-0000-0000E51C0000}"/>
    <cellStyle name="Normal 3 4 2 2" xfId="7386" xr:uid="{00000000-0005-0000-0000-0000E61C0000}"/>
    <cellStyle name="Normal 3 4 2 3" xfId="7387" xr:uid="{00000000-0005-0000-0000-0000E71C0000}"/>
    <cellStyle name="Normal 3 4 2 4" xfId="7388" xr:uid="{00000000-0005-0000-0000-0000E81C0000}"/>
    <cellStyle name="Normal 3 4 2 5" xfId="7389" xr:uid="{00000000-0005-0000-0000-0000E91C0000}"/>
    <cellStyle name="Normal 3 4 3" xfId="7390" xr:uid="{00000000-0005-0000-0000-0000EA1C0000}"/>
    <cellStyle name="Normal 3 4 3 2" xfId="7391" xr:uid="{00000000-0005-0000-0000-0000EB1C0000}"/>
    <cellStyle name="Normal 3 4 3 3" xfId="7392" xr:uid="{00000000-0005-0000-0000-0000EC1C0000}"/>
    <cellStyle name="Normal 3 4 3 4" xfId="7393" xr:uid="{00000000-0005-0000-0000-0000ED1C0000}"/>
    <cellStyle name="Normal 3 4 3 5" xfId="7394" xr:uid="{00000000-0005-0000-0000-0000EE1C0000}"/>
    <cellStyle name="Normal 3 4 4" xfId="7395" xr:uid="{00000000-0005-0000-0000-0000EF1C0000}"/>
    <cellStyle name="Normal 3 4 4 2" xfId="7396" xr:uid="{00000000-0005-0000-0000-0000F01C0000}"/>
    <cellStyle name="Normal 3 4 4 2 2" xfId="7397" xr:uid="{00000000-0005-0000-0000-0000F11C0000}"/>
    <cellStyle name="Normal 3 4 4 2 3" xfId="7398" xr:uid="{00000000-0005-0000-0000-0000F21C0000}"/>
    <cellStyle name="Normal 3 4 4 2 4" xfId="7399" xr:uid="{00000000-0005-0000-0000-0000F31C0000}"/>
    <cellStyle name="Normal 3 4 4 3" xfId="7400" xr:uid="{00000000-0005-0000-0000-0000F41C0000}"/>
    <cellStyle name="Normal 3 4 4 3 2" xfId="7401" xr:uid="{00000000-0005-0000-0000-0000F51C0000}"/>
    <cellStyle name="Normal 3 4 4 3 3" xfId="7402" xr:uid="{00000000-0005-0000-0000-0000F61C0000}"/>
    <cellStyle name="Normal 3 4 4 3 4" xfId="7403" xr:uid="{00000000-0005-0000-0000-0000F71C0000}"/>
    <cellStyle name="Normal 3 4 4 4" xfId="7404" xr:uid="{00000000-0005-0000-0000-0000F81C0000}"/>
    <cellStyle name="Normal 3 4 4 5" xfId="7405" xr:uid="{00000000-0005-0000-0000-0000F91C0000}"/>
    <cellStyle name="Normal 3 4 4 6" xfId="7406" xr:uid="{00000000-0005-0000-0000-0000FA1C0000}"/>
    <cellStyle name="Normal 3 4 4 7" xfId="7407" xr:uid="{00000000-0005-0000-0000-0000FB1C0000}"/>
    <cellStyle name="Normal 3 4 5" xfId="7408" xr:uid="{00000000-0005-0000-0000-0000FC1C0000}"/>
    <cellStyle name="Normal 3 4 5 2" xfId="7409" xr:uid="{00000000-0005-0000-0000-0000FD1C0000}"/>
    <cellStyle name="Normal 3 4 5 3" xfId="7410" xr:uid="{00000000-0005-0000-0000-0000FE1C0000}"/>
    <cellStyle name="Normal 3 4 5 4" xfId="7411" xr:uid="{00000000-0005-0000-0000-0000FF1C0000}"/>
    <cellStyle name="Normal 3 4 5 5" xfId="7412" xr:uid="{00000000-0005-0000-0000-0000001D0000}"/>
    <cellStyle name="Normal 3 4 6" xfId="7413" xr:uid="{00000000-0005-0000-0000-0000011D0000}"/>
    <cellStyle name="Normal 3 4 6 2" xfId="7414" xr:uid="{00000000-0005-0000-0000-0000021D0000}"/>
    <cellStyle name="Normal 3 4 6 3" xfId="7415" xr:uid="{00000000-0005-0000-0000-0000031D0000}"/>
    <cellStyle name="Normal 3 4 6 4" xfId="7416" xr:uid="{00000000-0005-0000-0000-0000041D0000}"/>
    <cellStyle name="Normal 3 4 6 5" xfId="7417" xr:uid="{00000000-0005-0000-0000-0000051D0000}"/>
    <cellStyle name="Normal 3 4 7" xfId="7418" xr:uid="{00000000-0005-0000-0000-0000061D0000}"/>
    <cellStyle name="Normal 3 4 7 2" xfId="7419" xr:uid="{00000000-0005-0000-0000-0000071D0000}"/>
    <cellStyle name="Normal 3 4 7 3" xfId="7420" xr:uid="{00000000-0005-0000-0000-0000081D0000}"/>
    <cellStyle name="Normal 3 4 7 4" xfId="7421" xr:uid="{00000000-0005-0000-0000-0000091D0000}"/>
    <cellStyle name="Normal 3 4 7 5" xfId="7422" xr:uid="{00000000-0005-0000-0000-00000A1D0000}"/>
    <cellStyle name="Normal 3 4 8" xfId="7423" xr:uid="{00000000-0005-0000-0000-00000B1D0000}"/>
    <cellStyle name="Normal 3 4 8 2" xfId="7424" xr:uid="{00000000-0005-0000-0000-00000C1D0000}"/>
    <cellStyle name="Normal 3 4 8 3" xfId="7425" xr:uid="{00000000-0005-0000-0000-00000D1D0000}"/>
    <cellStyle name="Normal 3 4 8 4" xfId="7426" xr:uid="{00000000-0005-0000-0000-00000E1D0000}"/>
    <cellStyle name="Normal 3 4 8 5" xfId="7427" xr:uid="{00000000-0005-0000-0000-00000F1D0000}"/>
    <cellStyle name="Normal 3 4 9" xfId="7428" xr:uid="{00000000-0005-0000-0000-0000101D0000}"/>
    <cellStyle name="Normal 3 5" xfId="7429" xr:uid="{00000000-0005-0000-0000-0000111D0000}"/>
    <cellStyle name="Normal 3 5 10" xfId="7430" xr:uid="{00000000-0005-0000-0000-0000121D0000}"/>
    <cellStyle name="Normal 3 5 11" xfId="7431" xr:uid="{00000000-0005-0000-0000-0000131D0000}"/>
    <cellStyle name="Normal 3 5 12" xfId="7432" xr:uid="{00000000-0005-0000-0000-0000141D0000}"/>
    <cellStyle name="Normal 3 5 13" xfId="7433" xr:uid="{00000000-0005-0000-0000-0000151D0000}"/>
    <cellStyle name="Normal 3 5 2" xfId="7434" xr:uid="{00000000-0005-0000-0000-0000161D0000}"/>
    <cellStyle name="Normal 3 5 2 2" xfId="7435" xr:uid="{00000000-0005-0000-0000-0000171D0000}"/>
    <cellStyle name="Normal 3 5 2 3" xfId="7436" xr:uid="{00000000-0005-0000-0000-0000181D0000}"/>
    <cellStyle name="Normal 3 5 2 4" xfId="7437" xr:uid="{00000000-0005-0000-0000-0000191D0000}"/>
    <cellStyle name="Normal 3 5 2 5" xfId="7438" xr:uid="{00000000-0005-0000-0000-00001A1D0000}"/>
    <cellStyle name="Normal 3 5 3" xfId="7439" xr:uid="{00000000-0005-0000-0000-00001B1D0000}"/>
    <cellStyle name="Normal 3 5 3 2" xfId="7440" xr:uid="{00000000-0005-0000-0000-00001C1D0000}"/>
    <cellStyle name="Normal 3 5 3 2 2" xfId="7441" xr:uid="{00000000-0005-0000-0000-00001D1D0000}"/>
    <cellStyle name="Normal 3 5 3 2 3" xfId="7442" xr:uid="{00000000-0005-0000-0000-00001E1D0000}"/>
    <cellStyle name="Normal 3 5 3 2 4" xfId="7443" xr:uid="{00000000-0005-0000-0000-00001F1D0000}"/>
    <cellStyle name="Normal 3 5 3 3" xfId="7444" xr:uid="{00000000-0005-0000-0000-0000201D0000}"/>
    <cellStyle name="Normal 3 5 3 3 2" xfId="7445" xr:uid="{00000000-0005-0000-0000-0000211D0000}"/>
    <cellStyle name="Normal 3 5 3 3 3" xfId="7446" xr:uid="{00000000-0005-0000-0000-0000221D0000}"/>
    <cellStyle name="Normal 3 5 3 3 4" xfId="7447" xr:uid="{00000000-0005-0000-0000-0000231D0000}"/>
    <cellStyle name="Normal 3 5 3 4" xfId="7448" xr:uid="{00000000-0005-0000-0000-0000241D0000}"/>
    <cellStyle name="Normal 3 5 3 5" xfId="7449" xr:uid="{00000000-0005-0000-0000-0000251D0000}"/>
    <cellStyle name="Normal 3 5 3 6" xfId="7450" xr:uid="{00000000-0005-0000-0000-0000261D0000}"/>
    <cellStyle name="Normal 3 5 3 7" xfId="7451" xr:uid="{00000000-0005-0000-0000-0000271D0000}"/>
    <cellStyle name="Normal 3 5 4" xfId="7452" xr:uid="{00000000-0005-0000-0000-0000281D0000}"/>
    <cellStyle name="Normal 3 5 4 2" xfId="7453" xr:uid="{00000000-0005-0000-0000-0000291D0000}"/>
    <cellStyle name="Normal 3 5 4 2 2" xfId="7454" xr:uid="{00000000-0005-0000-0000-00002A1D0000}"/>
    <cellStyle name="Normal 3 5 4 2 3" xfId="7455" xr:uid="{00000000-0005-0000-0000-00002B1D0000}"/>
    <cellStyle name="Normal 3 5 4 2 4" xfId="7456" xr:uid="{00000000-0005-0000-0000-00002C1D0000}"/>
    <cellStyle name="Normal 3 5 4 3" xfId="7457" xr:uid="{00000000-0005-0000-0000-00002D1D0000}"/>
    <cellStyle name="Normal 3 5 4 3 2" xfId="7458" xr:uid="{00000000-0005-0000-0000-00002E1D0000}"/>
    <cellStyle name="Normal 3 5 4 3 2 2" xfId="7459" xr:uid="{00000000-0005-0000-0000-00002F1D0000}"/>
    <cellStyle name="Normal 3 5 4 3 2 2 2" xfId="7460" xr:uid="{00000000-0005-0000-0000-0000301D0000}"/>
    <cellStyle name="Normal 3 5 4 3 2 2 3" xfId="7461" xr:uid="{00000000-0005-0000-0000-0000311D0000}"/>
    <cellStyle name="Normal 3 5 4 3 2 3" xfId="7462" xr:uid="{00000000-0005-0000-0000-0000321D0000}"/>
    <cellStyle name="Normal 3 5 4 3 2 4" xfId="7463" xr:uid="{00000000-0005-0000-0000-0000331D0000}"/>
    <cellStyle name="Normal 3 5 4 3 3" xfId="7464" xr:uid="{00000000-0005-0000-0000-0000341D0000}"/>
    <cellStyle name="Normal 3 5 4 3 3 2" xfId="7465" xr:uid="{00000000-0005-0000-0000-0000351D0000}"/>
    <cellStyle name="Normal 3 5 4 3 3 2 2" xfId="7466" xr:uid="{00000000-0005-0000-0000-0000361D0000}"/>
    <cellStyle name="Normal 3 5 4 3 3 2 3" xfId="7467" xr:uid="{00000000-0005-0000-0000-0000371D0000}"/>
    <cellStyle name="Normal 3 5 4 3 3 3" xfId="7468" xr:uid="{00000000-0005-0000-0000-0000381D0000}"/>
    <cellStyle name="Normal 3 5 4 3 3 4" xfId="7469" xr:uid="{00000000-0005-0000-0000-0000391D0000}"/>
    <cellStyle name="Normal 3 5 4 3 4" xfId="7470" xr:uid="{00000000-0005-0000-0000-00003A1D0000}"/>
    <cellStyle name="Normal 3 5 4 3 4 2" xfId="7471" xr:uid="{00000000-0005-0000-0000-00003B1D0000}"/>
    <cellStyle name="Normal 3 5 4 3 4 3" xfId="7472" xr:uid="{00000000-0005-0000-0000-00003C1D0000}"/>
    <cellStyle name="Normal 3 5 4 3 5" xfId="7473" xr:uid="{00000000-0005-0000-0000-00003D1D0000}"/>
    <cellStyle name="Normal 3 5 4 3 6" xfId="7474" xr:uid="{00000000-0005-0000-0000-00003E1D0000}"/>
    <cellStyle name="Normal 3 5 4 3 7" xfId="7475" xr:uid="{00000000-0005-0000-0000-00003F1D0000}"/>
    <cellStyle name="Normal 3 5 4 4" xfId="7476" xr:uid="{00000000-0005-0000-0000-0000401D0000}"/>
    <cellStyle name="Normal 3 5 4 4 2" xfId="7477" xr:uid="{00000000-0005-0000-0000-0000411D0000}"/>
    <cellStyle name="Normal 3 5 4 4 2 2" xfId="7478" xr:uid="{00000000-0005-0000-0000-0000421D0000}"/>
    <cellStyle name="Normal 3 5 4 4 2 2 2" xfId="7479" xr:uid="{00000000-0005-0000-0000-0000431D0000}"/>
    <cellStyle name="Normal 3 5 4 4 2 2 3" xfId="7480" xr:uid="{00000000-0005-0000-0000-0000441D0000}"/>
    <cellStyle name="Normal 3 5 4 4 2 3" xfId="7481" xr:uid="{00000000-0005-0000-0000-0000451D0000}"/>
    <cellStyle name="Normal 3 5 4 4 2 4" xfId="7482" xr:uid="{00000000-0005-0000-0000-0000461D0000}"/>
    <cellStyle name="Normal 3 5 4 4 3" xfId="7483" xr:uid="{00000000-0005-0000-0000-0000471D0000}"/>
    <cellStyle name="Normal 3 5 4 4 3 2" xfId="7484" xr:uid="{00000000-0005-0000-0000-0000481D0000}"/>
    <cellStyle name="Normal 3 5 4 4 3 3" xfId="7485" xr:uid="{00000000-0005-0000-0000-0000491D0000}"/>
    <cellStyle name="Normal 3 5 4 4 4" xfId="7486" xr:uid="{00000000-0005-0000-0000-00004A1D0000}"/>
    <cellStyle name="Normal 3 5 4 4 5" xfId="7487" xr:uid="{00000000-0005-0000-0000-00004B1D0000}"/>
    <cellStyle name="Normal 3 5 4 4 6" xfId="7488" xr:uid="{00000000-0005-0000-0000-00004C1D0000}"/>
    <cellStyle name="Normal 3 5 4 5" xfId="7489" xr:uid="{00000000-0005-0000-0000-00004D1D0000}"/>
    <cellStyle name="Normal 3 5 4 5 2" xfId="7490" xr:uid="{00000000-0005-0000-0000-00004E1D0000}"/>
    <cellStyle name="Normal 3 5 4 5 3" xfId="7491" xr:uid="{00000000-0005-0000-0000-00004F1D0000}"/>
    <cellStyle name="Normal 3 5 4 6" xfId="7492" xr:uid="{00000000-0005-0000-0000-0000501D0000}"/>
    <cellStyle name="Normal 3 5 4 7" xfId="7493" xr:uid="{00000000-0005-0000-0000-0000511D0000}"/>
    <cellStyle name="Normal 3 5 4 8" xfId="7494" xr:uid="{00000000-0005-0000-0000-0000521D0000}"/>
    <cellStyle name="Normal 3 5 4 9" xfId="7495" xr:uid="{00000000-0005-0000-0000-0000531D0000}"/>
    <cellStyle name="Normal 3 5 5" xfId="7496" xr:uid="{00000000-0005-0000-0000-0000541D0000}"/>
    <cellStyle name="Normal 3 5 5 2" xfId="7497" xr:uid="{00000000-0005-0000-0000-0000551D0000}"/>
    <cellStyle name="Normal 3 5 5 3" xfId="7498" xr:uid="{00000000-0005-0000-0000-0000561D0000}"/>
    <cellStyle name="Normal 3 5 5 4" xfId="7499" xr:uid="{00000000-0005-0000-0000-0000571D0000}"/>
    <cellStyle name="Normal 3 5 5 5" xfId="7500" xr:uid="{00000000-0005-0000-0000-0000581D0000}"/>
    <cellStyle name="Normal 3 5 6" xfId="7501" xr:uid="{00000000-0005-0000-0000-0000591D0000}"/>
    <cellStyle name="Normal 3 5 6 2" xfId="7502" xr:uid="{00000000-0005-0000-0000-00005A1D0000}"/>
    <cellStyle name="Normal 3 5 6 3" xfId="7503" xr:uid="{00000000-0005-0000-0000-00005B1D0000}"/>
    <cellStyle name="Normal 3 5 6 4" xfId="7504" xr:uid="{00000000-0005-0000-0000-00005C1D0000}"/>
    <cellStyle name="Normal 3 5 6 5" xfId="7505" xr:uid="{00000000-0005-0000-0000-00005D1D0000}"/>
    <cellStyle name="Normal 3 5 7" xfId="7506" xr:uid="{00000000-0005-0000-0000-00005E1D0000}"/>
    <cellStyle name="Normal 3 5 7 2" xfId="7507" xr:uid="{00000000-0005-0000-0000-00005F1D0000}"/>
    <cellStyle name="Normal 3 5 7 3" xfId="7508" xr:uid="{00000000-0005-0000-0000-0000601D0000}"/>
    <cellStyle name="Normal 3 5 7 4" xfId="7509" xr:uid="{00000000-0005-0000-0000-0000611D0000}"/>
    <cellStyle name="Normal 3 5 7 5" xfId="7510" xr:uid="{00000000-0005-0000-0000-0000621D0000}"/>
    <cellStyle name="Normal 3 5 8" xfId="7511" xr:uid="{00000000-0005-0000-0000-0000631D0000}"/>
    <cellStyle name="Normal 3 5 8 2" xfId="7512" xr:uid="{00000000-0005-0000-0000-0000641D0000}"/>
    <cellStyle name="Normal 3 5 8 3" xfId="7513" xr:uid="{00000000-0005-0000-0000-0000651D0000}"/>
    <cellStyle name="Normal 3 5 8 4" xfId="7514" xr:uid="{00000000-0005-0000-0000-0000661D0000}"/>
    <cellStyle name="Normal 3 5 8 5" xfId="7515" xr:uid="{00000000-0005-0000-0000-0000671D0000}"/>
    <cellStyle name="Normal 3 5 9" xfId="7516" xr:uid="{00000000-0005-0000-0000-0000681D0000}"/>
    <cellStyle name="Normal 3 5 9 2" xfId="7517" xr:uid="{00000000-0005-0000-0000-0000691D0000}"/>
    <cellStyle name="Normal 3 5 9 3" xfId="7518" xr:uid="{00000000-0005-0000-0000-00006A1D0000}"/>
    <cellStyle name="Normal 3 5 9 4" xfId="7519" xr:uid="{00000000-0005-0000-0000-00006B1D0000}"/>
    <cellStyle name="Normal 3 6" xfId="7520" xr:uid="{00000000-0005-0000-0000-00006C1D0000}"/>
    <cellStyle name="Normal 3 6 2" xfId="7521" xr:uid="{00000000-0005-0000-0000-00006D1D0000}"/>
    <cellStyle name="Normal 3 6 2 2" xfId="7522" xr:uid="{00000000-0005-0000-0000-00006E1D0000}"/>
    <cellStyle name="Normal 3 6 2 3" xfId="7523" xr:uid="{00000000-0005-0000-0000-00006F1D0000}"/>
    <cellStyle name="Normal 3 6 2 4" xfId="7524" xr:uid="{00000000-0005-0000-0000-0000701D0000}"/>
    <cellStyle name="Normal 3 6 3" xfId="7525" xr:uid="{00000000-0005-0000-0000-0000711D0000}"/>
    <cellStyle name="Normal 3 6 3 2" xfId="7526" xr:uid="{00000000-0005-0000-0000-0000721D0000}"/>
    <cellStyle name="Normal 3 6 3 3" xfId="7527" xr:uid="{00000000-0005-0000-0000-0000731D0000}"/>
    <cellStyle name="Normal 3 6 3 4" xfId="7528" xr:uid="{00000000-0005-0000-0000-0000741D0000}"/>
    <cellStyle name="Normal 3 6 4" xfId="7529" xr:uid="{00000000-0005-0000-0000-0000751D0000}"/>
    <cellStyle name="Normal 3 6 5" xfId="7530" xr:uid="{00000000-0005-0000-0000-0000761D0000}"/>
    <cellStyle name="Normal 3 6 6" xfId="7531" xr:uid="{00000000-0005-0000-0000-0000771D0000}"/>
    <cellStyle name="Normal 3 6 7" xfId="7532" xr:uid="{00000000-0005-0000-0000-0000781D0000}"/>
    <cellStyle name="Normal 3 7" xfId="7533" xr:uid="{00000000-0005-0000-0000-0000791D0000}"/>
    <cellStyle name="Normal 3 7 2" xfId="7534" xr:uid="{00000000-0005-0000-0000-00007A1D0000}"/>
    <cellStyle name="Normal 3 7 2 2" xfId="7535" xr:uid="{00000000-0005-0000-0000-00007B1D0000}"/>
    <cellStyle name="Normal 3 7 2 3" xfId="7536" xr:uid="{00000000-0005-0000-0000-00007C1D0000}"/>
    <cellStyle name="Normal 3 7 2 4" xfId="7537" xr:uid="{00000000-0005-0000-0000-00007D1D0000}"/>
    <cellStyle name="Normal 3 7 3" xfId="7538" xr:uid="{00000000-0005-0000-0000-00007E1D0000}"/>
    <cellStyle name="Normal 3 7 3 2" xfId="7539" xr:uid="{00000000-0005-0000-0000-00007F1D0000}"/>
    <cellStyle name="Normal 3 7 3 3" xfId="7540" xr:uid="{00000000-0005-0000-0000-0000801D0000}"/>
    <cellStyle name="Normal 3 7 3 4" xfId="7541" xr:uid="{00000000-0005-0000-0000-0000811D0000}"/>
    <cellStyle name="Normal 3 7 4" xfId="7542" xr:uid="{00000000-0005-0000-0000-0000821D0000}"/>
    <cellStyle name="Normal 3 7 5" xfId="7543" xr:uid="{00000000-0005-0000-0000-0000831D0000}"/>
    <cellStyle name="Normal 3 7 6" xfId="7544" xr:uid="{00000000-0005-0000-0000-0000841D0000}"/>
    <cellStyle name="Normal 3 7 7" xfId="7545" xr:uid="{00000000-0005-0000-0000-0000851D0000}"/>
    <cellStyle name="Normal 3 8" xfId="7546" xr:uid="{00000000-0005-0000-0000-0000861D0000}"/>
    <cellStyle name="Normal 3 8 2" xfId="7547" xr:uid="{00000000-0005-0000-0000-0000871D0000}"/>
    <cellStyle name="Normal 3 8 3" xfId="7548" xr:uid="{00000000-0005-0000-0000-0000881D0000}"/>
    <cellStyle name="Normal 3 8 4" xfId="7549" xr:uid="{00000000-0005-0000-0000-0000891D0000}"/>
    <cellStyle name="Normal 3 8 5" xfId="7550" xr:uid="{00000000-0005-0000-0000-00008A1D0000}"/>
    <cellStyle name="Normal 3 9" xfId="7551" xr:uid="{00000000-0005-0000-0000-00008B1D0000}"/>
    <cellStyle name="Normal 3 9 2" xfId="7552" xr:uid="{00000000-0005-0000-0000-00008C1D0000}"/>
    <cellStyle name="Normal 3 9 3" xfId="7553" xr:uid="{00000000-0005-0000-0000-00008D1D0000}"/>
    <cellStyle name="Normal 3 9 4" xfId="7554" xr:uid="{00000000-0005-0000-0000-00008E1D0000}"/>
    <cellStyle name="Normal 3 9 5" xfId="7555" xr:uid="{00000000-0005-0000-0000-00008F1D0000}"/>
    <cellStyle name="Normal 3_DACNEW" xfId="17760" xr:uid="{00000000-0005-0000-0000-0000901D0000}"/>
    <cellStyle name="Normal 30" xfId="7556" xr:uid="{00000000-0005-0000-0000-0000911D0000}"/>
    <cellStyle name="Normal 30 2" xfId="7557" xr:uid="{00000000-0005-0000-0000-0000921D0000}"/>
    <cellStyle name="Normal 30 3" xfId="7558" xr:uid="{00000000-0005-0000-0000-0000931D0000}"/>
    <cellStyle name="Normal 30 4" xfId="7559" xr:uid="{00000000-0005-0000-0000-0000941D0000}"/>
    <cellStyle name="Normal 31" xfId="7560" xr:uid="{00000000-0005-0000-0000-0000951D0000}"/>
    <cellStyle name="Normal 31 2" xfId="7561" xr:uid="{00000000-0005-0000-0000-0000961D0000}"/>
    <cellStyle name="Normal 31 2 2" xfId="7562" xr:uid="{00000000-0005-0000-0000-0000971D0000}"/>
    <cellStyle name="Normal 31 2 3" xfId="7563" xr:uid="{00000000-0005-0000-0000-0000981D0000}"/>
    <cellStyle name="Normal 31 2 4" xfId="7564" xr:uid="{00000000-0005-0000-0000-0000991D0000}"/>
    <cellStyle name="Normal 31 3" xfId="7565" xr:uid="{00000000-0005-0000-0000-00009A1D0000}"/>
    <cellStyle name="Normal 31 4" xfId="7566" xr:uid="{00000000-0005-0000-0000-00009B1D0000}"/>
    <cellStyle name="Normal 31 5" xfId="7567" xr:uid="{00000000-0005-0000-0000-00009C1D0000}"/>
    <cellStyle name="Normal 32" xfId="7568" xr:uid="{00000000-0005-0000-0000-00009D1D0000}"/>
    <cellStyle name="Normal 32 2" xfId="7569" xr:uid="{00000000-0005-0000-0000-00009E1D0000}"/>
    <cellStyle name="Normal 32 2 2" xfId="7570" xr:uid="{00000000-0005-0000-0000-00009F1D0000}"/>
    <cellStyle name="Normal 32 2 3" xfId="7571" xr:uid="{00000000-0005-0000-0000-0000A01D0000}"/>
    <cellStyle name="Normal 32 2 4" xfId="7572" xr:uid="{00000000-0005-0000-0000-0000A11D0000}"/>
    <cellStyle name="Normal 32 3" xfId="7573" xr:uid="{00000000-0005-0000-0000-0000A21D0000}"/>
    <cellStyle name="Normal 32 4" xfId="7574" xr:uid="{00000000-0005-0000-0000-0000A31D0000}"/>
    <cellStyle name="Normal 32 5" xfId="7575" xr:uid="{00000000-0005-0000-0000-0000A41D0000}"/>
    <cellStyle name="Normal 33" xfId="7576" xr:uid="{00000000-0005-0000-0000-0000A51D0000}"/>
    <cellStyle name="Normal 33 10" xfId="7577" xr:uid="{00000000-0005-0000-0000-0000A61D0000}"/>
    <cellStyle name="Normal 33 10 2" xfId="7578" xr:uid="{00000000-0005-0000-0000-0000A71D0000}"/>
    <cellStyle name="Normal 33 10 3" xfId="7579" xr:uid="{00000000-0005-0000-0000-0000A81D0000}"/>
    <cellStyle name="Normal 33 10 4" xfId="7580" xr:uid="{00000000-0005-0000-0000-0000A91D0000}"/>
    <cellStyle name="Normal 33 11" xfId="7581" xr:uid="{00000000-0005-0000-0000-0000AA1D0000}"/>
    <cellStyle name="Normal 33 11 2" xfId="7582" xr:uid="{00000000-0005-0000-0000-0000AB1D0000}"/>
    <cellStyle name="Normal 33 11 3" xfId="7583" xr:uid="{00000000-0005-0000-0000-0000AC1D0000}"/>
    <cellStyle name="Normal 33 11 4" xfId="7584" xr:uid="{00000000-0005-0000-0000-0000AD1D0000}"/>
    <cellStyle name="Normal 33 12" xfId="7585" xr:uid="{00000000-0005-0000-0000-0000AE1D0000}"/>
    <cellStyle name="Normal 33 12 2" xfId="7586" xr:uid="{00000000-0005-0000-0000-0000AF1D0000}"/>
    <cellStyle name="Normal 33 12 3" xfId="7587" xr:uid="{00000000-0005-0000-0000-0000B01D0000}"/>
    <cellStyle name="Normal 33 12 4" xfId="7588" xr:uid="{00000000-0005-0000-0000-0000B11D0000}"/>
    <cellStyle name="Normal 33 13" xfId="7589" xr:uid="{00000000-0005-0000-0000-0000B21D0000}"/>
    <cellStyle name="Normal 33 13 2" xfId="7590" xr:uid="{00000000-0005-0000-0000-0000B31D0000}"/>
    <cellStyle name="Normal 33 13 3" xfId="7591" xr:uid="{00000000-0005-0000-0000-0000B41D0000}"/>
    <cellStyle name="Normal 33 13 4" xfId="7592" xr:uid="{00000000-0005-0000-0000-0000B51D0000}"/>
    <cellStyle name="Normal 33 14" xfId="7593" xr:uid="{00000000-0005-0000-0000-0000B61D0000}"/>
    <cellStyle name="Normal 33 15" xfId="7594" xr:uid="{00000000-0005-0000-0000-0000B71D0000}"/>
    <cellStyle name="Normal 33 16" xfId="7595" xr:uid="{00000000-0005-0000-0000-0000B81D0000}"/>
    <cellStyle name="Normal 33 2" xfId="7596" xr:uid="{00000000-0005-0000-0000-0000B91D0000}"/>
    <cellStyle name="Normal 33 2 2" xfId="7597" xr:uid="{00000000-0005-0000-0000-0000BA1D0000}"/>
    <cellStyle name="Normal 33 2 3" xfId="7598" xr:uid="{00000000-0005-0000-0000-0000BB1D0000}"/>
    <cellStyle name="Normal 33 2 4" xfId="7599" xr:uid="{00000000-0005-0000-0000-0000BC1D0000}"/>
    <cellStyle name="Normal 33 3" xfId="7600" xr:uid="{00000000-0005-0000-0000-0000BD1D0000}"/>
    <cellStyle name="Normal 33 3 2" xfId="7601" xr:uid="{00000000-0005-0000-0000-0000BE1D0000}"/>
    <cellStyle name="Normal 33 3 3" xfId="7602" xr:uid="{00000000-0005-0000-0000-0000BF1D0000}"/>
    <cellStyle name="Normal 33 3 4" xfId="7603" xr:uid="{00000000-0005-0000-0000-0000C01D0000}"/>
    <cellStyle name="Normal 33 4" xfId="7604" xr:uid="{00000000-0005-0000-0000-0000C11D0000}"/>
    <cellStyle name="Normal 33 4 2" xfId="7605" xr:uid="{00000000-0005-0000-0000-0000C21D0000}"/>
    <cellStyle name="Normal 33 4 3" xfId="7606" xr:uid="{00000000-0005-0000-0000-0000C31D0000}"/>
    <cellStyle name="Normal 33 4 4" xfId="7607" xr:uid="{00000000-0005-0000-0000-0000C41D0000}"/>
    <cellStyle name="Normal 33 5" xfId="7608" xr:uid="{00000000-0005-0000-0000-0000C51D0000}"/>
    <cellStyle name="Normal 33 5 2" xfId="7609" xr:uid="{00000000-0005-0000-0000-0000C61D0000}"/>
    <cellStyle name="Normal 33 5 3" xfId="7610" xr:uid="{00000000-0005-0000-0000-0000C71D0000}"/>
    <cellStyle name="Normal 33 5 4" xfId="7611" xr:uid="{00000000-0005-0000-0000-0000C81D0000}"/>
    <cellStyle name="Normal 33 6" xfId="7612" xr:uid="{00000000-0005-0000-0000-0000C91D0000}"/>
    <cellStyle name="Normal 33 6 2" xfId="7613" xr:uid="{00000000-0005-0000-0000-0000CA1D0000}"/>
    <cellStyle name="Normal 33 6 3" xfId="7614" xr:uid="{00000000-0005-0000-0000-0000CB1D0000}"/>
    <cellStyle name="Normal 33 6 4" xfId="7615" xr:uid="{00000000-0005-0000-0000-0000CC1D0000}"/>
    <cellStyle name="Normal 33 7" xfId="7616" xr:uid="{00000000-0005-0000-0000-0000CD1D0000}"/>
    <cellStyle name="Normal 33 7 2" xfId="7617" xr:uid="{00000000-0005-0000-0000-0000CE1D0000}"/>
    <cellStyle name="Normal 33 7 3" xfId="7618" xr:uid="{00000000-0005-0000-0000-0000CF1D0000}"/>
    <cellStyle name="Normal 33 7 4" xfId="7619" xr:uid="{00000000-0005-0000-0000-0000D01D0000}"/>
    <cellStyle name="Normal 33 8" xfId="7620" xr:uid="{00000000-0005-0000-0000-0000D11D0000}"/>
    <cellStyle name="Normal 33 8 2" xfId="7621" xr:uid="{00000000-0005-0000-0000-0000D21D0000}"/>
    <cellStyle name="Normal 33 8 3" xfId="7622" xr:uid="{00000000-0005-0000-0000-0000D31D0000}"/>
    <cellStyle name="Normal 33 8 4" xfId="7623" xr:uid="{00000000-0005-0000-0000-0000D41D0000}"/>
    <cellStyle name="Normal 33 9" xfId="7624" xr:uid="{00000000-0005-0000-0000-0000D51D0000}"/>
    <cellStyle name="Normal 33 9 2" xfId="7625" xr:uid="{00000000-0005-0000-0000-0000D61D0000}"/>
    <cellStyle name="Normal 33 9 3" xfId="7626" xr:uid="{00000000-0005-0000-0000-0000D71D0000}"/>
    <cellStyle name="Normal 33 9 4" xfId="7627" xr:uid="{00000000-0005-0000-0000-0000D81D0000}"/>
    <cellStyle name="Normal 33_Scen_XBase" xfId="7628" xr:uid="{00000000-0005-0000-0000-0000D91D0000}"/>
    <cellStyle name="Normal 34" xfId="7629" xr:uid="{00000000-0005-0000-0000-0000DA1D0000}"/>
    <cellStyle name="Normal 34 2" xfId="7630" xr:uid="{00000000-0005-0000-0000-0000DB1D0000}"/>
    <cellStyle name="Normal 34 3" xfId="7631" xr:uid="{00000000-0005-0000-0000-0000DC1D0000}"/>
    <cellStyle name="Normal 34 4" xfId="7632" xr:uid="{00000000-0005-0000-0000-0000DD1D0000}"/>
    <cellStyle name="Normal 35" xfId="7633" xr:uid="{00000000-0005-0000-0000-0000DE1D0000}"/>
    <cellStyle name="Normal 35 2" xfId="7634" xr:uid="{00000000-0005-0000-0000-0000DF1D0000}"/>
    <cellStyle name="Normal 35 2 2" xfId="7635" xr:uid="{00000000-0005-0000-0000-0000E01D0000}"/>
    <cellStyle name="Normal 35 2 2 2" xfId="7636" xr:uid="{00000000-0005-0000-0000-0000E11D0000}"/>
    <cellStyle name="Normal 35 2 2 2 2" xfId="7637" xr:uid="{00000000-0005-0000-0000-0000E21D0000}"/>
    <cellStyle name="Normal 35 2 2 2 3" xfId="7638" xr:uid="{00000000-0005-0000-0000-0000E31D0000}"/>
    <cellStyle name="Normal 35 2 2 3" xfId="7639" xr:uid="{00000000-0005-0000-0000-0000E41D0000}"/>
    <cellStyle name="Normal 35 2 2 4" xfId="7640" xr:uid="{00000000-0005-0000-0000-0000E51D0000}"/>
    <cellStyle name="Normal 35 2 3" xfId="7641" xr:uid="{00000000-0005-0000-0000-0000E61D0000}"/>
    <cellStyle name="Normal 35 2 3 2" xfId="7642" xr:uid="{00000000-0005-0000-0000-0000E71D0000}"/>
    <cellStyle name="Normal 35 2 3 2 2" xfId="7643" xr:uid="{00000000-0005-0000-0000-0000E81D0000}"/>
    <cellStyle name="Normal 35 2 3 2 3" xfId="7644" xr:uid="{00000000-0005-0000-0000-0000E91D0000}"/>
    <cellStyle name="Normal 35 2 3 3" xfId="7645" xr:uid="{00000000-0005-0000-0000-0000EA1D0000}"/>
    <cellStyle name="Normal 35 2 3 4" xfId="7646" xr:uid="{00000000-0005-0000-0000-0000EB1D0000}"/>
    <cellStyle name="Normal 35 2 4" xfId="7647" xr:uid="{00000000-0005-0000-0000-0000EC1D0000}"/>
    <cellStyle name="Normal 35 2 4 2" xfId="7648" xr:uid="{00000000-0005-0000-0000-0000ED1D0000}"/>
    <cellStyle name="Normal 35 2 4 3" xfId="7649" xr:uid="{00000000-0005-0000-0000-0000EE1D0000}"/>
    <cellStyle name="Normal 35 2 5" xfId="7650" xr:uid="{00000000-0005-0000-0000-0000EF1D0000}"/>
    <cellStyle name="Normal 35 2 6" xfId="7651" xr:uid="{00000000-0005-0000-0000-0000F01D0000}"/>
    <cellStyle name="Normal 35 2 7" xfId="7652" xr:uid="{00000000-0005-0000-0000-0000F11D0000}"/>
    <cellStyle name="Normal 35 3" xfId="7653" xr:uid="{00000000-0005-0000-0000-0000F21D0000}"/>
    <cellStyle name="Normal 35 3 2" xfId="7654" xr:uid="{00000000-0005-0000-0000-0000F31D0000}"/>
    <cellStyle name="Normal 35 3 2 2" xfId="7655" xr:uid="{00000000-0005-0000-0000-0000F41D0000}"/>
    <cellStyle name="Normal 35 3 2 3" xfId="7656" xr:uid="{00000000-0005-0000-0000-0000F51D0000}"/>
    <cellStyle name="Normal 35 3 3" xfId="7657" xr:uid="{00000000-0005-0000-0000-0000F61D0000}"/>
    <cellStyle name="Normal 35 3 4" xfId="7658" xr:uid="{00000000-0005-0000-0000-0000F71D0000}"/>
    <cellStyle name="Normal 35 4" xfId="7659" xr:uid="{00000000-0005-0000-0000-0000F81D0000}"/>
    <cellStyle name="Normal 35 4 2" xfId="7660" xr:uid="{00000000-0005-0000-0000-0000F91D0000}"/>
    <cellStyle name="Normal 35 4 2 2" xfId="7661" xr:uid="{00000000-0005-0000-0000-0000FA1D0000}"/>
    <cellStyle name="Normal 35 4 2 3" xfId="7662" xr:uid="{00000000-0005-0000-0000-0000FB1D0000}"/>
    <cellStyle name="Normal 35 4 3" xfId="7663" xr:uid="{00000000-0005-0000-0000-0000FC1D0000}"/>
    <cellStyle name="Normal 35 4 4" xfId="7664" xr:uid="{00000000-0005-0000-0000-0000FD1D0000}"/>
    <cellStyle name="Normal 35 5" xfId="7665" xr:uid="{00000000-0005-0000-0000-0000FE1D0000}"/>
    <cellStyle name="Normal 35 5 2" xfId="7666" xr:uid="{00000000-0005-0000-0000-0000FF1D0000}"/>
    <cellStyle name="Normal 35 5 3" xfId="7667" xr:uid="{00000000-0005-0000-0000-0000001E0000}"/>
    <cellStyle name="Normal 35 6" xfId="7668" xr:uid="{00000000-0005-0000-0000-0000011E0000}"/>
    <cellStyle name="Normal 35 7" xfId="7669" xr:uid="{00000000-0005-0000-0000-0000021E0000}"/>
    <cellStyle name="Normal 35 8" xfId="7670" xr:uid="{00000000-0005-0000-0000-0000031E0000}"/>
    <cellStyle name="Normal 36" xfId="7671" xr:uid="{00000000-0005-0000-0000-0000041E0000}"/>
    <cellStyle name="Normal 36 2" xfId="7672" xr:uid="{00000000-0005-0000-0000-0000051E0000}"/>
    <cellStyle name="Normal 36 2 2" xfId="7673" xr:uid="{00000000-0005-0000-0000-0000061E0000}"/>
    <cellStyle name="Normal 36 2 2 2" xfId="7674" xr:uid="{00000000-0005-0000-0000-0000071E0000}"/>
    <cellStyle name="Normal 36 2 2 2 2" xfId="7675" xr:uid="{00000000-0005-0000-0000-0000081E0000}"/>
    <cellStyle name="Normal 36 2 2 2 3" xfId="7676" xr:uid="{00000000-0005-0000-0000-0000091E0000}"/>
    <cellStyle name="Normal 36 2 2 3" xfId="7677" xr:uid="{00000000-0005-0000-0000-00000A1E0000}"/>
    <cellStyle name="Normal 36 2 2 4" xfId="7678" xr:uid="{00000000-0005-0000-0000-00000B1E0000}"/>
    <cellStyle name="Normal 36 2 3" xfId="7679" xr:uid="{00000000-0005-0000-0000-00000C1E0000}"/>
    <cellStyle name="Normal 36 2 3 2" xfId="7680" xr:uid="{00000000-0005-0000-0000-00000D1E0000}"/>
    <cellStyle name="Normal 36 2 3 2 2" xfId="7681" xr:uid="{00000000-0005-0000-0000-00000E1E0000}"/>
    <cellStyle name="Normal 36 2 3 2 3" xfId="7682" xr:uid="{00000000-0005-0000-0000-00000F1E0000}"/>
    <cellStyle name="Normal 36 2 3 3" xfId="7683" xr:uid="{00000000-0005-0000-0000-0000101E0000}"/>
    <cellStyle name="Normal 36 2 3 4" xfId="7684" xr:uid="{00000000-0005-0000-0000-0000111E0000}"/>
    <cellStyle name="Normal 36 2 4" xfId="7685" xr:uid="{00000000-0005-0000-0000-0000121E0000}"/>
    <cellStyle name="Normal 36 2 4 2" xfId="7686" xr:uid="{00000000-0005-0000-0000-0000131E0000}"/>
    <cellStyle name="Normal 36 2 4 3" xfId="7687" xr:uid="{00000000-0005-0000-0000-0000141E0000}"/>
    <cellStyle name="Normal 36 2 5" xfId="7688" xr:uid="{00000000-0005-0000-0000-0000151E0000}"/>
    <cellStyle name="Normal 36 2 6" xfId="7689" xr:uid="{00000000-0005-0000-0000-0000161E0000}"/>
    <cellStyle name="Normal 36 2 7" xfId="7690" xr:uid="{00000000-0005-0000-0000-0000171E0000}"/>
    <cellStyle name="Normal 36 3" xfId="7691" xr:uid="{00000000-0005-0000-0000-0000181E0000}"/>
    <cellStyle name="Normal 36 3 2" xfId="7692" xr:uid="{00000000-0005-0000-0000-0000191E0000}"/>
    <cellStyle name="Normal 36 3 2 2" xfId="7693" xr:uid="{00000000-0005-0000-0000-00001A1E0000}"/>
    <cellStyle name="Normal 36 3 2 3" xfId="7694" xr:uid="{00000000-0005-0000-0000-00001B1E0000}"/>
    <cellStyle name="Normal 36 3 3" xfId="7695" xr:uid="{00000000-0005-0000-0000-00001C1E0000}"/>
    <cellStyle name="Normal 36 3 4" xfId="7696" xr:uid="{00000000-0005-0000-0000-00001D1E0000}"/>
    <cellStyle name="Normal 36 4" xfId="7697" xr:uid="{00000000-0005-0000-0000-00001E1E0000}"/>
    <cellStyle name="Normal 36 4 2" xfId="7698" xr:uid="{00000000-0005-0000-0000-00001F1E0000}"/>
    <cellStyle name="Normal 36 4 2 2" xfId="7699" xr:uid="{00000000-0005-0000-0000-0000201E0000}"/>
    <cellStyle name="Normal 36 4 2 3" xfId="7700" xr:uid="{00000000-0005-0000-0000-0000211E0000}"/>
    <cellStyle name="Normal 36 4 3" xfId="7701" xr:uid="{00000000-0005-0000-0000-0000221E0000}"/>
    <cellStyle name="Normal 36 4 4" xfId="7702" xr:uid="{00000000-0005-0000-0000-0000231E0000}"/>
    <cellStyle name="Normal 36 5" xfId="7703" xr:uid="{00000000-0005-0000-0000-0000241E0000}"/>
    <cellStyle name="Normal 36 5 2" xfId="7704" xr:uid="{00000000-0005-0000-0000-0000251E0000}"/>
    <cellStyle name="Normal 36 5 3" xfId="7705" xr:uid="{00000000-0005-0000-0000-0000261E0000}"/>
    <cellStyle name="Normal 36 6" xfId="7706" xr:uid="{00000000-0005-0000-0000-0000271E0000}"/>
    <cellStyle name="Normal 36 7" xfId="7707" xr:uid="{00000000-0005-0000-0000-0000281E0000}"/>
    <cellStyle name="Normal 36 8" xfId="7708" xr:uid="{00000000-0005-0000-0000-0000291E0000}"/>
    <cellStyle name="Normal 37" xfId="7709" xr:uid="{00000000-0005-0000-0000-00002A1E0000}"/>
    <cellStyle name="Normal 37 2" xfId="7710" xr:uid="{00000000-0005-0000-0000-00002B1E0000}"/>
    <cellStyle name="Normal 37 2 2" xfId="7711" xr:uid="{00000000-0005-0000-0000-00002C1E0000}"/>
    <cellStyle name="Normal 37 2 2 2" xfId="7712" xr:uid="{00000000-0005-0000-0000-00002D1E0000}"/>
    <cellStyle name="Normal 37 2 2 2 2" xfId="7713" xr:uid="{00000000-0005-0000-0000-00002E1E0000}"/>
    <cellStyle name="Normal 37 2 2 2 3" xfId="7714" xr:uid="{00000000-0005-0000-0000-00002F1E0000}"/>
    <cellStyle name="Normal 37 2 2 3" xfId="7715" xr:uid="{00000000-0005-0000-0000-0000301E0000}"/>
    <cellStyle name="Normal 37 2 2 4" xfId="7716" xr:uid="{00000000-0005-0000-0000-0000311E0000}"/>
    <cellStyle name="Normal 37 2 3" xfId="7717" xr:uid="{00000000-0005-0000-0000-0000321E0000}"/>
    <cellStyle name="Normal 37 2 3 2" xfId="7718" xr:uid="{00000000-0005-0000-0000-0000331E0000}"/>
    <cellStyle name="Normal 37 2 3 2 2" xfId="7719" xr:uid="{00000000-0005-0000-0000-0000341E0000}"/>
    <cellStyle name="Normal 37 2 3 2 3" xfId="7720" xr:uid="{00000000-0005-0000-0000-0000351E0000}"/>
    <cellStyle name="Normal 37 2 3 3" xfId="7721" xr:uid="{00000000-0005-0000-0000-0000361E0000}"/>
    <cellStyle name="Normal 37 2 3 4" xfId="7722" xr:uid="{00000000-0005-0000-0000-0000371E0000}"/>
    <cellStyle name="Normal 37 2 4" xfId="7723" xr:uid="{00000000-0005-0000-0000-0000381E0000}"/>
    <cellStyle name="Normal 37 2 4 2" xfId="7724" xr:uid="{00000000-0005-0000-0000-0000391E0000}"/>
    <cellStyle name="Normal 37 2 4 3" xfId="7725" xr:uid="{00000000-0005-0000-0000-00003A1E0000}"/>
    <cellStyle name="Normal 37 2 5" xfId="7726" xr:uid="{00000000-0005-0000-0000-00003B1E0000}"/>
    <cellStyle name="Normal 37 2 6" xfId="7727" xr:uid="{00000000-0005-0000-0000-00003C1E0000}"/>
    <cellStyle name="Normal 37 2 7" xfId="7728" xr:uid="{00000000-0005-0000-0000-00003D1E0000}"/>
    <cellStyle name="Normal 37 3" xfId="7729" xr:uid="{00000000-0005-0000-0000-00003E1E0000}"/>
    <cellStyle name="Normal 37 3 2" xfId="7730" xr:uid="{00000000-0005-0000-0000-00003F1E0000}"/>
    <cellStyle name="Normal 37 3 2 2" xfId="7731" xr:uid="{00000000-0005-0000-0000-0000401E0000}"/>
    <cellStyle name="Normal 37 3 2 3" xfId="7732" xr:uid="{00000000-0005-0000-0000-0000411E0000}"/>
    <cellStyle name="Normal 37 3 3" xfId="7733" xr:uid="{00000000-0005-0000-0000-0000421E0000}"/>
    <cellStyle name="Normal 37 3 4" xfId="7734" xr:uid="{00000000-0005-0000-0000-0000431E0000}"/>
    <cellStyle name="Normal 37 4" xfId="7735" xr:uid="{00000000-0005-0000-0000-0000441E0000}"/>
    <cellStyle name="Normal 37 4 2" xfId="7736" xr:uid="{00000000-0005-0000-0000-0000451E0000}"/>
    <cellStyle name="Normal 37 4 2 2" xfId="7737" xr:uid="{00000000-0005-0000-0000-0000461E0000}"/>
    <cellStyle name="Normal 37 4 2 3" xfId="7738" xr:uid="{00000000-0005-0000-0000-0000471E0000}"/>
    <cellStyle name="Normal 37 4 3" xfId="7739" xr:uid="{00000000-0005-0000-0000-0000481E0000}"/>
    <cellStyle name="Normal 37 4 4" xfId="7740" xr:uid="{00000000-0005-0000-0000-0000491E0000}"/>
    <cellStyle name="Normal 37 5" xfId="7741" xr:uid="{00000000-0005-0000-0000-00004A1E0000}"/>
    <cellStyle name="Normal 37 5 2" xfId="7742" xr:uid="{00000000-0005-0000-0000-00004B1E0000}"/>
    <cellStyle name="Normal 37 5 3" xfId="7743" xr:uid="{00000000-0005-0000-0000-00004C1E0000}"/>
    <cellStyle name="Normal 37 6" xfId="7744" xr:uid="{00000000-0005-0000-0000-00004D1E0000}"/>
    <cellStyle name="Normal 37 7" xfId="7745" xr:uid="{00000000-0005-0000-0000-00004E1E0000}"/>
    <cellStyle name="Normal 37 8" xfId="7746" xr:uid="{00000000-0005-0000-0000-00004F1E0000}"/>
    <cellStyle name="Normal 38" xfId="7747" xr:uid="{00000000-0005-0000-0000-0000501E0000}"/>
    <cellStyle name="Normal 4" xfId="7748" xr:uid="{00000000-0005-0000-0000-0000511E0000}"/>
    <cellStyle name="Normal 4 10" xfId="7749" xr:uid="{00000000-0005-0000-0000-0000521E0000}"/>
    <cellStyle name="Normal 4 10 2" xfId="7750" xr:uid="{00000000-0005-0000-0000-0000531E0000}"/>
    <cellStyle name="Normal 4 10 2 2" xfId="7751" xr:uid="{00000000-0005-0000-0000-0000541E0000}"/>
    <cellStyle name="Normal 4 10 2 3" xfId="7752" xr:uid="{00000000-0005-0000-0000-0000551E0000}"/>
    <cellStyle name="Normal 4 10 2 4" xfId="7753" xr:uid="{00000000-0005-0000-0000-0000561E0000}"/>
    <cellStyle name="Normal 4 10 3" xfId="7754" xr:uid="{00000000-0005-0000-0000-0000571E0000}"/>
    <cellStyle name="Normal 4 10 3 2" xfId="7755" xr:uid="{00000000-0005-0000-0000-0000581E0000}"/>
    <cellStyle name="Normal 4 10 3 3" xfId="7756" xr:uid="{00000000-0005-0000-0000-0000591E0000}"/>
    <cellStyle name="Normal 4 10 3 4" xfId="7757" xr:uid="{00000000-0005-0000-0000-00005A1E0000}"/>
    <cellStyle name="Normal 4 10 4" xfId="7758" xr:uid="{00000000-0005-0000-0000-00005B1E0000}"/>
    <cellStyle name="Normal 4 10 5" xfId="7759" xr:uid="{00000000-0005-0000-0000-00005C1E0000}"/>
    <cellStyle name="Normal 4 10 6" xfId="7760" xr:uid="{00000000-0005-0000-0000-00005D1E0000}"/>
    <cellStyle name="Normal 4 10 7" xfId="7761" xr:uid="{00000000-0005-0000-0000-00005E1E0000}"/>
    <cellStyle name="Normal 4 11" xfId="7762" xr:uid="{00000000-0005-0000-0000-00005F1E0000}"/>
    <cellStyle name="Normal 4 11 2" xfId="7763" xr:uid="{00000000-0005-0000-0000-0000601E0000}"/>
    <cellStyle name="Normal 4 11 2 2" xfId="7764" xr:uid="{00000000-0005-0000-0000-0000611E0000}"/>
    <cellStyle name="Normal 4 11 2 3" xfId="7765" xr:uid="{00000000-0005-0000-0000-0000621E0000}"/>
    <cellStyle name="Normal 4 11 2 4" xfId="7766" xr:uid="{00000000-0005-0000-0000-0000631E0000}"/>
    <cellStyle name="Normal 4 11 3" xfId="7767" xr:uid="{00000000-0005-0000-0000-0000641E0000}"/>
    <cellStyle name="Normal 4 11 3 2" xfId="7768" xr:uid="{00000000-0005-0000-0000-0000651E0000}"/>
    <cellStyle name="Normal 4 11 3 3" xfId="7769" xr:uid="{00000000-0005-0000-0000-0000661E0000}"/>
    <cellStyle name="Normal 4 11 3 4" xfId="7770" xr:uid="{00000000-0005-0000-0000-0000671E0000}"/>
    <cellStyle name="Normal 4 11 4" xfId="7771" xr:uid="{00000000-0005-0000-0000-0000681E0000}"/>
    <cellStyle name="Normal 4 11 5" xfId="7772" xr:uid="{00000000-0005-0000-0000-0000691E0000}"/>
    <cellStyle name="Normal 4 11 6" xfId="7773" xr:uid="{00000000-0005-0000-0000-00006A1E0000}"/>
    <cellStyle name="Normal 4 11 7" xfId="7774" xr:uid="{00000000-0005-0000-0000-00006B1E0000}"/>
    <cellStyle name="Normal 4 12" xfId="7775" xr:uid="{00000000-0005-0000-0000-00006C1E0000}"/>
    <cellStyle name="Normal 4 12 2" xfId="7776" xr:uid="{00000000-0005-0000-0000-00006D1E0000}"/>
    <cellStyle name="Normal 4 12 3" xfId="7777" xr:uid="{00000000-0005-0000-0000-00006E1E0000}"/>
    <cellStyle name="Normal 4 12 4" xfId="7778" xr:uid="{00000000-0005-0000-0000-00006F1E0000}"/>
    <cellStyle name="Normal 4 12 5" xfId="7779" xr:uid="{00000000-0005-0000-0000-0000701E0000}"/>
    <cellStyle name="Normal 4 13" xfId="7780" xr:uid="{00000000-0005-0000-0000-0000711E0000}"/>
    <cellStyle name="Normal 4 13 2" xfId="7781" xr:uid="{00000000-0005-0000-0000-0000721E0000}"/>
    <cellStyle name="Normal 4 13 2 2" xfId="7782" xr:uid="{00000000-0005-0000-0000-0000731E0000}"/>
    <cellStyle name="Normal 4 13 3" xfId="7783" xr:uid="{00000000-0005-0000-0000-0000741E0000}"/>
    <cellStyle name="Normal 4 14" xfId="7784" xr:uid="{00000000-0005-0000-0000-0000751E0000}"/>
    <cellStyle name="Normal 4 15" xfId="7785" xr:uid="{00000000-0005-0000-0000-0000761E0000}"/>
    <cellStyle name="Normal 4 16" xfId="7786" xr:uid="{00000000-0005-0000-0000-0000771E0000}"/>
    <cellStyle name="Normal 4 17" xfId="7787" xr:uid="{00000000-0005-0000-0000-0000781E0000}"/>
    <cellStyle name="Normal 4 2" xfId="7788" xr:uid="{00000000-0005-0000-0000-0000791E0000}"/>
    <cellStyle name="Normal 4 2 10" xfId="7789" xr:uid="{00000000-0005-0000-0000-00007A1E0000}"/>
    <cellStyle name="Normal 4 2 10 2" xfId="7790" xr:uid="{00000000-0005-0000-0000-00007B1E0000}"/>
    <cellStyle name="Normal 4 2 10 2 2" xfId="7791" xr:uid="{00000000-0005-0000-0000-00007C1E0000}"/>
    <cellStyle name="Normal 4 2 10 2 2 2" xfId="7792" xr:uid="{00000000-0005-0000-0000-00007D1E0000}"/>
    <cellStyle name="Normal 4 2 10 2 2 2 2" xfId="7793" xr:uid="{00000000-0005-0000-0000-00007E1E0000}"/>
    <cellStyle name="Normal 4 2 10 2 2 2 3" xfId="7794" xr:uid="{00000000-0005-0000-0000-00007F1E0000}"/>
    <cellStyle name="Normal 4 2 10 2 2 3" xfId="7795" xr:uid="{00000000-0005-0000-0000-0000801E0000}"/>
    <cellStyle name="Normal 4 2 10 2 2 4" xfId="7796" xr:uid="{00000000-0005-0000-0000-0000811E0000}"/>
    <cellStyle name="Normal 4 2 10 2 3" xfId="7797" xr:uid="{00000000-0005-0000-0000-0000821E0000}"/>
    <cellStyle name="Normal 4 2 10 2 3 2" xfId="7798" xr:uid="{00000000-0005-0000-0000-0000831E0000}"/>
    <cellStyle name="Normal 4 2 10 2 3 2 2" xfId="7799" xr:uid="{00000000-0005-0000-0000-0000841E0000}"/>
    <cellStyle name="Normal 4 2 10 2 3 2 3" xfId="7800" xr:uid="{00000000-0005-0000-0000-0000851E0000}"/>
    <cellStyle name="Normal 4 2 10 2 3 3" xfId="7801" xr:uid="{00000000-0005-0000-0000-0000861E0000}"/>
    <cellStyle name="Normal 4 2 10 2 3 4" xfId="7802" xr:uid="{00000000-0005-0000-0000-0000871E0000}"/>
    <cellStyle name="Normal 4 2 10 2 4" xfId="7803" xr:uid="{00000000-0005-0000-0000-0000881E0000}"/>
    <cellStyle name="Normal 4 2 10 2 4 2" xfId="7804" xr:uid="{00000000-0005-0000-0000-0000891E0000}"/>
    <cellStyle name="Normal 4 2 10 2 4 3" xfId="7805" xr:uid="{00000000-0005-0000-0000-00008A1E0000}"/>
    <cellStyle name="Normal 4 2 10 2 5" xfId="7806" xr:uid="{00000000-0005-0000-0000-00008B1E0000}"/>
    <cellStyle name="Normal 4 2 10 2 6" xfId="7807" xr:uid="{00000000-0005-0000-0000-00008C1E0000}"/>
    <cellStyle name="Normal 4 2 10 2 7" xfId="7808" xr:uid="{00000000-0005-0000-0000-00008D1E0000}"/>
    <cellStyle name="Normal 4 2 10 3" xfId="7809" xr:uid="{00000000-0005-0000-0000-00008E1E0000}"/>
    <cellStyle name="Normal 4 2 10 3 2" xfId="7810" xr:uid="{00000000-0005-0000-0000-00008F1E0000}"/>
    <cellStyle name="Normal 4 2 10 3 2 2" xfId="7811" xr:uid="{00000000-0005-0000-0000-0000901E0000}"/>
    <cellStyle name="Normal 4 2 10 3 2 3" xfId="7812" xr:uid="{00000000-0005-0000-0000-0000911E0000}"/>
    <cellStyle name="Normal 4 2 10 3 3" xfId="7813" xr:uid="{00000000-0005-0000-0000-0000921E0000}"/>
    <cellStyle name="Normal 4 2 10 3 4" xfId="7814" xr:uid="{00000000-0005-0000-0000-0000931E0000}"/>
    <cellStyle name="Normal 4 2 10 4" xfId="7815" xr:uid="{00000000-0005-0000-0000-0000941E0000}"/>
    <cellStyle name="Normal 4 2 10 4 2" xfId="7816" xr:uid="{00000000-0005-0000-0000-0000951E0000}"/>
    <cellStyle name="Normal 4 2 10 4 2 2" xfId="7817" xr:uid="{00000000-0005-0000-0000-0000961E0000}"/>
    <cellStyle name="Normal 4 2 10 4 2 3" xfId="7818" xr:uid="{00000000-0005-0000-0000-0000971E0000}"/>
    <cellStyle name="Normal 4 2 10 4 3" xfId="7819" xr:uid="{00000000-0005-0000-0000-0000981E0000}"/>
    <cellStyle name="Normal 4 2 10 4 4" xfId="7820" xr:uid="{00000000-0005-0000-0000-0000991E0000}"/>
    <cellStyle name="Normal 4 2 10 5" xfId="7821" xr:uid="{00000000-0005-0000-0000-00009A1E0000}"/>
    <cellStyle name="Normal 4 2 10 5 2" xfId="7822" xr:uid="{00000000-0005-0000-0000-00009B1E0000}"/>
    <cellStyle name="Normal 4 2 10 5 3" xfId="7823" xr:uid="{00000000-0005-0000-0000-00009C1E0000}"/>
    <cellStyle name="Normal 4 2 10 6" xfId="7824" xr:uid="{00000000-0005-0000-0000-00009D1E0000}"/>
    <cellStyle name="Normal 4 2 10 7" xfId="7825" xr:uid="{00000000-0005-0000-0000-00009E1E0000}"/>
    <cellStyle name="Normal 4 2 10 8" xfId="7826" xr:uid="{00000000-0005-0000-0000-00009F1E0000}"/>
    <cellStyle name="Normal 4 2 11" xfId="7827" xr:uid="{00000000-0005-0000-0000-0000A01E0000}"/>
    <cellStyle name="Normal 4 2 11 2" xfId="7828" xr:uid="{00000000-0005-0000-0000-0000A11E0000}"/>
    <cellStyle name="Normal 4 2 12" xfId="7829" xr:uid="{00000000-0005-0000-0000-0000A21E0000}"/>
    <cellStyle name="Normal 4 2 13" xfId="7830" xr:uid="{00000000-0005-0000-0000-0000A31E0000}"/>
    <cellStyle name="Normal 4 2 14" xfId="7831" xr:uid="{00000000-0005-0000-0000-0000A41E0000}"/>
    <cellStyle name="Normal 4 2 2" xfId="7832" xr:uid="{00000000-0005-0000-0000-0000A51E0000}"/>
    <cellStyle name="Normal 4 2 2 10" xfId="7833" xr:uid="{00000000-0005-0000-0000-0000A61E0000}"/>
    <cellStyle name="Normal 4 2 2 10 2" xfId="7834" xr:uid="{00000000-0005-0000-0000-0000A71E0000}"/>
    <cellStyle name="Normal 4 2 2 10 2 2" xfId="7835" xr:uid="{00000000-0005-0000-0000-0000A81E0000}"/>
    <cellStyle name="Normal 4 2 2 10 2 2 2" xfId="7836" xr:uid="{00000000-0005-0000-0000-0000A91E0000}"/>
    <cellStyle name="Normal 4 2 2 10 2 2 2 2" xfId="7837" xr:uid="{00000000-0005-0000-0000-0000AA1E0000}"/>
    <cellStyle name="Normal 4 2 2 10 2 2 2 3" xfId="7838" xr:uid="{00000000-0005-0000-0000-0000AB1E0000}"/>
    <cellStyle name="Normal 4 2 2 10 2 2 3" xfId="7839" xr:uid="{00000000-0005-0000-0000-0000AC1E0000}"/>
    <cellStyle name="Normal 4 2 2 10 2 2 4" xfId="7840" xr:uid="{00000000-0005-0000-0000-0000AD1E0000}"/>
    <cellStyle name="Normal 4 2 2 10 2 3" xfId="7841" xr:uid="{00000000-0005-0000-0000-0000AE1E0000}"/>
    <cellStyle name="Normal 4 2 2 10 2 3 2" xfId="7842" xr:uid="{00000000-0005-0000-0000-0000AF1E0000}"/>
    <cellStyle name="Normal 4 2 2 10 2 3 2 2" xfId="7843" xr:uid="{00000000-0005-0000-0000-0000B01E0000}"/>
    <cellStyle name="Normal 4 2 2 10 2 3 2 3" xfId="7844" xr:uid="{00000000-0005-0000-0000-0000B11E0000}"/>
    <cellStyle name="Normal 4 2 2 10 2 3 3" xfId="7845" xr:uid="{00000000-0005-0000-0000-0000B21E0000}"/>
    <cellStyle name="Normal 4 2 2 10 2 3 4" xfId="7846" xr:uid="{00000000-0005-0000-0000-0000B31E0000}"/>
    <cellStyle name="Normal 4 2 2 10 2 4" xfId="7847" xr:uid="{00000000-0005-0000-0000-0000B41E0000}"/>
    <cellStyle name="Normal 4 2 2 10 2 4 2" xfId="7848" xr:uid="{00000000-0005-0000-0000-0000B51E0000}"/>
    <cellStyle name="Normal 4 2 2 10 2 4 3" xfId="7849" xr:uid="{00000000-0005-0000-0000-0000B61E0000}"/>
    <cellStyle name="Normal 4 2 2 10 2 5" xfId="7850" xr:uid="{00000000-0005-0000-0000-0000B71E0000}"/>
    <cellStyle name="Normal 4 2 2 10 2 6" xfId="7851" xr:uid="{00000000-0005-0000-0000-0000B81E0000}"/>
    <cellStyle name="Normal 4 2 2 10 2 7" xfId="7852" xr:uid="{00000000-0005-0000-0000-0000B91E0000}"/>
    <cellStyle name="Normal 4 2 2 10 3" xfId="7853" xr:uid="{00000000-0005-0000-0000-0000BA1E0000}"/>
    <cellStyle name="Normal 4 2 2 10 3 2" xfId="7854" xr:uid="{00000000-0005-0000-0000-0000BB1E0000}"/>
    <cellStyle name="Normal 4 2 2 10 3 2 2" xfId="7855" xr:uid="{00000000-0005-0000-0000-0000BC1E0000}"/>
    <cellStyle name="Normal 4 2 2 10 3 2 2 2" xfId="7856" xr:uid="{00000000-0005-0000-0000-0000BD1E0000}"/>
    <cellStyle name="Normal 4 2 2 10 3 2 2 3" xfId="7857" xr:uid="{00000000-0005-0000-0000-0000BE1E0000}"/>
    <cellStyle name="Normal 4 2 2 10 3 2 3" xfId="7858" xr:uid="{00000000-0005-0000-0000-0000BF1E0000}"/>
    <cellStyle name="Normal 4 2 2 10 3 2 4" xfId="7859" xr:uid="{00000000-0005-0000-0000-0000C01E0000}"/>
    <cellStyle name="Normal 4 2 2 10 3 3" xfId="7860" xr:uid="{00000000-0005-0000-0000-0000C11E0000}"/>
    <cellStyle name="Normal 4 2 2 10 3 3 2" xfId="7861" xr:uid="{00000000-0005-0000-0000-0000C21E0000}"/>
    <cellStyle name="Normal 4 2 2 10 3 3 3" xfId="7862" xr:uid="{00000000-0005-0000-0000-0000C31E0000}"/>
    <cellStyle name="Normal 4 2 2 10 3 4" xfId="7863" xr:uid="{00000000-0005-0000-0000-0000C41E0000}"/>
    <cellStyle name="Normal 4 2 2 10 3 5" xfId="7864" xr:uid="{00000000-0005-0000-0000-0000C51E0000}"/>
    <cellStyle name="Normal 4 2 2 10 4" xfId="7865" xr:uid="{00000000-0005-0000-0000-0000C61E0000}"/>
    <cellStyle name="Normal 4 2 2 10 4 2" xfId="7866" xr:uid="{00000000-0005-0000-0000-0000C71E0000}"/>
    <cellStyle name="Normal 4 2 2 10 4 3" xfId="7867" xr:uid="{00000000-0005-0000-0000-0000C81E0000}"/>
    <cellStyle name="Normal 4 2 2 10 5" xfId="7868" xr:uid="{00000000-0005-0000-0000-0000C91E0000}"/>
    <cellStyle name="Normal 4 2 2 10 5 2" xfId="7869" xr:uid="{00000000-0005-0000-0000-0000CA1E0000}"/>
    <cellStyle name="Normal 4 2 2 10 5 3" xfId="7870" xr:uid="{00000000-0005-0000-0000-0000CB1E0000}"/>
    <cellStyle name="Normal 4 2 2 10 6" xfId="7871" xr:uid="{00000000-0005-0000-0000-0000CC1E0000}"/>
    <cellStyle name="Normal 4 2 2 10 7" xfId="7872" xr:uid="{00000000-0005-0000-0000-0000CD1E0000}"/>
    <cellStyle name="Normal 4 2 2 10 8" xfId="7873" xr:uid="{00000000-0005-0000-0000-0000CE1E0000}"/>
    <cellStyle name="Normal 4 2 2 10 9" xfId="7874" xr:uid="{00000000-0005-0000-0000-0000CF1E0000}"/>
    <cellStyle name="Normal 4 2 2 11" xfId="7875" xr:uid="{00000000-0005-0000-0000-0000D01E0000}"/>
    <cellStyle name="Normal 4 2 2 11 2" xfId="7876" xr:uid="{00000000-0005-0000-0000-0000D11E0000}"/>
    <cellStyle name="Normal 4 2 2 11 2 2" xfId="7877" xr:uid="{00000000-0005-0000-0000-0000D21E0000}"/>
    <cellStyle name="Normal 4 2 2 11 2 2 2" xfId="7878" xr:uid="{00000000-0005-0000-0000-0000D31E0000}"/>
    <cellStyle name="Normal 4 2 2 11 2 2 2 2" xfId="7879" xr:uid="{00000000-0005-0000-0000-0000D41E0000}"/>
    <cellStyle name="Normal 4 2 2 11 2 2 2 3" xfId="7880" xr:uid="{00000000-0005-0000-0000-0000D51E0000}"/>
    <cellStyle name="Normal 4 2 2 11 2 2 3" xfId="7881" xr:uid="{00000000-0005-0000-0000-0000D61E0000}"/>
    <cellStyle name="Normal 4 2 2 11 2 2 4" xfId="7882" xr:uid="{00000000-0005-0000-0000-0000D71E0000}"/>
    <cellStyle name="Normal 4 2 2 11 2 3" xfId="7883" xr:uid="{00000000-0005-0000-0000-0000D81E0000}"/>
    <cellStyle name="Normal 4 2 2 11 2 3 2" xfId="7884" xr:uid="{00000000-0005-0000-0000-0000D91E0000}"/>
    <cellStyle name="Normal 4 2 2 11 2 3 2 2" xfId="7885" xr:uid="{00000000-0005-0000-0000-0000DA1E0000}"/>
    <cellStyle name="Normal 4 2 2 11 2 3 2 3" xfId="7886" xr:uid="{00000000-0005-0000-0000-0000DB1E0000}"/>
    <cellStyle name="Normal 4 2 2 11 2 3 3" xfId="7887" xr:uid="{00000000-0005-0000-0000-0000DC1E0000}"/>
    <cellStyle name="Normal 4 2 2 11 2 3 4" xfId="7888" xr:uid="{00000000-0005-0000-0000-0000DD1E0000}"/>
    <cellStyle name="Normal 4 2 2 11 2 4" xfId="7889" xr:uid="{00000000-0005-0000-0000-0000DE1E0000}"/>
    <cellStyle name="Normal 4 2 2 11 2 4 2" xfId="7890" xr:uid="{00000000-0005-0000-0000-0000DF1E0000}"/>
    <cellStyle name="Normal 4 2 2 11 2 4 3" xfId="7891" xr:uid="{00000000-0005-0000-0000-0000E01E0000}"/>
    <cellStyle name="Normal 4 2 2 11 2 5" xfId="7892" xr:uid="{00000000-0005-0000-0000-0000E11E0000}"/>
    <cellStyle name="Normal 4 2 2 11 2 6" xfId="7893" xr:uid="{00000000-0005-0000-0000-0000E21E0000}"/>
    <cellStyle name="Normal 4 2 2 11 2 7" xfId="7894" xr:uid="{00000000-0005-0000-0000-0000E31E0000}"/>
    <cellStyle name="Normal 4 2 2 11 3" xfId="7895" xr:uid="{00000000-0005-0000-0000-0000E41E0000}"/>
    <cellStyle name="Normal 4 2 2 11 3 2" xfId="7896" xr:uid="{00000000-0005-0000-0000-0000E51E0000}"/>
    <cellStyle name="Normal 4 2 2 11 3 2 2" xfId="7897" xr:uid="{00000000-0005-0000-0000-0000E61E0000}"/>
    <cellStyle name="Normal 4 2 2 11 3 2 2 2" xfId="7898" xr:uid="{00000000-0005-0000-0000-0000E71E0000}"/>
    <cellStyle name="Normal 4 2 2 11 3 2 2 3" xfId="7899" xr:uid="{00000000-0005-0000-0000-0000E81E0000}"/>
    <cellStyle name="Normal 4 2 2 11 3 2 3" xfId="7900" xr:uid="{00000000-0005-0000-0000-0000E91E0000}"/>
    <cellStyle name="Normal 4 2 2 11 3 2 4" xfId="7901" xr:uid="{00000000-0005-0000-0000-0000EA1E0000}"/>
    <cellStyle name="Normal 4 2 2 11 3 3" xfId="7902" xr:uid="{00000000-0005-0000-0000-0000EB1E0000}"/>
    <cellStyle name="Normal 4 2 2 11 3 3 2" xfId="7903" xr:uid="{00000000-0005-0000-0000-0000EC1E0000}"/>
    <cellStyle name="Normal 4 2 2 11 3 3 3" xfId="7904" xr:uid="{00000000-0005-0000-0000-0000ED1E0000}"/>
    <cellStyle name="Normal 4 2 2 11 3 4" xfId="7905" xr:uid="{00000000-0005-0000-0000-0000EE1E0000}"/>
    <cellStyle name="Normal 4 2 2 11 3 5" xfId="7906" xr:uid="{00000000-0005-0000-0000-0000EF1E0000}"/>
    <cellStyle name="Normal 4 2 2 11 4" xfId="7907" xr:uid="{00000000-0005-0000-0000-0000F01E0000}"/>
    <cellStyle name="Normal 4 2 2 11 4 2" xfId="7908" xr:uid="{00000000-0005-0000-0000-0000F11E0000}"/>
    <cellStyle name="Normal 4 2 2 11 4 3" xfId="7909" xr:uid="{00000000-0005-0000-0000-0000F21E0000}"/>
    <cellStyle name="Normal 4 2 2 11 5" xfId="7910" xr:uid="{00000000-0005-0000-0000-0000F31E0000}"/>
    <cellStyle name="Normal 4 2 2 11 5 2" xfId="7911" xr:uid="{00000000-0005-0000-0000-0000F41E0000}"/>
    <cellStyle name="Normal 4 2 2 11 5 3" xfId="7912" xr:uid="{00000000-0005-0000-0000-0000F51E0000}"/>
    <cellStyle name="Normal 4 2 2 11 6" xfId="7913" xr:uid="{00000000-0005-0000-0000-0000F61E0000}"/>
    <cellStyle name="Normal 4 2 2 11 7" xfId="7914" xr:uid="{00000000-0005-0000-0000-0000F71E0000}"/>
    <cellStyle name="Normal 4 2 2 11 8" xfId="7915" xr:uid="{00000000-0005-0000-0000-0000F81E0000}"/>
    <cellStyle name="Normal 4 2 2 11 9" xfId="7916" xr:uid="{00000000-0005-0000-0000-0000F91E0000}"/>
    <cellStyle name="Normal 4 2 2 12" xfId="7917" xr:uid="{00000000-0005-0000-0000-0000FA1E0000}"/>
    <cellStyle name="Normal 4 2 2 12 2" xfId="7918" xr:uid="{00000000-0005-0000-0000-0000FB1E0000}"/>
    <cellStyle name="Normal 4 2 2 12 2 2" xfId="7919" xr:uid="{00000000-0005-0000-0000-0000FC1E0000}"/>
    <cellStyle name="Normal 4 2 2 12 2 2 2" xfId="7920" xr:uid="{00000000-0005-0000-0000-0000FD1E0000}"/>
    <cellStyle name="Normal 4 2 2 12 2 2 2 2" xfId="7921" xr:uid="{00000000-0005-0000-0000-0000FE1E0000}"/>
    <cellStyle name="Normal 4 2 2 12 2 2 2 3" xfId="7922" xr:uid="{00000000-0005-0000-0000-0000FF1E0000}"/>
    <cellStyle name="Normal 4 2 2 12 2 2 3" xfId="7923" xr:uid="{00000000-0005-0000-0000-0000001F0000}"/>
    <cellStyle name="Normal 4 2 2 12 2 2 4" xfId="7924" xr:uid="{00000000-0005-0000-0000-0000011F0000}"/>
    <cellStyle name="Normal 4 2 2 12 2 3" xfId="7925" xr:uid="{00000000-0005-0000-0000-0000021F0000}"/>
    <cellStyle name="Normal 4 2 2 12 2 3 2" xfId="7926" xr:uid="{00000000-0005-0000-0000-0000031F0000}"/>
    <cellStyle name="Normal 4 2 2 12 2 3 2 2" xfId="7927" xr:uid="{00000000-0005-0000-0000-0000041F0000}"/>
    <cellStyle name="Normal 4 2 2 12 2 3 2 3" xfId="7928" xr:uid="{00000000-0005-0000-0000-0000051F0000}"/>
    <cellStyle name="Normal 4 2 2 12 2 3 3" xfId="7929" xr:uid="{00000000-0005-0000-0000-0000061F0000}"/>
    <cellStyle name="Normal 4 2 2 12 2 3 4" xfId="7930" xr:uid="{00000000-0005-0000-0000-0000071F0000}"/>
    <cellStyle name="Normal 4 2 2 12 2 4" xfId="7931" xr:uid="{00000000-0005-0000-0000-0000081F0000}"/>
    <cellStyle name="Normal 4 2 2 12 2 4 2" xfId="7932" xr:uid="{00000000-0005-0000-0000-0000091F0000}"/>
    <cellStyle name="Normal 4 2 2 12 2 4 3" xfId="7933" xr:uid="{00000000-0005-0000-0000-00000A1F0000}"/>
    <cellStyle name="Normal 4 2 2 12 2 5" xfId="7934" xr:uid="{00000000-0005-0000-0000-00000B1F0000}"/>
    <cellStyle name="Normal 4 2 2 12 2 6" xfId="7935" xr:uid="{00000000-0005-0000-0000-00000C1F0000}"/>
    <cellStyle name="Normal 4 2 2 12 2 7" xfId="7936" xr:uid="{00000000-0005-0000-0000-00000D1F0000}"/>
    <cellStyle name="Normal 4 2 2 12 3" xfId="7937" xr:uid="{00000000-0005-0000-0000-00000E1F0000}"/>
    <cellStyle name="Normal 4 2 2 12 3 2" xfId="7938" xr:uid="{00000000-0005-0000-0000-00000F1F0000}"/>
    <cellStyle name="Normal 4 2 2 12 3 2 2" xfId="7939" xr:uid="{00000000-0005-0000-0000-0000101F0000}"/>
    <cellStyle name="Normal 4 2 2 12 3 2 2 2" xfId="7940" xr:uid="{00000000-0005-0000-0000-0000111F0000}"/>
    <cellStyle name="Normal 4 2 2 12 3 2 2 3" xfId="7941" xr:uid="{00000000-0005-0000-0000-0000121F0000}"/>
    <cellStyle name="Normal 4 2 2 12 3 2 3" xfId="7942" xr:uid="{00000000-0005-0000-0000-0000131F0000}"/>
    <cellStyle name="Normal 4 2 2 12 3 2 4" xfId="7943" xr:uid="{00000000-0005-0000-0000-0000141F0000}"/>
    <cellStyle name="Normal 4 2 2 12 3 3" xfId="7944" xr:uid="{00000000-0005-0000-0000-0000151F0000}"/>
    <cellStyle name="Normal 4 2 2 12 3 3 2" xfId="7945" xr:uid="{00000000-0005-0000-0000-0000161F0000}"/>
    <cellStyle name="Normal 4 2 2 12 3 3 3" xfId="7946" xr:uid="{00000000-0005-0000-0000-0000171F0000}"/>
    <cellStyle name="Normal 4 2 2 12 3 4" xfId="7947" xr:uid="{00000000-0005-0000-0000-0000181F0000}"/>
    <cellStyle name="Normal 4 2 2 12 3 5" xfId="7948" xr:uid="{00000000-0005-0000-0000-0000191F0000}"/>
    <cellStyle name="Normal 4 2 2 12 4" xfId="7949" xr:uid="{00000000-0005-0000-0000-00001A1F0000}"/>
    <cellStyle name="Normal 4 2 2 12 4 2" xfId="7950" xr:uid="{00000000-0005-0000-0000-00001B1F0000}"/>
    <cellStyle name="Normal 4 2 2 12 4 3" xfId="7951" xr:uid="{00000000-0005-0000-0000-00001C1F0000}"/>
    <cellStyle name="Normal 4 2 2 12 5" xfId="7952" xr:uid="{00000000-0005-0000-0000-00001D1F0000}"/>
    <cellStyle name="Normal 4 2 2 12 5 2" xfId="7953" xr:uid="{00000000-0005-0000-0000-00001E1F0000}"/>
    <cellStyle name="Normal 4 2 2 12 5 3" xfId="7954" xr:uid="{00000000-0005-0000-0000-00001F1F0000}"/>
    <cellStyle name="Normal 4 2 2 12 6" xfId="7955" xr:uid="{00000000-0005-0000-0000-0000201F0000}"/>
    <cellStyle name="Normal 4 2 2 12 7" xfId="7956" xr:uid="{00000000-0005-0000-0000-0000211F0000}"/>
    <cellStyle name="Normal 4 2 2 12 8" xfId="7957" xr:uid="{00000000-0005-0000-0000-0000221F0000}"/>
    <cellStyle name="Normal 4 2 2 12 9" xfId="7958" xr:uid="{00000000-0005-0000-0000-0000231F0000}"/>
    <cellStyle name="Normal 4 2 2 13" xfId="7959" xr:uid="{00000000-0005-0000-0000-0000241F0000}"/>
    <cellStyle name="Normal 4 2 2 13 2" xfId="7960" xr:uid="{00000000-0005-0000-0000-0000251F0000}"/>
    <cellStyle name="Normal 4 2 2 13 2 2" xfId="7961" xr:uid="{00000000-0005-0000-0000-0000261F0000}"/>
    <cellStyle name="Normal 4 2 2 13 2 2 2" xfId="7962" xr:uid="{00000000-0005-0000-0000-0000271F0000}"/>
    <cellStyle name="Normal 4 2 2 13 2 2 2 2" xfId="7963" xr:uid="{00000000-0005-0000-0000-0000281F0000}"/>
    <cellStyle name="Normal 4 2 2 13 2 2 2 3" xfId="7964" xr:uid="{00000000-0005-0000-0000-0000291F0000}"/>
    <cellStyle name="Normal 4 2 2 13 2 2 3" xfId="7965" xr:uid="{00000000-0005-0000-0000-00002A1F0000}"/>
    <cellStyle name="Normal 4 2 2 13 2 2 4" xfId="7966" xr:uid="{00000000-0005-0000-0000-00002B1F0000}"/>
    <cellStyle name="Normal 4 2 2 13 2 3" xfId="7967" xr:uid="{00000000-0005-0000-0000-00002C1F0000}"/>
    <cellStyle name="Normal 4 2 2 13 2 3 2" xfId="7968" xr:uid="{00000000-0005-0000-0000-00002D1F0000}"/>
    <cellStyle name="Normal 4 2 2 13 2 3 2 2" xfId="7969" xr:uid="{00000000-0005-0000-0000-00002E1F0000}"/>
    <cellStyle name="Normal 4 2 2 13 2 3 2 3" xfId="7970" xr:uid="{00000000-0005-0000-0000-00002F1F0000}"/>
    <cellStyle name="Normal 4 2 2 13 2 3 3" xfId="7971" xr:uid="{00000000-0005-0000-0000-0000301F0000}"/>
    <cellStyle name="Normal 4 2 2 13 2 3 4" xfId="7972" xr:uid="{00000000-0005-0000-0000-0000311F0000}"/>
    <cellStyle name="Normal 4 2 2 13 2 4" xfId="7973" xr:uid="{00000000-0005-0000-0000-0000321F0000}"/>
    <cellStyle name="Normal 4 2 2 13 2 4 2" xfId="7974" xr:uid="{00000000-0005-0000-0000-0000331F0000}"/>
    <cellStyle name="Normal 4 2 2 13 2 4 3" xfId="7975" xr:uid="{00000000-0005-0000-0000-0000341F0000}"/>
    <cellStyle name="Normal 4 2 2 13 2 5" xfId="7976" xr:uid="{00000000-0005-0000-0000-0000351F0000}"/>
    <cellStyle name="Normal 4 2 2 13 2 6" xfId="7977" xr:uid="{00000000-0005-0000-0000-0000361F0000}"/>
    <cellStyle name="Normal 4 2 2 13 2 7" xfId="7978" xr:uid="{00000000-0005-0000-0000-0000371F0000}"/>
    <cellStyle name="Normal 4 2 2 13 3" xfId="7979" xr:uid="{00000000-0005-0000-0000-0000381F0000}"/>
    <cellStyle name="Normal 4 2 2 13 3 2" xfId="7980" xr:uid="{00000000-0005-0000-0000-0000391F0000}"/>
    <cellStyle name="Normal 4 2 2 13 3 2 2" xfId="7981" xr:uid="{00000000-0005-0000-0000-00003A1F0000}"/>
    <cellStyle name="Normal 4 2 2 13 3 2 2 2" xfId="7982" xr:uid="{00000000-0005-0000-0000-00003B1F0000}"/>
    <cellStyle name="Normal 4 2 2 13 3 2 2 3" xfId="7983" xr:uid="{00000000-0005-0000-0000-00003C1F0000}"/>
    <cellStyle name="Normal 4 2 2 13 3 2 3" xfId="7984" xr:uid="{00000000-0005-0000-0000-00003D1F0000}"/>
    <cellStyle name="Normal 4 2 2 13 3 2 4" xfId="7985" xr:uid="{00000000-0005-0000-0000-00003E1F0000}"/>
    <cellStyle name="Normal 4 2 2 13 3 3" xfId="7986" xr:uid="{00000000-0005-0000-0000-00003F1F0000}"/>
    <cellStyle name="Normal 4 2 2 13 3 3 2" xfId="7987" xr:uid="{00000000-0005-0000-0000-0000401F0000}"/>
    <cellStyle name="Normal 4 2 2 13 3 3 3" xfId="7988" xr:uid="{00000000-0005-0000-0000-0000411F0000}"/>
    <cellStyle name="Normal 4 2 2 13 3 4" xfId="7989" xr:uid="{00000000-0005-0000-0000-0000421F0000}"/>
    <cellStyle name="Normal 4 2 2 13 3 5" xfId="7990" xr:uid="{00000000-0005-0000-0000-0000431F0000}"/>
    <cellStyle name="Normal 4 2 2 13 4" xfId="7991" xr:uid="{00000000-0005-0000-0000-0000441F0000}"/>
    <cellStyle name="Normal 4 2 2 13 4 2" xfId="7992" xr:uid="{00000000-0005-0000-0000-0000451F0000}"/>
    <cellStyle name="Normal 4 2 2 13 4 3" xfId="7993" xr:uid="{00000000-0005-0000-0000-0000461F0000}"/>
    <cellStyle name="Normal 4 2 2 13 5" xfId="7994" xr:uid="{00000000-0005-0000-0000-0000471F0000}"/>
    <cellStyle name="Normal 4 2 2 13 5 2" xfId="7995" xr:uid="{00000000-0005-0000-0000-0000481F0000}"/>
    <cellStyle name="Normal 4 2 2 13 5 3" xfId="7996" xr:uid="{00000000-0005-0000-0000-0000491F0000}"/>
    <cellStyle name="Normal 4 2 2 13 6" xfId="7997" xr:uid="{00000000-0005-0000-0000-00004A1F0000}"/>
    <cellStyle name="Normal 4 2 2 13 7" xfId="7998" xr:uid="{00000000-0005-0000-0000-00004B1F0000}"/>
    <cellStyle name="Normal 4 2 2 13 8" xfId="7999" xr:uid="{00000000-0005-0000-0000-00004C1F0000}"/>
    <cellStyle name="Normal 4 2 2 13 9" xfId="8000" xr:uid="{00000000-0005-0000-0000-00004D1F0000}"/>
    <cellStyle name="Normal 4 2 2 14" xfId="8001" xr:uid="{00000000-0005-0000-0000-00004E1F0000}"/>
    <cellStyle name="Normal 4 2 2 14 2" xfId="8002" xr:uid="{00000000-0005-0000-0000-00004F1F0000}"/>
    <cellStyle name="Normal 4 2 2 14 2 2" xfId="8003" xr:uid="{00000000-0005-0000-0000-0000501F0000}"/>
    <cellStyle name="Normal 4 2 2 14 2 2 2" xfId="8004" xr:uid="{00000000-0005-0000-0000-0000511F0000}"/>
    <cellStyle name="Normal 4 2 2 14 2 2 3" xfId="8005" xr:uid="{00000000-0005-0000-0000-0000521F0000}"/>
    <cellStyle name="Normal 4 2 2 14 2 3" xfId="8006" xr:uid="{00000000-0005-0000-0000-0000531F0000}"/>
    <cellStyle name="Normal 4 2 2 14 2 4" xfId="8007" xr:uid="{00000000-0005-0000-0000-0000541F0000}"/>
    <cellStyle name="Normal 4 2 2 14 3" xfId="8008" xr:uid="{00000000-0005-0000-0000-0000551F0000}"/>
    <cellStyle name="Normal 4 2 2 14 3 2" xfId="8009" xr:uid="{00000000-0005-0000-0000-0000561F0000}"/>
    <cellStyle name="Normal 4 2 2 14 3 2 2" xfId="8010" xr:uid="{00000000-0005-0000-0000-0000571F0000}"/>
    <cellStyle name="Normal 4 2 2 14 3 2 3" xfId="8011" xr:uid="{00000000-0005-0000-0000-0000581F0000}"/>
    <cellStyle name="Normal 4 2 2 14 3 3" xfId="8012" xr:uid="{00000000-0005-0000-0000-0000591F0000}"/>
    <cellStyle name="Normal 4 2 2 14 3 4" xfId="8013" xr:uid="{00000000-0005-0000-0000-00005A1F0000}"/>
    <cellStyle name="Normal 4 2 2 14 4" xfId="8014" xr:uid="{00000000-0005-0000-0000-00005B1F0000}"/>
    <cellStyle name="Normal 4 2 2 14 4 2" xfId="8015" xr:uid="{00000000-0005-0000-0000-00005C1F0000}"/>
    <cellStyle name="Normal 4 2 2 14 4 3" xfId="8016" xr:uid="{00000000-0005-0000-0000-00005D1F0000}"/>
    <cellStyle name="Normal 4 2 2 14 5" xfId="8017" xr:uid="{00000000-0005-0000-0000-00005E1F0000}"/>
    <cellStyle name="Normal 4 2 2 14 6" xfId="8018" xr:uid="{00000000-0005-0000-0000-00005F1F0000}"/>
    <cellStyle name="Normal 4 2 2 14 7" xfId="8019" xr:uid="{00000000-0005-0000-0000-0000601F0000}"/>
    <cellStyle name="Normal 4 2 2 15" xfId="8020" xr:uid="{00000000-0005-0000-0000-0000611F0000}"/>
    <cellStyle name="Normal 4 2 2 15 2" xfId="8021" xr:uid="{00000000-0005-0000-0000-0000621F0000}"/>
    <cellStyle name="Normal 4 2 2 15 2 2" xfId="8022" xr:uid="{00000000-0005-0000-0000-0000631F0000}"/>
    <cellStyle name="Normal 4 2 2 15 2 2 2" xfId="8023" xr:uid="{00000000-0005-0000-0000-0000641F0000}"/>
    <cellStyle name="Normal 4 2 2 15 2 2 3" xfId="8024" xr:uid="{00000000-0005-0000-0000-0000651F0000}"/>
    <cellStyle name="Normal 4 2 2 15 2 3" xfId="8025" xr:uid="{00000000-0005-0000-0000-0000661F0000}"/>
    <cellStyle name="Normal 4 2 2 15 2 4" xfId="8026" xr:uid="{00000000-0005-0000-0000-0000671F0000}"/>
    <cellStyle name="Normal 4 2 2 15 3" xfId="8027" xr:uid="{00000000-0005-0000-0000-0000681F0000}"/>
    <cellStyle name="Normal 4 2 2 15 3 2" xfId="8028" xr:uid="{00000000-0005-0000-0000-0000691F0000}"/>
    <cellStyle name="Normal 4 2 2 15 3 3" xfId="8029" xr:uid="{00000000-0005-0000-0000-00006A1F0000}"/>
    <cellStyle name="Normal 4 2 2 15 4" xfId="8030" xr:uid="{00000000-0005-0000-0000-00006B1F0000}"/>
    <cellStyle name="Normal 4 2 2 15 5" xfId="8031" xr:uid="{00000000-0005-0000-0000-00006C1F0000}"/>
    <cellStyle name="Normal 4 2 2 16" xfId="8032" xr:uid="{00000000-0005-0000-0000-00006D1F0000}"/>
    <cellStyle name="Normal 4 2 2 16 2" xfId="8033" xr:uid="{00000000-0005-0000-0000-00006E1F0000}"/>
    <cellStyle name="Normal 4 2 2 16 3" xfId="8034" xr:uid="{00000000-0005-0000-0000-00006F1F0000}"/>
    <cellStyle name="Normal 4 2 2 17" xfId="8035" xr:uid="{00000000-0005-0000-0000-0000701F0000}"/>
    <cellStyle name="Normal 4 2 2 18" xfId="8036" xr:uid="{00000000-0005-0000-0000-0000711F0000}"/>
    <cellStyle name="Normal 4 2 2 19" xfId="8037" xr:uid="{00000000-0005-0000-0000-0000721F0000}"/>
    <cellStyle name="Normal 4 2 2 2" xfId="8038" xr:uid="{00000000-0005-0000-0000-0000731F0000}"/>
    <cellStyle name="Normal 4 2 2 2 10" xfId="8039" xr:uid="{00000000-0005-0000-0000-0000741F0000}"/>
    <cellStyle name="Normal 4 2 2 2 10 2" xfId="8040" xr:uid="{00000000-0005-0000-0000-0000751F0000}"/>
    <cellStyle name="Normal 4 2 2 2 10 3" xfId="8041" xr:uid="{00000000-0005-0000-0000-0000761F0000}"/>
    <cellStyle name="Normal 4 2 2 2 10 4" xfId="8042" xr:uid="{00000000-0005-0000-0000-0000771F0000}"/>
    <cellStyle name="Normal 4 2 2 2 10 5" xfId="8043" xr:uid="{00000000-0005-0000-0000-0000781F0000}"/>
    <cellStyle name="Normal 4 2 2 2 11" xfId="8044" xr:uid="{00000000-0005-0000-0000-0000791F0000}"/>
    <cellStyle name="Normal 4 2 2 2 11 2" xfId="8045" xr:uid="{00000000-0005-0000-0000-00007A1F0000}"/>
    <cellStyle name="Normal 4 2 2 2 11 3" xfId="8046" xr:uid="{00000000-0005-0000-0000-00007B1F0000}"/>
    <cellStyle name="Normal 4 2 2 2 11 4" xfId="8047" xr:uid="{00000000-0005-0000-0000-00007C1F0000}"/>
    <cellStyle name="Normal 4 2 2 2 11 5" xfId="8048" xr:uid="{00000000-0005-0000-0000-00007D1F0000}"/>
    <cellStyle name="Normal 4 2 2 2 12" xfId="8049" xr:uid="{00000000-0005-0000-0000-00007E1F0000}"/>
    <cellStyle name="Normal 4 2 2 2 12 2" xfId="8050" xr:uid="{00000000-0005-0000-0000-00007F1F0000}"/>
    <cellStyle name="Normal 4 2 2 2 12 3" xfId="8051" xr:uid="{00000000-0005-0000-0000-0000801F0000}"/>
    <cellStyle name="Normal 4 2 2 2 12 4" xfId="8052" xr:uid="{00000000-0005-0000-0000-0000811F0000}"/>
    <cellStyle name="Normal 4 2 2 2 12 5" xfId="8053" xr:uid="{00000000-0005-0000-0000-0000821F0000}"/>
    <cellStyle name="Normal 4 2 2 2 13" xfId="8054" xr:uid="{00000000-0005-0000-0000-0000831F0000}"/>
    <cellStyle name="Normal 4 2 2 2 13 2" xfId="8055" xr:uid="{00000000-0005-0000-0000-0000841F0000}"/>
    <cellStyle name="Normal 4 2 2 2 13 3" xfId="8056" xr:uid="{00000000-0005-0000-0000-0000851F0000}"/>
    <cellStyle name="Normal 4 2 2 2 13 4" xfId="8057" xr:uid="{00000000-0005-0000-0000-0000861F0000}"/>
    <cellStyle name="Normal 4 2 2 2 13 5" xfId="8058" xr:uid="{00000000-0005-0000-0000-0000871F0000}"/>
    <cellStyle name="Normal 4 2 2 2 14" xfId="8059" xr:uid="{00000000-0005-0000-0000-0000881F0000}"/>
    <cellStyle name="Normal 4 2 2 2 14 2" xfId="8060" xr:uid="{00000000-0005-0000-0000-0000891F0000}"/>
    <cellStyle name="Normal 4 2 2 2 14 2 2" xfId="8061" xr:uid="{00000000-0005-0000-0000-00008A1F0000}"/>
    <cellStyle name="Normal 4 2 2 2 14 2 2 2" xfId="8062" xr:uid="{00000000-0005-0000-0000-00008B1F0000}"/>
    <cellStyle name="Normal 4 2 2 2 14 2 2 2 2" xfId="8063" xr:uid="{00000000-0005-0000-0000-00008C1F0000}"/>
    <cellStyle name="Normal 4 2 2 2 14 2 2 2 3" xfId="8064" xr:uid="{00000000-0005-0000-0000-00008D1F0000}"/>
    <cellStyle name="Normal 4 2 2 2 14 2 2 3" xfId="8065" xr:uid="{00000000-0005-0000-0000-00008E1F0000}"/>
    <cellStyle name="Normal 4 2 2 2 14 2 2 4" xfId="8066" xr:uid="{00000000-0005-0000-0000-00008F1F0000}"/>
    <cellStyle name="Normal 4 2 2 2 14 2 3" xfId="8067" xr:uid="{00000000-0005-0000-0000-0000901F0000}"/>
    <cellStyle name="Normal 4 2 2 2 14 2 3 2" xfId="8068" xr:uid="{00000000-0005-0000-0000-0000911F0000}"/>
    <cellStyle name="Normal 4 2 2 2 14 2 3 2 2" xfId="8069" xr:uid="{00000000-0005-0000-0000-0000921F0000}"/>
    <cellStyle name="Normal 4 2 2 2 14 2 3 2 3" xfId="8070" xr:uid="{00000000-0005-0000-0000-0000931F0000}"/>
    <cellStyle name="Normal 4 2 2 2 14 2 3 3" xfId="8071" xr:uid="{00000000-0005-0000-0000-0000941F0000}"/>
    <cellStyle name="Normal 4 2 2 2 14 2 3 4" xfId="8072" xr:uid="{00000000-0005-0000-0000-0000951F0000}"/>
    <cellStyle name="Normal 4 2 2 2 14 2 4" xfId="8073" xr:uid="{00000000-0005-0000-0000-0000961F0000}"/>
    <cellStyle name="Normal 4 2 2 2 14 2 4 2" xfId="8074" xr:uid="{00000000-0005-0000-0000-0000971F0000}"/>
    <cellStyle name="Normal 4 2 2 2 14 2 4 3" xfId="8075" xr:uid="{00000000-0005-0000-0000-0000981F0000}"/>
    <cellStyle name="Normal 4 2 2 2 14 2 5" xfId="8076" xr:uid="{00000000-0005-0000-0000-0000991F0000}"/>
    <cellStyle name="Normal 4 2 2 2 14 2 6" xfId="8077" xr:uid="{00000000-0005-0000-0000-00009A1F0000}"/>
    <cellStyle name="Normal 4 2 2 2 14 2 7" xfId="8078" xr:uid="{00000000-0005-0000-0000-00009B1F0000}"/>
    <cellStyle name="Normal 4 2 2 2 14 3" xfId="8079" xr:uid="{00000000-0005-0000-0000-00009C1F0000}"/>
    <cellStyle name="Normal 4 2 2 2 14 3 2" xfId="8080" xr:uid="{00000000-0005-0000-0000-00009D1F0000}"/>
    <cellStyle name="Normal 4 2 2 2 14 3 2 2" xfId="8081" xr:uid="{00000000-0005-0000-0000-00009E1F0000}"/>
    <cellStyle name="Normal 4 2 2 2 14 3 2 3" xfId="8082" xr:uid="{00000000-0005-0000-0000-00009F1F0000}"/>
    <cellStyle name="Normal 4 2 2 2 14 3 3" xfId="8083" xr:uid="{00000000-0005-0000-0000-0000A01F0000}"/>
    <cellStyle name="Normal 4 2 2 2 14 3 4" xfId="8084" xr:uid="{00000000-0005-0000-0000-0000A11F0000}"/>
    <cellStyle name="Normal 4 2 2 2 14 4" xfId="8085" xr:uid="{00000000-0005-0000-0000-0000A21F0000}"/>
    <cellStyle name="Normal 4 2 2 2 14 4 2" xfId="8086" xr:uid="{00000000-0005-0000-0000-0000A31F0000}"/>
    <cellStyle name="Normal 4 2 2 2 14 4 2 2" xfId="8087" xr:uid="{00000000-0005-0000-0000-0000A41F0000}"/>
    <cellStyle name="Normal 4 2 2 2 14 4 2 3" xfId="8088" xr:uid="{00000000-0005-0000-0000-0000A51F0000}"/>
    <cellStyle name="Normal 4 2 2 2 14 4 3" xfId="8089" xr:uid="{00000000-0005-0000-0000-0000A61F0000}"/>
    <cellStyle name="Normal 4 2 2 2 14 4 4" xfId="8090" xr:uid="{00000000-0005-0000-0000-0000A71F0000}"/>
    <cellStyle name="Normal 4 2 2 2 14 5" xfId="8091" xr:uid="{00000000-0005-0000-0000-0000A81F0000}"/>
    <cellStyle name="Normal 4 2 2 2 14 5 2" xfId="8092" xr:uid="{00000000-0005-0000-0000-0000A91F0000}"/>
    <cellStyle name="Normal 4 2 2 2 14 5 3" xfId="8093" xr:uid="{00000000-0005-0000-0000-0000AA1F0000}"/>
    <cellStyle name="Normal 4 2 2 2 14 6" xfId="8094" xr:uid="{00000000-0005-0000-0000-0000AB1F0000}"/>
    <cellStyle name="Normal 4 2 2 2 14 7" xfId="8095" xr:uid="{00000000-0005-0000-0000-0000AC1F0000}"/>
    <cellStyle name="Normal 4 2 2 2 14 8" xfId="8096" xr:uid="{00000000-0005-0000-0000-0000AD1F0000}"/>
    <cellStyle name="Normal 4 2 2 2 15" xfId="8097" xr:uid="{00000000-0005-0000-0000-0000AE1F0000}"/>
    <cellStyle name="Normal 4 2 2 2 15 2" xfId="8098" xr:uid="{00000000-0005-0000-0000-0000AF1F0000}"/>
    <cellStyle name="Normal 4 2 2 2 15 3" xfId="8099" xr:uid="{00000000-0005-0000-0000-0000B01F0000}"/>
    <cellStyle name="Normal 4 2 2 2 16" xfId="8100" xr:uid="{00000000-0005-0000-0000-0000B11F0000}"/>
    <cellStyle name="Normal 4 2 2 2 17" xfId="8101" xr:uid="{00000000-0005-0000-0000-0000B21F0000}"/>
    <cellStyle name="Normal 4 2 2 2 18" xfId="8102" xr:uid="{00000000-0005-0000-0000-0000B31F0000}"/>
    <cellStyle name="Normal 4 2 2 2 19" xfId="8103" xr:uid="{00000000-0005-0000-0000-0000B41F0000}"/>
    <cellStyle name="Normal 4 2 2 2 2" xfId="8104" xr:uid="{00000000-0005-0000-0000-0000B51F0000}"/>
    <cellStyle name="Normal 4 2 2 2 2 2" xfId="8105" xr:uid="{00000000-0005-0000-0000-0000B61F0000}"/>
    <cellStyle name="Normal 4 2 2 2 2 3" xfId="8106" xr:uid="{00000000-0005-0000-0000-0000B71F0000}"/>
    <cellStyle name="Normal 4 2 2 2 2 4" xfId="8107" xr:uid="{00000000-0005-0000-0000-0000B81F0000}"/>
    <cellStyle name="Normal 4 2 2 2 2 5" xfId="8108" xr:uid="{00000000-0005-0000-0000-0000B91F0000}"/>
    <cellStyle name="Normal 4 2 2 2 3" xfId="8109" xr:uid="{00000000-0005-0000-0000-0000BA1F0000}"/>
    <cellStyle name="Normal 4 2 2 2 3 2" xfId="8110" xr:uid="{00000000-0005-0000-0000-0000BB1F0000}"/>
    <cellStyle name="Normal 4 2 2 2 3 3" xfId="8111" xr:uid="{00000000-0005-0000-0000-0000BC1F0000}"/>
    <cellStyle name="Normal 4 2 2 2 3 4" xfId="8112" xr:uid="{00000000-0005-0000-0000-0000BD1F0000}"/>
    <cellStyle name="Normal 4 2 2 2 3 5" xfId="8113" xr:uid="{00000000-0005-0000-0000-0000BE1F0000}"/>
    <cellStyle name="Normal 4 2 2 2 4" xfId="8114" xr:uid="{00000000-0005-0000-0000-0000BF1F0000}"/>
    <cellStyle name="Normal 4 2 2 2 4 2" xfId="8115" xr:uid="{00000000-0005-0000-0000-0000C01F0000}"/>
    <cellStyle name="Normal 4 2 2 2 4 3" xfId="8116" xr:uid="{00000000-0005-0000-0000-0000C11F0000}"/>
    <cellStyle name="Normal 4 2 2 2 4 4" xfId="8117" xr:uid="{00000000-0005-0000-0000-0000C21F0000}"/>
    <cellStyle name="Normal 4 2 2 2 4 5" xfId="8118" xr:uid="{00000000-0005-0000-0000-0000C31F0000}"/>
    <cellStyle name="Normal 4 2 2 2 5" xfId="8119" xr:uid="{00000000-0005-0000-0000-0000C41F0000}"/>
    <cellStyle name="Normal 4 2 2 2 5 2" xfId="8120" xr:uid="{00000000-0005-0000-0000-0000C51F0000}"/>
    <cellStyle name="Normal 4 2 2 2 5 3" xfId="8121" xr:uid="{00000000-0005-0000-0000-0000C61F0000}"/>
    <cellStyle name="Normal 4 2 2 2 5 4" xfId="8122" xr:uid="{00000000-0005-0000-0000-0000C71F0000}"/>
    <cellStyle name="Normal 4 2 2 2 5 5" xfId="8123" xr:uid="{00000000-0005-0000-0000-0000C81F0000}"/>
    <cellStyle name="Normal 4 2 2 2 6" xfId="8124" xr:uid="{00000000-0005-0000-0000-0000C91F0000}"/>
    <cellStyle name="Normal 4 2 2 2 6 2" xfId="8125" xr:uid="{00000000-0005-0000-0000-0000CA1F0000}"/>
    <cellStyle name="Normal 4 2 2 2 6 3" xfId="8126" xr:uid="{00000000-0005-0000-0000-0000CB1F0000}"/>
    <cellStyle name="Normal 4 2 2 2 6 4" xfId="8127" xr:uid="{00000000-0005-0000-0000-0000CC1F0000}"/>
    <cellStyle name="Normal 4 2 2 2 6 5" xfId="8128" xr:uid="{00000000-0005-0000-0000-0000CD1F0000}"/>
    <cellStyle name="Normal 4 2 2 2 7" xfId="8129" xr:uid="{00000000-0005-0000-0000-0000CE1F0000}"/>
    <cellStyle name="Normal 4 2 2 2 7 2" xfId="8130" xr:uid="{00000000-0005-0000-0000-0000CF1F0000}"/>
    <cellStyle name="Normal 4 2 2 2 7 3" xfId="8131" xr:uid="{00000000-0005-0000-0000-0000D01F0000}"/>
    <cellStyle name="Normal 4 2 2 2 7 4" xfId="8132" xr:uid="{00000000-0005-0000-0000-0000D11F0000}"/>
    <cellStyle name="Normal 4 2 2 2 7 5" xfId="8133" xr:uid="{00000000-0005-0000-0000-0000D21F0000}"/>
    <cellStyle name="Normal 4 2 2 2 8" xfId="8134" xr:uid="{00000000-0005-0000-0000-0000D31F0000}"/>
    <cellStyle name="Normal 4 2 2 2 8 2" xfId="8135" xr:uid="{00000000-0005-0000-0000-0000D41F0000}"/>
    <cellStyle name="Normal 4 2 2 2 8 3" xfId="8136" xr:uid="{00000000-0005-0000-0000-0000D51F0000}"/>
    <cellStyle name="Normal 4 2 2 2 8 4" xfId="8137" xr:uid="{00000000-0005-0000-0000-0000D61F0000}"/>
    <cellStyle name="Normal 4 2 2 2 8 5" xfId="8138" xr:uid="{00000000-0005-0000-0000-0000D71F0000}"/>
    <cellStyle name="Normal 4 2 2 2 9" xfId="8139" xr:uid="{00000000-0005-0000-0000-0000D81F0000}"/>
    <cellStyle name="Normal 4 2 2 2 9 2" xfId="8140" xr:uid="{00000000-0005-0000-0000-0000D91F0000}"/>
    <cellStyle name="Normal 4 2 2 2 9 3" xfId="8141" xr:uid="{00000000-0005-0000-0000-0000DA1F0000}"/>
    <cellStyle name="Normal 4 2 2 2 9 4" xfId="8142" xr:uid="{00000000-0005-0000-0000-0000DB1F0000}"/>
    <cellStyle name="Normal 4 2 2 2 9 5" xfId="8143" xr:uid="{00000000-0005-0000-0000-0000DC1F0000}"/>
    <cellStyle name="Normal 4 2 2 20" xfId="8144" xr:uid="{00000000-0005-0000-0000-0000DD1F0000}"/>
    <cellStyle name="Normal 4 2 2 3" xfId="8145" xr:uid="{00000000-0005-0000-0000-0000DE1F0000}"/>
    <cellStyle name="Normal 4 2 2 3 2" xfId="8146" xr:uid="{00000000-0005-0000-0000-0000DF1F0000}"/>
    <cellStyle name="Normal 4 2 2 3 2 2" xfId="8147" xr:uid="{00000000-0005-0000-0000-0000E01F0000}"/>
    <cellStyle name="Normal 4 2 2 3 2 2 2" xfId="8148" xr:uid="{00000000-0005-0000-0000-0000E11F0000}"/>
    <cellStyle name="Normal 4 2 2 3 2 2 2 2" xfId="8149" xr:uid="{00000000-0005-0000-0000-0000E21F0000}"/>
    <cellStyle name="Normal 4 2 2 3 2 2 2 3" xfId="8150" xr:uid="{00000000-0005-0000-0000-0000E31F0000}"/>
    <cellStyle name="Normal 4 2 2 3 2 2 3" xfId="8151" xr:uid="{00000000-0005-0000-0000-0000E41F0000}"/>
    <cellStyle name="Normal 4 2 2 3 2 2 4" xfId="8152" xr:uid="{00000000-0005-0000-0000-0000E51F0000}"/>
    <cellStyle name="Normal 4 2 2 3 2 3" xfId="8153" xr:uid="{00000000-0005-0000-0000-0000E61F0000}"/>
    <cellStyle name="Normal 4 2 2 3 2 3 2" xfId="8154" xr:uid="{00000000-0005-0000-0000-0000E71F0000}"/>
    <cellStyle name="Normal 4 2 2 3 2 3 2 2" xfId="8155" xr:uid="{00000000-0005-0000-0000-0000E81F0000}"/>
    <cellStyle name="Normal 4 2 2 3 2 3 2 3" xfId="8156" xr:uid="{00000000-0005-0000-0000-0000E91F0000}"/>
    <cellStyle name="Normal 4 2 2 3 2 3 3" xfId="8157" xr:uid="{00000000-0005-0000-0000-0000EA1F0000}"/>
    <cellStyle name="Normal 4 2 2 3 2 3 4" xfId="8158" xr:uid="{00000000-0005-0000-0000-0000EB1F0000}"/>
    <cellStyle name="Normal 4 2 2 3 2 4" xfId="8159" xr:uid="{00000000-0005-0000-0000-0000EC1F0000}"/>
    <cellStyle name="Normal 4 2 2 3 2 4 2" xfId="8160" xr:uid="{00000000-0005-0000-0000-0000ED1F0000}"/>
    <cellStyle name="Normal 4 2 2 3 2 4 3" xfId="8161" xr:uid="{00000000-0005-0000-0000-0000EE1F0000}"/>
    <cellStyle name="Normal 4 2 2 3 2 5" xfId="8162" xr:uid="{00000000-0005-0000-0000-0000EF1F0000}"/>
    <cellStyle name="Normal 4 2 2 3 2 6" xfId="8163" xr:uid="{00000000-0005-0000-0000-0000F01F0000}"/>
    <cellStyle name="Normal 4 2 2 3 2 7" xfId="8164" xr:uid="{00000000-0005-0000-0000-0000F11F0000}"/>
    <cellStyle name="Normal 4 2 2 3 3" xfId="8165" xr:uid="{00000000-0005-0000-0000-0000F21F0000}"/>
    <cellStyle name="Normal 4 2 2 3 3 2" xfId="8166" xr:uid="{00000000-0005-0000-0000-0000F31F0000}"/>
    <cellStyle name="Normal 4 2 2 3 3 2 2" xfId="8167" xr:uid="{00000000-0005-0000-0000-0000F41F0000}"/>
    <cellStyle name="Normal 4 2 2 3 3 2 2 2" xfId="8168" xr:uid="{00000000-0005-0000-0000-0000F51F0000}"/>
    <cellStyle name="Normal 4 2 2 3 3 2 2 3" xfId="8169" xr:uid="{00000000-0005-0000-0000-0000F61F0000}"/>
    <cellStyle name="Normal 4 2 2 3 3 2 3" xfId="8170" xr:uid="{00000000-0005-0000-0000-0000F71F0000}"/>
    <cellStyle name="Normal 4 2 2 3 3 2 4" xfId="8171" xr:uid="{00000000-0005-0000-0000-0000F81F0000}"/>
    <cellStyle name="Normal 4 2 2 3 3 3" xfId="8172" xr:uid="{00000000-0005-0000-0000-0000F91F0000}"/>
    <cellStyle name="Normal 4 2 2 3 3 3 2" xfId="8173" xr:uid="{00000000-0005-0000-0000-0000FA1F0000}"/>
    <cellStyle name="Normal 4 2 2 3 3 3 3" xfId="8174" xr:uid="{00000000-0005-0000-0000-0000FB1F0000}"/>
    <cellStyle name="Normal 4 2 2 3 3 4" xfId="8175" xr:uid="{00000000-0005-0000-0000-0000FC1F0000}"/>
    <cellStyle name="Normal 4 2 2 3 3 5" xfId="8176" xr:uid="{00000000-0005-0000-0000-0000FD1F0000}"/>
    <cellStyle name="Normal 4 2 2 3 4" xfId="8177" xr:uid="{00000000-0005-0000-0000-0000FE1F0000}"/>
    <cellStyle name="Normal 4 2 2 3 4 2" xfId="8178" xr:uid="{00000000-0005-0000-0000-0000FF1F0000}"/>
    <cellStyle name="Normal 4 2 2 3 4 3" xfId="8179" xr:uid="{00000000-0005-0000-0000-000000200000}"/>
    <cellStyle name="Normal 4 2 2 3 5" xfId="8180" xr:uid="{00000000-0005-0000-0000-000001200000}"/>
    <cellStyle name="Normal 4 2 2 3 5 2" xfId="8181" xr:uid="{00000000-0005-0000-0000-000002200000}"/>
    <cellStyle name="Normal 4 2 2 3 5 3" xfId="8182" xr:uid="{00000000-0005-0000-0000-000003200000}"/>
    <cellStyle name="Normal 4 2 2 3 6" xfId="8183" xr:uid="{00000000-0005-0000-0000-000004200000}"/>
    <cellStyle name="Normal 4 2 2 3 7" xfId="8184" xr:uid="{00000000-0005-0000-0000-000005200000}"/>
    <cellStyle name="Normal 4 2 2 3 8" xfId="8185" xr:uid="{00000000-0005-0000-0000-000006200000}"/>
    <cellStyle name="Normal 4 2 2 3 9" xfId="8186" xr:uid="{00000000-0005-0000-0000-000007200000}"/>
    <cellStyle name="Normal 4 2 2 4" xfId="8187" xr:uid="{00000000-0005-0000-0000-000008200000}"/>
    <cellStyle name="Normal 4 2 2 4 2" xfId="8188" xr:uid="{00000000-0005-0000-0000-000009200000}"/>
    <cellStyle name="Normal 4 2 2 4 2 2" xfId="8189" xr:uid="{00000000-0005-0000-0000-00000A200000}"/>
    <cellStyle name="Normal 4 2 2 4 2 2 2" xfId="8190" xr:uid="{00000000-0005-0000-0000-00000B200000}"/>
    <cellStyle name="Normal 4 2 2 4 2 2 2 2" xfId="8191" xr:uid="{00000000-0005-0000-0000-00000C200000}"/>
    <cellStyle name="Normal 4 2 2 4 2 2 2 3" xfId="8192" xr:uid="{00000000-0005-0000-0000-00000D200000}"/>
    <cellStyle name="Normal 4 2 2 4 2 2 3" xfId="8193" xr:uid="{00000000-0005-0000-0000-00000E200000}"/>
    <cellStyle name="Normal 4 2 2 4 2 2 4" xfId="8194" xr:uid="{00000000-0005-0000-0000-00000F200000}"/>
    <cellStyle name="Normal 4 2 2 4 2 3" xfId="8195" xr:uid="{00000000-0005-0000-0000-000010200000}"/>
    <cellStyle name="Normal 4 2 2 4 2 3 2" xfId="8196" xr:uid="{00000000-0005-0000-0000-000011200000}"/>
    <cellStyle name="Normal 4 2 2 4 2 3 2 2" xfId="8197" xr:uid="{00000000-0005-0000-0000-000012200000}"/>
    <cellStyle name="Normal 4 2 2 4 2 3 2 3" xfId="8198" xr:uid="{00000000-0005-0000-0000-000013200000}"/>
    <cellStyle name="Normal 4 2 2 4 2 3 3" xfId="8199" xr:uid="{00000000-0005-0000-0000-000014200000}"/>
    <cellStyle name="Normal 4 2 2 4 2 3 4" xfId="8200" xr:uid="{00000000-0005-0000-0000-000015200000}"/>
    <cellStyle name="Normal 4 2 2 4 2 4" xfId="8201" xr:uid="{00000000-0005-0000-0000-000016200000}"/>
    <cellStyle name="Normal 4 2 2 4 2 4 2" xfId="8202" xr:uid="{00000000-0005-0000-0000-000017200000}"/>
    <cellStyle name="Normal 4 2 2 4 2 4 3" xfId="8203" xr:uid="{00000000-0005-0000-0000-000018200000}"/>
    <cellStyle name="Normal 4 2 2 4 2 5" xfId="8204" xr:uid="{00000000-0005-0000-0000-000019200000}"/>
    <cellStyle name="Normal 4 2 2 4 2 6" xfId="8205" xr:uid="{00000000-0005-0000-0000-00001A200000}"/>
    <cellStyle name="Normal 4 2 2 4 2 7" xfId="8206" xr:uid="{00000000-0005-0000-0000-00001B200000}"/>
    <cellStyle name="Normal 4 2 2 4 3" xfId="8207" xr:uid="{00000000-0005-0000-0000-00001C200000}"/>
    <cellStyle name="Normal 4 2 2 4 3 2" xfId="8208" xr:uid="{00000000-0005-0000-0000-00001D200000}"/>
    <cellStyle name="Normal 4 2 2 4 3 2 2" xfId="8209" xr:uid="{00000000-0005-0000-0000-00001E200000}"/>
    <cellStyle name="Normal 4 2 2 4 3 2 2 2" xfId="8210" xr:uid="{00000000-0005-0000-0000-00001F200000}"/>
    <cellStyle name="Normal 4 2 2 4 3 2 2 3" xfId="8211" xr:uid="{00000000-0005-0000-0000-000020200000}"/>
    <cellStyle name="Normal 4 2 2 4 3 2 3" xfId="8212" xr:uid="{00000000-0005-0000-0000-000021200000}"/>
    <cellStyle name="Normal 4 2 2 4 3 2 4" xfId="8213" xr:uid="{00000000-0005-0000-0000-000022200000}"/>
    <cellStyle name="Normal 4 2 2 4 3 3" xfId="8214" xr:uid="{00000000-0005-0000-0000-000023200000}"/>
    <cellStyle name="Normal 4 2 2 4 3 3 2" xfId="8215" xr:uid="{00000000-0005-0000-0000-000024200000}"/>
    <cellStyle name="Normal 4 2 2 4 3 3 3" xfId="8216" xr:uid="{00000000-0005-0000-0000-000025200000}"/>
    <cellStyle name="Normal 4 2 2 4 3 4" xfId="8217" xr:uid="{00000000-0005-0000-0000-000026200000}"/>
    <cellStyle name="Normal 4 2 2 4 3 5" xfId="8218" xr:uid="{00000000-0005-0000-0000-000027200000}"/>
    <cellStyle name="Normal 4 2 2 4 4" xfId="8219" xr:uid="{00000000-0005-0000-0000-000028200000}"/>
    <cellStyle name="Normal 4 2 2 4 4 2" xfId="8220" xr:uid="{00000000-0005-0000-0000-000029200000}"/>
    <cellStyle name="Normal 4 2 2 4 4 3" xfId="8221" xr:uid="{00000000-0005-0000-0000-00002A200000}"/>
    <cellStyle name="Normal 4 2 2 4 5" xfId="8222" xr:uid="{00000000-0005-0000-0000-00002B200000}"/>
    <cellStyle name="Normal 4 2 2 4 5 2" xfId="8223" xr:uid="{00000000-0005-0000-0000-00002C200000}"/>
    <cellStyle name="Normal 4 2 2 4 5 3" xfId="8224" xr:uid="{00000000-0005-0000-0000-00002D200000}"/>
    <cellStyle name="Normal 4 2 2 4 6" xfId="8225" xr:uid="{00000000-0005-0000-0000-00002E200000}"/>
    <cellStyle name="Normal 4 2 2 4 7" xfId="8226" xr:uid="{00000000-0005-0000-0000-00002F200000}"/>
    <cellStyle name="Normal 4 2 2 4 8" xfId="8227" xr:uid="{00000000-0005-0000-0000-000030200000}"/>
    <cellStyle name="Normal 4 2 2 4 9" xfId="8228" xr:uid="{00000000-0005-0000-0000-000031200000}"/>
    <cellStyle name="Normal 4 2 2 5" xfId="8229" xr:uid="{00000000-0005-0000-0000-000032200000}"/>
    <cellStyle name="Normal 4 2 2 5 2" xfId="8230" xr:uid="{00000000-0005-0000-0000-000033200000}"/>
    <cellStyle name="Normal 4 2 2 5 2 2" xfId="8231" xr:uid="{00000000-0005-0000-0000-000034200000}"/>
    <cellStyle name="Normal 4 2 2 5 2 2 2" xfId="8232" xr:uid="{00000000-0005-0000-0000-000035200000}"/>
    <cellStyle name="Normal 4 2 2 5 2 2 2 2" xfId="8233" xr:uid="{00000000-0005-0000-0000-000036200000}"/>
    <cellStyle name="Normal 4 2 2 5 2 2 2 3" xfId="8234" xr:uid="{00000000-0005-0000-0000-000037200000}"/>
    <cellStyle name="Normal 4 2 2 5 2 2 3" xfId="8235" xr:uid="{00000000-0005-0000-0000-000038200000}"/>
    <cellStyle name="Normal 4 2 2 5 2 2 4" xfId="8236" xr:uid="{00000000-0005-0000-0000-000039200000}"/>
    <cellStyle name="Normal 4 2 2 5 2 3" xfId="8237" xr:uid="{00000000-0005-0000-0000-00003A200000}"/>
    <cellStyle name="Normal 4 2 2 5 2 3 2" xfId="8238" xr:uid="{00000000-0005-0000-0000-00003B200000}"/>
    <cellStyle name="Normal 4 2 2 5 2 3 2 2" xfId="8239" xr:uid="{00000000-0005-0000-0000-00003C200000}"/>
    <cellStyle name="Normal 4 2 2 5 2 3 2 3" xfId="8240" xr:uid="{00000000-0005-0000-0000-00003D200000}"/>
    <cellStyle name="Normal 4 2 2 5 2 3 3" xfId="8241" xr:uid="{00000000-0005-0000-0000-00003E200000}"/>
    <cellStyle name="Normal 4 2 2 5 2 3 4" xfId="8242" xr:uid="{00000000-0005-0000-0000-00003F200000}"/>
    <cellStyle name="Normal 4 2 2 5 2 4" xfId="8243" xr:uid="{00000000-0005-0000-0000-000040200000}"/>
    <cellStyle name="Normal 4 2 2 5 2 4 2" xfId="8244" xr:uid="{00000000-0005-0000-0000-000041200000}"/>
    <cellStyle name="Normal 4 2 2 5 2 4 3" xfId="8245" xr:uid="{00000000-0005-0000-0000-000042200000}"/>
    <cellStyle name="Normal 4 2 2 5 2 5" xfId="8246" xr:uid="{00000000-0005-0000-0000-000043200000}"/>
    <cellStyle name="Normal 4 2 2 5 2 6" xfId="8247" xr:uid="{00000000-0005-0000-0000-000044200000}"/>
    <cellStyle name="Normal 4 2 2 5 2 7" xfId="8248" xr:uid="{00000000-0005-0000-0000-000045200000}"/>
    <cellStyle name="Normal 4 2 2 5 3" xfId="8249" xr:uid="{00000000-0005-0000-0000-000046200000}"/>
    <cellStyle name="Normal 4 2 2 5 3 2" xfId="8250" xr:uid="{00000000-0005-0000-0000-000047200000}"/>
    <cellStyle name="Normal 4 2 2 5 3 2 2" xfId="8251" xr:uid="{00000000-0005-0000-0000-000048200000}"/>
    <cellStyle name="Normal 4 2 2 5 3 2 2 2" xfId="8252" xr:uid="{00000000-0005-0000-0000-000049200000}"/>
    <cellStyle name="Normal 4 2 2 5 3 2 2 3" xfId="8253" xr:uid="{00000000-0005-0000-0000-00004A200000}"/>
    <cellStyle name="Normal 4 2 2 5 3 2 3" xfId="8254" xr:uid="{00000000-0005-0000-0000-00004B200000}"/>
    <cellStyle name="Normal 4 2 2 5 3 2 4" xfId="8255" xr:uid="{00000000-0005-0000-0000-00004C200000}"/>
    <cellStyle name="Normal 4 2 2 5 3 3" xfId="8256" xr:uid="{00000000-0005-0000-0000-00004D200000}"/>
    <cellStyle name="Normal 4 2 2 5 3 3 2" xfId="8257" xr:uid="{00000000-0005-0000-0000-00004E200000}"/>
    <cellStyle name="Normal 4 2 2 5 3 3 3" xfId="8258" xr:uid="{00000000-0005-0000-0000-00004F200000}"/>
    <cellStyle name="Normal 4 2 2 5 3 4" xfId="8259" xr:uid="{00000000-0005-0000-0000-000050200000}"/>
    <cellStyle name="Normal 4 2 2 5 3 5" xfId="8260" xr:uid="{00000000-0005-0000-0000-000051200000}"/>
    <cellStyle name="Normal 4 2 2 5 4" xfId="8261" xr:uid="{00000000-0005-0000-0000-000052200000}"/>
    <cellStyle name="Normal 4 2 2 5 4 2" xfId="8262" xr:uid="{00000000-0005-0000-0000-000053200000}"/>
    <cellStyle name="Normal 4 2 2 5 4 3" xfId="8263" xr:uid="{00000000-0005-0000-0000-000054200000}"/>
    <cellStyle name="Normal 4 2 2 5 5" xfId="8264" xr:uid="{00000000-0005-0000-0000-000055200000}"/>
    <cellStyle name="Normal 4 2 2 5 5 2" xfId="8265" xr:uid="{00000000-0005-0000-0000-000056200000}"/>
    <cellStyle name="Normal 4 2 2 5 5 3" xfId="8266" xr:uid="{00000000-0005-0000-0000-000057200000}"/>
    <cellStyle name="Normal 4 2 2 5 6" xfId="8267" xr:uid="{00000000-0005-0000-0000-000058200000}"/>
    <cellStyle name="Normal 4 2 2 5 7" xfId="8268" xr:uid="{00000000-0005-0000-0000-000059200000}"/>
    <cellStyle name="Normal 4 2 2 5 8" xfId="8269" xr:uid="{00000000-0005-0000-0000-00005A200000}"/>
    <cellStyle name="Normal 4 2 2 5 9" xfId="8270" xr:uid="{00000000-0005-0000-0000-00005B200000}"/>
    <cellStyle name="Normal 4 2 2 6" xfId="8271" xr:uid="{00000000-0005-0000-0000-00005C200000}"/>
    <cellStyle name="Normal 4 2 2 6 2" xfId="8272" xr:uid="{00000000-0005-0000-0000-00005D200000}"/>
    <cellStyle name="Normal 4 2 2 6 2 2" xfId="8273" xr:uid="{00000000-0005-0000-0000-00005E200000}"/>
    <cellStyle name="Normal 4 2 2 6 2 2 2" xfId="8274" xr:uid="{00000000-0005-0000-0000-00005F200000}"/>
    <cellStyle name="Normal 4 2 2 6 2 2 2 2" xfId="8275" xr:uid="{00000000-0005-0000-0000-000060200000}"/>
    <cellStyle name="Normal 4 2 2 6 2 2 2 3" xfId="8276" xr:uid="{00000000-0005-0000-0000-000061200000}"/>
    <cellStyle name="Normal 4 2 2 6 2 2 3" xfId="8277" xr:uid="{00000000-0005-0000-0000-000062200000}"/>
    <cellStyle name="Normal 4 2 2 6 2 2 4" xfId="8278" xr:uid="{00000000-0005-0000-0000-000063200000}"/>
    <cellStyle name="Normal 4 2 2 6 2 3" xfId="8279" xr:uid="{00000000-0005-0000-0000-000064200000}"/>
    <cellStyle name="Normal 4 2 2 6 2 3 2" xfId="8280" xr:uid="{00000000-0005-0000-0000-000065200000}"/>
    <cellStyle name="Normal 4 2 2 6 2 3 2 2" xfId="8281" xr:uid="{00000000-0005-0000-0000-000066200000}"/>
    <cellStyle name="Normal 4 2 2 6 2 3 2 3" xfId="8282" xr:uid="{00000000-0005-0000-0000-000067200000}"/>
    <cellStyle name="Normal 4 2 2 6 2 3 3" xfId="8283" xr:uid="{00000000-0005-0000-0000-000068200000}"/>
    <cellStyle name="Normal 4 2 2 6 2 3 4" xfId="8284" xr:uid="{00000000-0005-0000-0000-000069200000}"/>
    <cellStyle name="Normal 4 2 2 6 2 4" xfId="8285" xr:uid="{00000000-0005-0000-0000-00006A200000}"/>
    <cellStyle name="Normal 4 2 2 6 2 4 2" xfId="8286" xr:uid="{00000000-0005-0000-0000-00006B200000}"/>
    <cellStyle name="Normal 4 2 2 6 2 4 3" xfId="8287" xr:uid="{00000000-0005-0000-0000-00006C200000}"/>
    <cellStyle name="Normal 4 2 2 6 2 5" xfId="8288" xr:uid="{00000000-0005-0000-0000-00006D200000}"/>
    <cellStyle name="Normal 4 2 2 6 2 6" xfId="8289" xr:uid="{00000000-0005-0000-0000-00006E200000}"/>
    <cellStyle name="Normal 4 2 2 6 2 7" xfId="8290" xr:uid="{00000000-0005-0000-0000-00006F200000}"/>
    <cellStyle name="Normal 4 2 2 6 3" xfId="8291" xr:uid="{00000000-0005-0000-0000-000070200000}"/>
    <cellStyle name="Normal 4 2 2 6 3 2" xfId="8292" xr:uid="{00000000-0005-0000-0000-000071200000}"/>
    <cellStyle name="Normal 4 2 2 6 3 2 2" xfId="8293" xr:uid="{00000000-0005-0000-0000-000072200000}"/>
    <cellStyle name="Normal 4 2 2 6 3 2 2 2" xfId="8294" xr:uid="{00000000-0005-0000-0000-000073200000}"/>
    <cellStyle name="Normal 4 2 2 6 3 2 2 3" xfId="8295" xr:uid="{00000000-0005-0000-0000-000074200000}"/>
    <cellStyle name="Normal 4 2 2 6 3 2 3" xfId="8296" xr:uid="{00000000-0005-0000-0000-000075200000}"/>
    <cellStyle name="Normal 4 2 2 6 3 2 4" xfId="8297" xr:uid="{00000000-0005-0000-0000-000076200000}"/>
    <cellStyle name="Normal 4 2 2 6 3 3" xfId="8298" xr:uid="{00000000-0005-0000-0000-000077200000}"/>
    <cellStyle name="Normal 4 2 2 6 3 3 2" xfId="8299" xr:uid="{00000000-0005-0000-0000-000078200000}"/>
    <cellStyle name="Normal 4 2 2 6 3 3 3" xfId="8300" xr:uid="{00000000-0005-0000-0000-000079200000}"/>
    <cellStyle name="Normal 4 2 2 6 3 4" xfId="8301" xr:uid="{00000000-0005-0000-0000-00007A200000}"/>
    <cellStyle name="Normal 4 2 2 6 3 5" xfId="8302" xr:uid="{00000000-0005-0000-0000-00007B200000}"/>
    <cellStyle name="Normal 4 2 2 6 4" xfId="8303" xr:uid="{00000000-0005-0000-0000-00007C200000}"/>
    <cellStyle name="Normal 4 2 2 6 4 2" xfId="8304" xr:uid="{00000000-0005-0000-0000-00007D200000}"/>
    <cellStyle name="Normal 4 2 2 6 4 3" xfId="8305" xr:uid="{00000000-0005-0000-0000-00007E200000}"/>
    <cellStyle name="Normal 4 2 2 6 5" xfId="8306" xr:uid="{00000000-0005-0000-0000-00007F200000}"/>
    <cellStyle name="Normal 4 2 2 6 5 2" xfId="8307" xr:uid="{00000000-0005-0000-0000-000080200000}"/>
    <cellStyle name="Normal 4 2 2 6 5 3" xfId="8308" xr:uid="{00000000-0005-0000-0000-000081200000}"/>
    <cellStyle name="Normal 4 2 2 6 6" xfId="8309" xr:uid="{00000000-0005-0000-0000-000082200000}"/>
    <cellStyle name="Normal 4 2 2 6 7" xfId="8310" xr:uid="{00000000-0005-0000-0000-000083200000}"/>
    <cellStyle name="Normal 4 2 2 6 8" xfId="8311" xr:uid="{00000000-0005-0000-0000-000084200000}"/>
    <cellStyle name="Normal 4 2 2 6 9" xfId="8312" xr:uid="{00000000-0005-0000-0000-000085200000}"/>
    <cellStyle name="Normal 4 2 2 7" xfId="8313" xr:uid="{00000000-0005-0000-0000-000086200000}"/>
    <cellStyle name="Normal 4 2 2 7 2" xfId="8314" xr:uid="{00000000-0005-0000-0000-000087200000}"/>
    <cellStyle name="Normal 4 2 2 7 2 2" xfId="8315" xr:uid="{00000000-0005-0000-0000-000088200000}"/>
    <cellStyle name="Normal 4 2 2 7 2 2 2" xfId="8316" xr:uid="{00000000-0005-0000-0000-000089200000}"/>
    <cellStyle name="Normal 4 2 2 7 2 2 2 2" xfId="8317" xr:uid="{00000000-0005-0000-0000-00008A200000}"/>
    <cellStyle name="Normal 4 2 2 7 2 2 2 3" xfId="8318" xr:uid="{00000000-0005-0000-0000-00008B200000}"/>
    <cellStyle name="Normal 4 2 2 7 2 2 3" xfId="8319" xr:uid="{00000000-0005-0000-0000-00008C200000}"/>
    <cellStyle name="Normal 4 2 2 7 2 2 4" xfId="8320" xr:uid="{00000000-0005-0000-0000-00008D200000}"/>
    <cellStyle name="Normal 4 2 2 7 2 3" xfId="8321" xr:uid="{00000000-0005-0000-0000-00008E200000}"/>
    <cellStyle name="Normal 4 2 2 7 2 3 2" xfId="8322" xr:uid="{00000000-0005-0000-0000-00008F200000}"/>
    <cellStyle name="Normal 4 2 2 7 2 3 2 2" xfId="8323" xr:uid="{00000000-0005-0000-0000-000090200000}"/>
    <cellStyle name="Normal 4 2 2 7 2 3 2 3" xfId="8324" xr:uid="{00000000-0005-0000-0000-000091200000}"/>
    <cellStyle name="Normal 4 2 2 7 2 3 3" xfId="8325" xr:uid="{00000000-0005-0000-0000-000092200000}"/>
    <cellStyle name="Normal 4 2 2 7 2 3 4" xfId="8326" xr:uid="{00000000-0005-0000-0000-000093200000}"/>
    <cellStyle name="Normal 4 2 2 7 2 4" xfId="8327" xr:uid="{00000000-0005-0000-0000-000094200000}"/>
    <cellStyle name="Normal 4 2 2 7 2 4 2" xfId="8328" xr:uid="{00000000-0005-0000-0000-000095200000}"/>
    <cellStyle name="Normal 4 2 2 7 2 4 3" xfId="8329" xr:uid="{00000000-0005-0000-0000-000096200000}"/>
    <cellStyle name="Normal 4 2 2 7 2 5" xfId="8330" xr:uid="{00000000-0005-0000-0000-000097200000}"/>
    <cellStyle name="Normal 4 2 2 7 2 6" xfId="8331" xr:uid="{00000000-0005-0000-0000-000098200000}"/>
    <cellStyle name="Normal 4 2 2 7 2 7" xfId="8332" xr:uid="{00000000-0005-0000-0000-000099200000}"/>
    <cellStyle name="Normal 4 2 2 7 3" xfId="8333" xr:uid="{00000000-0005-0000-0000-00009A200000}"/>
    <cellStyle name="Normal 4 2 2 7 3 2" xfId="8334" xr:uid="{00000000-0005-0000-0000-00009B200000}"/>
    <cellStyle name="Normal 4 2 2 7 3 2 2" xfId="8335" xr:uid="{00000000-0005-0000-0000-00009C200000}"/>
    <cellStyle name="Normal 4 2 2 7 3 2 2 2" xfId="8336" xr:uid="{00000000-0005-0000-0000-00009D200000}"/>
    <cellStyle name="Normal 4 2 2 7 3 2 2 3" xfId="8337" xr:uid="{00000000-0005-0000-0000-00009E200000}"/>
    <cellStyle name="Normal 4 2 2 7 3 2 3" xfId="8338" xr:uid="{00000000-0005-0000-0000-00009F200000}"/>
    <cellStyle name="Normal 4 2 2 7 3 2 4" xfId="8339" xr:uid="{00000000-0005-0000-0000-0000A0200000}"/>
    <cellStyle name="Normal 4 2 2 7 3 3" xfId="8340" xr:uid="{00000000-0005-0000-0000-0000A1200000}"/>
    <cellStyle name="Normal 4 2 2 7 3 3 2" xfId="8341" xr:uid="{00000000-0005-0000-0000-0000A2200000}"/>
    <cellStyle name="Normal 4 2 2 7 3 3 3" xfId="8342" xr:uid="{00000000-0005-0000-0000-0000A3200000}"/>
    <cellStyle name="Normal 4 2 2 7 3 4" xfId="8343" xr:uid="{00000000-0005-0000-0000-0000A4200000}"/>
    <cellStyle name="Normal 4 2 2 7 3 5" xfId="8344" xr:uid="{00000000-0005-0000-0000-0000A5200000}"/>
    <cellStyle name="Normal 4 2 2 7 4" xfId="8345" xr:uid="{00000000-0005-0000-0000-0000A6200000}"/>
    <cellStyle name="Normal 4 2 2 7 4 2" xfId="8346" xr:uid="{00000000-0005-0000-0000-0000A7200000}"/>
    <cellStyle name="Normal 4 2 2 7 4 3" xfId="8347" xr:uid="{00000000-0005-0000-0000-0000A8200000}"/>
    <cellStyle name="Normal 4 2 2 7 5" xfId="8348" xr:uid="{00000000-0005-0000-0000-0000A9200000}"/>
    <cellStyle name="Normal 4 2 2 7 5 2" xfId="8349" xr:uid="{00000000-0005-0000-0000-0000AA200000}"/>
    <cellStyle name="Normal 4 2 2 7 5 3" xfId="8350" xr:uid="{00000000-0005-0000-0000-0000AB200000}"/>
    <cellStyle name="Normal 4 2 2 7 6" xfId="8351" xr:uid="{00000000-0005-0000-0000-0000AC200000}"/>
    <cellStyle name="Normal 4 2 2 7 7" xfId="8352" xr:uid="{00000000-0005-0000-0000-0000AD200000}"/>
    <cellStyle name="Normal 4 2 2 7 8" xfId="8353" xr:uid="{00000000-0005-0000-0000-0000AE200000}"/>
    <cellStyle name="Normal 4 2 2 7 9" xfId="8354" xr:uid="{00000000-0005-0000-0000-0000AF200000}"/>
    <cellStyle name="Normal 4 2 2 8" xfId="8355" xr:uid="{00000000-0005-0000-0000-0000B0200000}"/>
    <cellStyle name="Normal 4 2 2 8 2" xfId="8356" xr:uid="{00000000-0005-0000-0000-0000B1200000}"/>
    <cellStyle name="Normal 4 2 2 8 2 2" xfId="8357" xr:uid="{00000000-0005-0000-0000-0000B2200000}"/>
    <cellStyle name="Normal 4 2 2 8 2 2 2" xfId="8358" xr:uid="{00000000-0005-0000-0000-0000B3200000}"/>
    <cellStyle name="Normal 4 2 2 8 2 2 2 2" xfId="8359" xr:uid="{00000000-0005-0000-0000-0000B4200000}"/>
    <cellStyle name="Normal 4 2 2 8 2 2 2 3" xfId="8360" xr:uid="{00000000-0005-0000-0000-0000B5200000}"/>
    <cellStyle name="Normal 4 2 2 8 2 2 3" xfId="8361" xr:uid="{00000000-0005-0000-0000-0000B6200000}"/>
    <cellStyle name="Normal 4 2 2 8 2 2 4" xfId="8362" xr:uid="{00000000-0005-0000-0000-0000B7200000}"/>
    <cellStyle name="Normal 4 2 2 8 2 3" xfId="8363" xr:uid="{00000000-0005-0000-0000-0000B8200000}"/>
    <cellStyle name="Normal 4 2 2 8 2 3 2" xfId="8364" xr:uid="{00000000-0005-0000-0000-0000B9200000}"/>
    <cellStyle name="Normal 4 2 2 8 2 3 2 2" xfId="8365" xr:uid="{00000000-0005-0000-0000-0000BA200000}"/>
    <cellStyle name="Normal 4 2 2 8 2 3 2 3" xfId="8366" xr:uid="{00000000-0005-0000-0000-0000BB200000}"/>
    <cellStyle name="Normal 4 2 2 8 2 3 3" xfId="8367" xr:uid="{00000000-0005-0000-0000-0000BC200000}"/>
    <cellStyle name="Normal 4 2 2 8 2 3 4" xfId="8368" xr:uid="{00000000-0005-0000-0000-0000BD200000}"/>
    <cellStyle name="Normal 4 2 2 8 2 4" xfId="8369" xr:uid="{00000000-0005-0000-0000-0000BE200000}"/>
    <cellStyle name="Normal 4 2 2 8 2 4 2" xfId="8370" xr:uid="{00000000-0005-0000-0000-0000BF200000}"/>
    <cellStyle name="Normal 4 2 2 8 2 4 3" xfId="8371" xr:uid="{00000000-0005-0000-0000-0000C0200000}"/>
    <cellStyle name="Normal 4 2 2 8 2 5" xfId="8372" xr:uid="{00000000-0005-0000-0000-0000C1200000}"/>
    <cellStyle name="Normal 4 2 2 8 2 6" xfId="8373" xr:uid="{00000000-0005-0000-0000-0000C2200000}"/>
    <cellStyle name="Normal 4 2 2 8 2 7" xfId="8374" xr:uid="{00000000-0005-0000-0000-0000C3200000}"/>
    <cellStyle name="Normal 4 2 2 8 3" xfId="8375" xr:uid="{00000000-0005-0000-0000-0000C4200000}"/>
    <cellStyle name="Normal 4 2 2 8 3 2" xfId="8376" xr:uid="{00000000-0005-0000-0000-0000C5200000}"/>
    <cellStyle name="Normal 4 2 2 8 3 2 2" xfId="8377" xr:uid="{00000000-0005-0000-0000-0000C6200000}"/>
    <cellStyle name="Normal 4 2 2 8 3 2 2 2" xfId="8378" xr:uid="{00000000-0005-0000-0000-0000C7200000}"/>
    <cellStyle name="Normal 4 2 2 8 3 2 2 3" xfId="8379" xr:uid="{00000000-0005-0000-0000-0000C8200000}"/>
    <cellStyle name="Normal 4 2 2 8 3 2 3" xfId="8380" xr:uid="{00000000-0005-0000-0000-0000C9200000}"/>
    <cellStyle name="Normal 4 2 2 8 3 2 4" xfId="8381" xr:uid="{00000000-0005-0000-0000-0000CA200000}"/>
    <cellStyle name="Normal 4 2 2 8 3 3" xfId="8382" xr:uid="{00000000-0005-0000-0000-0000CB200000}"/>
    <cellStyle name="Normal 4 2 2 8 3 3 2" xfId="8383" xr:uid="{00000000-0005-0000-0000-0000CC200000}"/>
    <cellStyle name="Normal 4 2 2 8 3 3 3" xfId="8384" xr:uid="{00000000-0005-0000-0000-0000CD200000}"/>
    <cellStyle name="Normal 4 2 2 8 3 4" xfId="8385" xr:uid="{00000000-0005-0000-0000-0000CE200000}"/>
    <cellStyle name="Normal 4 2 2 8 3 5" xfId="8386" xr:uid="{00000000-0005-0000-0000-0000CF200000}"/>
    <cellStyle name="Normal 4 2 2 8 4" xfId="8387" xr:uid="{00000000-0005-0000-0000-0000D0200000}"/>
    <cellStyle name="Normal 4 2 2 8 4 2" xfId="8388" xr:uid="{00000000-0005-0000-0000-0000D1200000}"/>
    <cellStyle name="Normal 4 2 2 8 4 3" xfId="8389" xr:uid="{00000000-0005-0000-0000-0000D2200000}"/>
    <cellStyle name="Normal 4 2 2 8 5" xfId="8390" xr:uid="{00000000-0005-0000-0000-0000D3200000}"/>
    <cellStyle name="Normal 4 2 2 8 5 2" xfId="8391" xr:uid="{00000000-0005-0000-0000-0000D4200000}"/>
    <cellStyle name="Normal 4 2 2 8 5 3" xfId="8392" xr:uid="{00000000-0005-0000-0000-0000D5200000}"/>
    <cellStyle name="Normal 4 2 2 8 6" xfId="8393" xr:uid="{00000000-0005-0000-0000-0000D6200000}"/>
    <cellStyle name="Normal 4 2 2 8 7" xfId="8394" xr:uid="{00000000-0005-0000-0000-0000D7200000}"/>
    <cellStyle name="Normal 4 2 2 8 8" xfId="8395" xr:uid="{00000000-0005-0000-0000-0000D8200000}"/>
    <cellStyle name="Normal 4 2 2 8 9" xfId="8396" xr:uid="{00000000-0005-0000-0000-0000D9200000}"/>
    <cellStyle name="Normal 4 2 2 9" xfId="8397" xr:uid="{00000000-0005-0000-0000-0000DA200000}"/>
    <cellStyle name="Normal 4 2 2 9 2" xfId="8398" xr:uid="{00000000-0005-0000-0000-0000DB200000}"/>
    <cellStyle name="Normal 4 2 2 9 2 2" xfId="8399" xr:uid="{00000000-0005-0000-0000-0000DC200000}"/>
    <cellStyle name="Normal 4 2 2 9 2 2 2" xfId="8400" xr:uid="{00000000-0005-0000-0000-0000DD200000}"/>
    <cellStyle name="Normal 4 2 2 9 2 2 2 2" xfId="8401" xr:uid="{00000000-0005-0000-0000-0000DE200000}"/>
    <cellStyle name="Normal 4 2 2 9 2 2 2 3" xfId="8402" xr:uid="{00000000-0005-0000-0000-0000DF200000}"/>
    <cellStyle name="Normal 4 2 2 9 2 2 3" xfId="8403" xr:uid="{00000000-0005-0000-0000-0000E0200000}"/>
    <cellStyle name="Normal 4 2 2 9 2 2 4" xfId="8404" xr:uid="{00000000-0005-0000-0000-0000E1200000}"/>
    <cellStyle name="Normal 4 2 2 9 2 3" xfId="8405" xr:uid="{00000000-0005-0000-0000-0000E2200000}"/>
    <cellStyle name="Normal 4 2 2 9 2 3 2" xfId="8406" xr:uid="{00000000-0005-0000-0000-0000E3200000}"/>
    <cellStyle name="Normal 4 2 2 9 2 3 2 2" xfId="8407" xr:uid="{00000000-0005-0000-0000-0000E4200000}"/>
    <cellStyle name="Normal 4 2 2 9 2 3 2 3" xfId="8408" xr:uid="{00000000-0005-0000-0000-0000E5200000}"/>
    <cellStyle name="Normal 4 2 2 9 2 3 3" xfId="8409" xr:uid="{00000000-0005-0000-0000-0000E6200000}"/>
    <cellStyle name="Normal 4 2 2 9 2 3 4" xfId="8410" xr:uid="{00000000-0005-0000-0000-0000E7200000}"/>
    <cellStyle name="Normal 4 2 2 9 2 4" xfId="8411" xr:uid="{00000000-0005-0000-0000-0000E8200000}"/>
    <cellStyle name="Normal 4 2 2 9 2 4 2" xfId="8412" xr:uid="{00000000-0005-0000-0000-0000E9200000}"/>
    <cellStyle name="Normal 4 2 2 9 2 4 3" xfId="8413" xr:uid="{00000000-0005-0000-0000-0000EA200000}"/>
    <cellStyle name="Normal 4 2 2 9 2 5" xfId="8414" xr:uid="{00000000-0005-0000-0000-0000EB200000}"/>
    <cellStyle name="Normal 4 2 2 9 2 6" xfId="8415" xr:uid="{00000000-0005-0000-0000-0000EC200000}"/>
    <cellStyle name="Normal 4 2 2 9 2 7" xfId="8416" xr:uid="{00000000-0005-0000-0000-0000ED200000}"/>
    <cellStyle name="Normal 4 2 2 9 3" xfId="8417" xr:uid="{00000000-0005-0000-0000-0000EE200000}"/>
    <cellStyle name="Normal 4 2 2 9 3 2" xfId="8418" xr:uid="{00000000-0005-0000-0000-0000EF200000}"/>
    <cellStyle name="Normal 4 2 2 9 3 2 2" xfId="8419" xr:uid="{00000000-0005-0000-0000-0000F0200000}"/>
    <cellStyle name="Normal 4 2 2 9 3 2 2 2" xfId="8420" xr:uid="{00000000-0005-0000-0000-0000F1200000}"/>
    <cellStyle name="Normal 4 2 2 9 3 2 2 3" xfId="8421" xr:uid="{00000000-0005-0000-0000-0000F2200000}"/>
    <cellStyle name="Normal 4 2 2 9 3 2 3" xfId="8422" xr:uid="{00000000-0005-0000-0000-0000F3200000}"/>
    <cellStyle name="Normal 4 2 2 9 3 2 4" xfId="8423" xr:uid="{00000000-0005-0000-0000-0000F4200000}"/>
    <cellStyle name="Normal 4 2 2 9 3 3" xfId="8424" xr:uid="{00000000-0005-0000-0000-0000F5200000}"/>
    <cellStyle name="Normal 4 2 2 9 3 3 2" xfId="8425" xr:uid="{00000000-0005-0000-0000-0000F6200000}"/>
    <cellStyle name="Normal 4 2 2 9 3 3 3" xfId="8426" xr:uid="{00000000-0005-0000-0000-0000F7200000}"/>
    <cellStyle name="Normal 4 2 2 9 3 4" xfId="8427" xr:uid="{00000000-0005-0000-0000-0000F8200000}"/>
    <cellStyle name="Normal 4 2 2 9 3 5" xfId="8428" xr:uid="{00000000-0005-0000-0000-0000F9200000}"/>
    <cellStyle name="Normal 4 2 2 9 4" xfId="8429" xr:uid="{00000000-0005-0000-0000-0000FA200000}"/>
    <cellStyle name="Normal 4 2 2 9 4 2" xfId="8430" xr:uid="{00000000-0005-0000-0000-0000FB200000}"/>
    <cellStyle name="Normal 4 2 2 9 4 3" xfId="8431" xr:uid="{00000000-0005-0000-0000-0000FC200000}"/>
    <cellStyle name="Normal 4 2 2 9 5" xfId="8432" xr:uid="{00000000-0005-0000-0000-0000FD200000}"/>
    <cellStyle name="Normal 4 2 2 9 5 2" xfId="8433" xr:uid="{00000000-0005-0000-0000-0000FE200000}"/>
    <cellStyle name="Normal 4 2 2 9 5 3" xfId="8434" xr:uid="{00000000-0005-0000-0000-0000FF200000}"/>
    <cellStyle name="Normal 4 2 2 9 6" xfId="8435" xr:uid="{00000000-0005-0000-0000-000000210000}"/>
    <cellStyle name="Normal 4 2 2 9 7" xfId="8436" xr:uid="{00000000-0005-0000-0000-000001210000}"/>
    <cellStyle name="Normal 4 2 2 9 8" xfId="8437" xr:uid="{00000000-0005-0000-0000-000002210000}"/>
    <cellStyle name="Normal 4 2 2 9 9" xfId="8438" xr:uid="{00000000-0005-0000-0000-000003210000}"/>
    <cellStyle name="Normal 4 2 3" xfId="8439" xr:uid="{00000000-0005-0000-0000-000004210000}"/>
    <cellStyle name="Normal 4 2 3 2" xfId="8440" xr:uid="{00000000-0005-0000-0000-000005210000}"/>
    <cellStyle name="Normal 4 2 3 2 2" xfId="8441" xr:uid="{00000000-0005-0000-0000-000006210000}"/>
    <cellStyle name="Normal 4 2 3 2 2 2" xfId="8442" xr:uid="{00000000-0005-0000-0000-000007210000}"/>
    <cellStyle name="Normal 4 2 3 2 2 2 2" xfId="8443" xr:uid="{00000000-0005-0000-0000-000008210000}"/>
    <cellStyle name="Normal 4 2 3 2 2 2 2 2" xfId="8444" xr:uid="{00000000-0005-0000-0000-000009210000}"/>
    <cellStyle name="Normal 4 2 3 2 2 2 2 3" xfId="8445" xr:uid="{00000000-0005-0000-0000-00000A210000}"/>
    <cellStyle name="Normal 4 2 3 2 2 2 3" xfId="8446" xr:uid="{00000000-0005-0000-0000-00000B210000}"/>
    <cellStyle name="Normal 4 2 3 2 2 2 4" xfId="8447" xr:uid="{00000000-0005-0000-0000-00000C210000}"/>
    <cellStyle name="Normal 4 2 3 2 2 3" xfId="8448" xr:uid="{00000000-0005-0000-0000-00000D210000}"/>
    <cellStyle name="Normal 4 2 3 2 2 3 2" xfId="8449" xr:uid="{00000000-0005-0000-0000-00000E210000}"/>
    <cellStyle name="Normal 4 2 3 2 2 3 2 2" xfId="8450" xr:uid="{00000000-0005-0000-0000-00000F210000}"/>
    <cellStyle name="Normal 4 2 3 2 2 3 2 3" xfId="8451" xr:uid="{00000000-0005-0000-0000-000010210000}"/>
    <cellStyle name="Normal 4 2 3 2 2 3 3" xfId="8452" xr:uid="{00000000-0005-0000-0000-000011210000}"/>
    <cellStyle name="Normal 4 2 3 2 2 3 4" xfId="8453" xr:uid="{00000000-0005-0000-0000-000012210000}"/>
    <cellStyle name="Normal 4 2 3 2 2 4" xfId="8454" xr:uid="{00000000-0005-0000-0000-000013210000}"/>
    <cellStyle name="Normal 4 2 3 2 2 4 2" xfId="8455" xr:uid="{00000000-0005-0000-0000-000014210000}"/>
    <cellStyle name="Normal 4 2 3 2 2 4 3" xfId="8456" xr:uid="{00000000-0005-0000-0000-000015210000}"/>
    <cellStyle name="Normal 4 2 3 2 2 5" xfId="8457" xr:uid="{00000000-0005-0000-0000-000016210000}"/>
    <cellStyle name="Normal 4 2 3 2 2 6" xfId="8458" xr:uid="{00000000-0005-0000-0000-000017210000}"/>
    <cellStyle name="Normal 4 2 3 2 2 7" xfId="8459" xr:uid="{00000000-0005-0000-0000-000018210000}"/>
    <cellStyle name="Normal 4 2 3 2 3" xfId="8460" xr:uid="{00000000-0005-0000-0000-000019210000}"/>
    <cellStyle name="Normal 4 2 3 2 3 2" xfId="8461" xr:uid="{00000000-0005-0000-0000-00001A210000}"/>
    <cellStyle name="Normal 4 2 3 2 3 2 2" xfId="8462" xr:uid="{00000000-0005-0000-0000-00001B210000}"/>
    <cellStyle name="Normal 4 2 3 2 3 2 3" xfId="8463" xr:uid="{00000000-0005-0000-0000-00001C210000}"/>
    <cellStyle name="Normal 4 2 3 2 3 3" xfId="8464" xr:uid="{00000000-0005-0000-0000-00001D210000}"/>
    <cellStyle name="Normal 4 2 3 2 3 4" xfId="8465" xr:uid="{00000000-0005-0000-0000-00001E210000}"/>
    <cellStyle name="Normal 4 2 3 2 4" xfId="8466" xr:uid="{00000000-0005-0000-0000-00001F210000}"/>
    <cellStyle name="Normal 4 2 3 2 4 2" xfId="8467" xr:uid="{00000000-0005-0000-0000-000020210000}"/>
    <cellStyle name="Normal 4 2 3 2 4 2 2" xfId="8468" xr:uid="{00000000-0005-0000-0000-000021210000}"/>
    <cellStyle name="Normal 4 2 3 2 4 2 3" xfId="8469" xr:uid="{00000000-0005-0000-0000-000022210000}"/>
    <cellStyle name="Normal 4 2 3 2 4 3" xfId="8470" xr:uid="{00000000-0005-0000-0000-000023210000}"/>
    <cellStyle name="Normal 4 2 3 2 4 4" xfId="8471" xr:uid="{00000000-0005-0000-0000-000024210000}"/>
    <cellStyle name="Normal 4 2 3 2 5" xfId="8472" xr:uid="{00000000-0005-0000-0000-000025210000}"/>
    <cellStyle name="Normal 4 2 3 2 5 2" xfId="8473" xr:uid="{00000000-0005-0000-0000-000026210000}"/>
    <cellStyle name="Normal 4 2 3 2 5 3" xfId="8474" xr:uid="{00000000-0005-0000-0000-000027210000}"/>
    <cellStyle name="Normal 4 2 3 2 6" xfId="8475" xr:uid="{00000000-0005-0000-0000-000028210000}"/>
    <cellStyle name="Normal 4 2 3 2 7" xfId="8476" xr:uid="{00000000-0005-0000-0000-000029210000}"/>
    <cellStyle name="Normal 4 2 3 2 8" xfId="8477" xr:uid="{00000000-0005-0000-0000-00002A210000}"/>
    <cellStyle name="Normal 4 2 3 3" xfId="8478" xr:uid="{00000000-0005-0000-0000-00002B210000}"/>
    <cellStyle name="Normal 4 2 3 3 2" xfId="8479" xr:uid="{00000000-0005-0000-0000-00002C210000}"/>
    <cellStyle name="Normal 4 2 3 3 3" xfId="8480" xr:uid="{00000000-0005-0000-0000-00002D210000}"/>
    <cellStyle name="Normal 4 2 3 3 4" xfId="8481" xr:uid="{00000000-0005-0000-0000-00002E210000}"/>
    <cellStyle name="Normal 4 2 3 4" xfId="8482" xr:uid="{00000000-0005-0000-0000-00002F210000}"/>
    <cellStyle name="Normal 4 2 3 4 2" xfId="8483" xr:uid="{00000000-0005-0000-0000-000030210000}"/>
    <cellStyle name="Normal 4 2 3 4 3" xfId="8484" xr:uid="{00000000-0005-0000-0000-000031210000}"/>
    <cellStyle name="Normal 4 2 3 4 4" xfId="8485" xr:uid="{00000000-0005-0000-0000-000032210000}"/>
    <cellStyle name="Normal 4 2 3 5" xfId="8486" xr:uid="{00000000-0005-0000-0000-000033210000}"/>
    <cellStyle name="Normal 4 2 3 6" xfId="8487" xr:uid="{00000000-0005-0000-0000-000034210000}"/>
    <cellStyle name="Normal 4 2 3 7" xfId="8488" xr:uid="{00000000-0005-0000-0000-000035210000}"/>
    <cellStyle name="Normal 4 2 3 8" xfId="8489" xr:uid="{00000000-0005-0000-0000-000036210000}"/>
    <cellStyle name="Normal 4 2 4" xfId="8490" xr:uid="{00000000-0005-0000-0000-000037210000}"/>
    <cellStyle name="Normal 4 2 4 2" xfId="8491" xr:uid="{00000000-0005-0000-0000-000038210000}"/>
    <cellStyle name="Normal 4 2 4 3" xfId="8492" xr:uid="{00000000-0005-0000-0000-000039210000}"/>
    <cellStyle name="Normal 4 2 4 4" xfId="8493" xr:uid="{00000000-0005-0000-0000-00003A210000}"/>
    <cellStyle name="Normal 4 2 4 5" xfId="8494" xr:uid="{00000000-0005-0000-0000-00003B210000}"/>
    <cellStyle name="Normal 4 2 5" xfId="8495" xr:uid="{00000000-0005-0000-0000-00003C210000}"/>
    <cellStyle name="Normal 4 2 5 2" xfId="8496" xr:uid="{00000000-0005-0000-0000-00003D210000}"/>
    <cellStyle name="Normal 4 2 5 3" xfId="8497" xr:uid="{00000000-0005-0000-0000-00003E210000}"/>
    <cellStyle name="Normal 4 2 5 4" xfId="8498" xr:uid="{00000000-0005-0000-0000-00003F210000}"/>
    <cellStyle name="Normal 4 2 5 5" xfId="8499" xr:uid="{00000000-0005-0000-0000-000040210000}"/>
    <cellStyle name="Normal 4 2 6" xfId="8500" xr:uid="{00000000-0005-0000-0000-000041210000}"/>
    <cellStyle name="Normal 4 2 6 2" xfId="8501" xr:uid="{00000000-0005-0000-0000-000042210000}"/>
    <cellStyle name="Normal 4 2 6 3" xfId="8502" xr:uid="{00000000-0005-0000-0000-000043210000}"/>
    <cellStyle name="Normal 4 2 6 4" xfId="8503" xr:uid="{00000000-0005-0000-0000-000044210000}"/>
    <cellStyle name="Normal 4 2 6 5" xfId="8504" xr:uid="{00000000-0005-0000-0000-000045210000}"/>
    <cellStyle name="Normal 4 2 7" xfId="8505" xr:uid="{00000000-0005-0000-0000-000046210000}"/>
    <cellStyle name="Normal 4 2 7 2" xfId="8506" xr:uid="{00000000-0005-0000-0000-000047210000}"/>
    <cellStyle name="Normal 4 2 7 3" xfId="8507" xr:uid="{00000000-0005-0000-0000-000048210000}"/>
    <cellStyle name="Normal 4 2 7 4" xfId="8508" xr:uid="{00000000-0005-0000-0000-000049210000}"/>
    <cellStyle name="Normal 4 2 7 5" xfId="8509" xr:uid="{00000000-0005-0000-0000-00004A210000}"/>
    <cellStyle name="Normal 4 2 8" xfId="8510" xr:uid="{00000000-0005-0000-0000-00004B210000}"/>
    <cellStyle name="Normal 4 2 8 2" xfId="8511" xr:uid="{00000000-0005-0000-0000-00004C210000}"/>
    <cellStyle name="Normal 4 2 8 3" xfId="8512" xr:uid="{00000000-0005-0000-0000-00004D210000}"/>
    <cellStyle name="Normal 4 2 8 4" xfId="8513" xr:uid="{00000000-0005-0000-0000-00004E210000}"/>
    <cellStyle name="Normal 4 2 8 5" xfId="8514" xr:uid="{00000000-0005-0000-0000-00004F210000}"/>
    <cellStyle name="Normal 4 2 9" xfId="8515" xr:uid="{00000000-0005-0000-0000-000050210000}"/>
    <cellStyle name="Normal 4 2 9 2" xfId="8516" xr:uid="{00000000-0005-0000-0000-000051210000}"/>
    <cellStyle name="Normal 4 2 9 2 2" xfId="8517" xr:uid="{00000000-0005-0000-0000-000052210000}"/>
    <cellStyle name="Normal 4 2 9 2 3" xfId="8518" xr:uid="{00000000-0005-0000-0000-000053210000}"/>
    <cellStyle name="Normal 4 2 9 3" xfId="8519" xr:uid="{00000000-0005-0000-0000-000054210000}"/>
    <cellStyle name="Normal 4 2 9 3 2" xfId="8520" xr:uid="{00000000-0005-0000-0000-000055210000}"/>
    <cellStyle name="Normal 4 2 9 3 2 2" xfId="8521" xr:uid="{00000000-0005-0000-0000-000056210000}"/>
    <cellStyle name="Normal 4 2 9 3 2 3" xfId="8522" xr:uid="{00000000-0005-0000-0000-000057210000}"/>
    <cellStyle name="Normal 4 2 9 3 3" xfId="8523" xr:uid="{00000000-0005-0000-0000-000058210000}"/>
    <cellStyle name="Normal 4 2 9 3 4" xfId="8524" xr:uid="{00000000-0005-0000-0000-000059210000}"/>
    <cellStyle name="Normal 4 2 9 4" xfId="8525" xr:uid="{00000000-0005-0000-0000-00005A210000}"/>
    <cellStyle name="Normal 4 2 9 5" xfId="8526" xr:uid="{00000000-0005-0000-0000-00005B210000}"/>
    <cellStyle name="Normal 4 2 9 6" xfId="8527" xr:uid="{00000000-0005-0000-0000-00005C210000}"/>
    <cellStyle name="Normal 4 2 9 7" xfId="8528" xr:uid="{00000000-0005-0000-0000-00005D210000}"/>
    <cellStyle name="Normal 4 2_Scen_XBase" xfId="8529" xr:uid="{00000000-0005-0000-0000-00005E210000}"/>
    <cellStyle name="Normal 4 3" xfId="8530" xr:uid="{00000000-0005-0000-0000-00005F210000}"/>
    <cellStyle name="Normal 4 3 10" xfId="8531" xr:uid="{00000000-0005-0000-0000-000060210000}"/>
    <cellStyle name="Normal 4 3 10 2" xfId="8532" xr:uid="{00000000-0005-0000-0000-000061210000}"/>
    <cellStyle name="Normal 4 3 10 2 2" xfId="8533" xr:uid="{00000000-0005-0000-0000-000062210000}"/>
    <cellStyle name="Normal 4 3 10 2 2 2" xfId="8534" xr:uid="{00000000-0005-0000-0000-000063210000}"/>
    <cellStyle name="Normal 4 3 10 2 2 3" xfId="8535" xr:uid="{00000000-0005-0000-0000-000064210000}"/>
    <cellStyle name="Normal 4 3 10 2 3" xfId="8536" xr:uid="{00000000-0005-0000-0000-000065210000}"/>
    <cellStyle name="Normal 4 3 10 2 4" xfId="8537" xr:uid="{00000000-0005-0000-0000-000066210000}"/>
    <cellStyle name="Normal 4 3 10 3" xfId="8538" xr:uid="{00000000-0005-0000-0000-000067210000}"/>
    <cellStyle name="Normal 4 3 10 3 2" xfId="8539" xr:uid="{00000000-0005-0000-0000-000068210000}"/>
    <cellStyle name="Normal 4 3 10 3 2 2" xfId="8540" xr:uid="{00000000-0005-0000-0000-000069210000}"/>
    <cellStyle name="Normal 4 3 10 3 2 3" xfId="8541" xr:uid="{00000000-0005-0000-0000-00006A210000}"/>
    <cellStyle name="Normal 4 3 10 3 3" xfId="8542" xr:uid="{00000000-0005-0000-0000-00006B210000}"/>
    <cellStyle name="Normal 4 3 10 3 4" xfId="8543" xr:uid="{00000000-0005-0000-0000-00006C210000}"/>
    <cellStyle name="Normal 4 3 10 4" xfId="8544" xr:uid="{00000000-0005-0000-0000-00006D210000}"/>
    <cellStyle name="Normal 4 3 10 4 2" xfId="8545" xr:uid="{00000000-0005-0000-0000-00006E210000}"/>
    <cellStyle name="Normal 4 3 10 4 3" xfId="8546" xr:uid="{00000000-0005-0000-0000-00006F210000}"/>
    <cellStyle name="Normal 4 3 10 5" xfId="8547" xr:uid="{00000000-0005-0000-0000-000070210000}"/>
    <cellStyle name="Normal 4 3 10 6" xfId="8548" xr:uid="{00000000-0005-0000-0000-000071210000}"/>
    <cellStyle name="Normal 4 3 10 7" xfId="8549" xr:uid="{00000000-0005-0000-0000-000072210000}"/>
    <cellStyle name="Normal 4 3 11" xfId="8550" xr:uid="{00000000-0005-0000-0000-000073210000}"/>
    <cellStyle name="Normal 4 3 11 2" xfId="8551" xr:uid="{00000000-0005-0000-0000-000074210000}"/>
    <cellStyle name="Normal 4 3 11 2 2" xfId="8552" xr:uid="{00000000-0005-0000-0000-000075210000}"/>
    <cellStyle name="Normal 4 3 11 2 2 2" xfId="8553" xr:uid="{00000000-0005-0000-0000-000076210000}"/>
    <cellStyle name="Normal 4 3 11 2 2 3" xfId="8554" xr:uid="{00000000-0005-0000-0000-000077210000}"/>
    <cellStyle name="Normal 4 3 11 2 3" xfId="8555" xr:uid="{00000000-0005-0000-0000-000078210000}"/>
    <cellStyle name="Normal 4 3 11 2 4" xfId="8556" xr:uid="{00000000-0005-0000-0000-000079210000}"/>
    <cellStyle name="Normal 4 3 11 3" xfId="8557" xr:uid="{00000000-0005-0000-0000-00007A210000}"/>
    <cellStyle name="Normal 4 3 11 3 2" xfId="8558" xr:uid="{00000000-0005-0000-0000-00007B210000}"/>
    <cellStyle name="Normal 4 3 11 3 3" xfId="8559" xr:uid="{00000000-0005-0000-0000-00007C210000}"/>
    <cellStyle name="Normal 4 3 11 4" xfId="8560" xr:uid="{00000000-0005-0000-0000-00007D210000}"/>
    <cellStyle name="Normal 4 3 11 5" xfId="8561" xr:uid="{00000000-0005-0000-0000-00007E210000}"/>
    <cellStyle name="Normal 4 3 11 6" xfId="8562" xr:uid="{00000000-0005-0000-0000-00007F210000}"/>
    <cellStyle name="Normal 4 3 12" xfId="8563" xr:uid="{00000000-0005-0000-0000-000080210000}"/>
    <cellStyle name="Normal 4 3 12 2" xfId="8564" xr:uid="{00000000-0005-0000-0000-000081210000}"/>
    <cellStyle name="Normal 4 3 12 3" xfId="8565" xr:uid="{00000000-0005-0000-0000-000082210000}"/>
    <cellStyle name="Normal 4 3 13" xfId="8566" xr:uid="{00000000-0005-0000-0000-000083210000}"/>
    <cellStyle name="Normal 4 3 14" xfId="8567" xr:uid="{00000000-0005-0000-0000-000084210000}"/>
    <cellStyle name="Normal 4 3 15" xfId="8568" xr:uid="{00000000-0005-0000-0000-000085210000}"/>
    <cellStyle name="Normal 4 3 16" xfId="8569" xr:uid="{00000000-0005-0000-0000-000086210000}"/>
    <cellStyle name="Normal 4 3 2" xfId="8570" xr:uid="{00000000-0005-0000-0000-000087210000}"/>
    <cellStyle name="Normal 4 3 2 2" xfId="8571" xr:uid="{00000000-0005-0000-0000-000088210000}"/>
    <cellStyle name="Normal 4 3 2 2 2" xfId="8572" xr:uid="{00000000-0005-0000-0000-000089210000}"/>
    <cellStyle name="Normal 4 3 2 2 3" xfId="8573" xr:uid="{00000000-0005-0000-0000-00008A210000}"/>
    <cellStyle name="Normal 4 3 2 2 4" xfId="8574" xr:uid="{00000000-0005-0000-0000-00008B210000}"/>
    <cellStyle name="Normal 4 3 2 3" xfId="8575" xr:uid="{00000000-0005-0000-0000-00008C210000}"/>
    <cellStyle name="Normal 4 3 2 3 2" xfId="8576" xr:uid="{00000000-0005-0000-0000-00008D210000}"/>
    <cellStyle name="Normal 4 3 2 3 3" xfId="8577" xr:uid="{00000000-0005-0000-0000-00008E210000}"/>
    <cellStyle name="Normal 4 3 2 3 4" xfId="8578" xr:uid="{00000000-0005-0000-0000-00008F210000}"/>
    <cellStyle name="Normal 4 3 2 4" xfId="8579" xr:uid="{00000000-0005-0000-0000-000090210000}"/>
    <cellStyle name="Normal 4 3 2 5" xfId="8580" xr:uid="{00000000-0005-0000-0000-000091210000}"/>
    <cellStyle name="Normal 4 3 2 6" xfId="8581" xr:uid="{00000000-0005-0000-0000-000092210000}"/>
    <cellStyle name="Normal 4 3 2 7" xfId="8582" xr:uid="{00000000-0005-0000-0000-000093210000}"/>
    <cellStyle name="Normal 4 3 3" xfId="8583" xr:uid="{00000000-0005-0000-0000-000094210000}"/>
    <cellStyle name="Normal 4 3 3 10" xfId="8584" xr:uid="{00000000-0005-0000-0000-000095210000}"/>
    <cellStyle name="Normal 4 3 3 2" xfId="8585" xr:uid="{00000000-0005-0000-0000-000096210000}"/>
    <cellStyle name="Normal 4 3 3 2 2" xfId="8586" xr:uid="{00000000-0005-0000-0000-000097210000}"/>
    <cellStyle name="Normal 4 3 3 2 2 2" xfId="8587" xr:uid="{00000000-0005-0000-0000-000098210000}"/>
    <cellStyle name="Normal 4 3 3 2 2 2 2" xfId="8588" xr:uid="{00000000-0005-0000-0000-000099210000}"/>
    <cellStyle name="Normal 4 3 3 2 2 2 2 2" xfId="8589" xr:uid="{00000000-0005-0000-0000-00009A210000}"/>
    <cellStyle name="Normal 4 3 3 2 2 2 2 3" xfId="8590" xr:uid="{00000000-0005-0000-0000-00009B210000}"/>
    <cellStyle name="Normal 4 3 3 2 2 2 3" xfId="8591" xr:uid="{00000000-0005-0000-0000-00009C210000}"/>
    <cellStyle name="Normal 4 3 3 2 2 2 4" xfId="8592" xr:uid="{00000000-0005-0000-0000-00009D210000}"/>
    <cellStyle name="Normal 4 3 3 2 2 3" xfId="8593" xr:uid="{00000000-0005-0000-0000-00009E210000}"/>
    <cellStyle name="Normal 4 3 3 2 2 3 2" xfId="8594" xr:uid="{00000000-0005-0000-0000-00009F210000}"/>
    <cellStyle name="Normal 4 3 3 2 2 3 2 2" xfId="8595" xr:uid="{00000000-0005-0000-0000-0000A0210000}"/>
    <cellStyle name="Normal 4 3 3 2 2 3 2 3" xfId="8596" xr:uid="{00000000-0005-0000-0000-0000A1210000}"/>
    <cellStyle name="Normal 4 3 3 2 2 3 3" xfId="8597" xr:uid="{00000000-0005-0000-0000-0000A2210000}"/>
    <cellStyle name="Normal 4 3 3 2 2 3 4" xfId="8598" xr:uid="{00000000-0005-0000-0000-0000A3210000}"/>
    <cellStyle name="Normal 4 3 3 2 2 4" xfId="8599" xr:uid="{00000000-0005-0000-0000-0000A4210000}"/>
    <cellStyle name="Normal 4 3 3 2 2 4 2" xfId="8600" xr:uid="{00000000-0005-0000-0000-0000A5210000}"/>
    <cellStyle name="Normal 4 3 3 2 2 4 3" xfId="8601" xr:uid="{00000000-0005-0000-0000-0000A6210000}"/>
    <cellStyle name="Normal 4 3 3 2 2 5" xfId="8602" xr:uid="{00000000-0005-0000-0000-0000A7210000}"/>
    <cellStyle name="Normal 4 3 3 2 2 6" xfId="8603" xr:uid="{00000000-0005-0000-0000-0000A8210000}"/>
    <cellStyle name="Normal 4 3 3 2 2 7" xfId="8604" xr:uid="{00000000-0005-0000-0000-0000A9210000}"/>
    <cellStyle name="Normal 4 3 3 2 3" xfId="8605" xr:uid="{00000000-0005-0000-0000-0000AA210000}"/>
    <cellStyle name="Normal 4 3 3 2 3 2" xfId="8606" xr:uid="{00000000-0005-0000-0000-0000AB210000}"/>
    <cellStyle name="Normal 4 3 3 2 3 2 2" xfId="8607" xr:uid="{00000000-0005-0000-0000-0000AC210000}"/>
    <cellStyle name="Normal 4 3 3 2 3 2 3" xfId="8608" xr:uid="{00000000-0005-0000-0000-0000AD210000}"/>
    <cellStyle name="Normal 4 3 3 2 3 3" xfId="8609" xr:uid="{00000000-0005-0000-0000-0000AE210000}"/>
    <cellStyle name="Normal 4 3 3 2 3 4" xfId="8610" xr:uid="{00000000-0005-0000-0000-0000AF210000}"/>
    <cellStyle name="Normal 4 3 3 2 4" xfId="8611" xr:uid="{00000000-0005-0000-0000-0000B0210000}"/>
    <cellStyle name="Normal 4 3 3 2 4 2" xfId="8612" xr:uid="{00000000-0005-0000-0000-0000B1210000}"/>
    <cellStyle name="Normal 4 3 3 2 4 2 2" xfId="8613" xr:uid="{00000000-0005-0000-0000-0000B2210000}"/>
    <cellStyle name="Normal 4 3 3 2 4 2 3" xfId="8614" xr:uid="{00000000-0005-0000-0000-0000B3210000}"/>
    <cellStyle name="Normal 4 3 3 2 4 3" xfId="8615" xr:uid="{00000000-0005-0000-0000-0000B4210000}"/>
    <cellStyle name="Normal 4 3 3 2 4 4" xfId="8616" xr:uid="{00000000-0005-0000-0000-0000B5210000}"/>
    <cellStyle name="Normal 4 3 3 2 5" xfId="8617" xr:uid="{00000000-0005-0000-0000-0000B6210000}"/>
    <cellStyle name="Normal 4 3 3 2 5 2" xfId="8618" xr:uid="{00000000-0005-0000-0000-0000B7210000}"/>
    <cellStyle name="Normal 4 3 3 2 5 3" xfId="8619" xr:uid="{00000000-0005-0000-0000-0000B8210000}"/>
    <cellStyle name="Normal 4 3 3 2 6" xfId="8620" xr:uid="{00000000-0005-0000-0000-0000B9210000}"/>
    <cellStyle name="Normal 4 3 3 2 7" xfId="8621" xr:uid="{00000000-0005-0000-0000-0000BA210000}"/>
    <cellStyle name="Normal 4 3 3 2 8" xfId="8622" xr:uid="{00000000-0005-0000-0000-0000BB210000}"/>
    <cellStyle name="Normal 4 3 3 3" xfId="8623" xr:uid="{00000000-0005-0000-0000-0000BC210000}"/>
    <cellStyle name="Normal 4 3 3 3 2" xfId="8624" xr:uid="{00000000-0005-0000-0000-0000BD210000}"/>
    <cellStyle name="Normal 4 3 3 3 3" xfId="8625" xr:uid="{00000000-0005-0000-0000-0000BE210000}"/>
    <cellStyle name="Normal 4 3 3 3 4" xfId="8626" xr:uid="{00000000-0005-0000-0000-0000BF210000}"/>
    <cellStyle name="Normal 4 3 3 4" xfId="8627" xr:uid="{00000000-0005-0000-0000-0000C0210000}"/>
    <cellStyle name="Normal 4 3 3 4 2" xfId="8628" xr:uid="{00000000-0005-0000-0000-0000C1210000}"/>
    <cellStyle name="Normal 4 3 3 4 2 2" xfId="8629" xr:uid="{00000000-0005-0000-0000-0000C2210000}"/>
    <cellStyle name="Normal 4 3 3 4 2 2 2" xfId="8630" xr:uid="{00000000-0005-0000-0000-0000C3210000}"/>
    <cellStyle name="Normal 4 3 3 4 2 2 3" xfId="8631" xr:uid="{00000000-0005-0000-0000-0000C4210000}"/>
    <cellStyle name="Normal 4 3 3 4 2 3" xfId="8632" xr:uid="{00000000-0005-0000-0000-0000C5210000}"/>
    <cellStyle name="Normal 4 3 3 4 2 4" xfId="8633" xr:uid="{00000000-0005-0000-0000-0000C6210000}"/>
    <cellStyle name="Normal 4 3 3 4 3" xfId="8634" xr:uid="{00000000-0005-0000-0000-0000C7210000}"/>
    <cellStyle name="Normal 4 3 3 4 3 2" xfId="8635" xr:uid="{00000000-0005-0000-0000-0000C8210000}"/>
    <cellStyle name="Normal 4 3 3 4 3 2 2" xfId="8636" xr:uid="{00000000-0005-0000-0000-0000C9210000}"/>
    <cellStyle name="Normal 4 3 3 4 3 2 3" xfId="8637" xr:uid="{00000000-0005-0000-0000-0000CA210000}"/>
    <cellStyle name="Normal 4 3 3 4 3 3" xfId="8638" xr:uid="{00000000-0005-0000-0000-0000CB210000}"/>
    <cellStyle name="Normal 4 3 3 4 3 4" xfId="8639" xr:uid="{00000000-0005-0000-0000-0000CC210000}"/>
    <cellStyle name="Normal 4 3 3 4 4" xfId="8640" xr:uid="{00000000-0005-0000-0000-0000CD210000}"/>
    <cellStyle name="Normal 4 3 3 4 4 2" xfId="8641" xr:uid="{00000000-0005-0000-0000-0000CE210000}"/>
    <cellStyle name="Normal 4 3 3 4 4 3" xfId="8642" xr:uid="{00000000-0005-0000-0000-0000CF210000}"/>
    <cellStyle name="Normal 4 3 3 4 5" xfId="8643" xr:uid="{00000000-0005-0000-0000-0000D0210000}"/>
    <cellStyle name="Normal 4 3 3 4 6" xfId="8644" xr:uid="{00000000-0005-0000-0000-0000D1210000}"/>
    <cellStyle name="Normal 4 3 3 4 7" xfId="8645" xr:uid="{00000000-0005-0000-0000-0000D2210000}"/>
    <cellStyle name="Normal 4 3 3 5" xfId="8646" xr:uid="{00000000-0005-0000-0000-0000D3210000}"/>
    <cellStyle name="Normal 4 3 3 5 2" xfId="8647" xr:uid="{00000000-0005-0000-0000-0000D4210000}"/>
    <cellStyle name="Normal 4 3 3 5 2 2" xfId="8648" xr:uid="{00000000-0005-0000-0000-0000D5210000}"/>
    <cellStyle name="Normal 4 3 3 5 2 2 2" xfId="8649" xr:uid="{00000000-0005-0000-0000-0000D6210000}"/>
    <cellStyle name="Normal 4 3 3 5 2 2 3" xfId="8650" xr:uid="{00000000-0005-0000-0000-0000D7210000}"/>
    <cellStyle name="Normal 4 3 3 5 2 3" xfId="8651" xr:uid="{00000000-0005-0000-0000-0000D8210000}"/>
    <cellStyle name="Normal 4 3 3 5 2 4" xfId="8652" xr:uid="{00000000-0005-0000-0000-0000D9210000}"/>
    <cellStyle name="Normal 4 3 3 5 3" xfId="8653" xr:uid="{00000000-0005-0000-0000-0000DA210000}"/>
    <cellStyle name="Normal 4 3 3 5 3 2" xfId="8654" xr:uid="{00000000-0005-0000-0000-0000DB210000}"/>
    <cellStyle name="Normal 4 3 3 5 3 3" xfId="8655" xr:uid="{00000000-0005-0000-0000-0000DC210000}"/>
    <cellStyle name="Normal 4 3 3 5 4" xfId="8656" xr:uid="{00000000-0005-0000-0000-0000DD210000}"/>
    <cellStyle name="Normal 4 3 3 5 5" xfId="8657" xr:uid="{00000000-0005-0000-0000-0000DE210000}"/>
    <cellStyle name="Normal 4 3 3 5 6" xfId="8658" xr:uid="{00000000-0005-0000-0000-0000DF210000}"/>
    <cellStyle name="Normal 4 3 3 6" xfId="8659" xr:uid="{00000000-0005-0000-0000-0000E0210000}"/>
    <cellStyle name="Normal 4 3 3 6 2" xfId="8660" xr:uid="{00000000-0005-0000-0000-0000E1210000}"/>
    <cellStyle name="Normal 4 3 3 6 3" xfId="8661" xr:uid="{00000000-0005-0000-0000-0000E2210000}"/>
    <cellStyle name="Normal 4 3 3 7" xfId="8662" xr:uid="{00000000-0005-0000-0000-0000E3210000}"/>
    <cellStyle name="Normal 4 3 3 8" xfId="8663" xr:uid="{00000000-0005-0000-0000-0000E4210000}"/>
    <cellStyle name="Normal 4 3 3 9" xfId="8664" xr:uid="{00000000-0005-0000-0000-0000E5210000}"/>
    <cellStyle name="Normal 4 3 4" xfId="8665" xr:uid="{00000000-0005-0000-0000-0000E6210000}"/>
    <cellStyle name="Normal 4 3 4 10" xfId="8666" xr:uid="{00000000-0005-0000-0000-0000E7210000}"/>
    <cellStyle name="Normal 4 3 4 2" xfId="8667" xr:uid="{00000000-0005-0000-0000-0000E8210000}"/>
    <cellStyle name="Normal 4 3 4 2 2" xfId="8668" xr:uid="{00000000-0005-0000-0000-0000E9210000}"/>
    <cellStyle name="Normal 4 3 4 2 3" xfId="8669" xr:uid="{00000000-0005-0000-0000-0000EA210000}"/>
    <cellStyle name="Normal 4 3 4 2 4" xfId="8670" xr:uid="{00000000-0005-0000-0000-0000EB210000}"/>
    <cellStyle name="Normal 4 3 4 3" xfId="8671" xr:uid="{00000000-0005-0000-0000-0000EC210000}"/>
    <cellStyle name="Normal 4 3 4 3 2" xfId="8672" xr:uid="{00000000-0005-0000-0000-0000ED210000}"/>
    <cellStyle name="Normal 4 3 4 3 3" xfId="8673" xr:uid="{00000000-0005-0000-0000-0000EE210000}"/>
    <cellStyle name="Normal 4 3 4 3 4" xfId="8674" xr:uid="{00000000-0005-0000-0000-0000EF210000}"/>
    <cellStyle name="Normal 4 3 4 4" xfId="8675" xr:uid="{00000000-0005-0000-0000-0000F0210000}"/>
    <cellStyle name="Normal 4 3 4 4 2" xfId="8676" xr:uid="{00000000-0005-0000-0000-0000F1210000}"/>
    <cellStyle name="Normal 4 3 4 4 2 2" xfId="8677" xr:uid="{00000000-0005-0000-0000-0000F2210000}"/>
    <cellStyle name="Normal 4 3 4 4 2 2 2" xfId="8678" xr:uid="{00000000-0005-0000-0000-0000F3210000}"/>
    <cellStyle name="Normal 4 3 4 4 2 2 3" xfId="8679" xr:uid="{00000000-0005-0000-0000-0000F4210000}"/>
    <cellStyle name="Normal 4 3 4 4 2 3" xfId="8680" xr:uid="{00000000-0005-0000-0000-0000F5210000}"/>
    <cellStyle name="Normal 4 3 4 4 2 4" xfId="8681" xr:uid="{00000000-0005-0000-0000-0000F6210000}"/>
    <cellStyle name="Normal 4 3 4 4 3" xfId="8682" xr:uid="{00000000-0005-0000-0000-0000F7210000}"/>
    <cellStyle name="Normal 4 3 4 4 3 2" xfId="8683" xr:uid="{00000000-0005-0000-0000-0000F8210000}"/>
    <cellStyle name="Normal 4 3 4 4 3 2 2" xfId="8684" xr:uid="{00000000-0005-0000-0000-0000F9210000}"/>
    <cellStyle name="Normal 4 3 4 4 3 2 3" xfId="8685" xr:uid="{00000000-0005-0000-0000-0000FA210000}"/>
    <cellStyle name="Normal 4 3 4 4 3 3" xfId="8686" xr:uid="{00000000-0005-0000-0000-0000FB210000}"/>
    <cellStyle name="Normal 4 3 4 4 3 4" xfId="8687" xr:uid="{00000000-0005-0000-0000-0000FC210000}"/>
    <cellStyle name="Normal 4 3 4 4 4" xfId="8688" xr:uid="{00000000-0005-0000-0000-0000FD210000}"/>
    <cellStyle name="Normal 4 3 4 4 4 2" xfId="8689" xr:uid="{00000000-0005-0000-0000-0000FE210000}"/>
    <cellStyle name="Normal 4 3 4 4 4 3" xfId="8690" xr:uid="{00000000-0005-0000-0000-0000FF210000}"/>
    <cellStyle name="Normal 4 3 4 4 5" xfId="8691" xr:uid="{00000000-0005-0000-0000-000000220000}"/>
    <cellStyle name="Normal 4 3 4 4 6" xfId="8692" xr:uid="{00000000-0005-0000-0000-000001220000}"/>
    <cellStyle name="Normal 4 3 4 4 7" xfId="8693" xr:uid="{00000000-0005-0000-0000-000002220000}"/>
    <cellStyle name="Normal 4 3 4 5" xfId="8694" xr:uid="{00000000-0005-0000-0000-000003220000}"/>
    <cellStyle name="Normal 4 3 4 5 2" xfId="8695" xr:uid="{00000000-0005-0000-0000-000004220000}"/>
    <cellStyle name="Normal 4 3 4 5 2 2" xfId="8696" xr:uid="{00000000-0005-0000-0000-000005220000}"/>
    <cellStyle name="Normal 4 3 4 5 2 2 2" xfId="8697" xr:uid="{00000000-0005-0000-0000-000006220000}"/>
    <cellStyle name="Normal 4 3 4 5 2 2 3" xfId="8698" xr:uid="{00000000-0005-0000-0000-000007220000}"/>
    <cellStyle name="Normal 4 3 4 5 2 3" xfId="8699" xr:uid="{00000000-0005-0000-0000-000008220000}"/>
    <cellStyle name="Normal 4 3 4 5 2 4" xfId="8700" xr:uid="{00000000-0005-0000-0000-000009220000}"/>
    <cellStyle name="Normal 4 3 4 5 3" xfId="8701" xr:uid="{00000000-0005-0000-0000-00000A220000}"/>
    <cellStyle name="Normal 4 3 4 5 3 2" xfId="8702" xr:uid="{00000000-0005-0000-0000-00000B220000}"/>
    <cellStyle name="Normal 4 3 4 5 3 3" xfId="8703" xr:uid="{00000000-0005-0000-0000-00000C220000}"/>
    <cellStyle name="Normal 4 3 4 5 4" xfId="8704" xr:uid="{00000000-0005-0000-0000-00000D220000}"/>
    <cellStyle name="Normal 4 3 4 5 5" xfId="8705" xr:uid="{00000000-0005-0000-0000-00000E220000}"/>
    <cellStyle name="Normal 4 3 4 5 6" xfId="8706" xr:uid="{00000000-0005-0000-0000-00000F220000}"/>
    <cellStyle name="Normal 4 3 4 6" xfId="8707" xr:uid="{00000000-0005-0000-0000-000010220000}"/>
    <cellStyle name="Normal 4 3 4 6 2" xfId="8708" xr:uid="{00000000-0005-0000-0000-000011220000}"/>
    <cellStyle name="Normal 4 3 4 6 3" xfId="8709" xr:uid="{00000000-0005-0000-0000-000012220000}"/>
    <cellStyle name="Normal 4 3 4 7" xfId="8710" xr:uid="{00000000-0005-0000-0000-000013220000}"/>
    <cellStyle name="Normal 4 3 4 8" xfId="8711" xr:uid="{00000000-0005-0000-0000-000014220000}"/>
    <cellStyle name="Normal 4 3 4 9" xfId="8712" xr:uid="{00000000-0005-0000-0000-000015220000}"/>
    <cellStyle name="Normal 4 3 5" xfId="8713" xr:uid="{00000000-0005-0000-0000-000016220000}"/>
    <cellStyle name="Normal 4 3 5 2" xfId="8714" xr:uid="{00000000-0005-0000-0000-000017220000}"/>
    <cellStyle name="Normal 4 3 5 2 2" xfId="8715" xr:uid="{00000000-0005-0000-0000-000018220000}"/>
    <cellStyle name="Normal 4 3 5 2 3" xfId="8716" xr:uid="{00000000-0005-0000-0000-000019220000}"/>
    <cellStyle name="Normal 4 3 5 2 4" xfId="8717" xr:uid="{00000000-0005-0000-0000-00001A220000}"/>
    <cellStyle name="Normal 4 3 5 3" xfId="8718" xr:uid="{00000000-0005-0000-0000-00001B220000}"/>
    <cellStyle name="Normal 4 3 5 3 2" xfId="8719" xr:uid="{00000000-0005-0000-0000-00001C220000}"/>
    <cellStyle name="Normal 4 3 5 3 2 2" xfId="8720" xr:uid="{00000000-0005-0000-0000-00001D220000}"/>
    <cellStyle name="Normal 4 3 5 3 2 2 2" xfId="8721" xr:uid="{00000000-0005-0000-0000-00001E220000}"/>
    <cellStyle name="Normal 4 3 5 3 2 2 3" xfId="8722" xr:uid="{00000000-0005-0000-0000-00001F220000}"/>
    <cellStyle name="Normal 4 3 5 3 2 3" xfId="8723" xr:uid="{00000000-0005-0000-0000-000020220000}"/>
    <cellStyle name="Normal 4 3 5 3 2 4" xfId="8724" xr:uid="{00000000-0005-0000-0000-000021220000}"/>
    <cellStyle name="Normal 4 3 5 3 3" xfId="8725" xr:uid="{00000000-0005-0000-0000-000022220000}"/>
    <cellStyle name="Normal 4 3 5 3 3 2" xfId="8726" xr:uid="{00000000-0005-0000-0000-000023220000}"/>
    <cellStyle name="Normal 4 3 5 3 3 2 2" xfId="8727" xr:uid="{00000000-0005-0000-0000-000024220000}"/>
    <cellStyle name="Normal 4 3 5 3 3 2 3" xfId="8728" xr:uid="{00000000-0005-0000-0000-000025220000}"/>
    <cellStyle name="Normal 4 3 5 3 3 3" xfId="8729" xr:uid="{00000000-0005-0000-0000-000026220000}"/>
    <cellStyle name="Normal 4 3 5 3 3 4" xfId="8730" xr:uid="{00000000-0005-0000-0000-000027220000}"/>
    <cellStyle name="Normal 4 3 5 3 4" xfId="8731" xr:uid="{00000000-0005-0000-0000-000028220000}"/>
    <cellStyle name="Normal 4 3 5 3 4 2" xfId="8732" xr:uid="{00000000-0005-0000-0000-000029220000}"/>
    <cellStyle name="Normal 4 3 5 3 4 3" xfId="8733" xr:uid="{00000000-0005-0000-0000-00002A220000}"/>
    <cellStyle name="Normal 4 3 5 3 5" xfId="8734" xr:uid="{00000000-0005-0000-0000-00002B220000}"/>
    <cellStyle name="Normal 4 3 5 3 6" xfId="8735" xr:uid="{00000000-0005-0000-0000-00002C220000}"/>
    <cellStyle name="Normal 4 3 5 3 7" xfId="8736" xr:uid="{00000000-0005-0000-0000-00002D220000}"/>
    <cellStyle name="Normal 4 3 5 4" xfId="8737" xr:uid="{00000000-0005-0000-0000-00002E220000}"/>
    <cellStyle name="Normal 4 3 5 4 2" xfId="8738" xr:uid="{00000000-0005-0000-0000-00002F220000}"/>
    <cellStyle name="Normal 4 3 5 4 2 2" xfId="8739" xr:uid="{00000000-0005-0000-0000-000030220000}"/>
    <cellStyle name="Normal 4 3 5 4 2 2 2" xfId="8740" xr:uid="{00000000-0005-0000-0000-000031220000}"/>
    <cellStyle name="Normal 4 3 5 4 2 2 3" xfId="8741" xr:uid="{00000000-0005-0000-0000-000032220000}"/>
    <cellStyle name="Normal 4 3 5 4 2 3" xfId="8742" xr:uid="{00000000-0005-0000-0000-000033220000}"/>
    <cellStyle name="Normal 4 3 5 4 2 4" xfId="8743" xr:uid="{00000000-0005-0000-0000-000034220000}"/>
    <cellStyle name="Normal 4 3 5 4 3" xfId="8744" xr:uid="{00000000-0005-0000-0000-000035220000}"/>
    <cellStyle name="Normal 4 3 5 4 3 2" xfId="8745" xr:uid="{00000000-0005-0000-0000-000036220000}"/>
    <cellStyle name="Normal 4 3 5 4 3 3" xfId="8746" xr:uid="{00000000-0005-0000-0000-000037220000}"/>
    <cellStyle name="Normal 4 3 5 4 4" xfId="8747" xr:uid="{00000000-0005-0000-0000-000038220000}"/>
    <cellStyle name="Normal 4 3 5 4 5" xfId="8748" xr:uid="{00000000-0005-0000-0000-000039220000}"/>
    <cellStyle name="Normal 4 3 5 4 6" xfId="8749" xr:uid="{00000000-0005-0000-0000-00003A220000}"/>
    <cellStyle name="Normal 4 3 5 5" xfId="8750" xr:uid="{00000000-0005-0000-0000-00003B220000}"/>
    <cellStyle name="Normal 4 3 5 5 2" xfId="8751" xr:uid="{00000000-0005-0000-0000-00003C220000}"/>
    <cellStyle name="Normal 4 3 5 5 3" xfId="8752" xr:uid="{00000000-0005-0000-0000-00003D220000}"/>
    <cellStyle name="Normal 4 3 5 6" xfId="8753" xr:uid="{00000000-0005-0000-0000-00003E220000}"/>
    <cellStyle name="Normal 4 3 5 7" xfId="8754" xr:uid="{00000000-0005-0000-0000-00003F220000}"/>
    <cellStyle name="Normal 4 3 5 8" xfId="8755" xr:uid="{00000000-0005-0000-0000-000040220000}"/>
    <cellStyle name="Normal 4 3 5 9" xfId="8756" xr:uid="{00000000-0005-0000-0000-000041220000}"/>
    <cellStyle name="Normal 4 3 6" xfId="8757" xr:uid="{00000000-0005-0000-0000-000042220000}"/>
    <cellStyle name="Normal 4 3 6 2" xfId="8758" xr:uid="{00000000-0005-0000-0000-000043220000}"/>
    <cellStyle name="Normal 4 3 6 3" xfId="8759" xr:uid="{00000000-0005-0000-0000-000044220000}"/>
    <cellStyle name="Normal 4 3 6 4" xfId="8760" xr:uid="{00000000-0005-0000-0000-000045220000}"/>
    <cellStyle name="Normal 4 3 6 5" xfId="8761" xr:uid="{00000000-0005-0000-0000-000046220000}"/>
    <cellStyle name="Normal 4 3 7" xfId="8762" xr:uid="{00000000-0005-0000-0000-000047220000}"/>
    <cellStyle name="Normal 4 3 7 2" xfId="8763" xr:uid="{00000000-0005-0000-0000-000048220000}"/>
    <cellStyle name="Normal 4 3 7 3" xfId="8764" xr:uid="{00000000-0005-0000-0000-000049220000}"/>
    <cellStyle name="Normal 4 3 7 4" xfId="8765" xr:uid="{00000000-0005-0000-0000-00004A220000}"/>
    <cellStyle name="Normal 4 3 7 5" xfId="8766" xr:uid="{00000000-0005-0000-0000-00004B220000}"/>
    <cellStyle name="Normal 4 3 8" xfId="8767" xr:uid="{00000000-0005-0000-0000-00004C220000}"/>
    <cellStyle name="Normal 4 3 8 2" xfId="8768" xr:uid="{00000000-0005-0000-0000-00004D220000}"/>
    <cellStyle name="Normal 4 3 8 3" xfId="8769" xr:uid="{00000000-0005-0000-0000-00004E220000}"/>
    <cellStyle name="Normal 4 3 8 4" xfId="8770" xr:uid="{00000000-0005-0000-0000-00004F220000}"/>
    <cellStyle name="Normal 4 3 8 5" xfId="8771" xr:uid="{00000000-0005-0000-0000-000050220000}"/>
    <cellStyle name="Normal 4 3 9" xfId="8772" xr:uid="{00000000-0005-0000-0000-000051220000}"/>
    <cellStyle name="Normal 4 3 9 2" xfId="8773" xr:uid="{00000000-0005-0000-0000-000052220000}"/>
    <cellStyle name="Normal 4 3 9 2 2" xfId="8774" xr:uid="{00000000-0005-0000-0000-000053220000}"/>
    <cellStyle name="Normal 4 3 9 2 2 2" xfId="8775" xr:uid="{00000000-0005-0000-0000-000054220000}"/>
    <cellStyle name="Normal 4 3 9 2 2 2 2" xfId="8776" xr:uid="{00000000-0005-0000-0000-000055220000}"/>
    <cellStyle name="Normal 4 3 9 2 2 2 3" xfId="8777" xr:uid="{00000000-0005-0000-0000-000056220000}"/>
    <cellStyle name="Normal 4 3 9 2 2 3" xfId="8778" xr:uid="{00000000-0005-0000-0000-000057220000}"/>
    <cellStyle name="Normal 4 3 9 2 2 4" xfId="8779" xr:uid="{00000000-0005-0000-0000-000058220000}"/>
    <cellStyle name="Normal 4 3 9 2 3" xfId="8780" xr:uid="{00000000-0005-0000-0000-000059220000}"/>
    <cellStyle name="Normal 4 3 9 2 3 2" xfId="8781" xr:uid="{00000000-0005-0000-0000-00005A220000}"/>
    <cellStyle name="Normal 4 3 9 2 3 2 2" xfId="8782" xr:uid="{00000000-0005-0000-0000-00005B220000}"/>
    <cellStyle name="Normal 4 3 9 2 3 2 3" xfId="8783" xr:uid="{00000000-0005-0000-0000-00005C220000}"/>
    <cellStyle name="Normal 4 3 9 2 3 3" xfId="8784" xr:uid="{00000000-0005-0000-0000-00005D220000}"/>
    <cellStyle name="Normal 4 3 9 2 3 4" xfId="8785" xr:uid="{00000000-0005-0000-0000-00005E220000}"/>
    <cellStyle name="Normal 4 3 9 2 4" xfId="8786" xr:uid="{00000000-0005-0000-0000-00005F220000}"/>
    <cellStyle name="Normal 4 3 9 2 4 2" xfId="8787" xr:uid="{00000000-0005-0000-0000-000060220000}"/>
    <cellStyle name="Normal 4 3 9 2 4 3" xfId="8788" xr:uid="{00000000-0005-0000-0000-000061220000}"/>
    <cellStyle name="Normal 4 3 9 2 5" xfId="8789" xr:uid="{00000000-0005-0000-0000-000062220000}"/>
    <cellStyle name="Normal 4 3 9 2 6" xfId="8790" xr:uid="{00000000-0005-0000-0000-000063220000}"/>
    <cellStyle name="Normal 4 3 9 2 7" xfId="8791" xr:uid="{00000000-0005-0000-0000-000064220000}"/>
    <cellStyle name="Normal 4 3 9 3" xfId="8792" xr:uid="{00000000-0005-0000-0000-000065220000}"/>
    <cellStyle name="Normal 4 3 9 3 2" xfId="8793" xr:uid="{00000000-0005-0000-0000-000066220000}"/>
    <cellStyle name="Normal 4 3 9 3 2 2" xfId="8794" xr:uid="{00000000-0005-0000-0000-000067220000}"/>
    <cellStyle name="Normal 4 3 9 3 2 3" xfId="8795" xr:uid="{00000000-0005-0000-0000-000068220000}"/>
    <cellStyle name="Normal 4 3 9 3 3" xfId="8796" xr:uid="{00000000-0005-0000-0000-000069220000}"/>
    <cellStyle name="Normal 4 3 9 3 4" xfId="8797" xr:uid="{00000000-0005-0000-0000-00006A220000}"/>
    <cellStyle name="Normal 4 3 9 4" xfId="8798" xr:uid="{00000000-0005-0000-0000-00006B220000}"/>
    <cellStyle name="Normal 4 3 9 4 2" xfId="8799" xr:uid="{00000000-0005-0000-0000-00006C220000}"/>
    <cellStyle name="Normal 4 3 9 4 2 2" xfId="8800" xr:uid="{00000000-0005-0000-0000-00006D220000}"/>
    <cellStyle name="Normal 4 3 9 4 2 3" xfId="8801" xr:uid="{00000000-0005-0000-0000-00006E220000}"/>
    <cellStyle name="Normal 4 3 9 4 3" xfId="8802" xr:uid="{00000000-0005-0000-0000-00006F220000}"/>
    <cellStyle name="Normal 4 3 9 4 4" xfId="8803" xr:uid="{00000000-0005-0000-0000-000070220000}"/>
    <cellStyle name="Normal 4 3 9 5" xfId="8804" xr:uid="{00000000-0005-0000-0000-000071220000}"/>
    <cellStyle name="Normal 4 3 9 5 2" xfId="8805" xr:uid="{00000000-0005-0000-0000-000072220000}"/>
    <cellStyle name="Normal 4 3 9 5 3" xfId="8806" xr:uid="{00000000-0005-0000-0000-000073220000}"/>
    <cellStyle name="Normal 4 3 9 6" xfId="8807" xr:uid="{00000000-0005-0000-0000-000074220000}"/>
    <cellStyle name="Normal 4 3 9 7" xfId="8808" xr:uid="{00000000-0005-0000-0000-000075220000}"/>
    <cellStyle name="Normal 4 3 9 8" xfId="8809" xr:uid="{00000000-0005-0000-0000-000076220000}"/>
    <cellStyle name="Normal 4 3_Scen_XBase" xfId="8810" xr:uid="{00000000-0005-0000-0000-000077220000}"/>
    <cellStyle name="Normal 4 4" xfId="8811" xr:uid="{00000000-0005-0000-0000-000078220000}"/>
    <cellStyle name="Normal 4 4 10" xfId="8812" xr:uid="{00000000-0005-0000-0000-000079220000}"/>
    <cellStyle name="Normal 4 4 11" xfId="8813" xr:uid="{00000000-0005-0000-0000-00007A220000}"/>
    <cellStyle name="Normal 4 4 12" xfId="8814" xr:uid="{00000000-0005-0000-0000-00007B220000}"/>
    <cellStyle name="Normal 4 4 13" xfId="8815" xr:uid="{00000000-0005-0000-0000-00007C220000}"/>
    <cellStyle name="Normal 4 4 2" xfId="8816" xr:uid="{00000000-0005-0000-0000-00007D220000}"/>
    <cellStyle name="Normal 4 4 2 2" xfId="8817" xr:uid="{00000000-0005-0000-0000-00007E220000}"/>
    <cellStyle name="Normal 4 4 2 3" xfId="8818" xr:uid="{00000000-0005-0000-0000-00007F220000}"/>
    <cellStyle name="Normal 4 4 2 4" xfId="8819" xr:uid="{00000000-0005-0000-0000-000080220000}"/>
    <cellStyle name="Normal 4 4 2 5" xfId="8820" xr:uid="{00000000-0005-0000-0000-000081220000}"/>
    <cellStyle name="Normal 4 4 3" xfId="8821" xr:uid="{00000000-0005-0000-0000-000082220000}"/>
    <cellStyle name="Normal 4 4 3 2" xfId="8822" xr:uid="{00000000-0005-0000-0000-000083220000}"/>
    <cellStyle name="Normal 4 4 3 2 2" xfId="8823" xr:uid="{00000000-0005-0000-0000-000084220000}"/>
    <cellStyle name="Normal 4 4 3 2 3" xfId="8824" xr:uid="{00000000-0005-0000-0000-000085220000}"/>
    <cellStyle name="Normal 4 4 3 2 4" xfId="8825" xr:uid="{00000000-0005-0000-0000-000086220000}"/>
    <cellStyle name="Normal 4 4 3 3" xfId="8826" xr:uid="{00000000-0005-0000-0000-000087220000}"/>
    <cellStyle name="Normal 4 4 3 3 2" xfId="8827" xr:uid="{00000000-0005-0000-0000-000088220000}"/>
    <cellStyle name="Normal 4 4 3 3 3" xfId="8828" xr:uid="{00000000-0005-0000-0000-000089220000}"/>
    <cellStyle name="Normal 4 4 3 3 4" xfId="8829" xr:uid="{00000000-0005-0000-0000-00008A220000}"/>
    <cellStyle name="Normal 4 4 3 4" xfId="8830" xr:uid="{00000000-0005-0000-0000-00008B220000}"/>
    <cellStyle name="Normal 4 4 3 5" xfId="8831" xr:uid="{00000000-0005-0000-0000-00008C220000}"/>
    <cellStyle name="Normal 4 4 3 6" xfId="8832" xr:uid="{00000000-0005-0000-0000-00008D220000}"/>
    <cellStyle name="Normal 4 4 3 7" xfId="8833" xr:uid="{00000000-0005-0000-0000-00008E220000}"/>
    <cellStyle name="Normal 4 4 4" xfId="8834" xr:uid="{00000000-0005-0000-0000-00008F220000}"/>
    <cellStyle name="Normal 4 4 4 2" xfId="8835" xr:uid="{00000000-0005-0000-0000-000090220000}"/>
    <cellStyle name="Normal 4 4 4 3" xfId="8836" xr:uid="{00000000-0005-0000-0000-000091220000}"/>
    <cellStyle name="Normal 4 4 4 4" xfId="8837" xr:uid="{00000000-0005-0000-0000-000092220000}"/>
    <cellStyle name="Normal 4 4 4 5" xfId="8838" xr:uid="{00000000-0005-0000-0000-000093220000}"/>
    <cellStyle name="Normal 4 4 5" xfId="8839" xr:uid="{00000000-0005-0000-0000-000094220000}"/>
    <cellStyle name="Normal 4 4 5 2" xfId="8840" xr:uid="{00000000-0005-0000-0000-000095220000}"/>
    <cellStyle name="Normal 4 4 5 3" xfId="8841" xr:uid="{00000000-0005-0000-0000-000096220000}"/>
    <cellStyle name="Normal 4 4 5 4" xfId="8842" xr:uid="{00000000-0005-0000-0000-000097220000}"/>
    <cellStyle name="Normal 4 4 5 5" xfId="8843" xr:uid="{00000000-0005-0000-0000-000098220000}"/>
    <cellStyle name="Normal 4 4 6" xfId="8844" xr:uid="{00000000-0005-0000-0000-000099220000}"/>
    <cellStyle name="Normal 4 4 6 2" xfId="8845" xr:uid="{00000000-0005-0000-0000-00009A220000}"/>
    <cellStyle name="Normal 4 4 6 3" xfId="8846" xr:uid="{00000000-0005-0000-0000-00009B220000}"/>
    <cellStyle name="Normal 4 4 6 4" xfId="8847" xr:uid="{00000000-0005-0000-0000-00009C220000}"/>
    <cellStyle name="Normal 4 4 6 5" xfId="8848" xr:uid="{00000000-0005-0000-0000-00009D220000}"/>
    <cellStyle name="Normal 4 4 7" xfId="8849" xr:uid="{00000000-0005-0000-0000-00009E220000}"/>
    <cellStyle name="Normal 4 4 7 2" xfId="8850" xr:uid="{00000000-0005-0000-0000-00009F220000}"/>
    <cellStyle name="Normal 4 4 7 3" xfId="8851" xr:uid="{00000000-0005-0000-0000-0000A0220000}"/>
    <cellStyle name="Normal 4 4 7 4" xfId="8852" xr:uid="{00000000-0005-0000-0000-0000A1220000}"/>
    <cellStyle name="Normal 4 4 7 5" xfId="8853" xr:uid="{00000000-0005-0000-0000-0000A2220000}"/>
    <cellStyle name="Normal 4 4 8" xfId="8854" xr:uid="{00000000-0005-0000-0000-0000A3220000}"/>
    <cellStyle name="Normal 4 4 8 2" xfId="8855" xr:uid="{00000000-0005-0000-0000-0000A4220000}"/>
    <cellStyle name="Normal 4 4 8 3" xfId="8856" xr:uid="{00000000-0005-0000-0000-0000A5220000}"/>
    <cellStyle name="Normal 4 4 8 4" xfId="8857" xr:uid="{00000000-0005-0000-0000-0000A6220000}"/>
    <cellStyle name="Normal 4 4 8 5" xfId="8858" xr:uid="{00000000-0005-0000-0000-0000A7220000}"/>
    <cellStyle name="Normal 4 4 9" xfId="8859" xr:uid="{00000000-0005-0000-0000-0000A8220000}"/>
    <cellStyle name="Normal 4 4 9 2" xfId="8860" xr:uid="{00000000-0005-0000-0000-0000A9220000}"/>
    <cellStyle name="Normal 4 4 9 3" xfId="8861" xr:uid="{00000000-0005-0000-0000-0000AA220000}"/>
    <cellStyle name="Normal 4 4 9 4" xfId="8862" xr:uid="{00000000-0005-0000-0000-0000AB220000}"/>
    <cellStyle name="Normal 4 5" xfId="8863" xr:uid="{00000000-0005-0000-0000-0000AC220000}"/>
    <cellStyle name="Normal 4 5 10" xfId="8864" xr:uid="{00000000-0005-0000-0000-0000AD220000}"/>
    <cellStyle name="Normal 4 5 10 2" xfId="8865" xr:uid="{00000000-0005-0000-0000-0000AE220000}"/>
    <cellStyle name="Normal 4 5 10 2 2" xfId="8866" xr:uid="{00000000-0005-0000-0000-0000AF220000}"/>
    <cellStyle name="Normal 4 5 10 2 2 2" xfId="8867" xr:uid="{00000000-0005-0000-0000-0000B0220000}"/>
    <cellStyle name="Normal 4 5 10 2 2 3" xfId="8868" xr:uid="{00000000-0005-0000-0000-0000B1220000}"/>
    <cellStyle name="Normal 4 5 10 2 3" xfId="8869" xr:uid="{00000000-0005-0000-0000-0000B2220000}"/>
    <cellStyle name="Normal 4 5 10 2 4" xfId="8870" xr:uid="{00000000-0005-0000-0000-0000B3220000}"/>
    <cellStyle name="Normal 4 5 10 3" xfId="8871" xr:uid="{00000000-0005-0000-0000-0000B4220000}"/>
    <cellStyle name="Normal 4 5 10 3 2" xfId="8872" xr:uid="{00000000-0005-0000-0000-0000B5220000}"/>
    <cellStyle name="Normal 4 5 10 3 2 2" xfId="8873" xr:uid="{00000000-0005-0000-0000-0000B6220000}"/>
    <cellStyle name="Normal 4 5 10 3 2 3" xfId="8874" xr:uid="{00000000-0005-0000-0000-0000B7220000}"/>
    <cellStyle name="Normal 4 5 10 3 3" xfId="8875" xr:uid="{00000000-0005-0000-0000-0000B8220000}"/>
    <cellStyle name="Normal 4 5 10 3 4" xfId="8876" xr:uid="{00000000-0005-0000-0000-0000B9220000}"/>
    <cellStyle name="Normal 4 5 10 4" xfId="8877" xr:uid="{00000000-0005-0000-0000-0000BA220000}"/>
    <cellStyle name="Normal 4 5 10 4 2" xfId="8878" xr:uid="{00000000-0005-0000-0000-0000BB220000}"/>
    <cellStyle name="Normal 4 5 10 4 3" xfId="8879" xr:uid="{00000000-0005-0000-0000-0000BC220000}"/>
    <cellStyle name="Normal 4 5 10 5" xfId="8880" xr:uid="{00000000-0005-0000-0000-0000BD220000}"/>
    <cellStyle name="Normal 4 5 10 6" xfId="8881" xr:uid="{00000000-0005-0000-0000-0000BE220000}"/>
    <cellStyle name="Normal 4 5 10 7" xfId="8882" xr:uid="{00000000-0005-0000-0000-0000BF220000}"/>
    <cellStyle name="Normal 4 5 11" xfId="8883" xr:uid="{00000000-0005-0000-0000-0000C0220000}"/>
    <cellStyle name="Normal 4 5 11 2" xfId="8884" xr:uid="{00000000-0005-0000-0000-0000C1220000}"/>
    <cellStyle name="Normal 4 5 11 2 2" xfId="8885" xr:uid="{00000000-0005-0000-0000-0000C2220000}"/>
    <cellStyle name="Normal 4 5 11 2 2 2" xfId="8886" xr:uid="{00000000-0005-0000-0000-0000C3220000}"/>
    <cellStyle name="Normal 4 5 11 2 2 3" xfId="8887" xr:uid="{00000000-0005-0000-0000-0000C4220000}"/>
    <cellStyle name="Normal 4 5 11 2 3" xfId="8888" xr:uid="{00000000-0005-0000-0000-0000C5220000}"/>
    <cellStyle name="Normal 4 5 11 2 4" xfId="8889" xr:uid="{00000000-0005-0000-0000-0000C6220000}"/>
    <cellStyle name="Normal 4 5 11 3" xfId="8890" xr:uid="{00000000-0005-0000-0000-0000C7220000}"/>
    <cellStyle name="Normal 4 5 11 3 2" xfId="8891" xr:uid="{00000000-0005-0000-0000-0000C8220000}"/>
    <cellStyle name="Normal 4 5 11 3 3" xfId="8892" xr:uid="{00000000-0005-0000-0000-0000C9220000}"/>
    <cellStyle name="Normal 4 5 11 4" xfId="8893" xr:uid="{00000000-0005-0000-0000-0000CA220000}"/>
    <cellStyle name="Normal 4 5 11 5" xfId="8894" xr:uid="{00000000-0005-0000-0000-0000CB220000}"/>
    <cellStyle name="Normal 4 5 11 6" xfId="8895" xr:uid="{00000000-0005-0000-0000-0000CC220000}"/>
    <cellStyle name="Normal 4 5 12" xfId="8896" xr:uid="{00000000-0005-0000-0000-0000CD220000}"/>
    <cellStyle name="Normal 4 5 12 2" xfId="8897" xr:uid="{00000000-0005-0000-0000-0000CE220000}"/>
    <cellStyle name="Normal 4 5 12 3" xfId="8898" xr:uid="{00000000-0005-0000-0000-0000CF220000}"/>
    <cellStyle name="Normal 4 5 13" xfId="8899" xr:uid="{00000000-0005-0000-0000-0000D0220000}"/>
    <cellStyle name="Normal 4 5 14" xfId="8900" xr:uid="{00000000-0005-0000-0000-0000D1220000}"/>
    <cellStyle name="Normal 4 5 15" xfId="8901" xr:uid="{00000000-0005-0000-0000-0000D2220000}"/>
    <cellStyle name="Normal 4 5 16" xfId="8902" xr:uid="{00000000-0005-0000-0000-0000D3220000}"/>
    <cellStyle name="Normal 4 5 2" xfId="8903" xr:uid="{00000000-0005-0000-0000-0000D4220000}"/>
    <cellStyle name="Normal 4 5 2 2" xfId="8904" xr:uid="{00000000-0005-0000-0000-0000D5220000}"/>
    <cellStyle name="Normal 4 5 2 2 2" xfId="8905" xr:uid="{00000000-0005-0000-0000-0000D6220000}"/>
    <cellStyle name="Normal 4 5 2 2 3" xfId="8906" xr:uid="{00000000-0005-0000-0000-0000D7220000}"/>
    <cellStyle name="Normal 4 5 2 2 4" xfId="8907" xr:uid="{00000000-0005-0000-0000-0000D8220000}"/>
    <cellStyle name="Normal 4 5 2 3" xfId="8908" xr:uid="{00000000-0005-0000-0000-0000D9220000}"/>
    <cellStyle name="Normal 4 5 2 3 2" xfId="8909" xr:uid="{00000000-0005-0000-0000-0000DA220000}"/>
    <cellStyle name="Normal 4 5 2 3 2 2" xfId="8910" xr:uid="{00000000-0005-0000-0000-0000DB220000}"/>
    <cellStyle name="Normal 4 5 2 3 2 2 2" xfId="8911" xr:uid="{00000000-0005-0000-0000-0000DC220000}"/>
    <cellStyle name="Normal 4 5 2 3 2 2 3" xfId="8912" xr:uid="{00000000-0005-0000-0000-0000DD220000}"/>
    <cellStyle name="Normal 4 5 2 3 2 3" xfId="8913" xr:uid="{00000000-0005-0000-0000-0000DE220000}"/>
    <cellStyle name="Normal 4 5 2 3 2 4" xfId="8914" xr:uid="{00000000-0005-0000-0000-0000DF220000}"/>
    <cellStyle name="Normal 4 5 2 3 3" xfId="8915" xr:uid="{00000000-0005-0000-0000-0000E0220000}"/>
    <cellStyle name="Normal 4 5 2 3 3 2" xfId="8916" xr:uid="{00000000-0005-0000-0000-0000E1220000}"/>
    <cellStyle name="Normal 4 5 2 3 3 2 2" xfId="8917" xr:uid="{00000000-0005-0000-0000-0000E2220000}"/>
    <cellStyle name="Normal 4 5 2 3 3 2 3" xfId="8918" xr:uid="{00000000-0005-0000-0000-0000E3220000}"/>
    <cellStyle name="Normal 4 5 2 3 3 3" xfId="8919" xr:uid="{00000000-0005-0000-0000-0000E4220000}"/>
    <cellStyle name="Normal 4 5 2 3 3 4" xfId="8920" xr:uid="{00000000-0005-0000-0000-0000E5220000}"/>
    <cellStyle name="Normal 4 5 2 3 4" xfId="8921" xr:uid="{00000000-0005-0000-0000-0000E6220000}"/>
    <cellStyle name="Normal 4 5 2 3 4 2" xfId="8922" xr:uid="{00000000-0005-0000-0000-0000E7220000}"/>
    <cellStyle name="Normal 4 5 2 3 4 3" xfId="8923" xr:uid="{00000000-0005-0000-0000-0000E8220000}"/>
    <cellStyle name="Normal 4 5 2 3 5" xfId="8924" xr:uid="{00000000-0005-0000-0000-0000E9220000}"/>
    <cellStyle name="Normal 4 5 2 3 6" xfId="8925" xr:uid="{00000000-0005-0000-0000-0000EA220000}"/>
    <cellStyle name="Normal 4 5 2 3 7" xfId="8926" xr:uid="{00000000-0005-0000-0000-0000EB220000}"/>
    <cellStyle name="Normal 4 5 2 4" xfId="8927" xr:uid="{00000000-0005-0000-0000-0000EC220000}"/>
    <cellStyle name="Normal 4 5 2 4 2" xfId="8928" xr:uid="{00000000-0005-0000-0000-0000ED220000}"/>
    <cellStyle name="Normal 4 5 2 4 2 2" xfId="8929" xr:uid="{00000000-0005-0000-0000-0000EE220000}"/>
    <cellStyle name="Normal 4 5 2 4 2 2 2" xfId="8930" xr:uid="{00000000-0005-0000-0000-0000EF220000}"/>
    <cellStyle name="Normal 4 5 2 4 2 2 3" xfId="8931" xr:uid="{00000000-0005-0000-0000-0000F0220000}"/>
    <cellStyle name="Normal 4 5 2 4 2 3" xfId="8932" xr:uid="{00000000-0005-0000-0000-0000F1220000}"/>
    <cellStyle name="Normal 4 5 2 4 2 4" xfId="8933" xr:uid="{00000000-0005-0000-0000-0000F2220000}"/>
    <cellStyle name="Normal 4 5 2 4 3" xfId="8934" xr:uid="{00000000-0005-0000-0000-0000F3220000}"/>
    <cellStyle name="Normal 4 5 2 4 3 2" xfId="8935" xr:uid="{00000000-0005-0000-0000-0000F4220000}"/>
    <cellStyle name="Normal 4 5 2 4 3 3" xfId="8936" xr:uid="{00000000-0005-0000-0000-0000F5220000}"/>
    <cellStyle name="Normal 4 5 2 4 4" xfId="8937" xr:uid="{00000000-0005-0000-0000-0000F6220000}"/>
    <cellStyle name="Normal 4 5 2 4 5" xfId="8938" xr:uid="{00000000-0005-0000-0000-0000F7220000}"/>
    <cellStyle name="Normal 4 5 2 4 6" xfId="8939" xr:uid="{00000000-0005-0000-0000-0000F8220000}"/>
    <cellStyle name="Normal 4 5 2 5" xfId="8940" xr:uid="{00000000-0005-0000-0000-0000F9220000}"/>
    <cellStyle name="Normal 4 5 2 5 2" xfId="8941" xr:uid="{00000000-0005-0000-0000-0000FA220000}"/>
    <cellStyle name="Normal 4 5 2 5 3" xfId="8942" xr:uid="{00000000-0005-0000-0000-0000FB220000}"/>
    <cellStyle name="Normal 4 5 2 6" xfId="8943" xr:uid="{00000000-0005-0000-0000-0000FC220000}"/>
    <cellStyle name="Normal 4 5 2 7" xfId="8944" xr:uid="{00000000-0005-0000-0000-0000FD220000}"/>
    <cellStyle name="Normal 4 5 2 8" xfId="8945" xr:uid="{00000000-0005-0000-0000-0000FE220000}"/>
    <cellStyle name="Normal 4 5 2 9" xfId="8946" xr:uid="{00000000-0005-0000-0000-0000FF220000}"/>
    <cellStyle name="Normal 4 5 3" xfId="8947" xr:uid="{00000000-0005-0000-0000-000000230000}"/>
    <cellStyle name="Normal 4 5 3 2" xfId="8948" xr:uid="{00000000-0005-0000-0000-000001230000}"/>
    <cellStyle name="Normal 4 5 3 2 2" xfId="8949" xr:uid="{00000000-0005-0000-0000-000002230000}"/>
    <cellStyle name="Normal 4 5 3 2 3" xfId="8950" xr:uid="{00000000-0005-0000-0000-000003230000}"/>
    <cellStyle name="Normal 4 5 3 2 4" xfId="8951" xr:uid="{00000000-0005-0000-0000-000004230000}"/>
    <cellStyle name="Normal 4 5 3 3" xfId="8952" xr:uid="{00000000-0005-0000-0000-000005230000}"/>
    <cellStyle name="Normal 4 5 3 3 2" xfId="8953" xr:uid="{00000000-0005-0000-0000-000006230000}"/>
    <cellStyle name="Normal 4 5 3 3 2 2" xfId="8954" xr:uid="{00000000-0005-0000-0000-000007230000}"/>
    <cellStyle name="Normal 4 5 3 3 2 2 2" xfId="8955" xr:uid="{00000000-0005-0000-0000-000008230000}"/>
    <cellStyle name="Normal 4 5 3 3 2 2 3" xfId="8956" xr:uid="{00000000-0005-0000-0000-000009230000}"/>
    <cellStyle name="Normal 4 5 3 3 2 3" xfId="8957" xr:uid="{00000000-0005-0000-0000-00000A230000}"/>
    <cellStyle name="Normal 4 5 3 3 2 4" xfId="8958" xr:uid="{00000000-0005-0000-0000-00000B230000}"/>
    <cellStyle name="Normal 4 5 3 3 3" xfId="8959" xr:uid="{00000000-0005-0000-0000-00000C230000}"/>
    <cellStyle name="Normal 4 5 3 3 3 2" xfId="8960" xr:uid="{00000000-0005-0000-0000-00000D230000}"/>
    <cellStyle name="Normal 4 5 3 3 3 2 2" xfId="8961" xr:uid="{00000000-0005-0000-0000-00000E230000}"/>
    <cellStyle name="Normal 4 5 3 3 3 2 3" xfId="8962" xr:uid="{00000000-0005-0000-0000-00000F230000}"/>
    <cellStyle name="Normal 4 5 3 3 3 3" xfId="8963" xr:uid="{00000000-0005-0000-0000-000010230000}"/>
    <cellStyle name="Normal 4 5 3 3 3 4" xfId="8964" xr:uid="{00000000-0005-0000-0000-000011230000}"/>
    <cellStyle name="Normal 4 5 3 3 4" xfId="8965" xr:uid="{00000000-0005-0000-0000-000012230000}"/>
    <cellStyle name="Normal 4 5 3 3 4 2" xfId="8966" xr:uid="{00000000-0005-0000-0000-000013230000}"/>
    <cellStyle name="Normal 4 5 3 3 4 3" xfId="8967" xr:uid="{00000000-0005-0000-0000-000014230000}"/>
    <cellStyle name="Normal 4 5 3 3 5" xfId="8968" xr:uid="{00000000-0005-0000-0000-000015230000}"/>
    <cellStyle name="Normal 4 5 3 3 6" xfId="8969" xr:uid="{00000000-0005-0000-0000-000016230000}"/>
    <cellStyle name="Normal 4 5 3 3 7" xfId="8970" xr:uid="{00000000-0005-0000-0000-000017230000}"/>
    <cellStyle name="Normal 4 5 3 4" xfId="8971" xr:uid="{00000000-0005-0000-0000-000018230000}"/>
    <cellStyle name="Normal 4 5 3 4 2" xfId="8972" xr:uid="{00000000-0005-0000-0000-000019230000}"/>
    <cellStyle name="Normal 4 5 3 4 2 2" xfId="8973" xr:uid="{00000000-0005-0000-0000-00001A230000}"/>
    <cellStyle name="Normal 4 5 3 4 2 2 2" xfId="8974" xr:uid="{00000000-0005-0000-0000-00001B230000}"/>
    <cellStyle name="Normal 4 5 3 4 2 2 3" xfId="8975" xr:uid="{00000000-0005-0000-0000-00001C230000}"/>
    <cellStyle name="Normal 4 5 3 4 2 3" xfId="8976" xr:uid="{00000000-0005-0000-0000-00001D230000}"/>
    <cellStyle name="Normal 4 5 3 4 2 4" xfId="8977" xr:uid="{00000000-0005-0000-0000-00001E230000}"/>
    <cellStyle name="Normal 4 5 3 4 3" xfId="8978" xr:uid="{00000000-0005-0000-0000-00001F230000}"/>
    <cellStyle name="Normal 4 5 3 4 3 2" xfId="8979" xr:uid="{00000000-0005-0000-0000-000020230000}"/>
    <cellStyle name="Normal 4 5 3 4 3 3" xfId="8980" xr:uid="{00000000-0005-0000-0000-000021230000}"/>
    <cellStyle name="Normal 4 5 3 4 4" xfId="8981" xr:uid="{00000000-0005-0000-0000-000022230000}"/>
    <cellStyle name="Normal 4 5 3 4 5" xfId="8982" xr:uid="{00000000-0005-0000-0000-000023230000}"/>
    <cellStyle name="Normal 4 5 3 4 6" xfId="8983" xr:uid="{00000000-0005-0000-0000-000024230000}"/>
    <cellStyle name="Normal 4 5 3 5" xfId="8984" xr:uid="{00000000-0005-0000-0000-000025230000}"/>
    <cellStyle name="Normal 4 5 3 5 2" xfId="8985" xr:uid="{00000000-0005-0000-0000-000026230000}"/>
    <cellStyle name="Normal 4 5 3 5 3" xfId="8986" xr:uid="{00000000-0005-0000-0000-000027230000}"/>
    <cellStyle name="Normal 4 5 3 6" xfId="8987" xr:uid="{00000000-0005-0000-0000-000028230000}"/>
    <cellStyle name="Normal 4 5 3 7" xfId="8988" xr:uid="{00000000-0005-0000-0000-000029230000}"/>
    <cellStyle name="Normal 4 5 3 8" xfId="8989" xr:uid="{00000000-0005-0000-0000-00002A230000}"/>
    <cellStyle name="Normal 4 5 3 9" xfId="8990" xr:uid="{00000000-0005-0000-0000-00002B230000}"/>
    <cellStyle name="Normal 4 5 4" xfId="8991" xr:uid="{00000000-0005-0000-0000-00002C230000}"/>
    <cellStyle name="Normal 4 5 4 2" xfId="8992" xr:uid="{00000000-0005-0000-0000-00002D230000}"/>
    <cellStyle name="Normal 4 5 4 3" xfId="8993" xr:uid="{00000000-0005-0000-0000-00002E230000}"/>
    <cellStyle name="Normal 4 5 4 4" xfId="8994" xr:uid="{00000000-0005-0000-0000-00002F230000}"/>
    <cellStyle name="Normal 4 5 4 5" xfId="8995" xr:uid="{00000000-0005-0000-0000-000030230000}"/>
    <cellStyle name="Normal 4 5 5" xfId="8996" xr:uid="{00000000-0005-0000-0000-000031230000}"/>
    <cellStyle name="Normal 4 5 5 2" xfId="8997" xr:uid="{00000000-0005-0000-0000-000032230000}"/>
    <cellStyle name="Normal 4 5 5 3" xfId="8998" xr:uid="{00000000-0005-0000-0000-000033230000}"/>
    <cellStyle name="Normal 4 5 5 4" xfId="8999" xr:uid="{00000000-0005-0000-0000-000034230000}"/>
    <cellStyle name="Normal 4 5 5 5" xfId="9000" xr:uid="{00000000-0005-0000-0000-000035230000}"/>
    <cellStyle name="Normal 4 5 6" xfId="9001" xr:uid="{00000000-0005-0000-0000-000036230000}"/>
    <cellStyle name="Normal 4 5 6 2" xfId="9002" xr:uid="{00000000-0005-0000-0000-000037230000}"/>
    <cellStyle name="Normal 4 5 6 3" xfId="9003" xr:uid="{00000000-0005-0000-0000-000038230000}"/>
    <cellStyle name="Normal 4 5 6 4" xfId="9004" xr:uid="{00000000-0005-0000-0000-000039230000}"/>
    <cellStyle name="Normal 4 5 6 5" xfId="9005" xr:uid="{00000000-0005-0000-0000-00003A230000}"/>
    <cellStyle name="Normal 4 5 7" xfId="9006" xr:uid="{00000000-0005-0000-0000-00003B230000}"/>
    <cellStyle name="Normal 4 5 7 2" xfId="9007" xr:uid="{00000000-0005-0000-0000-00003C230000}"/>
    <cellStyle name="Normal 4 5 7 3" xfId="9008" xr:uid="{00000000-0005-0000-0000-00003D230000}"/>
    <cellStyle name="Normal 4 5 7 4" xfId="9009" xr:uid="{00000000-0005-0000-0000-00003E230000}"/>
    <cellStyle name="Normal 4 5 7 5" xfId="9010" xr:uid="{00000000-0005-0000-0000-00003F230000}"/>
    <cellStyle name="Normal 4 5 8" xfId="9011" xr:uid="{00000000-0005-0000-0000-000040230000}"/>
    <cellStyle name="Normal 4 5 8 2" xfId="9012" xr:uid="{00000000-0005-0000-0000-000041230000}"/>
    <cellStyle name="Normal 4 5 8 3" xfId="9013" xr:uid="{00000000-0005-0000-0000-000042230000}"/>
    <cellStyle name="Normal 4 5 8 4" xfId="9014" xr:uid="{00000000-0005-0000-0000-000043230000}"/>
    <cellStyle name="Normal 4 5 8 5" xfId="9015" xr:uid="{00000000-0005-0000-0000-000044230000}"/>
    <cellStyle name="Normal 4 5 9" xfId="9016" xr:uid="{00000000-0005-0000-0000-000045230000}"/>
    <cellStyle name="Normal 4 5 9 2" xfId="9017" xr:uid="{00000000-0005-0000-0000-000046230000}"/>
    <cellStyle name="Normal 4 5 9 2 2" xfId="9018" xr:uid="{00000000-0005-0000-0000-000047230000}"/>
    <cellStyle name="Normal 4 5 9 2 2 2" xfId="9019" xr:uid="{00000000-0005-0000-0000-000048230000}"/>
    <cellStyle name="Normal 4 5 9 2 2 2 2" xfId="9020" xr:uid="{00000000-0005-0000-0000-000049230000}"/>
    <cellStyle name="Normal 4 5 9 2 2 2 3" xfId="9021" xr:uid="{00000000-0005-0000-0000-00004A230000}"/>
    <cellStyle name="Normal 4 5 9 2 2 3" xfId="9022" xr:uid="{00000000-0005-0000-0000-00004B230000}"/>
    <cellStyle name="Normal 4 5 9 2 2 4" xfId="9023" xr:uid="{00000000-0005-0000-0000-00004C230000}"/>
    <cellStyle name="Normal 4 5 9 2 3" xfId="9024" xr:uid="{00000000-0005-0000-0000-00004D230000}"/>
    <cellStyle name="Normal 4 5 9 2 3 2" xfId="9025" xr:uid="{00000000-0005-0000-0000-00004E230000}"/>
    <cellStyle name="Normal 4 5 9 2 3 2 2" xfId="9026" xr:uid="{00000000-0005-0000-0000-00004F230000}"/>
    <cellStyle name="Normal 4 5 9 2 3 2 3" xfId="9027" xr:uid="{00000000-0005-0000-0000-000050230000}"/>
    <cellStyle name="Normal 4 5 9 2 3 3" xfId="9028" xr:uid="{00000000-0005-0000-0000-000051230000}"/>
    <cellStyle name="Normal 4 5 9 2 3 4" xfId="9029" xr:uid="{00000000-0005-0000-0000-000052230000}"/>
    <cellStyle name="Normal 4 5 9 2 4" xfId="9030" xr:uid="{00000000-0005-0000-0000-000053230000}"/>
    <cellStyle name="Normal 4 5 9 2 4 2" xfId="9031" xr:uid="{00000000-0005-0000-0000-000054230000}"/>
    <cellStyle name="Normal 4 5 9 2 4 3" xfId="9032" xr:uid="{00000000-0005-0000-0000-000055230000}"/>
    <cellStyle name="Normal 4 5 9 2 5" xfId="9033" xr:uid="{00000000-0005-0000-0000-000056230000}"/>
    <cellStyle name="Normal 4 5 9 2 6" xfId="9034" xr:uid="{00000000-0005-0000-0000-000057230000}"/>
    <cellStyle name="Normal 4 5 9 2 7" xfId="9035" xr:uid="{00000000-0005-0000-0000-000058230000}"/>
    <cellStyle name="Normal 4 5 9 3" xfId="9036" xr:uid="{00000000-0005-0000-0000-000059230000}"/>
    <cellStyle name="Normal 4 5 9 3 2" xfId="9037" xr:uid="{00000000-0005-0000-0000-00005A230000}"/>
    <cellStyle name="Normal 4 5 9 3 2 2" xfId="9038" xr:uid="{00000000-0005-0000-0000-00005B230000}"/>
    <cellStyle name="Normal 4 5 9 3 2 3" xfId="9039" xr:uid="{00000000-0005-0000-0000-00005C230000}"/>
    <cellStyle name="Normal 4 5 9 3 3" xfId="9040" xr:uid="{00000000-0005-0000-0000-00005D230000}"/>
    <cellStyle name="Normal 4 5 9 3 4" xfId="9041" xr:uid="{00000000-0005-0000-0000-00005E230000}"/>
    <cellStyle name="Normal 4 5 9 4" xfId="9042" xr:uid="{00000000-0005-0000-0000-00005F230000}"/>
    <cellStyle name="Normal 4 5 9 4 2" xfId="9043" xr:uid="{00000000-0005-0000-0000-000060230000}"/>
    <cellStyle name="Normal 4 5 9 4 2 2" xfId="9044" xr:uid="{00000000-0005-0000-0000-000061230000}"/>
    <cellStyle name="Normal 4 5 9 4 2 3" xfId="9045" xr:uid="{00000000-0005-0000-0000-000062230000}"/>
    <cellStyle name="Normal 4 5 9 4 3" xfId="9046" xr:uid="{00000000-0005-0000-0000-000063230000}"/>
    <cellStyle name="Normal 4 5 9 4 4" xfId="9047" xr:uid="{00000000-0005-0000-0000-000064230000}"/>
    <cellStyle name="Normal 4 5 9 5" xfId="9048" xr:uid="{00000000-0005-0000-0000-000065230000}"/>
    <cellStyle name="Normal 4 5 9 5 2" xfId="9049" xr:uid="{00000000-0005-0000-0000-000066230000}"/>
    <cellStyle name="Normal 4 5 9 5 3" xfId="9050" xr:uid="{00000000-0005-0000-0000-000067230000}"/>
    <cellStyle name="Normal 4 5 9 6" xfId="9051" xr:uid="{00000000-0005-0000-0000-000068230000}"/>
    <cellStyle name="Normal 4 5 9 7" xfId="9052" xr:uid="{00000000-0005-0000-0000-000069230000}"/>
    <cellStyle name="Normal 4 5 9 8" xfId="9053" xr:uid="{00000000-0005-0000-0000-00006A230000}"/>
    <cellStyle name="Normal 4 6" xfId="9054" xr:uid="{00000000-0005-0000-0000-00006B230000}"/>
    <cellStyle name="Normal 4 6 10" xfId="9055" xr:uid="{00000000-0005-0000-0000-00006C230000}"/>
    <cellStyle name="Normal 4 6 11" xfId="9056" xr:uid="{00000000-0005-0000-0000-00006D230000}"/>
    <cellStyle name="Normal 4 6 12" xfId="9057" xr:uid="{00000000-0005-0000-0000-00006E230000}"/>
    <cellStyle name="Normal 4 6 2" xfId="9058" xr:uid="{00000000-0005-0000-0000-00006F230000}"/>
    <cellStyle name="Normal 4 6 2 2" xfId="9059" xr:uid="{00000000-0005-0000-0000-000070230000}"/>
    <cellStyle name="Normal 4 6 2 2 2" xfId="9060" xr:uid="{00000000-0005-0000-0000-000071230000}"/>
    <cellStyle name="Normal 4 6 2 2 3" xfId="9061" xr:uid="{00000000-0005-0000-0000-000072230000}"/>
    <cellStyle name="Normal 4 6 2 2 4" xfId="9062" xr:uid="{00000000-0005-0000-0000-000073230000}"/>
    <cellStyle name="Normal 4 6 2 3" xfId="9063" xr:uid="{00000000-0005-0000-0000-000074230000}"/>
    <cellStyle name="Normal 4 6 2 3 2" xfId="9064" xr:uid="{00000000-0005-0000-0000-000075230000}"/>
    <cellStyle name="Normal 4 6 2 3 2 2" xfId="9065" xr:uid="{00000000-0005-0000-0000-000076230000}"/>
    <cellStyle name="Normal 4 6 2 3 2 2 2" xfId="9066" xr:uid="{00000000-0005-0000-0000-000077230000}"/>
    <cellStyle name="Normal 4 6 2 3 2 2 3" xfId="9067" xr:uid="{00000000-0005-0000-0000-000078230000}"/>
    <cellStyle name="Normal 4 6 2 3 2 3" xfId="9068" xr:uid="{00000000-0005-0000-0000-000079230000}"/>
    <cellStyle name="Normal 4 6 2 3 2 4" xfId="9069" xr:uid="{00000000-0005-0000-0000-00007A230000}"/>
    <cellStyle name="Normal 4 6 2 3 3" xfId="9070" xr:uid="{00000000-0005-0000-0000-00007B230000}"/>
    <cellStyle name="Normal 4 6 2 3 3 2" xfId="9071" xr:uid="{00000000-0005-0000-0000-00007C230000}"/>
    <cellStyle name="Normal 4 6 2 3 3 2 2" xfId="9072" xr:uid="{00000000-0005-0000-0000-00007D230000}"/>
    <cellStyle name="Normal 4 6 2 3 3 2 3" xfId="9073" xr:uid="{00000000-0005-0000-0000-00007E230000}"/>
    <cellStyle name="Normal 4 6 2 3 3 3" xfId="9074" xr:uid="{00000000-0005-0000-0000-00007F230000}"/>
    <cellStyle name="Normal 4 6 2 3 3 4" xfId="9075" xr:uid="{00000000-0005-0000-0000-000080230000}"/>
    <cellStyle name="Normal 4 6 2 3 4" xfId="9076" xr:uid="{00000000-0005-0000-0000-000081230000}"/>
    <cellStyle name="Normal 4 6 2 3 4 2" xfId="9077" xr:uid="{00000000-0005-0000-0000-000082230000}"/>
    <cellStyle name="Normal 4 6 2 3 4 3" xfId="9078" xr:uid="{00000000-0005-0000-0000-000083230000}"/>
    <cellStyle name="Normal 4 6 2 3 5" xfId="9079" xr:uid="{00000000-0005-0000-0000-000084230000}"/>
    <cellStyle name="Normal 4 6 2 3 6" xfId="9080" xr:uid="{00000000-0005-0000-0000-000085230000}"/>
    <cellStyle name="Normal 4 6 2 3 7" xfId="9081" xr:uid="{00000000-0005-0000-0000-000086230000}"/>
    <cellStyle name="Normal 4 6 2 4" xfId="9082" xr:uid="{00000000-0005-0000-0000-000087230000}"/>
    <cellStyle name="Normal 4 6 2 4 2" xfId="9083" xr:uid="{00000000-0005-0000-0000-000088230000}"/>
    <cellStyle name="Normal 4 6 2 4 2 2" xfId="9084" xr:uid="{00000000-0005-0000-0000-000089230000}"/>
    <cellStyle name="Normal 4 6 2 4 2 3" xfId="9085" xr:uid="{00000000-0005-0000-0000-00008A230000}"/>
    <cellStyle name="Normal 4 6 2 4 3" xfId="9086" xr:uid="{00000000-0005-0000-0000-00008B230000}"/>
    <cellStyle name="Normal 4 6 2 4 4" xfId="9087" xr:uid="{00000000-0005-0000-0000-00008C230000}"/>
    <cellStyle name="Normal 4 6 2 5" xfId="9088" xr:uid="{00000000-0005-0000-0000-00008D230000}"/>
    <cellStyle name="Normal 4 6 2 5 2" xfId="9089" xr:uid="{00000000-0005-0000-0000-00008E230000}"/>
    <cellStyle name="Normal 4 6 2 5 2 2" xfId="9090" xr:uid="{00000000-0005-0000-0000-00008F230000}"/>
    <cellStyle name="Normal 4 6 2 5 2 3" xfId="9091" xr:uid="{00000000-0005-0000-0000-000090230000}"/>
    <cellStyle name="Normal 4 6 2 5 3" xfId="9092" xr:uid="{00000000-0005-0000-0000-000091230000}"/>
    <cellStyle name="Normal 4 6 2 5 4" xfId="9093" xr:uid="{00000000-0005-0000-0000-000092230000}"/>
    <cellStyle name="Normal 4 6 2 6" xfId="9094" xr:uid="{00000000-0005-0000-0000-000093230000}"/>
    <cellStyle name="Normal 4 6 2 6 2" xfId="9095" xr:uid="{00000000-0005-0000-0000-000094230000}"/>
    <cellStyle name="Normal 4 6 2 6 3" xfId="9096" xr:uid="{00000000-0005-0000-0000-000095230000}"/>
    <cellStyle name="Normal 4 6 2 7" xfId="9097" xr:uid="{00000000-0005-0000-0000-000096230000}"/>
    <cellStyle name="Normal 4 6 2 8" xfId="9098" xr:uid="{00000000-0005-0000-0000-000097230000}"/>
    <cellStyle name="Normal 4 6 2 9" xfId="9099" xr:uid="{00000000-0005-0000-0000-000098230000}"/>
    <cellStyle name="Normal 4 6 3" xfId="9100" xr:uid="{00000000-0005-0000-0000-000099230000}"/>
    <cellStyle name="Normal 4 6 3 2" xfId="9101" xr:uid="{00000000-0005-0000-0000-00009A230000}"/>
    <cellStyle name="Normal 4 6 3 3" xfId="9102" xr:uid="{00000000-0005-0000-0000-00009B230000}"/>
    <cellStyle name="Normal 4 6 3 4" xfId="9103" xr:uid="{00000000-0005-0000-0000-00009C230000}"/>
    <cellStyle name="Normal 4 6 4" xfId="9104" xr:uid="{00000000-0005-0000-0000-00009D230000}"/>
    <cellStyle name="Normal 4 6 4 2" xfId="9105" xr:uid="{00000000-0005-0000-0000-00009E230000}"/>
    <cellStyle name="Normal 4 6 4 2 2" xfId="9106" xr:uid="{00000000-0005-0000-0000-00009F230000}"/>
    <cellStyle name="Normal 4 6 4 2 2 2" xfId="9107" xr:uid="{00000000-0005-0000-0000-0000A0230000}"/>
    <cellStyle name="Normal 4 6 4 2 2 2 2" xfId="9108" xr:uid="{00000000-0005-0000-0000-0000A1230000}"/>
    <cellStyle name="Normal 4 6 4 2 2 2 3" xfId="9109" xr:uid="{00000000-0005-0000-0000-0000A2230000}"/>
    <cellStyle name="Normal 4 6 4 2 2 3" xfId="9110" xr:uid="{00000000-0005-0000-0000-0000A3230000}"/>
    <cellStyle name="Normal 4 6 4 2 2 4" xfId="9111" xr:uid="{00000000-0005-0000-0000-0000A4230000}"/>
    <cellStyle name="Normal 4 6 4 2 3" xfId="9112" xr:uid="{00000000-0005-0000-0000-0000A5230000}"/>
    <cellStyle name="Normal 4 6 4 2 3 2" xfId="9113" xr:uid="{00000000-0005-0000-0000-0000A6230000}"/>
    <cellStyle name="Normal 4 6 4 2 3 2 2" xfId="9114" xr:uid="{00000000-0005-0000-0000-0000A7230000}"/>
    <cellStyle name="Normal 4 6 4 2 3 2 3" xfId="9115" xr:uid="{00000000-0005-0000-0000-0000A8230000}"/>
    <cellStyle name="Normal 4 6 4 2 3 3" xfId="9116" xr:uid="{00000000-0005-0000-0000-0000A9230000}"/>
    <cellStyle name="Normal 4 6 4 2 3 4" xfId="9117" xr:uid="{00000000-0005-0000-0000-0000AA230000}"/>
    <cellStyle name="Normal 4 6 4 2 4" xfId="9118" xr:uid="{00000000-0005-0000-0000-0000AB230000}"/>
    <cellStyle name="Normal 4 6 4 2 4 2" xfId="9119" xr:uid="{00000000-0005-0000-0000-0000AC230000}"/>
    <cellStyle name="Normal 4 6 4 2 4 3" xfId="9120" xr:uid="{00000000-0005-0000-0000-0000AD230000}"/>
    <cellStyle name="Normal 4 6 4 2 5" xfId="9121" xr:uid="{00000000-0005-0000-0000-0000AE230000}"/>
    <cellStyle name="Normal 4 6 4 2 6" xfId="9122" xr:uid="{00000000-0005-0000-0000-0000AF230000}"/>
    <cellStyle name="Normal 4 6 4 2 7" xfId="9123" xr:uid="{00000000-0005-0000-0000-0000B0230000}"/>
    <cellStyle name="Normal 4 6 4 3" xfId="9124" xr:uid="{00000000-0005-0000-0000-0000B1230000}"/>
    <cellStyle name="Normal 4 6 4 3 2" xfId="9125" xr:uid="{00000000-0005-0000-0000-0000B2230000}"/>
    <cellStyle name="Normal 4 6 4 3 2 2" xfId="9126" xr:uid="{00000000-0005-0000-0000-0000B3230000}"/>
    <cellStyle name="Normal 4 6 4 3 2 3" xfId="9127" xr:uid="{00000000-0005-0000-0000-0000B4230000}"/>
    <cellStyle name="Normal 4 6 4 3 3" xfId="9128" xr:uid="{00000000-0005-0000-0000-0000B5230000}"/>
    <cellStyle name="Normal 4 6 4 3 4" xfId="9129" xr:uid="{00000000-0005-0000-0000-0000B6230000}"/>
    <cellStyle name="Normal 4 6 4 4" xfId="9130" xr:uid="{00000000-0005-0000-0000-0000B7230000}"/>
    <cellStyle name="Normal 4 6 4 4 2" xfId="9131" xr:uid="{00000000-0005-0000-0000-0000B8230000}"/>
    <cellStyle name="Normal 4 6 4 4 2 2" xfId="9132" xr:uid="{00000000-0005-0000-0000-0000B9230000}"/>
    <cellStyle name="Normal 4 6 4 4 2 3" xfId="9133" xr:uid="{00000000-0005-0000-0000-0000BA230000}"/>
    <cellStyle name="Normal 4 6 4 4 3" xfId="9134" xr:uid="{00000000-0005-0000-0000-0000BB230000}"/>
    <cellStyle name="Normal 4 6 4 4 4" xfId="9135" xr:uid="{00000000-0005-0000-0000-0000BC230000}"/>
    <cellStyle name="Normal 4 6 4 5" xfId="9136" xr:uid="{00000000-0005-0000-0000-0000BD230000}"/>
    <cellStyle name="Normal 4 6 4 5 2" xfId="9137" xr:uid="{00000000-0005-0000-0000-0000BE230000}"/>
    <cellStyle name="Normal 4 6 4 5 3" xfId="9138" xr:uid="{00000000-0005-0000-0000-0000BF230000}"/>
    <cellStyle name="Normal 4 6 4 6" xfId="9139" xr:uid="{00000000-0005-0000-0000-0000C0230000}"/>
    <cellStyle name="Normal 4 6 4 7" xfId="9140" xr:uid="{00000000-0005-0000-0000-0000C1230000}"/>
    <cellStyle name="Normal 4 6 4 8" xfId="9141" xr:uid="{00000000-0005-0000-0000-0000C2230000}"/>
    <cellStyle name="Normal 4 6 5" xfId="9142" xr:uid="{00000000-0005-0000-0000-0000C3230000}"/>
    <cellStyle name="Normal 4 6 5 2" xfId="9143" xr:uid="{00000000-0005-0000-0000-0000C4230000}"/>
    <cellStyle name="Normal 4 6 5 2 2" xfId="9144" xr:uid="{00000000-0005-0000-0000-0000C5230000}"/>
    <cellStyle name="Normal 4 6 5 2 2 2" xfId="9145" xr:uid="{00000000-0005-0000-0000-0000C6230000}"/>
    <cellStyle name="Normal 4 6 5 2 2 2 2" xfId="9146" xr:uid="{00000000-0005-0000-0000-0000C7230000}"/>
    <cellStyle name="Normal 4 6 5 2 2 2 3" xfId="9147" xr:uid="{00000000-0005-0000-0000-0000C8230000}"/>
    <cellStyle name="Normal 4 6 5 2 2 3" xfId="9148" xr:uid="{00000000-0005-0000-0000-0000C9230000}"/>
    <cellStyle name="Normal 4 6 5 2 2 4" xfId="9149" xr:uid="{00000000-0005-0000-0000-0000CA230000}"/>
    <cellStyle name="Normal 4 6 5 2 3" xfId="9150" xr:uid="{00000000-0005-0000-0000-0000CB230000}"/>
    <cellStyle name="Normal 4 6 5 2 3 2" xfId="9151" xr:uid="{00000000-0005-0000-0000-0000CC230000}"/>
    <cellStyle name="Normal 4 6 5 2 3 2 2" xfId="9152" xr:uid="{00000000-0005-0000-0000-0000CD230000}"/>
    <cellStyle name="Normal 4 6 5 2 3 2 3" xfId="9153" xr:uid="{00000000-0005-0000-0000-0000CE230000}"/>
    <cellStyle name="Normal 4 6 5 2 3 3" xfId="9154" xr:uid="{00000000-0005-0000-0000-0000CF230000}"/>
    <cellStyle name="Normal 4 6 5 2 3 4" xfId="9155" xr:uid="{00000000-0005-0000-0000-0000D0230000}"/>
    <cellStyle name="Normal 4 6 5 2 4" xfId="9156" xr:uid="{00000000-0005-0000-0000-0000D1230000}"/>
    <cellStyle name="Normal 4 6 5 2 4 2" xfId="9157" xr:uid="{00000000-0005-0000-0000-0000D2230000}"/>
    <cellStyle name="Normal 4 6 5 2 4 3" xfId="9158" xr:uid="{00000000-0005-0000-0000-0000D3230000}"/>
    <cellStyle name="Normal 4 6 5 2 5" xfId="9159" xr:uid="{00000000-0005-0000-0000-0000D4230000}"/>
    <cellStyle name="Normal 4 6 5 2 6" xfId="9160" xr:uid="{00000000-0005-0000-0000-0000D5230000}"/>
    <cellStyle name="Normal 4 6 5 2 7" xfId="9161" xr:uid="{00000000-0005-0000-0000-0000D6230000}"/>
    <cellStyle name="Normal 4 6 5 3" xfId="9162" xr:uid="{00000000-0005-0000-0000-0000D7230000}"/>
    <cellStyle name="Normal 4 6 5 3 2" xfId="9163" xr:uid="{00000000-0005-0000-0000-0000D8230000}"/>
    <cellStyle name="Normal 4 6 5 3 2 2" xfId="9164" xr:uid="{00000000-0005-0000-0000-0000D9230000}"/>
    <cellStyle name="Normal 4 6 5 3 2 3" xfId="9165" xr:uid="{00000000-0005-0000-0000-0000DA230000}"/>
    <cellStyle name="Normal 4 6 5 3 3" xfId="9166" xr:uid="{00000000-0005-0000-0000-0000DB230000}"/>
    <cellStyle name="Normal 4 6 5 3 4" xfId="9167" xr:uid="{00000000-0005-0000-0000-0000DC230000}"/>
    <cellStyle name="Normal 4 6 5 4" xfId="9168" xr:uid="{00000000-0005-0000-0000-0000DD230000}"/>
    <cellStyle name="Normal 4 6 5 4 2" xfId="9169" xr:uid="{00000000-0005-0000-0000-0000DE230000}"/>
    <cellStyle name="Normal 4 6 5 4 2 2" xfId="9170" xr:uid="{00000000-0005-0000-0000-0000DF230000}"/>
    <cellStyle name="Normal 4 6 5 4 2 3" xfId="9171" xr:uid="{00000000-0005-0000-0000-0000E0230000}"/>
    <cellStyle name="Normal 4 6 5 4 3" xfId="9172" xr:uid="{00000000-0005-0000-0000-0000E1230000}"/>
    <cellStyle name="Normal 4 6 5 4 4" xfId="9173" xr:uid="{00000000-0005-0000-0000-0000E2230000}"/>
    <cellStyle name="Normal 4 6 5 5" xfId="9174" xr:uid="{00000000-0005-0000-0000-0000E3230000}"/>
    <cellStyle name="Normal 4 6 5 5 2" xfId="9175" xr:uid="{00000000-0005-0000-0000-0000E4230000}"/>
    <cellStyle name="Normal 4 6 5 5 3" xfId="9176" xr:uid="{00000000-0005-0000-0000-0000E5230000}"/>
    <cellStyle name="Normal 4 6 5 6" xfId="9177" xr:uid="{00000000-0005-0000-0000-0000E6230000}"/>
    <cellStyle name="Normal 4 6 5 7" xfId="9178" xr:uid="{00000000-0005-0000-0000-0000E7230000}"/>
    <cellStyle name="Normal 4 6 5 8" xfId="9179" xr:uid="{00000000-0005-0000-0000-0000E8230000}"/>
    <cellStyle name="Normal 4 6 6" xfId="9180" xr:uid="{00000000-0005-0000-0000-0000E9230000}"/>
    <cellStyle name="Normal 4 6 6 2" xfId="9181" xr:uid="{00000000-0005-0000-0000-0000EA230000}"/>
    <cellStyle name="Normal 4 6 6 2 2" xfId="9182" xr:uid="{00000000-0005-0000-0000-0000EB230000}"/>
    <cellStyle name="Normal 4 6 6 2 2 2" xfId="9183" xr:uid="{00000000-0005-0000-0000-0000EC230000}"/>
    <cellStyle name="Normal 4 6 6 2 2 3" xfId="9184" xr:uid="{00000000-0005-0000-0000-0000ED230000}"/>
    <cellStyle name="Normal 4 6 6 2 3" xfId="9185" xr:uid="{00000000-0005-0000-0000-0000EE230000}"/>
    <cellStyle name="Normal 4 6 6 2 4" xfId="9186" xr:uid="{00000000-0005-0000-0000-0000EF230000}"/>
    <cellStyle name="Normal 4 6 6 3" xfId="9187" xr:uid="{00000000-0005-0000-0000-0000F0230000}"/>
    <cellStyle name="Normal 4 6 6 3 2" xfId="9188" xr:uid="{00000000-0005-0000-0000-0000F1230000}"/>
    <cellStyle name="Normal 4 6 6 3 2 2" xfId="9189" xr:uid="{00000000-0005-0000-0000-0000F2230000}"/>
    <cellStyle name="Normal 4 6 6 3 2 3" xfId="9190" xr:uid="{00000000-0005-0000-0000-0000F3230000}"/>
    <cellStyle name="Normal 4 6 6 3 3" xfId="9191" xr:uid="{00000000-0005-0000-0000-0000F4230000}"/>
    <cellStyle name="Normal 4 6 6 3 4" xfId="9192" xr:uid="{00000000-0005-0000-0000-0000F5230000}"/>
    <cellStyle name="Normal 4 6 6 4" xfId="9193" xr:uid="{00000000-0005-0000-0000-0000F6230000}"/>
    <cellStyle name="Normal 4 6 6 4 2" xfId="9194" xr:uid="{00000000-0005-0000-0000-0000F7230000}"/>
    <cellStyle name="Normal 4 6 6 4 3" xfId="9195" xr:uid="{00000000-0005-0000-0000-0000F8230000}"/>
    <cellStyle name="Normal 4 6 6 5" xfId="9196" xr:uid="{00000000-0005-0000-0000-0000F9230000}"/>
    <cellStyle name="Normal 4 6 6 6" xfId="9197" xr:uid="{00000000-0005-0000-0000-0000FA230000}"/>
    <cellStyle name="Normal 4 6 6 7" xfId="9198" xr:uid="{00000000-0005-0000-0000-0000FB230000}"/>
    <cellStyle name="Normal 4 6 7" xfId="9199" xr:uid="{00000000-0005-0000-0000-0000FC230000}"/>
    <cellStyle name="Normal 4 6 7 2" xfId="9200" xr:uid="{00000000-0005-0000-0000-0000FD230000}"/>
    <cellStyle name="Normal 4 6 7 2 2" xfId="9201" xr:uid="{00000000-0005-0000-0000-0000FE230000}"/>
    <cellStyle name="Normal 4 6 7 2 2 2" xfId="9202" xr:uid="{00000000-0005-0000-0000-0000FF230000}"/>
    <cellStyle name="Normal 4 6 7 2 2 3" xfId="9203" xr:uid="{00000000-0005-0000-0000-000000240000}"/>
    <cellStyle name="Normal 4 6 7 2 3" xfId="9204" xr:uid="{00000000-0005-0000-0000-000001240000}"/>
    <cellStyle name="Normal 4 6 7 2 4" xfId="9205" xr:uid="{00000000-0005-0000-0000-000002240000}"/>
    <cellStyle name="Normal 4 6 7 3" xfId="9206" xr:uid="{00000000-0005-0000-0000-000003240000}"/>
    <cellStyle name="Normal 4 6 7 3 2" xfId="9207" xr:uid="{00000000-0005-0000-0000-000004240000}"/>
    <cellStyle name="Normal 4 6 7 3 3" xfId="9208" xr:uid="{00000000-0005-0000-0000-000005240000}"/>
    <cellStyle name="Normal 4 6 7 4" xfId="9209" xr:uid="{00000000-0005-0000-0000-000006240000}"/>
    <cellStyle name="Normal 4 6 7 5" xfId="9210" xr:uid="{00000000-0005-0000-0000-000007240000}"/>
    <cellStyle name="Normal 4 6 7 6" xfId="9211" xr:uid="{00000000-0005-0000-0000-000008240000}"/>
    <cellStyle name="Normal 4 6 8" xfId="9212" xr:uid="{00000000-0005-0000-0000-000009240000}"/>
    <cellStyle name="Normal 4 6 8 2" xfId="9213" xr:uid="{00000000-0005-0000-0000-00000A240000}"/>
    <cellStyle name="Normal 4 6 8 3" xfId="9214" xr:uid="{00000000-0005-0000-0000-00000B240000}"/>
    <cellStyle name="Normal 4 6 9" xfId="9215" xr:uid="{00000000-0005-0000-0000-00000C240000}"/>
    <cellStyle name="Normal 4 7" xfId="9216" xr:uid="{00000000-0005-0000-0000-00000D240000}"/>
    <cellStyle name="Normal 4 7 10" xfId="9217" xr:uid="{00000000-0005-0000-0000-00000E240000}"/>
    <cellStyle name="Normal 4 7 2" xfId="9218" xr:uid="{00000000-0005-0000-0000-00000F240000}"/>
    <cellStyle name="Normal 4 7 2 2" xfId="9219" xr:uid="{00000000-0005-0000-0000-000010240000}"/>
    <cellStyle name="Normal 4 7 2 2 2" xfId="9220" xr:uid="{00000000-0005-0000-0000-000011240000}"/>
    <cellStyle name="Normal 4 7 2 2 2 2" xfId="9221" xr:uid="{00000000-0005-0000-0000-000012240000}"/>
    <cellStyle name="Normal 4 7 2 2 2 2 2" xfId="9222" xr:uid="{00000000-0005-0000-0000-000013240000}"/>
    <cellStyle name="Normal 4 7 2 2 2 2 3" xfId="9223" xr:uid="{00000000-0005-0000-0000-000014240000}"/>
    <cellStyle name="Normal 4 7 2 2 2 3" xfId="9224" xr:uid="{00000000-0005-0000-0000-000015240000}"/>
    <cellStyle name="Normal 4 7 2 2 2 4" xfId="9225" xr:uid="{00000000-0005-0000-0000-000016240000}"/>
    <cellStyle name="Normal 4 7 2 2 3" xfId="9226" xr:uid="{00000000-0005-0000-0000-000017240000}"/>
    <cellStyle name="Normal 4 7 2 2 3 2" xfId="9227" xr:uid="{00000000-0005-0000-0000-000018240000}"/>
    <cellStyle name="Normal 4 7 2 2 3 2 2" xfId="9228" xr:uid="{00000000-0005-0000-0000-000019240000}"/>
    <cellStyle name="Normal 4 7 2 2 3 2 3" xfId="9229" xr:uid="{00000000-0005-0000-0000-00001A240000}"/>
    <cellStyle name="Normal 4 7 2 2 3 3" xfId="9230" xr:uid="{00000000-0005-0000-0000-00001B240000}"/>
    <cellStyle name="Normal 4 7 2 2 3 4" xfId="9231" xr:uid="{00000000-0005-0000-0000-00001C240000}"/>
    <cellStyle name="Normal 4 7 2 2 4" xfId="9232" xr:uid="{00000000-0005-0000-0000-00001D240000}"/>
    <cellStyle name="Normal 4 7 2 2 4 2" xfId="9233" xr:uid="{00000000-0005-0000-0000-00001E240000}"/>
    <cellStyle name="Normal 4 7 2 2 4 3" xfId="9234" xr:uid="{00000000-0005-0000-0000-00001F240000}"/>
    <cellStyle name="Normal 4 7 2 2 5" xfId="9235" xr:uid="{00000000-0005-0000-0000-000020240000}"/>
    <cellStyle name="Normal 4 7 2 2 6" xfId="9236" xr:uid="{00000000-0005-0000-0000-000021240000}"/>
    <cellStyle name="Normal 4 7 2 2 7" xfId="9237" xr:uid="{00000000-0005-0000-0000-000022240000}"/>
    <cellStyle name="Normal 4 7 2 3" xfId="9238" xr:uid="{00000000-0005-0000-0000-000023240000}"/>
    <cellStyle name="Normal 4 7 2 3 2" xfId="9239" xr:uid="{00000000-0005-0000-0000-000024240000}"/>
    <cellStyle name="Normal 4 7 2 3 2 2" xfId="9240" xr:uid="{00000000-0005-0000-0000-000025240000}"/>
    <cellStyle name="Normal 4 7 2 3 2 3" xfId="9241" xr:uid="{00000000-0005-0000-0000-000026240000}"/>
    <cellStyle name="Normal 4 7 2 3 3" xfId="9242" xr:uid="{00000000-0005-0000-0000-000027240000}"/>
    <cellStyle name="Normal 4 7 2 3 4" xfId="9243" xr:uid="{00000000-0005-0000-0000-000028240000}"/>
    <cellStyle name="Normal 4 7 2 4" xfId="9244" xr:uid="{00000000-0005-0000-0000-000029240000}"/>
    <cellStyle name="Normal 4 7 2 4 2" xfId="9245" xr:uid="{00000000-0005-0000-0000-00002A240000}"/>
    <cellStyle name="Normal 4 7 2 4 2 2" xfId="9246" xr:uid="{00000000-0005-0000-0000-00002B240000}"/>
    <cellStyle name="Normal 4 7 2 4 2 3" xfId="9247" xr:uid="{00000000-0005-0000-0000-00002C240000}"/>
    <cellStyle name="Normal 4 7 2 4 3" xfId="9248" xr:uid="{00000000-0005-0000-0000-00002D240000}"/>
    <cellStyle name="Normal 4 7 2 4 4" xfId="9249" xr:uid="{00000000-0005-0000-0000-00002E240000}"/>
    <cellStyle name="Normal 4 7 2 5" xfId="9250" xr:uid="{00000000-0005-0000-0000-00002F240000}"/>
    <cellStyle name="Normal 4 7 2 5 2" xfId="9251" xr:uid="{00000000-0005-0000-0000-000030240000}"/>
    <cellStyle name="Normal 4 7 2 5 3" xfId="9252" xr:uid="{00000000-0005-0000-0000-000031240000}"/>
    <cellStyle name="Normal 4 7 2 6" xfId="9253" xr:uid="{00000000-0005-0000-0000-000032240000}"/>
    <cellStyle name="Normal 4 7 2 7" xfId="9254" xr:uid="{00000000-0005-0000-0000-000033240000}"/>
    <cellStyle name="Normal 4 7 2 8" xfId="9255" xr:uid="{00000000-0005-0000-0000-000034240000}"/>
    <cellStyle name="Normal 4 7 3" xfId="9256" xr:uid="{00000000-0005-0000-0000-000035240000}"/>
    <cellStyle name="Normal 4 7 3 2" xfId="9257" xr:uid="{00000000-0005-0000-0000-000036240000}"/>
    <cellStyle name="Normal 4 7 3 3" xfId="9258" xr:uid="{00000000-0005-0000-0000-000037240000}"/>
    <cellStyle name="Normal 4 7 3 4" xfId="9259" xr:uid="{00000000-0005-0000-0000-000038240000}"/>
    <cellStyle name="Normal 4 7 4" xfId="9260" xr:uid="{00000000-0005-0000-0000-000039240000}"/>
    <cellStyle name="Normal 4 7 4 2" xfId="9261" xr:uid="{00000000-0005-0000-0000-00003A240000}"/>
    <cellStyle name="Normal 4 7 4 2 2" xfId="9262" xr:uid="{00000000-0005-0000-0000-00003B240000}"/>
    <cellStyle name="Normal 4 7 4 2 2 2" xfId="9263" xr:uid="{00000000-0005-0000-0000-00003C240000}"/>
    <cellStyle name="Normal 4 7 4 2 2 3" xfId="9264" xr:uid="{00000000-0005-0000-0000-00003D240000}"/>
    <cellStyle name="Normal 4 7 4 2 3" xfId="9265" xr:uid="{00000000-0005-0000-0000-00003E240000}"/>
    <cellStyle name="Normal 4 7 4 2 4" xfId="9266" xr:uid="{00000000-0005-0000-0000-00003F240000}"/>
    <cellStyle name="Normal 4 7 4 3" xfId="9267" xr:uid="{00000000-0005-0000-0000-000040240000}"/>
    <cellStyle name="Normal 4 7 4 3 2" xfId="9268" xr:uid="{00000000-0005-0000-0000-000041240000}"/>
    <cellStyle name="Normal 4 7 4 3 2 2" xfId="9269" xr:uid="{00000000-0005-0000-0000-000042240000}"/>
    <cellStyle name="Normal 4 7 4 3 2 3" xfId="9270" xr:uid="{00000000-0005-0000-0000-000043240000}"/>
    <cellStyle name="Normal 4 7 4 3 3" xfId="9271" xr:uid="{00000000-0005-0000-0000-000044240000}"/>
    <cellStyle name="Normal 4 7 4 3 4" xfId="9272" xr:uid="{00000000-0005-0000-0000-000045240000}"/>
    <cellStyle name="Normal 4 7 4 4" xfId="9273" xr:uid="{00000000-0005-0000-0000-000046240000}"/>
    <cellStyle name="Normal 4 7 4 4 2" xfId="9274" xr:uid="{00000000-0005-0000-0000-000047240000}"/>
    <cellStyle name="Normal 4 7 4 4 3" xfId="9275" xr:uid="{00000000-0005-0000-0000-000048240000}"/>
    <cellStyle name="Normal 4 7 4 5" xfId="9276" xr:uid="{00000000-0005-0000-0000-000049240000}"/>
    <cellStyle name="Normal 4 7 4 6" xfId="9277" xr:uid="{00000000-0005-0000-0000-00004A240000}"/>
    <cellStyle name="Normal 4 7 4 7" xfId="9278" xr:uid="{00000000-0005-0000-0000-00004B240000}"/>
    <cellStyle name="Normal 4 7 5" xfId="9279" xr:uid="{00000000-0005-0000-0000-00004C240000}"/>
    <cellStyle name="Normal 4 7 5 2" xfId="9280" xr:uid="{00000000-0005-0000-0000-00004D240000}"/>
    <cellStyle name="Normal 4 7 5 2 2" xfId="9281" xr:uid="{00000000-0005-0000-0000-00004E240000}"/>
    <cellStyle name="Normal 4 7 5 2 2 2" xfId="9282" xr:uid="{00000000-0005-0000-0000-00004F240000}"/>
    <cellStyle name="Normal 4 7 5 2 2 3" xfId="9283" xr:uid="{00000000-0005-0000-0000-000050240000}"/>
    <cellStyle name="Normal 4 7 5 2 3" xfId="9284" xr:uid="{00000000-0005-0000-0000-000051240000}"/>
    <cellStyle name="Normal 4 7 5 2 4" xfId="9285" xr:uid="{00000000-0005-0000-0000-000052240000}"/>
    <cellStyle name="Normal 4 7 5 3" xfId="9286" xr:uid="{00000000-0005-0000-0000-000053240000}"/>
    <cellStyle name="Normal 4 7 5 3 2" xfId="9287" xr:uid="{00000000-0005-0000-0000-000054240000}"/>
    <cellStyle name="Normal 4 7 5 3 3" xfId="9288" xr:uid="{00000000-0005-0000-0000-000055240000}"/>
    <cellStyle name="Normal 4 7 5 4" xfId="9289" xr:uid="{00000000-0005-0000-0000-000056240000}"/>
    <cellStyle name="Normal 4 7 5 5" xfId="9290" xr:uid="{00000000-0005-0000-0000-000057240000}"/>
    <cellStyle name="Normal 4 7 5 6" xfId="9291" xr:uid="{00000000-0005-0000-0000-000058240000}"/>
    <cellStyle name="Normal 4 7 6" xfId="9292" xr:uid="{00000000-0005-0000-0000-000059240000}"/>
    <cellStyle name="Normal 4 7 6 2" xfId="9293" xr:uid="{00000000-0005-0000-0000-00005A240000}"/>
    <cellStyle name="Normal 4 7 6 3" xfId="9294" xr:uid="{00000000-0005-0000-0000-00005B240000}"/>
    <cellStyle name="Normal 4 7 7" xfId="9295" xr:uid="{00000000-0005-0000-0000-00005C240000}"/>
    <cellStyle name="Normal 4 7 8" xfId="9296" xr:uid="{00000000-0005-0000-0000-00005D240000}"/>
    <cellStyle name="Normal 4 7 9" xfId="9297" xr:uid="{00000000-0005-0000-0000-00005E240000}"/>
    <cellStyle name="Normal 4 8" xfId="9298" xr:uid="{00000000-0005-0000-0000-00005F240000}"/>
    <cellStyle name="Normal 4 8 10" xfId="9299" xr:uid="{00000000-0005-0000-0000-000060240000}"/>
    <cellStyle name="Normal 4 8 2" xfId="9300" xr:uid="{00000000-0005-0000-0000-000061240000}"/>
    <cellStyle name="Normal 4 8 2 2" xfId="9301" xr:uid="{00000000-0005-0000-0000-000062240000}"/>
    <cellStyle name="Normal 4 8 2 3" xfId="9302" xr:uid="{00000000-0005-0000-0000-000063240000}"/>
    <cellStyle name="Normal 4 8 2 4" xfId="9303" xr:uid="{00000000-0005-0000-0000-000064240000}"/>
    <cellStyle name="Normal 4 8 3" xfId="9304" xr:uid="{00000000-0005-0000-0000-000065240000}"/>
    <cellStyle name="Normal 4 8 3 2" xfId="9305" xr:uid="{00000000-0005-0000-0000-000066240000}"/>
    <cellStyle name="Normal 4 8 3 3" xfId="9306" xr:uid="{00000000-0005-0000-0000-000067240000}"/>
    <cellStyle name="Normal 4 8 3 4" xfId="9307" xr:uid="{00000000-0005-0000-0000-000068240000}"/>
    <cellStyle name="Normal 4 8 4" xfId="9308" xr:uid="{00000000-0005-0000-0000-000069240000}"/>
    <cellStyle name="Normal 4 8 4 2" xfId="9309" xr:uid="{00000000-0005-0000-0000-00006A240000}"/>
    <cellStyle name="Normal 4 8 4 2 2" xfId="9310" xr:uid="{00000000-0005-0000-0000-00006B240000}"/>
    <cellStyle name="Normal 4 8 4 2 2 2" xfId="9311" xr:uid="{00000000-0005-0000-0000-00006C240000}"/>
    <cellStyle name="Normal 4 8 4 2 2 3" xfId="9312" xr:uid="{00000000-0005-0000-0000-00006D240000}"/>
    <cellStyle name="Normal 4 8 4 2 3" xfId="9313" xr:uid="{00000000-0005-0000-0000-00006E240000}"/>
    <cellStyle name="Normal 4 8 4 2 4" xfId="9314" xr:uid="{00000000-0005-0000-0000-00006F240000}"/>
    <cellStyle name="Normal 4 8 4 3" xfId="9315" xr:uid="{00000000-0005-0000-0000-000070240000}"/>
    <cellStyle name="Normal 4 8 4 3 2" xfId="9316" xr:uid="{00000000-0005-0000-0000-000071240000}"/>
    <cellStyle name="Normal 4 8 4 3 2 2" xfId="9317" xr:uid="{00000000-0005-0000-0000-000072240000}"/>
    <cellStyle name="Normal 4 8 4 3 2 3" xfId="9318" xr:uid="{00000000-0005-0000-0000-000073240000}"/>
    <cellStyle name="Normal 4 8 4 3 3" xfId="9319" xr:uid="{00000000-0005-0000-0000-000074240000}"/>
    <cellStyle name="Normal 4 8 4 3 4" xfId="9320" xr:uid="{00000000-0005-0000-0000-000075240000}"/>
    <cellStyle name="Normal 4 8 4 4" xfId="9321" xr:uid="{00000000-0005-0000-0000-000076240000}"/>
    <cellStyle name="Normal 4 8 4 4 2" xfId="9322" xr:uid="{00000000-0005-0000-0000-000077240000}"/>
    <cellStyle name="Normal 4 8 4 4 3" xfId="9323" xr:uid="{00000000-0005-0000-0000-000078240000}"/>
    <cellStyle name="Normal 4 8 4 5" xfId="9324" xr:uid="{00000000-0005-0000-0000-000079240000}"/>
    <cellStyle name="Normal 4 8 4 6" xfId="9325" xr:uid="{00000000-0005-0000-0000-00007A240000}"/>
    <cellStyle name="Normal 4 8 4 7" xfId="9326" xr:uid="{00000000-0005-0000-0000-00007B240000}"/>
    <cellStyle name="Normal 4 8 5" xfId="9327" xr:uid="{00000000-0005-0000-0000-00007C240000}"/>
    <cellStyle name="Normal 4 8 5 2" xfId="9328" xr:uid="{00000000-0005-0000-0000-00007D240000}"/>
    <cellStyle name="Normal 4 8 5 2 2" xfId="9329" xr:uid="{00000000-0005-0000-0000-00007E240000}"/>
    <cellStyle name="Normal 4 8 5 2 2 2" xfId="9330" xr:uid="{00000000-0005-0000-0000-00007F240000}"/>
    <cellStyle name="Normal 4 8 5 2 2 3" xfId="9331" xr:uid="{00000000-0005-0000-0000-000080240000}"/>
    <cellStyle name="Normal 4 8 5 2 3" xfId="9332" xr:uid="{00000000-0005-0000-0000-000081240000}"/>
    <cellStyle name="Normal 4 8 5 2 4" xfId="9333" xr:uid="{00000000-0005-0000-0000-000082240000}"/>
    <cellStyle name="Normal 4 8 5 3" xfId="9334" xr:uid="{00000000-0005-0000-0000-000083240000}"/>
    <cellStyle name="Normal 4 8 5 3 2" xfId="9335" xr:uid="{00000000-0005-0000-0000-000084240000}"/>
    <cellStyle name="Normal 4 8 5 3 3" xfId="9336" xr:uid="{00000000-0005-0000-0000-000085240000}"/>
    <cellStyle name="Normal 4 8 5 4" xfId="9337" xr:uid="{00000000-0005-0000-0000-000086240000}"/>
    <cellStyle name="Normal 4 8 5 5" xfId="9338" xr:uid="{00000000-0005-0000-0000-000087240000}"/>
    <cellStyle name="Normal 4 8 5 6" xfId="9339" xr:uid="{00000000-0005-0000-0000-000088240000}"/>
    <cellStyle name="Normal 4 8 6" xfId="9340" xr:uid="{00000000-0005-0000-0000-000089240000}"/>
    <cellStyle name="Normal 4 8 6 2" xfId="9341" xr:uid="{00000000-0005-0000-0000-00008A240000}"/>
    <cellStyle name="Normal 4 8 6 3" xfId="9342" xr:uid="{00000000-0005-0000-0000-00008B240000}"/>
    <cellStyle name="Normal 4 8 7" xfId="9343" xr:uid="{00000000-0005-0000-0000-00008C240000}"/>
    <cellStyle name="Normal 4 8 8" xfId="9344" xr:uid="{00000000-0005-0000-0000-00008D240000}"/>
    <cellStyle name="Normal 4 8 9" xfId="9345" xr:uid="{00000000-0005-0000-0000-00008E240000}"/>
    <cellStyle name="Normal 4 9" xfId="9346" xr:uid="{00000000-0005-0000-0000-00008F240000}"/>
    <cellStyle name="Normal 4 9 2" xfId="9347" xr:uid="{00000000-0005-0000-0000-000090240000}"/>
    <cellStyle name="Normal 4 9 2 2" xfId="9348" xr:uid="{00000000-0005-0000-0000-000091240000}"/>
    <cellStyle name="Normal 4 9 2 3" xfId="9349" xr:uid="{00000000-0005-0000-0000-000092240000}"/>
    <cellStyle name="Normal 4 9 2 4" xfId="9350" xr:uid="{00000000-0005-0000-0000-000093240000}"/>
    <cellStyle name="Normal 4 9 3" xfId="9351" xr:uid="{00000000-0005-0000-0000-000094240000}"/>
    <cellStyle name="Normal 4 9 3 2" xfId="9352" xr:uid="{00000000-0005-0000-0000-000095240000}"/>
    <cellStyle name="Normal 4 9 3 3" xfId="9353" xr:uid="{00000000-0005-0000-0000-000096240000}"/>
    <cellStyle name="Normal 4 9 3 4" xfId="9354" xr:uid="{00000000-0005-0000-0000-000097240000}"/>
    <cellStyle name="Normal 4 9 4" xfId="9355" xr:uid="{00000000-0005-0000-0000-000098240000}"/>
    <cellStyle name="Normal 4 9 5" xfId="9356" xr:uid="{00000000-0005-0000-0000-000099240000}"/>
    <cellStyle name="Normal 4 9 6" xfId="9357" xr:uid="{00000000-0005-0000-0000-00009A240000}"/>
    <cellStyle name="Normal 4 9 7" xfId="9358" xr:uid="{00000000-0005-0000-0000-00009B240000}"/>
    <cellStyle name="Normal 4_DACNEW" xfId="17762" xr:uid="{00000000-0005-0000-0000-00009C240000}"/>
    <cellStyle name="Normal 40" xfId="9359" xr:uid="{00000000-0005-0000-0000-00009D240000}"/>
    <cellStyle name="Normal 40 2" xfId="9360" xr:uid="{00000000-0005-0000-0000-00009E240000}"/>
    <cellStyle name="Normal 40 3" xfId="9361" xr:uid="{00000000-0005-0000-0000-00009F240000}"/>
    <cellStyle name="Normal 40 4" xfId="9362" xr:uid="{00000000-0005-0000-0000-0000A0240000}"/>
    <cellStyle name="Normal 44" xfId="9363" xr:uid="{00000000-0005-0000-0000-0000A1240000}"/>
    <cellStyle name="Normal 45" xfId="9364" xr:uid="{00000000-0005-0000-0000-0000A2240000}"/>
    <cellStyle name="Normal 5" xfId="9365" xr:uid="{00000000-0005-0000-0000-0000A3240000}"/>
    <cellStyle name="Normal 5 10" xfId="9366" xr:uid="{00000000-0005-0000-0000-0000A4240000}"/>
    <cellStyle name="Normal 5 10 2" xfId="9367" xr:uid="{00000000-0005-0000-0000-0000A5240000}"/>
    <cellStyle name="Normal 5 10 2 2" xfId="9368" xr:uid="{00000000-0005-0000-0000-0000A6240000}"/>
    <cellStyle name="Normal 5 10 2 3" xfId="9369" xr:uid="{00000000-0005-0000-0000-0000A7240000}"/>
    <cellStyle name="Normal 5 10 2 4" xfId="9370" xr:uid="{00000000-0005-0000-0000-0000A8240000}"/>
    <cellStyle name="Normal 5 10 3" xfId="9371" xr:uid="{00000000-0005-0000-0000-0000A9240000}"/>
    <cellStyle name="Normal 5 10 3 2" xfId="9372" xr:uid="{00000000-0005-0000-0000-0000AA240000}"/>
    <cellStyle name="Normal 5 10 3 3" xfId="9373" xr:uid="{00000000-0005-0000-0000-0000AB240000}"/>
    <cellStyle name="Normal 5 10 3 4" xfId="9374" xr:uid="{00000000-0005-0000-0000-0000AC240000}"/>
    <cellStyle name="Normal 5 10 4" xfId="9375" xr:uid="{00000000-0005-0000-0000-0000AD240000}"/>
    <cellStyle name="Normal 5 10 5" xfId="9376" xr:uid="{00000000-0005-0000-0000-0000AE240000}"/>
    <cellStyle name="Normal 5 10 6" xfId="9377" xr:uid="{00000000-0005-0000-0000-0000AF240000}"/>
    <cellStyle name="Normal 5 10 7" xfId="9378" xr:uid="{00000000-0005-0000-0000-0000B0240000}"/>
    <cellStyle name="Normal 5 11" xfId="9379" xr:uid="{00000000-0005-0000-0000-0000B1240000}"/>
    <cellStyle name="Normal 5 11 2" xfId="9380" xr:uid="{00000000-0005-0000-0000-0000B2240000}"/>
    <cellStyle name="Normal 5 11 2 2" xfId="9381" xr:uid="{00000000-0005-0000-0000-0000B3240000}"/>
    <cellStyle name="Normal 5 11 2 3" xfId="9382" xr:uid="{00000000-0005-0000-0000-0000B4240000}"/>
    <cellStyle name="Normal 5 11 2 4" xfId="9383" xr:uid="{00000000-0005-0000-0000-0000B5240000}"/>
    <cellStyle name="Normal 5 11 3" xfId="9384" xr:uid="{00000000-0005-0000-0000-0000B6240000}"/>
    <cellStyle name="Normal 5 11 3 2" xfId="9385" xr:uid="{00000000-0005-0000-0000-0000B7240000}"/>
    <cellStyle name="Normal 5 11 3 3" xfId="9386" xr:uid="{00000000-0005-0000-0000-0000B8240000}"/>
    <cellStyle name="Normal 5 11 3 4" xfId="9387" xr:uid="{00000000-0005-0000-0000-0000B9240000}"/>
    <cellStyle name="Normal 5 11 4" xfId="9388" xr:uid="{00000000-0005-0000-0000-0000BA240000}"/>
    <cellStyle name="Normal 5 11 5" xfId="9389" xr:uid="{00000000-0005-0000-0000-0000BB240000}"/>
    <cellStyle name="Normal 5 11 6" xfId="9390" xr:uid="{00000000-0005-0000-0000-0000BC240000}"/>
    <cellStyle name="Normal 5 11 7" xfId="9391" xr:uid="{00000000-0005-0000-0000-0000BD240000}"/>
    <cellStyle name="Normal 5 12" xfId="9392" xr:uid="{00000000-0005-0000-0000-0000BE240000}"/>
    <cellStyle name="Normal 5 12 2" xfId="9393" xr:uid="{00000000-0005-0000-0000-0000BF240000}"/>
    <cellStyle name="Normal 5 12 2 2" xfId="9394" xr:uid="{00000000-0005-0000-0000-0000C0240000}"/>
    <cellStyle name="Normal 5 12 2 3" xfId="9395" xr:uid="{00000000-0005-0000-0000-0000C1240000}"/>
    <cellStyle name="Normal 5 12 2 4" xfId="9396" xr:uid="{00000000-0005-0000-0000-0000C2240000}"/>
    <cellStyle name="Normal 5 12 3" xfId="9397" xr:uid="{00000000-0005-0000-0000-0000C3240000}"/>
    <cellStyle name="Normal 5 12 3 2" xfId="9398" xr:uid="{00000000-0005-0000-0000-0000C4240000}"/>
    <cellStyle name="Normal 5 12 3 2 2" xfId="9399" xr:uid="{00000000-0005-0000-0000-0000C5240000}"/>
    <cellStyle name="Normal 5 12 3 2 2 2" xfId="9400" xr:uid="{00000000-0005-0000-0000-0000C6240000}"/>
    <cellStyle name="Normal 5 12 3 2 2 3" xfId="9401" xr:uid="{00000000-0005-0000-0000-0000C7240000}"/>
    <cellStyle name="Normal 5 12 3 2 3" xfId="9402" xr:uid="{00000000-0005-0000-0000-0000C8240000}"/>
    <cellStyle name="Normal 5 12 3 2 4" xfId="9403" xr:uid="{00000000-0005-0000-0000-0000C9240000}"/>
    <cellStyle name="Normal 5 12 3 3" xfId="9404" xr:uid="{00000000-0005-0000-0000-0000CA240000}"/>
    <cellStyle name="Normal 5 12 3 3 2" xfId="9405" xr:uid="{00000000-0005-0000-0000-0000CB240000}"/>
    <cellStyle name="Normal 5 12 3 3 2 2" xfId="9406" xr:uid="{00000000-0005-0000-0000-0000CC240000}"/>
    <cellStyle name="Normal 5 12 3 3 2 3" xfId="9407" xr:uid="{00000000-0005-0000-0000-0000CD240000}"/>
    <cellStyle name="Normal 5 12 3 3 3" xfId="9408" xr:uid="{00000000-0005-0000-0000-0000CE240000}"/>
    <cellStyle name="Normal 5 12 3 3 4" xfId="9409" xr:uid="{00000000-0005-0000-0000-0000CF240000}"/>
    <cellStyle name="Normal 5 12 3 4" xfId="9410" xr:uid="{00000000-0005-0000-0000-0000D0240000}"/>
    <cellStyle name="Normal 5 12 3 4 2" xfId="9411" xr:uid="{00000000-0005-0000-0000-0000D1240000}"/>
    <cellStyle name="Normal 5 12 3 4 3" xfId="9412" xr:uid="{00000000-0005-0000-0000-0000D2240000}"/>
    <cellStyle name="Normal 5 12 3 5" xfId="9413" xr:uid="{00000000-0005-0000-0000-0000D3240000}"/>
    <cellStyle name="Normal 5 12 3 6" xfId="9414" xr:uid="{00000000-0005-0000-0000-0000D4240000}"/>
    <cellStyle name="Normal 5 12 3 7" xfId="9415" xr:uid="{00000000-0005-0000-0000-0000D5240000}"/>
    <cellStyle name="Normal 5 12 4" xfId="9416" xr:uid="{00000000-0005-0000-0000-0000D6240000}"/>
    <cellStyle name="Normal 5 12 4 2" xfId="9417" xr:uid="{00000000-0005-0000-0000-0000D7240000}"/>
    <cellStyle name="Normal 5 12 4 2 2" xfId="9418" xr:uid="{00000000-0005-0000-0000-0000D8240000}"/>
    <cellStyle name="Normal 5 12 4 2 2 2" xfId="9419" xr:uid="{00000000-0005-0000-0000-0000D9240000}"/>
    <cellStyle name="Normal 5 12 4 2 2 3" xfId="9420" xr:uid="{00000000-0005-0000-0000-0000DA240000}"/>
    <cellStyle name="Normal 5 12 4 2 3" xfId="9421" xr:uid="{00000000-0005-0000-0000-0000DB240000}"/>
    <cellStyle name="Normal 5 12 4 2 4" xfId="9422" xr:uid="{00000000-0005-0000-0000-0000DC240000}"/>
    <cellStyle name="Normal 5 12 4 3" xfId="9423" xr:uid="{00000000-0005-0000-0000-0000DD240000}"/>
    <cellStyle name="Normal 5 12 4 3 2" xfId="9424" xr:uid="{00000000-0005-0000-0000-0000DE240000}"/>
    <cellStyle name="Normal 5 12 4 3 3" xfId="9425" xr:uid="{00000000-0005-0000-0000-0000DF240000}"/>
    <cellStyle name="Normal 5 12 4 4" xfId="9426" xr:uid="{00000000-0005-0000-0000-0000E0240000}"/>
    <cellStyle name="Normal 5 12 4 5" xfId="9427" xr:uid="{00000000-0005-0000-0000-0000E1240000}"/>
    <cellStyle name="Normal 5 12 4 6" xfId="9428" xr:uid="{00000000-0005-0000-0000-0000E2240000}"/>
    <cellStyle name="Normal 5 12 5" xfId="9429" xr:uid="{00000000-0005-0000-0000-0000E3240000}"/>
    <cellStyle name="Normal 5 12 5 2" xfId="9430" xr:uid="{00000000-0005-0000-0000-0000E4240000}"/>
    <cellStyle name="Normal 5 12 5 3" xfId="9431" xr:uid="{00000000-0005-0000-0000-0000E5240000}"/>
    <cellStyle name="Normal 5 12 6" xfId="9432" xr:uid="{00000000-0005-0000-0000-0000E6240000}"/>
    <cellStyle name="Normal 5 12 7" xfId="9433" xr:uid="{00000000-0005-0000-0000-0000E7240000}"/>
    <cellStyle name="Normal 5 12 8" xfId="9434" xr:uid="{00000000-0005-0000-0000-0000E8240000}"/>
    <cellStyle name="Normal 5 12 9" xfId="9435" xr:uid="{00000000-0005-0000-0000-0000E9240000}"/>
    <cellStyle name="Normal 5 13" xfId="9436" xr:uid="{00000000-0005-0000-0000-0000EA240000}"/>
    <cellStyle name="Normal 5 13 2" xfId="9437" xr:uid="{00000000-0005-0000-0000-0000EB240000}"/>
    <cellStyle name="Normal 5 13 2 2" xfId="9438" xr:uid="{00000000-0005-0000-0000-0000EC240000}"/>
    <cellStyle name="Normal 5 13 2 2 2" xfId="9439" xr:uid="{00000000-0005-0000-0000-0000ED240000}"/>
    <cellStyle name="Normal 5 13 2 2 2 2" xfId="9440" xr:uid="{00000000-0005-0000-0000-0000EE240000}"/>
    <cellStyle name="Normal 5 13 2 2 2 3" xfId="9441" xr:uid="{00000000-0005-0000-0000-0000EF240000}"/>
    <cellStyle name="Normal 5 13 2 2 3" xfId="9442" xr:uid="{00000000-0005-0000-0000-0000F0240000}"/>
    <cellStyle name="Normal 5 13 2 2 4" xfId="9443" xr:uid="{00000000-0005-0000-0000-0000F1240000}"/>
    <cellStyle name="Normal 5 13 2 3" xfId="9444" xr:uid="{00000000-0005-0000-0000-0000F2240000}"/>
    <cellStyle name="Normal 5 13 2 3 2" xfId="9445" xr:uid="{00000000-0005-0000-0000-0000F3240000}"/>
    <cellStyle name="Normal 5 13 2 3 2 2" xfId="9446" xr:uid="{00000000-0005-0000-0000-0000F4240000}"/>
    <cellStyle name="Normal 5 13 2 3 2 3" xfId="9447" xr:uid="{00000000-0005-0000-0000-0000F5240000}"/>
    <cellStyle name="Normal 5 13 2 3 3" xfId="9448" xr:uid="{00000000-0005-0000-0000-0000F6240000}"/>
    <cellStyle name="Normal 5 13 2 3 4" xfId="9449" xr:uid="{00000000-0005-0000-0000-0000F7240000}"/>
    <cellStyle name="Normal 5 13 2 4" xfId="9450" xr:uid="{00000000-0005-0000-0000-0000F8240000}"/>
    <cellStyle name="Normal 5 13 2 4 2" xfId="9451" xr:uid="{00000000-0005-0000-0000-0000F9240000}"/>
    <cellStyle name="Normal 5 13 2 4 3" xfId="9452" xr:uid="{00000000-0005-0000-0000-0000FA240000}"/>
    <cellStyle name="Normal 5 13 2 5" xfId="9453" xr:uid="{00000000-0005-0000-0000-0000FB240000}"/>
    <cellStyle name="Normal 5 13 2 6" xfId="9454" xr:uid="{00000000-0005-0000-0000-0000FC240000}"/>
    <cellStyle name="Normal 5 13 2 7" xfId="9455" xr:uid="{00000000-0005-0000-0000-0000FD240000}"/>
    <cellStyle name="Normal 5 13 3" xfId="9456" xr:uid="{00000000-0005-0000-0000-0000FE240000}"/>
    <cellStyle name="Normal 5 13 3 2" xfId="9457" xr:uid="{00000000-0005-0000-0000-0000FF240000}"/>
    <cellStyle name="Normal 5 13 3 2 2" xfId="9458" xr:uid="{00000000-0005-0000-0000-000000250000}"/>
    <cellStyle name="Normal 5 13 3 2 3" xfId="9459" xr:uid="{00000000-0005-0000-0000-000001250000}"/>
    <cellStyle name="Normal 5 13 3 3" xfId="9460" xr:uid="{00000000-0005-0000-0000-000002250000}"/>
    <cellStyle name="Normal 5 13 3 4" xfId="9461" xr:uid="{00000000-0005-0000-0000-000003250000}"/>
    <cellStyle name="Normal 5 13 4" xfId="9462" xr:uid="{00000000-0005-0000-0000-000004250000}"/>
    <cellStyle name="Normal 5 13 4 2" xfId="9463" xr:uid="{00000000-0005-0000-0000-000005250000}"/>
    <cellStyle name="Normal 5 13 4 2 2" xfId="9464" xr:uid="{00000000-0005-0000-0000-000006250000}"/>
    <cellStyle name="Normal 5 13 4 2 3" xfId="9465" xr:uid="{00000000-0005-0000-0000-000007250000}"/>
    <cellStyle name="Normal 5 13 4 3" xfId="9466" xr:uid="{00000000-0005-0000-0000-000008250000}"/>
    <cellStyle name="Normal 5 13 4 4" xfId="9467" xr:uid="{00000000-0005-0000-0000-000009250000}"/>
    <cellStyle name="Normal 5 13 5" xfId="9468" xr:uid="{00000000-0005-0000-0000-00000A250000}"/>
    <cellStyle name="Normal 5 13 5 2" xfId="9469" xr:uid="{00000000-0005-0000-0000-00000B250000}"/>
    <cellStyle name="Normal 5 13 5 3" xfId="9470" xr:uid="{00000000-0005-0000-0000-00000C250000}"/>
    <cellStyle name="Normal 5 13 6" xfId="9471" xr:uid="{00000000-0005-0000-0000-00000D250000}"/>
    <cellStyle name="Normal 5 13 7" xfId="9472" xr:uid="{00000000-0005-0000-0000-00000E250000}"/>
    <cellStyle name="Normal 5 13 8" xfId="9473" xr:uid="{00000000-0005-0000-0000-00000F250000}"/>
    <cellStyle name="Normal 5 13 9" xfId="9474" xr:uid="{00000000-0005-0000-0000-000010250000}"/>
    <cellStyle name="Normal 5 14" xfId="9475" xr:uid="{00000000-0005-0000-0000-000011250000}"/>
    <cellStyle name="Normal 5 14 2" xfId="9476" xr:uid="{00000000-0005-0000-0000-000012250000}"/>
    <cellStyle name="Normal 5 15" xfId="9477" xr:uid="{00000000-0005-0000-0000-000013250000}"/>
    <cellStyle name="Normal 5 16" xfId="9478" xr:uid="{00000000-0005-0000-0000-000014250000}"/>
    <cellStyle name="Normal 5 17" xfId="9479" xr:uid="{00000000-0005-0000-0000-000015250000}"/>
    <cellStyle name="Normal 5 2" xfId="9480" xr:uid="{00000000-0005-0000-0000-000016250000}"/>
    <cellStyle name="Normal 5 2 10" xfId="9481" xr:uid="{00000000-0005-0000-0000-000017250000}"/>
    <cellStyle name="Normal 5 2 11" xfId="9482" xr:uid="{00000000-0005-0000-0000-000018250000}"/>
    <cellStyle name="Normal 5 2 12" xfId="9483" xr:uid="{00000000-0005-0000-0000-000019250000}"/>
    <cellStyle name="Normal 5 2 2" xfId="9484" xr:uid="{00000000-0005-0000-0000-00001A250000}"/>
    <cellStyle name="Normal 5 2 2 10" xfId="9485" xr:uid="{00000000-0005-0000-0000-00001B250000}"/>
    <cellStyle name="Normal 5 2 2 10 2" xfId="9486" xr:uid="{00000000-0005-0000-0000-00001C250000}"/>
    <cellStyle name="Normal 5 2 2 10 2 2" xfId="9487" xr:uid="{00000000-0005-0000-0000-00001D250000}"/>
    <cellStyle name="Normal 5 2 2 10 2 2 2" xfId="9488" xr:uid="{00000000-0005-0000-0000-00001E250000}"/>
    <cellStyle name="Normal 5 2 2 10 2 2 2 2" xfId="9489" xr:uid="{00000000-0005-0000-0000-00001F250000}"/>
    <cellStyle name="Normal 5 2 2 10 2 2 2 3" xfId="9490" xr:uid="{00000000-0005-0000-0000-000020250000}"/>
    <cellStyle name="Normal 5 2 2 10 2 2 3" xfId="9491" xr:uid="{00000000-0005-0000-0000-000021250000}"/>
    <cellStyle name="Normal 5 2 2 10 2 2 4" xfId="9492" xr:uid="{00000000-0005-0000-0000-000022250000}"/>
    <cellStyle name="Normal 5 2 2 10 2 3" xfId="9493" xr:uid="{00000000-0005-0000-0000-000023250000}"/>
    <cellStyle name="Normal 5 2 2 10 2 3 2" xfId="9494" xr:uid="{00000000-0005-0000-0000-000024250000}"/>
    <cellStyle name="Normal 5 2 2 10 2 3 2 2" xfId="9495" xr:uid="{00000000-0005-0000-0000-000025250000}"/>
    <cellStyle name="Normal 5 2 2 10 2 3 2 3" xfId="9496" xr:uid="{00000000-0005-0000-0000-000026250000}"/>
    <cellStyle name="Normal 5 2 2 10 2 3 3" xfId="9497" xr:uid="{00000000-0005-0000-0000-000027250000}"/>
    <cellStyle name="Normal 5 2 2 10 2 3 4" xfId="9498" xr:uid="{00000000-0005-0000-0000-000028250000}"/>
    <cellStyle name="Normal 5 2 2 10 2 4" xfId="9499" xr:uid="{00000000-0005-0000-0000-000029250000}"/>
    <cellStyle name="Normal 5 2 2 10 2 4 2" xfId="9500" xr:uid="{00000000-0005-0000-0000-00002A250000}"/>
    <cellStyle name="Normal 5 2 2 10 2 4 3" xfId="9501" xr:uid="{00000000-0005-0000-0000-00002B250000}"/>
    <cellStyle name="Normal 5 2 2 10 2 5" xfId="9502" xr:uid="{00000000-0005-0000-0000-00002C250000}"/>
    <cellStyle name="Normal 5 2 2 10 2 6" xfId="9503" xr:uid="{00000000-0005-0000-0000-00002D250000}"/>
    <cellStyle name="Normal 5 2 2 10 2 7" xfId="9504" xr:uid="{00000000-0005-0000-0000-00002E250000}"/>
    <cellStyle name="Normal 5 2 2 10 3" xfId="9505" xr:uid="{00000000-0005-0000-0000-00002F250000}"/>
    <cellStyle name="Normal 5 2 2 10 3 2" xfId="9506" xr:uid="{00000000-0005-0000-0000-000030250000}"/>
    <cellStyle name="Normal 5 2 2 10 3 2 2" xfId="9507" xr:uid="{00000000-0005-0000-0000-000031250000}"/>
    <cellStyle name="Normal 5 2 2 10 3 2 2 2" xfId="9508" xr:uid="{00000000-0005-0000-0000-000032250000}"/>
    <cellStyle name="Normal 5 2 2 10 3 2 2 3" xfId="9509" xr:uid="{00000000-0005-0000-0000-000033250000}"/>
    <cellStyle name="Normal 5 2 2 10 3 2 3" xfId="9510" xr:uid="{00000000-0005-0000-0000-000034250000}"/>
    <cellStyle name="Normal 5 2 2 10 3 2 4" xfId="9511" xr:uid="{00000000-0005-0000-0000-000035250000}"/>
    <cellStyle name="Normal 5 2 2 10 3 3" xfId="9512" xr:uid="{00000000-0005-0000-0000-000036250000}"/>
    <cellStyle name="Normal 5 2 2 10 3 3 2" xfId="9513" xr:uid="{00000000-0005-0000-0000-000037250000}"/>
    <cellStyle name="Normal 5 2 2 10 3 3 3" xfId="9514" xr:uid="{00000000-0005-0000-0000-000038250000}"/>
    <cellStyle name="Normal 5 2 2 10 3 4" xfId="9515" xr:uid="{00000000-0005-0000-0000-000039250000}"/>
    <cellStyle name="Normal 5 2 2 10 3 5" xfId="9516" xr:uid="{00000000-0005-0000-0000-00003A250000}"/>
    <cellStyle name="Normal 5 2 2 10 4" xfId="9517" xr:uid="{00000000-0005-0000-0000-00003B250000}"/>
    <cellStyle name="Normal 5 2 2 10 4 2" xfId="9518" xr:uid="{00000000-0005-0000-0000-00003C250000}"/>
    <cellStyle name="Normal 5 2 2 10 4 3" xfId="9519" xr:uid="{00000000-0005-0000-0000-00003D250000}"/>
    <cellStyle name="Normal 5 2 2 10 5" xfId="9520" xr:uid="{00000000-0005-0000-0000-00003E250000}"/>
    <cellStyle name="Normal 5 2 2 10 5 2" xfId="9521" xr:uid="{00000000-0005-0000-0000-00003F250000}"/>
    <cellStyle name="Normal 5 2 2 10 5 3" xfId="9522" xr:uid="{00000000-0005-0000-0000-000040250000}"/>
    <cellStyle name="Normal 5 2 2 10 6" xfId="9523" xr:uid="{00000000-0005-0000-0000-000041250000}"/>
    <cellStyle name="Normal 5 2 2 10 7" xfId="9524" xr:uid="{00000000-0005-0000-0000-000042250000}"/>
    <cellStyle name="Normal 5 2 2 10 8" xfId="9525" xr:uid="{00000000-0005-0000-0000-000043250000}"/>
    <cellStyle name="Normal 5 2 2 10 9" xfId="9526" xr:uid="{00000000-0005-0000-0000-000044250000}"/>
    <cellStyle name="Normal 5 2 2 11" xfId="9527" xr:uid="{00000000-0005-0000-0000-000045250000}"/>
    <cellStyle name="Normal 5 2 2 11 2" xfId="9528" xr:uid="{00000000-0005-0000-0000-000046250000}"/>
    <cellStyle name="Normal 5 2 2 11 2 2" xfId="9529" xr:uid="{00000000-0005-0000-0000-000047250000}"/>
    <cellStyle name="Normal 5 2 2 11 2 2 2" xfId="9530" xr:uid="{00000000-0005-0000-0000-000048250000}"/>
    <cellStyle name="Normal 5 2 2 11 2 2 2 2" xfId="9531" xr:uid="{00000000-0005-0000-0000-000049250000}"/>
    <cellStyle name="Normal 5 2 2 11 2 2 2 3" xfId="9532" xr:uid="{00000000-0005-0000-0000-00004A250000}"/>
    <cellStyle name="Normal 5 2 2 11 2 2 3" xfId="9533" xr:uid="{00000000-0005-0000-0000-00004B250000}"/>
    <cellStyle name="Normal 5 2 2 11 2 2 4" xfId="9534" xr:uid="{00000000-0005-0000-0000-00004C250000}"/>
    <cellStyle name="Normal 5 2 2 11 2 3" xfId="9535" xr:uid="{00000000-0005-0000-0000-00004D250000}"/>
    <cellStyle name="Normal 5 2 2 11 2 3 2" xfId="9536" xr:uid="{00000000-0005-0000-0000-00004E250000}"/>
    <cellStyle name="Normal 5 2 2 11 2 3 2 2" xfId="9537" xr:uid="{00000000-0005-0000-0000-00004F250000}"/>
    <cellStyle name="Normal 5 2 2 11 2 3 2 3" xfId="9538" xr:uid="{00000000-0005-0000-0000-000050250000}"/>
    <cellStyle name="Normal 5 2 2 11 2 3 3" xfId="9539" xr:uid="{00000000-0005-0000-0000-000051250000}"/>
    <cellStyle name="Normal 5 2 2 11 2 3 4" xfId="9540" xr:uid="{00000000-0005-0000-0000-000052250000}"/>
    <cellStyle name="Normal 5 2 2 11 2 4" xfId="9541" xr:uid="{00000000-0005-0000-0000-000053250000}"/>
    <cellStyle name="Normal 5 2 2 11 2 4 2" xfId="9542" xr:uid="{00000000-0005-0000-0000-000054250000}"/>
    <cellStyle name="Normal 5 2 2 11 2 4 3" xfId="9543" xr:uid="{00000000-0005-0000-0000-000055250000}"/>
    <cellStyle name="Normal 5 2 2 11 2 5" xfId="9544" xr:uid="{00000000-0005-0000-0000-000056250000}"/>
    <cellStyle name="Normal 5 2 2 11 2 6" xfId="9545" xr:uid="{00000000-0005-0000-0000-000057250000}"/>
    <cellStyle name="Normal 5 2 2 11 2 7" xfId="9546" xr:uid="{00000000-0005-0000-0000-000058250000}"/>
    <cellStyle name="Normal 5 2 2 11 3" xfId="9547" xr:uid="{00000000-0005-0000-0000-000059250000}"/>
    <cellStyle name="Normal 5 2 2 11 3 2" xfId="9548" xr:uid="{00000000-0005-0000-0000-00005A250000}"/>
    <cellStyle name="Normal 5 2 2 11 3 2 2" xfId="9549" xr:uid="{00000000-0005-0000-0000-00005B250000}"/>
    <cellStyle name="Normal 5 2 2 11 3 2 2 2" xfId="9550" xr:uid="{00000000-0005-0000-0000-00005C250000}"/>
    <cellStyle name="Normal 5 2 2 11 3 2 2 3" xfId="9551" xr:uid="{00000000-0005-0000-0000-00005D250000}"/>
    <cellStyle name="Normal 5 2 2 11 3 2 3" xfId="9552" xr:uid="{00000000-0005-0000-0000-00005E250000}"/>
    <cellStyle name="Normal 5 2 2 11 3 2 4" xfId="9553" xr:uid="{00000000-0005-0000-0000-00005F250000}"/>
    <cellStyle name="Normal 5 2 2 11 3 3" xfId="9554" xr:uid="{00000000-0005-0000-0000-000060250000}"/>
    <cellStyle name="Normal 5 2 2 11 3 3 2" xfId="9555" xr:uid="{00000000-0005-0000-0000-000061250000}"/>
    <cellStyle name="Normal 5 2 2 11 3 3 3" xfId="9556" xr:uid="{00000000-0005-0000-0000-000062250000}"/>
    <cellStyle name="Normal 5 2 2 11 3 4" xfId="9557" xr:uid="{00000000-0005-0000-0000-000063250000}"/>
    <cellStyle name="Normal 5 2 2 11 3 5" xfId="9558" xr:uid="{00000000-0005-0000-0000-000064250000}"/>
    <cellStyle name="Normal 5 2 2 11 4" xfId="9559" xr:uid="{00000000-0005-0000-0000-000065250000}"/>
    <cellStyle name="Normal 5 2 2 11 4 2" xfId="9560" xr:uid="{00000000-0005-0000-0000-000066250000}"/>
    <cellStyle name="Normal 5 2 2 11 4 3" xfId="9561" xr:uid="{00000000-0005-0000-0000-000067250000}"/>
    <cellStyle name="Normal 5 2 2 11 5" xfId="9562" xr:uid="{00000000-0005-0000-0000-000068250000}"/>
    <cellStyle name="Normal 5 2 2 11 5 2" xfId="9563" xr:uid="{00000000-0005-0000-0000-000069250000}"/>
    <cellStyle name="Normal 5 2 2 11 5 3" xfId="9564" xr:uid="{00000000-0005-0000-0000-00006A250000}"/>
    <cellStyle name="Normal 5 2 2 11 6" xfId="9565" xr:uid="{00000000-0005-0000-0000-00006B250000}"/>
    <cellStyle name="Normal 5 2 2 11 7" xfId="9566" xr:uid="{00000000-0005-0000-0000-00006C250000}"/>
    <cellStyle name="Normal 5 2 2 11 8" xfId="9567" xr:uid="{00000000-0005-0000-0000-00006D250000}"/>
    <cellStyle name="Normal 5 2 2 11 9" xfId="9568" xr:uid="{00000000-0005-0000-0000-00006E250000}"/>
    <cellStyle name="Normal 5 2 2 12" xfId="9569" xr:uid="{00000000-0005-0000-0000-00006F250000}"/>
    <cellStyle name="Normal 5 2 2 12 2" xfId="9570" xr:uid="{00000000-0005-0000-0000-000070250000}"/>
    <cellStyle name="Normal 5 2 2 12 2 2" xfId="9571" xr:uid="{00000000-0005-0000-0000-000071250000}"/>
    <cellStyle name="Normal 5 2 2 12 2 2 2" xfId="9572" xr:uid="{00000000-0005-0000-0000-000072250000}"/>
    <cellStyle name="Normal 5 2 2 12 2 2 2 2" xfId="9573" xr:uid="{00000000-0005-0000-0000-000073250000}"/>
    <cellStyle name="Normal 5 2 2 12 2 2 2 3" xfId="9574" xr:uid="{00000000-0005-0000-0000-000074250000}"/>
    <cellStyle name="Normal 5 2 2 12 2 2 3" xfId="9575" xr:uid="{00000000-0005-0000-0000-000075250000}"/>
    <cellStyle name="Normal 5 2 2 12 2 2 4" xfId="9576" xr:uid="{00000000-0005-0000-0000-000076250000}"/>
    <cellStyle name="Normal 5 2 2 12 2 3" xfId="9577" xr:uid="{00000000-0005-0000-0000-000077250000}"/>
    <cellStyle name="Normal 5 2 2 12 2 3 2" xfId="9578" xr:uid="{00000000-0005-0000-0000-000078250000}"/>
    <cellStyle name="Normal 5 2 2 12 2 3 2 2" xfId="9579" xr:uid="{00000000-0005-0000-0000-000079250000}"/>
    <cellStyle name="Normal 5 2 2 12 2 3 2 3" xfId="9580" xr:uid="{00000000-0005-0000-0000-00007A250000}"/>
    <cellStyle name="Normal 5 2 2 12 2 3 3" xfId="9581" xr:uid="{00000000-0005-0000-0000-00007B250000}"/>
    <cellStyle name="Normal 5 2 2 12 2 3 4" xfId="9582" xr:uid="{00000000-0005-0000-0000-00007C250000}"/>
    <cellStyle name="Normal 5 2 2 12 2 4" xfId="9583" xr:uid="{00000000-0005-0000-0000-00007D250000}"/>
    <cellStyle name="Normal 5 2 2 12 2 4 2" xfId="9584" xr:uid="{00000000-0005-0000-0000-00007E250000}"/>
    <cellStyle name="Normal 5 2 2 12 2 4 3" xfId="9585" xr:uid="{00000000-0005-0000-0000-00007F250000}"/>
    <cellStyle name="Normal 5 2 2 12 2 5" xfId="9586" xr:uid="{00000000-0005-0000-0000-000080250000}"/>
    <cellStyle name="Normal 5 2 2 12 2 6" xfId="9587" xr:uid="{00000000-0005-0000-0000-000081250000}"/>
    <cellStyle name="Normal 5 2 2 12 2 7" xfId="9588" xr:uid="{00000000-0005-0000-0000-000082250000}"/>
    <cellStyle name="Normal 5 2 2 12 3" xfId="9589" xr:uid="{00000000-0005-0000-0000-000083250000}"/>
    <cellStyle name="Normal 5 2 2 12 3 2" xfId="9590" xr:uid="{00000000-0005-0000-0000-000084250000}"/>
    <cellStyle name="Normal 5 2 2 12 3 2 2" xfId="9591" xr:uid="{00000000-0005-0000-0000-000085250000}"/>
    <cellStyle name="Normal 5 2 2 12 3 2 2 2" xfId="9592" xr:uid="{00000000-0005-0000-0000-000086250000}"/>
    <cellStyle name="Normal 5 2 2 12 3 2 2 3" xfId="9593" xr:uid="{00000000-0005-0000-0000-000087250000}"/>
    <cellStyle name="Normal 5 2 2 12 3 2 3" xfId="9594" xr:uid="{00000000-0005-0000-0000-000088250000}"/>
    <cellStyle name="Normal 5 2 2 12 3 2 4" xfId="9595" xr:uid="{00000000-0005-0000-0000-000089250000}"/>
    <cellStyle name="Normal 5 2 2 12 3 3" xfId="9596" xr:uid="{00000000-0005-0000-0000-00008A250000}"/>
    <cellStyle name="Normal 5 2 2 12 3 3 2" xfId="9597" xr:uid="{00000000-0005-0000-0000-00008B250000}"/>
    <cellStyle name="Normal 5 2 2 12 3 3 3" xfId="9598" xr:uid="{00000000-0005-0000-0000-00008C250000}"/>
    <cellStyle name="Normal 5 2 2 12 3 4" xfId="9599" xr:uid="{00000000-0005-0000-0000-00008D250000}"/>
    <cellStyle name="Normal 5 2 2 12 3 5" xfId="9600" xr:uid="{00000000-0005-0000-0000-00008E250000}"/>
    <cellStyle name="Normal 5 2 2 12 4" xfId="9601" xr:uid="{00000000-0005-0000-0000-00008F250000}"/>
    <cellStyle name="Normal 5 2 2 12 4 2" xfId="9602" xr:uid="{00000000-0005-0000-0000-000090250000}"/>
    <cellStyle name="Normal 5 2 2 12 4 3" xfId="9603" xr:uid="{00000000-0005-0000-0000-000091250000}"/>
    <cellStyle name="Normal 5 2 2 12 5" xfId="9604" xr:uid="{00000000-0005-0000-0000-000092250000}"/>
    <cellStyle name="Normal 5 2 2 12 5 2" xfId="9605" xr:uid="{00000000-0005-0000-0000-000093250000}"/>
    <cellStyle name="Normal 5 2 2 12 5 3" xfId="9606" xr:uid="{00000000-0005-0000-0000-000094250000}"/>
    <cellStyle name="Normal 5 2 2 12 6" xfId="9607" xr:uid="{00000000-0005-0000-0000-000095250000}"/>
    <cellStyle name="Normal 5 2 2 12 7" xfId="9608" xr:uid="{00000000-0005-0000-0000-000096250000}"/>
    <cellStyle name="Normal 5 2 2 12 8" xfId="9609" xr:uid="{00000000-0005-0000-0000-000097250000}"/>
    <cellStyle name="Normal 5 2 2 12 9" xfId="9610" xr:uid="{00000000-0005-0000-0000-000098250000}"/>
    <cellStyle name="Normal 5 2 2 13" xfId="9611" xr:uid="{00000000-0005-0000-0000-000099250000}"/>
    <cellStyle name="Normal 5 2 2 13 2" xfId="9612" xr:uid="{00000000-0005-0000-0000-00009A250000}"/>
    <cellStyle name="Normal 5 2 2 13 2 2" xfId="9613" xr:uid="{00000000-0005-0000-0000-00009B250000}"/>
    <cellStyle name="Normal 5 2 2 13 2 2 2" xfId="9614" xr:uid="{00000000-0005-0000-0000-00009C250000}"/>
    <cellStyle name="Normal 5 2 2 13 2 2 2 2" xfId="9615" xr:uid="{00000000-0005-0000-0000-00009D250000}"/>
    <cellStyle name="Normal 5 2 2 13 2 2 2 3" xfId="9616" xr:uid="{00000000-0005-0000-0000-00009E250000}"/>
    <cellStyle name="Normal 5 2 2 13 2 2 3" xfId="9617" xr:uid="{00000000-0005-0000-0000-00009F250000}"/>
    <cellStyle name="Normal 5 2 2 13 2 2 4" xfId="9618" xr:uid="{00000000-0005-0000-0000-0000A0250000}"/>
    <cellStyle name="Normal 5 2 2 13 2 3" xfId="9619" xr:uid="{00000000-0005-0000-0000-0000A1250000}"/>
    <cellStyle name="Normal 5 2 2 13 2 3 2" xfId="9620" xr:uid="{00000000-0005-0000-0000-0000A2250000}"/>
    <cellStyle name="Normal 5 2 2 13 2 3 2 2" xfId="9621" xr:uid="{00000000-0005-0000-0000-0000A3250000}"/>
    <cellStyle name="Normal 5 2 2 13 2 3 2 3" xfId="9622" xr:uid="{00000000-0005-0000-0000-0000A4250000}"/>
    <cellStyle name="Normal 5 2 2 13 2 3 3" xfId="9623" xr:uid="{00000000-0005-0000-0000-0000A5250000}"/>
    <cellStyle name="Normal 5 2 2 13 2 3 4" xfId="9624" xr:uid="{00000000-0005-0000-0000-0000A6250000}"/>
    <cellStyle name="Normal 5 2 2 13 2 4" xfId="9625" xr:uid="{00000000-0005-0000-0000-0000A7250000}"/>
    <cellStyle name="Normal 5 2 2 13 2 4 2" xfId="9626" xr:uid="{00000000-0005-0000-0000-0000A8250000}"/>
    <cellStyle name="Normal 5 2 2 13 2 4 3" xfId="9627" xr:uid="{00000000-0005-0000-0000-0000A9250000}"/>
    <cellStyle name="Normal 5 2 2 13 2 5" xfId="9628" xr:uid="{00000000-0005-0000-0000-0000AA250000}"/>
    <cellStyle name="Normal 5 2 2 13 2 6" xfId="9629" xr:uid="{00000000-0005-0000-0000-0000AB250000}"/>
    <cellStyle name="Normal 5 2 2 13 2 7" xfId="9630" xr:uid="{00000000-0005-0000-0000-0000AC250000}"/>
    <cellStyle name="Normal 5 2 2 13 3" xfId="9631" xr:uid="{00000000-0005-0000-0000-0000AD250000}"/>
    <cellStyle name="Normal 5 2 2 13 3 2" xfId="9632" xr:uid="{00000000-0005-0000-0000-0000AE250000}"/>
    <cellStyle name="Normal 5 2 2 13 3 2 2" xfId="9633" xr:uid="{00000000-0005-0000-0000-0000AF250000}"/>
    <cellStyle name="Normal 5 2 2 13 3 2 2 2" xfId="9634" xr:uid="{00000000-0005-0000-0000-0000B0250000}"/>
    <cellStyle name="Normal 5 2 2 13 3 2 2 3" xfId="9635" xr:uid="{00000000-0005-0000-0000-0000B1250000}"/>
    <cellStyle name="Normal 5 2 2 13 3 2 3" xfId="9636" xr:uid="{00000000-0005-0000-0000-0000B2250000}"/>
    <cellStyle name="Normal 5 2 2 13 3 2 4" xfId="9637" xr:uid="{00000000-0005-0000-0000-0000B3250000}"/>
    <cellStyle name="Normal 5 2 2 13 3 3" xfId="9638" xr:uid="{00000000-0005-0000-0000-0000B4250000}"/>
    <cellStyle name="Normal 5 2 2 13 3 3 2" xfId="9639" xr:uid="{00000000-0005-0000-0000-0000B5250000}"/>
    <cellStyle name="Normal 5 2 2 13 3 3 3" xfId="9640" xr:uid="{00000000-0005-0000-0000-0000B6250000}"/>
    <cellStyle name="Normal 5 2 2 13 3 4" xfId="9641" xr:uid="{00000000-0005-0000-0000-0000B7250000}"/>
    <cellStyle name="Normal 5 2 2 13 3 5" xfId="9642" xr:uid="{00000000-0005-0000-0000-0000B8250000}"/>
    <cellStyle name="Normal 5 2 2 13 4" xfId="9643" xr:uid="{00000000-0005-0000-0000-0000B9250000}"/>
    <cellStyle name="Normal 5 2 2 13 4 2" xfId="9644" xr:uid="{00000000-0005-0000-0000-0000BA250000}"/>
    <cellStyle name="Normal 5 2 2 13 4 3" xfId="9645" xr:uid="{00000000-0005-0000-0000-0000BB250000}"/>
    <cellStyle name="Normal 5 2 2 13 5" xfId="9646" xr:uid="{00000000-0005-0000-0000-0000BC250000}"/>
    <cellStyle name="Normal 5 2 2 13 5 2" xfId="9647" xr:uid="{00000000-0005-0000-0000-0000BD250000}"/>
    <cellStyle name="Normal 5 2 2 13 5 3" xfId="9648" xr:uid="{00000000-0005-0000-0000-0000BE250000}"/>
    <cellStyle name="Normal 5 2 2 13 6" xfId="9649" xr:uid="{00000000-0005-0000-0000-0000BF250000}"/>
    <cellStyle name="Normal 5 2 2 13 7" xfId="9650" xr:uid="{00000000-0005-0000-0000-0000C0250000}"/>
    <cellStyle name="Normal 5 2 2 13 8" xfId="9651" xr:uid="{00000000-0005-0000-0000-0000C1250000}"/>
    <cellStyle name="Normal 5 2 2 13 9" xfId="9652" xr:uid="{00000000-0005-0000-0000-0000C2250000}"/>
    <cellStyle name="Normal 5 2 2 14" xfId="9653" xr:uid="{00000000-0005-0000-0000-0000C3250000}"/>
    <cellStyle name="Normal 5 2 2 14 2" xfId="9654" xr:uid="{00000000-0005-0000-0000-0000C4250000}"/>
    <cellStyle name="Normal 5 2 2 14 3" xfId="9655" xr:uid="{00000000-0005-0000-0000-0000C5250000}"/>
    <cellStyle name="Normal 5 2 2 14 4" xfId="9656" xr:uid="{00000000-0005-0000-0000-0000C6250000}"/>
    <cellStyle name="Normal 5 2 2 15" xfId="9657" xr:uid="{00000000-0005-0000-0000-0000C7250000}"/>
    <cellStyle name="Normal 5 2 2 15 2" xfId="9658" xr:uid="{00000000-0005-0000-0000-0000C8250000}"/>
    <cellStyle name="Normal 5 2 2 16" xfId="9659" xr:uid="{00000000-0005-0000-0000-0000C9250000}"/>
    <cellStyle name="Normal 5 2 2 17" xfId="9660" xr:uid="{00000000-0005-0000-0000-0000CA250000}"/>
    <cellStyle name="Normal 5 2 2 18" xfId="9661" xr:uid="{00000000-0005-0000-0000-0000CB250000}"/>
    <cellStyle name="Normal 5 2 2 2" xfId="9662" xr:uid="{00000000-0005-0000-0000-0000CC250000}"/>
    <cellStyle name="Normal 5 2 2 2 10" xfId="9663" xr:uid="{00000000-0005-0000-0000-0000CD250000}"/>
    <cellStyle name="Normal 5 2 2 2 10 2" xfId="9664" xr:uid="{00000000-0005-0000-0000-0000CE250000}"/>
    <cellStyle name="Normal 5 2 2 2 10 3" xfId="9665" xr:uid="{00000000-0005-0000-0000-0000CF250000}"/>
    <cellStyle name="Normal 5 2 2 2 10 4" xfId="9666" xr:uid="{00000000-0005-0000-0000-0000D0250000}"/>
    <cellStyle name="Normal 5 2 2 2 10 5" xfId="9667" xr:uid="{00000000-0005-0000-0000-0000D1250000}"/>
    <cellStyle name="Normal 5 2 2 2 11" xfId="9668" xr:uid="{00000000-0005-0000-0000-0000D2250000}"/>
    <cellStyle name="Normal 5 2 2 2 11 2" xfId="9669" xr:uid="{00000000-0005-0000-0000-0000D3250000}"/>
    <cellStyle name="Normal 5 2 2 2 11 3" xfId="9670" xr:uid="{00000000-0005-0000-0000-0000D4250000}"/>
    <cellStyle name="Normal 5 2 2 2 11 4" xfId="9671" xr:uid="{00000000-0005-0000-0000-0000D5250000}"/>
    <cellStyle name="Normal 5 2 2 2 11 5" xfId="9672" xr:uid="{00000000-0005-0000-0000-0000D6250000}"/>
    <cellStyle name="Normal 5 2 2 2 12" xfId="9673" xr:uid="{00000000-0005-0000-0000-0000D7250000}"/>
    <cellStyle name="Normal 5 2 2 2 12 2" xfId="9674" xr:uid="{00000000-0005-0000-0000-0000D8250000}"/>
    <cellStyle name="Normal 5 2 2 2 12 3" xfId="9675" xr:uid="{00000000-0005-0000-0000-0000D9250000}"/>
    <cellStyle name="Normal 5 2 2 2 12 4" xfId="9676" xr:uid="{00000000-0005-0000-0000-0000DA250000}"/>
    <cellStyle name="Normal 5 2 2 2 12 5" xfId="9677" xr:uid="{00000000-0005-0000-0000-0000DB250000}"/>
    <cellStyle name="Normal 5 2 2 2 13" xfId="9678" xr:uid="{00000000-0005-0000-0000-0000DC250000}"/>
    <cellStyle name="Normal 5 2 2 2 13 2" xfId="9679" xr:uid="{00000000-0005-0000-0000-0000DD250000}"/>
    <cellStyle name="Normal 5 2 2 2 13 3" xfId="9680" xr:uid="{00000000-0005-0000-0000-0000DE250000}"/>
    <cellStyle name="Normal 5 2 2 2 13 4" xfId="9681" xr:uid="{00000000-0005-0000-0000-0000DF250000}"/>
    <cellStyle name="Normal 5 2 2 2 13 5" xfId="9682" xr:uid="{00000000-0005-0000-0000-0000E0250000}"/>
    <cellStyle name="Normal 5 2 2 2 14" xfId="9683" xr:uid="{00000000-0005-0000-0000-0000E1250000}"/>
    <cellStyle name="Normal 5 2 2 2 14 2" xfId="9684" xr:uid="{00000000-0005-0000-0000-0000E2250000}"/>
    <cellStyle name="Normal 5 2 2 2 14 2 2" xfId="9685" xr:uid="{00000000-0005-0000-0000-0000E3250000}"/>
    <cellStyle name="Normal 5 2 2 2 14 2 2 2" xfId="9686" xr:uid="{00000000-0005-0000-0000-0000E4250000}"/>
    <cellStyle name="Normal 5 2 2 2 14 2 2 2 2" xfId="9687" xr:uid="{00000000-0005-0000-0000-0000E5250000}"/>
    <cellStyle name="Normal 5 2 2 2 14 2 2 2 3" xfId="9688" xr:uid="{00000000-0005-0000-0000-0000E6250000}"/>
    <cellStyle name="Normal 5 2 2 2 14 2 2 3" xfId="9689" xr:uid="{00000000-0005-0000-0000-0000E7250000}"/>
    <cellStyle name="Normal 5 2 2 2 14 2 2 4" xfId="9690" xr:uid="{00000000-0005-0000-0000-0000E8250000}"/>
    <cellStyle name="Normal 5 2 2 2 14 2 3" xfId="9691" xr:uid="{00000000-0005-0000-0000-0000E9250000}"/>
    <cellStyle name="Normal 5 2 2 2 14 2 3 2" xfId="9692" xr:uid="{00000000-0005-0000-0000-0000EA250000}"/>
    <cellStyle name="Normal 5 2 2 2 14 2 3 2 2" xfId="9693" xr:uid="{00000000-0005-0000-0000-0000EB250000}"/>
    <cellStyle name="Normal 5 2 2 2 14 2 3 2 3" xfId="9694" xr:uid="{00000000-0005-0000-0000-0000EC250000}"/>
    <cellStyle name="Normal 5 2 2 2 14 2 3 3" xfId="9695" xr:uid="{00000000-0005-0000-0000-0000ED250000}"/>
    <cellStyle name="Normal 5 2 2 2 14 2 3 4" xfId="9696" xr:uid="{00000000-0005-0000-0000-0000EE250000}"/>
    <cellStyle name="Normal 5 2 2 2 14 2 4" xfId="9697" xr:uid="{00000000-0005-0000-0000-0000EF250000}"/>
    <cellStyle name="Normal 5 2 2 2 14 2 4 2" xfId="9698" xr:uid="{00000000-0005-0000-0000-0000F0250000}"/>
    <cellStyle name="Normal 5 2 2 2 14 2 4 3" xfId="9699" xr:uid="{00000000-0005-0000-0000-0000F1250000}"/>
    <cellStyle name="Normal 5 2 2 2 14 2 5" xfId="9700" xr:uid="{00000000-0005-0000-0000-0000F2250000}"/>
    <cellStyle name="Normal 5 2 2 2 14 2 6" xfId="9701" xr:uid="{00000000-0005-0000-0000-0000F3250000}"/>
    <cellStyle name="Normal 5 2 2 2 14 2 7" xfId="9702" xr:uid="{00000000-0005-0000-0000-0000F4250000}"/>
    <cellStyle name="Normal 5 2 2 2 14 3" xfId="9703" xr:uid="{00000000-0005-0000-0000-0000F5250000}"/>
    <cellStyle name="Normal 5 2 2 2 14 3 2" xfId="9704" xr:uid="{00000000-0005-0000-0000-0000F6250000}"/>
    <cellStyle name="Normal 5 2 2 2 14 3 2 2" xfId="9705" xr:uid="{00000000-0005-0000-0000-0000F7250000}"/>
    <cellStyle name="Normal 5 2 2 2 14 3 2 3" xfId="9706" xr:uid="{00000000-0005-0000-0000-0000F8250000}"/>
    <cellStyle name="Normal 5 2 2 2 14 3 3" xfId="9707" xr:uid="{00000000-0005-0000-0000-0000F9250000}"/>
    <cellStyle name="Normal 5 2 2 2 14 3 4" xfId="9708" xr:uid="{00000000-0005-0000-0000-0000FA250000}"/>
    <cellStyle name="Normal 5 2 2 2 14 4" xfId="9709" xr:uid="{00000000-0005-0000-0000-0000FB250000}"/>
    <cellStyle name="Normal 5 2 2 2 14 4 2" xfId="9710" xr:uid="{00000000-0005-0000-0000-0000FC250000}"/>
    <cellStyle name="Normal 5 2 2 2 14 4 2 2" xfId="9711" xr:uid="{00000000-0005-0000-0000-0000FD250000}"/>
    <cellStyle name="Normal 5 2 2 2 14 4 2 3" xfId="9712" xr:uid="{00000000-0005-0000-0000-0000FE250000}"/>
    <cellStyle name="Normal 5 2 2 2 14 4 3" xfId="9713" xr:uid="{00000000-0005-0000-0000-0000FF250000}"/>
    <cellStyle name="Normal 5 2 2 2 14 4 4" xfId="9714" xr:uid="{00000000-0005-0000-0000-000000260000}"/>
    <cellStyle name="Normal 5 2 2 2 14 5" xfId="9715" xr:uid="{00000000-0005-0000-0000-000001260000}"/>
    <cellStyle name="Normal 5 2 2 2 14 5 2" xfId="9716" xr:uid="{00000000-0005-0000-0000-000002260000}"/>
    <cellStyle name="Normal 5 2 2 2 14 5 3" xfId="9717" xr:uid="{00000000-0005-0000-0000-000003260000}"/>
    <cellStyle name="Normal 5 2 2 2 14 6" xfId="9718" xr:uid="{00000000-0005-0000-0000-000004260000}"/>
    <cellStyle name="Normal 5 2 2 2 14 7" xfId="9719" xr:uid="{00000000-0005-0000-0000-000005260000}"/>
    <cellStyle name="Normal 5 2 2 2 14 8" xfId="9720" xr:uid="{00000000-0005-0000-0000-000006260000}"/>
    <cellStyle name="Normal 5 2 2 2 15" xfId="9721" xr:uid="{00000000-0005-0000-0000-000007260000}"/>
    <cellStyle name="Normal 5 2 2 2 15 2" xfId="9722" xr:uid="{00000000-0005-0000-0000-000008260000}"/>
    <cellStyle name="Normal 5 2 2 2 16" xfId="9723" xr:uid="{00000000-0005-0000-0000-000009260000}"/>
    <cellStyle name="Normal 5 2 2 2 17" xfId="9724" xr:uid="{00000000-0005-0000-0000-00000A260000}"/>
    <cellStyle name="Normal 5 2 2 2 18" xfId="9725" xr:uid="{00000000-0005-0000-0000-00000B260000}"/>
    <cellStyle name="Normal 5 2 2 2 2" xfId="9726" xr:uid="{00000000-0005-0000-0000-00000C260000}"/>
    <cellStyle name="Normal 5 2 2 2 2 2" xfId="9727" xr:uid="{00000000-0005-0000-0000-00000D260000}"/>
    <cellStyle name="Normal 5 2 2 2 2 3" xfId="9728" xr:uid="{00000000-0005-0000-0000-00000E260000}"/>
    <cellStyle name="Normal 5 2 2 2 2 4" xfId="9729" xr:uid="{00000000-0005-0000-0000-00000F260000}"/>
    <cellStyle name="Normal 5 2 2 2 2 5" xfId="9730" xr:uid="{00000000-0005-0000-0000-000010260000}"/>
    <cellStyle name="Normal 5 2 2 2 3" xfId="9731" xr:uid="{00000000-0005-0000-0000-000011260000}"/>
    <cellStyle name="Normal 5 2 2 2 3 2" xfId="9732" xr:uid="{00000000-0005-0000-0000-000012260000}"/>
    <cellStyle name="Normal 5 2 2 2 3 3" xfId="9733" xr:uid="{00000000-0005-0000-0000-000013260000}"/>
    <cellStyle name="Normal 5 2 2 2 3 4" xfId="9734" xr:uid="{00000000-0005-0000-0000-000014260000}"/>
    <cellStyle name="Normal 5 2 2 2 3 5" xfId="9735" xr:uid="{00000000-0005-0000-0000-000015260000}"/>
    <cellStyle name="Normal 5 2 2 2 4" xfId="9736" xr:uid="{00000000-0005-0000-0000-000016260000}"/>
    <cellStyle name="Normal 5 2 2 2 4 2" xfId="9737" xr:uid="{00000000-0005-0000-0000-000017260000}"/>
    <cellStyle name="Normal 5 2 2 2 4 3" xfId="9738" xr:uid="{00000000-0005-0000-0000-000018260000}"/>
    <cellStyle name="Normal 5 2 2 2 4 4" xfId="9739" xr:uid="{00000000-0005-0000-0000-000019260000}"/>
    <cellStyle name="Normal 5 2 2 2 4 5" xfId="9740" xr:uid="{00000000-0005-0000-0000-00001A260000}"/>
    <cellStyle name="Normal 5 2 2 2 5" xfId="9741" xr:uid="{00000000-0005-0000-0000-00001B260000}"/>
    <cellStyle name="Normal 5 2 2 2 5 2" xfId="9742" xr:uid="{00000000-0005-0000-0000-00001C260000}"/>
    <cellStyle name="Normal 5 2 2 2 5 3" xfId="9743" xr:uid="{00000000-0005-0000-0000-00001D260000}"/>
    <cellStyle name="Normal 5 2 2 2 5 4" xfId="9744" xr:uid="{00000000-0005-0000-0000-00001E260000}"/>
    <cellStyle name="Normal 5 2 2 2 5 5" xfId="9745" xr:uid="{00000000-0005-0000-0000-00001F260000}"/>
    <cellStyle name="Normal 5 2 2 2 6" xfId="9746" xr:uid="{00000000-0005-0000-0000-000020260000}"/>
    <cellStyle name="Normal 5 2 2 2 6 2" xfId="9747" xr:uid="{00000000-0005-0000-0000-000021260000}"/>
    <cellStyle name="Normal 5 2 2 2 6 3" xfId="9748" xr:uid="{00000000-0005-0000-0000-000022260000}"/>
    <cellStyle name="Normal 5 2 2 2 6 4" xfId="9749" xr:uid="{00000000-0005-0000-0000-000023260000}"/>
    <cellStyle name="Normal 5 2 2 2 6 5" xfId="9750" xr:uid="{00000000-0005-0000-0000-000024260000}"/>
    <cellStyle name="Normal 5 2 2 2 7" xfId="9751" xr:uid="{00000000-0005-0000-0000-000025260000}"/>
    <cellStyle name="Normal 5 2 2 2 7 2" xfId="9752" xr:uid="{00000000-0005-0000-0000-000026260000}"/>
    <cellStyle name="Normal 5 2 2 2 7 3" xfId="9753" xr:uid="{00000000-0005-0000-0000-000027260000}"/>
    <cellStyle name="Normal 5 2 2 2 7 4" xfId="9754" xr:uid="{00000000-0005-0000-0000-000028260000}"/>
    <cellStyle name="Normal 5 2 2 2 7 5" xfId="9755" xr:uid="{00000000-0005-0000-0000-000029260000}"/>
    <cellStyle name="Normal 5 2 2 2 8" xfId="9756" xr:uid="{00000000-0005-0000-0000-00002A260000}"/>
    <cellStyle name="Normal 5 2 2 2 8 2" xfId="9757" xr:uid="{00000000-0005-0000-0000-00002B260000}"/>
    <cellStyle name="Normal 5 2 2 2 8 3" xfId="9758" xr:uid="{00000000-0005-0000-0000-00002C260000}"/>
    <cellStyle name="Normal 5 2 2 2 8 4" xfId="9759" xr:uid="{00000000-0005-0000-0000-00002D260000}"/>
    <cellStyle name="Normal 5 2 2 2 8 5" xfId="9760" xr:uid="{00000000-0005-0000-0000-00002E260000}"/>
    <cellStyle name="Normal 5 2 2 2 9" xfId="9761" xr:uid="{00000000-0005-0000-0000-00002F260000}"/>
    <cellStyle name="Normal 5 2 2 2 9 2" xfId="9762" xr:uid="{00000000-0005-0000-0000-000030260000}"/>
    <cellStyle name="Normal 5 2 2 2 9 3" xfId="9763" xr:uid="{00000000-0005-0000-0000-000031260000}"/>
    <cellStyle name="Normal 5 2 2 2 9 4" xfId="9764" xr:uid="{00000000-0005-0000-0000-000032260000}"/>
    <cellStyle name="Normal 5 2 2 2 9 5" xfId="9765" xr:uid="{00000000-0005-0000-0000-000033260000}"/>
    <cellStyle name="Normal 5 2 2 3" xfId="9766" xr:uid="{00000000-0005-0000-0000-000034260000}"/>
    <cellStyle name="Normal 5 2 2 3 10" xfId="9767" xr:uid="{00000000-0005-0000-0000-000035260000}"/>
    <cellStyle name="Normal 5 2 2 3 2" xfId="9768" xr:uid="{00000000-0005-0000-0000-000036260000}"/>
    <cellStyle name="Normal 5 2 2 3 2 2" xfId="9769" xr:uid="{00000000-0005-0000-0000-000037260000}"/>
    <cellStyle name="Normal 5 2 2 3 2 2 2" xfId="9770" xr:uid="{00000000-0005-0000-0000-000038260000}"/>
    <cellStyle name="Normal 5 2 2 3 2 2 2 2" xfId="9771" xr:uid="{00000000-0005-0000-0000-000039260000}"/>
    <cellStyle name="Normal 5 2 2 3 2 2 2 2 2" xfId="9772" xr:uid="{00000000-0005-0000-0000-00003A260000}"/>
    <cellStyle name="Normal 5 2 2 3 2 2 2 2 3" xfId="9773" xr:uid="{00000000-0005-0000-0000-00003B260000}"/>
    <cellStyle name="Normal 5 2 2 3 2 2 2 3" xfId="9774" xr:uid="{00000000-0005-0000-0000-00003C260000}"/>
    <cellStyle name="Normal 5 2 2 3 2 2 2 4" xfId="9775" xr:uid="{00000000-0005-0000-0000-00003D260000}"/>
    <cellStyle name="Normal 5 2 2 3 2 2 3" xfId="9776" xr:uid="{00000000-0005-0000-0000-00003E260000}"/>
    <cellStyle name="Normal 5 2 2 3 2 2 3 2" xfId="9777" xr:uid="{00000000-0005-0000-0000-00003F260000}"/>
    <cellStyle name="Normal 5 2 2 3 2 2 3 2 2" xfId="9778" xr:uid="{00000000-0005-0000-0000-000040260000}"/>
    <cellStyle name="Normal 5 2 2 3 2 2 3 2 3" xfId="9779" xr:uid="{00000000-0005-0000-0000-000041260000}"/>
    <cellStyle name="Normal 5 2 2 3 2 2 3 3" xfId="9780" xr:uid="{00000000-0005-0000-0000-000042260000}"/>
    <cellStyle name="Normal 5 2 2 3 2 2 3 4" xfId="9781" xr:uid="{00000000-0005-0000-0000-000043260000}"/>
    <cellStyle name="Normal 5 2 2 3 2 2 4" xfId="9782" xr:uid="{00000000-0005-0000-0000-000044260000}"/>
    <cellStyle name="Normal 5 2 2 3 2 2 4 2" xfId="9783" xr:uid="{00000000-0005-0000-0000-000045260000}"/>
    <cellStyle name="Normal 5 2 2 3 2 2 4 3" xfId="9784" xr:uid="{00000000-0005-0000-0000-000046260000}"/>
    <cellStyle name="Normal 5 2 2 3 2 2 5" xfId="9785" xr:uid="{00000000-0005-0000-0000-000047260000}"/>
    <cellStyle name="Normal 5 2 2 3 2 2 6" xfId="9786" xr:uid="{00000000-0005-0000-0000-000048260000}"/>
    <cellStyle name="Normal 5 2 2 3 2 2 7" xfId="9787" xr:uid="{00000000-0005-0000-0000-000049260000}"/>
    <cellStyle name="Normal 5 2 2 3 2 3" xfId="9788" xr:uid="{00000000-0005-0000-0000-00004A260000}"/>
    <cellStyle name="Normal 5 2 2 3 2 3 2" xfId="9789" xr:uid="{00000000-0005-0000-0000-00004B260000}"/>
    <cellStyle name="Normal 5 2 2 3 2 3 2 2" xfId="9790" xr:uid="{00000000-0005-0000-0000-00004C260000}"/>
    <cellStyle name="Normal 5 2 2 3 2 3 2 3" xfId="9791" xr:uid="{00000000-0005-0000-0000-00004D260000}"/>
    <cellStyle name="Normal 5 2 2 3 2 3 3" xfId="9792" xr:uid="{00000000-0005-0000-0000-00004E260000}"/>
    <cellStyle name="Normal 5 2 2 3 2 3 4" xfId="9793" xr:uid="{00000000-0005-0000-0000-00004F260000}"/>
    <cellStyle name="Normal 5 2 2 3 2 4" xfId="9794" xr:uid="{00000000-0005-0000-0000-000050260000}"/>
    <cellStyle name="Normal 5 2 2 3 2 4 2" xfId="9795" xr:uid="{00000000-0005-0000-0000-000051260000}"/>
    <cellStyle name="Normal 5 2 2 3 2 4 2 2" xfId="9796" xr:uid="{00000000-0005-0000-0000-000052260000}"/>
    <cellStyle name="Normal 5 2 2 3 2 4 2 3" xfId="9797" xr:uid="{00000000-0005-0000-0000-000053260000}"/>
    <cellStyle name="Normal 5 2 2 3 2 4 3" xfId="9798" xr:uid="{00000000-0005-0000-0000-000054260000}"/>
    <cellStyle name="Normal 5 2 2 3 2 4 4" xfId="9799" xr:uid="{00000000-0005-0000-0000-000055260000}"/>
    <cellStyle name="Normal 5 2 2 3 2 5" xfId="9800" xr:uid="{00000000-0005-0000-0000-000056260000}"/>
    <cellStyle name="Normal 5 2 2 3 2 5 2" xfId="9801" xr:uid="{00000000-0005-0000-0000-000057260000}"/>
    <cellStyle name="Normal 5 2 2 3 2 5 3" xfId="9802" xr:uid="{00000000-0005-0000-0000-000058260000}"/>
    <cellStyle name="Normal 5 2 2 3 2 6" xfId="9803" xr:uid="{00000000-0005-0000-0000-000059260000}"/>
    <cellStyle name="Normal 5 2 2 3 2 7" xfId="9804" xr:uid="{00000000-0005-0000-0000-00005A260000}"/>
    <cellStyle name="Normal 5 2 2 3 2 8" xfId="9805" xr:uid="{00000000-0005-0000-0000-00005B260000}"/>
    <cellStyle name="Normal 5 2 2 3 3" xfId="9806" xr:uid="{00000000-0005-0000-0000-00005C260000}"/>
    <cellStyle name="Normal 5 2 2 3 3 2" xfId="9807" xr:uid="{00000000-0005-0000-0000-00005D260000}"/>
    <cellStyle name="Normal 5 2 2 3 3 2 2" xfId="9808" xr:uid="{00000000-0005-0000-0000-00005E260000}"/>
    <cellStyle name="Normal 5 2 2 3 3 2 2 2" xfId="9809" xr:uid="{00000000-0005-0000-0000-00005F260000}"/>
    <cellStyle name="Normal 5 2 2 3 3 2 2 3" xfId="9810" xr:uid="{00000000-0005-0000-0000-000060260000}"/>
    <cellStyle name="Normal 5 2 2 3 3 2 3" xfId="9811" xr:uid="{00000000-0005-0000-0000-000061260000}"/>
    <cellStyle name="Normal 5 2 2 3 3 2 4" xfId="9812" xr:uid="{00000000-0005-0000-0000-000062260000}"/>
    <cellStyle name="Normal 5 2 2 3 3 3" xfId="9813" xr:uid="{00000000-0005-0000-0000-000063260000}"/>
    <cellStyle name="Normal 5 2 2 3 3 3 2" xfId="9814" xr:uid="{00000000-0005-0000-0000-000064260000}"/>
    <cellStyle name="Normal 5 2 2 3 3 3 2 2" xfId="9815" xr:uid="{00000000-0005-0000-0000-000065260000}"/>
    <cellStyle name="Normal 5 2 2 3 3 3 2 3" xfId="9816" xr:uid="{00000000-0005-0000-0000-000066260000}"/>
    <cellStyle name="Normal 5 2 2 3 3 3 3" xfId="9817" xr:uid="{00000000-0005-0000-0000-000067260000}"/>
    <cellStyle name="Normal 5 2 2 3 3 3 4" xfId="9818" xr:uid="{00000000-0005-0000-0000-000068260000}"/>
    <cellStyle name="Normal 5 2 2 3 3 4" xfId="9819" xr:uid="{00000000-0005-0000-0000-000069260000}"/>
    <cellStyle name="Normal 5 2 2 3 3 4 2" xfId="9820" xr:uid="{00000000-0005-0000-0000-00006A260000}"/>
    <cellStyle name="Normal 5 2 2 3 3 4 3" xfId="9821" xr:uid="{00000000-0005-0000-0000-00006B260000}"/>
    <cellStyle name="Normal 5 2 2 3 3 5" xfId="9822" xr:uid="{00000000-0005-0000-0000-00006C260000}"/>
    <cellStyle name="Normal 5 2 2 3 3 6" xfId="9823" xr:uid="{00000000-0005-0000-0000-00006D260000}"/>
    <cellStyle name="Normal 5 2 2 3 3 7" xfId="9824" xr:uid="{00000000-0005-0000-0000-00006E260000}"/>
    <cellStyle name="Normal 5 2 2 3 4" xfId="9825" xr:uid="{00000000-0005-0000-0000-00006F260000}"/>
    <cellStyle name="Normal 5 2 2 3 4 2" xfId="9826" xr:uid="{00000000-0005-0000-0000-000070260000}"/>
    <cellStyle name="Normal 5 2 2 3 4 2 2" xfId="9827" xr:uid="{00000000-0005-0000-0000-000071260000}"/>
    <cellStyle name="Normal 5 2 2 3 4 2 2 2" xfId="9828" xr:uid="{00000000-0005-0000-0000-000072260000}"/>
    <cellStyle name="Normal 5 2 2 3 4 2 2 3" xfId="9829" xr:uid="{00000000-0005-0000-0000-000073260000}"/>
    <cellStyle name="Normal 5 2 2 3 4 2 3" xfId="9830" xr:uid="{00000000-0005-0000-0000-000074260000}"/>
    <cellStyle name="Normal 5 2 2 3 4 2 4" xfId="9831" xr:uid="{00000000-0005-0000-0000-000075260000}"/>
    <cellStyle name="Normal 5 2 2 3 4 3" xfId="9832" xr:uid="{00000000-0005-0000-0000-000076260000}"/>
    <cellStyle name="Normal 5 2 2 3 4 3 2" xfId="9833" xr:uid="{00000000-0005-0000-0000-000077260000}"/>
    <cellStyle name="Normal 5 2 2 3 4 3 3" xfId="9834" xr:uid="{00000000-0005-0000-0000-000078260000}"/>
    <cellStyle name="Normal 5 2 2 3 4 4" xfId="9835" xr:uid="{00000000-0005-0000-0000-000079260000}"/>
    <cellStyle name="Normal 5 2 2 3 4 5" xfId="9836" xr:uid="{00000000-0005-0000-0000-00007A260000}"/>
    <cellStyle name="Normal 5 2 2 3 5" xfId="9837" xr:uid="{00000000-0005-0000-0000-00007B260000}"/>
    <cellStyle name="Normal 5 2 2 3 5 2" xfId="9838" xr:uid="{00000000-0005-0000-0000-00007C260000}"/>
    <cellStyle name="Normal 5 2 2 3 5 3" xfId="9839" xr:uid="{00000000-0005-0000-0000-00007D260000}"/>
    <cellStyle name="Normal 5 2 2 3 6" xfId="9840" xr:uid="{00000000-0005-0000-0000-00007E260000}"/>
    <cellStyle name="Normal 5 2 2 3 6 2" xfId="9841" xr:uid="{00000000-0005-0000-0000-00007F260000}"/>
    <cellStyle name="Normal 5 2 2 3 6 3" xfId="9842" xr:uid="{00000000-0005-0000-0000-000080260000}"/>
    <cellStyle name="Normal 5 2 2 3 7" xfId="9843" xr:uid="{00000000-0005-0000-0000-000081260000}"/>
    <cellStyle name="Normal 5 2 2 3 8" xfId="9844" xr:uid="{00000000-0005-0000-0000-000082260000}"/>
    <cellStyle name="Normal 5 2 2 3 9" xfId="9845" xr:uid="{00000000-0005-0000-0000-000083260000}"/>
    <cellStyle name="Normal 5 2 2 4" xfId="9846" xr:uid="{00000000-0005-0000-0000-000084260000}"/>
    <cellStyle name="Normal 5 2 2 4 2" xfId="9847" xr:uid="{00000000-0005-0000-0000-000085260000}"/>
    <cellStyle name="Normal 5 2 2 4 2 2" xfId="9848" xr:uid="{00000000-0005-0000-0000-000086260000}"/>
    <cellStyle name="Normal 5 2 2 4 2 2 2" xfId="9849" xr:uid="{00000000-0005-0000-0000-000087260000}"/>
    <cellStyle name="Normal 5 2 2 4 2 2 2 2" xfId="9850" xr:uid="{00000000-0005-0000-0000-000088260000}"/>
    <cellStyle name="Normal 5 2 2 4 2 2 2 3" xfId="9851" xr:uid="{00000000-0005-0000-0000-000089260000}"/>
    <cellStyle name="Normal 5 2 2 4 2 2 3" xfId="9852" xr:uid="{00000000-0005-0000-0000-00008A260000}"/>
    <cellStyle name="Normal 5 2 2 4 2 2 4" xfId="9853" xr:uid="{00000000-0005-0000-0000-00008B260000}"/>
    <cellStyle name="Normal 5 2 2 4 2 3" xfId="9854" xr:uid="{00000000-0005-0000-0000-00008C260000}"/>
    <cellStyle name="Normal 5 2 2 4 2 3 2" xfId="9855" xr:uid="{00000000-0005-0000-0000-00008D260000}"/>
    <cellStyle name="Normal 5 2 2 4 2 3 2 2" xfId="9856" xr:uid="{00000000-0005-0000-0000-00008E260000}"/>
    <cellStyle name="Normal 5 2 2 4 2 3 2 3" xfId="9857" xr:uid="{00000000-0005-0000-0000-00008F260000}"/>
    <cellStyle name="Normal 5 2 2 4 2 3 3" xfId="9858" xr:uid="{00000000-0005-0000-0000-000090260000}"/>
    <cellStyle name="Normal 5 2 2 4 2 3 4" xfId="9859" xr:uid="{00000000-0005-0000-0000-000091260000}"/>
    <cellStyle name="Normal 5 2 2 4 2 4" xfId="9860" xr:uid="{00000000-0005-0000-0000-000092260000}"/>
    <cellStyle name="Normal 5 2 2 4 2 4 2" xfId="9861" xr:uid="{00000000-0005-0000-0000-000093260000}"/>
    <cellStyle name="Normal 5 2 2 4 2 4 3" xfId="9862" xr:uid="{00000000-0005-0000-0000-000094260000}"/>
    <cellStyle name="Normal 5 2 2 4 2 5" xfId="9863" xr:uid="{00000000-0005-0000-0000-000095260000}"/>
    <cellStyle name="Normal 5 2 2 4 2 6" xfId="9864" xr:uid="{00000000-0005-0000-0000-000096260000}"/>
    <cellStyle name="Normal 5 2 2 4 2 7" xfId="9865" xr:uid="{00000000-0005-0000-0000-000097260000}"/>
    <cellStyle name="Normal 5 2 2 4 3" xfId="9866" xr:uid="{00000000-0005-0000-0000-000098260000}"/>
    <cellStyle name="Normal 5 2 2 4 3 2" xfId="9867" xr:uid="{00000000-0005-0000-0000-000099260000}"/>
    <cellStyle name="Normal 5 2 2 4 3 2 2" xfId="9868" xr:uid="{00000000-0005-0000-0000-00009A260000}"/>
    <cellStyle name="Normal 5 2 2 4 3 2 2 2" xfId="9869" xr:uid="{00000000-0005-0000-0000-00009B260000}"/>
    <cellStyle name="Normal 5 2 2 4 3 2 2 3" xfId="9870" xr:uid="{00000000-0005-0000-0000-00009C260000}"/>
    <cellStyle name="Normal 5 2 2 4 3 2 3" xfId="9871" xr:uid="{00000000-0005-0000-0000-00009D260000}"/>
    <cellStyle name="Normal 5 2 2 4 3 2 4" xfId="9872" xr:uid="{00000000-0005-0000-0000-00009E260000}"/>
    <cellStyle name="Normal 5 2 2 4 3 3" xfId="9873" xr:uid="{00000000-0005-0000-0000-00009F260000}"/>
    <cellStyle name="Normal 5 2 2 4 3 3 2" xfId="9874" xr:uid="{00000000-0005-0000-0000-0000A0260000}"/>
    <cellStyle name="Normal 5 2 2 4 3 3 3" xfId="9875" xr:uid="{00000000-0005-0000-0000-0000A1260000}"/>
    <cellStyle name="Normal 5 2 2 4 3 4" xfId="9876" xr:uid="{00000000-0005-0000-0000-0000A2260000}"/>
    <cellStyle name="Normal 5 2 2 4 3 5" xfId="9877" xr:uid="{00000000-0005-0000-0000-0000A3260000}"/>
    <cellStyle name="Normal 5 2 2 4 4" xfId="9878" xr:uid="{00000000-0005-0000-0000-0000A4260000}"/>
    <cellStyle name="Normal 5 2 2 4 4 2" xfId="9879" xr:uid="{00000000-0005-0000-0000-0000A5260000}"/>
    <cellStyle name="Normal 5 2 2 4 4 3" xfId="9880" xr:uid="{00000000-0005-0000-0000-0000A6260000}"/>
    <cellStyle name="Normal 5 2 2 4 5" xfId="9881" xr:uid="{00000000-0005-0000-0000-0000A7260000}"/>
    <cellStyle name="Normal 5 2 2 4 5 2" xfId="9882" xr:uid="{00000000-0005-0000-0000-0000A8260000}"/>
    <cellStyle name="Normal 5 2 2 4 5 3" xfId="9883" xr:uid="{00000000-0005-0000-0000-0000A9260000}"/>
    <cellStyle name="Normal 5 2 2 4 6" xfId="9884" xr:uid="{00000000-0005-0000-0000-0000AA260000}"/>
    <cellStyle name="Normal 5 2 2 4 7" xfId="9885" xr:uid="{00000000-0005-0000-0000-0000AB260000}"/>
    <cellStyle name="Normal 5 2 2 4 8" xfId="9886" xr:uid="{00000000-0005-0000-0000-0000AC260000}"/>
    <cellStyle name="Normal 5 2 2 4 9" xfId="9887" xr:uid="{00000000-0005-0000-0000-0000AD260000}"/>
    <cellStyle name="Normal 5 2 2 5" xfId="9888" xr:uid="{00000000-0005-0000-0000-0000AE260000}"/>
    <cellStyle name="Normal 5 2 2 5 2" xfId="9889" xr:uid="{00000000-0005-0000-0000-0000AF260000}"/>
    <cellStyle name="Normal 5 2 2 5 2 2" xfId="9890" xr:uid="{00000000-0005-0000-0000-0000B0260000}"/>
    <cellStyle name="Normal 5 2 2 5 2 2 2" xfId="9891" xr:uid="{00000000-0005-0000-0000-0000B1260000}"/>
    <cellStyle name="Normal 5 2 2 5 2 2 2 2" xfId="9892" xr:uid="{00000000-0005-0000-0000-0000B2260000}"/>
    <cellStyle name="Normal 5 2 2 5 2 2 2 3" xfId="9893" xr:uid="{00000000-0005-0000-0000-0000B3260000}"/>
    <cellStyle name="Normal 5 2 2 5 2 2 3" xfId="9894" xr:uid="{00000000-0005-0000-0000-0000B4260000}"/>
    <cellStyle name="Normal 5 2 2 5 2 2 4" xfId="9895" xr:uid="{00000000-0005-0000-0000-0000B5260000}"/>
    <cellStyle name="Normal 5 2 2 5 2 3" xfId="9896" xr:uid="{00000000-0005-0000-0000-0000B6260000}"/>
    <cellStyle name="Normal 5 2 2 5 2 3 2" xfId="9897" xr:uid="{00000000-0005-0000-0000-0000B7260000}"/>
    <cellStyle name="Normal 5 2 2 5 2 3 2 2" xfId="9898" xr:uid="{00000000-0005-0000-0000-0000B8260000}"/>
    <cellStyle name="Normal 5 2 2 5 2 3 2 3" xfId="9899" xr:uid="{00000000-0005-0000-0000-0000B9260000}"/>
    <cellStyle name="Normal 5 2 2 5 2 3 3" xfId="9900" xr:uid="{00000000-0005-0000-0000-0000BA260000}"/>
    <cellStyle name="Normal 5 2 2 5 2 3 4" xfId="9901" xr:uid="{00000000-0005-0000-0000-0000BB260000}"/>
    <cellStyle name="Normal 5 2 2 5 2 4" xfId="9902" xr:uid="{00000000-0005-0000-0000-0000BC260000}"/>
    <cellStyle name="Normal 5 2 2 5 2 4 2" xfId="9903" xr:uid="{00000000-0005-0000-0000-0000BD260000}"/>
    <cellStyle name="Normal 5 2 2 5 2 4 3" xfId="9904" xr:uid="{00000000-0005-0000-0000-0000BE260000}"/>
    <cellStyle name="Normal 5 2 2 5 2 5" xfId="9905" xr:uid="{00000000-0005-0000-0000-0000BF260000}"/>
    <cellStyle name="Normal 5 2 2 5 2 6" xfId="9906" xr:uid="{00000000-0005-0000-0000-0000C0260000}"/>
    <cellStyle name="Normal 5 2 2 5 2 7" xfId="9907" xr:uid="{00000000-0005-0000-0000-0000C1260000}"/>
    <cellStyle name="Normal 5 2 2 5 3" xfId="9908" xr:uid="{00000000-0005-0000-0000-0000C2260000}"/>
    <cellStyle name="Normal 5 2 2 5 3 2" xfId="9909" xr:uid="{00000000-0005-0000-0000-0000C3260000}"/>
    <cellStyle name="Normal 5 2 2 5 3 2 2" xfId="9910" xr:uid="{00000000-0005-0000-0000-0000C4260000}"/>
    <cellStyle name="Normal 5 2 2 5 3 2 2 2" xfId="9911" xr:uid="{00000000-0005-0000-0000-0000C5260000}"/>
    <cellStyle name="Normal 5 2 2 5 3 2 2 3" xfId="9912" xr:uid="{00000000-0005-0000-0000-0000C6260000}"/>
    <cellStyle name="Normal 5 2 2 5 3 2 3" xfId="9913" xr:uid="{00000000-0005-0000-0000-0000C7260000}"/>
    <cellStyle name="Normal 5 2 2 5 3 2 4" xfId="9914" xr:uid="{00000000-0005-0000-0000-0000C8260000}"/>
    <cellStyle name="Normal 5 2 2 5 3 3" xfId="9915" xr:uid="{00000000-0005-0000-0000-0000C9260000}"/>
    <cellStyle name="Normal 5 2 2 5 3 3 2" xfId="9916" xr:uid="{00000000-0005-0000-0000-0000CA260000}"/>
    <cellStyle name="Normal 5 2 2 5 3 3 3" xfId="9917" xr:uid="{00000000-0005-0000-0000-0000CB260000}"/>
    <cellStyle name="Normal 5 2 2 5 3 4" xfId="9918" xr:uid="{00000000-0005-0000-0000-0000CC260000}"/>
    <cellStyle name="Normal 5 2 2 5 3 5" xfId="9919" xr:uid="{00000000-0005-0000-0000-0000CD260000}"/>
    <cellStyle name="Normal 5 2 2 5 4" xfId="9920" xr:uid="{00000000-0005-0000-0000-0000CE260000}"/>
    <cellStyle name="Normal 5 2 2 5 4 2" xfId="9921" xr:uid="{00000000-0005-0000-0000-0000CF260000}"/>
    <cellStyle name="Normal 5 2 2 5 4 3" xfId="9922" xr:uid="{00000000-0005-0000-0000-0000D0260000}"/>
    <cellStyle name="Normal 5 2 2 5 5" xfId="9923" xr:uid="{00000000-0005-0000-0000-0000D1260000}"/>
    <cellStyle name="Normal 5 2 2 5 5 2" xfId="9924" xr:uid="{00000000-0005-0000-0000-0000D2260000}"/>
    <cellStyle name="Normal 5 2 2 5 5 3" xfId="9925" xr:uid="{00000000-0005-0000-0000-0000D3260000}"/>
    <cellStyle name="Normal 5 2 2 5 6" xfId="9926" xr:uid="{00000000-0005-0000-0000-0000D4260000}"/>
    <cellStyle name="Normal 5 2 2 5 7" xfId="9927" xr:uid="{00000000-0005-0000-0000-0000D5260000}"/>
    <cellStyle name="Normal 5 2 2 5 8" xfId="9928" xr:uid="{00000000-0005-0000-0000-0000D6260000}"/>
    <cellStyle name="Normal 5 2 2 5 9" xfId="9929" xr:uid="{00000000-0005-0000-0000-0000D7260000}"/>
    <cellStyle name="Normal 5 2 2 6" xfId="9930" xr:uid="{00000000-0005-0000-0000-0000D8260000}"/>
    <cellStyle name="Normal 5 2 2 6 2" xfId="9931" xr:uid="{00000000-0005-0000-0000-0000D9260000}"/>
    <cellStyle name="Normal 5 2 2 6 2 2" xfId="9932" xr:uid="{00000000-0005-0000-0000-0000DA260000}"/>
    <cellStyle name="Normal 5 2 2 6 2 2 2" xfId="9933" xr:uid="{00000000-0005-0000-0000-0000DB260000}"/>
    <cellStyle name="Normal 5 2 2 6 2 2 2 2" xfId="9934" xr:uid="{00000000-0005-0000-0000-0000DC260000}"/>
    <cellStyle name="Normal 5 2 2 6 2 2 2 3" xfId="9935" xr:uid="{00000000-0005-0000-0000-0000DD260000}"/>
    <cellStyle name="Normal 5 2 2 6 2 2 3" xfId="9936" xr:uid="{00000000-0005-0000-0000-0000DE260000}"/>
    <cellStyle name="Normal 5 2 2 6 2 2 4" xfId="9937" xr:uid="{00000000-0005-0000-0000-0000DF260000}"/>
    <cellStyle name="Normal 5 2 2 6 2 3" xfId="9938" xr:uid="{00000000-0005-0000-0000-0000E0260000}"/>
    <cellStyle name="Normal 5 2 2 6 2 3 2" xfId="9939" xr:uid="{00000000-0005-0000-0000-0000E1260000}"/>
    <cellStyle name="Normal 5 2 2 6 2 3 2 2" xfId="9940" xr:uid="{00000000-0005-0000-0000-0000E2260000}"/>
    <cellStyle name="Normal 5 2 2 6 2 3 2 3" xfId="9941" xr:uid="{00000000-0005-0000-0000-0000E3260000}"/>
    <cellStyle name="Normal 5 2 2 6 2 3 3" xfId="9942" xr:uid="{00000000-0005-0000-0000-0000E4260000}"/>
    <cellStyle name="Normal 5 2 2 6 2 3 4" xfId="9943" xr:uid="{00000000-0005-0000-0000-0000E5260000}"/>
    <cellStyle name="Normal 5 2 2 6 2 4" xfId="9944" xr:uid="{00000000-0005-0000-0000-0000E6260000}"/>
    <cellStyle name="Normal 5 2 2 6 2 4 2" xfId="9945" xr:uid="{00000000-0005-0000-0000-0000E7260000}"/>
    <cellStyle name="Normal 5 2 2 6 2 4 3" xfId="9946" xr:uid="{00000000-0005-0000-0000-0000E8260000}"/>
    <cellStyle name="Normal 5 2 2 6 2 5" xfId="9947" xr:uid="{00000000-0005-0000-0000-0000E9260000}"/>
    <cellStyle name="Normal 5 2 2 6 2 6" xfId="9948" xr:uid="{00000000-0005-0000-0000-0000EA260000}"/>
    <cellStyle name="Normal 5 2 2 6 2 7" xfId="9949" xr:uid="{00000000-0005-0000-0000-0000EB260000}"/>
    <cellStyle name="Normal 5 2 2 6 3" xfId="9950" xr:uid="{00000000-0005-0000-0000-0000EC260000}"/>
    <cellStyle name="Normal 5 2 2 6 3 2" xfId="9951" xr:uid="{00000000-0005-0000-0000-0000ED260000}"/>
    <cellStyle name="Normal 5 2 2 6 3 2 2" xfId="9952" xr:uid="{00000000-0005-0000-0000-0000EE260000}"/>
    <cellStyle name="Normal 5 2 2 6 3 2 2 2" xfId="9953" xr:uid="{00000000-0005-0000-0000-0000EF260000}"/>
    <cellStyle name="Normal 5 2 2 6 3 2 2 3" xfId="9954" xr:uid="{00000000-0005-0000-0000-0000F0260000}"/>
    <cellStyle name="Normal 5 2 2 6 3 2 3" xfId="9955" xr:uid="{00000000-0005-0000-0000-0000F1260000}"/>
    <cellStyle name="Normal 5 2 2 6 3 2 4" xfId="9956" xr:uid="{00000000-0005-0000-0000-0000F2260000}"/>
    <cellStyle name="Normal 5 2 2 6 3 3" xfId="9957" xr:uid="{00000000-0005-0000-0000-0000F3260000}"/>
    <cellStyle name="Normal 5 2 2 6 3 3 2" xfId="9958" xr:uid="{00000000-0005-0000-0000-0000F4260000}"/>
    <cellStyle name="Normal 5 2 2 6 3 3 3" xfId="9959" xr:uid="{00000000-0005-0000-0000-0000F5260000}"/>
    <cellStyle name="Normal 5 2 2 6 3 4" xfId="9960" xr:uid="{00000000-0005-0000-0000-0000F6260000}"/>
    <cellStyle name="Normal 5 2 2 6 3 5" xfId="9961" xr:uid="{00000000-0005-0000-0000-0000F7260000}"/>
    <cellStyle name="Normal 5 2 2 6 4" xfId="9962" xr:uid="{00000000-0005-0000-0000-0000F8260000}"/>
    <cellStyle name="Normal 5 2 2 6 4 2" xfId="9963" xr:uid="{00000000-0005-0000-0000-0000F9260000}"/>
    <cellStyle name="Normal 5 2 2 6 4 3" xfId="9964" xr:uid="{00000000-0005-0000-0000-0000FA260000}"/>
    <cellStyle name="Normal 5 2 2 6 5" xfId="9965" xr:uid="{00000000-0005-0000-0000-0000FB260000}"/>
    <cellStyle name="Normal 5 2 2 6 5 2" xfId="9966" xr:uid="{00000000-0005-0000-0000-0000FC260000}"/>
    <cellStyle name="Normal 5 2 2 6 5 3" xfId="9967" xr:uid="{00000000-0005-0000-0000-0000FD260000}"/>
    <cellStyle name="Normal 5 2 2 6 6" xfId="9968" xr:uid="{00000000-0005-0000-0000-0000FE260000}"/>
    <cellStyle name="Normal 5 2 2 6 7" xfId="9969" xr:uid="{00000000-0005-0000-0000-0000FF260000}"/>
    <cellStyle name="Normal 5 2 2 6 8" xfId="9970" xr:uid="{00000000-0005-0000-0000-000000270000}"/>
    <cellStyle name="Normal 5 2 2 6 9" xfId="9971" xr:uid="{00000000-0005-0000-0000-000001270000}"/>
    <cellStyle name="Normal 5 2 2 7" xfId="9972" xr:uid="{00000000-0005-0000-0000-000002270000}"/>
    <cellStyle name="Normal 5 2 2 7 2" xfId="9973" xr:uid="{00000000-0005-0000-0000-000003270000}"/>
    <cellStyle name="Normal 5 2 2 7 2 2" xfId="9974" xr:uid="{00000000-0005-0000-0000-000004270000}"/>
    <cellStyle name="Normal 5 2 2 7 2 2 2" xfId="9975" xr:uid="{00000000-0005-0000-0000-000005270000}"/>
    <cellStyle name="Normal 5 2 2 7 2 2 2 2" xfId="9976" xr:uid="{00000000-0005-0000-0000-000006270000}"/>
    <cellStyle name="Normal 5 2 2 7 2 2 2 3" xfId="9977" xr:uid="{00000000-0005-0000-0000-000007270000}"/>
    <cellStyle name="Normal 5 2 2 7 2 2 3" xfId="9978" xr:uid="{00000000-0005-0000-0000-000008270000}"/>
    <cellStyle name="Normal 5 2 2 7 2 2 4" xfId="9979" xr:uid="{00000000-0005-0000-0000-000009270000}"/>
    <cellStyle name="Normal 5 2 2 7 2 3" xfId="9980" xr:uid="{00000000-0005-0000-0000-00000A270000}"/>
    <cellStyle name="Normal 5 2 2 7 2 3 2" xfId="9981" xr:uid="{00000000-0005-0000-0000-00000B270000}"/>
    <cellStyle name="Normal 5 2 2 7 2 3 2 2" xfId="9982" xr:uid="{00000000-0005-0000-0000-00000C270000}"/>
    <cellStyle name="Normal 5 2 2 7 2 3 2 3" xfId="9983" xr:uid="{00000000-0005-0000-0000-00000D270000}"/>
    <cellStyle name="Normal 5 2 2 7 2 3 3" xfId="9984" xr:uid="{00000000-0005-0000-0000-00000E270000}"/>
    <cellStyle name="Normal 5 2 2 7 2 3 4" xfId="9985" xr:uid="{00000000-0005-0000-0000-00000F270000}"/>
    <cellStyle name="Normal 5 2 2 7 2 4" xfId="9986" xr:uid="{00000000-0005-0000-0000-000010270000}"/>
    <cellStyle name="Normal 5 2 2 7 2 4 2" xfId="9987" xr:uid="{00000000-0005-0000-0000-000011270000}"/>
    <cellStyle name="Normal 5 2 2 7 2 4 3" xfId="9988" xr:uid="{00000000-0005-0000-0000-000012270000}"/>
    <cellStyle name="Normal 5 2 2 7 2 5" xfId="9989" xr:uid="{00000000-0005-0000-0000-000013270000}"/>
    <cellStyle name="Normal 5 2 2 7 2 6" xfId="9990" xr:uid="{00000000-0005-0000-0000-000014270000}"/>
    <cellStyle name="Normal 5 2 2 7 2 7" xfId="9991" xr:uid="{00000000-0005-0000-0000-000015270000}"/>
    <cellStyle name="Normal 5 2 2 7 3" xfId="9992" xr:uid="{00000000-0005-0000-0000-000016270000}"/>
    <cellStyle name="Normal 5 2 2 7 3 2" xfId="9993" xr:uid="{00000000-0005-0000-0000-000017270000}"/>
    <cellStyle name="Normal 5 2 2 7 3 2 2" xfId="9994" xr:uid="{00000000-0005-0000-0000-000018270000}"/>
    <cellStyle name="Normal 5 2 2 7 3 2 2 2" xfId="9995" xr:uid="{00000000-0005-0000-0000-000019270000}"/>
    <cellStyle name="Normal 5 2 2 7 3 2 2 3" xfId="9996" xr:uid="{00000000-0005-0000-0000-00001A270000}"/>
    <cellStyle name="Normal 5 2 2 7 3 2 3" xfId="9997" xr:uid="{00000000-0005-0000-0000-00001B270000}"/>
    <cellStyle name="Normal 5 2 2 7 3 2 4" xfId="9998" xr:uid="{00000000-0005-0000-0000-00001C270000}"/>
    <cellStyle name="Normal 5 2 2 7 3 3" xfId="9999" xr:uid="{00000000-0005-0000-0000-00001D270000}"/>
    <cellStyle name="Normal 5 2 2 7 3 3 2" xfId="10000" xr:uid="{00000000-0005-0000-0000-00001E270000}"/>
    <cellStyle name="Normal 5 2 2 7 3 3 3" xfId="10001" xr:uid="{00000000-0005-0000-0000-00001F270000}"/>
    <cellStyle name="Normal 5 2 2 7 3 4" xfId="10002" xr:uid="{00000000-0005-0000-0000-000020270000}"/>
    <cellStyle name="Normal 5 2 2 7 3 5" xfId="10003" xr:uid="{00000000-0005-0000-0000-000021270000}"/>
    <cellStyle name="Normal 5 2 2 7 4" xfId="10004" xr:uid="{00000000-0005-0000-0000-000022270000}"/>
    <cellStyle name="Normal 5 2 2 7 4 2" xfId="10005" xr:uid="{00000000-0005-0000-0000-000023270000}"/>
    <cellStyle name="Normal 5 2 2 7 4 3" xfId="10006" xr:uid="{00000000-0005-0000-0000-000024270000}"/>
    <cellStyle name="Normal 5 2 2 7 5" xfId="10007" xr:uid="{00000000-0005-0000-0000-000025270000}"/>
    <cellStyle name="Normal 5 2 2 7 5 2" xfId="10008" xr:uid="{00000000-0005-0000-0000-000026270000}"/>
    <cellStyle name="Normal 5 2 2 7 5 3" xfId="10009" xr:uid="{00000000-0005-0000-0000-000027270000}"/>
    <cellStyle name="Normal 5 2 2 7 6" xfId="10010" xr:uid="{00000000-0005-0000-0000-000028270000}"/>
    <cellStyle name="Normal 5 2 2 7 7" xfId="10011" xr:uid="{00000000-0005-0000-0000-000029270000}"/>
    <cellStyle name="Normal 5 2 2 7 8" xfId="10012" xr:uid="{00000000-0005-0000-0000-00002A270000}"/>
    <cellStyle name="Normal 5 2 2 7 9" xfId="10013" xr:uid="{00000000-0005-0000-0000-00002B270000}"/>
    <cellStyle name="Normal 5 2 2 8" xfId="10014" xr:uid="{00000000-0005-0000-0000-00002C270000}"/>
    <cellStyle name="Normal 5 2 2 8 2" xfId="10015" xr:uid="{00000000-0005-0000-0000-00002D270000}"/>
    <cellStyle name="Normal 5 2 2 8 2 2" xfId="10016" xr:uid="{00000000-0005-0000-0000-00002E270000}"/>
    <cellStyle name="Normal 5 2 2 8 2 2 2" xfId="10017" xr:uid="{00000000-0005-0000-0000-00002F270000}"/>
    <cellStyle name="Normal 5 2 2 8 2 2 2 2" xfId="10018" xr:uid="{00000000-0005-0000-0000-000030270000}"/>
    <cellStyle name="Normal 5 2 2 8 2 2 2 3" xfId="10019" xr:uid="{00000000-0005-0000-0000-000031270000}"/>
    <cellStyle name="Normal 5 2 2 8 2 2 3" xfId="10020" xr:uid="{00000000-0005-0000-0000-000032270000}"/>
    <cellStyle name="Normal 5 2 2 8 2 2 4" xfId="10021" xr:uid="{00000000-0005-0000-0000-000033270000}"/>
    <cellStyle name="Normal 5 2 2 8 2 3" xfId="10022" xr:uid="{00000000-0005-0000-0000-000034270000}"/>
    <cellStyle name="Normal 5 2 2 8 2 3 2" xfId="10023" xr:uid="{00000000-0005-0000-0000-000035270000}"/>
    <cellStyle name="Normal 5 2 2 8 2 3 2 2" xfId="10024" xr:uid="{00000000-0005-0000-0000-000036270000}"/>
    <cellStyle name="Normal 5 2 2 8 2 3 2 3" xfId="10025" xr:uid="{00000000-0005-0000-0000-000037270000}"/>
    <cellStyle name="Normal 5 2 2 8 2 3 3" xfId="10026" xr:uid="{00000000-0005-0000-0000-000038270000}"/>
    <cellStyle name="Normal 5 2 2 8 2 3 4" xfId="10027" xr:uid="{00000000-0005-0000-0000-000039270000}"/>
    <cellStyle name="Normal 5 2 2 8 2 4" xfId="10028" xr:uid="{00000000-0005-0000-0000-00003A270000}"/>
    <cellStyle name="Normal 5 2 2 8 2 4 2" xfId="10029" xr:uid="{00000000-0005-0000-0000-00003B270000}"/>
    <cellStyle name="Normal 5 2 2 8 2 4 3" xfId="10030" xr:uid="{00000000-0005-0000-0000-00003C270000}"/>
    <cellStyle name="Normal 5 2 2 8 2 5" xfId="10031" xr:uid="{00000000-0005-0000-0000-00003D270000}"/>
    <cellStyle name="Normal 5 2 2 8 2 6" xfId="10032" xr:uid="{00000000-0005-0000-0000-00003E270000}"/>
    <cellStyle name="Normal 5 2 2 8 2 7" xfId="10033" xr:uid="{00000000-0005-0000-0000-00003F270000}"/>
    <cellStyle name="Normal 5 2 2 8 3" xfId="10034" xr:uid="{00000000-0005-0000-0000-000040270000}"/>
    <cellStyle name="Normal 5 2 2 8 3 2" xfId="10035" xr:uid="{00000000-0005-0000-0000-000041270000}"/>
    <cellStyle name="Normal 5 2 2 8 3 2 2" xfId="10036" xr:uid="{00000000-0005-0000-0000-000042270000}"/>
    <cellStyle name="Normal 5 2 2 8 3 2 2 2" xfId="10037" xr:uid="{00000000-0005-0000-0000-000043270000}"/>
    <cellStyle name="Normal 5 2 2 8 3 2 2 3" xfId="10038" xr:uid="{00000000-0005-0000-0000-000044270000}"/>
    <cellStyle name="Normal 5 2 2 8 3 2 3" xfId="10039" xr:uid="{00000000-0005-0000-0000-000045270000}"/>
    <cellStyle name="Normal 5 2 2 8 3 2 4" xfId="10040" xr:uid="{00000000-0005-0000-0000-000046270000}"/>
    <cellStyle name="Normal 5 2 2 8 3 3" xfId="10041" xr:uid="{00000000-0005-0000-0000-000047270000}"/>
    <cellStyle name="Normal 5 2 2 8 3 3 2" xfId="10042" xr:uid="{00000000-0005-0000-0000-000048270000}"/>
    <cellStyle name="Normal 5 2 2 8 3 3 3" xfId="10043" xr:uid="{00000000-0005-0000-0000-000049270000}"/>
    <cellStyle name="Normal 5 2 2 8 3 4" xfId="10044" xr:uid="{00000000-0005-0000-0000-00004A270000}"/>
    <cellStyle name="Normal 5 2 2 8 3 5" xfId="10045" xr:uid="{00000000-0005-0000-0000-00004B270000}"/>
    <cellStyle name="Normal 5 2 2 8 4" xfId="10046" xr:uid="{00000000-0005-0000-0000-00004C270000}"/>
    <cellStyle name="Normal 5 2 2 8 4 2" xfId="10047" xr:uid="{00000000-0005-0000-0000-00004D270000}"/>
    <cellStyle name="Normal 5 2 2 8 4 3" xfId="10048" xr:uid="{00000000-0005-0000-0000-00004E270000}"/>
    <cellStyle name="Normal 5 2 2 8 5" xfId="10049" xr:uid="{00000000-0005-0000-0000-00004F270000}"/>
    <cellStyle name="Normal 5 2 2 8 5 2" xfId="10050" xr:uid="{00000000-0005-0000-0000-000050270000}"/>
    <cellStyle name="Normal 5 2 2 8 5 3" xfId="10051" xr:uid="{00000000-0005-0000-0000-000051270000}"/>
    <cellStyle name="Normal 5 2 2 8 6" xfId="10052" xr:uid="{00000000-0005-0000-0000-000052270000}"/>
    <cellStyle name="Normal 5 2 2 8 7" xfId="10053" xr:uid="{00000000-0005-0000-0000-000053270000}"/>
    <cellStyle name="Normal 5 2 2 8 8" xfId="10054" xr:uid="{00000000-0005-0000-0000-000054270000}"/>
    <cellStyle name="Normal 5 2 2 8 9" xfId="10055" xr:uid="{00000000-0005-0000-0000-000055270000}"/>
    <cellStyle name="Normal 5 2 2 9" xfId="10056" xr:uid="{00000000-0005-0000-0000-000056270000}"/>
    <cellStyle name="Normal 5 2 2 9 2" xfId="10057" xr:uid="{00000000-0005-0000-0000-000057270000}"/>
    <cellStyle name="Normal 5 2 2 9 2 2" xfId="10058" xr:uid="{00000000-0005-0000-0000-000058270000}"/>
    <cellStyle name="Normal 5 2 2 9 2 2 2" xfId="10059" xr:uid="{00000000-0005-0000-0000-000059270000}"/>
    <cellStyle name="Normal 5 2 2 9 2 2 2 2" xfId="10060" xr:uid="{00000000-0005-0000-0000-00005A270000}"/>
    <cellStyle name="Normal 5 2 2 9 2 2 2 3" xfId="10061" xr:uid="{00000000-0005-0000-0000-00005B270000}"/>
    <cellStyle name="Normal 5 2 2 9 2 2 3" xfId="10062" xr:uid="{00000000-0005-0000-0000-00005C270000}"/>
    <cellStyle name="Normal 5 2 2 9 2 2 4" xfId="10063" xr:uid="{00000000-0005-0000-0000-00005D270000}"/>
    <cellStyle name="Normal 5 2 2 9 2 3" xfId="10064" xr:uid="{00000000-0005-0000-0000-00005E270000}"/>
    <cellStyle name="Normal 5 2 2 9 2 3 2" xfId="10065" xr:uid="{00000000-0005-0000-0000-00005F270000}"/>
    <cellStyle name="Normal 5 2 2 9 2 3 2 2" xfId="10066" xr:uid="{00000000-0005-0000-0000-000060270000}"/>
    <cellStyle name="Normal 5 2 2 9 2 3 2 3" xfId="10067" xr:uid="{00000000-0005-0000-0000-000061270000}"/>
    <cellStyle name="Normal 5 2 2 9 2 3 3" xfId="10068" xr:uid="{00000000-0005-0000-0000-000062270000}"/>
    <cellStyle name="Normal 5 2 2 9 2 3 4" xfId="10069" xr:uid="{00000000-0005-0000-0000-000063270000}"/>
    <cellStyle name="Normal 5 2 2 9 2 4" xfId="10070" xr:uid="{00000000-0005-0000-0000-000064270000}"/>
    <cellStyle name="Normal 5 2 2 9 2 4 2" xfId="10071" xr:uid="{00000000-0005-0000-0000-000065270000}"/>
    <cellStyle name="Normal 5 2 2 9 2 4 3" xfId="10072" xr:uid="{00000000-0005-0000-0000-000066270000}"/>
    <cellStyle name="Normal 5 2 2 9 2 5" xfId="10073" xr:uid="{00000000-0005-0000-0000-000067270000}"/>
    <cellStyle name="Normal 5 2 2 9 2 6" xfId="10074" xr:uid="{00000000-0005-0000-0000-000068270000}"/>
    <cellStyle name="Normal 5 2 2 9 2 7" xfId="10075" xr:uid="{00000000-0005-0000-0000-000069270000}"/>
    <cellStyle name="Normal 5 2 2 9 3" xfId="10076" xr:uid="{00000000-0005-0000-0000-00006A270000}"/>
    <cellStyle name="Normal 5 2 2 9 3 2" xfId="10077" xr:uid="{00000000-0005-0000-0000-00006B270000}"/>
    <cellStyle name="Normal 5 2 2 9 3 2 2" xfId="10078" xr:uid="{00000000-0005-0000-0000-00006C270000}"/>
    <cellStyle name="Normal 5 2 2 9 3 2 2 2" xfId="10079" xr:uid="{00000000-0005-0000-0000-00006D270000}"/>
    <cellStyle name="Normal 5 2 2 9 3 2 2 3" xfId="10080" xr:uid="{00000000-0005-0000-0000-00006E270000}"/>
    <cellStyle name="Normal 5 2 2 9 3 2 3" xfId="10081" xr:uid="{00000000-0005-0000-0000-00006F270000}"/>
    <cellStyle name="Normal 5 2 2 9 3 2 4" xfId="10082" xr:uid="{00000000-0005-0000-0000-000070270000}"/>
    <cellStyle name="Normal 5 2 2 9 3 3" xfId="10083" xr:uid="{00000000-0005-0000-0000-000071270000}"/>
    <cellStyle name="Normal 5 2 2 9 3 3 2" xfId="10084" xr:uid="{00000000-0005-0000-0000-000072270000}"/>
    <cellStyle name="Normal 5 2 2 9 3 3 3" xfId="10085" xr:uid="{00000000-0005-0000-0000-000073270000}"/>
    <cellStyle name="Normal 5 2 2 9 3 4" xfId="10086" xr:uid="{00000000-0005-0000-0000-000074270000}"/>
    <cellStyle name="Normal 5 2 2 9 3 5" xfId="10087" xr:uid="{00000000-0005-0000-0000-000075270000}"/>
    <cellStyle name="Normal 5 2 2 9 4" xfId="10088" xr:uid="{00000000-0005-0000-0000-000076270000}"/>
    <cellStyle name="Normal 5 2 2 9 4 2" xfId="10089" xr:uid="{00000000-0005-0000-0000-000077270000}"/>
    <cellStyle name="Normal 5 2 2 9 4 3" xfId="10090" xr:uid="{00000000-0005-0000-0000-000078270000}"/>
    <cellStyle name="Normal 5 2 2 9 5" xfId="10091" xr:uid="{00000000-0005-0000-0000-000079270000}"/>
    <cellStyle name="Normal 5 2 2 9 5 2" xfId="10092" xr:uid="{00000000-0005-0000-0000-00007A270000}"/>
    <cellStyle name="Normal 5 2 2 9 5 3" xfId="10093" xr:uid="{00000000-0005-0000-0000-00007B270000}"/>
    <cellStyle name="Normal 5 2 2 9 6" xfId="10094" xr:uid="{00000000-0005-0000-0000-00007C270000}"/>
    <cellStyle name="Normal 5 2 2 9 7" xfId="10095" xr:uid="{00000000-0005-0000-0000-00007D270000}"/>
    <cellStyle name="Normal 5 2 2 9 8" xfId="10096" xr:uid="{00000000-0005-0000-0000-00007E270000}"/>
    <cellStyle name="Normal 5 2 2 9 9" xfId="10097" xr:uid="{00000000-0005-0000-0000-00007F270000}"/>
    <cellStyle name="Normal 5 2 3" xfId="10098" xr:uid="{00000000-0005-0000-0000-000080270000}"/>
    <cellStyle name="Normal 5 2 3 2" xfId="10099" xr:uid="{00000000-0005-0000-0000-000081270000}"/>
    <cellStyle name="Normal 5 2 3 2 2" xfId="10100" xr:uid="{00000000-0005-0000-0000-000082270000}"/>
    <cellStyle name="Normal 5 2 3 2 3" xfId="10101" xr:uid="{00000000-0005-0000-0000-000083270000}"/>
    <cellStyle name="Normal 5 2 3 2 4" xfId="10102" xr:uid="{00000000-0005-0000-0000-000084270000}"/>
    <cellStyle name="Normal 5 2 3 3" xfId="10103" xr:uid="{00000000-0005-0000-0000-000085270000}"/>
    <cellStyle name="Normal 5 2 3 3 2" xfId="10104" xr:uid="{00000000-0005-0000-0000-000086270000}"/>
    <cellStyle name="Normal 5 2 3 3 2 2" xfId="10105" xr:uid="{00000000-0005-0000-0000-000087270000}"/>
    <cellStyle name="Normal 5 2 3 3 2 2 2" xfId="10106" xr:uid="{00000000-0005-0000-0000-000088270000}"/>
    <cellStyle name="Normal 5 2 3 3 2 2 3" xfId="10107" xr:uid="{00000000-0005-0000-0000-000089270000}"/>
    <cellStyle name="Normal 5 2 3 3 2 3" xfId="10108" xr:uid="{00000000-0005-0000-0000-00008A270000}"/>
    <cellStyle name="Normal 5 2 3 3 2 4" xfId="10109" xr:uid="{00000000-0005-0000-0000-00008B270000}"/>
    <cellStyle name="Normal 5 2 3 3 3" xfId="10110" xr:uid="{00000000-0005-0000-0000-00008C270000}"/>
    <cellStyle name="Normal 5 2 3 3 3 2" xfId="10111" xr:uid="{00000000-0005-0000-0000-00008D270000}"/>
    <cellStyle name="Normal 5 2 3 3 3 2 2" xfId="10112" xr:uid="{00000000-0005-0000-0000-00008E270000}"/>
    <cellStyle name="Normal 5 2 3 3 3 2 3" xfId="10113" xr:uid="{00000000-0005-0000-0000-00008F270000}"/>
    <cellStyle name="Normal 5 2 3 3 3 3" xfId="10114" xr:uid="{00000000-0005-0000-0000-000090270000}"/>
    <cellStyle name="Normal 5 2 3 3 3 4" xfId="10115" xr:uid="{00000000-0005-0000-0000-000091270000}"/>
    <cellStyle name="Normal 5 2 3 3 4" xfId="10116" xr:uid="{00000000-0005-0000-0000-000092270000}"/>
    <cellStyle name="Normal 5 2 3 3 4 2" xfId="10117" xr:uid="{00000000-0005-0000-0000-000093270000}"/>
    <cellStyle name="Normal 5 2 3 3 4 3" xfId="10118" xr:uid="{00000000-0005-0000-0000-000094270000}"/>
    <cellStyle name="Normal 5 2 3 3 5" xfId="10119" xr:uid="{00000000-0005-0000-0000-000095270000}"/>
    <cellStyle name="Normal 5 2 3 3 6" xfId="10120" xr:uid="{00000000-0005-0000-0000-000096270000}"/>
    <cellStyle name="Normal 5 2 3 3 7" xfId="10121" xr:uid="{00000000-0005-0000-0000-000097270000}"/>
    <cellStyle name="Normal 5 2 3 4" xfId="10122" xr:uid="{00000000-0005-0000-0000-000098270000}"/>
    <cellStyle name="Normal 5 2 3 4 2" xfId="10123" xr:uid="{00000000-0005-0000-0000-000099270000}"/>
    <cellStyle name="Normal 5 2 3 4 2 2" xfId="10124" xr:uid="{00000000-0005-0000-0000-00009A270000}"/>
    <cellStyle name="Normal 5 2 3 4 2 2 2" xfId="10125" xr:uid="{00000000-0005-0000-0000-00009B270000}"/>
    <cellStyle name="Normal 5 2 3 4 2 2 3" xfId="10126" xr:uid="{00000000-0005-0000-0000-00009C270000}"/>
    <cellStyle name="Normal 5 2 3 4 2 3" xfId="10127" xr:uid="{00000000-0005-0000-0000-00009D270000}"/>
    <cellStyle name="Normal 5 2 3 4 2 4" xfId="10128" xr:uid="{00000000-0005-0000-0000-00009E270000}"/>
    <cellStyle name="Normal 5 2 3 4 3" xfId="10129" xr:uid="{00000000-0005-0000-0000-00009F270000}"/>
    <cellStyle name="Normal 5 2 3 4 3 2" xfId="10130" xr:uid="{00000000-0005-0000-0000-0000A0270000}"/>
    <cellStyle name="Normal 5 2 3 4 3 3" xfId="10131" xr:uid="{00000000-0005-0000-0000-0000A1270000}"/>
    <cellStyle name="Normal 5 2 3 4 4" xfId="10132" xr:uid="{00000000-0005-0000-0000-0000A2270000}"/>
    <cellStyle name="Normal 5 2 3 4 5" xfId="10133" xr:uid="{00000000-0005-0000-0000-0000A3270000}"/>
    <cellStyle name="Normal 5 2 3 4 6" xfId="10134" xr:uid="{00000000-0005-0000-0000-0000A4270000}"/>
    <cellStyle name="Normal 5 2 3 5" xfId="10135" xr:uid="{00000000-0005-0000-0000-0000A5270000}"/>
    <cellStyle name="Normal 5 2 3 5 2" xfId="10136" xr:uid="{00000000-0005-0000-0000-0000A6270000}"/>
    <cellStyle name="Normal 5 2 3 5 3" xfId="10137" xr:uid="{00000000-0005-0000-0000-0000A7270000}"/>
    <cellStyle name="Normal 5 2 3 6" xfId="10138" xr:uid="{00000000-0005-0000-0000-0000A8270000}"/>
    <cellStyle name="Normal 5 2 3 7" xfId="10139" xr:uid="{00000000-0005-0000-0000-0000A9270000}"/>
    <cellStyle name="Normal 5 2 3 8" xfId="10140" xr:uid="{00000000-0005-0000-0000-0000AA270000}"/>
    <cellStyle name="Normal 5 2 3 9" xfId="10141" xr:uid="{00000000-0005-0000-0000-0000AB270000}"/>
    <cellStyle name="Normal 5 2 4" xfId="10142" xr:uid="{00000000-0005-0000-0000-0000AC270000}"/>
    <cellStyle name="Normal 5 2 4 2" xfId="10143" xr:uid="{00000000-0005-0000-0000-0000AD270000}"/>
    <cellStyle name="Normal 5 2 4 3" xfId="10144" xr:uid="{00000000-0005-0000-0000-0000AE270000}"/>
    <cellStyle name="Normal 5 2 4 4" xfId="10145" xr:uid="{00000000-0005-0000-0000-0000AF270000}"/>
    <cellStyle name="Normal 5 2 4 5" xfId="10146" xr:uid="{00000000-0005-0000-0000-0000B0270000}"/>
    <cellStyle name="Normal 5 2 5" xfId="10147" xr:uid="{00000000-0005-0000-0000-0000B1270000}"/>
    <cellStyle name="Normal 5 2 5 2" xfId="10148" xr:uid="{00000000-0005-0000-0000-0000B2270000}"/>
    <cellStyle name="Normal 5 2 5 3" xfId="10149" xr:uid="{00000000-0005-0000-0000-0000B3270000}"/>
    <cellStyle name="Normal 5 2 5 4" xfId="10150" xr:uid="{00000000-0005-0000-0000-0000B4270000}"/>
    <cellStyle name="Normal 5 2 5 5" xfId="10151" xr:uid="{00000000-0005-0000-0000-0000B5270000}"/>
    <cellStyle name="Normal 5 2 6" xfId="10152" xr:uid="{00000000-0005-0000-0000-0000B6270000}"/>
    <cellStyle name="Normal 5 2 6 2" xfId="10153" xr:uid="{00000000-0005-0000-0000-0000B7270000}"/>
    <cellStyle name="Normal 5 2 6 3" xfId="10154" xr:uid="{00000000-0005-0000-0000-0000B8270000}"/>
    <cellStyle name="Normal 5 2 6 4" xfId="10155" xr:uid="{00000000-0005-0000-0000-0000B9270000}"/>
    <cellStyle name="Normal 5 2 6 5" xfId="10156" xr:uid="{00000000-0005-0000-0000-0000BA270000}"/>
    <cellStyle name="Normal 5 2 7" xfId="10157" xr:uid="{00000000-0005-0000-0000-0000BB270000}"/>
    <cellStyle name="Normal 5 2 7 2" xfId="10158" xr:uid="{00000000-0005-0000-0000-0000BC270000}"/>
    <cellStyle name="Normal 5 2 7 3" xfId="10159" xr:uid="{00000000-0005-0000-0000-0000BD270000}"/>
    <cellStyle name="Normal 5 2 7 4" xfId="10160" xr:uid="{00000000-0005-0000-0000-0000BE270000}"/>
    <cellStyle name="Normal 5 2 7 5" xfId="10161" xr:uid="{00000000-0005-0000-0000-0000BF270000}"/>
    <cellStyle name="Normal 5 2 8" xfId="10162" xr:uid="{00000000-0005-0000-0000-0000C0270000}"/>
    <cellStyle name="Normal 5 2 8 2" xfId="10163" xr:uid="{00000000-0005-0000-0000-0000C1270000}"/>
    <cellStyle name="Normal 5 2 8 3" xfId="10164" xr:uid="{00000000-0005-0000-0000-0000C2270000}"/>
    <cellStyle name="Normal 5 2 8 4" xfId="10165" xr:uid="{00000000-0005-0000-0000-0000C3270000}"/>
    <cellStyle name="Normal 5 2 8 5" xfId="10166" xr:uid="{00000000-0005-0000-0000-0000C4270000}"/>
    <cellStyle name="Normal 5 2 9" xfId="10167" xr:uid="{00000000-0005-0000-0000-0000C5270000}"/>
    <cellStyle name="Normal 5 3" xfId="10168" xr:uid="{00000000-0005-0000-0000-0000C6270000}"/>
    <cellStyle name="Normal 5 3 10" xfId="10169" xr:uid="{00000000-0005-0000-0000-0000C7270000}"/>
    <cellStyle name="Normal 5 3 10 2" xfId="10170" xr:uid="{00000000-0005-0000-0000-0000C8270000}"/>
    <cellStyle name="Normal 5 3 10 3" xfId="10171" xr:uid="{00000000-0005-0000-0000-0000C9270000}"/>
    <cellStyle name="Normal 5 3 10 4" xfId="10172" xr:uid="{00000000-0005-0000-0000-0000CA270000}"/>
    <cellStyle name="Normal 5 3 11" xfId="10173" xr:uid="{00000000-0005-0000-0000-0000CB270000}"/>
    <cellStyle name="Normal 5 3 12" xfId="10174" xr:uid="{00000000-0005-0000-0000-0000CC270000}"/>
    <cellStyle name="Normal 5 3 13" xfId="10175" xr:uid="{00000000-0005-0000-0000-0000CD270000}"/>
    <cellStyle name="Normal 5 3 14" xfId="10176" xr:uid="{00000000-0005-0000-0000-0000CE270000}"/>
    <cellStyle name="Normal 5 3 2" xfId="10177" xr:uid="{00000000-0005-0000-0000-0000CF270000}"/>
    <cellStyle name="Normal 5 3 2 2" xfId="10178" xr:uid="{00000000-0005-0000-0000-0000D0270000}"/>
    <cellStyle name="Normal 5 3 2 2 2" xfId="10179" xr:uid="{00000000-0005-0000-0000-0000D1270000}"/>
    <cellStyle name="Normal 5 3 2 2 3" xfId="10180" xr:uid="{00000000-0005-0000-0000-0000D2270000}"/>
    <cellStyle name="Normal 5 3 2 2 4" xfId="10181" xr:uid="{00000000-0005-0000-0000-0000D3270000}"/>
    <cellStyle name="Normal 5 3 2 3" xfId="10182" xr:uid="{00000000-0005-0000-0000-0000D4270000}"/>
    <cellStyle name="Normal 5 3 2 3 2" xfId="10183" xr:uid="{00000000-0005-0000-0000-0000D5270000}"/>
    <cellStyle name="Normal 5 3 2 3 3" xfId="10184" xr:uid="{00000000-0005-0000-0000-0000D6270000}"/>
    <cellStyle name="Normal 5 3 2 3 4" xfId="10185" xr:uid="{00000000-0005-0000-0000-0000D7270000}"/>
    <cellStyle name="Normal 5 3 2 4" xfId="10186" xr:uid="{00000000-0005-0000-0000-0000D8270000}"/>
    <cellStyle name="Normal 5 3 2 5" xfId="10187" xr:uid="{00000000-0005-0000-0000-0000D9270000}"/>
    <cellStyle name="Normal 5 3 2 6" xfId="10188" xr:uid="{00000000-0005-0000-0000-0000DA270000}"/>
    <cellStyle name="Normal 5 3 2 7" xfId="10189" xr:uid="{00000000-0005-0000-0000-0000DB270000}"/>
    <cellStyle name="Normal 5 3 3" xfId="10190" xr:uid="{00000000-0005-0000-0000-0000DC270000}"/>
    <cellStyle name="Normal 5 3 3 2" xfId="10191" xr:uid="{00000000-0005-0000-0000-0000DD270000}"/>
    <cellStyle name="Normal 5 3 3 2 2" xfId="10192" xr:uid="{00000000-0005-0000-0000-0000DE270000}"/>
    <cellStyle name="Normal 5 3 3 2 3" xfId="10193" xr:uid="{00000000-0005-0000-0000-0000DF270000}"/>
    <cellStyle name="Normal 5 3 3 2 4" xfId="10194" xr:uid="{00000000-0005-0000-0000-0000E0270000}"/>
    <cellStyle name="Normal 5 3 3 3" xfId="10195" xr:uid="{00000000-0005-0000-0000-0000E1270000}"/>
    <cellStyle name="Normal 5 3 3 3 2" xfId="10196" xr:uid="{00000000-0005-0000-0000-0000E2270000}"/>
    <cellStyle name="Normal 5 3 3 3 2 2" xfId="10197" xr:uid="{00000000-0005-0000-0000-0000E3270000}"/>
    <cellStyle name="Normal 5 3 3 3 2 2 2" xfId="10198" xr:uid="{00000000-0005-0000-0000-0000E4270000}"/>
    <cellStyle name="Normal 5 3 3 3 2 2 3" xfId="10199" xr:uid="{00000000-0005-0000-0000-0000E5270000}"/>
    <cellStyle name="Normal 5 3 3 3 2 3" xfId="10200" xr:uid="{00000000-0005-0000-0000-0000E6270000}"/>
    <cellStyle name="Normal 5 3 3 3 2 4" xfId="10201" xr:uid="{00000000-0005-0000-0000-0000E7270000}"/>
    <cellStyle name="Normal 5 3 3 3 3" xfId="10202" xr:uid="{00000000-0005-0000-0000-0000E8270000}"/>
    <cellStyle name="Normal 5 3 3 3 3 2" xfId="10203" xr:uid="{00000000-0005-0000-0000-0000E9270000}"/>
    <cellStyle name="Normal 5 3 3 3 3 2 2" xfId="10204" xr:uid="{00000000-0005-0000-0000-0000EA270000}"/>
    <cellStyle name="Normal 5 3 3 3 3 2 3" xfId="10205" xr:uid="{00000000-0005-0000-0000-0000EB270000}"/>
    <cellStyle name="Normal 5 3 3 3 3 3" xfId="10206" xr:uid="{00000000-0005-0000-0000-0000EC270000}"/>
    <cellStyle name="Normal 5 3 3 3 3 4" xfId="10207" xr:uid="{00000000-0005-0000-0000-0000ED270000}"/>
    <cellStyle name="Normal 5 3 3 3 4" xfId="10208" xr:uid="{00000000-0005-0000-0000-0000EE270000}"/>
    <cellStyle name="Normal 5 3 3 3 4 2" xfId="10209" xr:uid="{00000000-0005-0000-0000-0000EF270000}"/>
    <cellStyle name="Normal 5 3 3 3 4 3" xfId="10210" xr:uid="{00000000-0005-0000-0000-0000F0270000}"/>
    <cellStyle name="Normal 5 3 3 3 5" xfId="10211" xr:uid="{00000000-0005-0000-0000-0000F1270000}"/>
    <cellStyle name="Normal 5 3 3 3 6" xfId="10212" xr:uid="{00000000-0005-0000-0000-0000F2270000}"/>
    <cellStyle name="Normal 5 3 3 3 7" xfId="10213" xr:uid="{00000000-0005-0000-0000-0000F3270000}"/>
    <cellStyle name="Normal 5 3 3 4" xfId="10214" xr:uid="{00000000-0005-0000-0000-0000F4270000}"/>
    <cellStyle name="Normal 5 3 3 4 2" xfId="10215" xr:uid="{00000000-0005-0000-0000-0000F5270000}"/>
    <cellStyle name="Normal 5 3 3 4 2 2" xfId="10216" xr:uid="{00000000-0005-0000-0000-0000F6270000}"/>
    <cellStyle name="Normal 5 3 3 4 2 2 2" xfId="10217" xr:uid="{00000000-0005-0000-0000-0000F7270000}"/>
    <cellStyle name="Normal 5 3 3 4 2 2 3" xfId="10218" xr:uid="{00000000-0005-0000-0000-0000F8270000}"/>
    <cellStyle name="Normal 5 3 3 4 2 3" xfId="10219" xr:uid="{00000000-0005-0000-0000-0000F9270000}"/>
    <cellStyle name="Normal 5 3 3 4 2 4" xfId="10220" xr:uid="{00000000-0005-0000-0000-0000FA270000}"/>
    <cellStyle name="Normal 5 3 3 4 3" xfId="10221" xr:uid="{00000000-0005-0000-0000-0000FB270000}"/>
    <cellStyle name="Normal 5 3 3 4 3 2" xfId="10222" xr:uid="{00000000-0005-0000-0000-0000FC270000}"/>
    <cellStyle name="Normal 5 3 3 4 3 3" xfId="10223" xr:uid="{00000000-0005-0000-0000-0000FD270000}"/>
    <cellStyle name="Normal 5 3 3 4 4" xfId="10224" xr:uid="{00000000-0005-0000-0000-0000FE270000}"/>
    <cellStyle name="Normal 5 3 3 4 5" xfId="10225" xr:uid="{00000000-0005-0000-0000-0000FF270000}"/>
    <cellStyle name="Normal 5 3 3 4 6" xfId="10226" xr:uid="{00000000-0005-0000-0000-000000280000}"/>
    <cellStyle name="Normal 5 3 3 5" xfId="10227" xr:uid="{00000000-0005-0000-0000-000001280000}"/>
    <cellStyle name="Normal 5 3 3 5 2" xfId="10228" xr:uid="{00000000-0005-0000-0000-000002280000}"/>
    <cellStyle name="Normal 5 3 3 5 3" xfId="10229" xr:uid="{00000000-0005-0000-0000-000003280000}"/>
    <cellStyle name="Normal 5 3 3 6" xfId="10230" xr:uid="{00000000-0005-0000-0000-000004280000}"/>
    <cellStyle name="Normal 5 3 3 7" xfId="10231" xr:uid="{00000000-0005-0000-0000-000005280000}"/>
    <cellStyle name="Normal 5 3 3 8" xfId="10232" xr:uid="{00000000-0005-0000-0000-000006280000}"/>
    <cellStyle name="Normal 5 3 3 9" xfId="10233" xr:uid="{00000000-0005-0000-0000-000007280000}"/>
    <cellStyle name="Normal 5 3 4" xfId="10234" xr:uid="{00000000-0005-0000-0000-000008280000}"/>
    <cellStyle name="Normal 5 3 4 2" xfId="10235" xr:uid="{00000000-0005-0000-0000-000009280000}"/>
    <cellStyle name="Normal 5 3 4 3" xfId="10236" xr:uid="{00000000-0005-0000-0000-00000A280000}"/>
    <cellStyle name="Normal 5 3 4 4" xfId="10237" xr:uid="{00000000-0005-0000-0000-00000B280000}"/>
    <cellStyle name="Normal 5 3 4 5" xfId="10238" xr:uid="{00000000-0005-0000-0000-00000C280000}"/>
    <cellStyle name="Normal 5 3 5" xfId="10239" xr:uid="{00000000-0005-0000-0000-00000D280000}"/>
    <cellStyle name="Normal 5 3 5 2" xfId="10240" xr:uid="{00000000-0005-0000-0000-00000E280000}"/>
    <cellStyle name="Normal 5 3 5 3" xfId="10241" xr:uid="{00000000-0005-0000-0000-00000F280000}"/>
    <cellStyle name="Normal 5 3 5 4" xfId="10242" xr:uid="{00000000-0005-0000-0000-000010280000}"/>
    <cellStyle name="Normal 5 3 5 5" xfId="10243" xr:uid="{00000000-0005-0000-0000-000011280000}"/>
    <cellStyle name="Normal 5 3 6" xfId="10244" xr:uid="{00000000-0005-0000-0000-000012280000}"/>
    <cellStyle name="Normal 5 3 6 2" xfId="10245" xr:uid="{00000000-0005-0000-0000-000013280000}"/>
    <cellStyle name="Normal 5 3 6 3" xfId="10246" xr:uid="{00000000-0005-0000-0000-000014280000}"/>
    <cellStyle name="Normal 5 3 6 4" xfId="10247" xr:uid="{00000000-0005-0000-0000-000015280000}"/>
    <cellStyle name="Normal 5 3 6 5" xfId="10248" xr:uid="{00000000-0005-0000-0000-000016280000}"/>
    <cellStyle name="Normal 5 3 7" xfId="10249" xr:uid="{00000000-0005-0000-0000-000017280000}"/>
    <cellStyle name="Normal 5 3 7 2" xfId="10250" xr:uid="{00000000-0005-0000-0000-000018280000}"/>
    <cellStyle name="Normal 5 3 7 3" xfId="10251" xr:uid="{00000000-0005-0000-0000-000019280000}"/>
    <cellStyle name="Normal 5 3 7 4" xfId="10252" xr:uid="{00000000-0005-0000-0000-00001A280000}"/>
    <cellStyle name="Normal 5 3 7 5" xfId="10253" xr:uid="{00000000-0005-0000-0000-00001B280000}"/>
    <cellStyle name="Normal 5 3 8" xfId="10254" xr:uid="{00000000-0005-0000-0000-00001C280000}"/>
    <cellStyle name="Normal 5 3 8 2" xfId="10255" xr:uid="{00000000-0005-0000-0000-00001D280000}"/>
    <cellStyle name="Normal 5 3 8 3" xfId="10256" xr:uid="{00000000-0005-0000-0000-00001E280000}"/>
    <cellStyle name="Normal 5 3 8 4" xfId="10257" xr:uid="{00000000-0005-0000-0000-00001F280000}"/>
    <cellStyle name="Normal 5 3 8 5" xfId="10258" xr:uid="{00000000-0005-0000-0000-000020280000}"/>
    <cellStyle name="Normal 5 3 9" xfId="10259" xr:uid="{00000000-0005-0000-0000-000021280000}"/>
    <cellStyle name="Normal 5 3 9 2" xfId="10260" xr:uid="{00000000-0005-0000-0000-000022280000}"/>
    <cellStyle name="Normal 5 3 9 3" xfId="10261" xr:uid="{00000000-0005-0000-0000-000023280000}"/>
    <cellStyle name="Normal 5 3 9 4" xfId="10262" xr:uid="{00000000-0005-0000-0000-000024280000}"/>
    <cellStyle name="Normal 5 4" xfId="10263" xr:uid="{00000000-0005-0000-0000-000025280000}"/>
    <cellStyle name="Normal 5 4 10" xfId="10264" xr:uid="{00000000-0005-0000-0000-000026280000}"/>
    <cellStyle name="Normal 5 4 11" xfId="10265" xr:uid="{00000000-0005-0000-0000-000027280000}"/>
    <cellStyle name="Normal 5 4 12" xfId="10266" xr:uid="{00000000-0005-0000-0000-000028280000}"/>
    <cellStyle name="Normal 5 4 2" xfId="10267" xr:uid="{00000000-0005-0000-0000-000029280000}"/>
    <cellStyle name="Normal 5 4 2 2" xfId="10268" xr:uid="{00000000-0005-0000-0000-00002A280000}"/>
    <cellStyle name="Normal 5 4 2 3" xfId="10269" xr:uid="{00000000-0005-0000-0000-00002B280000}"/>
    <cellStyle name="Normal 5 4 2 4" xfId="10270" xr:uid="{00000000-0005-0000-0000-00002C280000}"/>
    <cellStyle name="Normal 5 4 2 5" xfId="10271" xr:uid="{00000000-0005-0000-0000-00002D280000}"/>
    <cellStyle name="Normal 5 4 3" xfId="10272" xr:uid="{00000000-0005-0000-0000-00002E280000}"/>
    <cellStyle name="Normal 5 4 3 2" xfId="10273" xr:uid="{00000000-0005-0000-0000-00002F280000}"/>
    <cellStyle name="Normal 5 4 3 3" xfId="10274" xr:uid="{00000000-0005-0000-0000-000030280000}"/>
    <cellStyle name="Normal 5 4 3 4" xfId="10275" xr:uid="{00000000-0005-0000-0000-000031280000}"/>
    <cellStyle name="Normal 5 4 3 5" xfId="10276" xr:uid="{00000000-0005-0000-0000-000032280000}"/>
    <cellStyle name="Normal 5 4 4" xfId="10277" xr:uid="{00000000-0005-0000-0000-000033280000}"/>
    <cellStyle name="Normal 5 4 4 2" xfId="10278" xr:uid="{00000000-0005-0000-0000-000034280000}"/>
    <cellStyle name="Normal 5 4 4 3" xfId="10279" xr:uid="{00000000-0005-0000-0000-000035280000}"/>
    <cellStyle name="Normal 5 4 4 4" xfId="10280" xr:uid="{00000000-0005-0000-0000-000036280000}"/>
    <cellStyle name="Normal 5 4 4 5" xfId="10281" xr:uid="{00000000-0005-0000-0000-000037280000}"/>
    <cellStyle name="Normal 5 4 5" xfId="10282" xr:uid="{00000000-0005-0000-0000-000038280000}"/>
    <cellStyle name="Normal 5 4 5 2" xfId="10283" xr:uid="{00000000-0005-0000-0000-000039280000}"/>
    <cellStyle name="Normal 5 4 5 3" xfId="10284" xr:uid="{00000000-0005-0000-0000-00003A280000}"/>
    <cellStyle name="Normal 5 4 5 4" xfId="10285" xr:uid="{00000000-0005-0000-0000-00003B280000}"/>
    <cellStyle name="Normal 5 4 5 5" xfId="10286" xr:uid="{00000000-0005-0000-0000-00003C280000}"/>
    <cellStyle name="Normal 5 4 6" xfId="10287" xr:uid="{00000000-0005-0000-0000-00003D280000}"/>
    <cellStyle name="Normal 5 4 6 2" xfId="10288" xr:uid="{00000000-0005-0000-0000-00003E280000}"/>
    <cellStyle name="Normal 5 4 6 3" xfId="10289" xr:uid="{00000000-0005-0000-0000-00003F280000}"/>
    <cellStyle name="Normal 5 4 6 4" xfId="10290" xr:uid="{00000000-0005-0000-0000-000040280000}"/>
    <cellStyle name="Normal 5 4 6 5" xfId="10291" xr:uid="{00000000-0005-0000-0000-000041280000}"/>
    <cellStyle name="Normal 5 4 7" xfId="10292" xr:uid="{00000000-0005-0000-0000-000042280000}"/>
    <cellStyle name="Normal 5 4 7 2" xfId="10293" xr:uid="{00000000-0005-0000-0000-000043280000}"/>
    <cellStyle name="Normal 5 4 7 3" xfId="10294" xr:uid="{00000000-0005-0000-0000-000044280000}"/>
    <cellStyle name="Normal 5 4 7 4" xfId="10295" xr:uid="{00000000-0005-0000-0000-000045280000}"/>
    <cellStyle name="Normal 5 4 7 5" xfId="10296" xr:uid="{00000000-0005-0000-0000-000046280000}"/>
    <cellStyle name="Normal 5 4 8" xfId="10297" xr:uid="{00000000-0005-0000-0000-000047280000}"/>
    <cellStyle name="Normal 5 4 8 2" xfId="10298" xr:uid="{00000000-0005-0000-0000-000048280000}"/>
    <cellStyle name="Normal 5 4 8 3" xfId="10299" xr:uid="{00000000-0005-0000-0000-000049280000}"/>
    <cellStyle name="Normal 5 4 8 4" xfId="10300" xr:uid="{00000000-0005-0000-0000-00004A280000}"/>
    <cellStyle name="Normal 5 4 8 5" xfId="10301" xr:uid="{00000000-0005-0000-0000-00004B280000}"/>
    <cellStyle name="Normal 5 4 9" xfId="10302" xr:uid="{00000000-0005-0000-0000-00004C280000}"/>
    <cellStyle name="Normal 5 5" xfId="10303" xr:uid="{00000000-0005-0000-0000-00004D280000}"/>
    <cellStyle name="Normal 5 5 10" xfId="10304" xr:uid="{00000000-0005-0000-0000-00004E280000}"/>
    <cellStyle name="Normal 5 5 10 2" xfId="10305" xr:uid="{00000000-0005-0000-0000-00004F280000}"/>
    <cellStyle name="Normal 5 5 10 2 2" xfId="10306" xr:uid="{00000000-0005-0000-0000-000050280000}"/>
    <cellStyle name="Normal 5 5 10 2 2 2" xfId="10307" xr:uid="{00000000-0005-0000-0000-000051280000}"/>
    <cellStyle name="Normal 5 5 10 2 2 3" xfId="10308" xr:uid="{00000000-0005-0000-0000-000052280000}"/>
    <cellStyle name="Normal 5 5 10 2 3" xfId="10309" xr:uid="{00000000-0005-0000-0000-000053280000}"/>
    <cellStyle name="Normal 5 5 10 2 4" xfId="10310" xr:uid="{00000000-0005-0000-0000-000054280000}"/>
    <cellStyle name="Normal 5 5 10 3" xfId="10311" xr:uid="{00000000-0005-0000-0000-000055280000}"/>
    <cellStyle name="Normal 5 5 10 3 2" xfId="10312" xr:uid="{00000000-0005-0000-0000-000056280000}"/>
    <cellStyle name="Normal 5 5 10 3 2 2" xfId="10313" xr:uid="{00000000-0005-0000-0000-000057280000}"/>
    <cellStyle name="Normal 5 5 10 3 2 3" xfId="10314" xr:uid="{00000000-0005-0000-0000-000058280000}"/>
    <cellStyle name="Normal 5 5 10 3 3" xfId="10315" xr:uid="{00000000-0005-0000-0000-000059280000}"/>
    <cellStyle name="Normal 5 5 10 3 4" xfId="10316" xr:uid="{00000000-0005-0000-0000-00005A280000}"/>
    <cellStyle name="Normal 5 5 10 4" xfId="10317" xr:uid="{00000000-0005-0000-0000-00005B280000}"/>
    <cellStyle name="Normal 5 5 10 4 2" xfId="10318" xr:uid="{00000000-0005-0000-0000-00005C280000}"/>
    <cellStyle name="Normal 5 5 10 4 3" xfId="10319" xr:uid="{00000000-0005-0000-0000-00005D280000}"/>
    <cellStyle name="Normal 5 5 10 5" xfId="10320" xr:uid="{00000000-0005-0000-0000-00005E280000}"/>
    <cellStyle name="Normal 5 5 10 6" xfId="10321" xr:uid="{00000000-0005-0000-0000-00005F280000}"/>
    <cellStyle name="Normal 5 5 10 7" xfId="10322" xr:uid="{00000000-0005-0000-0000-000060280000}"/>
    <cellStyle name="Normal 5 5 11" xfId="10323" xr:uid="{00000000-0005-0000-0000-000061280000}"/>
    <cellStyle name="Normal 5 5 11 2" xfId="10324" xr:uid="{00000000-0005-0000-0000-000062280000}"/>
    <cellStyle name="Normal 5 5 11 2 2" xfId="10325" xr:uid="{00000000-0005-0000-0000-000063280000}"/>
    <cellStyle name="Normal 5 5 11 2 2 2" xfId="10326" xr:uid="{00000000-0005-0000-0000-000064280000}"/>
    <cellStyle name="Normal 5 5 11 2 2 3" xfId="10327" xr:uid="{00000000-0005-0000-0000-000065280000}"/>
    <cellStyle name="Normal 5 5 11 2 3" xfId="10328" xr:uid="{00000000-0005-0000-0000-000066280000}"/>
    <cellStyle name="Normal 5 5 11 2 4" xfId="10329" xr:uid="{00000000-0005-0000-0000-000067280000}"/>
    <cellStyle name="Normal 5 5 11 3" xfId="10330" xr:uid="{00000000-0005-0000-0000-000068280000}"/>
    <cellStyle name="Normal 5 5 11 3 2" xfId="10331" xr:uid="{00000000-0005-0000-0000-000069280000}"/>
    <cellStyle name="Normal 5 5 11 3 3" xfId="10332" xr:uid="{00000000-0005-0000-0000-00006A280000}"/>
    <cellStyle name="Normal 5 5 11 4" xfId="10333" xr:uid="{00000000-0005-0000-0000-00006B280000}"/>
    <cellStyle name="Normal 5 5 11 5" xfId="10334" xr:uid="{00000000-0005-0000-0000-00006C280000}"/>
    <cellStyle name="Normal 5 5 11 6" xfId="10335" xr:uid="{00000000-0005-0000-0000-00006D280000}"/>
    <cellStyle name="Normal 5 5 12" xfId="10336" xr:uid="{00000000-0005-0000-0000-00006E280000}"/>
    <cellStyle name="Normal 5 5 12 2" xfId="10337" xr:uid="{00000000-0005-0000-0000-00006F280000}"/>
    <cellStyle name="Normal 5 5 12 3" xfId="10338" xr:uid="{00000000-0005-0000-0000-000070280000}"/>
    <cellStyle name="Normal 5 5 13" xfId="10339" xr:uid="{00000000-0005-0000-0000-000071280000}"/>
    <cellStyle name="Normal 5 5 14" xfId="10340" xr:uid="{00000000-0005-0000-0000-000072280000}"/>
    <cellStyle name="Normal 5 5 15" xfId="10341" xr:uid="{00000000-0005-0000-0000-000073280000}"/>
    <cellStyle name="Normal 5 5 16" xfId="10342" xr:uid="{00000000-0005-0000-0000-000074280000}"/>
    <cellStyle name="Normal 5 5 2" xfId="10343" xr:uid="{00000000-0005-0000-0000-000075280000}"/>
    <cellStyle name="Normal 5 5 2 10" xfId="10344" xr:uid="{00000000-0005-0000-0000-000076280000}"/>
    <cellStyle name="Normal 5 5 2 2" xfId="10345" xr:uid="{00000000-0005-0000-0000-000077280000}"/>
    <cellStyle name="Normal 5 5 2 2 2" xfId="10346" xr:uid="{00000000-0005-0000-0000-000078280000}"/>
    <cellStyle name="Normal 5 5 2 2 2 2" xfId="10347" xr:uid="{00000000-0005-0000-0000-000079280000}"/>
    <cellStyle name="Normal 5 5 2 2 2 2 2" xfId="10348" xr:uid="{00000000-0005-0000-0000-00007A280000}"/>
    <cellStyle name="Normal 5 5 2 2 2 2 2 2" xfId="10349" xr:uid="{00000000-0005-0000-0000-00007B280000}"/>
    <cellStyle name="Normal 5 5 2 2 2 2 2 3" xfId="10350" xr:uid="{00000000-0005-0000-0000-00007C280000}"/>
    <cellStyle name="Normal 5 5 2 2 2 2 3" xfId="10351" xr:uid="{00000000-0005-0000-0000-00007D280000}"/>
    <cellStyle name="Normal 5 5 2 2 2 2 4" xfId="10352" xr:uid="{00000000-0005-0000-0000-00007E280000}"/>
    <cellStyle name="Normal 5 5 2 2 2 3" xfId="10353" xr:uid="{00000000-0005-0000-0000-00007F280000}"/>
    <cellStyle name="Normal 5 5 2 2 2 3 2" xfId="10354" xr:uid="{00000000-0005-0000-0000-000080280000}"/>
    <cellStyle name="Normal 5 5 2 2 2 3 2 2" xfId="10355" xr:uid="{00000000-0005-0000-0000-000081280000}"/>
    <cellStyle name="Normal 5 5 2 2 2 3 2 3" xfId="10356" xr:uid="{00000000-0005-0000-0000-000082280000}"/>
    <cellStyle name="Normal 5 5 2 2 2 3 3" xfId="10357" xr:uid="{00000000-0005-0000-0000-000083280000}"/>
    <cellStyle name="Normal 5 5 2 2 2 3 4" xfId="10358" xr:uid="{00000000-0005-0000-0000-000084280000}"/>
    <cellStyle name="Normal 5 5 2 2 2 4" xfId="10359" xr:uid="{00000000-0005-0000-0000-000085280000}"/>
    <cellStyle name="Normal 5 5 2 2 2 4 2" xfId="10360" xr:uid="{00000000-0005-0000-0000-000086280000}"/>
    <cellStyle name="Normal 5 5 2 2 2 4 3" xfId="10361" xr:uid="{00000000-0005-0000-0000-000087280000}"/>
    <cellStyle name="Normal 5 5 2 2 2 5" xfId="10362" xr:uid="{00000000-0005-0000-0000-000088280000}"/>
    <cellStyle name="Normal 5 5 2 2 2 6" xfId="10363" xr:uid="{00000000-0005-0000-0000-000089280000}"/>
    <cellStyle name="Normal 5 5 2 2 2 7" xfId="10364" xr:uid="{00000000-0005-0000-0000-00008A280000}"/>
    <cellStyle name="Normal 5 5 2 2 3" xfId="10365" xr:uid="{00000000-0005-0000-0000-00008B280000}"/>
    <cellStyle name="Normal 5 5 2 2 3 2" xfId="10366" xr:uid="{00000000-0005-0000-0000-00008C280000}"/>
    <cellStyle name="Normal 5 5 2 2 3 2 2" xfId="10367" xr:uid="{00000000-0005-0000-0000-00008D280000}"/>
    <cellStyle name="Normal 5 5 2 2 3 2 3" xfId="10368" xr:uid="{00000000-0005-0000-0000-00008E280000}"/>
    <cellStyle name="Normal 5 5 2 2 3 3" xfId="10369" xr:uid="{00000000-0005-0000-0000-00008F280000}"/>
    <cellStyle name="Normal 5 5 2 2 3 4" xfId="10370" xr:uid="{00000000-0005-0000-0000-000090280000}"/>
    <cellStyle name="Normal 5 5 2 2 4" xfId="10371" xr:uid="{00000000-0005-0000-0000-000091280000}"/>
    <cellStyle name="Normal 5 5 2 2 4 2" xfId="10372" xr:uid="{00000000-0005-0000-0000-000092280000}"/>
    <cellStyle name="Normal 5 5 2 2 4 2 2" xfId="10373" xr:uid="{00000000-0005-0000-0000-000093280000}"/>
    <cellStyle name="Normal 5 5 2 2 4 2 3" xfId="10374" xr:uid="{00000000-0005-0000-0000-000094280000}"/>
    <cellStyle name="Normal 5 5 2 2 4 3" xfId="10375" xr:uid="{00000000-0005-0000-0000-000095280000}"/>
    <cellStyle name="Normal 5 5 2 2 4 4" xfId="10376" xr:uid="{00000000-0005-0000-0000-000096280000}"/>
    <cellStyle name="Normal 5 5 2 2 5" xfId="10377" xr:uid="{00000000-0005-0000-0000-000097280000}"/>
    <cellStyle name="Normal 5 5 2 2 5 2" xfId="10378" xr:uid="{00000000-0005-0000-0000-000098280000}"/>
    <cellStyle name="Normal 5 5 2 2 5 3" xfId="10379" xr:uid="{00000000-0005-0000-0000-000099280000}"/>
    <cellStyle name="Normal 5 5 2 2 6" xfId="10380" xr:uid="{00000000-0005-0000-0000-00009A280000}"/>
    <cellStyle name="Normal 5 5 2 2 7" xfId="10381" xr:uid="{00000000-0005-0000-0000-00009B280000}"/>
    <cellStyle name="Normal 5 5 2 2 8" xfId="10382" xr:uid="{00000000-0005-0000-0000-00009C280000}"/>
    <cellStyle name="Normal 5 5 2 3" xfId="10383" xr:uid="{00000000-0005-0000-0000-00009D280000}"/>
    <cellStyle name="Normal 5 5 2 3 2" xfId="10384" xr:uid="{00000000-0005-0000-0000-00009E280000}"/>
    <cellStyle name="Normal 5 5 2 3 3" xfId="10385" xr:uid="{00000000-0005-0000-0000-00009F280000}"/>
    <cellStyle name="Normal 5 5 2 3 4" xfId="10386" xr:uid="{00000000-0005-0000-0000-0000A0280000}"/>
    <cellStyle name="Normal 5 5 2 4" xfId="10387" xr:uid="{00000000-0005-0000-0000-0000A1280000}"/>
    <cellStyle name="Normal 5 5 2 4 2" xfId="10388" xr:uid="{00000000-0005-0000-0000-0000A2280000}"/>
    <cellStyle name="Normal 5 5 2 4 2 2" xfId="10389" xr:uid="{00000000-0005-0000-0000-0000A3280000}"/>
    <cellStyle name="Normal 5 5 2 4 2 2 2" xfId="10390" xr:uid="{00000000-0005-0000-0000-0000A4280000}"/>
    <cellStyle name="Normal 5 5 2 4 2 2 3" xfId="10391" xr:uid="{00000000-0005-0000-0000-0000A5280000}"/>
    <cellStyle name="Normal 5 5 2 4 2 3" xfId="10392" xr:uid="{00000000-0005-0000-0000-0000A6280000}"/>
    <cellStyle name="Normal 5 5 2 4 2 4" xfId="10393" xr:uid="{00000000-0005-0000-0000-0000A7280000}"/>
    <cellStyle name="Normal 5 5 2 4 3" xfId="10394" xr:uid="{00000000-0005-0000-0000-0000A8280000}"/>
    <cellStyle name="Normal 5 5 2 4 3 2" xfId="10395" xr:uid="{00000000-0005-0000-0000-0000A9280000}"/>
    <cellStyle name="Normal 5 5 2 4 3 2 2" xfId="10396" xr:uid="{00000000-0005-0000-0000-0000AA280000}"/>
    <cellStyle name="Normal 5 5 2 4 3 2 3" xfId="10397" xr:uid="{00000000-0005-0000-0000-0000AB280000}"/>
    <cellStyle name="Normal 5 5 2 4 3 3" xfId="10398" xr:uid="{00000000-0005-0000-0000-0000AC280000}"/>
    <cellStyle name="Normal 5 5 2 4 3 4" xfId="10399" xr:uid="{00000000-0005-0000-0000-0000AD280000}"/>
    <cellStyle name="Normal 5 5 2 4 4" xfId="10400" xr:uid="{00000000-0005-0000-0000-0000AE280000}"/>
    <cellStyle name="Normal 5 5 2 4 4 2" xfId="10401" xr:uid="{00000000-0005-0000-0000-0000AF280000}"/>
    <cellStyle name="Normal 5 5 2 4 4 3" xfId="10402" xr:uid="{00000000-0005-0000-0000-0000B0280000}"/>
    <cellStyle name="Normal 5 5 2 4 5" xfId="10403" xr:uid="{00000000-0005-0000-0000-0000B1280000}"/>
    <cellStyle name="Normal 5 5 2 4 6" xfId="10404" xr:uid="{00000000-0005-0000-0000-0000B2280000}"/>
    <cellStyle name="Normal 5 5 2 4 7" xfId="10405" xr:uid="{00000000-0005-0000-0000-0000B3280000}"/>
    <cellStyle name="Normal 5 5 2 5" xfId="10406" xr:uid="{00000000-0005-0000-0000-0000B4280000}"/>
    <cellStyle name="Normal 5 5 2 5 2" xfId="10407" xr:uid="{00000000-0005-0000-0000-0000B5280000}"/>
    <cellStyle name="Normal 5 5 2 5 2 2" xfId="10408" xr:uid="{00000000-0005-0000-0000-0000B6280000}"/>
    <cellStyle name="Normal 5 5 2 5 2 2 2" xfId="10409" xr:uid="{00000000-0005-0000-0000-0000B7280000}"/>
    <cellStyle name="Normal 5 5 2 5 2 2 3" xfId="10410" xr:uid="{00000000-0005-0000-0000-0000B8280000}"/>
    <cellStyle name="Normal 5 5 2 5 2 3" xfId="10411" xr:uid="{00000000-0005-0000-0000-0000B9280000}"/>
    <cellStyle name="Normal 5 5 2 5 2 4" xfId="10412" xr:uid="{00000000-0005-0000-0000-0000BA280000}"/>
    <cellStyle name="Normal 5 5 2 5 3" xfId="10413" xr:uid="{00000000-0005-0000-0000-0000BB280000}"/>
    <cellStyle name="Normal 5 5 2 5 3 2" xfId="10414" xr:uid="{00000000-0005-0000-0000-0000BC280000}"/>
    <cellStyle name="Normal 5 5 2 5 3 3" xfId="10415" xr:uid="{00000000-0005-0000-0000-0000BD280000}"/>
    <cellStyle name="Normal 5 5 2 5 4" xfId="10416" xr:uid="{00000000-0005-0000-0000-0000BE280000}"/>
    <cellStyle name="Normal 5 5 2 5 5" xfId="10417" xr:uid="{00000000-0005-0000-0000-0000BF280000}"/>
    <cellStyle name="Normal 5 5 2 5 6" xfId="10418" xr:uid="{00000000-0005-0000-0000-0000C0280000}"/>
    <cellStyle name="Normal 5 5 2 6" xfId="10419" xr:uid="{00000000-0005-0000-0000-0000C1280000}"/>
    <cellStyle name="Normal 5 5 2 6 2" xfId="10420" xr:uid="{00000000-0005-0000-0000-0000C2280000}"/>
    <cellStyle name="Normal 5 5 2 6 3" xfId="10421" xr:uid="{00000000-0005-0000-0000-0000C3280000}"/>
    <cellStyle name="Normal 5 5 2 7" xfId="10422" xr:uid="{00000000-0005-0000-0000-0000C4280000}"/>
    <cellStyle name="Normal 5 5 2 8" xfId="10423" xr:uid="{00000000-0005-0000-0000-0000C5280000}"/>
    <cellStyle name="Normal 5 5 2 9" xfId="10424" xr:uid="{00000000-0005-0000-0000-0000C6280000}"/>
    <cellStyle name="Normal 5 5 3" xfId="10425" xr:uid="{00000000-0005-0000-0000-0000C7280000}"/>
    <cellStyle name="Normal 5 5 3 2" xfId="10426" xr:uid="{00000000-0005-0000-0000-0000C8280000}"/>
    <cellStyle name="Normal 5 5 3 2 2" xfId="10427" xr:uid="{00000000-0005-0000-0000-0000C9280000}"/>
    <cellStyle name="Normal 5 5 3 2 3" xfId="10428" xr:uid="{00000000-0005-0000-0000-0000CA280000}"/>
    <cellStyle name="Normal 5 5 3 2 4" xfId="10429" xr:uid="{00000000-0005-0000-0000-0000CB280000}"/>
    <cellStyle name="Normal 5 5 3 3" xfId="10430" xr:uid="{00000000-0005-0000-0000-0000CC280000}"/>
    <cellStyle name="Normal 5 5 3 3 2" xfId="10431" xr:uid="{00000000-0005-0000-0000-0000CD280000}"/>
    <cellStyle name="Normal 5 5 3 3 2 2" xfId="10432" xr:uid="{00000000-0005-0000-0000-0000CE280000}"/>
    <cellStyle name="Normal 5 5 3 3 2 2 2" xfId="10433" xr:uid="{00000000-0005-0000-0000-0000CF280000}"/>
    <cellStyle name="Normal 5 5 3 3 2 2 3" xfId="10434" xr:uid="{00000000-0005-0000-0000-0000D0280000}"/>
    <cellStyle name="Normal 5 5 3 3 2 3" xfId="10435" xr:uid="{00000000-0005-0000-0000-0000D1280000}"/>
    <cellStyle name="Normal 5 5 3 3 2 4" xfId="10436" xr:uid="{00000000-0005-0000-0000-0000D2280000}"/>
    <cellStyle name="Normal 5 5 3 3 3" xfId="10437" xr:uid="{00000000-0005-0000-0000-0000D3280000}"/>
    <cellStyle name="Normal 5 5 3 3 3 2" xfId="10438" xr:uid="{00000000-0005-0000-0000-0000D4280000}"/>
    <cellStyle name="Normal 5 5 3 3 3 2 2" xfId="10439" xr:uid="{00000000-0005-0000-0000-0000D5280000}"/>
    <cellStyle name="Normal 5 5 3 3 3 2 3" xfId="10440" xr:uid="{00000000-0005-0000-0000-0000D6280000}"/>
    <cellStyle name="Normal 5 5 3 3 3 3" xfId="10441" xr:uid="{00000000-0005-0000-0000-0000D7280000}"/>
    <cellStyle name="Normal 5 5 3 3 3 4" xfId="10442" xr:uid="{00000000-0005-0000-0000-0000D8280000}"/>
    <cellStyle name="Normal 5 5 3 3 4" xfId="10443" xr:uid="{00000000-0005-0000-0000-0000D9280000}"/>
    <cellStyle name="Normal 5 5 3 3 4 2" xfId="10444" xr:uid="{00000000-0005-0000-0000-0000DA280000}"/>
    <cellStyle name="Normal 5 5 3 3 4 3" xfId="10445" xr:uid="{00000000-0005-0000-0000-0000DB280000}"/>
    <cellStyle name="Normal 5 5 3 3 5" xfId="10446" xr:uid="{00000000-0005-0000-0000-0000DC280000}"/>
    <cellStyle name="Normal 5 5 3 3 6" xfId="10447" xr:uid="{00000000-0005-0000-0000-0000DD280000}"/>
    <cellStyle name="Normal 5 5 3 3 7" xfId="10448" xr:uid="{00000000-0005-0000-0000-0000DE280000}"/>
    <cellStyle name="Normal 5 5 3 4" xfId="10449" xr:uid="{00000000-0005-0000-0000-0000DF280000}"/>
    <cellStyle name="Normal 5 5 3 4 2" xfId="10450" xr:uid="{00000000-0005-0000-0000-0000E0280000}"/>
    <cellStyle name="Normal 5 5 3 4 2 2" xfId="10451" xr:uid="{00000000-0005-0000-0000-0000E1280000}"/>
    <cellStyle name="Normal 5 5 3 4 2 2 2" xfId="10452" xr:uid="{00000000-0005-0000-0000-0000E2280000}"/>
    <cellStyle name="Normal 5 5 3 4 2 2 3" xfId="10453" xr:uid="{00000000-0005-0000-0000-0000E3280000}"/>
    <cellStyle name="Normal 5 5 3 4 2 3" xfId="10454" xr:uid="{00000000-0005-0000-0000-0000E4280000}"/>
    <cellStyle name="Normal 5 5 3 4 2 4" xfId="10455" xr:uid="{00000000-0005-0000-0000-0000E5280000}"/>
    <cellStyle name="Normal 5 5 3 4 3" xfId="10456" xr:uid="{00000000-0005-0000-0000-0000E6280000}"/>
    <cellStyle name="Normal 5 5 3 4 3 2" xfId="10457" xr:uid="{00000000-0005-0000-0000-0000E7280000}"/>
    <cellStyle name="Normal 5 5 3 4 3 3" xfId="10458" xr:uid="{00000000-0005-0000-0000-0000E8280000}"/>
    <cellStyle name="Normal 5 5 3 4 4" xfId="10459" xr:uid="{00000000-0005-0000-0000-0000E9280000}"/>
    <cellStyle name="Normal 5 5 3 4 5" xfId="10460" xr:uid="{00000000-0005-0000-0000-0000EA280000}"/>
    <cellStyle name="Normal 5 5 3 4 6" xfId="10461" xr:uid="{00000000-0005-0000-0000-0000EB280000}"/>
    <cellStyle name="Normal 5 5 3 5" xfId="10462" xr:uid="{00000000-0005-0000-0000-0000EC280000}"/>
    <cellStyle name="Normal 5 5 3 5 2" xfId="10463" xr:uid="{00000000-0005-0000-0000-0000ED280000}"/>
    <cellStyle name="Normal 5 5 3 5 3" xfId="10464" xr:uid="{00000000-0005-0000-0000-0000EE280000}"/>
    <cellStyle name="Normal 5 5 3 6" xfId="10465" xr:uid="{00000000-0005-0000-0000-0000EF280000}"/>
    <cellStyle name="Normal 5 5 3 7" xfId="10466" xr:uid="{00000000-0005-0000-0000-0000F0280000}"/>
    <cellStyle name="Normal 5 5 3 8" xfId="10467" xr:uid="{00000000-0005-0000-0000-0000F1280000}"/>
    <cellStyle name="Normal 5 5 3 9" xfId="10468" xr:uid="{00000000-0005-0000-0000-0000F2280000}"/>
    <cellStyle name="Normal 5 5 4" xfId="10469" xr:uid="{00000000-0005-0000-0000-0000F3280000}"/>
    <cellStyle name="Normal 5 5 4 2" xfId="10470" xr:uid="{00000000-0005-0000-0000-0000F4280000}"/>
    <cellStyle name="Normal 5 5 4 2 2" xfId="10471" xr:uid="{00000000-0005-0000-0000-0000F5280000}"/>
    <cellStyle name="Normal 5 5 4 2 3" xfId="10472" xr:uid="{00000000-0005-0000-0000-0000F6280000}"/>
    <cellStyle name="Normal 5 5 4 2 4" xfId="10473" xr:uid="{00000000-0005-0000-0000-0000F7280000}"/>
    <cellStyle name="Normal 5 5 4 3" xfId="10474" xr:uid="{00000000-0005-0000-0000-0000F8280000}"/>
    <cellStyle name="Normal 5 5 4 3 2" xfId="10475" xr:uid="{00000000-0005-0000-0000-0000F9280000}"/>
    <cellStyle name="Normal 5 5 4 3 2 2" xfId="10476" xr:uid="{00000000-0005-0000-0000-0000FA280000}"/>
    <cellStyle name="Normal 5 5 4 3 2 2 2" xfId="10477" xr:uid="{00000000-0005-0000-0000-0000FB280000}"/>
    <cellStyle name="Normal 5 5 4 3 2 2 3" xfId="10478" xr:uid="{00000000-0005-0000-0000-0000FC280000}"/>
    <cellStyle name="Normal 5 5 4 3 2 3" xfId="10479" xr:uid="{00000000-0005-0000-0000-0000FD280000}"/>
    <cellStyle name="Normal 5 5 4 3 2 4" xfId="10480" xr:uid="{00000000-0005-0000-0000-0000FE280000}"/>
    <cellStyle name="Normal 5 5 4 3 3" xfId="10481" xr:uid="{00000000-0005-0000-0000-0000FF280000}"/>
    <cellStyle name="Normal 5 5 4 3 3 2" xfId="10482" xr:uid="{00000000-0005-0000-0000-000000290000}"/>
    <cellStyle name="Normal 5 5 4 3 3 2 2" xfId="10483" xr:uid="{00000000-0005-0000-0000-000001290000}"/>
    <cellStyle name="Normal 5 5 4 3 3 2 3" xfId="10484" xr:uid="{00000000-0005-0000-0000-000002290000}"/>
    <cellStyle name="Normal 5 5 4 3 3 3" xfId="10485" xr:uid="{00000000-0005-0000-0000-000003290000}"/>
    <cellStyle name="Normal 5 5 4 3 3 4" xfId="10486" xr:uid="{00000000-0005-0000-0000-000004290000}"/>
    <cellStyle name="Normal 5 5 4 3 4" xfId="10487" xr:uid="{00000000-0005-0000-0000-000005290000}"/>
    <cellStyle name="Normal 5 5 4 3 4 2" xfId="10488" xr:uid="{00000000-0005-0000-0000-000006290000}"/>
    <cellStyle name="Normal 5 5 4 3 4 3" xfId="10489" xr:uid="{00000000-0005-0000-0000-000007290000}"/>
    <cellStyle name="Normal 5 5 4 3 5" xfId="10490" xr:uid="{00000000-0005-0000-0000-000008290000}"/>
    <cellStyle name="Normal 5 5 4 3 6" xfId="10491" xr:uid="{00000000-0005-0000-0000-000009290000}"/>
    <cellStyle name="Normal 5 5 4 3 7" xfId="10492" xr:uid="{00000000-0005-0000-0000-00000A290000}"/>
    <cellStyle name="Normal 5 5 4 4" xfId="10493" xr:uid="{00000000-0005-0000-0000-00000B290000}"/>
    <cellStyle name="Normal 5 5 4 4 2" xfId="10494" xr:uid="{00000000-0005-0000-0000-00000C290000}"/>
    <cellStyle name="Normal 5 5 4 4 2 2" xfId="10495" xr:uid="{00000000-0005-0000-0000-00000D290000}"/>
    <cellStyle name="Normal 5 5 4 4 2 2 2" xfId="10496" xr:uid="{00000000-0005-0000-0000-00000E290000}"/>
    <cellStyle name="Normal 5 5 4 4 2 2 3" xfId="10497" xr:uid="{00000000-0005-0000-0000-00000F290000}"/>
    <cellStyle name="Normal 5 5 4 4 2 3" xfId="10498" xr:uid="{00000000-0005-0000-0000-000010290000}"/>
    <cellStyle name="Normal 5 5 4 4 2 4" xfId="10499" xr:uid="{00000000-0005-0000-0000-000011290000}"/>
    <cellStyle name="Normal 5 5 4 4 3" xfId="10500" xr:uid="{00000000-0005-0000-0000-000012290000}"/>
    <cellStyle name="Normal 5 5 4 4 3 2" xfId="10501" xr:uid="{00000000-0005-0000-0000-000013290000}"/>
    <cellStyle name="Normal 5 5 4 4 3 3" xfId="10502" xr:uid="{00000000-0005-0000-0000-000014290000}"/>
    <cellStyle name="Normal 5 5 4 4 4" xfId="10503" xr:uid="{00000000-0005-0000-0000-000015290000}"/>
    <cellStyle name="Normal 5 5 4 4 5" xfId="10504" xr:uid="{00000000-0005-0000-0000-000016290000}"/>
    <cellStyle name="Normal 5 5 4 4 6" xfId="10505" xr:uid="{00000000-0005-0000-0000-000017290000}"/>
    <cellStyle name="Normal 5 5 4 5" xfId="10506" xr:uid="{00000000-0005-0000-0000-000018290000}"/>
    <cellStyle name="Normal 5 5 4 5 2" xfId="10507" xr:uid="{00000000-0005-0000-0000-000019290000}"/>
    <cellStyle name="Normal 5 5 4 5 3" xfId="10508" xr:uid="{00000000-0005-0000-0000-00001A290000}"/>
    <cellStyle name="Normal 5 5 4 6" xfId="10509" xr:uid="{00000000-0005-0000-0000-00001B290000}"/>
    <cellStyle name="Normal 5 5 4 7" xfId="10510" xr:uid="{00000000-0005-0000-0000-00001C290000}"/>
    <cellStyle name="Normal 5 5 4 8" xfId="10511" xr:uid="{00000000-0005-0000-0000-00001D290000}"/>
    <cellStyle name="Normal 5 5 4 9" xfId="10512" xr:uid="{00000000-0005-0000-0000-00001E290000}"/>
    <cellStyle name="Normal 5 5 5" xfId="10513" xr:uid="{00000000-0005-0000-0000-00001F290000}"/>
    <cellStyle name="Normal 5 5 5 2" xfId="10514" xr:uid="{00000000-0005-0000-0000-000020290000}"/>
    <cellStyle name="Normal 5 5 5 3" xfId="10515" xr:uid="{00000000-0005-0000-0000-000021290000}"/>
    <cellStyle name="Normal 5 5 5 4" xfId="10516" xr:uid="{00000000-0005-0000-0000-000022290000}"/>
    <cellStyle name="Normal 5 5 5 5" xfId="10517" xr:uid="{00000000-0005-0000-0000-000023290000}"/>
    <cellStyle name="Normal 5 5 6" xfId="10518" xr:uid="{00000000-0005-0000-0000-000024290000}"/>
    <cellStyle name="Normal 5 5 6 2" xfId="10519" xr:uid="{00000000-0005-0000-0000-000025290000}"/>
    <cellStyle name="Normal 5 5 6 3" xfId="10520" xr:uid="{00000000-0005-0000-0000-000026290000}"/>
    <cellStyle name="Normal 5 5 6 4" xfId="10521" xr:uid="{00000000-0005-0000-0000-000027290000}"/>
    <cellStyle name="Normal 5 5 6 5" xfId="10522" xr:uid="{00000000-0005-0000-0000-000028290000}"/>
    <cellStyle name="Normal 5 5 7" xfId="10523" xr:uid="{00000000-0005-0000-0000-000029290000}"/>
    <cellStyle name="Normal 5 5 7 2" xfId="10524" xr:uid="{00000000-0005-0000-0000-00002A290000}"/>
    <cellStyle name="Normal 5 5 7 3" xfId="10525" xr:uid="{00000000-0005-0000-0000-00002B290000}"/>
    <cellStyle name="Normal 5 5 7 4" xfId="10526" xr:uid="{00000000-0005-0000-0000-00002C290000}"/>
    <cellStyle name="Normal 5 5 7 5" xfId="10527" xr:uid="{00000000-0005-0000-0000-00002D290000}"/>
    <cellStyle name="Normal 5 5 8" xfId="10528" xr:uid="{00000000-0005-0000-0000-00002E290000}"/>
    <cellStyle name="Normal 5 5 8 2" xfId="10529" xr:uid="{00000000-0005-0000-0000-00002F290000}"/>
    <cellStyle name="Normal 5 5 8 3" xfId="10530" xr:uid="{00000000-0005-0000-0000-000030290000}"/>
    <cellStyle name="Normal 5 5 8 4" xfId="10531" xr:uid="{00000000-0005-0000-0000-000031290000}"/>
    <cellStyle name="Normal 5 5 8 5" xfId="10532" xr:uid="{00000000-0005-0000-0000-000032290000}"/>
    <cellStyle name="Normal 5 5 9" xfId="10533" xr:uid="{00000000-0005-0000-0000-000033290000}"/>
    <cellStyle name="Normal 5 5 9 2" xfId="10534" xr:uid="{00000000-0005-0000-0000-000034290000}"/>
    <cellStyle name="Normal 5 5 9 2 2" xfId="10535" xr:uid="{00000000-0005-0000-0000-000035290000}"/>
    <cellStyle name="Normal 5 5 9 2 2 2" xfId="10536" xr:uid="{00000000-0005-0000-0000-000036290000}"/>
    <cellStyle name="Normal 5 5 9 2 2 2 2" xfId="10537" xr:uid="{00000000-0005-0000-0000-000037290000}"/>
    <cellStyle name="Normal 5 5 9 2 2 2 3" xfId="10538" xr:uid="{00000000-0005-0000-0000-000038290000}"/>
    <cellStyle name="Normal 5 5 9 2 2 3" xfId="10539" xr:uid="{00000000-0005-0000-0000-000039290000}"/>
    <cellStyle name="Normal 5 5 9 2 2 4" xfId="10540" xr:uid="{00000000-0005-0000-0000-00003A290000}"/>
    <cellStyle name="Normal 5 5 9 2 3" xfId="10541" xr:uid="{00000000-0005-0000-0000-00003B290000}"/>
    <cellStyle name="Normal 5 5 9 2 3 2" xfId="10542" xr:uid="{00000000-0005-0000-0000-00003C290000}"/>
    <cellStyle name="Normal 5 5 9 2 3 2 2" xfId="10543" xr:uid="{00000000-0005-0000-0000-00003D290000}"/>
    <cellStyle name="Normal 5 5 9 2 3 2 3" xfId="10544" xr:uid="{00000000-0005-0000-0000-00003E290000}"/>
    <cellStyle name="Normal 5 5 9 2 3 3" xfId="10545" xr:uid="{00000000-0005-0000-0000-00003F290000}"/>
    <cellStyle name="Normal 5 5 9 2 3 4" xfId="10546" xr:uid="{00000000-0005-0000-0000-000040290000}"/>
    <cellStyle name="Normal 5 5 9 2 4" xfId="10547" xr:uid="{00000000-0005-0000-0000-000041290000}"/>
    <cellStyle name="Normal 5 5 9 2 4 2" xfId="10548" xr:uid="{00000000-0005-0000-0000-000042290000}"/>
    <cellStyle name="Normal 5 5 9 2 4 3" xfId="10549" xr:uid="{00000000-0005-0000-0000-000043290000}"/>
    <cellStyle name="Normal 5 5 9 2 5" xfId="10550" xr:uid="{00000000-0005-0000-0000-000044290000}"/>
    <cellStyle name="Normal 5 5 9 2 6" xfId="10551" xr:uid="{00000000-0005-0000-0000-000045290000}"/>
    <cellStyle name="Normal 5 5 9 2 7" xfId="10552" xr:uid="{00000000-0005-0000-0000-000046290000}"/>
    <cellStyle name="Normal 5 5 9 3" xfId="10553" xr:uid="{00000000-0005-0000-0000-000047290000}"/>
    <cellStyle name="Normal 5 5 9 3 2" xfId="10554" xr:uid="{00000000-0005-0000-0000-000048290000}"/>
    <cellStyle name="Normal 5 5 9 3 2 2" xfId="10555" xr:uid="{00000000-0005-0000-0000-000049290000}"/>
    <cellStyle name="Normal 5 5 9 3 2 3" xfId="10556" xr:uid="{00000000-0005-0000-0000-00004A290000}"/>
    <cellStyle name="Normal 5 5 9 3 3" xfId="10557" xr:uid="{00000000-0005-0000-0000-00004B290000}"/>
    <cellStyle name="Normal 5 5 9 3 4" xfId="10558" xr:uid="{00000000-0005-0000-0000-00004C290000}"/>
    <cellStyle name="Normal 5 5 9 4" xfId="10559" xr:uid="{00000000-0005-0000-0000-00004D290000}"/>
    <cellStyle name="Normal 5 5 9 4 2" xfId="10560" xr:uid="{00000000-0005-0000-0000-00004E290000}"/>
    <cellStyle name="Normal 5 5 9 4 2 2" xfId="10561" xr:uid="{00000000-0005-0000-0000-00004F290000}"/>
    <cellStyle name="Normal 5 5 9 4 2 3" xfId="10562" xr:uid="{00000000-0005-0000-0000-000050290000}"/>
    <cellStyle name="Normal 5 5 9 4 3" xfId="10563" xr:uid="{00000000-0005-0000-0000-000051290000}"/>
    <cellStyle name="Normal 5 5 9 4 4" xfId="10564" xr:uid="{00000000-0005-0000-0000-000052290000}"/>
    <cellStyle name="Normal 5 5 9 5" xfId="10565" xr:uid="{00000000-0005-0000-0000-000053290000}"/>
    <cellStyle name="Normal 5 5 9 5 2" xfId="10566" xr:uid="{00000000-0005-0000-0000-000054290000}"/>
    <cellStyle name="Normal 5 5 9 5 3" xfId="10567" xr:uid="{00000000-0005-0000-0000-000055290000}"/>
    <cellStyle name="Normal 5 5 9 6" xfId="10568" xr:uid="{00000000-0005-0000-0000-000056290000}"/>
    <cellStyle name="Normal 5 5 9 7" xfId="10569" xr:uid="{00000000-0005-0000-0000-000057290000}"/>
    <cellStyle name="Normal 5 5 9 8" xfId="10570" xr:uid="{00000000-0005-0000-0000-000058290000}"/>
    <cellStyle name="Normal 5 6" xfId="10571" xr:uid="{00000000-0005-0000-0000-000059290000}"/>
    <cellStyle name="Normal 5 6 2" xfId="10572" xr:uid="{00000000-0005-0000-0000-00005A290000}"/>
    <cellStyle name="Normal 5 6 2 2" xfId="10573" xr:uid="{00000000-0005-0000-0000-00005B290000}"/>
    <cellStyle name="Normal 5 6 2 3" xfId="10574" xr:uid="{00000000-0005-0000-0000-00005C290000}"/>
    <cellStyle name="Normal 5 6 2 4" xfId="10575" xr:uid="{00000000-0005-0000-0000-00005D290000}"/>
    <cellStyle name="Normal 5 6 3" xfId="10576" xr:uid="{00000000-0005-0000-0000-00005E290000}"/>
    <cellStyle name="Normal 5 6 3 2" xfId="10577" xr:uid="{00000000-0005-0000-0000-00005F290000}"/>
    <cellStyle name="Normal 5 6 3 3" xfId="10578" xr:uid="{00000000-0005-0000-0000-000060290000}"/>
    <cellStyle name="Normal 5 6 3 4" xfId="10579" xr:uid="{00000000-0005-0000-0000-000061290000}"/>
    <cellStyle name="Normal 5 6 4" xfId="10580" xr:uid="{00000000-0005-0000-0000-000062290000}"/>
    <cellStyle name="Normal 5 6 5" xfId="10581" xr:uid="{00000000-0005-0000-0000-000063290000}"/>
    <cellStyle name="Normal 5 6 6" xfId="10582" xr:uid="{00000000-0005-0000-0000-000064290000}"/>
    <cellStyle name="Normal 5 6 7" xfId="10583" xr:uid="{00000000-0005-0000-0000-000065290000}"/>
    <cellStyle name="Normal 5 7" xfId="10584" xr:uid="{00000000-0005-0000-0000-000066290000}"/>
    <cellStyle name="Normal 5 7 2" xfId="10585" xr:uid="{00000000-0005-0000-0000-000067290000}"/>
    <cellStyle name="Normal 5 7 3" xfId="10586" xr:uid="{00000000-0005-0000-0000-000068290000}"/>
    <cellStyle name="Normal 5 7 4" xfId="10587" xr:uid="{00000000-0005-0000-0000-000069290000}"/>
    <cellStyle name="Normal 5 7 5" xfId="10588" xr:uid="{00000000-0005-0000-0000-00006A290000}"/>
    <cellStyle name="Normal 5 8" xfId="10589" xr:uid="{00000000-0005-0000-0000-00006B290000}"/>
    <cellStyle name="Normal 5 8 2" xfId="10590" xr:uid="{00000000-0005-0000-0000-00006C290000}"/>
    <cellStyle name="Normal 5 8 3" xfId="10591" xr:uid="{00000000-0005-0000-0000-00006D290000}"/>
    <cellStyle name="Normal 5 8 4" xfId="10592" xr:uid="{00000000-0005-0000-0000-00006E290000}"/>
    <cellStyle name="Normal 5 8 5" xfId="10593" xr:uid="{00000000-0005-0000-0000-00006F290000}"/>
    <cellStyle name="Normal 5 9" xfId="10594" xr:uid="{00000000-0005-0000-0000-000070290000}"/>
    <cellStyle name="Normal 5 9 2" xfId="10595" xr:uid="{00000000-0005-0000-0000-000071290000}"/>
    <cellStyle name="Normal 5 9 3" xfId="10596" xr:uid="{00000000-0005-0000-0000-000072290000}"/>
    <cellStyle name="Normal 5 9 4" xfId="10597" xr:uid="{00000000-0005-0000-0000-000073290000}"/>
    <cellStyle name="Normal 5 9 5" xfId="10598" xr:uid="{00000000-0005-0000-0000-000074290000}"/>
    <cellStyle name="Normal 5_DACNEW" xfId="17763" xr:uid="{00000000-0005-0000-0000-000075290000}"/>
    <cellStyle name="Normal 50" xfId="10599" xr:uid="{00000000-0005-0000-0000-000076290000}"/>
    <cellStyle name="Normal 50 2" xfId="10600" xr:uid="{00000000-0005-0000-0000-000077290000}"/>
    <cellStyle name="Normal 50 3" xfId="10601" xr:uid="{00000000-0005-0000-0000-000078290000}"/>
    <cellStyle name="Normal 50 4" xfId="10602" xr:uid="{00000000-0005-0000-0000-000079290000}"/>
    <cellStyle name="Normal 51" xfId="10603" xr:uid="{00000000-0005-0000-0000-00007A290000}"/>
    <cellStyle name="Normal 51 2" xfId="10604" xr:uid="{00000000-0005-0000-0000-00007B290000}"/>
    <cellStyle name="Normal 51 3" xfId="10605" xr:uid="{00000000-0005-0000-0000-00007C290000}"/>
    <cellStyle name="Normal 51 4" xfId="10606" xr:uid="{00000000-0005-0000-0000-00007D290000}"/>
    <cellStyle name="Normal 52" xfId="10607" xr:uid="{00000000-0005-0000-0000-00007E290000}"/>
    <cellStyle name="Normal 52 2" xfId="10608" xr:uid="{00000000-0005-0000-0000-00007F290000}"/>
    <cellStyle name="Normal 52 3" xfId="10609" xr:uid="{00000000-0005-0000-0000-000080290000}"/>
    <cellStyle name="Normal 52 4" xfId="10610" xr:uid="{00000000-0005-0000-0000-000081290000}"/>
    <cellStyle name="Normal 53" xfId="10611" xr:uid="{00000000-0005-0000-0000-000082290000}"/>
    <cellStyle name="Normal 53 2" xfId="10612" xr:uid="{00000000-0005-0000-0000-000083290000}"/>
    <cellStyle name="Normal 53 3" xfId="10613" xr:uid="{00000000-0005-0000-0000-000084290000}"/>
    <cellStyle name="Normal 53 4" xfId="10614" xr:uid="{00000000-0005-0000-0000-000085290000}"/>
    <cellStyle name="Normal 54" xfId="10615" xr:uid="{00000000-0005-0000-0000-000086290000}"/>
    <cellStyle name="Normal 54 2" xfId="10616" xr:uid="{00000000-0005-0000-0000-000087290000}"/>
    <cellStyle name="Normal 54 3" xfId="10617" xr:uid="{00000000-0005-0000-0000-000088290000}"/>
    <cellStyle name="Normal 54 4" xfId="10618" xr:uid="{00000000-0005-0000-0000-000089290000}"/>
    <cellStyle name="Normal 55" xfId="10619" xr:uid="{00000000-0005-0000-0000-00008A290000}"/>
    <cellStyle name="Normal 55 2" xfId="10620" xr:uid="{00000000-0005-0000-0000-00008B290000}"/>
    <cellStyle name="Normal 55 3" xfId="10621" xr:uid="{00000000-0005-0000-0000-00008C290000}"/>
    <cellStyle name="Normal 55 4" xfId="10622" xr:uid="{00000000-0005-0000-0000-00008D290000}"/>
    <cellStyle name="Normal 6" xfId="10623" xr:uid="{00000000-0005-0000-0000-00008E290000}"/>
    <cellStyle name="Normal 6 10" xfId="10624" xr:uid="{00000000-0005-0000-0000-00008F290000}"/>
    <cellStyle name="Normal 6 10 2" xfId="10625" xr:uid="{00000000-0005-0000-0000-000090290000}"/>
    <cellStyle name="Normal 6 10 2 2" xfId="10626" xr:uid="{00000000-0005-0000-0000-000091290000}"/>
    <cellStyle name="Normal 6 10 2 3" xfId="10627" xr:uid="{00000000-0005-0000-0000-000092290000}"/>
    <cellStyle name="Normal 6 10 2 4" xfId="10628" xr:uid="{00000000-0005-0000-0000-000093290000}"/>
    <cellStyle name="Normal 6 10 3" xfId="10629" xr:uid="{00000000-0005-0000-0000-000094290000}"/>
    <cellStyle name="Normal 6 10 3 2" xfId="10630" xr:uid="{00000000-0005-0000-0000-000095290000}"/>
    <cellStyle name="Normal 6 10 3 3" xfId="10631" xr:uid="{00000000-0005-0000-0000-000096290000}"/>
    <cellStyle name="Normal 6 10 3 4" xfId="10632" xr:uid="{00000000-0005-0000-0000-000097290000}"/>
    <cellStyle name="Normal 6 10 4" xfId="10633" xr:uid="{00000000-0005-0000-0000-000098290000}"/>
    <cellStyle name="Normal 6 10 5" xfId="10634" xr:uid="{00000000-0005-0000-0000-000099290000}"/>
    <cellStyle name="Normal 6 10 6" xfId="10635" xr:uid="{00000000-0005-0000-0000-00009A290000}"/>
    <cellStyle name="Normal 6 10 7" xfId="10636" xr:uid="{00000000-0005-0000-0000-00009B290000}"/>
    <cellStyle name="Normal 6 11" xfId="10637" xr:uid="{00000000-0005-0000-0000-00009C290000}"/>
    <cellStyle name="Normal 6 11 2" xfId="10638" xr:uid="{00000000-0005-0000-0000-00009D290000}"/>
    <cellStyle name="Normal 6 11 3" xfId="10639" xr:uid="{00000000-0005-0000-0000-00009E290000}"/>
    <cellStyle name="Normal 6 11 4" xfId="10640" xr:uid="{00000000-0005-0000-0000-00009F290000}"/>
    <cellStyle name="Normal 6 11 5" xfId="10641" xr:uid="{00000000-0005-0000-0000-0000A0290000}"/>
    <cellStyle name="Normal 6 12" xfId="10642" xr:uid="{00000000-0005-0000-0000-0000A1290000}"/>
    <cellStyle name="Normal 6 12 2" xfId="10643" xr:uid="{00000000-0005-0000-0000-0000A2290000}"/>
    <cellStyle name="Normal 6 12 2 2" xfId="10644" xr:uid="{00000000-0005-0000-0000-0000A3290000}"/>
    <cellStyle name="Normal 6 12 2 3" xfId="10645" xr:uid="{00000000-0005-0000-0000-0000A4290000}"/>
    <cellStyle name="Normal 6 12 2 4" xfId="10646" xr:uid="{00000000-0005-0000-0000-0000A5290000}"/>
    <cellStyle name="Normal 6 12 3" xfId="10647" xr:uid="{00000000-0005-0000-0000-0000A6290000}"/>
    <cellStyle name="Normal 6 12 3 2" xfId="10648" xr:uid="{00000000-0005-0000-0000-0000A7290000}"/>
    <cellStyle name="Normal 6 12 3 3" xfId="10649" xr:uid="{00000000-0005-0000-0000-0000A8290000}"/>
    <cellStyle name="Normal 6 12 3 4" xfId="10650" xr:uid="{00000000-0005-0000-0000-0000A9290000}"/>
    <cellStyle name="Normal 6 12 4" xfId="10651" xr:uid="{00000000-0005-0000-0000-0000AA290000}"/>
    <cellStyle name="Normal 6 12 5" xfId="10652" xr:uid="{00000000-0005-0000-0000-0000AB290000}"/>
    <cellStyle name="Normal 6 12 6" xfId="10653" xr:uid="{00000000-0005-0000-0000-0000AC290000}"/>
    <cellStyle name="Normal 6 12 7" xfId="10654" xr:uid="{00000000-0005-0000-0000-0000AD290000}"/>
    <cellStyle name="Normal 6 13" xfId="10655" xr:uid="{00000000-0005-0000-0000-0000AE290000}"/>
    <cellStyle name="Normal 6 14" xfId="10656" xr:uid="{00000000-0005-0000-0000-0000AF290000}"/>
    <cellStyle name="Normal 6 15" xfId="10657" xr:uid="{00000000-0005-0000-0000-0000B0290000}"/>
    <cellStyle name="Normal 6 16" xfId="10658" xr:uid="{00000000-0005-0000-0000-0000B1290000}"/>
    <cellStyle name="Normal 6 2" xfId="10659" xr:uid="{00000000-0005-0000-0000-0000B2290000}"/>
    <cellStyle name="Normal 6 2 10" xfId="10660" xr:uid="{00000000-0005-0000-0000-0000B3290000}"/>
    <cellStyle name="Normal 6 2 10 2" xfId="10661" xr:uid="{00000000-0005-0000-0000-0000B4290000}"/>
    <cellStyle name="Normal 6 2 10 3" xfId="10662" xr:uid="{00000000-0005-0000-0000-0000B5290000}"/>
    <cellStyle name="Normal 6 2 10 4" xfId="10663" xr:uid="{00000000-0005-0000-0000-0000B6290000}"/>
    <cellStyle name="Normal 6 2 11" xfId="10664" xr:uid="{00000000-0005-0000-0000-0000B7290000}"/>
    <cellStyle name="Normal 6 2 11 2" xfId="10665" xr:uid="{00000000-0005-0000-0000-0000B8290000}"/>
    <cellStyle name="Normal 6 2 11 3" xfId="10666" xr:uid="{00000000-0005-0000-0000-0000B9290000}"/>
    <cellStyle name="Normal 6 2 11 4" xfId="10667" xr:uid="{00000000-0005-0000-0000-0000BA290000}"/>
    <cellStyle name="Normal 6 2 12" xfId="10668" xr:uid="{00000000-0005-0000-0000-0000BB290000}"/>
    <cellStyle name="Normal 6 2 12 2" xfId="10669" xr:uid="{00000000-0005-0000-0000-0000BC290000}"/>
    <cellStyle name="Normal 6 2 12 3" xfId="10670" xr:uid="{00000000-0005-0000-0000-0000BD290000}"/>
    <cellStyle name="Normal 6 2 12 4" xfId="10671" xr:uid="{00000000-0005-0000-0000-0000BE290000}"/>
    <cellStyle name="Normal 6 2 13" xfId="10672" xr:uid="{00000000-0005-0000-0000-0000BF290000}"/>
    <cellStyle name="Normal 6 2 13 2" xfId="10673" xr:uid="{00000000-0005-0000-0000-0000C0290000}"/>
    <cellStyle name="Normal 6 2 13 3" xfId="10674" xr:uid="{00000000-0005-0000-0000-0000C1290000}"/>
    <cellStyle name="Normal 6 2 13 4" xfId="10675" xr:uid="{00000000-0005-0000-0000-0000C2290000}"/>
    <cellStyle name="Normal 6 2 14" xfId="10676" xr:uid="{00000000-0005-0000-0000-0000C3290000}"/>
    <cellStyle name="Normal 6 2 14 2" xfId="10677" xr:uid="{00000000-0005-0000-0000-0000C4290000}"/>
    <cellStyle name="Normal 6 2 14 3" xfId="10678" xr:uid="{00000000-0005-0000-0000-0000C5290000}"/>
    <cellStyle name="Normal 6 2 14 4" xfId="10679" xr:uid="{00000000-0005-0000-0000-0000C6290000}"/>
    <cellStyle name="Normal 6 2 15" xfId="10680" xr:uid="{00000000-0005-0000-0000-0000C7290000}"/>
    <cellStyle name="Normal 6 2 16" xfId="10681" xr:uid="{00000000-0005-0000-0000-0000C8290000}"/>
    <cellStyle name="Normal 6 2 17" xfId="10682" xr:uid="{00000000-0005-0000-0000-0000C9290000}"/>
    <cellStyle name="Normal 6 2 18" xfId="10683" xr:uid="{00000000-0005-0000-0000-0000CA290000}"/>
    <cellStyle name="Normal 6 2 2" xfId="10684" xr:uid="{00000000-0005-0000-0000-0000CB290000}"/>
    <cellStyle name="Normal 6 2 2 10" xfId="10685" xr:uid="{00000000-0005-0000-0000-0000CC290000}"/>
    <cellStyle name="Normal 6 2 2 10 2" xfId="10686" xr:uid="{00000000-0005-0000-0000-0000CD290000}"/>
    <cellStyle name="Normal 6 2 2 10 2 2" xfId="10687" xr:uid="{00000000-0005-0000-0000-0000CE290000}"/>
    <cellStyle name="Normal 6 2 2 10 2 2 2" xfId="10688" xr:uid="{00000000-0005-0000-0000-0000CF290000}"/>
    <cellStyle name="Normal 6 2 2 10 2 2 2 2" xfId="10689" xr:uid="{00000000-0005-0000-0000-0000D0290000}"/>
    <cellStyle name="Normal 6 2 2 10 2 2 2 3" xfId="10690" xr:uid="{00000000-0005-0000-0000-0000D1290000}"/>
    <cellStyle name="Normal 6 2 2 10 2 2 3" xfId="10691" xr:uid="{00000000-0005-0000-0000-0000D2290000}"/>
    <cellStyle name="Normal 6 2 2 10 2 2 4" xfId="10692" xr:uid="{00000000-0005-0000-0000-0000D3290000}"/>
    <cellStyle name="Normal 6 2 2 10 2 3" xfId="10693" xr:uid="{00000000-0005-0000-0000-0000D4290000}"/>
    <cellStyle name="Normal 6 2 2 10 2 3 2" xfId="10694" xr:uid="{00000000-0005-0000-0000-0000D5290000}"/>
    <cellStyle name="Normal 6 2 2 10 2 3 2 2" xfId="10695" xr:uid="{00000000-0005-0000-0000-0000D6290000}"/>
    <cellStyle name="Normal 6 2 2 10 2 3 2 3" xfId="10696" xr:uid="{00000000-0005-0000-0000-0000D7290000}"/>
    <cellStyle name="Normal 6 2 2 10 2 3 3" xfId="10697" xr:uid="{00000000-0005-0000-0000-0000D8290000}"/>
    <cellStyle name="Normal 6 2 2 10 2 3 4" xfId="10698" xr:uid="{00000000-0005-0000-0000-0000D9290000}"/>
    <cellStyle name="Normal 6 2 2 10 2 4" xfId="10699" xr:uid="{00000000-0005-0000-0000-0000DA290000}"/>
    <cellStyle name="Normal 6 2 2 10 2 4 2" xfId="10700" xr:uid="{00000000-0005-0000-0000-0000DB290000}"/>
    <cellStyle name="Normal 6 2 2 10 2 4 3" xfId="10701" xr:uid="{00000000-0005-0000-0000-0000DC290000}"/>
    <cellStyle name="Normal 6 2 2 10 2 5" xfId="10702" xr:uid="{00000000-0005-0000-0000-0000DD290000}"/>
    <cellStyle name="Normal 6 2 2 10 2 6" xfId="10703" xr:uid="{00000000-0005-0000-0000-0000DE290000}"/>
    <cellStyle name="Normal 6 2 2 10 2 7" xfId="10704" xr:uid="{00000000-0005-0000-0000-0000DF290000}"/>
    <cellStyle name="Normal 6 2 2 10 3" xfId="10705" xr:uid="{00000000-0005-0000-0000-0000E0290000}"/>
    <cellStyle name="Normal 6 2 2 10 3 2" xfId="10706" xr:uid="{00000000-0005-0000-0000-0000E1290000}"/>
    <cellStyle name="Normal 6 2 2 10 3 2 2" xfId="10707" xr:uid="{00000000-0005-0000-0000-0000E2290000}"/>
    <cellStyle name="Normal 6 2 2 10 3 2 2 2" xfId="10708" xr:uid="{00000000-0005-0000-0000-0000E3290000}"/>
    <cellStyle name="Normal 6 2 2 10 3 2 2 3" xfId="10709" xr:uid="{00000000-0005-0000-0000-0000E4290000}"/>
    <cellStyle name="Normal 6 2 2 10 3 2 3" xfId="10710" xr:uid="{00000000-0005-0000-0000-0000E5290000}"/>
    <cellStyle name="Normal 6 2 2 10 3 2 4" xfId="10711" xr:uid="{00000000-0005-0000-0000-0000E6290000}"/>
    <cellStyle name="Normal 6 2 2 10 3 3" xfId="10712" xr:uid="{00000000-0005-0000-0000-0000E7290000}"/>
    <cellStyle name="Normal 6 2 2 10 3 3 2" xfId="10713" xr:uid="{00000000-0005-0000-0000-0000E8290000}"/>
    <cellStyle name="Normal 6 2 2 10 3 3 3" xfId="10714" xr:uid="{00000000-0005-0000-0000-0000E9290000}"/>
    <cellStyle name="Normal 6 2 2 10 3 4" xfId="10715" xr:uid="{00000000-0005-0000-0000-0000EA290000}"/>
    <cellStyle name="Normal 6 2 2 10 3 5" xfId="10716" xr:uid="{00000000-0005-0000-0000-0000EB290000}"/>
    <cellStyle name="Normal 6 2 2 10 4" xfId="10717" xr:uid="{00000000-0005-0000-0000-0000EC290000}"/>
    <cellStyle name="Normal 6 2 2 10 4 2" xfId="10718" xr:uid="{00000000-0005-0000-0000-0000ED290000}"/>
    <cellStyle name="Normal 6 2 2 10 4 3" xfId="10719" xr:uid="{00000000-0005-0000-0000-0000EE290000}"/>
    <cellStyle name="Normal 6 2 2 10 5" xfId="10720" xr:uid="{00000000-0005-0000-0000-0000EF290000}"/>
    <cellStyle name="Normal 6 2 2 10 5 2" xfId="10721" xr:uid="{00000000-0005-0000-0000-0000F0290000}"/>
    <cellStyle name="Normal 6 2 2 10 5 3" xfId="10722" xr:uid="{00000000-0005-0000-0000-0000F1290000}"/>
    <cellStyle name="Normal 6 2 2 10 6" xfId="10723" xr:uid="{00000000-0005-0000-0000-0000F2290000}"/>
    <cellStyle name="Normal 6 2 2 10 7" xfId="10724" xr:uid="{00000000-0005-0000-0000-0000F3290000}"/>
    <cellStyle name="Normal 6 2 2 10 8" xfId="10725" xr:uid="{00000000-0005-0000-0000-0000F4290000}"/>
    <cellStyle name="Normal 6 2 2 10 9" xfId="10726" xr:uid="{00000000-0005-0000-0000-0000F5290000}"/>
    <cellStyle name="Normal 6 2 2 11" xfId="10727" xr:uid="{00000000-0005-0000-0000-0000F6290000}"/>
    <cellStyle name="Normal 6 2 2 11 2" xfId="10728" xr:uid="{00000000-0005-0000-0000-0000F7290000}"/>
    <cellStyle name="Normal 6 2 2 11 2 2" xfId="10729" xr:uid="{00000000-0005-0000-0000-0000F8290000}"/>
    <cellStyle name="Normal 6 2 2 11 2 2 2" xfId="10730" xr:uid="{00000000-0005-0000-0000-0000F9290000}"/>
    <cellStyle name="Normal 6 2 2 11 2 2 2 2" xfId="10731" xr:uid="{00000000-0005-0000-0000-0000FA290000}"/>
    <cellStyle name="Normal 6 2 2 11 2 2 2 3" xfId="10732" xr:uid="{00000000-0005-0000-0000-0000FB290000}"/>
    <cellStyle name="Normal 6 2 2 11 2 2 3" xfId="10733" xr:uid="{00000000-0005-0000-0000-0000FC290000}"/>
    <cellStyle name="Normal 6 2 2 11 2 2 4" xfId="10734" xr:uid="{00000000-0005-0000-0000-0000FD290000}"/>
    <cellStyle name="Normal 6 2 2 11 2 3" xfId="10735" xr:uid="{00000000-0005-0000-0000-0000FE290000}"/>
    <cellStyle name="Normal 6 2 2 11 2 3 2" xfId="10736" xr:uid="{00000000-0005-0000-0000-0000FF290000}"/>
    <cellStyle name="Normal 6 2 2 11 2 3 2 2" xfId="10737" xr:uid="{00000000-0005-0000-0000-0000002A0000}"/>
    <cellStyle name="Normal 6 2 2 11 2 3 2 3" xfId="10738" xr:uid="{00000000-0005-0000-0000-0000012A0000}"/>
    <cellStyle name="Normal 6 2 2 11 2 3 3" xfId="10739" xr:uid="{00000000-0005-0000-0000-0000022A0000}"/>
    <cellStyle name="Normal 6 2 2 11 2 3 4" xfId="10740" xr:uid="{00000000-0005-0000-0000-0000032A0000}"/>
    <cellStyle name="Normal 6 2 2 11 2 4" xfId="10741" xr:uid="{00000000-0005-0000-0000-0000042A0000}"/>
    <cellStyle name="Normal 6 2 2 11 2 4 2" xfId="10742" xr:uid="{00000000-0005-0000-0000-0000052A0000}"/>
    <cellStyle name="Normal 6 2 2 11 2 4 3" xfId="10743" xr:uid="{00000000-0005-0000-0000-0000062A0000}"/>
    <cellStyle name="Normal 6 2 2 11 2 5" xfId="10744" xr:uid="{00000000-0005-0000-0000-0000072A0000}"/>
    <cellStyle name="Normal 6 2 2 11 2 6" xfId="10745" xr:uid="{00000000-0005-0000-0000-0000082A0000}"/>
    <cellStyle name="Normal 6 2 2 11 2 7" xfId="10746" xr:uid="{00000000-0005-0000-0000-0000092A0000}"/>
    <cellStyle name="Normal 6 2 2 11 3" xfId="10747" xr:uid="{00000000-0005-0000-0000-00000A2A0000}"/>
    <cellStyle name="Normal 6 2 2 11 3 2" xfId="10748" xr:uid="{00000000-0005-0000-0000-00000B2A0000}"/>
    <cellStyle name="Normal 6 2 2 11 3 2 2" xfId="10749" xr:uid="{00000000-0005-0000-0000-00000C2A0000}"/>
    <cellStyle name="Normal 6 2 2 11 3 2 2 2" xfId="10750" xr:uid="{00000000-0005-0000-0000-00000D2A0000}"/>
    <cellStyle name="Normal 6 2 2 11 3 2 2 3" xfId="10751" xr:uid="{00000000-0005-0000-0000-00000E2A0000}"/>
    <cellStyle name="Normal 6 2 2 11 3 2 3" xfId="10752" xr:uid="{00000000-0005-0000-0000-00000F2A0000}"/>
    <cellStyle name="Normal 6 2 2 11 3 2 4" xfId="10753" xr:uid="{00000000-0005-0000-0000-0000102A0000}"/>
    <cellStyle name="Normal 6 2 2 11 3 3" xfId="10754" xr:uid="{00000000-0005-0000-0000-0000112A0000}"/>
    <cellStyle name="Normal 6 2 2 11 3 3 2" xfId="10755" xr:uid="{00000000-0005-0000-0000-0000122A0000}"/>
    <cellStyle name="Normal 6 2 2 11 3 3 3" xfId="10756" xr:uid="{00000000-0005-0000-0000-0000132A0000}"/>
    <cellStyle name="Normal 6 2 2 11 3 4" xfId="10757" xr:uid="{00000000-0005-0000-0000-0000142A0000}"/>
    <cellStyle name="Normal 6 2 2 11 3 5" xfId="10758" xr:uid="{00000000-0005-0000-0000-0000152A0000}"/>
    <cellStyle name="Normal 6 2 2 11 4" xfId="10759" xr:uid="{00000000-0005-0000-0000-0000162A0000}"/>
    <cellStyle name="Normal 6 2 2 11 4 2" xfId="10760" xr:uid="{00000000-0005-0000-0000-0000172A0000}"/>
    <cellStyle name="Normal 6 2 2 11 4 3" xfId="10761" xr:uid="{00000000-0005-0000-0000-0000182A0000}"/>
    <cellStyle name="Normal 6 2 2 11 5" xfId="10762" xr:uid="{00000000-0005-0000-0000-0000192A0000}"/>
    <cellStyle name="Normal 6 2 2 11 5 2" xfId="10763" xr:uid="{00000000-0005-0000-0000-00001A2A0000}"/>
    <cellStyle name="Normal 6 2 2 11 5 3" xfId="10764" xr:uid="{00000000-0005-0000-0000-00001B2A0000}"/>
    <cellStyle name="Normal 6 2 2 11 6" xfId="10765" xr:uid="{00000000-0005-0000-0000-00001C2A0000}"/>
    <cellStyle name="Normal 6 2 2 11 7" xfId="10766" xr:uid="{00000000-0005-0000-0000-00001D2A0000}"/>
    <cellStyle name="Normal 6 2 2 11 8" xfId="10767" xr:uid="{00000000-0005-0000-0000-00001E2A0000}"/>
    <cellStyle name="Normal 6 2 2 11 9" xfId="10768" xr:uid="{00000000-0005-0000-0000-00001F2A0000}"/>
    <cellStyle name="Normal 6 2 2 12" xfId="10769" xr:uid="{00000000-0005-0000-0000-0000202A0000}"/>
    <cellStyle name="Normal 6 2 2 12 2" xfId="10770" xr:uid="{00000000-0005-0000-0000-0000212A0000}"/>
    <cellStyle name="Normal 6 2 2 12 2 2" xfId="10771" xr:uid="{00000000-0005-0000-0000-0000222A0000}"/>
    <cellStyle name="Normal 6 2 2 12 2 2 2" xfId="10772" xr:uid="{00000000-0005-0000-0000-0000232A0000}"/>
    <cellStyle name="Normal 6 2 2 12 2 2 2 2" xfId="10773" xr:uid="{00000000-0005-0000-0000-0000242A0000}"/>
    <cellStyle name="Normal 6 2 2 12 2 2 2 3" xfId="10774" xr:uid="{00000000-0005-0000-0000-0000252A0000}"/>
    <cellStyle name="Normal 6 2 2 12 2 2 3" xfId="10775" xr:uid="{00000000-0005-0000-0000-0000262A0000}"/>
    <cellStyle name="Normal 6 2 2 12 2 2 4" xfId="10776" xr:uid="{00000000-0005-0000-0000-0000272A0000}"/>
    <cellStyle name="Normal 6 2 2 12 2 3" xfId="10777" xr:uid="{00000000-0005-0000-0000-0000282A0000}"/>
    <cellStyle name="Normal 6 2 2 12 2 3 2" xfId="10778" xr:uid="{00000000-0005-0000-0000-0000292A0000}"/>
    <cellStyle name="Normal 6 2 2 12 2 3 2 2" xfId="10779" xr:uid="{00000000-0005-0000-0000-00002A2A0000}"/>
    <cellStyle name="Normal 6 2 2 12 2 3 2 3" xfId="10780" xr:uid="{00000000-0005-0000-0000-00002B2A0000}"/>
    <cellStyle name="Normal 6 2 2 12 2 3 3" xfId="10781" xr:uid="{00000000-0005-0000-0000-00002C2A0000}"/>
    <cellStyle name="Normal 6 2 2 12 2 3 4" xfId="10782" xr:uid="{00000000-0005-0000-0000-00002D2A0000}"/>
    <cellStyle name="Normal 6 2 2 12 2 4" xfId="10783" xr:uid="{00000000-0005-0000-0000-00002E2A0000}"/>
    <cellStyle name="Normal 6 2 2 12 2 4 2" xfId="10784" xr:uid="{00000000-0005-0000-0000-00002F2A0000}"/>
    <cellStyle name="Normal 6 2 2 12 2 4 3" xfId="10785" xr:uid="{00000000-0005-0000-0000-0000302A0000}"/>
    <cellStyle name="Normal 6 2 2 12 2 5" xfId="10786" xr:uid="{00000000-0005-0000-0000-0000312A0000}"/>
    <cellStyle name="Normal 6 2 2 12 2 6" xfId="10787" xr:uid="{00000000-0005-0000-0000-0000322A0000}"/>
    <cellStyle name="Normal 6 2 2 12 2 7" xfId="10788" xr:uid="{00000000-0005-0000-0000-0000332A0000}"/>
    <cellStyle name="Normal 6 2 2 12 3" xfId="10789" xr:uid="{00000000-0005-0000-0000-0000342A0000}"/>
    <cellStyle name="Normal 6 2 2 12 3 2" xfId="10790" xr:uid="{00000000-0005-0000-0000-0000352A0000}"/>
    <cellStyle name="Normal 6 2 2 12 3 2 2" xfId="10791" xr:uid="{00000000-0005-0000-0000-0000362A0000}"/>
    <cellStyle name="Normal 6 2 2 12 3 2 2 2" xfId="10792" xr:uid="{00000000-0005-0000-0000-0000372A0000}"/>
    <cellStyle name="Normal 6 2 2 12 3 2 2 3" xfId="10793" xr:uid="{00000000-0005-0000-0000-0000382A0000}"/>
    <cellStyle name="Normal 6 2 2 12 3 2 3" xfId="10794" xr:uid="{00000000-0005-0000-0000-0000392A0000}"/>
    <cellStyle name="Normal 6 2 2 12 3 2 4" xfId="10795" xr:uid="{00000000-0005-0000-0000-00003A2A0000}"/>
    <cellStyle name="Normal 6 2 2 12 3 3" xfId="10796" xr:uid="{00000000-0005-0000-0000-00003B2A0000}"/>
    <cellStyle name="Normal 6 2 2 12 3 3 2" xfId="10797" xr:uid="{00000000-0005-0000-0000-00003C2A0000}"/>
    <cellStyle name="Normal 6 2 2 12 3 3 3" xfId="10798" xr:uid="{00000000-0005-0000-0000-00003D2A0000}"/>
    <cellStyle name="Normal 6 2 2 12 3 4" xfId="10799" xr:uid="{00000000-0005-0000-0000-00003E2A0000}"/>
    <cellStyle name="Normal 6 2 2 12 3 5" xfId="10800" xr:uid="{00000000-0005-0000-0000-00003F2A0000}"/>
    <cellStyle name="Normal 6 2 2 12 4" xfId="10801" xr:uid="{00000000-0005-0000-0000-0000402A0000}"/>
    <cellStyle name="Normal 6 2 2 12 4 2" xfId="10802" xr:uid="{00000000-0005-0000-0000-0000412A0000}"/>
    <cellStyle name="Normal 6 2 2 12 4 3" xfId="10803" xr:uid="{00000000-0005-0000-0000-0000422A0000}"/>
    <cellStyle name="Normal 6 2 2 12 5" xfId="10804" xr:uid="{00000000-0005-0000-0000-0000432A0000}"/>
    <cellStyle name="Normal 6 2 2 12 5 2" xfId="10805" xr:uid="{00000000-0005-0000-0000-0000442A0000}"/>
    <cellStyle name="Normal 6 2 2 12 5 3" xfId="10806" xr:uid="{00000000-0005-0000-0000-0000452A0000}"/>
    <cellStyle name="Normal 6 2 2 12 6" xfId="10807" xr:uid="{00000000-0005-0000-0000-0000462A0000}"/>
    <cellStyle name="Normal 6 2 2 12 7" xfId="10808" xr:uid="{00000000-0005-0000-0000-0000472A0000}"/>
    <cellStyle name="Normal 6 2 2 12 8" xfId="10809" xr:uid="{00000000-0005-0000-0000-0000482A0000}"/>
    <cellStyle name="Normal 6 2 2 12 9" xfId="10810" xr:uid="{00000000-0005-0000-0000-0000492A0000}"/>
    <cellStyle name="Normal 6 2 2 13" xfId="10811" xr:uid="{00000000-0005-0000-0000-00004A2A0000}"/>
    <cellStyle name="Normal 6 2 2 13 2" xfId="10812" xr:uid="{00000000-0005-0000-0000-00004B2A0000}"/>
    <cellStyle name="Normal 6 2 2 13 2 2" xfId="10813" xr:uid="{00000000-0005-0000-0000-00004C2A0000}"/>
    <cellStyle name="Normal 6 2 2 13 2 2 2" xfId="10814" xr:uid="{00000000-0005-0000-0000-00004D2A0000}"/>
    <cellStyle name="Normal 6 2 2 13 2 2 2 2" xfId="10815" xr:uid="{00000000-0005-0000-0000-00004E2A0000}"/>
    <cellStyle name="Normal 6 2 2 13 2 2 2 3" xfId="10816" xr:uid="{00000000-0005-0000-0000-00004F2A0000}"/>
    <cellStyle name="Normal 6 2 2 13 2 2 3" xfId="10817" xr:uid="{00000000-0005-0000-0000-0000502A0000}"/>
    <cellStyle name="Normal 6 2 2 13 2 2 4" xfId="10818" xr:uid="{00000000-0005-0000-0000-0000512A0000}"/>
    <cellStyle name="Normal 6 2 2 13 2 3" xfId="10819" xr:uid="{00000000-0005-0000-0000-0000522A0000}"/>
    <cellStyle name="Normal 6 2 2 13 2 3 2" xfId="10820" xr:uid="{00000000-0005-0000-0000-0000532A0000}"/>
    <cellStyle name="Normal 6 2 2 13 2 3 2 2" xfId="10821" xr:uid="{00000000-0005-0000-0000-0000542A0000}"/>
    <cellStyle name="Normal 6 2 2 13 2 3 2 3" xfId="10822" xr:uid="{00000000-0005-0000-0000-0000552A0000}"/>
    <cellStyle name="Normal 6 2 2 13 2 3 3" xfId="10823" xr:uid="{00000000-0005-0000-0000-0000562A0000}"/>
    <cellStyle name="Normal 6 2 2 13 2 3 4" xfId="10824" xr:uid="{00000000-0005-0000-0000-0000572A0000}"/>
    <cellStyle name="Normal 6 2 2 13 2 4" xfId="10825" xr:uid="{00000000-0005-0000-0000-0000582A0000}"/>
    <cellStyle name="Normal 6 2 2 13 2 4 2" xfId="10826" xr:uid="{00000000-0005-0000-0000-0000592A0000}"/>
    <cellStyle name="Normal 6 2 2 13 2 4 3" xfId="10827" xr:uid="{00000000-0005-0000-0000-00005A2A0000}"/>
    <cellStyle name="Normal 6 2 2 13 2 5" xfId="10828" xr:uid="{00000000-0005-0000-0000-00005B2A0000}"/>
    <cellStyle name="Normal 6 2 2 13 2 6" xfId="10829" xr:uid="{00000000-0005-0000-0000-00005C2A0000}"/>
    <cellStyle name="Normal 6 2 2 13 2 7" xfId="10830" xr:uid="{00000000-0005-0000-0000-00005D2A0000}"/>
    <cellStyle name="Normal 6 2 2 13 3" xfId="10831" xr:uid="{00000000-0005-0000-0000-00005E2A0000}"/>
    <cellStyle name="Normal 6 2 2 13 3 2" xfId="10832" xr:uid="{00000000-0005-0000-0000-00005F2A0000}"/>
    <cellStyle name="Normal 6 2 2 13 3 2 2" xfId="10833" xr:uid="{00000000-0005-0000-0000-0000602A0000}"/>
    <cellStyle name="Normal 6 2 2 13 3 2 2 2" xfId="10834" xr:uid="{00000000-0005-0000-0000-0000612A0000}"/>
    <cellStyle name="Normal 6 2 2 13 3 2 2 3" xfId="10835" xr:uid="{00000000-0005-0000-0000-0000622A0000}"/>
    <cellStyle name="Normal 6 2 2 13 3 2 3" xfId="10836" xr:uid="{00000000-0005-0000-0000-0000632A0000}"/>
    <cellStyle name="Normal 6 2 2 13 3 2 4" xfId="10837" xr:uid="{00000000-0005-0000-0000-0000642A0000}"/>
    <cellStyle name="Normal 6 2 2 13 3 3" xfId="10838" xr:uid="{00000000-0005-0000-0000-0000652A0000}"/>
    <cellStyle name="Normal 6 2 2 13 3 3 2" xfId="10839" xr:uid="{00000000-0005-0000-0000-0000662A0000}"/>
    <cellStyle name="Normal 6 2 2 13 3 3 3" xfId="10840" xr:uid="{00000000-0005-0000-0000-0000672A0000}"/>
    <cellStyle name="Normal 6 2 2 13 3 4" xfId="10841" xr:uid="{00000000-0005-0000-0000-0000682A0000}"/>
    <cellStyle name="Normal 6 2 2 13 3 5" xfId="10842" xr:uid="{00000000-0005-0000-0000-0000692A0000}"/>
    <cellStyle name="Normal 6 2 2 13 4" xfId="10843" xr:uid="{00000000-0005-0000-0000-00006A2A0000}"/>
    <cellStyle name="Normal 6 2 2 13 4 2" xfId="10844" xr:uid="{00000000-0005-0000-0000-00006B2A0000}"/>
    <cellStyle name="Normal 6 2 2 13 4 3" xfId="10845" xr:uid="{00000000-0005-0000-0000-00006C2A0000}"/>
    <cellStyle name="Normal 6 2 2 13 5" xfId="10846" xr:uid="{00000000-0005-0000-0000-00006D2A0000}"/>
    <cellStyle name="Normal 6 2 2 13 5 2" xfId="10847" xr:uid="{00000000-0005-0000-0000-00006E2A0000}"/>
    <cellStyle name="Normal 6 2 2 13 5 3" xfId="10848" xr:uid="{00000000-0005-0000-0000-00006F2A0000}"/>
    <cellStyle name="Normal 6 2 2 13 6" xfId="10849" xr:uid="{00000000-0005-0000-0000-0000702A0000}"/>
    <cellStyle name="Normal 6 2 2 13 7" xfId="10850" xr:uid="{00000000-0005-0000-0000-0000712A0000}"/>
    <cellStyle name="Normal 6 2 2 13 8" xfId="10851" xr:uid="{00000000-0005-0000-0000-0000722A0000}"/>
    <cellStyle name="Normal 6 2 2 13 9" xfId="10852" xr:uid="{00000000-0005-0000-0000-0000732A0000}"/>
    <cellStyle name="Normal 6 2 2 14" xfId="10853" xr:uid="{00000000-0005-0000-0000-0000742A0000}"/>
    <cellStyle name="Normal 6 2 2 15" xfId="10854" xr:uid="{00000000-0005-0000-0000-0000752A0000}"/>
    <cellStyle name="Normal 6 2 2 16" xfId="10855" xr:uid="{00000000-0005-0000-0000-0000762A0000}"/>
    <cellStyle name="Normal 6 2 2 17" xfId="10856" xr:uid="{00000000-0005-0000-0000-0000772A0000}"/>
    <cellStyle name="Normal 6 2 2 2" xfId="10857" xr:uid="{00000000-0005-0000-0000-0000782A0000}"/>
    <cellStyle name="Normal 6 2 2 2 2" xfId="10858" xr:uid="{00000000-0005-0000-0000-0000792A0000}"/>
    <cellStyle name="Normal 6 2 2 2 2 2" xfId="10859" xr:uid="{00000000-0005-0000-0000-00007A2A0000}"/>
    <cellStyle name="Normal 6 2 2 2 2 2 2" xfId="10860" xr:uid="{00000000-0005-0000-0000-00007B2A0000}"/>
    <cellStyle name="Normal 6 2 2 2 2 2 2 2" xfId="10861" xr:uid="{00000000-0005-0000-0000-00007C2A0000}"/>
    <cellStyle name="Normal 6 2 2 2 2 2 2 3" xfId="10862" xr:uid="{00000000-0005-0000-0000-00007D2A0000}"/>
    <cellStyle name="Normal 6 2 2 2 2 2 3" xfId="10863" xr:uid="{00000000-0005-0000-0000-00007E2A0000}"/>
    <cellStyle name="Normal 6 2 2 2 2 2 4" xfId="10864" xr:uid="{00000000-0005-0000-0000-00007F2A0000}"/>
    <cellStyle name="Normal 6 2 2 2 2 3" xfId="10865" xr:uid="{00000000-0005-0000-0000-0000802A0000}"/>
    <cellStyle name="Normal 6 2 2 2 2 3 2" xfId="10866" xr:uid="{00000000-0005-0000-0000-0000812A0000}"/>
    <cellStyle name="Normal 6 2 2 2 2 3 2 2" xfId="10867" xr:uid="{00000000-0005-0000-0000-0000822A0000}"/>
    <cellStyle name="Normal 6 2 2 2 2 3 2 3" xfId="10868" xr:uid="{00000000-0005-0000-0000-0000832A0000}"/>
    <cellStyle name="Normal 6 2 2 2 2 3 3" xfId="10869" xr:uid="{00000000-0005-0000-0000-0000842A0000}"/>
    <cellStyle name="Normal 6 2 2 2 2 3 4" xfId="10870" xr:uid="{00000000-0005-0000-0000-0000852A0000}"/>
    <cellStyle name="Normal 6 2 2 2 2 4" xfId="10871" xr:uid="{00000000-0005-0000-0000-0000862A0000}"/>
    <cellStyle name="Normal 6 2 2 2 2 4 2" xfId="10872" xr:uid="{00000000-0005-0000-0000-0000872A0000}"/>
    <cellStyle name="Normal 6 2 2 2 2 4 3" xfId="10873" xr:uid="{00000000-0005-0000-0000-0000882A0000}"/>
    <cellStyle name="Normal 6 2 2 2 2 5" xfId="10874" xr:uid="{00000000-0005-0000-0000-0000892A0000}"/>
    <cellStyle name="Normal 6 2 2 2 2 6" xfId="10875" xr:uid="{00000000-0005-0000-0000-00008A2A0000}"/>
    <cellStyle name="Normal 6 2 2 2 2 7" xfId="10876" xr:uid="{00000000-0005-0000-0000-00008B2A0000}"/>
    <cellStyle name="Normal 6 2 2 2 3" xfId="10877" xr:uid="{00000000-0005-0000-0000-00008C2A0000}"/>
    <cellStyle name="Normal 6 2 2 2 3 2" xfId="10878" xr:uid="{00000000-0005-0000-0000-00008D2A0000}"/>
    <cellStyle name="Normal 6 2 2 2 3 2 2" xfId="10879" xr:uid="{00000000-0005-0000-0000-00008E2A0000}"/>
    <cellStyle name="Normal 6 2 2 2 3 2 2 2" xfId="10880" xr:uid="{00000000-0005-0000-0000-00008F2A0000}"/>
    <cellStyle name="Normal 6 2 2 2 3 2 2 3" xfId="10881" xr:uid="{00000000-0005-0000-0000-0000902A0000}"/>
    <cellStyle name="Normal 6 2 2 2 3 2 3" xfId="10882" xr:uid="{00000000-0005-0000-0000-0000912A0000}"/>
    <cellStyle name="Normal 6 2 2 2 3 2 4" xfId="10883" xr:uid="{00000000-0005-0000-0000-0000922A0000}"/>
    <cellStyle name="Normal 6 2 2 2 3 3" xfId="10884" xr:uid="{00000000-0005-0000-0000-0000932A0000}"/>
    <cellStyle name="Normal 6 2 2 2 3 3 2" xfId="10885" xr:uid="{00000000-0005-0000-0000-0000942A0000}"/>
    <cellStyle name="Normal 6 2 2 2 3 3 3" xfId="10886" xr:uid="{00000000-0005-0000-0000-0000952A0000}"/>
    <cellStyle name="Normal 6 2 2 2 3 4" xfId="10887" xr:uid="{00000000-0005-0000-0000-0000962A0000}"/>
    <cellStyle name="Normal 6 2 2 2 3 5" xfId="10888" xr:uid="{00000000-0005-0000-0000-0000972A0000}"/>
    <cellStyle name="Normal 6 2 2 2 4" xfId="10889" xr:uid="{00000000-0005-0000-0000-0000982A0000}"/>
    <cellStyle name="Normal 6 2 2 2 4 2" xfId="10890" xr:uid="{00000000-0005-0000-0000-0000992A0000}"/>
    <cellStyle name="Normal 6 2 2 2 4 3" xfId="10891" xr:uid="{00000000-0005-0000-0000-00009A2A0000}"/>
    <cellStyle name="Normal 6 2 2 2 5" xfId="10892" xr:uid="{00000000-0005-0000-0000-00009B2A0000}"/>
    <cellStyle name="Normal 6 2 2 2 5 2" xfId="10893" xr:uid="{00000000-0005-0000-0000-00009C2A0000}"/>
    <cellStyle name="Normal 6 2 2 2 5 3" xfId="10894" xr:uid="{00000000-0005-0000-0000-00009D2A0000}"/>
    <cellStyle name="Normal 6 2 2 2 6" xfId="10895" xr:uid="{00000000-0005-0000-0000-00009E2A0000}"/>
    <cellStyle name="Normal 6 2 2 2 7" xfId="10896" xr:uid="{00000000-0005-0000-0000-00009F2A0000}"/>
    <cellStyle name="Normal 6 2 2 2 8" xfId="10897" xr:uid="{00000000-0005-0000-0000-0000A02A0000}"/>
    <cellStyle name="Normal 6 2 2 2 9" xfId="10898" xr:uid="{00000000-0005-0000-0000-0000A12A0000}"/>
    <cellStyle name="Normal 6 2 2 3" xfId="10899" xr:uid="{00000000-0005-0000-0000-0000A22A0000}"/>
    <cellStyle name="Normal 6 2 2 3 2" xfId="10900" xr:uid="{00000000-0005-0000-0000-0000A32A0000}"/>
    <cellStyle name="Normal 6 2 2 3 2 2" xfId="10901" xr:uid="{00000000-0005-0000-0000-0000A42A0000}"/>
    <cellStyle name="Normal 6 2 2 3 2 2 2" xfId="10902" xr:uid="{00000000-0005-0000-0000-0000A52A0000}"/>
    <cellStyle name="Normal 6 2 2 3 2 2 2 2" xfId="10903" xr:uid="{00000000-0005-0000-0000-0000A62A0000}"/>
    <cellStyle name="Normal 6 2 2 3 2 2 2 3" xfId="10904" xr:uid="{00000000-0005-0000-0000-0000A72A0000}"/>
    <cellStyle name="Normal 6 2 2 3 2 2 3" xfId="10905" xr:uid="{00000000-0005-0000-0000-0000A82A0000}"/>
    <cellStyle name="Normal 6 2 2 3 2 2 4" xfId="10906" xr:uid="{00000000-0005-0000-0000-0000A92A0000}"/>
    <cellStyle name="Normal 6 2 2 3 2 3" xfId="10907" xr:uid="{00000000-0005-0000-0000-0000AA2A0000}"/>
    <cellStyle name="Normal 6 2 2 3 2 3 2" xfId="10908" xr:uid="{00000000-0005-0000-0000-0000AB2A0000}"/>
    <cellStyle name="Normal 6 2 2 3 2 3 2 2" xfId="10909" xr:uid="{00000000-0005-0000-0000-0000AC2A0000}"/>
    <cellStyle name="Normal 6 2 2 3 2 3 2 3" xfId="10910" xr:uid="{00000000-0005-0000-0000-0000AD2A0000}"/>
    <cellStyle name="Normal 6 2 2 3 2 3 3" xfId="10911" xr:uid="{00000000-0005-0000-0000-0000AE2A0000}"/>
    <cellStyle name="Normal 6 2 2 3 2 3 4" xfId="10912" xr:uid="{00000000-0005-0000-0000-0000AF2A0000}"/>
    <cellStyle name="Normal 6 2 2 3 2 4" xfId="10913" xr:uid="{00000000-0005-0000-0000-0000B02A0000}"/>
    <cellStyle name="Normal 6 2 2 3 2 4 2" xfId="10914" xr:uid="{00000000-0005-0000-0000-0000B12A0000}"/>
    <cellStyle name="Normal 6 2 2 3 2 4 3" xfId="10915" xr:uid="{00000000-0005-0000-0000-0000B22A0000}"/>
    <cellStyle name="Normal 6 2 2 3 2 5" xfId="10916" xr:uid="{00000000-0005-0000-0000-0000B32A0000}"/>
    <cellStyle name="Normal 6 2 2 3 2 6" xfId="10917" xr:uid="{00000000-0005-0000-0000-0000B42A0000}"/>
    <cellStyle name="Normal 6 2 2 3 2 7" xfId="10918" xr:uid="{00000000-0005-0000-0000-0000B52A0000}"/>
    <cellStyle name="Normal 6 2 2 3 3" xfId="10919" xr:uid="{00000000-0005-0000-0000-0000B62A0000}"/>
    <cellStyle name="Normal 6 2 2 3 3 2" xfId="10920" xr:uid="{00000000-0005-0000-0000-0000B72A0000}"/>
    <cellStyle name="Normal 6 2 2 3 3 2 2" xfId="10921" xr:uid="{00000000-0005-0000-0000-0000B82A0000}"/>
    <cellStyle name="Normal 6 2 2 3 3 2 2 2" xfId="10922" xr:uid="{00000000-0005-0000-0000-0000B92A0000}"/>
    <cellStyle name="Normal 6 2 2 3 3 2 2 3" xfId="10923" xr:uid="{00000000-0005-0000-0000-0000BA2A0000}"/>
    <cellStyle name="Normal 6 2 2 3 3 2 3" xfId="10924" xr:uid="{00000000-0005-0000-0000-0000BB2A0000}"/>
    <cellStyle name="Normal 6 2 2 3 3 2 4" xfId="10925" xr:uid="{00000000-0005-0000-0000-0000BC2A0000}"/>
    <cellStyle name="Normal 6 2 2 3 3 3" xfId="10926" xr:uid="{00000000-0005-0000-0000-0000BD2A0000}"/>
    <cellStyle name="Normal 6 2 2 3 3 3 2" xfId="10927" xr:uid="{00000000-0005-0000-0000-0000BE2A0000}"/>
    <cellStyle name="Normal 6 2 2 3 3 3 3" xfId="10928" xr:uid="{00000000-0005-0000-0000-0000BF2A0000}"/>
    <cellStyle name="Normal 6 2 2 3 3 4" xfId="10929" xr:uid="{00000000-0005-0000-0000-0000C02A0000}"/>
    <cellStyle name="Normal 6 2 2 3 3 5" xfId="10930" xr:uid="{00000000-0005-0000-0000-0000C12A0000}"/>
    <cellStyle name="Normal 6 2 2 3 4" xfId="10931" xr:uid="{00000000-0005-0000-0000-0000C22A0000}"/>
    <cellStyle name="Normal 6 2 2 3 4 2" xfId="10932" xr:uid="{00000000-0005-0000-0000-0000C32A0000}"/>
    <cellStyle name="Normal 6 2 2 3 4 3" xfId="10933" xr:uid="{00000000-0005-0000-0000-0000C42A0000}"/>
    <cellStyle name="Normal 6 2 2 3 5" xfId="10934" xr:uid="{00000000-0005-0000-0000-0000C52A0000}"/>
    <cellStyle name="Normal 6 2 2 3 5 2" xfId="10935" xr:uid="{00000000-0005-0000-0000-0000C62A0000}"/>
    <cellStyle name="Normal 6 2 2 3 5 3" xfId="10936" xr:uid="{00000000-0005-0000-0000-0000C72A0000}"/>
    <cellStyle name="Normal 6 2 2 3 6" xfId="10937" xr:uid="{00000000-0005-0000-0000-0000C82A0000}"/>
    <cellStyle name="Normal 6 2 2 3 7" xfId="10938" xr:uid="{00000000-0005-0000-0000-0000C92A0000}"/>
    <cellStyle name="Normal 6 2 2 3 8" xfId="10939" xr:uid="{00000000-0005-0000-0000-0000CA2A0000}"/>
    <cellStyle name="Normal 6 2 2 3 9" xfId="10940" xr:uid="{00000000-0005-0000-0000-0000CB2A0000}"/>
    <cellStyle name="Normal 6 2 2 4" xfId="10941" xr:uid="{00000000-0005-0000-0000-0000CC2A0000}"/>
    <cellStyle name="Normal 6 2 2 4 2" xfId="10942" xr:uid="{00000000-0005-0000-0000-0000CD2A0000}"/>
    <cellStyle name="Normal 6 2 2 4 2 2" xfId="10943" xr:uid="{00000000-0005-0000-0000-0000CE2A0000}"/>
    <cellStyle name="Normal 6 2 2 4 2 2 2" xfId="10944" xr:uid="{00000000-0005-0000-0000-0000CF2A0000}"/>
    <cellStyle name="Normal 6 2 2 4 2 2 2 2" xfId="10945" xr:uid="{00000000-0005-0000-0000-0000D02A0000}"/>
    <cellStyle name="Normal 6 2 2 4 2 2 2 3" xfId="10946" xr:uid="{00000000-0005-0000-0000-0000D12A0000}"/>
    <cellStyle name="Normal 6 2 2 4 2 2 3" xfId="10947" xr:uid="{00000000-0005-0000-0000-0000D22A0000}"/>
    <cellStyle name="Normal 6 2 2 4 2 2 4" xfId="10948" xr:uid="{00000000-0005-0000-0000-0000D32A0000}"/>
    <cellStyle name="Normal 6 2 2 4 2 3" xfId="10949" xr:uid="{00000000-0005-0000-0000-0000D42A0000}"/>
    <cellStyle name="Normal 6 2 2 4 2 3 2" xfId="10950" xr:uid="{00000000-0005-0000-0000-0000D52A0000}"/>
    <cellStyle name="Normal 6 2 2 4 2 3 2 2" xfId="10951" xr:uid="{00000000-0005-0000-0000-0000D62A0000}"/>
    <cellStyle name="Normal 6 2 2 4 2 3 2 3" xfId="10952" xr:uid="{00000000-0005-0000-0000-0000D72A0000}"/>
    <cellStyle name="Normal 6 2 2 4 2 3 3" xfId="10953" xr:uid="{00000000-0005-0000-0000-0000D82A0000}"/>
    <cellStyle name="Normal 6 2 2 4 2 3 4" xfId="10954" xr:uid="{00000000-0005-0000-0000-0000D92A0000}"/>
    <cellStyle name="Normal 6 2 2 4 2 4" xfId="10955" xr:uid="{00000000-0005-0000-0000-0000DA2A0000}"/>
    <cellStyle name="Normal 6 2 2 4 2 4 2" xfId="10956" xr:uid="{00000000-0005-0000-0000-0000DB2A0000}"/>
    <cellStyle name="Normal 6 2 2 4 2 4 3" xfId="10957" xr:uid="{00000000-0005-0000-0000-0000DC2A0000}"/>
    <cellStyle name="Normal 6 2 2 4 2 5" xfId="10958" xr:uid="{00000000-0005-0000-0000-0000DD2A0000}"/>
    <cellStyle name="Normal 6 2 2 4 2 6" xfId="10959" xr:uid="{00000000-0005-0000-0000-0000DE2A0000}"/>
    <cellStyle name="Normal 6 2 2 4 2 7" xfId="10960" xr:uid="{00000000-0005-0000-0000-0000DF2A0000}"/>
    <cellStyle name="Normal 6 2 2 4 3" xfId="10961" xr:uid="{00000000-0005-0000-0000-0000E02A0000}"/>
    <cellStyle name="Normal 6 2 2 4 3 2" xfId="10962" xr:uid="{00000000-0005-0000-0000-0000E12A0000}"/>
    <cellStyle name="Normal 6 2 2 4 3 2 2" xfId="10963" xr:uid="{00000000-0005-0000-0000-0000E22A0000}"/>
    <cellStyle name="Normal 6 2 2 4 3 2 2 2" xfId="10964" xr:uid="{00000000-0005-0000-0000-0000E32A0000}"/>
    <cellStyle name="Normal 6 2 2 4 3 2 2 3" xfId="10965" xr:uid="{00000000-0005-0000-0000-0000E42A0000}"/>
    <cellStyle name="Normal 6 2 2 4 3 2 3" xfId="10966" xr:uid="{00000000-0005-0000-0000-0000E52A0000}"/>
    <cellStyle name="Normal 6 2 2 4 3 2 4" xfId="10967" xr:uid="{00000000-0005-0000-0000-0000E62A0000}"/>
    <cellStyle name="Normal 6 2 2 4 3 3" xfId="10968" xr:uid="{00000000-0005-0000-0000-0000E72A0000}"/>
    <cellStyle name="Normal 6 2 2 4 3 3 2" xfId="10969" xr:uid="{00000000-0005-0000-0000-0000E82A0000}"/>
    <cellStyle name="Normal 6 2 2 4 3 3 3" xfId="10970" xr:uid="{00000000-0005-0000-0000-0000E92A0000}"/>
    <cellStyle name="Normal 6 2 2 4 3 4" xfId="10971" xr:uid="{00000000-0005-0000-0000-0000EA2A0000}"/>
    <cellStyle name="Normal 6 2 2 4 3 5" xfId="10972" xr:uid="{00000000-0005-0000-0000-0000EB2A0000}"/>
    <cellStyle name="Normal 6 2 2 4 4" xfId="10973" xr:uid="{00000000-0005-0000-0000-0000EC2A0000}"/>
    <cellStyle name="Normal 6 2 2 4 4 2" xfId="10974" xr:uid="{00000000-0005-0000-0000-0000ED2A0000}"/>
    <cellStyle name="Normal 6 2 2 4 4 3" xfId="10975" xr:uid="{00000000-0005-0000-0000-0000EE2A0000}"/>
    <cellStyle name="Normal 6 2 2 4 5" xfId="10976" xr:uid="{00000000-0005-0000-0000-0000EF2A0000}"/>
    <cellStyle name="Normal 6 2 2 4 5 2" xfId="10977" xr:uid="{00000000-0005-0000-0000-0000F02A0000}"/>
    <cellStyle name="Normal 6 2 2 4 5 3" xfId="10978" xr:uid="{00000000-0005-0000-0000-0000F12A0000}"/>
    <cellStyle name="Normal 6 2 2 4 6" xfId="10979" xr:uid="{00000000-0005-0000-0000-0000F22A0000}"/>
    <cellStyle name="Normal 6 2 2 4 7" xfId="10980" xr:uid="{00000000-0005-0000-0000-0000F32A0000}"/>
    <cellStyle name="Normal 6 2 2 4 8" xfId="10981" xr:uid="{00000000-0005-0000-0000-0000F42A0000}"/>
    <cellStyle name="Normal 6 2 2 4 9" xfId="10982" xr:uid="{00000000-0005-0000-0000-0000F52A0000}"/>
    <cellStyle name="Normal 6 2 2 5" xfId="10983" xr:uid="{00000000-0005-0000-0000-0000F62A0000}"/>
    <cellStyle name="Normal 6 2 2 5 2" xfId="10984" xr:uid="{00000000-0005-0000-0000-0000F72A0000}"/>
    <cellStyle name="Normal 6 2 2 5 2 2" xfId="10985" xr:uid="{00000000-0005-0000-0000-0000F82A0000}"/>
    <cellStyle name="Normal 6 2 2 5 2 2 2" xfId="10986" xr:uid="{00000000-0005-0000-0000-0000F92A0000}"/>
    <cellStyle name="Normal 6 2 2 5 2 2 2 2" xfId="10987" xr:uid="{00000000-0005-0000-0000-0000FA2A0000}"/>
    <cellStyle name="Normal 6 2 2 5 2 2 2 3" xfId="10988" xr:uid="{00000000-0005-0000-0000-0000FB2A0000}"/>
    <cellStyle name="Normal 6 2 2 5 2 2 3" xfId="10989" xr:uid="{00000000-0005-0000-0000-0000FC2A0000}"/>
    <cellStyle name="Normal 6 2 2 5 2 2 4" xfId="10990" xr:uid="{00000000-0005-0000-0000-0000FD2A0000}"/>
    <cellStyle name="Normal 6 2 2 5 2 3" xfId="10991" xr:uid="{00000000-0005-0000-0000-0000FE2A0000}"/>
    <cellStyle name="Normal 6 2 2 5 2 3 2" xfId="10992" xr:uid="{00000000-0005-0000-0000-0000FF2A0000}"/>
    <cellStyle name="Normal 6 2 2 5 2 3 2 2" xfId="10993" xr:uid="{00000000-0005-0000-0000-0000002B0000}"/>
    <cellStyle name="Normal 6 2 2 5 2 3 2 3" xfId="10994" xr:uid="{00000000-0005-0000-0000-0000012B0000}"/>
    <cellStyle name="Normal 6 2 2 5 2 3 3" xfId="10995" xr:uid="{00000000-0005-0000-0000-0000022B0000}"/>
    <cellStyle name="Normal 6 2 2 5 2 3 4" xfId="10996" xr:uid="{00000000-0005-0000-0000-0000032B0000}"/>
    <cellStyle name="Normal 6 2 2 5 2 4" xfId="10997" xr:uid="{00000000-0005-0000-0000-0000042B0000}"/>
    <cellStyle name="Normal 6 2 2 5 2 4 2" xfId="10998" xr:uid="{00000000-0005-0000-0000-0000052B0000}"/>
    <cellStyle name="Normal 6 2 2 5 2 4 3" xfId="10999" xr:uid="{00000000-0005-0000-0000-0000062B0000}"/>
    <cellStyle name="Normal 6 2 2 5 2 5" xfId="11000" xr:uid="{00000000-0005-0000-0000-0000072B0000}"/>
    <cellStyle name="Normal 6 2 2 5 2 6" xfId="11001" xr:uid="{00000000-0005-0000-0000-0000082B0000}"/>
    <cellStyle name="Normal 6 2 2 5 2 7" xfId="11002" xr:uid="{00000000-0005-0000-0000-0000092B0000}"/>
    <cellStyle name="Normal 6 2 2 5 3" xfId="11003" xr:uid="{00000000-0005-0000-0000-00000A2B0000}"/>
    <cellStyle name="Normal 6 2 2 5 3 2" xfId="11004" xr:uid="{00000000-0005-0000-0000-00000B2B0000}"/>
    <cellStyle name="Normal 6 2 2 5 3 2 2" xfId="11005" xr:uid="{00000000-0005-0000-0000-00000C2B0000}"/>
    <cellStyle name="Normal 6 2 2 5 3 2 2 2" xfId="11006" xr:uid="{00000000-0005-0000-0000-00000D2B0000}"/>
    <cellStyle name="Normal 6 2 2 5 3 2 2 3" xfId="11007" xr:uid="{00000000-0005-0000-0000-00000E2B0000}"/>
    <cellStyle name="Normal 6 2 2 5 3 2 3" xfId="11008" xr:uid="{00000000-0005-0000-0000-00000F2B0000}"/>
    <cellStyle name="Normal 6 2 2 5 3 2 4" xfId="11009" xr:uid="{00000000-0005-0000-0000-0000102B0000}"/>
    <cellStyle name="Normal 6 2 2 5 3 3" xfId="11010" xr:uid="{00000000-0005-0000-0000-0000112B0000}"/>
    <cellStyle name="Normal 6 2 2 5 3 3 2" xfId="11011" xr:uid="{00000000-0005-0000-0000-0000122B0000}"/>
    <cellStyle name="Normal 6 2 2 5 3 3 3" xfId="11012" xr:uid="{00000000-0005-0000-0000-0000132B0000}"/>
    <cellStyle name="Normal 6 2 2 5 3 4" xfId="11013" xr:uid="{00000000-0005-0000-0000-0000142B0000}"/>
    <cellStyle name="Normal 6 2 2 5 3 5" xfId="11014" xr:uid="{00000000-0005-0000-0000-0000152B0000}"/>
    <cellStyle name="Normal 6 2 2 5 4" xfId="11015" xr:uid="{00000000-0005-0000-0000-0000162B0000}"/>
    <cellStyle name="Normal 6 2 2 5 4 2" xfId="11016" xr:uid="{00000000-0005-0000-0000-0000172B0000}"/>
    <cellStyle name="Normal 6 2 2 5 4 3" xfId="11017" xr:uid="{00000000-0005-0000-0000-0000182B0000}"/>
    <cellStyle name="Normal 6 2 2 5 5" xfId="11018" xr:uid="{00000000-0005-0000-0000-0000192B0000}"/>
    <cellStyle name="Normal 6 2 2 5 5 2" xfId="11019" xr:uid="{00000000-0005-0000-0000-00001A2B0000}"/>
    <cellStyle name="Normal 6 2 2 5 5 3" xfId="11020" xr:uid="{00000000-0005-0000-0000-00001B2B0000}"/>
    <cellStyle name="Normal 6 2 2 5 6" xfId="11021" xr:uid="{00000000-0005-0000-0000-00001C2B0000}"/>
    <cellStyle name="Normal 6 2 2 5 7" xfId="11022" xr:uid="{00000000-0005-0000-0000-00001D2B0000}"/>
    <cellStyle name="Normal 6 2 2 5 8" xfId="11023" xr:uid="{00000000-0005-0000-0000-00001E2B0000}"/>
    <cellStyle name="Normal 6 2 2 5 9" xfId="11024" xr:uid="{00000000-0005-0000-0000-00001F2B0000}"/>
    <cellStyle name="Normal 6 2 2 6" xfId="11025" xr:uid="{00000000-0005-0000-0000-0000202B0000}"/>
    <cellStyle name="Normal 6 2 2 6 2" xfId="11026" xr:uid="{00000000-0005-0000-0000-0000212B0000}"/>
    <cellStyle name="Normal 6 2 2 6 2 2" xfId="11027" xr:uid="{00000000-0005-0000-0000-0000222B0000}"/>
    <cellStyle name="Normal 6 2 2 6 2 2 2" xfId="11028" xr:uid="{00000000-0005-0000-0000-0000232B0000}"/>
    <cellStyle name="Normal 6 2 2 6 2 2 2 2" xfId="11029" xr:uid="{00000000-0005-0000-0000-0000242B0000}"/>
    <cellStyle name="Normal 6 2 2 6 2 2 2 3" xfId="11030" xr:uid="{00000000-0005-0000-0000-0000252B0000}"/>
    <cellStyle name="Normal 6 2 2 6 2 2 3" xfId="11031" xr:uid="{00000000-0005-0000-0000-0000262B0000}"/>
    <cellStyle name="Normal 6 2 2 6 2 2 4" xfId="11032" xr:uid="{00000000-0005-0000-0000-0000272B0000}"/>
    <cellStyle name="Normal 6 2 2 6 2 3" xfId="11033" xr:uid="{00000000-0005-0000-0000-0000282B0000}"/>
    <cellStyle name="Normal 6 2 2 6 2 3 2" xfId="11034" xr:uid="{00000000-0005-0000-0000-0000292B0000}"/>
    <cellStyle name="Normal 6 2 2 6 2 3 2 2" xfId="11035" xr:uid="{00000000-0005-0000-0000-00002A2B0000}"/>
    <cellStyle name="Normal 6 2 2 6 2 3 2 3" xfId="11036" xr:uid="{00000000-0005-0000-0000-00002B2B0000}"/>
    <cellStyle name="Normal 6 2 2 6 2 3 3" xfId="11037" xr:uid="{00000000-0005-0000-0000-00002C2B0000}"/>
    <cellStyle name="Normal 6 2 2 6 2 3 4" xfId="11038" xr:uid="{00000000-0005-0000-0000-00002D2B0000}"/>
    <cellStyle name="Normal 6 2 2 6 2 4" xfId="11039" xr:uid="{00000000-0005-0000-0000-00002E2B0000}"/>
    <cellStyle name="Normal 6 2 2 6 2 4 2" xfId="11040" xr:uid="{00000000-0005-0000-0000-00002F2B0000}"/>
    <cellStyle name="Normal 6 2 2 6 2 4 3" xfId="11041" xr:uid="{00000000-0005-0000-0000-0000302B0000}"/>
    <cellStyle name="Normal 6 2 2 6 2 5" xfId="11042" xr:uid="{00000000-0005-0000-0000-0000312B0000}"/>
    <cellStyle name="Normal 6 2 2 6 2 6" xfId="11043" xr:uid="{00000000-0005-0000-0000-0000322B0000}"/>
    <cellStyle name="Normal 6 2 2 6 2 7" xfId="11044" xr:uid="{00000000-0005-0000-0000-0000332B0000}"/>
    <cellStyle name="Normal 6 2 2 6 3" xfId="11045" xr:uid="{00000000-0005-0000-0000-0000342B0000}"/>
    <cellStyle name="Normal 6 2 2 6 3 2" xfId="11046" xr:uid="{00000000-0005-0000-0000-0000352B0000}"/>
    <cellStyle name="Normal 6 2 2 6 3 2 2" xfId="11047" xr:uid="{00000000-0005-0000-0000-0000362B0000}"/>
    <cellStyle name="Normal 6 2 2 6 3 2 2 2" xfId="11048" xr:uid="{00000000-0005-0000-0000-0000372B0000}"/>
    <cellStyle name="Normal 6 2 2 6 3 2 2 3" xfId="11049" xr:uid="{00000000-0005-0000-0000-0000382B0000}"/>
    <cellStyle name="Normal 6 2 2 6 3 2 3" xfId="11050" xr:uid="{00000000-0005-0000-0000-0000392B0000}"/>
    <cellStyle name="Normal 6 2 2 6 3 2 4" xfId="11051" xr:uid="{00000000-0005-0000-0000-00003A2B0000}"/>
    <cellStyle name="Normal 6 2 2 6 3 3" xfId="11052" xr:uid="{00000000-0005-0000-0000-00003B2B0000}"/>
    <cellStyle name="Normal 6 2 2 6 3 3 2" xfId="11053" xr:uid="{00000000-0005-0000-0000-00003C2B0000}"/>
    <cellStyle name="Normal 6 2 2 6 3 3 3" xfId="11054" xr:uid="{00000000-0005-0000-0000-00003D2B0000}"/>
    <cellStyle name="Normal 6 2 2 6 3 4" xfId="11055" xr:uid="{00000000-0005-0000-0000-00003E2B0000}"/>
    <cellStyle name="Normal 6 2 2 6 3 5" xfId="11056" xr:uid="{00000000-0005-0000-0000-00003F2B0000}"/>
    <cellStyle name="Normal 6 2 2 6 4" xfId="11057" xr:uid="{00000000-0005-0000-0000-0000402B0000}"/>
    <cellStyle name="Normal 6 2 2 6 4 2" xfId="11058" xr:uid="{00000000-0005-0000-0000-0000412B0000}"/>
    <cellStyle name="Normal 6 2 2 6 4 3" xfId="11059" xr:uid="{00000000-0005-0000-0000-0000422B0000}"/>
    <cellStyle name="Normal 6 2 2 6 5" xfId="11060" xr:uid="{00000000-0005-0000-0000-0000432B0000}"/>
    <cellStyle name="Normal 6 2 2 6 5 2" xfId="11061" xr:uid="{00000000-0005-0000-0000-0000442B0000}"/>
    <cellStyle name="Normal 6 2 2 6 5 3" xfId="11062" xr:uid="{00000000-0005-0000-0000-0000452B0000}"/>
    <cellStyle name="Normal 6 2 2 6 6" xfId="11063" xr:uid="{00000000-0005-0000-0000-0000462B0000}"/>
    <cellStyle name="Normal 6 2 2 6 7" xfId="11064" xr:uid="{00000000-0005-0000-0000-0000472B0000}"/>
    <cellStyle name="Normal 6 2 2 6 8" xfId="11065" xr:uid="{00000000-0005-0000-0000-0000482B0000}"/>
    <cellStyle name="Normal 6 2 2 6 9" xfId="11066" xr:uid="{00000000-0005-0000-0000-0000492B0000}"/>
    <cellStyle name="Normal 6 2 2 7" xfId="11067" xr:uid="{00000000-0005-0000-0000-00004A2B0000}"/>
    <cellStyle name="Normal 6 2 2 7 2" xfId="11068" xr:uid="{00000000-0005-0000-0000-00004B2B0000}"/>
    <cellStyle name="Normal 6 2 2 7 2 2" xfId="11069" xr:uid="{00000000-0005-0000-0000-00004C2B0000}"/>
    <cellStyle name="Normal 6 2 2 7 2 2 2" xfId="11070" xr:uid="{00000000-0005-0000-0000-00004D2B0000}"/>
    <cellStyle name="Normal 6 2 2 7 2 2 2 2" xfId="11071" xr:uid="{00000000-0005-0000-0000-00004E2B0000}"/>
    <cellStyle name="Normal 6 2 2 7 2 2 2 3" xfId="11072" xr:uid="{00000000-0005-0000-0000-00004F2B0000}"/>
    <cellStyle name="Normal 6 2 2 7 2 2 3" xfId="11073" xr:uid="{00000000-0005-0000-0000-0000502B0000}"/>
    <cellStyle name="Normal 6 2 2 7 2 2 4" xfId="11074" xr:uid="{00000000-0005-0000-0000-0000512B0000}"/>
    <cellStyle name="Normal 6 2 2 7 2 3" xfId="11075" xr:uid="{00000000-0005-0000-0000-0000522B0000}"/>
    <cellStyle name="Normal 6 2 2 7 2 3 2" xfId="11076" xr:uid="{00000000-0005-0000-0000-0000532B0000}"/>
    <cellStyle name="Normal 6 2 2 7 2 3 2 2" xfId="11077" xr:uid="{00000000-0005-0000-0000-0000542B0000}"/>
    <cellStyle name="Normal 6 2 2 7 2 3 2 3" xfId="11078" xr:uid="{00000000-0005-0000-0000-0000552B0000}"/>
    <cellStyle name="Normal 6 2 2 7 2 3 3" xfId="11079" xr:uid="{00000000-0005-0000-0000-0000562B0000}"/>
    <cellStyle name="Normal 6 2 2 7 2 3 4" xfId="11080" xr:uid="{00000000-0005-0000-0000-0000572B0000}"/>
    <cellStyle name="Normal 6 2 2 7 2 4" xfId="11081" xr:uid="{00000000-0005-0000-0000-0000582B0000}"/>
    <cellStyle name="Normal 6 2 2 7 2 4 2" xfId="11082" xr:uid="{00000000-0005-0000-0000-0000592B0000}"/>
    <cellStyle name="Normal 6 2 2 7 2 4 3" xfId="11083" xr:uid="{00000000-0005-0000-0000-00005A2B0000}"/>
    <cellStyle name="Normal 6 2 2 7 2 5" xfId="11084" xr:uid="{00000000-0005-0000-0000-00005B2B0000}"/>
    <cellStyle name="Normal 6 2 2 7 2 6" xfId="11085" xr:uid="{00000000-0005-0000-0000-00005C2B0000}"/>
    <cellStyle name="Normal 6 2 2 7 2 7" xfId="11086" xr:uid="{00000000-0005-0000-0000-00005D2B0000}"/>
    <cellStyle name="Normal 6 2 2 7 3" xfId="11087" xr:uid="{00000000-0005-0000-0000-00005E2B0000}"/>
    <cellStyle name="Normal 6 2 2 7 3 2" xfId="11088" xr:uid="{00000000-0005-0000-0000-00005F2B0000}"/>
    <cellStyle name="Normal 6 2 2 7 3 2 2" xfId="11089" xr:uid="{00000000-0005-0000-0000-0000602B0000}"/>
    <cellStyle name="Normal 6 2 2 7 3 2 2 2" xfId="11090" xr:uid="{00000000-0005-0000-0000-0000612B0000}"/>
    <cellStyle name="Normal 6 2 2 7 3 2 2 3" xfId="11091" xr:uid="{00000000-0005-0000-0000-0000622B0000}"/>
    <cellStyle name="Normal 6 2 2 7 3 2 3" xfId="11092" xr:uid="{00000000-0005-0000-0000-0000632B0000}"/>
    <cellStyle name="Normal 6 2 2 7 3 2 4" xfId="11093" xr:uid="{00000000-0005-0000-0000-0000642B0000}"/>
    <cellStyle name="Normal 6 2 2 7 3 3" xfId="11094" xr:uid="{00000000-0005-0000-0000-0000652B0000}"/>
    <cellStyle name="Normal 6 2 2 7 3 3 2" xfId="11095" xr:uid="{00000000-0005-0000-0000-0000662B0000}"/>
    <cellStyle name="Normal 6 2 2 7 3 3 3" xfId="11096" xr:uid="{00000000-0005-0000-0000-0000672B0000}"/>
    <cellStyle name="Normal 6 2 2 7 3 4" xfId="11097" xr:uid="{00000000-0005-0000-0000-0000682B0000}"/>
    <cellStyle name="Normal 6 2 2 7 3 5" xfId="11098" xr:uid="{00000000-0005-0000-0000-0000692B0000}"/>
    <cellStyle name="Normal 6 2 2 7 4" xfId="11099" xr:uid="{00000000-0005-0000-0000-00006A2B0000}"/>
    <cellStyle name="Normal 6 2 2 7 4 2" xfId="11100" xr:uid="{00000000-0005-0000-0000-00006B2B0000}"/>
    <cellStyle name="Normal 6 2 2 7 4 3" xfId="11101" xr:uid="{00000000-0005-0000-0000-00006C2B0000}"/>
    <cellStyle name="Normal 6 2 2 7 5" xfId="11102" xr:uid="{00000000-0005-0000-0000-00006D2B0000}"/>
    <cellStyle name="Normal 6 2 2 7 5 2" xfId="11103" xr:uid="{00000000-0005-0000-0000-00006E2B0000}"/>
    <cellStyle name="Normal 6 2 2 7 5 3" xfId="11104" xr:uid="{00000000-0005-0000-0000-00006F2B0000}"/>
    <cellStyle name="Normal 6 2 2 7 6" xfId="11105" xr:uid="{00000000-0005-0000-0000-0000702B0000}"/>
    <cellStyle name="Normal 6 2 2 7 7" xfId="11106" xr:uid="{00000000-0005-0000-0000-0000712B0000}"/>
    <cellStyle name="Normal 6 2 2 7 8" xfId="11107" xr:uid="{00000000-0005-0000-0000-0000722B0000}"/>
    <cellStyle name="Normal 6 2 2 7 9" xfId="11108" xr:uid="{00000000-0005-0000-0000-0000732B0000}"/>
    <cellStyle name="Normal 6 2 2 8" xfId="11109" xr:uid="{00000000-0005-0000-0000-0000742B0000}"/>
    <cellStyle name="Normal 6 2 2 8 2" xfId="11110" xr:uid="{00000000-0005-0000-0000-0000752B0000}"/>
    <cellStyle name="Normal 6 2 2 8 2 2" xfId="11111" xr:uid="{00000000-0005-0000-0000-0000762B0000}"/>
    <cellStyle name="Normal 6 2 2 8 2 2 2" xfId="11112" xr:uid="{00000000-0005-0000-0000-0000772B0000}"/>
    <cellStyle name="Normal 6 2 2 8 2 2 2 2" xfId="11113" xr:uid="{00000000-0005-0000-0000-0000782B0000}"/>
    <cellStyle name="Normal 6 2 2 8 2 2 2 3" xfId="11114" xr:uid="{00000000-0005-0000-0000-0000792B0000}"/>
    <cellStyle name="Normal 6 2 2 8 2 2 3" xfId="11115" xr:uid="{00000000-0005-0000-0000-00007A2B0000}"/>
    <cellStyle name="Normal 6 2 2 8 2 2 4" xfId="11116" xr:uid="{00000000-0005-0000-0000-00007B2B0000}"/>
    <cellStyle name="Normal 6 2 2 8 2 3" xfId="11117" xr:uid="{00000000-0005-0000-0000-00007C2B0000}"/>
    <cellStyle name="Normal 6 2 2 8 2 3 2" xfId="11118" xr:uid="{00000000-0005-0000-0000-00007D2B0000}"/>
    <cellStyle name="Normal 6 2 2 8 2 3 2 2" xfId="11119" xr:uid="{00000000-0005-0000-0000-00007E2B0000}"/>
    <cellStyle name="Normal 6 2 2 8 2 3 2 3" xfId="11120" xr:uid="{00000000-0005-0000-0000-00007F2B0000}"/>
    <cellStyle name="Normal 6 2 2 8 2 3 3" xfId="11121" xr:uid="{00000000-0005-0000-0000-0000802B0000}"/>
    <cellStyle name="Normal 6 2 2 8 2 3 4" xfId="11122" xr:uid="{00000000-0005-0000-0000-0000812B0000}"/>
    <cellStyle name="Normal 6 2 2 8 2 4" xfId="11123" xr:uid="{00000000-0005-0000-0000-0000822B0000}"/>
    <cellStyle name="Normal 6 2 2 8 2 4 2" xfId="11124" xr:uid="{00000000-0005-0000-0000-0000832B0000}"/>
    <cellStyle name="Normal 6 2 2 8 2 4 3" xfId="11125" xr:uid="{00000000-0005-0000-0000-0000842B0000}"/>
    <cellStyle name="Normal 6 2 2 8 2 5" xfId="11126" xr:uid="{00000000-0005-0000-0000-0000852B0000}"/>
    <cellStyle name="Normal 6 2 2 8 2 6" xfId="11127" xr:uid="{00000000-0005-0000-0000-0000862B0000}"/>
    <cellStyle name="Normal 6 2 2 8 2 7" xfId="11128" xr:uid="{00000000-0005-0000-0000-0000872B0000}"/>
    <cellStyle name="Normal 6 2 2 8 3" xfId="11129" xr:uid="{00000000-0005-0000-0000-0000882B0000}"/>
    <cellStyle name="Normal 6 2 2 8 3 2" xfId="11130" xr:uid="{00000000-0005-0000-0000-0000892B0000}"/>
    <cellStyle name="Normal 6 2 2 8 3 2 2" xfId="11131" xr:uid="{00000000-0005-0000-0000-00008A2B0000}"/>
    <cellStyle name="Normal 6 2 2 8 3 2 2 2" xfId="11132" xr:uid="{00000000-0005-0000-0000-00008B2B0000}"/>
    <cellStyle name="Normal 6 2 2 8 3 2 2 3" xfId="11133" xr:uid="{00000000-0005-0000-0000-00008C2B0000}"/>
    <cellStyle name="Normal 6 2 2 8 3 2 3" xfId="11134" xr:uid="{00000000-0005-0000-0000-00008D2B0000}"/>
    <cellStyle name="Normal 6 2 2 8 3 2 4" xfId="11135" xr:uid="{00000000-0005-0000-0000-00008E2B0000}"/>
    <cellStyle name="Normal 6 2 2 8 3 3" xfId="11136" xr:uid="{00000000-0005-0000-0000-00008F2B0000}"/>
    <cellStyle name="Normal 6 2 2 8 3 3 2" xfId="11137" xr:uid="{00000000-0005-0000-0000-0000902B0000}"/>
    <cellStyle name="Normal 6 2 2 8 3 3 3" xfId="11138" xr:uid="{00000000-0005-0000-0000-0000912B0000}"/>
    <cellStyle name="Normal 6 2 2 8 3 4" xfId="11139" xr:uid="{00000000-0005-0000-0000-0000922B0000}"/>
    <cellStyle name="Normal 6 2 2 8 3 5" xfId="11140" xr:uid="{00000000-0005-0000-0000-0000932B0000}"/>
    <cellStyle name="Normal 6 2 2 8 4" xfId="11141" xr:uid="{00000000-0005-0000-0000-0000942B0000}"/>
    <cellStyle name="Normal 6 2 2 8 4 2" xfId="11142" xr:uid="{00000000-0005-0000-0000-0000952B0000}"/>
    <cellStyle name="Normal 6 2 2 8 4 3" xfId="11143" xr:uid="{00000000-0005-0000-0000-0000962B0000}"/>
    <cellStyle name="Normal 6 2 2 8 5" xfId="11144" xr:uid="{00000000-0005-0000-0000-0000972B0000}"/>
    <cellStyle name="Normal 6 2 2 8 5 2" xfId="11145" xr:uid="{00000000-0005-0000-0000-0000982B0000}"/>
    <cellStyle name="Normal 6 2 2 8 5 3" xfId="11146" xr:uid="{00000000-0005-0000-0000-0000992B0000}"/>
    <cellStyle name="Normal 6 2 2 8 6" xfId="11147" xr:uid="{00000000-0005-0000-0000-00009A2B0000}"/>
    <cellStyle name="Normal 6 2 2 8 7" xfId="11148" xr:uid="{00000000-0005-0000-0000-00009B2B0000}"/>
    <cellStyle name="Normal 6 2 2 8 8" xfId="11149" xr:uid="{00000000-0005-0000-0000-00009C2B0000}"/>
    <cellStyle name="Normal 6 2 2 8 9" xfId="11150" xr:uid="{00000000-0005-0000-0000-00009D2B0000}"/>
    <cellStyle name="Normal 6 2 2 9" xfId="11151" xr:uid="{00000000-0005-0000-0000-00009E2B0000}"/>
    <cellStyle name="Normal 6 2 2 9 2" xfId="11152" xr:uid="{00000000-0005-0000-0000-00009F2B0000}"/>
    <cellStyle name="Normal 6 2 2 9 2 2" xfId="11153" xr:uid="{00000000-0005-0000-0000-0000A02B0000}"/>
    <cellStyle name="Normal 6 2 2 9 2 2 2" xfId="11154" xr:uid="{00000000-0005-0000-0000-0000A12B0000}"/>
    <cellStyle name="Normal 6 2 2 9 2 2 2 2" xfId="11155" xr:uid="{00000000-0005-0000-0000-0000A22B0000}"/>
    <cellStyle name="Normal 6 2 2 9 2 2 2 3" xfId="11156" xr:uid="{00000000-0005-0000-0000-0000A32B0000}"/>
    <cellStyle name="Normal 6 2 2 9 2 2 3" xfId="11157" xr:uid="{00000000-0005-0000-0000-0000A42B0000}"/>
    <cellStyle name="Normal 6 2 2 9 2 2 4" xfId="11158" xr:uid="{00000000-0005-0000-0000-0000A52B0000}"/>
    <cellStyle name="Normal 6 2 2 9 2 3" xfId="11159" xr:uid="{00000000-0005-0000-0000-0000A62B0000}"/>
    <cellStyle name="Normal 6 2 2 9 2 3 2" xfId="11160" xr:uid="{00000000-0005-0000-0000-0000A72B0000}"/>
    <cellStyle name="Normal 6 2 2 9 2 3 2 2" xfId="11161" xr:uid="{00000000-0005-0000-0000-0000A82B0000}"/>
    <cellStyle name="Normal 6 2 2 9 2 3 2 3" xfId="11162" xr:uid="{00000000-0005-0000-0000-0000A92B0000}"/>
    <cellStyle name="Normal 6 2 2 9 2 3 3" xfId="11163" xr:uid="{00000000-0005-0000-0000-0000AA2B0000}"/>
    <cellStyle name="Normal 6 2 2 9 2 3 4" xfId="11164" xr:uid="{00000000-0005-0000-0000-0000AB2B0000}"/>
    <cellStyle name="Normal 6 2 2 9 2 4" xfId="11165" xr:uid="{00000000-0005-0000-0000-0000AC2B0000}"/>
    <cellStyle name="Normal 6 2 2 9 2 4 2" xfId="11166" xr:uid="{00000000-0005-0000-0000-0000AD2B0000}"/>
    <cellStyle name="Normal 6 2 2 9 2 4 3" xfId="11167" xr:uid="{00000000-0005-0000-0000-0000AE2B0000}"/>
    <cellStyle name="Normal 6 2 2 9 2 5" xfId="11168" xr:uid="{00000000-0005-0000-0000-0000AF2B0000}"/>
    <cellStyle name="Normal 6 2 2 9 2 6" xfId="11169" xr:uid="{00000000-0005-0000-0000-0000B02B0000}"/>
    <cellStyle name="Normal 6 2 2 9 2 7" xfId="11170" xr:uid="{00000000-0005-0000-0000-0000B12B0000}"/>
    <cellStyle name="Normal 6 2 2 9 3" xfId="11171" xr:uid="{00000000-0005-0000-0000-0000B22B0000}"/>
    <cellStyle name="Normal 6 2 2 9 3 2" xfId="11172" xr:uid="{00000000-0005-0000-0000-0000B32B0000}"/>
    <cellStyle name="Normal 6 2 2 9 3 2 2" xfId="11173" xr:uid="{00000000-0005-0000-0000-0000B42B0000}"/>
    <cellStyle name="Normal 6 2 2 9 3 2 2 2" xfId="11174" xr:uid="{00000000-0005-0000-0000-0000B52B0000}"/>
    <cellStyle name="Normal 6 2 2 9 3 2 2 3" xfId="11175" xr:uid="{00000000-0005-0000-0000-0000B62B0000}"/>
    <cellStyle name="Normal 6 2 2 9 3 2 3" xfId="11176" xr:uid="{00000000-0005-0000-0000-0000B72B0000}"/>
    <cellStyle name="Normal 6 2 2 9 3 2 4" xfId="11177" xr:uid="{00000000-0005-0000-0000-0000B82B0000}"/>
    <cellStyle name="Normal 6 2 2 9 3 3" xfId="11178" xr:uid="{00000000-0005-0000-0000-0000B92B0000}"/>
    <cellStyle name="Normal 6 2 2 9 3 3 2" xfId="11179" xr:uid="{00000000-0005-0000-0000-0000BA2B0000}"/>
    <cellStyle name="Normal 6 2 2 9 3 3 3" xfId="11180" xr:uid="{00000000-0005-0000-0000-0000BB2B0000}"/>
    <cellStyle name="Normal 6 2 2 9 3 4" xfId="11181" xr:uid="{00000000-0005-0000-0000-0000BC2B0000}"/>
    <cellStyle name="Normal 6 2 2 9 3 5" xfId="11182" xr:uid="{00000000-0005-0000-0000-0000BD2B0000}"/>
    <cellStyle name="Normal 6 2 2 9 4" xfId="11183" xr:uid="{00000000-0005-0000-0000-0000BE2B0000}"/>
    <cellStyle name="Normal 6 2 2 9 4 2" xfId="11184" xr:uid="{00000000-0005-0000-0000-0000BF2B0000}"/>
    <cellStyle name="Normal 6 2 2 9 4 3" xfId="11185" xr:uid="{00000000-0005-0000-0000-0000C02B0000}"/>
    <cellStyle name="Normal 6 2 2 9 5" xfId="11186" xr:uid="{00000000-0005-0000-0000-0000C12B0000}"/>
    <cellStyle name="Normal 6 2 2 9 5 2" xfId="11187" xr:uid="{00000000-0005-0000-0000-0000C22B0000}"/>
    <cellStyle name="Normal 6 2 2 9 5 3" xfId="11188" xr:uid="{00000000-0005-0000-0000-0000C32B0000}"/>
    <cellStyle name="Normal 6 2 2 9 6" xfId="11189" xr:uid="{00000000-0005-0000-0000-0000C42B0000}"/>
    <cellStyle name="Normal 6 2 2 9 7" xfId="11190" xr:uid="{00000000-0005-0000-0000-0000C52B0000}"/>
    <cellStyle name="Normal 6 2 2 9 8" xfId="11191" xr:uid="{00000000-0005-0000-0000-0000C62B0000}"/>
    <cellStyle name="Normal 6 2 2 9 9" xfId="11192" xr:uid="{00000000-0005-0000-0000-0000C72B0000}"/>
    <cellStyle name="Normal 6 2 3" xfId="11193" xr:uid="{00000000-0005-0000-0000-0000C82B0000}"/>
    <cellStyle name="Normal 6 2 3 2" xfId="11194" xr:uid="{00000000-0005-0000-0000-0000C92B0000}"/>
    <cellStyle name="Normal 6 2 3 3" xfId="11195" xr:uid="{00000000-0005-0000-0000-0000CA2B0000}"/>
    <cellStyle name="Normal 6 2 3 4" xfId="11196" xr:uid="{00000000-0005-0000-0000-0000CB2B0000}"/>
    <cellStyle name="Normal 6 2 3 5" xfId="11197" xr:uid="{00000000-0005-0000-0000-0000CC2B0000}"/>
    <cellStyle name="Normal 6 2 4" xfId="11198" xr:uid="{00000000-0005-0000-0000-0000CD2B0000}"/>
    <cellStyle name="Normal 6 2 4 2" xfId="11199" xr:uid="{00000000-0005-0000-0000-0000CE2B0000}"/>
    <cellStyle name="Normal 6 2 4 2 2" xfId="11200" xr:uid="{00000000-0005-0000-0000-0000CF2B0000}"/>
    <cellStyle name="Normal 6 2 4 2 3" xfId="11201" xr:uid="{00000000-0005-0000-0000-0000D02B0000}"/>
    <cellStyle name="Normal 6 2 4 2 4" xfId="11202" xr:uid="{00000000-0005-0000-0000-0000D12B0000}"/>
    <cellStyle name="Normal 6 2 4 3" xfId="11203" xr:uid="{00000000-0005-0000-0000-0000D22B0000}"/>
    <cellStyle name="Normal 6 2 4 4" xfId="11204" xr:uid="{00000000-0005-0000-0000-0000D32B0000}"/>
    <cellStyle name="Normal 6 2 4 5" xfId="11205" xr:uid="{00000000-0005-0000-0000-0000D42B0000}"/>
    <cellStyle name="Normal 6 2 4 6" xfId="11206" xr:uid="{00000000-0005-0000-0000-0000D52B0000}"/>
    <cellStyle name="Normal 6 2 5" xfId="11207" xr:uid="{00000000-0005-0000-0000-0000D62B0000}"/>
    <cellStyle name="Normal 6 2 5 2" xfId="11208" xr:uid="{00000000-0005-0000-0000-0000D72B0000}"/>
    <cellStyle name="Normal 6 2 5 3" xfId="11209" xr:uid="{00000000-0005-0000-0000-0000D82B0000}"/>
    <cellStyle name="Normal 6 2 5 4" xfId="11210" xr:uid="{00000000-0005-0000-0000-0000D92B0000}"/>
    <cellStyle name="Normal 6 2 5 5" xfId="11211" xr:uid="{00000000-0005-0000-0000-0000DA2B0000}"/>
    <cellStyle name="Normal 6 2 6" xfId="11212" xr:uid="{00000000-0005-0000-0000-0000DB2B0000}"/>
    <cellStyle name="Normal 6 2 6 2" xfId="11213" xr:uid="{00000000-0005-0000-0000-0000DC2B0000}"/>
    <cellStyle name="Normal 6 2 6 3" xfId="11214" xr:uid="{00000000-0005-0000-0000-0000DD2B0000}"/>
    <cellStyle name="Normal 6 2 6 4" xfId="11215" xr:uid="{00000000-0005-0000-0000-0000DE2B0000}"/>
    <cellStyle name="Normal 6 2 6 5" xfId="11216" xr:uid="{00000000-0005-0000-0000-0000DF2B0000}"/>
    <cellStyle name="Normal 6 2 7" xfId="11217" xr:uid="{00000000-0005-0000-0000-0000E02B0000}"/>
    <cellStyle name="Normal 6 2 7 2" xfId="11218" xr:uid="{00000000-0005-0000-0000-0000E12B0000}"/>
    <cellStyle name="Normal 6 2 7 3" xfId="11219" xr:uid="{00000000-0005-0000-0000-0000E22B0000}"/>
    <cellStyle name="Normal 6 2 7 4" xfId="11220" xr:uid="{00000000-0005-0000-0000-0000E32B0000}"/>
    <cellStyle name="Normal 6 2 7 5" xfId="11221" xr:uid="{00000000-0005-0000-0000-0000E42B0000}"/>
    <cellStyle name="Normal 6 2 8" xfId="11222" xr:uid="{00000000-0005-0000-0000-0000E52B0000}"/>
    <cellStyle name="Normal 6 2 8 2" xfId="11223" xr:uid="{00000000-0005-0000-0000-0000E62B0000}"/>
    <cellStyle name="Normal 6 2 8 3" xfId="11224" xr:uid="{00000000-0005-0000-0000-0000E72B0000}"/>
    <cellStyle name="Normal 6 2 8 4" xfId="11225" xr:uid="{00000000-0005-0000-0000-0000E82B0000}"/>
    <cellStyle name="Normal 6 2 8 5" xfId="11226" xr:uid="{00000000-0005-0000-0000-0000E92B0000}"/>
    <cellStyle name="Normal 6 2 9" xfId="11227" xr:uid="{00000000-0005-0000-0000-0000EA2B0000}"/>
    <cellStyle name="Normal 6 2 9 2" xfId="11228" xr:uid="{00000000-0005-0000-0000-0000EB2B0000}"/>
    <cellStyle name="Normal 6 2 9 3" xfId="11229" xr:uid="{00000000-0005-0000-0000-0000EC2B0000}"/>
    <cellStyle name="Normal 6 2 9 4" xfId="11230" xr:uid="{00000000-0005-0000-0000-0000ED2B0000}"/>
    <cellStyle name="Normal 6 2_DACNEW" xfId="17779" xr:uid="{00000000-0005-0000-0000-0000EE2B0000}"/>
    <cellStyle name="Normal 6 3" xfId="11231" xr:uid="{00000000-0005-0000-0000-0000EF2B0000}"/>
    <cellStyle name="Normal 6 3 10" xfId="11232" xr:uid="{00000000-0005-0000-0000-0000F02B0000}"/>
    <cellStyle name="Normal 6 3 10 2" xfId="11233" xr:uid="{00000000-0005-0000-0000-0000F12B0000}"/>
    <cellStyle name="Normal 6 3 10 3" xfId="11234" xr:uid="{00000000-0005-0000-0000-0000F22B0000}"/>
    <cellStyle name="Normal 6 3 10 4" xfId="11235" xr:uid="{00000000-0005-0000-0000-0000F32B0000}"/>
    <cellStyle name="Normal 6 3 11" xfId="11236" xr:uid="{00000000-0005-0000-0000-0000F42B0000}"/>
    <cellStyle name="Normal 6 3 11 2" xfId="11237" xr:uid="{00000000-0005-0000-0000-0000F52B0000}"/>
    <cellStyle name="Normal 6 3 11 3" xfId="11238" xr:uid="{00000000-0005-0000-0000-0000F62B0000}"/>
    <cellStyle name="Normal 6 3 11 4" xfId="11239" xr:uid="{00000000-0005-0000-0000-0000F72B0000}"/>
    <cellStyle name="Normal 6 3 12" xfId="11240" xr:uid="{00000000-0005-0000-0000-0000F82B0000}"/>
    <cellStyle name="Normal 6 3 12 2" xfId="11241" xr:uid="{00000000-0005-0000-0000-0000F92B0000}"/>
    <cellStyle name="Normal 6 3 12 3" xfId="11242" xr:uid="{00000000-0005-0000-0000-0000FA2B0000}"/>
    <cellStyle name="Normal 6 3 12 4" xfId="11243" xr:uid="{00000000-0005-0000-0000-0000FB2B0000}"/>
    <cellStyle name="Normal 6 3 13" xfId="11244" xr:uid="{00000000-0005-0000-0000-0000FC2B0000}"/>
    <cellStyle name="Normal 6 3 13 2" xfId="11245" xr:uid="{00000000-0005-0000-0000-0000FD2B0000}"/>
    <cellStyle name="Normal 6 3 13 3" xfId="11246" xr:uid="{00000000-0005-0000-0000-0000FE2B0000}"/>
    <cellStyle name="Normal 6 3 13 4" xfId="11247" xr:uid="{00000000-0005-0000-0000-0000FF2B0000}"/>
    <cellStyle name="Normal 6 3 14" xfId="11248" xr:uid="{00000000-0005-0000-0000-0000002C0000}"/>
    <cellStyle name="Normal 6 3 14 2" xfId="11249" xr:uid="{00000000-0005-0000-0000-0000012C0000}"/>
    <cellStyle name="Normal 6 3 14 3" xfId="11250" xr:uid="{00000000-0005-0000-0000-0000022C0000}"/>
    <cellStyle name="Normal 6 3 14 4" xfId="11251" xr:uid="{00000000-0005-0000-0000-0000032C0000}"/>
    <cellStyle name="Normal 6 3 15" xfId="11252" xr:uid="{00000000-0005-0000-0000-0000042C0000}"/>
    <cellStyle name="Normal 6 3 15 2" xfId="11253" xr:uid="{00000000-0005-0000-0000-0000052C0000}"/>
    <cellStyle name="Normal 6 3 15 3" xfId="11254" xr:uid="{00000000-0005-0000-0000-0000062C0000}"/>
    <cellStyle name="Normal 6 3 15 4" xfId="11255" xr:uid="{00000000-0005-0000-0000-0000072C0000}"/>
    <cellStyle name="Normal 6 3 16" xfId="11256" xr:uid="{00000000-0005-0000-0000-0000082C0000}"/>
    <cellStyle name="Normal 6 3 16 2" xfId="11257" xr:uid="{00000000-0005-0000-0000-0000092C0000}"/>
    <cellStyle name="Normal 6 3 16 3" xfId="11258" xr:uid="{00000000-0005-0000-0000-00000A2C0000}"/>
    <cellStyle name="Normal 6 3 16 4" xfId="11259" xr:uid="{00000000-0005-0000-0000-00000B2C0000}"/>
    <cellStyle name="Normal 6 3 17" xfId="11260" xr:uid="{00000000-0005-0000-0000-00000C2C0000}"/>
    <cellStyle name="Normal 6 3 17 2" xfId="11261" xr:uid="{00000000-0005-0000-0000-00000D2C0000}"/>
    <cellStyle name="Normal 6 3 17 2 2" xfId="11262" xr:uid="{00000000-0005-0000-0000-00000E2C0000}"/>
    <cellStyle name="Normal 6 3 17 2 2 2" xfId="11263" xr:uid="{00000000-0005-0000-0000-00000F2C0000}"/>
    <cellStyle name="Normal 6 3 17 2 2 2 2" xfId="11264" xr:uid="{00000000-0005-0000-0000-0000102C0000}"/>
    <cellStyle name="Normal 6 3 17 2 2 2 3" xfId="11265" xr:uid="{00000000-0005-0000-0000-0000112C0000}"/>
    <cellStyle name="Normal 6 3 17 2 2 3" xfId="11266" xr:uid="{00000000-0005-0000-0000-0000122C0000}"/>
    <cellStyle name="Normal 6 3 17 2 2 4" xfId="11267" xr:uid="{00000000-0005-0000-0000-0000132C0000}"/>
    <cellStyle name="Normal 6 3 17 2 3" xfId="11268" xr:uid="{00000000-0005-0000-0000-0000142C0000}"/>
    <cellStyle name="Normal 6 3 17 2 3 2" xfId="11269" xr:uid="{00000000-0005-0000-0000-0000152C0000}"/>
    <cellStyle name="Normal 6 3 17 2 3 2 2" xfId="11270" xr:uid="{00000000-0005-0000-0000-0000162C0000}"/>
    <cellStyle name="Normal 6 3 17 2 3 2 3" xfId="11271" xr:uid="{00000000-0005-0000-0000-0000172C0000}"/>
    <cellStyle name="Normal 6 3 17 2 3 3" xfId="11272" xr:uid="{00000000-0005-0000-0000-0000182C0000}"/>
    <cellStyle name="Normal 6 3 17 2 3 4" xfId="11273" xr:uid="{00000000-0005-0000-0000-0000192C0000}"/>
    <cellStyle name="Normal 6 3 17 2 4" xfId="11274" xr:uid="{00000000-0005-0000-0000-00001A2C0000}"/>
    <cellStyle name="Normal 6 3 17 2 4 2" xfId="11275" xr:uid="{00000000-0005-0000-0000-00001B2C0000}"/>
    <cellStyle name="Normal 6 3 17 2 4 3" xfId="11276" xr:uid="{00000000-0005-0000-0000-00001C2C0000}"/>
    <cellStyle name="Normal 6 3 17 2 5" xfId="11277" xr:uid="{00000000-0005-0000-0000-00001D2C0000}"/>
    <cellStyle name="Normal 6 3 17 2 6" xfId="11278" xr:uid="{00000000-0005-0000-0000-00001E2C0000}"/>
    <cellStyle name="Normal 6 3 17 2 7" xfId="11279" xr:uid="{00000000-0005-0000-0000-00001F2C0000}"/>
    <cellStyle name="Normal 6 3 17 3" xfId="11280" xr:uid="{00000000-0005-0000-0000-0000202C0000}"/>
    <cellStyle name="Normal 6 3 17 3 2" xfId="11281" xr:uid="{00000000-0005-0000-0000-0000212C0000}"/>
    <cellStyle name="Normal 6 3 17 3 2 2" xfId="11282" xr:uid="{00000000-0005-0000-0000-0000222C0000}"/>
    <cellStyle name="Normal 6 3 17 3 2 3" xfId="11283" xr:uid="{00000000-0005-0000-0000-0000232C0000}"/>
    <cellStyle name="Normal 6 3 17 3 3" xfId="11284" xr:uid="{00000000-0005-0000-0000-0000242C0000}"/>
    <cellStyle name="Normal 6 3 17 3 4" xfId="11285" xr:uid="{00000000-0005-0000-0000-0000252C0000}"/>
    <cellStyle name="Normal 6 3 17 4" xfId="11286" xr:uid="{00000000-0005-0000-0000-0000262C0000}"/>
    <cellStyle name="Normal 6 3 17 4 2" xfId="11287" xr:uid="{00000000-0005-0000-0000-0000272C0000}"/>
    <cellStyle name="Normal 6 3 17 4 2 2" xfId="11288" xr:uid="{00000000-0005-0000-0000-0000282C0000}"/>
    <cellStyle name="Normal 6 3 17 4 2 3" xfId="11289" xr:uid="{00000000-0005-0000-0000-0000292C0000}"/>
    <cellStyle name="Normal 6 3 17 4 3" xfId="11290" xr:uid="{00000000-0005-0000-0000-00002A2C0000}"/>
    <cellStyle name="Normal 6 3 17 4 4" xfId="11291" xr:uid="{00000000-0005-0000-0000-00002B2C0000}"/>
    <cellStyle name="Normal 6 3 17 5" xfId="11292" xr:uid="{00000000-0005-0000-0000-00002C2C0000}"/>
    <cellStyle name="Normal 6 3 17 5 2" xfId="11293" xr:uid="{00000000-0005-0000-0000-00002D2C0000}"/>
    <cellStyle name="Normal 6 3 17 5 3" xfId="11294" xr:uid="{00000000-0005-0000-0000-00002E2C0000}"/>
    <cellStyle name="Normal 6 3 17 6" xfId="11295" xr:uid="{00000000-0005-0000-0000-00002F2C0000}"/>
    <cellStyle name="Normal 6 3 17 7" xfId="11296" xr:uid="{00000000-0005-0000-0000-0000302C0000}"/>
    <cellStyle name="Normal 6 3 17 8" xfId="11297" xr:uid="{00000000-0005-0000-0000-0000312C0000}"/>
    <cellStyle name="Normal 6 3 18" xfId="11298" xr:uid="{00000000-0005-0000-0000-0000322C0000}"/>
    <cellStyle name="Normal 6 3 18 2" xfId="11299" xr:uid="{00000000-0005-0000-0000-0000332C0000}"/>
    <cellStyle name="Normal 6 3 18 3" xfId="11300" xr:uid="{00000000-0005-0000-0000-0000342C0000}"/>
    <cellStyle name="Normal 6 3 18 4" xfId="11301" xr:uid="{00000000-0005-0000-0000-0000352C0000}"/>
    <cellStyle name="Normal 6 3 19" xfId="11302" xr:uid="{00000000-0005-0000-0000-0000362C0000}"/>
    <cellStyle name="Normal 6 3 2" xfId="11303" xr:uid="{00000000-0005-0000-0000-0000372C0000}"/>
    <cellStyle name="Normal 6 3 2 2" xfId="11304" xr:uid="{00000000-0005-0000-0000-0000382C0000}"/>
    <cellStyle name="Normal 6 3 2 3" xfId="11305" xr:uid="{00000000-0005-0000-0000-0000392C0000}"/>
    <cellStyle name="Normal 6 3 2 4" xfId="11306" xr:uid="{00000000-0005-0000-0000-00003A2C0000}"/>
    <cellStyle name="Normal 6 3 2 5" xfId="11307" xr:uid="{00000000-0005-0000-0000-00003B2C0000}"/>
    <cellStyle name="Normal 6 3 20" xfId="11308" xr:uid="{00000000-0005-0000-0000-00003C2C0000}"/>
    <cellStyle name="Normal 6 3 21" xfId="11309" xr:uid="{00000000-0005-0000-0000-00003D2C0000}"/>
    <cellStyle name="Normal 6 3 22" xfId="11310" xr:uid="{00000000-0005-0000-0000-00003E2C0000}"/>
    <cellStyle name="Normal 6 3 3" xfId="11311" xr:uid="{00000000-0005-0000-0000-00003F2C0000}"/>
    <cellStyle name="Normal 6 3 3 2" xfId="11312" xr:uid="{00000000-0005-0000-0000-0000402C0000}"/>
    <cellStyle name="Normal 6 3 3 3" xfId="11313" xr:uid="{00000000-0005-0000-0000-0000412C0000}"/>
    <cellStyle name="Normal 6 3 3 4" xfId="11314" xr:uid="{00000000-0005-0000-0000-0000422C0000}"/>
    <cellStyle name="Normal 6 3 3 5" xfId="11315" xr:uid="{00000000-0005-0000-0000-0000432C0000}"/>
    <cellStyle name="Normal 6 3 4" xfId="11316" xr:uid="{00000000-0005-0000-0000-0000442C0000}"/>
    <cellStyle name="Normal 6 3 4 2" xfId="11317" xr:uid="{00000000-0005-0000-0000-0000452C0000}"/>
    <cellStyle name="Normal 6 3 4 3" xfId="11318" xr:uid="{00000000-0005-0000-0000-0000462C0000}"/>
    <cellStyle name="Normal 6 3 4 4" xfId="11319" xr:uid="{00000000-0005-0000-0000-0000472C0000}"/>
    <cellStyle name="Normal 6 3 4 5" xfId="11320" xr:uid="{00000000-0005-0000-0000-0000482C0000}"/>
    <cellStyle name="Normal 6 3 5" xfId="11321" xr:uid="{00000000-0005-0000-0000-0000492C0000}"/>
    <cellStyle name="Normal 6 3 5 2" xfId="11322" xr:uid="{00000000-0005-0000-0000-00004A2C0000}"/>
    <cellStyle name="Normal 6 3 5 3" xfId="11323" xr:uid="{00000000-0005-0000-0000-00004B2C0000}"/>
    <cellStyle name="Normal 6 3 5 4" xfId="11324" xr:uid="{00000000-0005-0000-0000-00004C2C0000}"/>
    <cellStyle name="Normal 6 3 5 5" xfId="11325" xr:uid="{00000000-0005-0000-0000-00004D2C0000}"/>
    <cellStyle name="Normal 6 3 6" xfId="11326" xr:uid="{00000000-0005-0000-0000-00004E2C0000}"/>
    <cellStyle name="Normal 6 3 6 2" xfId="11327" xr:uid="{00000000-0005-0000-0000-00004F2C0000}"/>
    <cellStyle name="Normal 6 3 6 3" xfId="11328" xr:uid="{00000000-0005-0000-0000-0000502C0000}"/>
    <cellStyle name="Normal 6 3 6 4" xfId="11329" xr:uid="{00000000-0005-0000-0000-0000512C0000}"/>
    <cellStyle name="Normal 6 3 6 5" xfId="11330" xr:uid="{00000000-0005-0000-0000-0000522C0000}"/>
    <cellStyle name="Normal 6 3 7" xfId="11331" xr:uid="{00000000-0005-0000-0000-0000532C0000}"/>
    <cellStyle name="Normal 6 3 7 2" xfId="11332" xr:uid="{00000000-0005-0000-0000-0000542C0000}"/>
    <cellStyle name="Normal 6 3 7 3" xfId="11333" xr:uid="{00000000-0005-0000-0000-0000552C0000}"/>
    <cellStyle name="Normal 6 3 7 4" xfId="11334" xr:uid="{00000000-0005-0000-0000-0000562C0000}"/>
    <cellStyle name="Normal 6 3 7 5" xfId="11335" xr:uid="{00000000-0005-0000-0000-0000572C0000}"/>
    <cellStyle name="Normal 6 3 8" xfId="11336" xr:uid="{00000000-0005-0000-0000-0000582C0000}"/>
    <cellStyle name="Normal 6 3 8 2" xfId="11337" xr:uid="{00000000-0005-0000-0000-0000592C0000}"/>
    <cellStyle name="Normal 6 3 8 3" xfId="11338" xr:uid="{00000000-0005-0000-0000-00005A2C0000}"/>
    <cellStyle name="Normal 6 3 8 4" xfId="11339" xr:uid="{00000000-0005-0000-0000-00005B2C0000}"/>
    <cellStyle name="Normal 6 3 8 5" xfId="11340" xr:uid="{00000000-0005-0000-0000-00005C2C0000}"/>
    <cellStyle name="Normal 6 3 9" xfId="11341" xr:uid="{00000000-0005-0000-0000-00005D2C0000}"/>
    <cellStyle name="Normal 6 3 9 2" xfId="11342" xr:uid="{00000000-0005-0000-0000-00005E2C0000}"/>
    <cellStyle name="Normal 6 3 9 3" xfId="11343" xr:uid="{00000000-0005-0000-0000-00005F2C0000}"/>
    <cellStyle name="Normal 6 3 9 4" xfId="11344" xr:uid="{00000000-0005-0000-0000-0000602C0000}"/>
    <cellStyle name="Normal 6 4" xfId="11345" xr:uid="{00000000-0005-0000-0000-0000612C0000}"/>
    <cellStyle name="Normal 6 4 10" xfId="11346" xr:uid="{00000000-0005-0000-0000-0000622C0000}"/>
    <cellStyle name="Normal 6 4 11" xfId="11347" xr:uid="{00000000-0005-0000-0000-0000632C0000}"/>
    <cellStyle name="Normal 6 4 12" xfId="11348" xr:uid="{00000000-0005-0000-0000-0000642C0000}"/>
    <cellStyle name="Normal 6 4 2" xfId="11349" xr:uid="{00000000-0005-0000-0000-0000652C0000}"/>
    <cellStyle name="Normal 6 4 2 2" xfId="11350" xr:uid="{00000000-0005-0000-0000-0000662C0000}"/>
    <cellStyle name="Normal 6 4 2 3" xfId="11351" xr:uid="{00000000-0005-0000-0000-0000672C0000}"/>
    <cellStyle name="Normal 6 4 2 4" xfId="11352" xr:uid="{00000000-0005-0000-0000-0000682C0000}"/>
    <cellStyle name="Normal 6 4 2 5" xfId="11353" xr:uid="{00000000-0005-0000-0000-0000692C0000}"/>
    <cellStyle name="Normal 6 4 3" xfId="11354" xr:uid="{00000000-0005-0000-0000-00006A2C0000}"/>
    <cellStyle name="Normal 6 4 3 2" xfId="11355" xr:uid="{00000000-0005-0000-0000-00006B2C0000}"/>
    <cellStyle name="Normal 6 4 3 3" xfId="11356" xr:uid="{00000000-0005-0000-0000-00006C2C0000}"/>
    <cellStyle name="Normal 6 4 3 4" xfId="11357" xr:uid="{00000000-0005-0000-0000-00006D2C0000}"/>
    <cellStyle name="Normal 6 4 3 5" xfId="11358" xr:uid="{00000000-0005-0000-0000-00006E2C0000}"/>
    <cellStyle name="Normal 6 4 4" xfId="11359" xr:uid="{00000000-0005-0000-0000-00006F2C0000}"/>
    <cellStyle name="Normal 6 4 4 2" xfId="11360" xr:uid="{00000000-0005-0000-0000-0000702C0000}"/>
    <cellStyle name="Normal 6 4 4 3" xfId="11361" xr:uid="{00000000-0005-0000-0000-0000712C0000}"/>
    <cellStyle name="Normal 6 4 4 4" xfId="11362" xr:uid="{00000000-0005-0000-0000-0000722C0000}"/>
    <cellStyle name="Normal 6 4 4 5" xfId="11363" xr:uid="{00000000-0005-0000-0000-0000732C0000}"/>
    <cellStyle name="Normal 6 4 5" xfId="11364" xr:uid="{00000000-0005-0000-0000-0000742C0000}"/>
    <cellStyle name="Normal 6 4 5 2" xfId="11365" xr:uid="{00000000-0005-0000-0000-0000752C0000}"/>
    <cellStyle name="Normal 6 4 5 3" xfId="11366" xr:uid="{00000000-0005-0000-0000-0000762C0000}"/>
    <cellStyle name="Normal 6 4 5 4" xfId="11367" xr:uid="{00000000-0005-0000-0000-0000772C0000}"/>
    <cellStyle name="Normal 6 4 5 5" xfId="11368" xr:uid="{00000000-0005-0000-0000-0000782C0000}"/>
    <cellStyle name="Normal 6 4 6" xfId="11369" xr:uid="{00000000-0005-0000-0000-0000792C0000}"/>
    <cellStyle name="Normal 6 4 6 2" xfId="11370" xr:uid="{00000000-0005-0000-0000-00007A2C0000}"/>
    <cellStyle name="Normal 6 4 6 3" xfId="11371" xr:uid="{00000000-0005-0000-0000-00007B2C0000}"/>
    <cellStyle name="Normal 6 4 6 4" xfId="11372" xr:uid="{00000000-0005-0000-0000-00007C2C0000}"/>
    <cellStyle name="Normal 6 4 6 5" xfId="11373" xr:uid="{00000000-0005-0000-0000-00007D2C0000}"/>
    <cellStyle name="Normal 6 4 7" xfId="11374" xr:uid="{00000000-0005-0000-0000-00007E2C0000}"/>
    <cellStyle name="Normal 6 4 7 2" xfId="11375" xr:uid="{00000000-0005-0000-0000-00007F2C0000}"/>
    <cellStyle name="Normal 6 4 7 3" xfId="11376" xr:uid="{00000000-0005-0000-0000-0000802C0000}"/>
    <cellStyle name="Normal 6 4 7 4" xfId="11377" xr:uid="{00000000-0005-0000-0000-0000812C0000}"/>
    <cellStyle name="Normal 6 4 7 5" xfId="11378" xr:uid="{00000000-0005-0000-0000-0000822C0000}"/>
    <cellStyle name="Normal 6 4 8" xfId="11379" xr:uid="{00000000-0005-0000-0000-0000832C0000}"/>
    <cellStyle name="Normal 6 4 8 2" xfId="11380" xr:uid="{00000000-0005-0000-0000-0000842C0000}"/>
    <cellStyle name="Normal 6 4 8 3" xfId="11381" xr:uid="{00000000-0005-0000-0000-0000852C0000}"/>
    <cellStyle name="Normal 6 4 8 4" xfId="11382" xr:uid="{00000000-0005-0000-0000-0000862C0000}"/>
    <cellStyle name="Normal 6 4 8 5" xfId="11383" xr:uid="{00000000-0005-0000-0000-0000872C0000}"/>
    <cellStyle name="Normal 6 4 9" xfId="11384" xr:uid="{00000000-0005-0000-0000-0000882C0000}"/>
    <cellStyle name="Normal 6 5" xfId="11385" xr:uid="{00000000-0005-0000-0000-0000892C0000}"/>
    <cellStyle name="Normal 6 5 10" xfId="11386" xr:uid="{00000000-0005-0000-0000-00008A2C0000}"/>
    <cellStyle name="Normal 6 5 11" xfId="11387" xr:uid="{00000000-0005-0000-0000-00008B2C0000}"/>
    <cellStyle name="Normal 6 5 12" xfId="11388" xr:uid="{00000000-0005-0000-0000-00008C2C0000}"/>
    <cellStyle name="Normal 6 5 2" xfId="11389" xr:uid="{00000000-0005-0000-0000-00008D2C0000}"/>
    <cellStyle name="Normal 6 5 2 2" xfId="11390" xr:uid="{00000000-0005-0000-0000-00008E2C0000}"/>
    <cellStyle name="Normal 6 5 2 3" xfId="11391" xr:uid="{00000000-0005-0000-0000-00008F2C0000}"/>
    <cellStyle name="Normal 6 5 2 4" xfId="11392" xr:uid="{00000000-0005-0000-0000-0000902C0000}"/>
    <cellStyle name="Normal 6 5 2 5" xfId="11393" xr:uid="{00000000-0005-0000-0000-0000912C0000}"/>
    <cellStyle name="Normal 6 5 3" xfId="11394" xr:uid="{00000000-0005-0000-0000-0000922C0000}"/>
    <cellStyle name="Normal 6 5 3 2" xfId="11395" xr:uid="{00000000-0005-0000-0000-0000932C0000}"/>
    <cellStyle name="Normal 6 5 3 3" xfId="11396" xr:uid="{00000000-0005-0000-0000-0000942C0000}"/>
    <cellStyle name="Normal 6 5 3 4" xfId="11397" xr:uid="{00000000-0005-0000-0000-0000952C0000}"/>
    <cellStyle name="Normal 6 5 3 5" xfId="11398" xr:uid="{00000000-0005-0000-0000-0000962C0000}"/>
    <cellStyle name="Normal 6 5 4" xfId="11399" xr:uid="{00000000-0005-0000-0000-0000972C0000}"/>
    <cellStyle name="Normal 6 5 4 2" xfId="11400" xr:uid="{00000000-0005-0000-0000-0000982C0000}"/>
    <cellStyle name="Normal 6 5 4 3" xfId="11401" xr:uid="{00000000-0005-0000-0000-0000992C0000}"/>
    <cellStyle name="Normal 6 5 4 4" xfId="11402" xr:uid="{00000000-0005-0000-0000-00009A2C0000}"/>
    <cellStyle name="Normal 6 5 4 5" xfId="11403" xr:uid="{00000000-0005-0000-0000-00009B2C0000}"/>
    <cellStyle name="Normal 6 5 5" xfId="11404" xr:uid="{00000000-0005-0000-0000-00009C2C0000}"/>
    <cellStyle name="Normal 6 5 5 2" xfId="11405" xr:uid="{00000000-0005-0000-0000-00009D2C0000}"/>
    <cellStyle name="Normal 6 5 5 3" xfId="11406" xr:uid="{00000000-0005-0000-0000-00009E2C0000}"/>
    <cellStyle name="Normal 6 5 5 4" xfId="11407" xr:uid="{00000000-0005-0000-0000-00009F2C0000}"/>
    <cellStyle name="Normal 6 5 5 5" xfId="11408" xr:uid="{00000000-0005-0000-0000-0000A02C0000}"/>
    <cellStyle name="Normal 6 5 6" xfId="11409" xr:uid="{00000000-0005-0000-0000-0000A12C0000}"/>
    <cellStyle name="Normal 6 5 6 2" xfId="11410" xr:uid="{00000000-0005-0000-0000-0000A22C0000}"/>
    <cellStyle name="Normal 6 5 6 3" xfId="11411" xr:uid="{00000000-0005-0000-0000-0000A32C0000}"/>
    <cellStyle name="Normal 6 5 6 4" xfId="11412" xr:uid="{00000000-0005-0000-0000-0000A42C0000}"/>
    <cellStyle name="Normal 6 5 6 5" xfId="11413" xr:uid="{00000000-0005-0000-0000-0000A52C0000}"/>
    <cellStyle name="Normal 6 5 7" xfId="11414" xr:uid="{00000000-0005-0000-0000-0000A62C0000}"/>
    <cellStyle name="Normal 6 5 7 2" xfId="11415" xr:uid="{00000000-0005-0000-0000-0000A72C0000}"/>
    <cellStyle name="Normal 6 5 7 3" xfId="11416" xr:uid="{00000000-0005-0000-0000-0000A82C0000}"/>
    <cellStyle name="Normal 6 5 7 4" xfId="11417" xr:uid="{00000000-0005-0000-0000-0000A92C0000}"/>
    <cellStyle name="Normal 6 5 7 5" xfId="11418" xr:uid="{00000000-0005-0000-0000-0000AA2C0000}"/>
    <cellStyle name="Normal 6 5 8" xfId="11419" xr:uid="{00000000-0005-0000-0000-0000AB2C0000}"/>
    <cellStyle name="Normal 6 5 8 2" xfId="11420" xr:uid="{00000000-0005-0000-0000-0000AC2C0000}"/>
    <cellStyle name="Normal 6 5 8 3" xfId="11421" xr:uid="{00000000-0005-0000-0000-0000AD2C0000}"/>
    <cellStyle name="Normal 6 5 8 4" xfId="11422" xr:uid="{00000000-0005-0000-0000-0000AE2C0000}"/>
    <cellStyle name="Normal 6 5 8 5" xfId="11423" xr:uid="{00000000-0005-0000-0000-0000AF2C0000}"/>
    <cellStyle name="Normal 6 5 9" xfId="11424" xr:uid="{00000000-0005-0000-0000-0000B02C0000}"/>
    <cellStyle name="Normal 6 6" xfId="11425" xr:uid="{00000000-0005-0000-0000-0000B12C0000}"/>
    <cellStyle name="Normal 6 6 2" xfId="11426" xr:uid="{00000000-0005-0000-0000-0000B22C0000}"/>
    <cellStyle name="Normal 6 6 3" xfId="11427" xr:uid="{00000000-0005-0000-0000-0000B32C0000}"/>
    <cellStyle name="Normal 6 6 4" xfId="11428" xr:uid="{00000000-0005-0000-0000-0000B42C0000}"/>
    <cellStyle name="Normal 6 6 5" xfId="11429" xr:uid="{00000000-0005-0000-0000-0000B52C0000}"/>
    <cellStyle name="Normal 6 7" xfId="11430" xr:uid="{00000000-0005-0000-0000-0000B62C0000}"/>
    <cellStyle name="Normal 6 7 2" xfId="11431" xr:uid="{00000000-0005-0000-0000-0000B72C0000}"/>
    <cellStyle name="Normal 6 7 3" xfId="11432" xr:uid="{00000000-0005-0000-0000-0000B82C0000}"/>
    <cellStyle name="Normal 6 7 4" xfId="11433" xr:uid="{00000000-0005-0000-0000-0000B92C0000}"/>
    <cellStyle name="Normal 6 7 5" xfId="11434" xr:uid="{00000000-0005-0000-0000-0000BA2C0000}"/>
    <cellStyle name="Normal 6 8" xfId="11435" xr:uid="{00000000-0005-0000-0000-0000BB2C0000}"/>
    <cellStyle name="Normal 6 8 2" xfId="11436" xr:uid="{00000000-0005-0000-0000-0000BC2C0000}"/>
    <cellStyle name="Normal 6 8 3" xfId="11437" xr:uid="{00000000-0005-0000-0000-0000BD2C0000}"/>
    <cellStyle name="Normal 6 8 4" xfId="11438" xr:uid="{00000000-0005-0000-0000-0000BE2C0000}"/>
    <cellStyle name="Normal 6 8 5" xfId="11439" xr:uid="{00000000-0005-0000-0000-0000BF2C0000}"/>
    <cellStyle name="Normal 6 9" xfId="11440" xr:uid="{00000000-0005-0000-0000-0000C02C0000}"/>
    <cellStyle name="Normal 6 9 2" xfId="11441" xr:uid="{00000000-0005-0000-0000-0000C12C0000}"/>
    <cellStyle name="Normal 6 9 3" xfId="11442" xr:uid="{00000000-0005-0000-0000-0000C22C0000}"/>
    <cellStyle name="Normal 6 9 4" xfId="11443" xr:uid="{00000000-0005-0000-0000-0000C32C0000}"/>
    <cellStyle name="Normal 6 9 5" xfId="11444" xr:uid="{00000000-0005-0000-0000-0000C42C0000}"/>
    <cellStyle name="Normal 6_DACNEW" xfId="17778" xr:uid="{00000000-0005-0000-0000-0000C52C0000}"/>
    <cellStyle name="Normal 7" xfId="11445" xr:uid="{00000000-0005-0000-0000-0000C62C0000}"/>
    <cellStyle name="Normal 7 10" xfId="11446" xr:uid="{00000000-0005-0000-0000-0000C72C0000}"/>
    <cellStyle name="Normal 7 10 2" xfId="11447" xr:uid="{00000000-0005-0000-0000-0000C82C0000}"/>
    <cellStyle name="Normal 7 10 3" xfId="11448" xr:uid="{00000000-0005-0000-0000-0000C92C0000}"/>
    <cellStyle name="Normal 7 10 4" xfId="11449" xr:uid="{00000000-0005-0000-0000-0000CA2C0000}"/>
    <cellStyle name="Normal 7 10 5" xfId="11450" xr:uid="{00000000-0005-0000-0000-0000CB2C0000}"/>
    <cellStyle name="Normal 7 11" xfId="11451" xr:uid="{00000000-0005-0000-0000-0000CC2C0000}"/>
    <cellStyle name="Normal 7 11 2" xfId="11452" xr:uid="{00000000-0005-0000-0000-0000CD2C0000}"/>
    <cellStyle name="Normal 7 11 3" xfId="11453" xr:uid="{00000000-0005-0000-0000-0000CE2C0000}"/>
    <cellStyle name="Normal 7 11 4" xfId="11454" xr:uid="{00000000-0005-0000-0000-0000CF2C0000}"/>
    <cellStyle name="Normal 7 11 5" xfId="11455" xr:uid="{00000000-0005-0000-0000-0000D02C0000}"/>
    <cellStyle name="Normal 7 12" xfId="11456" xr:uid="{00000000-0005-0000-0000-0000D12C0000}"/>
    <cellStyle name="Normal 7 12 2" xfId="11457" xr:uid="{00000000-0005-0000-0000-0000D22C0000}"/>
    <cellStyle name="Normal 7 12 3" xfId="11458" xr:uid="{00000000-0005-0000-0000-0000D32C0000}"/>
    <cellStyle name="Normal 7 12 4" xfId="11459" xr:uid="{00000000-0005-0000-0000-0000D42C0000}"/>
    <cellStyle name="Normal 7 12 5" xfId="11460" xr:uid="{00000000-0005-0000-0000-0000D52C0000}"/>
    <cellStyle name="Normal 7 13" xfId="11461" xr:uid="{00000000-0005-0000-0000-0000D62C0000}"/>
    <cellStyle name="Normal 7 13 2" xfId="11462" xr:uid="{00000000-0005-0000-0000-0000D72C0000}"/>
    <cellStyle name="Normal 7 13 3" xfId="11463" xr:uid="{00000000-0005-0000-0000-0000D82C0000}"/>
    <cellStyle name="Normal 7 13 4" xfId="11464" xr:uid="{00000000-0005-0000-0000-0000D92C0000}"/>
    <cellStyle name="Normal 7 14" xfId="11465" xr:uid="{00000000-0005-0000-0000-0000DA2C0000}"/>
    <cellStyle name="Normal 7 15" xfId="11466" xr:uid="{00000000-0005-0000-0000-0000DB2C0000}"/>
    <cellStyle name="Normal 7 16" xfId="11467" xr:uid="{00000000-0005-0000-0000-0000DC2C0000}"/>
    <cellStyle name="Normal 7 17" xfId="11468" xr:uid="{00000000-0005-0000-0000-0000DD2C0000}"/>
    <cellStyle name="Normal 7 2" xfId="11469" xr:uid="{00000000-0005-0000-0000-0000DE2C0000}"/>
    <cellStyle name="Normal 7 2 10" xfId="11470" xr:uid="{00000000-0005-0000-0000-0000DF2C0000}"/>
    <cellStyle name="Normal 7 2 11" xfId="11471" xr:uid="{00000000-0005-0000-0000-0000E02C0000}"/>
    <cellStyle name="Normal 7 2 12" xfId="11472" xr:uid="{00000000-0005-0000-0000-0000E12C0000}"/>
    <cellStyle name="Normal 7 2 13" xfId="11473" xr:uid="{00000000-0005-0000-0000-0000E22C0000}"/>
    <cellStyle name="Normal 7 2 2" xfId="11474" xr:uid="{00000000-0005-0000-0000-0000E32C0000}"/>
    <cellStyle name="Normal 7 2 2 2" xfId="11475" xr:uid="{00000000-0005-0000-0000-0000E42C0000}"/>
    <cellStyle name="Normal 7 2 2 3" xfId="11476" xr:uid="{00000000-0005-0000-0000-0000E52C0000}"/>
    <cellStyle name="Normal 7 2 2 4" xfId="11477" xr:uid="{00000000-0005-0000-0000-0000E62C0000}"/>
    <cellStyle name="Normal 7 2 2 5" xfId="11478" xr:uid="{00000000-0005-0000-0000-0000E72C0000}"/>
    <cellStyle name="Normal 7 2 3" xfId="11479" xr:uid="{00000000-0005-0000-0000-0000E82C0000}"/>
    <cellStyle name="Normal 7 2 3 2" xfId="11480" xr:uid="{00000000-0005-0000-0000-0000E92C0000}"/>
    <cellStyle name="Normal 7 2 3 2 2" xfId="11481" xr:uid="{00000000-0005-0000-0000-0000EA2C0000}"/>
    <cellStyle name="Normal 7 2 3 2 3" xfId="11482" xr:uid="{00000000-0005-0000-0000-0000EB2C0000}"/>
    <cellStyle name="Normal 7 2 3 2 4" xfId="11483" xr:uid="{00000000-0005-0000-0000-0000EC2C0000}"/>
    <cellStyle name="Normal 7 2 3 3" xfId="11484" xr:uid="{00000000-0005-0000-0000-0000ED2C0000}"/>
    <cellStyle name="Normal 7 2 3 3 2" xfId="11485" xr:uid="{00000000-0005-0000-0000-0000EE2C0000}"/>
    <cellStyle name="Normal 7 2 3 3 3" xfId="11486" xr:uid="{00000000-0005-0000-0000-0000EF2C0000}"/>
    <cellStyle name="Normal 7 2 3 3 4" xfId="11487" xr:uid="{00000000-0005-0000-0000-0000F02C0000}"/>
    <cellStyle name="Normal 7 2 3 4" xfId="11488" xr:uid="{00000000-0005-0000-0000-0000F12C0000}"/>
    <cellStyle name="Normal 7 2 3 5" xfId="11489" xr:uid="{00000000-0005-0000-0000-0000F22C0000}"/>
    <cellStyle name="Normal 7 2 3 6" xfId="11490" xr:uid="{00000000-0005-0000-0000-0000F32C0000}"/>
    <cellStyle name="Normal 7 2 3 7" xfId="11491" xr:uid="{00000000-0005-0000-0000-0000F42C0000}"/>
    <cellStyle name="Normal 7 2 4" xfId="11492" xr:uid="{00000000-0005-0000-0000-0000F52C0000}"/>
    <cellStyle name="Normal 7 2 4 2" xfId="11493" xr:uid="{00000000-0005-0000-0000-0000F62C0000}"/>
    <cellStyle name="Normal 7 2 4 3" xfId="11494" xr:uid="{00000000-0005-0000-0000-0000F72C0000}"/>
    <cellStyle name="Normal 7 2 4 4" xfId="11495" xr:uid="{00000000-0005-0000-0000-0000F82C0000}"/>
    <cellStyle name="Normal 7 2 4 5" xfId="11496" xr:uid="{00000000-0005-0000-0000-0000F92C0000}"/>
    <cellStyle name="Normal 7 2 5" xfId="11497" xr:uid="{00000000-0005-0000-0000-0000FA2C0000}"/>
    <cellStyle name="Normal 7 2 5 2" xfId="11498" xr:uid="{00000000-0005-0000-0000-0000FB2C0000}"/>
    <cellStyle name="Normal 7 2 5 3" xfId="11499" xr:uid="{00000000-0005-0000-0000-0000FC2C0000}"/>
    <cellStyle name="Normal 7 2 5 4" xfId="11500" xr:uid="{00000000-0005-0000-0000-0000FD2C0000}"/>
    <cellStyle name="Normal 7 2 5 5" xfId="11501" xr:uid="{00000000-0005-0000-0000-0000FE2C0000}"/>
    <cellStyle name="Normal 7 2 6" xfId="11502" xr:uid="{00000000-0005-0000-0000-0000FF2C0000}"/>
    <cellStyle name="Normal 7 2 6 2" xfId="11503" xr:uid="{00000000-0005-0000-0000-0000002D0000}"/>
    <cellStyle name="Normal 7 2 6 3" xfId="11504" xr:uid="{00000000-0005-0000-0000-0000012D0000}"/>
    <cellStyle name="Normal 7 2 6 4" xfId="11505" xr:uid="{00000000-0005-0000-0000-0000022D0000}"/>
    <cellStyle name="Normal 7 2 6 5" xfId="11506" xr:uid="{00000000-0005-0000-0000-0000032D0000}"/>
    <cellStyle name="Normal 7 2 7" xfId="11507" xr:uid="{00000000-0005-0000-0000-0000042D0000}"/>
    <cellStyle name="Normal 7 2 7 2" xfId="11508" xr:uid="{00000000-0005-0000-0000-0000052D0000}"/>
    <cellStyle name="Normal 7 2 7 3" xfId="11509" xr:uid="{00000000-0005-0000-0000-0000062D0000}"/>
    <cellStyle name="Normal 7 2 7 4" xfId="11510" xr:uid="{00000000-0005-0000-0000-0000072D0000}"/>
    <cellStyle name="Normal 7 2 7 5" xfId="11511" xr:uid="{00000000-0005-0000-0000-0000082D0000}"/>
    <cellStyle name="Normal 7 2 8" xfId="11512" xr:uid="{00000000-0005-0000-0000-0000092D0000}"/>
    <cellStyle name="Normal 7 2 8 2" xfId="11513" xr:uid="{00000000-0005-0000-0000-00000A2D0000}"/>
    <cellStyle name="Normal 7 2 8 3" xfId="11514" xr:uid="{00000000-0005-0000-0000-00000B2D0000}"/>
    <cellStyle name="Normal 7 2 8 4" xfId="11515" xr:uid="{00000000-0005-0000-0000-00000C2D0000}"/>
    <cellStyle name="Normal 7 2 8 5" xfId="11516" xr:uid="{00000000-0005-0000-0000-00000D2D0000}"/>
    <cellStyle name="Normal 7 2 9" xfId="11517" xr:uid="{00000000-0005-0000-0000-00000E2D0000}"/>
    <cellStyle name="Normal 7 2 9 2" xfId="11518" xr:uid="{00000000-0005-0000-0000-00000F2D0000}"/>
    <cellStyle name="Normal 7 2 9 3" xfId="11519" xr:uid="{00000000-0005-0000-0000-0000102D0000}"/>
    <cellStyle name="Normal 7 2 9 4" xfId="11520" xr:uid="{00000000-0005-0000-0000-0000112D0000}"/>
    <cellStyle name="Normal 7 2_Scen_XBase" xfId="11521" xr:uid="{00000000-0005-0000-0000-0000122D0000}"/>
    <cellStyle name="Normal 7 3" xfId="11522" xr:uid="{00000000-0005-0000-0000-0000132D0000}"/>
    <cellStyle name="Normal 7 3 10" xfId="11523" xr:uid="{00000000-0005-0000-0000-0000142D0000}"/>
    <cellStyle name="Normal 7 3 10 2" xfId="11524" xr:uid="{00000000-0005-0000-0000-0000152D0000}"/>
    <cellStyle name="Normal 7 3 10 2 2" xfId="11525" xr:uid="{00000000-0005-0000-0000-0000162D0000}"/>
    <cellStyle name="Normal 7 3 10 2 2 2" xfId="11526" xr:uid="{00000000-0005-0000-0000-0000172D0000}"/>
    <cellStyle name="Normal 7 3 10 2 2 3" xfId="11527" xr:uid="{00000000-0005-0000-0000-0000182D0000}"/>
    <cellStyle name="Normal 7 3 10 2 3" xfId="11528" xr:uid="{00000000-0005-0000-0000-0000192D0000}"/>
    <cellStyle name="Normal 7 3 10 2 4" xfId="11529" xr:uid="{00000000-0005-0000-0000-00001A2D0000}"/>
    <cellStyle name="Normal 7 3 10 3" xfId="11530" xr:uid="{00000000-0005-0000-0000-00001B2D0000}"/>
    <cellStyle name="Normal 7 3 10 3 2" xfId="11531" xr:uid="{00000000-0005-0000-0000-00001C2D0000}"/>
    <cellStyle name="Normal 7 3 10 3 2 2" xfId="11532" xr:uid="{00000000-0005-0000-0000-00001D2D0000}"/>
    <cellStyle name="Normal 7 3 10 3 2 3" xfId="11533" xr:uid="{00000000-0005-0000-0000-00001E2D0000}"/>
    <cellStyle name="Normal 7 3 10 3 3" xfId="11534" xr:uid="{00000000-0005-0000-0000-00001F2D0000}"/>
    <cellStyle name="Normal 7 3 10 3 4" xfId="11535" xr:uid="{00000000-0005-0000-0000-0000202D0000}"/>
    <cellStyle name="Normal 7 3 10 4" xfId="11536" xr:uid="{00000000-0005-0000-0000-0000212D0000}"/>
    <cellStyle name="Normal 7 3 10 4 2" xfId="11537" xr:uid="{00000000-0005-0000-0000-0000222D0000}"/>
    <cellStyle name="Normal 7 3 10 4 3" xfId="11538" xr:uid="{00000000-0005-0000-0000-0000232D0000}"/>
    <cellStyle name="Normal 7 3 10 5" xfId="11539" xr:uid="{00000000-0005-0000-0000-0000242D0000}"/>
    <cellStyle name="Normal 7 3 10 6" xfId="11540" xr:uid="{00000000-0005-0000-0000-0000252D0000}"/>
    <cellStyle name="Normal 7 3 10 7" xfId="11541" xr:uid="{00000000-0005-0000-0000-0000262D0000}"/>
    <cellStyle name="Normal 7 3 11" xfId="11542" xr:uid="{00000000-0005-0000-0000-0000272D0000}"/>
    <cellStyle name="Normal 7 3 11 2" xfId="11543" xr:uid="{00000000-0005-0000-0000-0000282D0000}"/>
    <cellStyle name="Normal 7 3 11 2 2" xfId="11544" xr:uid="{00000000-0005-0000-0000-0000292D0000}"/>
    <cellStyle name="Normal 7 3 11 2 2 2" xfId="11545" xr:uid="{00000000-0005-0000-0000-00002A2D0000}"/>
    <cellStyle name="Normal 7 3 11 2 2 3" xfId="11546" xr:uid="{00000000-0005-0000-0000-00002B2D0000}"/>
    <cellStyle name="Normal 7 3 11 2 3" xfId="11547" xr:uid="{00000000-0005-0000-0000-00002C2D0000}"/>
    <cellStyle name="Normal 7 3 11 2 4" xfId="11548" xr:uid="{00000000-0005-0000-0000-00002D2D0000}"/>
    <cellStyle name="Normal 7 3 11 3" xfId="11549" xr:uid="{00000000-0005-0000-0000-00002E2D0000}"/>
    <cellStyle name="Normal 7 3 11 3 2" xfId="11550" xr:uid="{00000000-0005-0000-0000-00002F2D0000}"/>
    <cellStyle name="Normal 7 3 11 3 3" xfId="11551" xr:uid="{00000000-0005-0000-0000-0000302D0000}"/>
    <cellStyle name="Normal 7 3 11 4" xfId="11552" xr:uid="{00000000-0005-0000-0000-0000312D0000}"/>
    <cellStyle name="Normal 7 3 11 5" xfId="11553" xr:uid="{00000000-0005-0000-0000-0000322D0000}"/>
    <cellStyle name="Normal 7 3 11 6" xfId="11554" xr:uid="{00000000-0005-0000-0000-0000332D0000}"/>
    <cellStyle name="Normal 7 3 12" xfId="11555" xr:uid="{00000000-0005-0000-0000-0000342D0000}"/>
    <cellStyle name="Normal 7 3 12 2" xfId="11556" xr:uid="{00000000-0005-0000-0000-0000352D0000}"/>
    <cellStyle name="Normal 7 3 12 3" xfId="11557" xr:uid="{00000000-0005-0000-0000-0000362D0000}"/>
    <cellStyle name="Normal 7 3 13" xfId="11558" xr:uid="{00000000-0005-0000-0000-0000372D0000}"/>
    <cellStyle name="Normal 7 3 14" xfId="11559" xr:uid="{00000000-0005-0000-0000-0000382D0000}"/>
    <cellStyle name="Normal 7 3 15" xfId="11560" xr:uid="{00000000-0005-0000-0000-0000392D0000}"/>
    <cellStyle name="Normal 7 3 16" xfId="11561" xr:uid="{00000000-0005-0000-0000-00003A2D0000}"/>
    <cellStyle name="Normal 7 3 2" xfId="11562" xr:uid="{00000000-0005-0000-0000-00003B2D0000}"/>
    <cellStyle name="Normal 7 3 2 2" xfId="11563" xr:uid="{00000000-0005-0000-0000-00003C2D0000}"/>
    <cellStyle name="Normal 7 3 2 3" xfId="11564" xr:uid="{00000000-0005-0000-0000-00003D2D0000}"/>
    <cellStyle name="Normal 7 3 2 4" xfId="11565" xr:uid="{00000000-0005-0000-0000-00003E2D0000}"/>
    <cellStyle name="Normal 7 3 2 5" xfId="11566" xr:uid="{00000000-0005-0000-0000-00003F2D0000}"/>
    <cellStyle name="Normal 7 3 3" xfId="11567" xr:uid="{00000000-0005-0000-0000-0000402D0000}"/>
    <cellStyle name="Normal 7 3 3 2" xfId="11568" xr:uid="{00000000-0005-0000-0000-0000412D0000}"/>
    <cellStyle name="Normal 7 3 3 3" xfId="11569" xr:uid="{00000000-0005-0000-0000-0000422D0000}"/>
    <cellStyle name="Normal 7 3 3 4" xfId="11570" xr:uid="{00000000-0005-0000-0000-0000432D0000}"/>
    <cellStyle name="Normal 7 3 3 5" xfId="11571" xr:uid="{00000000-0005-0000-0000-0000442D0000}"/>
    <cellStyle name="Normal 7 3 4" xfId="11572" xr:uid="{00000000-0005-0000-0000-0000452D0000}"/>
    <cellStyle name="Normal 7 3 4 2" xfId="11573" xr:uid="{00000000-0005-0000-0000-0000462D0000}"/>
    <cellStyle name="Normal 7 3 4 3" xfId="11574" xr:uid="{00000000-0005-0000-0000-0000472D0000}"/>
    <cellStyle name="Normal 7 3 4 4" xfId="11575" xr:uid="{00000000-0005-0000-0000-0000482D0000}"/>
    <cellStyle name="Normal 7 3 4 5" xfId="11576" xr:uid="{00000000-0005-0000-0000-0000492D0000}"/>
    <cellStyle name="Normal 7 3 5" xfId="11577" xr:uid="{00000000-0005-0000-0000-00004A2D0000}"/>
    <cellStyle name="Normal 7 3 5 2" xfId="11578" xr:uid="{00000000-0005-0000-0000-00004B2D0000}"/>
    <cellStyle name="Normal 7 3 5 3" xfId="11579" xr:uid="{00000000-0005-0000-0000-00004C2D0000}"/>
    <cellStyle name="Normal 7 3 5 4" xfId="11580" xr:uid="{00000000-0005-0000-0000-00004D2D0000}"/>
    <cellStyle name="Normal 7 3 5 5" xfId="11581" xr:uid="{00000000-0005-0000-0000-00004E2D0000}"/>
    <cellStyle name="Normal 7 3 6" xfId="11582" xr:uid="{00000000-0005-0000-0000-00004F2D0000}"/>
    <cellStyle name="Normal 7 3 6 2" xfId="11583" xr:uid="{00000000-0005-0000-0000-0000502D0000}"/>
    <cellStyle name="Normal 7 3 6 3" xfId="11584" xr:uid="{00000000-0005-0000-0000-0000512D0000}"/>
    <cellStyle name="Normal 7 3 6 4" xfId="11585" xr:uid="{00000000-0005-0000-0000-0000522D0000}"/>
    <cellStyle name="Normal 7 3 6 5" xfId="11586" xr:uid="{00000000-0005-0000-0000-0000532D0000}"/>
    <cellStyle name="Normal 7 3 7" xfId="11587" xr:uid="{00000000-0005-0000-0000-0000542D0000}"/>
    <cellStyle name="Normal 7 3 7 2" xfId="11588" xr:uid="{00000000-0005-0000-0000-0000552D0000}"/>
    <cellStyle name="Normal 7 3 7 3" xfId="11589" xr:uid="{00000000-0005-0000-0000-0000562D0000}"/>
    <cellStyle name="Normal 7 3 7 4" xfId="11590" xr:uid="{00000000-0005-0000-0000-0000572D0000}"/>
    <cellStyle name="Normal 7 3 7 5" xfId="11591" xr:uid="{00000000-0005-0000-0000-0000582D0000}"/>
    <cellStyle name="Normal 7 3 8" xfId="11592" xr:uid="{00000000-0005-0000-0000-0000592D0000}"/>
    <cellStyle name="Normal 7 3 8 2" xfId="11593" xr:uid="{00000000-0005-0000-0000-00005A2D0000}"/>
    <cellStyle name="Normal 7 3 8 3" xfId="11594" xr:uid="{00000000-0005-0000-0000-00005B2D0000}"/>
    <cellStyle name="Normal 7 3 8 4" xfId="11595" xr:uid="{00000000-0005-0000-0000-00005C2D0000}"/>
    <cellStyle name="Normal 7 3 8 5" xfId="11596" xr:uid="{00000000-0005-0000-0000-00005D2D0000}"/>
    <cellStyle name="Normal 7 3 9" xfId="11597" xr:uid="{00000000-0005-0000-0000-00005E2D0000}"/>
    <cellStyle name="Normal 7 3 9 2" xfId="11598" xr:uid="{00000000-0005-0000-0000-00005F2D0000}"/>
    <cellStyle name="Normal 7 3 9 3" xfId="11599" xr:uid="{00000000-0005-0000-0000-0000602D0000}"/>
    <cellStyle name="Normal 7 3 9 4" xfId="11600" xr:uid="{00000000-0005-0000-0000-0000612D0000}"/>
    <cellStyle name="Normal 7 4" xfId="11601" xr:uid="{00000000-0005-0000-0000-0000622D0000}"/>
    <cellStyle name="Normal 7 4 10" xfId="11602" xr:uid="{00000000-0005-0000-0000-0000632D0000}"/>
    <cellStyle name="Normal 7 4 11" xfId="11603" xr:uid="{00000000-0005-0000-0000-0000642D0000}"/>
    <cellStyle name="Normal 7 4 12" xfId="11604" xr:uid="{00000000-0005-0000-0000-0000652D0000}"/>
    <cellStyle name="Normal 7 4 2" xfId="11605" xr:uid="{00000000-0005-0000-0000-0000662D0000}"/>
    <cellStyle name="Normal 7 4 2 2" xfId="11606" xr:uid="{00000000-0005-0000-0000-0000672D0000}"/>
    <cellStyle name="Normal 7 4 2 3" xfId="11607" xr:uid="{00000000-0005-0000-0000-0000682D0000}"/>
    <cellStyle name="Normal 7 4 2 4" xfId="11608" xr:uid="{00000000-0005-0000-0000-0000692D0000}"/>
    <cellStyle name="Normal 7 4 2 5" xfId="11609" xr:uid="{00000000-0005-0000-0000-00006A2D0000}"/>
    <cellStyle name="Normal 7 4 3" xfId="11610" xr:uid="{00000000-0005-0000-0000-00006B2D0000}"/>
    <cellStyle name="Normal 7 4 3 2" xfId="11611" xr:uid="{00000000-0005-0000-0000-00006C2D0000}"/>
    <cellStyle name="Normal 7 4 3 3" xfId="11612" xr:uid="{00000000-0005-0000-0000-00006D2D0000}"/>
    <cellStyle name="Normal 7 4 3 4" xfId="11613" xr:uid="{00000000-0005-0000-0000-00006E2D0000}"/>
    <cellStyle name="Normal 7 4 3 5" xfId="11614" xr:uid="{00000000-0005-0000-0000-00006F2D0000}"/>
    <cellStyle name="Normal 7 4 4" xfId="11615" xr:uid="{00000000-0005-0000-0000-0000702D0000}"/>
    <cellStyle name="Normal 7 4 4 2" xfId="11616" xr:uid="{00000000-0005-0000-0000-0000712D0000}"/>
    <cellStyle name="Normal 7 4 4 3" xfId="11617" xr:uid="{00000000-0005-0000-0000-0000722D0000}"/>
    <cellStyle name="Normal 7 4 4 4" xfId="11618" xr:uid="{00000000-0005-0000-0000-0000732D0000}"/>
    <cellStyle name="Normal 7 4 4 5" xfId="11619" xr:uid="{00000000-0005-0000-0000-0000742D0000}"/>
    <cellStyle name="Normal 7 4 5" xfId="11620" xr:uid="{00000000-0005-0000-0000-0000752D0000}"/>
    <cellStyle name="Normal 7 4 5 2" xfId="11621" xr:uid="{00000000-0005-0000-0000-0000762D0000}"/>
    <cellStyle name="Normal 7 4 5 3" xfId="11622" xr:uid="{00000000-0005-0000-0000-0000772D0000}"/>
    <cellStyle name="Normal 7 4 5 4" xfId="11623" xr:uid="{00000000-0005-0000-0000-0000782D0000}"/>
    <cellStyle name="Normal 7 4 5 5" xfId="11624" xr:uid="{00000000-0005-0000-0000-0000792D0000}"/>
    <cellStyle name="Normal 7 4 6" xfId="11625" xr:uid="{00000000-0005-0000-0000-00007A2D0000}"/>
    <cellStyle name="Normal 7 4 6 2" xfId="11626" xr:uid="{00000000-0005-0000-0000-00007B2D0000}"/>
    <cellStyle name="Normal 7 4 6 3" xfId="11627" xr:uid="{00000000-0005-0000-0000-00007C2D0000}"/>
    <cellStyle name="Normal 7 4 6 4" xfId="11628" xr:uid="{00000000-0005-0000-0000-00007D2D0000}"/>
    <cellStyle name="Normal 7 4 6 5" xfId="11629" xr:uid="{00000000-0005-0000-0000-00007E2D0000}"/>
    <cellStyle name="Normal 7 4 7" xfId="11630" xr:uid="{00000000-0005-0000-0000-00007F2D0000}"/>
    <cellStyle name="Normal 7 4 7 2" xfId="11631" xr:uid="{00000000-0005-0000-0000-0000802D0000}"/>
    <cellStyle name="Normal 7 4 7 3" xfId="11632" xr:uid="{00000000-0005-0000-0000-0000812D0000}"/>
    <cellStyle name="Normal 7 4 7 4" xfId="11633" xr:uid="{00000000-0005-0000-0000-0000822D0000}"/>
    <cellStyle name="Normal 7 4 7 5" xfId="11634" xr:uid="{00000000-0005-0000-0000-0000832D0000}"/>
    <cellStyle name="Normal 7 4 8" xfId="11635" xr:uid="{00000000-0005-0000-0000-0000842D0000}"/>
    <cellStyle name="Normal 7 4 8 2" xfId="11636" xr:uid="{00000000-0005-0000-0000-0000852D0000}"/>
    <cellStyle name="Normal 7 4 8 3" xfId="11637" xr:uid="{00000000-0005-0000-0000-0000862D0000}"/>
    <cellStyle name="Normal 7 4 8 4" xfId="11638" xr:uid="{00000000-0005-0000-0000-0000872D0000}"/>
    <cellStyle name="Normal 7 4 8 5" xfId="11639" xr:uid="{00000000-0005-0000-0000-0000882D0000}"/>
    <cellStyle name="Normal 7 4 9" xfId="11640" xr:uid="{00000000-0005-0000-0000-0000892D0000}"/>
    <cellStyle name="Normal 7 5" xfId="11641" xr:uid="{00000000-0005-0000-0000-00008A2D0000}"/>
    <cellStyle name="Normal 7 5 10" xfId="11642" xr:uid="{00000000-0005-0000-0000-00008B2D0000}"/>
    <cellStyle name="Normal 7 5 11" xfId="11643" xr:uid="{00000000-0005-0000-0000-00008C2D0000}"/>
    <cellStyle name="Normal 7 5 12" xfId="11644" xr:uid="{00000000-0005-0000-0000-00008D2D0000}"/>
    <cellStyle name="Normal 7 5 2" xfId="11645" xr:uid="{00000000-0005-0000-0000-00008E2D0000}"/>
    <cellStyle name="Normal 7 5 2 2" xfId="11646" xr:uid="{00000000-0005-0000-0000-00008F2D0000}"/>
    <cellStyle name="Normal 7 5 2 3" xfId="11647" xr:uid="{00000000-0005-0000-0000-0000902D0000}"/>
    <cellStyle name="Normal 7 5 2 4" xfId="11648" xr:uid="{00000000-0005-0000-0000-0000912D0000}"/>
    <cellStyle name="Normal 7 5 2 5" xfId="11649" xr:uid="{00000000-0005-0000-0000-0000922D0000}"/>
    <cellStyle name="Normal 7 5 3" xfId="11650" xr:uid="{00000000-0005-0000-0000-0000932D0000}"/>
    <cellStyle name="Normal 7 5 3 2" xfId="11651" xr:uid="{00000000-0005-0000-0000-0000942D0000}"/>
    <cellStyle name="Normal 7 5 3 3" xfId="11652" xr:uid="{00000000-0005-0000-0000-0000952D0000}"/>
    <cellStyle name="Normal 7 5 3 4" xfId="11653" xr:uid="{00000000-0005-0000-0000-0000962D0000}"/>
    <cellStyle name="Normal 7 5 3 5" xfId="11654" xr:uid="{00000000-0005-0000-0000-0000972D0000}"/>
    <cellStyle name="Normal 7 5 4" xfId="11655" xr:uid="{00000000-0005-0000-0000-0000982D0000}"/>
    <cellStyle name="Normal 7 5 4 2" xfId="11656" xr:uid="{00000000-0005-0000-0000-0000992D0000}"/>
    <cellStyle name="Normal 7 5 4 3" xfId="11657" xr:uid="{00000000-0005-0000-0000-00009A2D0000}"/>
    <cellStyle name="Normal 7 5 4 4" xfId="11658" xr:uid="{00000000-0005-0000-0000-00009B2D0000}"/>
    <cellStyle name="Normal 7 5 4 5" xfId="11659" xr:uid="{00000000-0005-0000-0000-00009C2D0000}"/>
    <cellStyle name="Normal 7 5 5" xfId="11660" xr:uid="{00000000-0005-0000-0000-00009D2D0000}"/>
    <cellStyle name="Normal 7 5 5 2" xfId="11661" xr:uid="{00000000-0005-0000-0000-00009E2D0000}"/>
    <cellStyle name="Normal 7 5 5 3" xfId="11662" xr:uid="{00000000-0005-0000-0000-00009F2D0000}"/>
    <cellStyle name="Normal 7 5 5 4" xfId="11663" xr:uid="{00000000-0005-0000-0000-0000A02D0000}"/>
    <cellStyle name="Normal 7 5 5 5" xfId="11664" xr:uid="{00000000-0005-0000-0000-0000A12D0000}"/>
    <cellStyle name="Normal 7 5 6" xfId="11665" xr:uid="{00000000-0005-0000-0000-0000A22D0000}"/>
    <cellStyle name="Normal 7 5 6 2" xfId="11666" xr:uid="{00000000-0005-0000-0000-0000A32D0000}"/>
    <cellStyle name="Normal 7 5 6 3" xfId="11667" xr:uid="{00000000-0005-0000-0000-0000A42D0000}"/>
    <cellStyle name="Normal 7 5 6 4" xfId="11668" xr:uid="{00000000-0005-0000-0000-0000A52D0000}"/>
    <cellStyle name="Normal 7 5 6 5" xfId="11669" xr:uid="{00000000-0005-0000-0000-0000A62D0000}"/>
    <cellStyle name="Normal 7 5 7" xfId="11670" xr:uid="{00000000-0005-0000-0000-0000A72D0000}"/>
    <cellStyle name="Normal 7 5 7 2" xfId="11671" xr:uid="{00000000-0005-0000-0000-0000A82D0000}"/>
    <cellStyle name="Normal 7 5 7 3" xfId="11672" xr:uid="{00000000-0005-0000-0000-0000A92D0000}"/>
    <cellStyle name="Normal 7 5 7 4" xfId="11673" xr:uid="{00000000-0005-0000-0000-0000AA2D0000}"/>
    <cellStyle name="Normal 7 5 7 5" xfId="11674" xr:uid="{00000000-0005-0000-0000-0000AB2D0000}"/>
    <cellStyle name="Normal 7 5 8" xfId="11675" xr:uid="{00000000-0005-0000-0000-0000AC2D0000}"/>
    <cellStyle name="Normal 7 5 8 2" xfId="11676" xr:uid="{00000000-0005-0000-0000-0000AD2D0000}"/>
    <cellStyle name="Normal 7 5 8 3" xfId="11677" xr:uid="{00000000-0005-0000-0000-0000AE2D0000}"/>
    <cellStyle name="Normal 7 5 8 4" xfId="11678" xr:uid="{00000000-0005-0000-0000-0000AF2D0000}"/>
    <cellStyle name="Normal 7 5 8 5" xfId="11679" xr:uid="{00000000-0005-0000-0000-0000B02D0000}"/>
    <cellStyle name="Normal 7 5 9" xfId="11680" xr:uid="{00000000-0005-0000-0000-0000B12D0000}"/>
    <cellStyle name="Normal 7 6" xfId="11681" xr:uid="{00000000-0005-0000-0000-0000B22D0000}"/>
    <cellStyle name="Normal 7 6 2" xfId="11682" xr:uid="{00000000-0005-0000-0000-0000B32D0000}"/>
    <cellStyle name="Normal 7 6 3" xfId="11683" xr:uid="{00000000-0005-0000-0000-0000B42D0000}"/>
    <cellStyle name="Normal 7 6 4" xfId="11684" xr:uid="{00000000-0005-0000-0000-0000B52D0000}"/>
    <cellStyle name="Normal 7 6 5" xfId="11685" xr:uid="{00000000-0005-0000-0000-0000B62D0000}"/>
    <cellStyle name="Normal 7 7" xfId="11686" xr:uid="{00000000-0005-0000-0000-0000B72D0000}"/>
    <cellStyle name="Normal 7 7 2" xfId="11687" xr:uid="{00000000-0005-0000-0000-0000B82D0000}"/>
    <cellStyle name="Normal 7 7 3" xfId="11688" xr:uid="{00000000-0005-0000-0000-0000B92D0000}"/>
    <cellStyle name="Normal 7 7 4" xfId="11689" xr:uid="{00000000-0005-0000-0000-0000BA2D0000}"/>
    <cellStyle name="Normal 7 7 5" xfId="11690" xr:uid="{00000000-0005-0000-0000-0000BB2D0000}"/>
    <cellStyle name="Normal 7 8" xfId="11691" xr:uid="{00000000-0005-0000-0000-0000BC2D0000}"/>
    <cellStyle name="Normal 7 8 2" xfId="11692" xr:uid="{00000000-0005-0000-0000-0000BD2D0000}"/>
    <cellStyle name="Normal 7 8 3" xfId="11693" xr:uid="{00000000-0005-0000-0000-0000BE2D0000}"/>
    <cellStyle name="Normal 7 8 4" xfId="11694" xr:uid="{00000000-0005-0000-0000-0000BF2D0000}"/>
    <cellStyle name="Normal 7 8 5" xfId="11695" xr:uid="{00000000-0005-0000-0000-0000C02D0000}"/>
    <cellStyle name="Normal 7 9" xfId="11696" xr:uid="{00000000-0005-0000-0000-0000C12D0000}"/>
    <cellStyle name="Normal 7 9 2" xfId="11697" xr:uid="{00000000-0005-0000-0000-0000C22D0000}"/>
    <cellStyle name="Normal 7 9 3" xfId="11698" xr:uid="{00000000-0005-0000-0000-0000C32D0000}"/>
    <cellStyle name="Normal 7 9 4" xfId="11699" xr:uid="{00000000-0005-0000-0000-0000C42D0000}"/>
    <cellStyle name="Normal 7 9 5" xfId="11700" xr:uid="{00000000-0005-0000-0000-0000C52D0000}"/>
    <cellStyle name="Normal 8" xfId="11701" xr:uid="{00000000-0005-0000-0000-0000C62D0000}"/>
    <cellStyle name="Normal 8 10" xfId="11702" xr:uid="{00000000-0005-0000-0000-0000C72D0000}"/>
    <cellStyle name="Normal 8 10 2" xfId="11703" xr:uid="{00000000-0005-0000-0000-0000C82D0000}"/>
    <cellStyle name="Normal 8 10 2 2" xfId="11704" xr:uid="{00000000-0005-0000-0000-0000C92D0000}"/>
    <cellStyle name="Normal 8 10 2 3" xfId="11705" xr:uid="{00000000-0005-0000-0000-0000CA2D0000}"/>
    <cellStyle name="Normal 8 10 2 4" xfId="11706" xr:uid="{00000000-0005-0000-0000-0000CB2D0000}"/>
    <cellStyle name="Normal 8 10 3" xfId="11707" xr:uid="{00000000-0005-0000-0000-0000CC2D0000}"/>
    <cellStyle name="Normal 8 10 3 2" xfId="11708" xr:uid="{00000000-0005-0000-0000-0000CD2D0000}"/>
    <cellStyle name="Normal 8 10 3 3" xfId="11709" xr:uid="{00000000-0005-0000-0000-0000CE2D0000}"/>
    <cellStyle name="Normal 8 10 3 4" xfId="11710" xr:uid="{00000000-0005-0000-0000-0000CF2D0000}"/>
    <cellStyle name="Normal 8 10 4" xfId="11711" xr:uid="{00000000-0005-0000-0000-0000D02D0000}"/>
    <cellStyle name="Normal 8 10 5" xfId="11712" xr:uid="{00000000-0005-0000-0000-0000D12D0000}"/>
    <cellStyle name="Normal 8 10 6" xfId="11713" xr:uid="{00000000-0005-0000-0000-0000D22D0000}"/>
    <cellStyle name="Normal 8 10 7" xfId="11714" xr:uid="{00000000-0005-0000-0000-0000D32D0000}"/>
    <cellStyle name="Normal 8 11" xfId="11715" xr:uid="{00000000-0005-0000-0000-0000D42D0000}"/>
    <cellStyle name="Normal 8 11 2" xfId="11716" xr:uid="{00000000-0005-0000-0000-0000D52D0000}"/>
    <cellStyle name="Normal 8 11 2 2" xfId="11717" xr:uid="{00000000-0005-0000-0000-0000D62D0000}"/>
    <cellStyle name="Normal 8 11 2 3" xfId="11718" xr:uid="{00000000-0005-0000-0000-0000D72D0000}"/>
    <cellStyle name="Normal 8 11 2 4" xfId="11719" xr:uid="{00000000-0005-0000-0000-0000D82D0000}"/>
    <cellStyle name="Normal 8 11 3" xfId="11720" xr:uid="{00000000-0005-0000-0000-0000D92D0000}"/>
    <cellStyle name="Normal 8 11 3 2" xfId="11721" xr:uid="{00000000-0005-0000-0000-0000DA2D0000}"/>
    <cellStyle name="Normal 8 11 3 2 2" xfId="11722" xr:uid="{00000000-0005-0000-0000-0000DB2D0000}"/>
    <cellStyle name="Normal 8 11 3 2 2 2" xfId="11723" xr:uid="{00000000-0005-0000-0000-0000DC2D0000}"/>
    <cellStyle name="Normal 8 11 3 2 2 3" xfId="11724" xr:uid="{00000000-0005-0000-0000-0000DD2D0000}"/>
    <cellStyle name="Normal 8 11 3 2 3" xfId="11725" xr:uid="{00000000-0005-0000-0000-0000DE2D0000}"/>
    <cellStyle name="Normal 8 11 3 2 4" xfId="11726" xr:uid="{00000000-0005-0000-0000-0000DF2D0000}"/>
    <cellStyle name="Normal 8 11 3 3" xfId="11727" xr:uid="{00000000-0005-0000-0000-0000E02D0000}"/>
    <cellStyle name="Normal 8 11 3 3 2" xfId="11728" xr:uid="{00000000-0005-0000-0000-0000E12D0000}"/>
    <cellStyle name="Normal 8 11 3 3 2 2" xfId="11729" xr:uid="{00000000-0005-0000-0000-0000E22D0000}"/>
    <cellStyle name="Normal 8 11 3 3 2 3" xfId="11730" xr:uid="{00000000-0005-0000-0000-0000E32D0000}"/>
    <cellStyle name="Normal 8 11 3 3 3" xfId="11731" xr:uid="{00000000-0005-0000-0000-0000E42D0000}"/>
    <cellStyle name="Normal 8 11 3 3 4" xfId="11732" xr:uid="{00000000-0005-0000-0000-0000E52D0000}"/>
    <cellStyle name="Normal 8 11 3 4" xfId="11733" xr:uid="{00000000-0005-0000-0000-0000E62D0000}"/>
    <cellStyle name="Normal 8 11 3 4 2" xfId="11734" xr:uid="{00000000-0005-0000-0000-0000E72D0000}"/>
    <cellStyle name="Normal 8 11 3 4 3" xfId="11735" xr:uid="{00000000-0005-0000-0000-0000E82D0000}"/>
    <cellStyle name="Normal 8 11 3 5" xfId="11736" xr:uid="{00000000-0005-0000-0000-0000E92D0000}"/>
    <cellStyle name="Normal 8 11 3 6" xfId="11737" xr:uid="{00000000-0005-0000-0000-0000EA2D0000}"/>
    <cellStyle name="Normal 8 11 3 7" xfId="11738" xr:uid="{00000000-0005-0000-0000-0000EB2D0000}"/>
    <cellStyle name="Normal 8 11 4" xfId="11739" xr:uid="{00000000-0005-0000-0000-0000EC2D0000}"/>
    <cellStyle name="Normal 8 11 4 2" xfId="11740" xr:uid="{00000000-0005-0000-0000-0000ED2D0000}"/>
    <cellStyle name="Normal 8 11 4 2 2" xfId="11741" xr:uid="{00000000-0005-0000-0000-0000EE2D0000}"/>
    <cellStyle name="Normal 8 11 4 2 2 2" xfId="11742" xr:uid="{00000000-0005-0000-0000-0000EF2D0000}"/>
    <cellStyle name="Normal 8 11 4 2 2 3" xfId="11743" xr:uid="{00000000-0005-0000-0000-0000F02D0000}"/>
    <cellStyle name="Normal 8 11 4 2 3" xfId="11744" xr:uid="{00000000-0005-0000-0000-0000F12D0000}"/>
    <cellStyle name="Normal 8 11 4 2 4" xfId="11745" xr:uid="{00000000-0005-0000-0000-0000F22D0000}"/>
    <cellStyle name="Normal 8 11 4 3" xfId="11746" xr:uid="{00000000-0005-0000-0000-0000F32D0000}"/>
    <cellStyle name="Normal 8 11 4 3 2" xfId="11747" xr:uid="{00000000-0005-0000-0000-0000F42D0000}"/>
    <cellStyle name="Normal 8 11 4 3 3" xfId="11748" xr:uid="{00000000-0005-0000-0000-0000F52D0000}"/>
    <cellStyle name="Normal 8 11 4 4" xfId="11749" xr:uid="{00000000-0005-0000-0000-0000F62D0000}"/>
    <cellStyle name="Normal 8 11 4 5" xfId="11750" xr:uid="{00000000-0005-0000-0000-0000F72D0000}"/>
    <cellStyle name="Normal 8 11 4 6" xfId="11751" xr:uid="{00000000-0005-0000-0000-0000F82D0000}"/>
    <cellStyle name="Normal 8 11 5" xfId="11752" xr:uid="{00000000-0005-0000-0000-0000F92D0000}"/>
    <cellStyle name="Normal 8 11 5 2" xfId="11753" xr:uid="{00000000-0005-0000-0000-0000FA2D0000}"/>
    <cellStyle name="Normal 8 11 5 3" xfId="11754" xr:uid="{00000000-0005-0000-0000-0000FB2D0000}"/>
    <cellStyle name="Normal 8 11 6" xfId="11755" xr:uid="{00000000-0005-0000-0000-0000FC2D0000}"/>
    <cellStyle name="Normal 8 11 7" xfId="11756" xr:uid="{00000000-0005-0000-0000-0000FD2D0000}"/>
    <cellStyle name="Normal 8 11 8" xfId="11757" xr:uid="{00000000-0005-0000-0000-0000FE2D0000}"/>
    <cellStyle name="Normal 8 11 9" xfId="11758" xr:uid="{00000000-0005-0000-0000-0000FF2D0000}"/>
    <cellStyle name="Normal 8 12" xfId="11759" xr:uid="{00000000-0005-0000-0000-0000002E0000}"/>
    <cellStyle name="Normal 8 12 2" xfId="11760" xr:uid="{00000000-0005-0000-0000-0000012E0000}"/>
    <cellStyle name="Normal 8 12 3" xfId="11761" xr:uid="{00000000-0005-0000-0000-0000022E0000}"/>
    <cellStyle name="Normal 8 12 4" xfId="11762" xr:uid="{00000000-0005-0000-0000-0000032E0000}"/>
    <cellStyle name="Normal 8 12 5" xfId="11763" xr:uid="{00000000-0005-0000-0000-0000042E0000}"/>
    <cellStyle name="Normal 8 13" xfId="11764" xr:uid="{00000000-0005-0000-0000-0000052E0000}"/>
    <cellStyle name="Normal 8 13 2" xfId="11765" xr:uid="{00000000-0005-0000-0000-0000062E0000}"/>
    <cellStyle name="Normal 8 13 3" xfId="11766" xr:uid="{00000000-0005-0000-0000-0000072E0000}"/>
    <cellStyle name="Normal 8 13 4" xfId="11767" xr:uid="{00000000-0005-0000-0000-0000082E0000}"/>
    <cellStyle name="Normal 8 14" xfId="11768" xr:uid="{00000000-0005-0000-0000-0000092E0000}"/>
    <cellStyle name="Normal 8 15" xfId="11769" xr:uid="{00000000-0005-0000-0000-00000A2E0000}"/>
    <cellStyle name="Normal 8 16" xfId="11770" xr:uid="{00000000-0005-0000-0000-00000B2E0000}"/>
    <cellStyle name="Normal 8 17" xfId="11771" xr:uid="{00000000-0005-0000-0000-00000C2E0000}"/>
    <cellStyle name="Normal 8 2" xfId="11772" xr:uid="{00000000-0005-0000-0000-00000D2E0000}"/>
    <cellStyle name="Normal 8 2 10" xfId="11773" xr:uid="{00000000-0005-0000-0000-00000E2E0000}"/>
    <cellStyle name="Normal 8 2 11" xfId="11774" xr:uid="{00000000-0005-0000-0000-00000F2E0000}"/>
    <cellStyle name="Normal 8 2 12" xfId="11775" xr:uid="{00000000-0005-0000-0000-0000102E0000}"/>
    <cellStyle name="Normal 8 2 13" xfId="11776" xr:uid="{00000000-0005-0000-0000-0000112E0000}"/>
    <cellStyle name="Normal 8 2 2" xfId="11777" xr:uid="{00000000-0005-0000-0000-0000122E0000}"/>
    <cellStyle name="Normal 8 2 2 2" xfId="11778" xr:uid="{00000000-0005-0000-0000-0000132E0000}"/>
    <cellStyle name="Normal 8 2 2 3" xfId="11779" xr:uid="{00000000-0005-0000-0000-0000142E0000}"/>
    <cellStyle name="Normal 8 2 2 4" xfId="11780" xr:uid="{00000000-0005-0000-0000-0000152E0000}"/>
    <cellStyle name="Normal 8 2 2 5" xfId="11781" xr:uid="{00000000-0005-0000-0000-0000162E0000}"/>
    <cellStyle name="Normal 8 2 3" xfId="11782" xr:uid="{00000000-0005-0000-0000-0000172E0000}"/>
    <cellStyle name="Normal 8 2 3 2" xfId="11783" xr:uid="{00000000-0005-0000-0000-0000182E0000}"/>
    <cellStyle name="Normal 8 2 3 3" xfId="11784" xr:uid="{00000000-0005-0000-0000-0000192E0000}"/>
    <cellStyle name="Normal 8 2 3 4" xfId="11785" xr:uid="{00000000-0005-0000-0000-00001A2E0000}"/>
    <cellStyle name="Normal 8 2 3 5" xfId="11786" xr:uid="{00000000-0005-0000-0000-00001B2E0000}"/>
    <cellStyle name="Normal 8 2 4" xfId="11787" xr:uid="{00000000-0005-0000-0000-00001C2E0000}"/>
    <cellStyle name="Normal 8 2 4 2" xfId="11788" xr:uid="{00000000-0005-0000-0000-00001D2E0000}"/>
    <cellStyle name="Normal 8 2 4 3" xfId="11789" xr:uid="{00000000-0005-0000-0000-00001E2E0000}"/>
    <cellStyle name="Normal 8 2 4 4" xfId="11790" xr:uid="{00000000-0005-0000-0000-00001F2E0000}"/>
    <cellStyle name="Normal 8 2 4 5" xfId="11791" xr:uid="{00000000-0005-0000-0000-0000202E0000}"/>
    <cellStyle name="Normal 8 2 5" xfId="11792" xr:uid="{00000000-0005-0000-0000-0000212E0000}"/>
    <cellStyle name="Normal 8 2 5 2" xfId="11793" xr:uid="{00000000-0005-0000-0000-0000222E0000}"/>
    <cellStyle name="Normal 8 2 5 3" xfId="11794" xr:uid="{00000000-0005-0000-0000-0000232E0000}"/>
    <cellStyle name="Normal 8 2 5 4" xfId="11795" xr:uid="{00000000-0005-0000-0000-0000242E0000}"/>
    <cellStyle name="Normal 8 2 5 5" xfId="11796" xr:uid="{00000000-0005-0000-0000-0000252E0000}"/>
    <cellStyle name="Normal 8 2 6" xfId="11797" xr:uid="{00000000-0005-0000-0000-0000262E0000}"/>
    <cellStyle name="Normal 8 2 6 2" xfId="11798" xr:uid="{00000000-0005-0000-0000-0000272E0000}"/>
    <cellStyle name="Normal 8 2 6 3" xfId="11799" xr:uid="{00000000-0005-0000-0000-0000282E0000}"/>
    <cellStyle name="Normal 8 2 6 4" xfId="11800" xr:uid="{00000000-0005-0000-0000-0000292E0000}"/>
    <cellStyle name="Normal 8 2 6 5" xfId="11801" xr:uid="{00000000-0005-0000-0000-00002A2E0000}"/>
    <cellStyle name="Normal 8 2 7" xfId="11802" xr:uid="{00000000-0005-0000-0000-00002B2E0000}"/>
    <cellStyle name="Normal 8 2 7 2" xfId="11803" xr:uid="{00000000-0005-0000-0000-00002C2E0000}"/>
    <cellStyle name="Normal 8 2 7 3" xfId="11804" xr:uid="{00000000-0005-0000-0000-00002D2E0000}"/>
    <cellStyle name="Normal 8 2 7 4" xfId="11805" xr:uid="{00000000-0005-0000-0000-00002E2E0000}"/>
    <cellStyle name="Normal 8 2 7 5" xfId="11806" xr:uid="{00000000-0005-0000-0000-00002F2E0000}"/>
    <cellStyle name="Normal 8 2 8" xfId="11807" xr:uid="{00000000-0005-0000-0000-0000302E0000}"/>
    <cellStyle name="Normal 8 2 8 2" xfId="11808" xr:uid="{00000000-0005-0000-0000-0000312E0000}"/>
    <cellStyle name="Normal 8 2 8 3" xfId="11809" xr:uid="{00000000-0005-0000-0000-0000322E0000}"/>
    <cellStyle name="Normal 8 2 8 4" xfId="11810" xr:uid="{00000000-0005-0000-0000-0000332E0000}"/>
    <cellStyle name="Normal 8 2 8 5" xfId="11811" xr:uid="{00000000-0005-0000-0000-0000342E0000}"/>
    <cellStyle name="Normal 8 2 9" xfId="11812" xr:uid="{00000000-0005-0000-0000-0000352E0000}"/>
    <cellStyle name="Normal 8 2 9 2" xfId="11813" xr:uid="{00000000-0005-0000-0000-0000362E0000}"/>
    <cellStyle name="Normal 8 2 9 3" xfId="11814" xr:uid="{00000000-0005-0000-0000-0000372E0000}"/>
    <cellStyle name="Normal 8 2 9 4" xfId="11815" xr:uid="{00000000-0005-0000-0000-0000382E0000}"/>
    <cellStyle name="Normal 8 3" xfId="11816" xr:uid="{00000000-0005-0000-0000-0000392E0000}"/>
    <cellStyle name="Normal 8 3 10" xfId="11817" xr:uid="{00000000-0005-0000-0000-00003A2E0000}"/>
    <cellStyle name="Normal 8 3 11" xfId="11818" xr:uid="{00000000-0005-0000-0000-00003B2E0000}"/>
    <cellStyle name="Normal 8 3 12" xfId="11819" xr:uid="{00000000-0005-0000-0000-00003C2E0000}"/>
    <cellStyle name="Normal 8 3 2" xfId="11820" xr:uid="{00000000-0005-0000-0000-00003D2E0000}"/>
    <cellStyle name="Normal 8 3 2 2" xfId="11821" xr:uid="{00000000-0005-0000-0000-00003E2E0000}"/>
    <cellStyle name="Normal 8 3 2 3" xfId="11822" xr:uid="{00000000-0005-0000-0000-00003F2E0000}"/>
    <cellStyle name="Normal 8 3 2 4" xfId="11823" xr:uid="{00000000-0005-0000-0000-0000402E0000}"/>
    <cellStyle name="Normal 8 3 2 5" xfId="11824" xr:uid="{00000000-0005-0000-0000-0000412E0000}"/>
    <cellStyle name="Normal 8 3 3" xfId="11825" xr:uid="{00000000-0005-0000-0000-0000422E0000}"/>
    <cellStyle name="Normal 8 3 3 2" xfId="11826" xr:uid="{00000000-0005-0000-0000-0000432E0000}"/>
    <cellStyle name="Normal 8 3 3 3" xfId="11827" xr:uid="{00000000-0005-0000-0000-0000442E0000}"/>
    <cellStyle name="Normal 8 3 3 4" xfId="11828" xr:uid="{00000000-0005-0000-0000-0000452E0000}"/>
    <cellStyle name="Normal 8 3 3 5" xfId="11829" xr:uid="{00000000-0005-0000-0000-0000462E0000}"/>
    <cellStyle name="Normal 8 3 4" xfId="11830" xr:uid="{00000000-0005-0000-0000-0000472E0000}"/>
    <cellStyle name="Normal 8 3 4 2" xfId="11831" xr:uid="{00000000-0005-0000-0000-0000482E0000}"/>
    <cellStyle name="Normal 8 3 4 3" xfId="11832" xr:uid="{00000000-0005-0000-0000-0000492E0000}"/>
    <cellStyle name="Normal 8 3 4 4" xfId="11833" xr:uid="{00000000-0005-0000-0000-00004A2E0000}"/>
    <cellStyle name="Normal 8 3 4 5" xfId="11834" xr:uid="{00000000-0005-0000-0000-00004B2E0000}"/>
    <cellStyle name="Normal 8 3 5" xfId="11835" xr:uid="{00000000-0005-0000-0000-00004C2E0000}"/>
    <cellStyle name="Normal 8 3 5 2" xfId="11836" xr:uid="{00000000-0005-0000-0000-00004D2E0000}"/>
    <cellStyle name="Normal 8 3 5 3" xfId="11837" xr:uid="{00000000-0005-0000-0000-00004E2E0000}"/>
    <cellStyle name="Normal 8 3 5 4" xfId="11838" xr:uid="{00000000-0005-0000-0000-00004F2E0000}"/>
    <cellStyle name="Normal 8 3 5 5" xfId="11839" xr:uid="{00000000-0005-0000-0000-0000502E0000}"/>
    <cellStyle name="Normal 8 3 6" xfId="11840" xr:uid="{00000000-0005-0000-0000-0000512E0000}"/>
    <cellStyle name="Normal 8 3 6 2" xfId="11841" xr:uid="{00000000-0005-0000-0000-0000522E0000}"/>
    <cellStyle name="Normal 8 3 6 3" xfId="11842" xr:uid="{00000000-0005-0000-0000-0000532E0000}"/>
    <cellStyle name="Normal 8 3 6 4" xfId="11843" xr:uid="{00000000-0005-0000-0000-0000542E0000}"/>
    <cellStyle name="Normal 8 3 6 5" xfId="11844" xr:uid="{00000000-0005-0000-0000-0000552E0000}"/>
    <cellStyle name="Normal 8 3 7" xfId="11845" xr:uid="{00000000-0005-0000-0000-0000562E0000}"/>
    <cellStyle name="Normal 8 3 7 2" xfId="11846" xr:uid="{00000000-0005-0000-0000-0000572E0000}"/>
    <cellStyle name="Normal 8 3 7 3" xfId="11847" xr:uid="{00000000-0005-0000-0000-0000582E0000}"/>
    <cellStyle name="Normal 8 3 7 4" xfId="11848" xr:uid="{00000000-0005-0000-0000-0000592E0000}"/>
    <cellStyle name="Normal 8 3 7 5" xfId="11849" xr:uid="{00000000-0005-0000-0000-00005A2E0000}"/>
    <cellStyle name="Normal 8 3 8" xfId="11850" xr:uid="{00000000-0005-0000-0000-00005B2E0000}"/>
    <cellStyle name="Normal 8 3 8 2" xfId="11851" xr:uid="{00000000-0005-0000-0000-00005C2E0000}"/>
    <cellStyle name="Normal 8 3 8 3" xfId="11852" xr:uid="{00000000-0005-0000-0000-00005D2E0000}"/>
    <cellStyle name="Normal 8 3 8 4" xfId="11853" xr:uid="{00000000-0005-0000-0000-00005E2E0000}"/>
    <cellStyle name="Normal 8 3 8 5" xfId="11854" xr:uid="{00000000-0005-0000-0000-00005F2E0000}"/>
    <cellStyle name="Normal 8 3 9" xfId="11855" xr:uid="{00000000-0005-0000-0000-0000602E0000}"/>
    <cellStyle name="Normal 8 4" xfId="11856" xr:uid="{00000000-0005-0000-0000-0000612E0000}"/>
    <cellStyle name="Normal 8 4 10" xfId="11857" xr:uid="{00000000-0005-0000-0000-0000622E0000}"/>
    <cellStyle name="Normal 8 4 11" xfId="11858" xr:uid="{00000000-0005-0000-0000-0000632E0000}"/>
    <cellStyle name="Normal 8 4 12" xfId="11859" xr:uid="{00000000-0005-0000-0000-0000642E0000}"/>
    <cellStyle name="Normal 8 4 2" xfId="11860" xr:uid="{00000000-0005-0000-0000-0000652E0000}"/>
    <cellStyle name="Normal 8 4 2 2" xfId="11861" xr:uid="{00000000-0005-0000-0000-0000662E0000}"/>
    <cellStyle name="Normal 8 4 2 3" xfId="11862" xr:uid="{00000000-0005-0000-0000-0000672E0000}"/>
    <cellStyle name="Normal 8 4 2 4" xfId="11863" xr:uid="{00000000-0005-0000-0000-0000682E0000}"/>
    <cellStyle name="Normal 8 4 2 5" xfId="11864" xr:uid="{00000000-0005-0000-0000-0000692E0000}"/>
    <cellStyle name="Normal 8 4 3" xfId="11865" xr:uid="{00000000-0005-0000-0000-00006A2E0000}"/>
    <cellStyle name="Normal 8 4 3 2" xfId="11866" xr:uid="{00000000-0005-0000-0000-00006B2E0000}"/>
    <cellStyle name="Normal 8 4 3 3" xfId="11867" xr:uid="{00000000-0005-0000-0000-00006C2E0000}"/>
    <cellStyle name="Normal 8 4 3 4" xfId="11868" xr:uid="{00000000-0005-0000-0000-00006D2E0000}"/>
    <cellStyle name="Normal 8 4 3 5" xfId="11869" xr:uid="{00000000-0005-0000-0000-00006E2E0000}"/>
    <cellStyle name="Normal 8 4 4" xfId="11870" xr:uid="{00000000-0005-0000-0000-00006F2E0000}"/>
    <cellStyle name="Normal 8 4 4 2" xfId="11871" xr:uid="{00000000-0005-0000-0000-0000702E0000}"/>
    <cellStyle name="Normal 8 4 4 3" xfId="11872" xr:uid="{00000000-0005-0000-0000-0000712E0000}"/>
    <cellStyle name="Normal 8 4 4 4" xfId="11873" xr:uid="{00000000-0005-0000-0000-0000722E0000}"/>
    <cellStyle name="Normal 8 4 4 5" xfId="11874" xr:uid="{00000000-0005-0000-0000-0000732E0000}"/>
    <cellStyle name="Normal 8 4 5" xfId="11875" xr:uid="{00000000-0005-0000-0000-0000742E0000}"/>
    <cellStyle name="Normal 8 4 5 2" xfId="11876" xr:uid="{00000000-0005-0000-0000-0000752E0000}"/>
    <cellStyle name="Normal 8 4 5 3" xfId="11877" xr:uid="{00000000-0005-0000-0000-0000762E0000}"/>
    <cellStyle name="Normal 8 4 5 4" xfId="11878" xr:uid="{00000000-0005-0000-0000-0000772E0000}"/>
    <cellStyle name="Normal 8 4 5 5" xfId="11879" xr:uid="{00000000-0005-0000-0000-0000782E0000}"/>
    <cellStyle name="Normal 8 4 6" xfId="11880" xr:uid="{00000000-0005-0000-0000-0000792E0000}"/>
    <cellStyle name="Normal 8 4 6 2" xfId="11881" xr:uid="{00000000-0005-0000-0000-00007A2E0000}"/>
    <cellStyle name="Normal 8 4 6 3" xfId="11882" xr:uid="{00000000-0005-0000-0000-00007B2E0000}"/>
    <cellStyle name="Normal 8 4 6 4" xfId="11883" xr:uid="{00000000-0005-0000-0000-00007C2E0000}"/>
    <cellStyle name="Normal 8 4 6 5" xfId="11884" xr:uid="{00000000-0005-0000-0000-00007D2E0000}"/>
    <cellStyle name="Normal 8 4 7" xfId="11885" xr:uid="{00000000-0005-0000-0000-00007E2E0000}"/>
    <cellStyle name="Normal 8 4 7 2" xfId="11886" xr:uid="{00000000-0005-0000-0000-00007F2E0000}"/>
    <cellStyle name="Normal 8 4 7 3" xfId="11887" xr:uid="{00000000-0005-0000-0000-0000802E0000}"/>
    <cellStyle name="Normal 8 4 7 4" xfId="11888" xr:uid="{00000000-0005-0000-0000-0000812E0000}"/>
    <cellStyle name="Normal 8 4 7 5" xfId="11889" xr:uid="{00000000-0005-0000-0000-0000822E0000}"/>
    <cellStyle name="Normal 8 4 8" xfId="11890" xr:uid="{00000000-0005-0000-0000-0000832E0000}"/>
    <cellStyle name="Normal 8 4 8 2" xfId="11891" xr:uid="{00000000-0005-0000-0000-0000842E0000}"/>
    <cellStyle name="Normal 8 4 8 3" xfId="11892" xr:uid="{00000000-0005-0000-0000-0000852E0000}"/>
    <cellStyle name="Normal 8 4 8 4" xfId="11893" xr:uid="{00000000-0005-0000-0000-0000862E0000}"/>
    <cellStyle name="Normal 8 4 8 5" xfId="11894" xr:uid="{00000000-0005-0000-0000-0000872E0000}"/>
    <cellStyle name="Normal 8 4 9" xfId="11895" xr:uid="{00000000-0005-0000-0000-0000882E0000}"/>
    <cellStyle name="Normal 8 5" xfId="11896" xr:uid="{00000000-0005-0000-0000-0000892E0000}"/>
    <cellStyle name="Normal 8 5 10" xfId="11897" xr:uid="{00000000-0005-0000-0000-00008A2E0000}"/>
    <cellStyle name="Normal 8 5 11" xfId="11898" xr:uid="{00000000-0005-0000-0000-00008B2E0000}"/>
    <cellStyle name="Normal 8 5 12" xfId="11899" xr:uid="{00000000-0005-0000-0000-00008C2E0000}"/>
    <cellStyle name="Normal 8 5 2" xfId="11900" xr:uid="{00000000-0005-0000-0000-00008D2E0000}"/>
    <cellStyle name="Normal 8 5 2 2" xfId="11901" xr:uid="{00000000-0005-0000-0000-00008E2E0000}"/>
    <cellStyle name="Normal 8 5 2 3" xfId="11902" xr:uid="{00000000-0005-0000-0000-00008F2E0000}"/>
    <cellStyle name="Normal 8 5 2 4" xfId="11903" xr:uid="{00000000-0005-0000-0000-0000902E0000}"/>
    <cellStyle name="Normal 8 5 2 5" xfId="11904" xr:uid="{00000000-0005-0000-0000-0000912E0000}"/>
    <cellStyle name="Normal 8 5 3" xfId="11905" xr:uid="{00000000-0005-0000-0000-0000922E0000}"/>
    <cellStyle name="Normal 8 5 3 2" xfId="11906" xr:uid="{00000000-0005-0000-0000-0000932E0000}"/>
    <cellStyle name="Normal 8 5 3 3" xfId="11907" xr:uid="{00000000-0005-0000-0000-0000942E0000}"/>
    <cellStyle name="Normal 8 5 3 4" xfId="11908" xr:uid="{00000000-0005-0000-0000-0000952E0000}"/>
    <cellStyle name="Normal 8 5 3 5" xfId="11909" xr:uid="{00000000-0005-0000-0000-0000962E0000}"/>
    <cellStyle name="Normal 8 5 4" xfId="11910" xr:uid="{00000000-0005-0000-0000-0000972E0000}"/>
    <cellStyle name="Normal 8 5 4 2" xfId="11911" xr:uid="{00000000-0005-0000-0000-0000982E0000}"/>
    <cellStyle name="Normal 8 5 4 3" xfId="11912" xr:uid="{00000000-0005-0000-0000-0000992E0000}"/>
    <cellStyle name="Normal 8 5 4 4" xfId="11913" xr:uid="{00000000-0005-0000-0000-00009A2E0000}"/>
    <cellStyle name="Normal 8 5 4 5" xfId="11914" xr:uid="{00000000-0005-0000-0000-00009B2E0000}"/>
    <cellStyle name="Normal 8 5 5" xfId="11915" xr:uid="{00000000-0005-0000-0000-00009C2E0000}"/>
    <cellStyle name="Normal 8 5 5 2" xfId="11916" xr:uid="{00000000-0005-0000-0000-00009D2E0000}"/>
    <cellStyle name="Normal 8 5 5 3" xfId="11917" xr:uid="{00000000-0005-0000-0000-00009E2E0000}"/>
    <cellStyle name="Normal 8 5 5 4" xfId="11918" xr:uid="{00000000-0005-0000-0000-00009F2E0000}"/>
    <cellStyle name="Normal 8 5 5 5" xfId="11919" xr:uid="{00000000-0005-0000-0000-0000A02E0000}"/>
    <cellStyle name="Normal 8 5 6" xfId="11920" xr:uid="{00000000-0005-0000-0000-0000A12E0000}"/>
    <cellStyle name="Normal 8 5 6 2" xfId="11921" xr:uid="{00000000-0005-0000-0000-0000A22E0000}"/>
    <cellStyle name="Normal 8 5 6 3" xfId="11922" xr:uid="{00000000-0005-0000-0000-0000A32E0000}"/>
    <cellStyle name="Normal 8 5 6 4" xfId="11923" xr:uid="{00000000-0005-0000-0000-0000A42E0000}"/>
    <cellStyle name="Normal 8 5 6 5" xfId="11924" xr:uid="{00000000-0005-0000-0000-0000A52E0000}"/>
    <cellStyle name="Normal 8 5 7" xfId="11925" xr:uid="{00000000-0005-0000-0000-0000A62E0000}"/>
    <cellStyle name="Normal 8 5 7 2" xfId="11926" xr:uid="{00000000-0005-0000-0000-0000A72E0000}"/>
    <cellStyle name="Normal 8 5 7 3" xfId="11927" xr:uid="{00000000-0005-0000-0000-0000A82E0000}"/>
    <cellStyle name="Normal 8 5 7 4" xfId="11928" xr:uid="{00000000-0005-0000-0000-0000A92E0000}"/>
    <cellStyle name="Normal 8 5 7 5" xfId="11929" xr:uid="{00000000-0005-0000-0000-0000AA2E0000}"/>
    <cellStyle name="Normal 8 5 8" xfId="11930" xr:uid="{00000000-0005-0000-0000-0000AB2E0000}"/>
    <cellStyle name="Normal 8 5 8 2" xfId="11931" xr:uid="{00000000-0005-0000-0000-0000AC2E0000}"/>
    <cellStyle name="Normal 8 5 8 3" xfId="11932" xr:uid="{00000000-0005-0000-0000-0000AD2E0000}"/>
    <cellStyle name="Normal 8 5 8 4" xfId="11933" xr:uid="{00000000-0005-0000-0000-0000AE2E0000}"/>
    <cellStyle name="Normal 8 5 8 5" xfId="11934" xr:uid="{00000000-0005-0000-0000-0000AF2E0000}"/>
    <cellStyle name="Normal 8 5 9" xfId="11935" xr:uid="{00000000-0005-0000-0000-0000B02E0000}"/>
    <cellStyle name="Normal 8 6" xfId="11936" xr:uid="{00000000-0005-0000-0000-0000B12E0000}"/>
    <cellStyle name="Normal 8 6 2" xfId="11937" xr:uid="{00000000-0005-0000-0000-0000B22E0000}"/>
    <cellStyle name="Normal 8 6 3" xfId="11938" xr:uid="{00000000-0005-0000-0000-0000B32E0000}"/>
    <cellStyle name="Normal 8 6 4" xfId="11939" xr:uid="{00000000-0005-0000-0000-0000B42E0000}"/>
    <cellStyle name="Normal 8 6 5" xfId="11940" xr:uid="{00000000-0005-0000-0000-0000B52E0000}"/>
    <cellStyle name="Normal 8 7" xfId="11941" xr:uid="{00000000-0005-0000-0000-0000B62E0000}"/>
    <cellStyle name="Normal 8 7 2" xfId="11942" xr:uid="{00000000-0005-0000-0000-0000B72E0000}"/>
    <cellStyle name="Normal 8 7 3" xfId="11943" xr:uid="{00000000-0005-0000-0000-0000B82E0000}"/>
    <cellStyle name="Normal 8 7 4" xfId="11944" xr:uid="{00000000-0005-0000-0000-0000B92E0000}"/>
    <cellStyle name="Normal 8 7 5" xfId="11945" xr:uid="{00000000-0005-0000-0000-0000BA2E0000}"/>
    <cellStyle name="Normal 8 8" xfId="11946" xr:uid="{00000000-0005-0000-0000-0000BB2E0000}"/>
    <cellStyle name="Normal 8 8 2" xfId="11947" xr:uid="{00000000-0005-0000-0000-0000BC2E0000}"/>
    <cellStyle name="Normal 8 8 3" xfId="11948" xr:uid="{00000000-0005-0000-0000-0000BD2E0000}"/>
    <cellStyle name="Normal 8 8 4" xfId="11949" xr:uid="{00000000-0005-0000-0000-0000BE2E0000}"/>
    <cellStyle name="Normal 8 8 5" xfId="11950" xr:uid="{00000000-0005-0000-0000-0000BF2E0000}"/>
    <cellStyle name="Normal 8 9" xfId="11951" xr:uid="{00000000-0005-0000-0000-0000C02E0000}"/>
    <cellStyle name="Normal 8 9 2" xfId="11952" xr:uid="{00000000-0005-0000-0000-0000C12E0000}"/>
    <cellStyle name="Normal 8 9 3" xfId="11953" xr:uid="{00000000-0005-0000-0000-0000C22E0000}"/>
    <cellStyle name="Normal 8 9 4" xfId="11954" xr:uid="{00000000-0005-0000-0000-0000C32E0000}"/>
    <cellStyle name="Normal 8 9 5" xfId="11955" xr:uid="{00000000-0005-0000-0000-0000C42E0000}"/>
    <cellStyle name="Normal 9" xfId="11956" xr:uid="{00000000-0005-0000-0000-0000C52E0000}"/>
    <cellStyle name="Normal 9 10" xfId="11957" xr:uid="{00000000-0005-0000-0000-0000C62E0000}"/>
    <cellStyle name="Normal 9 10 2" xfId="11958" xr:uid="{00000000-0005-0000-0000-0000C72E0000}"/>
    <cellStyle name="Normal 9 10 2 2" xfId="11959" xr:uid="{00000000-0005-0000-0000-0000C82E0000}"/>
    <cellStyle name="Normal 9 10 2 2 2" xfId="11960" xr:uid="{00000000-0005-0000-0000-0000C92E0000}"/>
    <cellStyle name="Normal 9 10 2 2 2 2" xfId="11961" xr:uid="{00000000-0005-0000-0000-0000CA2E0000}"/>
    <cellStyle name="Normal 9 10 2 2 2 3" xfId="11962" xr:uid="{00000000-0005-0000-0000-0000CB2E0000}"/>
    <cellStyle name="Normal 9 10 2 2 3" xfId="11963" xr:uid="{00000000-0005-0000-0000-0000CC2E0000}"/>
    <cellStyle name="Normal 9 10 2 2 4" xfId="11964" xr:uid="{00000000-0005-0000-0000-0000CD2E0000}"/>
    <cellStyle name="Normal 9 10 2 3" xfId="11965" xr:uid="{00000000-0005-0000-0000-0000CE2E0000}"/>
    <cellStyle name="Normal 9 10 2 3 2" xfId="11966" xr:uid="{00000000-0005-0000-0000-0000CF2E0000}"/>
    <cellStyle name="Normal 9 10 2 3 2 2" xfId="11967" xr:uid="{00000000-0005-0000-0000-0000D02E0000}"/>
    <cellStyle name="Normal 9 10 2 3 2 3" xfId="11968" xr:uid="{00000000-0005-0000-0000-0000D12E0000}"/>
    <cellStyle name="Normal 9 10 2 3 3" xfId="11969" xr:uid="{00000000-0005-0000-0000-0000D22E0000}"/>
    <cellStyle name="Normal 9 10 2 3 4" xfId="11970" xr:uid="{00000000-0005-0000-0000-0000D32E0000}"/>
    <cellStyle name="Normal 9 10 2 4" xfId="11971" xr:uid="{00000000-0005-0000-0000-0000D42E0000}"/>
    <cellStyle name="Normal 9 10 2 4 2" xfId="11972" xr:uid="{00000000-0005-0000-0000-0000D52E0000}"/>
    <cellStyle name="Normal 9 10 2 4 3" xfId="11973" xr:uid="{00000000-0005-0000-0000-0000D62E0000}"/>
    <cellStyle name="Normal 9 10 2 5" xfId="11974" xr:uid="{00000000-0005-0000-0000-0000D72E0000}"/>
    <cellStyle name="Normal 9 10 2 6" xfId="11975" xr:uid="{00000000-0005-0000-0000-0000D82E0000}"/>
    <cellStyle name="Normal 9 10 2 7" xfId="11976" xr:uid="{00000000-0005-0000-0000-0000D92E0000}"/>
    <cellStyle name="Normal 9 10 3" xfId="11977" xr:uid="{00000000-0005-0000-0000-0000DA2E0000}"/>
    <cellStyle name="Normal 9 10 3 2" xfId="11978" xr:uid="{00000000-0005-0000-0000-0000DB2E0000}"/>
    <cellStyle name="Normal 9 10 3 2 2" xfId="11979" xr:uid="{00000000-0005-0000-0000-0000DC2E0000}"/>
    <cellStyle name="Normal 9 10 3 2 3" xfId="11980" xr:uid="{00000000-0005-0000-0000-0000DD2E0000}"/>
    <cellStyle name="Normal 9 10 3 3" xfId="11981" xr:uid="{00000000-0005-0000-0000-0000DE2E0000}"/>
    <cellStyle name="Normal 9 10 3 4" xfId="11982" xr:uid="{00000000-0005-0000-0000-0000DF2E0000}"/>
    <cellStyle name="Normal 9 10 4" xfId="11983" xr:uid="{00000000-0005-0000-0000-0000E02E0000}"/>
    <cellStyle name="Normal 9 10 4 2" xfId="11984" xr:uid="{00000000-0005-0000-0000-0000E12E0000}"/>
    <cellStyle name="Normal 9 10 4 2 2" xfId="11985" xr:uid="{00000000-0005-0000-0000-0000E22E0000}"/>
    <cellStyle name="Normal 9 10 4 2 3" xfId="11986" xr:uid="{00000000-0005-0000-0000-0000E32E0000}"/>
    <cellStyle name="Normal 9 10 4 3" xfId="11987" xr:uid="{00000000-0005-0000-0000-0000E42E0000}"/>
    <cellStyle name="Normal 9 10 4 4" xfId="11988" xr:uid="{00000000-0005-0000-0000-0000E52E0000}"/>
    <cellStyle name="Normal 9 10 5" xfId="11989" xr:uid="{00000000-0005-0000-0000-0000E62E0000}"/>
    <cellStyle name="Normal 9 10 5 2" xfId="11990" xr:uid="{00000000-0005-0000-0000-0000E72E0000}"/>
    <cellStyle name="Normal 9 10 5 3" xfId="11991" xr:uid="{00000000-0005-0000-0000-0000E82E0000}"/>
    <cellStyle name="Normal 9 10 6" xfId="11992" xr:uid="{00000000-0005-0000-0000-0000E92E0000}"/>
    <cellStyle name="Normal 9 10 7" xfId="11993" xr:uid="{00000000-0005-0000-0000-0000EA2E0000}"/>
    <cellStyle name="Normal 9 10 8" xfId="11994" xr:uid="{00000000-0005-0000-0000-0000EB2E0000}"/>
    <cellStyle name="Normal 9 11" xfId="11995" xr:uid="{00000000-0005-0000-0000-0000EC2E0000}"/>
    <cellStyle name="Normal 9 11 2" xfId="11996" xr:uid="{00000000-0005-0000-0000-0000ED2E0000}"/>
    <cellStyle name="Normal 9 11 2 2" xfId="11997" xr:uid="{00000000-0005-0000-0000-0000EE2E0000}"/>
    <cellStyle name="Normal 9 11 2 2 2" xfId="11998" xr:uid="{00000000-0005-0000-0000-0000EF2E0000}"/>
    <cellStyle name="Normal 9 11 2 2 2 2" xfId="11999" xr:uid="{00000000-0005-0000-0000-0000F02E0000}"/>
    <cellStyle name="Normal 9 11 2 2 2 3" xfId="12000" xr:uid="{00000000-0005-0000-0000-0000F12E0000}"/>
    <cellStyle name="Normal 9 11 2 2 3" xfId="12001" xr:uid="{00000000-0005-0000-0000-0000F22E0000}"/>
    <cellStyle name="Normal 9 11 2 2 4" xfId="12002" xr:uid="{00000000-0005-0000-0000-0000F32E0000}"/>
    <cellStyle name="Normal 9 11 2 3" xfId="12003" xr:uid="{00000000-0005-0000-0000-0000F42E0000}"/>
    <cellStyle name="Normal 9 11 2 3 2" xfId="12004" xr:uid="{00000000-0005-0000-0000-0000F52E0000}"/>
    <cellStyle name="Normal 9 11 2 3 2 2" xfId="12005" xr:uid="{00000000-0005-0000-0000-0000F62E0000}"/>
    <cellStyle name="Normal 9 11 2 3 2 3" xfId="12006" xr:uid="{00000000-0005-0000-0000-0000F72E0000}"/>
    <cellStyle name="Normal 9 11 2 3 3" xfId="12007" xr:uid="{00000000-0005-0000-0000-0000F82E0000}"/>
    <cellStyle name="Normal 9 11 2 3 4" xfId="12008" xr:uid="{00000000-0005-0000-0000-0000F92E0000}"/>
    <cellStyle name="Normal 9 11 2 4" xfId="12009" xr:uid="{00000000-0005-0000-0000-0000FA2E0000}"/>
    <cellStyle name="Normal 9 11 2 4 2" xfId="12010" xr:uid="{00000000-0005-0000-0000-0000FB2E0000}"/>
    <cellStyle name="Normal 9 11 2 4 3" xfId="12011" xr:uid="{00000000-0005-0000-0000-0000FC2E0000}"/>
    <cellStyle name="Normal 9 11 2 5" xfId="12012" xr:uid="{00000000-0005-0000-0000-0000FD2E0000}"/>
    <cellStyle name="Normal 9 11 2 6" xfId="12013" xr:uid="{00000000-0005-0000-0000-0000FE2E0000}"/>
    <cellStyle name="Normal 9 11 2 7" xfId="12014" xr:uid="{00000000-0005-0000-0000-0000FF2E0000}"/>
    <cellStyle name="Normal 9 11 3" xfId="12015" xr:uid="{00000000-0005-0000-0000-0000002F0000}"/>
    <cellStyle name="Normal 9 11 3 2" xfId="12016" xr:uid="{00000000-0005-0000-0000-0000012F0000}"/>
    <cellStyle name="Normal 9 11 3 2 2" xfId="12017" xr:uid="{00000000-0005-0000-0000-0000022F0000}"/>
    <cellStyle name="Normal 9 11 3 2 3" xfId="12018" xr:uid="{00000000-0005-0000-0000-0000032F0000}"/>
    <cellStyle name="Normal 9 11 3 3" xfId="12019" xr:uid="{00000000-0005-0000-0000-0000042F0000}"/>
    <cellStyle name="Normal 9 11 3 4" xfId="12020" xr:uid="{00000000-0005-0000-0000-0000052F0000}"/>
    <cellStyle name="Normal 9 11 4" xfId="12021" xr:uid="{00000000-0005-0000-0000-0000062F0000}"/>
    <cellStyle name="Normal 9 11 4 2" xfId="12022" xr:uid="{00000000-0005-0000-0000-0000072F0000}"/>
    <cellStyle name="Normal 9 11 4 2 2" xfId="12023" xr:uid="{00000000-0005-0000-0000-0000082F0000}"/>
    <cellStyle name="Normal 9 11 4 2 3" xfId="12024" xr:uid="{00000000-0005-0000-0000-0000092F0000}"/>
    <cellStyle name="Normal 9 11 4 3" xfId="12025" xr:uid="{00000000-0005-0000-0000-00000A2F0000}"/>
    <cellStyle name="Normal 9 11 4 4" xfId="12026" xr:uid="{00000000-0005-0000-0000-00000B2F0000}"/>
    <cellStyle name="Normal 9 11 5" xfId="12027" xr:uid="{00000000-0005-0000-0000-00000C2F0000}"/>
    <cellStyle name="Normal 9 11 5 2" xfId="12028" xr:uid="{00000000-0005-0000-0000-00000D2F0000}"/>
    <cellStyle name="Normal 9 11 5 3" xfId="12029" xr:uid="{00000000-0005-0000-0000-00000E2F0000}"/>
    <cellStyle name="Normal 9 11 6" xfId="12030" xr:uid="{00000000-0005-0000-0000-00000F2F0000}"/>
    <cellStyle name="Normal 9 11 7" xfId="12031" xr:uid="{00000000-0005-0000-0000-0000102F0000}"/>
    <cellStyle name="Normal 9 11 8" xfId="12032" xr:uid="{00000000-0005-0000-0000-0000112F0000}"/>
    <cellStyle name="Normal 9 12" xfId="12033" xr:uid="{00000000-0005-0000-0000-0000122F0000}"/>
    <cellStyle name="Normal 9 12 2" xfId="12034" xr:uid="{00000000-0005-0000-0000-0000132F0000}"/>
    <cellStyle name="Normal 9 12 2 2" xfId="12035" xr:uid="{00000000-0005-0000-0000-0000142F0000}"/>
    <cellStyle name="Normal 9 12 2 2 2" xfId="12036" xr:uid="{00000000-0005-0000-0000-0000152F0000}"/>
    <cellStyle name="Normal 9 12 2 2 3" xfId="12037" xr:uid="{00000000-0005-0000-0000-0000162F0000}"/>
    <cellStyle name="Normal 9 12 2 3" xfId="12038" xr:uid="{00000000-0005-0000-0000-0000172F0000}"/>
    <cellStyle name="Normal 9 12 2 4" xfId="12039" xr:uid="{00000000-0005-0000-0000-0000182F0000}"/>
    <cellStyle name="Normal 9 12 3" xfId="12040" xr:uid="{00000000-0005-0000-0000-0000192F0000}"/>
    <cellStyle name="Normal 9 12 3 2" xfId="12041" xr:uid="{00000000-0005-0000-0000-00001A2F0000}"/>
    <cellStyle name="Normal 9 12 3 2 2" xfId="12042" xr:uid="{00000000-0005-0000-0000-00001B2F0000}"/>
    <cellStyle name="Normal 9 12 3 2 3" xfId="12043" xr:uid="{00000000-0005-0000-0000-00001C2F0000}"/>
    <cellStyle name="Normal 9 12 3 3" xfId="12044" xr:uid="{00000000-0005-0000-0000-00001D2F0000}"/>
    <cellStyle name="Normal 9 12 3 4" xfId="12045" xr:uid="{00000000-0005-0000-0000-00001E2F0000}"/>
    <cellStyle name="Normal 9 12 4" xfId="12046" xr:uid="{00000000-0005-0000-0000-00001F2F0000}"/>
    <cellStyle name="Normal 9 12 4 2" xfId="12047" xr:uid="{00000000-0005-0000-0000-0000202F0000}"/>
    <cellStyle name="Normal 9 12 4 3" xfId="12048" xr:uid="{00000000-0005-0000-0000-0000212F0000}"/>
    <cellStyle name="Normal 9 12 5" xfId="12049" xr:uid="{00000000-0005-0000-0000-0000222F0000}"/>
    <cellStyle name="Normal 9 12 6" xfId="12050" xr:uid="{00000000-0005-0000-0000-0000232F0000}"/>
    <cellStyle name="Normal 9 12 7" xfId="12051" xr:uid="{00000000-0005-0000-0000-0000242F0000}"/>
    <cellStyle name="Normal 9 13" xfId="12052" xr:uid="{00000000-0005-0000-0000-0000252F0000}"/>
    <cellStyle name="Normal 9 13 2" xfId="12053" xr:uid="{00000000-0005-0000-0000-0000262F0000}"/>
    <cellStyle name="Normal 9 13 2 2" xfId="12054" xr:uid="{00000000-0005-0000-0000-0000272F0000}"/>
    <cellStyle name="Normal 9 13 2 2 2" xfId="12055" xr:uid="{00000000-0005-0000-0000-0000282F0000}"/>
    <cellStyle name="Normal 9 13 2 2 3" xfId="12056" xr:uid="{00000000-0005-0000-0000-0000292F0000}"/>
    <cellStyle name="Normal 9 13 2 3" xfId="12057" xr:uid="{00000000-0005-0000-0000-00002A2F0000}"/>
    <cellStyle name="Normal 9 13 2 4" xfId="12058" xr:uid="{00000000-0005-0000-0000-00002B2F0000}"/>
    <cellStyle name="Normal 9 13 3" xfId="12059" xr:uid="{00000000-0005-0000-0000-00002C2F0000}"/>
    <cellStyle name="Normal 9 13 3 2" xfId="12060" xr:uid="{00000000-0005-0000-0000-00002D2F0000}"/>
    <cellStyle name="Normal 9 13 3 3" xfId="12061" xr:uid="{00000000-0005-0000-0000-00002E2F0000}"/>
    <cellStyle name="Normal 9 13 4" xfId="12062" xr:uid="{00000000-0005-0000-0000-00002F2F0000}"/>
    <cellStyle name="Normal 9 13 5" xfId="12063" xr:uid="{00000000-0005-0000-0000-0000302F0000}"/>
    <cellStyle name="Normal 9 13 6" xfId="12064" xr:uid="{00000000-0005-0000-0000-0000312F0000}"/>
    <cellStyle name="Normal 9 14" xfId="12065" xr:uid="{00000000-0005-0000-0000-0000322F0000}"/>
    <cellStyle name="Normal 9 14 2" xfId="12066" xr:uid="{00000000-0005-0000-0000-0000332F0000}"/>
    <cellStyle name="Normal 9 14 3" xfId="12067" xr:uid="{00000000-0005-0000-0000-0000342F0000}"/>
    <cellStyle name="Normal 9 15" xfId="12068" xr:uid="{00000000-0005-0000-0000-0000352F0000}"/>
    <cellStyle name="Normal 9 16" xfId="12069" xr:uid="{00000000-0005-0000-0000-0000362F0000}"/>
    <cellStyle name="Normal 9 17" xfId="12070" xr:uid="{00000000-0005-0000-0000-0000372F0000}"/>
    <cellStyle name="Normal 9 18" xfId="12071" xr:uid="{00000000-0005-0000-0000-0000382F0000}"/>
    <cellStyle name="Normal 9 2" xfId="12072" xr:uid="{00000000-0005-0000-0000-0000392F0000}"/>
    <cellStyle name="Normal 9 2 10" xfId="12073" xr:uid="{00000000-0005-0000-0000-00003A2F0000}"/>
    <cellStyle name="Normal 9 2 11" xfId="12074" xr:uid="{00000000-0005-0000-0000-00003B2F0000}"/>
    <cellStyle name="Normal 9 2 2" xfId="12075" xr:uid="{00000000-0005-0000-0000-00003C2F0000}"/>
    <cellStyle name="Normal 9 2 2 2" xfId="12076" xr:uid="{00000000-0005-0000-0000-00003D2F0000}"/>
    <cellStyle name="Normal 9 2 2 2 2" xfId="12077" xr:uid="{00000000-0005-0000-0000-00003E2F0000}"/>
    <cellStyle name="Normal 9 2 2 2 3" xfId="12078" xr:uid="{00000000-0005-0000-0000-00003F2F0000}"/>
    <cellStyle name="Normal 9 2 2 2 4" xfId="12079" xr:uid="{00000000-0005-0000-0000-0000402F0000}"/>
    <cellStyle name="Normal 9 2 2 3" xfId="12080" xr:uid="{00000000-0005-0000-0000-0000412F0000}"/>
    <cellStyle name="Normal 9 2 2 3 2" xfId="12081" xr:uid="{00000000-0005-0000-0000-0000422F0000}"/>
    <cellStyle name="Normal 9 2 2 3 2 2" xfId="12082" xr:uid="{00000000-0005-0000-0000-0000432F0000}"/>
    <cellStyle name="Normal 9 2 2 3 2 2 2" xfId="12083" xr:uid="{00000000-0005-0000-0000-0000442F0000}"/>
    <cellStyle name="Normal 9 2 2 3 2 2 3" xfId="12084" xr:uid="{00000000-0005-0000-0000-0000452F0000}"/>
    <cellStyle name="Normal 9 2 2 3 2 3" xfId="12085" xr:uid="{00000000-0005-0000-0000-0000462F0000}"/>
    <cellStyle name="Normal 9 2 2 3 2 4" xfId="12086" xr:uid="{00000000-0005-0000-0000-0000472F0000}"/>
    <cellStyle name="Normal 9 2 2 3 3" xfId="12087" xr:uid="{00000000-0005-0000-0000-0000482F0000}"/>
    <cellStyle name="Normal 9 2 2 3 3 2" xfId="12088" xr:uid="{00000000-0005-0000-0000-0000492F0000}"/>
    <cellStyle name="Normal 9 2 2 3 3 2 2" xfId="12089" xr:uid="{00000000-0005-0000-0000-00004A2F0000}"/>
    <cellStyle name="Normal 9 2 2 3 3 2 3" xfId="12090" xr:uid="{00000000-0005-0000-0000-00004B2F0000}"/>
    <cellStyle name="Normal 9 2 2 3 3 3" xfId="12091" xr:uid="{00000000-0005-0000-0000-00004C2F0000}"/>
    <cellStyle name="Normal 9 2 2 3 3 4" xfId="12092" xr:uid="{00000000-0005-0000-0000-00004D2F0000}"/>
    <cellStyle name="Normal 9 2 2 3 4" xfId="12093" xr:uid="{00000000-0005-0000-0000-00004E2F0000}"/>
    <cellStyle name="Normal 9 2 2 3 4 2" xfId="12094" xr:uid="{00000000-0005-0000-0000-00004F2F0000}"/>
    <cellStyle name="Normal 9 2 2 3 4 3" xfId="12095" xr:uid="{00000000-0005-0000-0000-0000502F0000}"/>
    <cellStyle name="Normal 9 2 2 3 5" xfId="12096" xr:uid="{00000000-0005-0000-0000-0000512F0000}"/>
    <cellStyle name="Normal 9 2 2 3 6" xfId="12097" xr:uid="{00000000-0005-0000-0000-0000522F0000}"/>
    <cellStyle name="Normal 9 2 2 3 7" xfId="12098" xr:uid="{00000000-0005-0000-0000-0000532F0000}"/>
    <cellStyle name="Normal 9 2 2 4" xfId="12099" xr:uid="{00000000-0005-0000-0000-0000542F0000}"/>
    <cellStyle name="Normal 9 2 2 4 2" xfId="12100" xr:uid="{00000000-0005-0000-0000-0000552F0000}"/>
    <cellStyle name="Normal 9 2 2 4 2 2" xfId="12101" xr:uid="{00000000-0005-0000-0000-0000562F0000}"/>
    <cellStyle name="Normal 9 2 2 4 2 3" xfId="12102" xr:uid="{00000000-0005-0000-0000-0000572F0000}"/>
    <cellStyle name="Normal 9 2 2 4 3" xfId="12103" xr:uid="{00000000-0005-0000-0000-0000582F0000}"/>
    <cellStyle name="Normal 9 2 2 4 4" xfId="12104" xr:uid="{00000000-0005-0000-0000-0000592F0000}"/>
    <cellStyle name="Normal 9 2 2 5" xfId="12105" xr:uid="{00000000-0005-0000-0000-00005A2F0000}"/>
    <cellStyle name="Normal 9 2 2 5 2" xfId="12106" xr:uid="{00000000-0005-0000-0000-00005B2F0000}"/>
    <cellStyle name="Normal 9 2 2 5 2 2" xfId="12107" xr:uid="{00000000-0005-0000-0000-00005C2F0000}"/>
    <cellStyle name="Normal 9 2 2 5 2 3" xfId="12108" xr:uid="{00000000-0005-0000-0000-00005D2F0000}"/>
    <cellStyle name="Normal 9 2 2 5 3" xfId="12109" xr:uid="{00000000-0005-0000-0000-00005E2F0000}"/>
    <cellStyle name="Normal 9 2 2 5 4" xfId="12110" xr:uid="{00000000-0005-0000-0000-00005F2F0000}"/>
    <cellStyle name="Normal 9 2 2 6" xfId="12111" xr:uid="{00000000-0005-0000-0000-0000602F0000}"/>
    <cellStyle name="Normal 9 2 2 6 2" xfId="12112" xr:uid="{00000000-0005-0000-0000-0000612F0000}"/>
    <cellStyle name="Normal 9 2 2 6 3" xfId="12113" xr:uid="{00000000-0005-0000-0000-0000622F0000}"/>
    <cellStyle name="Normal 9 2 2 7" xfId="12114" xr:uid="{00000000-0005-0000-0000-0000632F0000}"/>
    <cellStyle name="Normal 9 2 2 8" xfId="12115" xr:uid="{00000000-0005-0000-0000-0000642F0000}"/>
    <cellStyle name="Normal 9 2 2 9" xfId="12116" xr:uid="{00000000-0005-0000-0000-0000652F0000}"/>
    <cellStyle name="Normal 9 2 3" xfId="12117" xr:uid="{00000000-0005-0000-0000-0000662F0000}"/>
    <cellStyle name="Normal 9 2 3 2" xfId="12118" xr:uid="{00000000-0005-0000-0000-0000672F0000}"/>
    <cellStyle name="Normal 9 2 3 2 2" xfId="12119" xr:uid="{00000000-0005-0000-0000-0000682F0000}"/>
    <cellStyle name="Normal 9 2 3 2 2 2" xfId="12120" xr:uid="{00000000-0005-0000-0000-0000692F0000}"/>
    <cellStyle name="Normal 9 2 3 2 2 2 2" xfId="12121" xr:uid="{00000000-0005-0000-0000-00006A2F0000}"/>
    <cellStyle name="Normal 9 2 3 2 2 2 3" xfId="12122" xr:uid="{00000000-0005-0000-0000-00006B2F0000}"/>
    <cellStyle name="Normal 9 2 3 2 2 3" xfId="12123" xr:uid="{00000000-0005-0000-0000-00006C2F0000}"/>
    <cellStyle name="Normal 9 2 3 2 2 4" xfId="12124" xr:uid="{00000000-0005-0000-0000-00006D2F0000}"/>
    <cellStyle name="Normal 9 2 3 2 3" xfId="12125" xr:uid="{00000000-0005-0000-0000-00006E2F0000}"/>
    <cellStyle name="Normal 9 2 3 2 3 2" xfId="12126" xr:uid="{00000000-0005-0000-0000-00006F2F0000}"/>
    <cellStyle name="Normal 9 2 3 2 3 2 2" xfId="12127" xr:uid="{00000000-0005-0000-0000-0000702F0000}"/>
    <cellStyle name="Normal 9 2 3 2 3 2 3" xfId="12128" xr:uid="{00000000-0005-0000-0000-0000712F0000}"/>
    <cellStyle name="Normal 9 2 3 2 3 3" xfId="12129" xr:uid="{00000000-0005-0000-0000-0000722F0000}"/>
    <cellStyle name="Normal 9 2 3 2 3 4" xfId="12130" xr:uid="{00000000-0005-0000-0000-0000732F0000}"/>
    <cellStyle name="Normal 9 2 3 2 4" xfId="12131" xr:uid="{00000000-0005-0000-0000-0000742F0000}"/>
    <cellStyle name="Normal 9 2 3 2 4 2" xfId="12132" xr:uid="{00000000-0005-0000-0000-0000752F0000}"/>
    <cellStyle name="Normal 9 2 3 2 4 3" xfId="12133" xr:uid="{00000000-0005-0000-0000-0000762F0000}"/>
    <cellStyle name="Normal 9 2 3 2 5" xfId="12134" xr:uid="{00000000-0005-0000-0000-0000772F0000}"/>
    <cellStyle name="Normal 9 2 3 2 6" xfId="12135" xr:uid="{00000000-0005-0000-0000-0000782F0000}"/>
    <cellStyle name="Normal 9 2 3 2 7" xfId="12136" xr:uid="{00000000-0005-0000-0000-0000792F0000}"/>
    <cellStyle name="Normal 9 2 3 3" xfId="12137" xr:uid="{00000000-0005-0000-0000-00007A2F0000}"/>
    <cellStyle name="Normal 9 2 3 3 2" xfId="12138" xr:uid="{00000000-0005-0000-0000-00007B2F0000}"/>
    <cellStyle name="Normal 9 2 3 3 2 2" xfId="12139" xr:uid="{00000000-0005-0000-0000-00007C2F0000}"/>
    <cellStyle name="Normal 9 2 3 3 2 3" xfId="12140" xr:uid="{00000000-0005-0000-0000-00007D2F0000}"/>
    <cellStyle name="Normal 9 2 3 3 3" xfId="12141" xr:uid="{00000000-0005-0000-0000-00007E2F0000}"/>
    <cellStyle name="Normal 9 2 3 3 4" xfId="12142" xr:uid="{00000000-0005-0000-0000-00007F2F0000}"/>
    <cellStyle name="Normal 9 2 3 4" xfId="12143" xr:uid="{00000000-0005-0000-0000-0000802F0000}"/>
    <cellStyle name="Normal 9 2 3 4 2" xfId="12144" xr:uid="{00000000-0005-0000-0000-0000812F0000}"/>
    <cellStyle name="Normal 9 2 3 4 2 2" xfId="12145" xr:uid="{00000000-0005-0000-0000-0000822F0000}"/>
    <cellStyle name="Normal 9 2 3 4 2 3" xfId="12146" xr:uid="{00000000-0005-0000-0000-0000832F0000}"/>
    <cellStyle name="Normal 9 2 3 4 3" xfId="12147" xr:uid="{00000000-0005-0000-0000-0000842F0000}"/>
    <cellStyle name="Normal 9 2 3 4 4" xfId="12148" xr:uid="{00000000-0005-0000-0000-0000852F0000}"/>
    <cellStyle name="Normal 9 2 3 5" xfId="12149" xr:uid="{00000000-0005-0000-0000-0000862F0000}"/>
    <cellStyle name="Normal 9 2 3 5 2" xfId="12150" xr:uid="{00000000-0005-0000-0000-0000872F0000}"/>
    <cellStyle name="Normal 9 2 3 5 3" xfId="12151" xr:uid="{00000000-0005-0000-0000-0000882F0000}"/>
    <cellStyle name="Normal 9 2 3 6" xfId="12152" xr:uid="{00000000-0005-0000-0000-0000892F0000}"/>
    <cellStyle name="Normal 9 2 3 7" xfId="12153" xr:uid="{00000000-0005-0000-0000-00008A2F0000}"/>
    <cellStyle name="Normal 9 2 3 8" xfId="12154" xr:uid="{00000000-0005-0000-0000-00008B2F0000}"/>
    <cellStyle name="Normal 9 2 4" xfId="12155" xr:uid="{00000000-0005-0000-0000-00008C2F0000}"/>
    <cellStyle name="Normal 9 2 4 2" xfId="12156" xr:uid="{00000000-0005-0000-0000-00008D2F0000}"/>
    <cellStyle name="Normal 9 2 4 2 2" xfId="12157" xr:uid="{00000000-0005-0000-0000-00008E2F0000}"/>
    <cellStyle name="Normal 9 2 4 2 2 2" xfId="12158" xr:uid="{00000000-0005-0000-0000-00008F2F0000}"/>
    <cellStyle name="Normal 9 2 4 2 2 2 2" xfId="12159" xr:uid="{00000000-0005-0000-0000-0000902F0000}"/>
    <cellStyle name="Normal 9 2 4 2 2 2 3" xfId="12160" xr:uid="{00000000-0005-0000-0000-0000912F0000}"/>
    <cellStyle name="Normal 9 2 4 2 2 3" xfId="12161" xr:uid="{00000000-0005-0000-0000-0000922F0000}"/>
    <cellStyle name="Normal 9 2 4 2 2 4" xfId="12162" xr:uid="{00000000-0005-0000-0000-0000932F0000}"/>
    <cellStyle name="Normal 9 2 4 2 3" xfId="12163" xr:uid="{00000000-0005-0000-0000-0000942F0000}"/>
    <cellStyle name="Normal 9 2 4 2 3 2" xfId="12164" xr:uid="{00000000-0005-0000-0000-0000952F0000}"/>
    <cellStyle name="Normal 9 2 4 2 3 2 2" xfId="12165" xr:uid="{00000000-0005-0000-0000-0000962F0000}"/>
    <cellStyle name="Normal 9 2 4 2 3 2 3" xfId="12166" xr:uid="{00000000-0005-0000-0000-0000972F0000}"/>
    <cellStyle name="Normal 9 2 4 2 3 3" xfId="12167" xr:uid="{00000000-0005-0000-0000-0000982F0000}"/>
    <cellStyle name="Normal 9 2 4 2 3 4" xfId="12168" xr:uid="{00000000-0005-0000-0000-0000992F0000}"/>
    <cellStyle name="Normal 9 2 4 2 4" xfId="12169" xr:uid="{00000000-0005-0000-0000-00009A2F0000}"/>
    <cellStyle name="Normal 9 2 4 2 4 2" xfId="12170" xr:uid="{00000000-0005-0000-0000-00009B2F0000}"/>
    <cellStyle name="Normal 9 2 4 2 4 3" xfId="12171" xr:uid="{00000000-0005-0000-0000-00009C2F0000}"/>
    <cellStyle name="Normal 9 2 4 2 5" xfId="12172" xr:uid="{00000000-0005-0000-0000-00009D2F0000}"/>
    <cellStyle name="Normal 9 2 4 2 6" xfId="12173" xr:uid="{00000000-0005-0000-0000-00009E2F0000}"/>
    <cellStyle name="Normal 9 2 4 2 7" xfId="12174" xr:uid="{00000000-0005-0000-0000-00009F2F0000}"/>
    <cellStyle name="Normal 9 2 4 3" xfId="12175" xr:uid="{00000000-0005-0000-0000-0000A02F0000}"/>
    <cellStyle name="Normal 9 2 4 3 2" xfId="12176" xr:uid="{00000000-0005-0000-0000-0000A12F0000}"/>
    <cellStyle name="Normal 9 2 4 3 2 2" xfId="12177" xr:uid="{00000000-0005-0000-0000-0000A22F0000}"/>
    <cellStyle name="Normal 9 2 4 3 2 3" xfId="12178" xr:uid="{00000000-0005-0000-0000-0000A32F0000}"/>
    <cellStyle name="Normal 9 2 4 3 3" xfId="12179" xr:uid="{00000000-0005-0000-0000-0000A42F0000}"/>
    <cellStyle name="Normal 9 2 4 3 4" xfId="12180" xr:uid="{00000000-0005-0000-0000-0000A52F0000}"/>
    <cellStyle name="Normal 9 2 4 4" xfId="12181" xr:uid="{00000000-0005-0000-0000-0000A62F0000}"/>
    <cellStyle name="Normal 9 2 4 4 2" xfId="12182" xr:uid="{00000000-0005-0000-0000-0000A72F0000}"/>
    <cellStyle name="Normal 9 2 4 4 2 2" xfId="12183" xr:uid="{00000000-0005-0000-0000-0000A82F0000}"/>
    <cellStyle name="Normal 9 2 4 4 2 3" xfId="12184" xr:uid="{00000000-0005-0000-0000-0000A92F0000}"/>
    <cellStyle name="Normal 9 2 4 4 3" xfId="12185" xr:uid="{00000000-0005-0000-0000-0000AA2F0000}"/>
    <cellStyle name="Normal 9 2 4 4 4" xfId="12186" xr:uid="{00000000-0005-0000-0000-0000AB2F0000}"/>
    <cellStyle name="Normal 9 2 4 5" xfId="12187" xr:uid="{00000000-0005-0000-0000-0000AC2F0000}"/>
    <cellStyle name="Normal 9 2 4 5 2" xfId="12188" xr:uid="{00000000-0005-0000-0000-0000AD2F0000}"/>
    <cellStyle name="Normal 9 2 4 5 3" xfId="12189" xr:uid="{00000000-0005-0000-0000-0000AE2F0000}"/>
    <cellStyle name="Normal 9 2 4 6" xfId="12190" xr:uid="{00000000-0005-0000-0000-0000AF2F0000}"/>
    <cellStyle name="Normal 9 2 4 7" xfId="12191" xr:uid="{00000000-0005-0000-0000-0000B02F0000}"/>
    <cellStyle name="Normal 9 2 4 8" xfId="12192" xr:uid="{00000000-0005-0000-0000-0000B12F0000}"/>
    <cellStyle name="Normal 9 2 5" xfId="12193" xr:uid="{00000000-0005-0000-0000-0000B22F0000}"/>
    <cellStyle name="Normal 9 2 5 2" xfId="12194" xr:uid="{00000000-0005-0000-0000-0000B32F0000}"/>
    <cellStyle name="Normal 9 2 5 2 2" xfId="12195" xr:uid="{00000000-0005-0000-0000-0000B42F0000}"/>
    <cellStyle name="Normal 9 2 5 2 2 2" xfId="12196" xr:uid="{00000000-0005-0000-0000-0000B52F0000}"/>
    <cellStyle name="Normal 9 2 5 2 2 3" xfId="12197" xr:uid="{00000000-0005-0000-0000-0000B62F0000}"/>
    <cellStyle name="Normal 9 2 5 2 3" xfId="12198" xr:uid="{00000000-0005-0000-0000-0000B72F0000}"/>
    <cellStyle name="Normal 9 2 5 2 4" xfId="12199" xr:uid="{00000000-0005-0000-0000-0000B82F0000}"/>
    <cellStyle name="Normal 9 2 5 3" xfId="12200" xr:uid="{00000000-0005-0000-0000-0000B92F0000}"/>
    <cellStyle name="Normal 9 2 5 3 2" xfId="12201" xr:uid="{00000000-0005-0000-0000-0000BA2F0000}"/>
    <cellStyle name="Normal 9 2 5 3 2 2" xfId="12202" xr:uid="{00000000-0005-0000-0000-0000BB2F0000}"/>
    <cellStyle name="Normal 9 2 5 3 2 3" xfId="12203" xr:uid="{00000000-0005-0000-0000-0000BC2F0000}"/>
    <cellStyle name="Normal 9 2 5 3 3" xfId="12204" xr:uid="{00000000-0005-0000-0000-0000BD2F0000}"/>
    <cellStyle name="Normal 9 2 5 3 4" xfId="12205" xr:uid="{00000000-0005-0000-0000-0000BE2F0000}"/>
    <cellStyle name="Normal 9 2 5 4" xfId="12206" xr:uid="{00000000-0005-0000-0000-0000BF2F0000}"/>
    <cellStyle name="Normal 9 2 5 4 2" xfId="12207" xr:uid="{00000000-0005-0000-0000-0000C02F0000}"/>
    <cellStyle name="Normal 9 2 5 4 3" xfId="12208" xr:uid="{00000000-0005-0000-0000-0000C12F0000}"/>
    <cellStyle name="Normal 9 2 5 5" xfId="12209" xr:uid="{00000000-0005-0000-0000-0000C22F0000}"/>
    <cellStyle name="Normal 9 2 5 6" xfId="12210" xr:uid="{00000000-0005-0000-0000-0000C32F0000}"/>
    <cellStyle name="Normal 9 2 5 7" xfId="12211" xr:uid="{00000000-0005-0000-0000-0000C42F0000}"/>
    <cellStyle name="Normal 9 2 6" xfId="12212" xr:uid="{00000000-0005-0000-0000-0000C52F0000}"/>
    <cellStyle name="Normal 9 2 6 2" xfId="12213" xr:uid="{00000000-0005-0000-0000-0000C62F0000}"/>
    <cellStyle name="Normal 9 2 6 2 2" xfId="12214" xr:uid="{00000000-0005-0000-0000-0000C72F0000}"/>
    <cellStyle name="Normal 9 2 6 2 2 2" xfId="12215" xr:uid="{00000000-0005-0000-0000-0000C82F0000}"/>
    <cellStyle name="Normal 9 2 6 2 2 3" xfId="12216" xr:uid="{00000000-0005-0000-0000-0000C92F0000}"/>
    <cellStyle name="Normal 9 2 6 2 3" xfId="12217" xr:uid="{00000000-0005-0000-0000-0000CA2F0000}"/>
    <cellStyle name="Normal 9 2 6 2 4" xfId="12218" xr:uid="{00000000-0005-0000-0000-0000CB2F0000}"/>
    <cellStyle name="Normal 9 2 6 3" xfId="12219" xr:uid="{00000000-0005-0000-0000-0000CC2F0000}"/>
    <cellStyle name="Normal 9 2 6 3 2" xfId="12220" xr:uid="{00000000-0005-0000-0000-0000CD2F0000}"/>
    <cellStyle name="Normal 9 2 6 3 3" xfId="12221" xr:uid="{00000000-0005-0000-0000-0000CE2F0000}"/>
    <cellStyle name="Normal 9 2 6 4" xfId="12222" xr:uid="{00000000-0005-0000-0000-0000CF2F0000}"/>
    <cellStyle name="Normal 9 2 6 5" xfId="12223" xr:uid="{00000000-0005-0000-0000-0000D02F0000}"/>
    <cellStyle name="Normal 9 2 6 6" xfId="12224" xr:uid="{00000000-0005-0000-0000-0000D12F0000}"/>
    <cellStyle name="Normal 9 2 7" xfId="12225" xr:uid="{00000000-0005-0000-0000-0000D22F0000}"/>
    <cellStyle name="Normal 9 2 7 2" xfId="12226" xr:uid="{00000000-0005-0000-0000-0000D32F0000}"/>
    <cellStyle name="Normal 9 2 7 3" xfId="12227" xr:uid="{00000000-0005-0000-0000-0000D42F0000}"/>
    <cellStyle name="Normal 9 2 8" xfId="12228" xr:uid="{00000000-0005-0000-0000-0000D52F0000}"/>
    <cellStyle name="Normal 9 2 9" xfId="12229" xr:uid="{00000000-0005-0000-0000-0000D62F0000}"/>
    <cellStyle name="Normal 9 3" xfId="12230" xr:uid="{00000000-0005-0000-0000-0000D72F0000}"/>
    <cellStyle name="Normal 9 3 2" xfId="12231" xr:uid="{00000000-0005-0000-0000-0000D82F0000}"/>
    <cellStyle name="Normal 9 3 2 2" xfId="12232" xr:uid="{00000000-0005-0000-0000-0000D92F0000}"/>
    <cellStyle name="Normal 9 3 2 3" xfId="12233" xr:uid="{00000000-0005-0000-0000-0000DA2F0000}"/>
    <cellStyle name="Normal 9 3 2 4" xfId="12234" xr:uid="{00000000-0005-0000-0000-0000DB2F0000}"/>
    <cellStyle name="Normal 9 3 3" xfId="12235" xr:uid="{00000000-0005-0000-0000-0000DC2F0000}"/>
    <cellStyle name="Normal 9 3 3 2" xfId="12236" xr:uid="{00000000-0005-0000-0000-0000DD2F0000}"/>
    <cellStyle name="Normal 9 3 3 2 2" xfId="12237" xr:uid="{00000000-0005-0000-0000-0000DE2F0000}"/>
    <cellStyle name="Normal 9 3 3 2 2 2" xfId="12238" xr:uid="{00000000-0005-0000-0000-0000DF2F0000}"/>
    <cellStyle name="Normal 9 3 3 2 2 3" xfId="12239" xr:uid="{00000000-0005-0000-0000-0000E02F0000}"/>
    <cellStyle name="Normal 9 3 3 2 3" xfId="12240" xr:uid="{00000000-0005-0000-0000-0000E12F0000}"/>
    <cellStyle name="Normal 9 3 3 2 4" xfId="12241" xr:uid="{00000000-0005-0000-0000-0000E22F0000}"/>
    <cellStyle name="Normal 9 3 3 3" xfId="12242" xr:uid="{00000000-0005-0000-0000-0000E32F0000}"/>
    <cellStyle name="Normal 9 3 3 3 2" xfId="12243" xr:uid="{00000000-0005-0000-0000-0000E42F0000}"/>
    <cellStyle name="Normal 9 3 3 3 2 2" xfId="12244" xr:uid="{00000000-0005-0000-0000-0000E52F0000}"/>
    <cellStyle name="Normal 9 3 3 3 2 3" xfId="12245" xr:uid="{00000000-0005-0000-0000-0000E62F0000}"/>
    <cellStyle name="Normal 9 3 3 3 3" xfId="12246" xr:uid="{00000000-0005-0000-0000-0000E72F0000}"/>
    <cellStyle name="Normal 9 3 3 3 4" xfId="12247" xr:uid="{00000000-0005-0000-0000-0000E82F0000}"/>
    <cellStyle name="Normal 9 3 3 4" xfId="12248" xr:uid="{00000000-0005-0000-0000-0000E92F0000}"/>
    <cellStyle name="Normal 9 3 3 4 2" xfId="12249" xr:uid="{00000000-0005-0000-0000-0000EA2F0000}"/>
    <cellStyle name="Normal 9 3 3 4 3" xfId="12250" xr:uid="{00000000-0005-0000-0000-0000EB2F0000}"/>
    <cellStyle name="Normal 9 3 3 5" xfId="12251" xr:uid="{00000000-0005-0000-0000-0000EC2F0000}"/>
    <cellStyle name="Normal 9 3 3 6" xfId="12252" xr:uid="{00000000-0005-0000-0000-0000ED2F0000}"/>
    <cellStyle name="Normal 9 3 3 7" xfId="12253" xr:uid="{00000000-0005-0000-0000-0000EE2F0000}"/>
    <cellStyle name="Normal 9 3 4" xfId="12254" xr:uid="{00000000-0005-0000-0000-0000EF2F0000}"/>
    <cellStyle name="Normal 9 3 4 2" xfId="12255" xr:uid="{00000000-0005-0000-0000-0000F02F0000}"/>
    <cellStyle name="Normal 9 3 4 2 2" xfId="12256" xr:uid="{00000000-0005-0000-0000-0000F12F0000}"/>
    <cellStyle name="Normal 9 3 4 2 2 2" xfId="12257" xr:uid="{00000000-0005-0000-0000-0000F22F0000}"/>
    <cellStyle name="Normal 9 3 4 2 2 3" xfId="12258" xr:uid="{00000000-0005-0000-0000-0000F32F0000}"/>
    <cellStyle name="Normal 9 3 4 2 3" xfId="12259" xr:uid="{00000000-0005-0000-0000-0000F42F0000}"/>
    <cellStyle name="Normal 9 3 4 2 4" xfId="12260" xr:uid="{00000000-0005-0000-0000-0000F52F0000}"/>
    <cellStyle name="Normal 9 3 4 3" xfId="12261" xr:uid="{00000000-0005-0000-0000-0000F62F0000}"/>
    <cellStyle name="Normal 9 3 4 3 2" xfId="12262" xr:uid="{00000000-0005-0000-0000-0000F72F0000}"/>
    <cellStyle name="Normal 9 3 4 3 3" xfId="12263" xr:uid="{00000000-0005-0000-0000-0000F82F0000}"/>
    <cellStyle name="Normal 9 3 4 4" xfId="12264" xr:uid="{00000000-0005-0000-0000-0000F92F0000}"/>
    <cellStyle name="Normal 9 3 4 5" xfId="12265" xr:uid="{00000000-0005-0000-0000-0000FA2F0000}"/>
    <cellStyle name="Normal 9 3 4 6" xfId="12266" xr:uid="{00000000-0005-0000-0000-0000FB2F0000}"/>
    <cellStyle name="Normal 9 3 5" xfId="12267" xr:uid="{00000000-0005-0000-0000-0000FC2F0000}"/>
    <cellStyle name="Normal 9 3 5 2" xfId="12268" xr:uid="{00000000-0005-0000-0000-0000FD2F0000}"/>
    <cellStyle name="Normal 9 3 5 3" xfId="12269" xr:uid="{00000000-0005-0000-0000-0000FE2F0000}"/>
    <cellStyle name="Normal 9 3 6" xfId="12270" xr:uid="{00000000-0005-0000-0000-0000FF2F0000}"/>
    <cellStyle name="Normal 9 3 7" xfId="12271" xr:uid="{00000000-0005-0000-0000-000000300000}"/>
    <cellStyle name="Normal 9 3 8" xfId="12272" xr:uid="{00000000-0005-0000-0000-000001300000}"/>
    <cellStyle name="Normal 9 3 9" xfId="12273" xr:uid="{00000000-0005-0000-0000-000002300000}"/>
    <cellStyle name="Normal 9 4" xfId="12274" xr:uid="{00000000-0005-0000-0000-000003300000}"/>
    <cellStyle name="Normal 9 4 2" xfId="12275" xr:uid="{00000000-0005-0000-0000-000004300000}"/>
    <cellStyle name="Normal 9 4 3" xfId="12276" xr:uid="{00000000-0005-0000-0000-000005300000}"/>
    <cellStyle name="Normal 9 4 4" xfId="12277" xr:uid="{00000000-0005-0000-0000-000006300000}"/>
    <cellStyle name="Normal 9 4 5" xfId="12278" xr:uid="{00000000-0005-0000-0000-000007300000}"/>
    <cellStyle name="Normal 9 5" xfId="12279" xr:uid="{00000000-0005-0000-0000-000008300000}"/>
    <cellStyle name="Normal 9 5 2" xfId="12280" xr:uid="{00000000-0005-0000-0000-000009300000}"/>
    <cellStyle name="Normal 9 5 3" xfId="12281" xr:uid="{00000000-0005-0000-0000-00000A300000}"/>
    <cellStyle name="Normal 9 5 4" xfId="12282" xr:uid="{00000000-0005-0000-0000-00000B300000}"/>
    <cellStyle name="Normal 9 5 5" xfId="12283" xr:uid="{00000000-0005-0000-0000-00000C300000}"/>
    <cellStyle name="Normal 9 6" xfId="12284" xr:uid="{00000000-0005-0000-0000-00000D300000}"/>
    <cellStyle name="Normal 9 6 2" xfId="12285" xr:uid="{00000000-0005-0000-0000-00000E300000}"/>
    <cellStyle name="Normal 9 6 3" xfId="12286" xr:uid="{00000000-0005-0000-0000-00000F300000}"/>
    <cellStyle name="Normal 9 6 4" xfId="12287" xr:uid="{00000000-0005-0000-0000-000010300000}"/>
    <cellStyle name="Normal 9 6 5" xfId="12288" xr:uid="{00000000-0005-0000-0000-000011300000}"/>
    <cellStyle name="Normal 9 7" xfId="12289" xr:uid="{00000000-0005-0000-0000-000012300000}"/>
    <cellStyle name="Normal 9 7 2" xfId="12290" xr:uid="{00000000-0005-0000-0000-000013300000}"/>
    <cellStyle name="Normal 9 7 3" xfId="12291" xr:uid="{00000000-0005-0000-0000-000014300000}"/>
    <cellStyle name="Normal 9 7 4" xfId="12292" xr:uid="{00000000-0005-0000-0000-000015300000}"/>
    <cellStyle name="Normal 9 7 5" xfId="12293" xr:uid="{00000000-0005-0000-0000-000016300000}"/>
    <cellStyle name="Normal 9 8" xfId="12294" xr:uid="{00000000-0005-0000-0000-000017300000}"/>
    <cellStyle name="Normal 9 8 2" xfId="12295" xr:uid="{00000000-0005-0000-0000-000018300000}"/>
    <cellStyle name="Normal 9 8 3" xfId="12296" xr:uid="{00000000-0005-0000-0000-000019300000}"/>
    <cellStyle name="Normal 9 8 4" xfId="12297" xr:uid="{00000000-0005-0000-0000-00001A300000}"/>
    <cellStyle name="Normal 9 8 5" xfId="12298" xr:uid="{00000000-0005-0000-0000-00001B300000}"/>
    <cellStyle name="Normal 9 9" xfId="12299" xr:uid="{00000000-0005-0000-0000-00001C300000}"/>
    <cellStyle name="Normal 9 9 2" xfId="12300" xr:uid="{00000000-0005-0000-0000-00001D300000}"/>
    <cellStyle name="Normal 9 9 3" xfId="12301" xr:uid="{00000000-0005-0000-0000-00001E300000}"/>
    <cellStyle name="Normal 9 9 4" xfId="12302" xr:uid="{00000000-0005-0000-0000-00001F300000}"/>
    <cellStyle name="Normal GHG Numbers (0.00)" xfId="12303" xr:uid="{00000000-0005-0000-0000-000020300000}"/>
    <cellStyle name="Normal GHG Numbers (0.00) 2" xfId="12304" xr:uid="{00000000-0005-0000-0000-000021300000}"/>
    <cellStyle name="Normal GHG Numbers (0.00) 3" xfId="12305" xr:uid="{00000000-0005-0000-0000-000022300000}"/>
    <cellStyle name="Normal GHG Numbers (0.00) 4" xfId="12306" xr:uid="{00000000-0005-0000-0000-000023300000}"/>
    <cellStyle name="Normal GHG Numbers (0.00) 5" xfId="12307" xr:uid="{00000000-0005-0000-0000-000024300000}"/>
    <cellStyle name="Normal GHG Numbers (0.00) 6" xfId="12308" xr:uid="{00000000-0005-0000-0000-000025300000}"/>
    <cellStyle name="Normal GHG Textfiels Bold" xfId="12309" xr:uid="{00000000-0005-0000-0000-000026300000}"/>
    <cellStyle name="Normal GHG Textfiels Bold 2" xfId="12310" xr:uid="{00000000-0005-0000-0000-000027300000}"/>
    <cellStyle name="Normal GHG Textfiels Bold 3" xfId="12311" xr:uid="{00000000-0005-0000-0000-000028300000}"/>
    <cellStyle name="Normal GHG Textfiels Bold 4" xfId="12312" xr:uid="{00000000-0005-0000-0000-000029300000}"/>
    <cellStyle name="Normal GHG Textfiels Bold 5" xfId="12313" xr:uid="{00000000-0005-0000-0000-00002A300000}"/>
    <cellStyle name="Normal GHG whole table" xfId="12314" xr:uid="{00000000-0005-0000-0000-00002B300000}"/>
    <cellStyle name="Normal GHG whole table 2" xfId="12315" xr:uid="{00000000-0005-0000-0000-00002C300000}"/>
    <cellStyle name="Normal GHG whole table 3" xfId="12316" xr:uid="{00000000-0005-0000-0000-00002D300000}"/>
    <cellStyle name="Normal GHG whole table 4" xfId="12317" xr:uid="{00000000-0005-0000-0000-00002E300000}"/>
    <cellStyle name="Normal GHG whole table 5" xfId="12318" xr:uid="{00000000-0005-0000-0000-00002F300000}"/>
    <cellStyle name="Normal GHG-Shade" xfId="12319" xr:uid="{00000000-0005-0000-0000-000030300000}"/>
    <cellStyle name="Normal GHG-Shade 2" xfId="12320" xr:uid="{00000000-0005-0000-0000-000031300000}"/>
    <cellStyle name="Normal GHG-Shade 3" xfId="12321" xr:uid="{00000000-0005-0000-0000-000032300000}"/>
    <cellStyle name="Normal GHG-Shade 4" xfId="12322" xr:uid="{00000000-0005-0000-0000-000033300000}"/>
    <cellStyle name="Normal GHG-Shade 5" xfId="12323" xr:uid="{00000000-0005-0000-0000-000034300000}"/>
    <cellStyle name="Normal GHG-Shade 6" xfId="12324" xr:uid="{00000000-0005-0000-0000-000035300000}"/>
    <cellStyle name="Normal GHG-Shade 7" xfId="12325" xr:uid="{00000000-0005-0000-0000-000036300000}"/>
    <cellStyle name="Normal_DACNEW" xfId="17758" xr:uid="{00000000-0005-0000-0000-000037300000}"/>
    <cellStyle name="Normál_Munka1" xfId="12326" xr:uid="{00000000-0005-0000-0000-000038300000}"/>
    <cellStyle name="Normale_B2020" xfId="12327" xr:uid="{00000000-0005-0000-0000-000039300000}"/>
    <cellStyle name="Note 10" xfId="12328" xr:uid="{00000000-0005-0000-0000-00003A300000}"/>
    <cellStyle name="Note 10 2" xfId="12329" xr:uid="{00000000-0005-0000-0000-00003B300000}"/>
    <cellStyle name="Note 10 2 2" xfId="12330" xr:uid="{00000000-0005-0000-0000-00003C300000}"/>
    <cellStyle name="Note 10 2 3" xfId="12331" xr:uid="{00000000-0005-0000-0000-00003D300000}"/>
    <cellStyle name="Note 10 2 4" xfId="12332" xr:uid="{00000000-0005-0000-0000-00003E300000}"/>
    <cellStyle name="Note 10 2 5" xfId="12333" xr:uid="{00000000-0005-0000-0000-00003F300000}"/>
    <cellStyle name="Note 10 3" xfId="12334" xr:uid="{00000000-0005-0000-0000-000040300000}"/>
    <cellStyle name="Note 10 3 2" xfId="12335" xr:uid="{00000000-0005-0000-0000-000041300000}"/>
    <cellStyle name="Note 10 3 2 2" xfId="12336" xr:uid="{00000000-0005-0000-0000-000042300000}"/>
    <cellStyle name="Note 10 3 2 3" xfId="12337" xr:uid="{00000000-0005-0000-0000-000043300000}"/>
    <cellStyle name="Note 10 3 2 4" xfId="12338" xr:uid="{00000000-0005-0000-0000-000044300000}"/>
    <cellStyle name="Note 10 3 3" xfId="12339" xr:uid="{00000000-0005-0000-0000-000045300000}"/>
    <cellStyle name="Note 10 3 4" xfId="12340" xr:uid="{00000000-0005-0000-0000-000046300000}"/>
    <cellStyle name="Note 10 3 5" xfId="12341" xr:uid="{00000000-0005-0000-0000-000047300000}"/>
    <cellStyle name="Note 10 3_ELC_final" xfId="12342" xr:uid="{00000000-0005-0000-0000-000048300000}"/>
    <cellStyle name="Note 10 4" xfId="12343" xr:uid="{00000000-0005-0000-0000-000049300000}"/>
    <cellStyle name="Note 10 5" xfId="12344" xr:uid="{00000000-0005-0000-0000-00004A300000}"/>
    <cellStyle name="Note 10 6" xfId="12345" xr:uid="{00000000-0005-0000-0000-00004B300000}"/>
    <cellStyle name="Note 10 7" xfId="12346" xr:uid="{00000000-0005-0000-0000-00004C300000}"/>
    <cellStyle name="Note 10_ELC_final" xfId="12347" xr:uid="{00000000-0005-0000-0000-00004D300000}"/>
    <cellStyle name="Note 11" xfId="12348" xr:uid="{00000000-0005-0000-0000-00004E300000}"/>
    <cellStyle name="Note 11 2" xfId="12349" xr:uid="{00000000-0005-0000-0000-00004F300000}"/>
    <cellStyle name="Note 11 2 2" xfId="12350" xr:uid="{00000000-0005-0000-0000-000050300000}"/>
    <cellStyle name="Note 11 2 3" xfId="12351" xr:uid="{00000000-0005-0000-0000-000051300000}"/>
    <cellStyle name="Note 11 2 4" xfId="12352" xr:uid="{00000000-0005-0000-0000-000052300000}"/>
    <cellStyle name="Note 11 2 5" xfId="12353" xr:uid="{00000000-0005-0000-0000-000053300000}"/>
    <cellStyle name="Note 11 3" xfId="12354" xr:uid="{00000000-0005-0000-0000-000054300000}"/>
    <cellStyle name="Note 11 4" xfId="12355" xr:uid="{00000000-0005-0000-0000-000055300000}"/>
    <cellStyle name="Note 11 5" xfId="12356" xr:uid="{00000000-0005-0000-0000-000056300000}"/>
    <cellStyle name="Note 11 6" xfId="12357" xr:uid="{00000000-0005-0000-0000-000057300000}"/>
    <cellStyle name="Note 11_ELC_final" xfId="12358" xr:uid="{00000000-0005-0000-0000-000058300000}"/>
    <cellStyle name="Note 12" xfId="12359" xr:uid="{00000000-0005-0000-0000-000059300000}"/>
    <cellStyle name="Note 12 2" xfId="12360" xr:uid="{00000000-0005-0000-0000-00005A300000}"/>
    <cellStyle name="Note 12 2 2" xfId="12361" xr:uid="{00000000-0005-0000-0000-00005B300000}"/>
    <cellStyle name="Note 12 2 3" xfId="12362" xr:uid="{00000000-0005-0000-0000-00005C300000}"/>
    <cellStyle name="Note 12 2 4" xfId="12363" xr:uid="{00000000-0005-0000-0000-00005D300000}"/>
    <cellStyle name="Note 12 3" xfId="12364" xr:uid="{00000000-0005-0000-0000-00005E300000}"/>
    <cellStyle name="Note 12 4" xfId="12365" xr:uid="{00000000-0005-0000-0000-00005F300000}"/>
    <cellStyle name="Note 12 5" xfId="12366" xr:uid="{00000000-0005-0000-0000-000060300000}"/>
    <cellStyle name="Note 12_ELC_final" xfId="12367" xr:uid="{00000000-0005-0000-0000-000061300000}"/>
    <cellStyle name="Note 13" xfId="12368" xr:uid="{00000000-0005-0000-0000-000062300000}"/>
    <cellStyle name="Note 13 2" xfId="12369" xr:uid="{00000000-0005-0000-0000-000063300000}"/>
    <cellStyle name="Note 13 2 2" xfId="12370" xr:uid="{00000000-0005-0000-0000-000064300000}"/>
    <cellStyle name="Note 13 2 3" xfId="12371" xr:uid="{00000000-0005-0000-0000-000065300000}"/>
    <cellStyle name="Note 13 2 4" xfId="12372" xr:uid="{00000000-0005-0000-0000-000066300000}"/>
    <cellStyle name="Note 13 3" xfId="12373" xr:uid="{00000000-0005-0000-0000-000067300000}"/>
    <cellStyle name="Note 13 4" xfId="12374" xr:uid="{00000000-0005-0000-0000-000068300000}"/>
    <cellStyle name="Note 13 5" xfId="12375" xr:uid="{00000000-0005-0000-0000-000069300000}"/>
    <cellStyle name="Note 13_ELC_final" xfId="12376" xr:uid="{00000000-0005-0000-0000-00006A300000}"/>
    <cellStyle name="Note 14" xfId="12377" xr:uid="{00000000-0005-0000-0000-00006B300000}"/>
    <cellStyle name="Note 14 2" xfId="12378" xr:uid="{00000000-0005-0000-0000-00006C300000}"/>
    <cellStyle name="Note 14 2 2" xfId="12379" xr:uid="{00000000-0005-0000-0000-00006D300000}"/>
    <cellStyle name="Note 14 2 3" xfId="12380" xr:uid="{00000000-0005-0000-0000-00006E300000}"/>
    <cellStyle name="Note 14 2 4" xfId="12381" xr:uid="{00000000-0005-0000-0000-00006F300000}"/>
    <cellStyle name="Note 14 3" xfId="12382" xr:uid="{00000000-0005-0000-0000-000070300000}"/>
    <cellStyle name="Note 14 4" xfId="12383" xr:uid="{00000000-0005-0000-0000-000071300000}"/>
    <cellStyle name="Note 14 5" xfId="12384" xr:uid="{00000000-0005-0000-0000-000072300000}"/>
    <cellStyle name="Note 14_ELC_final" xfId="12385" xr:uid="{00000000-0005-0000-0000-000073300000}"/>
    <cellStyle name="Note 15" xfId="12386" xr:uid="{00000000-0005-0000-0000-000074300000}"/>
    <cellStyle name="Note 15 2" xfId="12387" xr:uid="{00000000-0005-0000-0000-000075300000}"/>
    <cellStyle name="Note 15 2 2" xfId="12388" xr:uid="{00000000-0005-0000-0000-000076300000}"/>
    <cellStyle name="Note 15 2 3" xfId="12389" xr:uid="{00000000-0005-0000-0000-000077300000}"/>
    <cellStyle name="Note 15 2 4" xfId="12390" xr:uid="{00000000-0005-0000-0000-000078300000}"/>
    <cellStyle name="Note 15 3" xfId="12391" xr:uid="{00000000-0005-0000-0000-000079300000}"/>
    <cellStyle name="Note 15 4" xfId="12392" xr:uid="{00000000-0005-0000-0000-00007A300000}"/>
    <cellStyle name="Note 15 5" xfId="12393" xr:uid="{00000000-0005-0000-0000-00007B300000}"/>
    <cellStyle name="Note 15_ELC_final" xfId="12394" xr:uid="{00000000-0005-0000-0000-00007C300000}"/>
    <cellStyle name="Note 16" xfId="12395" xr:uid="{00000000-0005-0000-0000-00007D300000}"/>
    <cellStyle name="Note 16 2" xfId="12396" xr:uid="{00000000-0005-0000-0000-00007E300000}"/>
    <cellStyle name="Note 16 2 2" xfId="12397" xr:uid="{00000000-0005-0000-0000-00007F300000}"/>
    <cellStyle name="Note 16 2 3" xfId="12398" xr:uid="{00000000-0005-0000-0000-000080300000}"/>
    <cellStyle name="Note 16 2 4" xfId="12399" xr:uid="{00000000-0005-0000-0000-000081300000}"/>
    <cellStyle name="Note 16 3" xfId="12400" xr:uid="{00000000-0005-0000-0000-000082300000}"/>
    <cellStyle name="Note 16 4" xfId="12401" xr:uid="{00000000-0005-0000-0000-000083300000}"/>
    <cellStyle name="Note 16 5" xfId="12402" xr:uid="{00000000-0005-0000-0000-000084300000}"/>
    <cellStyle name="Note 16_ELC_final" xfId="12403" xr:uid="{00000000-0005-0000-0000-000085300000}"/>
    <cellStyle name="Note 17" xfId="12404" xr:uid="{00000000-0005-0000-0000-000086300000}"/>
    <cellStyle name="Note 17 2" xfId="12405" xr:uid="{00000000-0005-0000-0000-000087300000}"/>
    <cellStyle name="Note 17 2 2" xfId="12406" xr:uid="{00000000-0005-0000-0000-000088300000}"/>
    <cellStyle name="Note 17 2 3" xfId="12407" xr:uid="{00000000-0005-0000-0000-000089300000}"/>
    <cellStyle name="Note 17 2 4" xfId="12408" xr:uid="{00000000-0005-0000-0000-00008A300000}"/>
    <cellStyle name="Note 17 3" xfId="12409" xr:uid="{00000000-0005-0000-0000-00008B300000}"/>
    <cellStyle name="Note 17 4" xfId="12410" xr:uid="{00000000-0005-0000-0000-00008C300000}"/>
    <cellStyle name="Note 17 5" xfId="12411" xr:uid="{00000000-0005-0000-0000-00008D300000}"/>
    <cellStyle name="Note 17_ELC_final" xfId="12412" xr:uid="{00000000-0005-0000-0000-00008E300000}"/>
    <cellStyle name="Note 18" xfId="12413" xr:uid="{00000000-0005-0000-0000-00008F300000}"/>
    <cellStyle name="Note 18 2" xfId="12414" xr:uid="{00000000-0005-0000-0000-000090300000}"/>
    <cellStyle name="Note 18 2 2" xfId="12415" xr:uid="{00000000-0005-0000-0000-000091300000}"/>
    <cellStyle name="Note 18 2 3" xfId="12416" xr:uid="{00000000-0005-0000-0000-000092300000}"/>
    <cellStyle name="Note 18 2 4" xfId="12417" xr:uid="{00000000-0005-0000-0000-000093300000}"/>
    <cellStyle name="Note 18 3" xfId="12418" xr:uid="{00000000-0005-0000-0000-000094300000}"/>
    <cellStyle name="Note 18 4" xfId="12419" xr:uid="{00000000-0005-0000-0000-000095300000}"/>
    <cellStyle name="Note 18 5" xfId="12420" xr:uid="{00000000-0005-0000-0000-000096300000}"/>
    <cellStyle name="Note 18_ELC_final" xfId="12421" xr:uid="{00000000-0005-0000-0000-000097300000}"/>
    <cellStyle name="Note 19" xfId="12422" xr:uid="{00000000-0005-0000-0000-000098300000}"/>
    <cellStyle name="Note 19 2" xfId="12423" xr:uid="{00000000-0005-0000-0000-000099300000}"/>
    <cellStyle name="Note 19 3" xfId="12424" xr:uid="{00000000-0005-0000-0000-00009A300000}"/>
    <cellStyle name="Note 19 4" xfId="12425" xr:uid="{00000000-0005-0000-0000-00009B300000}"/>
    <cellStyle name="Note 2" xfId="12426" xr:uid="{00000000-0005-0000-0000-00009C300000}"/>
    <cellStyle name="Note 2 10" xfId="12427" xr:uid="{00000000-0005-0000-0000-00009D300000}"/>
    <cellStyle name="Note 2 10 2" xfId="12428" xr:uid="{00000000-0005-0000-0000-00009E300000}"/>
    <cellStyle name="Note 2 10 3" xfId="12429" xr:uid="{00000000-0005-0000-0000-00009F300000}"/>
    <cellStyle name="Note 2 10 4" xfId="12430" xr:uid="{00000000-0005-0000-0000-0000A0300000}"/>
    <cellStyle name="Note 2 10 5" xfId="12431" xr:uid="{00000000-0005-0000-0000-0000A1300000}"/>
    <cellStyle name="Note 2 11" xfId="12432" xr:uid="{00000000-0005-0000-0000-0000A2300000}"/>
    <cellStyle name="Note 2 11 2" xfId="12433" xr:uid="{00000000-0005-0000-0000-0000A3300000}"/>
    <cellStyle name="Note 2 11 3" xfId="12434" xr:uid="{00000000-0005-0000-0000-0000A4300000}"/>
    <cellStyle name="Note 2 11 4" xfId="12435" xr:uid="{00000000-0005-0000-0000-0000A5300000}"/>
    <cellStyle name="Note 2 11 5" xfId="12436" xr:uid="{00000000-0005-0000-0000-0000A6300000}"/>
    <cellStyle name="Note 2 12" xfId="12437" xr:uid="{00000000-0005-0000-0000-0000A7300000}"/>
    <cellStyle name="Note 2 12 2" xfId="12438" xr:uid="{00000000-0005-0000-0000-0000A8300000}"/>
    <cellStyle name="Note 2 12 3" xfId="12439" xr:uid="{00000000-0005-0000-0000-0000A9300000}"/>
    <cellStyle name="Note 2 12 4" xfId="12440" xr:uid="{00000000-0005-0000-0000-0000AA300000}"/>
    <cellStyle name="Note 2 12 5" xfId="12441" xr:uid="{00000000-0005-0000-0000-0000AB300000}"/>
    <cellStyle name="Note 2 13" xfId="12442" xr:uid="{00000000-0005-0000-0000-0000AC300000}"/>
    <cellStyle name="Note 2 13 2" xfId="12443" xr:uid="{00000000-0005-0000-0000-0000AD300000}"/>
    <cellStyle name="Note 2 13 3" xfId="12444" xr:uid="{00000000-0005-0000-0000-0000AE300000}"/>
    <cellStyle name="Note 2 13 4" xfId="12445" xr:uid="{00000000-0005-0000-0000-0000AF300000}"/>
    <cellStyle name="Note 2 13 5" xfId="12446" xr:uid="{00000000-0005-0000-0000-0000B0300000}"/>
    <cellStyle name="Note 2 14" xfId="12447" xr:uid="{00000000-0005-0000-0000-0000B1300000}"/>
    <cellStyle name="Note 2 14 2" xfId="12448" xr:uid="{00000000-0005-0000-0000-0000B2300000}"/>
    <cellStyle name="Note 2 14 3" xfId="12449" xr:uid="{00000000-0005-0000-0000-0000B3300000}"/>
    <cellStyle name="Note 2 14 4" xfId="12450" xr:uid="{00000000-0005-0000-0000-0000B4300000}"/>
    <cellStyle name="Note 2 14 5" xfId="12451" xr:uid="{00000000-0005-0000-0000-0000B5300000}"/>
    <cellStyle name="Note 2 15" xfId="12452" xr:uid="{00000000-0005-0000-0000-0000B6300000}"/>
    <cellStyle name="Note 2 15 2" xfId="12453" xr:uid="{00000000-0005-0000-0000-0000B7300000}"/>
    <cellStyle name="Note 2 15 3" xfId="12454" xr:uid="{00000000-0005-0000-0000-0000B8300000}"/>
    <cellStyle name="Note 2 15 4" xfId="12455" xr:uid="{00000000-0005-0000-0000-0000B9300000}"/>
    <cellStyle name="Note 2 15 5" xfId="12456" xr:uid="{00000000-0005-0000-0000-0000BA300000}"/>
    <cellStyle name="Note 2 16" xfId="12457" xr:uid="{00000000-0005-0000-0000-0000BB300000}"/>
    <cellStyle name="Note 2 17" xfId="12458" xr:uid="{00000000-0005-0000-0000-0000BC300000}"/>
    <cellStyle name="Note 2 18" xfId="12459" xr:uid="{00000000-0005-0000-0000-0000BD300000}"/>
    <cellStyle name="Note 2 19" xfId="12460" xr:uid="{00000000-0005-0000-0000-0000BE300000}"/>
    <cellStyle name="Note 2 2" xfId="12461" xr:uid="{00000000-0005-0000-0000-0000BF300000}"/>
    <cellStyle name="Note 2 2 2" xfId="12462" xr:uid="{00000000-0005-0000-0000-0000C0300000}"/>
    <cellStyle name="Note 2 2 2 2" xfId="12463" xr:uid="{00000000-0005-0000-0000-0000C1300000}"/>
    <cellStyle name="Note 2 2 2 3" xfId="12464" xr:uid="{00000000-0005-0000-0000-0000C2300000}"/>
    <cellStyle name="Note 2 2 2 4" xfId="12465" xr:uid="{00000000-0005-0000-0000-0000C3300000}"/>
    <cellStyle name="Note 2 2 3" xfId="12466" xr:uid="{00000000-0005-0000-0000-0000C4300000}"/>
    <cellStyle name="Note 2 2 4" xfId="12467" xr:uid="{00000000-0005-0000-0000-0000C5300000}"/>
    <cellStyle name="Note 2 2 5" xfId="12468" xr:uid="{00000000-0005-0000-0000-0000C6300000}"/>
    <cellStyle name="Note 2 2 6" xfId="12469" xr:uid="{00000000-0005-0000-0000-0000C7300000}"/>
    <cellStyle name="Note 2 20" xfId="12470" xr:uid="{00000000-0005-0000-0000-0000C8300000}"/>
    <cellStyle name="Note 2 3" xfId="12471" xr:uid="{00000000-0005-0000-0000-0000C9300000}"/>
    <cellStyle name="Note 2 3 2" xfId="12472" xr:uid="{00000000-0005-0000-0000-0000CA300000}"/>
    <cellStyle name="Note 2 3 3" xfId="12473" xr:uid="{00000000-0005-0000-0000-0000CB300000}"/>
    <cellStyle name="Note 2 3 4" xfId="12474" xr:uid="{00000000-0005-0000-0000-0000CC300000}"/>
    <cellStyle name="Note 2 3 5" xfId="12475" xr:uid="{00000000-0005-0000-0000-0000CD300000}"/>
    <cellStyle name="Note 2 4" xfId="12476" xr:uid="{00000000-0005-0000-0000-0000CE300000}"/>
    <cellStyle name="Note 2 4 2" xfId="12477" xr:uid="{00000000-0005-0000-0000-0000CF300000}"/>
    <cellStyle name="Note 2 4 3" xfId="12478" xr:uid="{00000000-0005-0000-0000-0000D0300000}"/>
    <cellStyle name="Note 2 4 4" xfId="12479" xr:uid="{00000000-0005-0000-0000-0000D1300000}"/>
    <cellStyle name="Note 2 4 5" xfId="12480" xr:uid="{00000000-0005-0000-0000-0000D2300000}"/>
    <cellStyle name="Note 2 5" xfId="12481" xr:uid="{00000000-0005-0000-0000-0000D3300000}"/>
    <cellStyle name="Note 2 5 2" xfId="12482" xr:uid="{00000000-0005-0000-0000-0000D4300000}"/>
    <cellStyle name="Note 2 5 3" xfId="12483" xr:uid="{00000000-0005-0000-0000-0000D5300000}"/>
    <cellStyle name="Note 2 5 4" xfId="12484" xr:uid="{00000000-0005-0000-0000-0000D6300000}"/>
    <cellStyle name="Note 2 5 5" xfId="12485" xr:uid="{00000000-0005-0000-0000-0000D7300000}"/>
    <cellStyle name="Note 2 6" xfId="12486" xr:uid="{00000000-0005-0000-0000-0000D8300000}"/>
    <cellStyle name="Note 2 6 2" xfId="12487" xr:uid="{00000000-0005-0000-0000-0000D9300000}"/>
    <cellStyle name="Note 2 6 3" xfId="12488" xr:uid="{00000000-0005-0000-0000-0000DA300000}"/>
    <cellStyle name="Note 2 6 4" xfId="12489" xr:uid="{00000000-0005-0000-0000-0000DB300000}"/>
    <cellStyle name="Note 2 6 5" xfId="12490" xr:uid="{00000000-0005-0000-0000-0000DC300000}"/>
    <cellStyle name="Note 2 7" xfId="12491" xr:uid="{00000000-0005-0000-0000-0000DD300000}"/>
    <cellStyle name="Note 2 7 2" xfId="12492" xr:uid="{00000000-0005-0000-0000-0000DE300000}"/>
    <cellStyle name="Note 2 7 3" xfId="12493" xr:uid="{00000000-0005-0000-0000-0000DF300000}"/>
    <cellStyle name="Note 2 7 4" xfId="12494" xr:uid="{00000000-0005-0000-0000-0000E0300000}"/>
    <cellStyle name="Note 2 7 5" xfId="12495" xr:uid="{00000000-0005-0000-0000-0000E1300000}"/>
    <cellStyle name="Note 2 8" xfId="12496" xr:uid="{00000000-0005-0000-0000-0000E2300000}"/>
    <cellStyle name="Note 2 8 2" xfId="12497" xr:uid="{00000000-0005-0000-0000-0000E3300000}"/>
    <cellStyle name="Note 2 8 3" xfId="12498" xr:uid="{00000000-0005-0000-0000-0000E4300000}"/>
    <cellStyle name="Note 2 8 4" xfId="12499" xr:uid="{00000000-0005-0000-0000-0000E5300000}"/>
    <cellStyle name="Note 2 8 5" xfId="12500" xr:uid="{00000000-0005-0000-0000-0000E6300000}"/>
    <cellStyle name="Note 2 9" xfId="12501" xr:uid="{00000000-0005-0000-0000-0000E7300000}"/>
    <cellStyle name="Note 2 9 2" xfId="12502" xr:uid="{00000000-0005-0000-0000-0000E8300000}"/>
    <cellStyle name="Note 2 9 3" xfId="12503" xr:uid="{00000000-0005-0000-0000-0000E9300000}"/>
    <cellStyle name="Note 2 9 4" xfId="12504" xr:uid="{00000000-0005-0000-0000-0000EA300000}"/>
    <cellStyle name="Note 2 9 5" xfId="12505" xr:uid="{00000000-0005-0000-0000-0000EB300000}"/>
    <cellStyle name="Note 2_PrimaryEnergyPrices_TIMES" xfId="12506" xr:uid="{00000000-0005-0000-0000-0000EC300000}"/>
    <cellStyle name="Note 20" xfId="12507" xr:uid="{00000000-0005-0000-0000-0000ED300000}"/>
    <cellStyle name="Note 20 2" xfId="12508" xr:uid="{00000000-0005-0000-0000-0000EE300000}"/>
    <cellStyle name="Note 20 3" xfId="12509" xr:uid="{00000000-0005-0000-0000-0000EF300000}"/>
    <cellStyle name="Note 20 4" xfId="12510" xr:uid="{00000000-0005-0000-0000-0000F0300000}"/>
    <cellStyle name="Note 21" xfId="12511" xr:uid="{00000000-0005-0000-0000-0000F1300000}"/>
    <cellStyle name="Note 21 2" xfId="12512" xr:uid="{00000000-0005-0000-0000-0000F2300000}"/>
    <cellStyle name="Note 21 3" xfId="12513" xr:uid="{00000000-0005-0000-0000-0000F3300000}"/>
    <cellStyle name="Note 21 4" xfId="12514" xr:uid="{00000000-0005-0000-0000-0000F4300000}"/>
    <cellStyle name="Note 22" xfId="12515" xr:uid="{00000000-0005-0000-0000-0000F5300000}"/>
    <cellStyle name="Note 22 2" xfId="12516" xr:uid="{00000000-0005-0000-0000-0000F6300000}"/>
    <cellStyle name="Note 22 3" xfId="12517" xr:uid="{00000000-0005-0000-0000-0000F7300000}"/>
    <cellStyle name="Note 22 4" xfId="12518" xr:uid="{00000000-0005-0000-0000-0000F8300000}"/>
    <cellStyle name="Note 23" xfId="12519" xr:uid="{00000000-0005-0000-0000-0000F9300000}"/>
    <cellStyle name="Note 23 2" xfId="12520" xr:uid="{00000000-0005-0000-0000-0000FA300000}"/>
    <cellStyle name="Note 23 3" xfId="12521" xr:uid="{00000000-0005-0000-0000-0000FB300000}"/>
    <cellStyle name="Note 23 4" xfId="12522" xr:uid="{00000000-0005-0000-0000-0000FC300000}"/>
    <cellStyle name="Note 24" xfId="12523" xr:uid="{00000000-0005-0000-0000-0000FD300000}"/>
    <cellStyle name="Note 24 2" xfId="12524" xr:uid="{00000000-0005-0000-0000-0000FE300000}"/>
    <cellStyle name="Note 24 3" xfId="12525" xr:uid="{00000000-0005-0000-0000-0000FF300000}"/>
    <cellStyle name="Note 24 4" xfId="12526" xr:uid="{00000000-0005-0000-0000-000000310000}"/>
    <cellStyle name="Note 25" xfId="12527" xr:uid="{00000000-0005-0000-0000-000001310000}"/>
    <cellStyle name="Note 25 2" xfId="12528" xr:uid="{00000000-0005-0000-0000-000002310000}"/>
    <cellStyle name="Note 25 3" xfId="12529" xr:uid="{00000000-0005-0000-0000-000003310000}"/>
    <cellStyle name="Note 25 4" xfId="12530" xr:uid="{00000000-0005-0000-0000-000004310000}"/>
    <cellStyle name="Note 26" xfId="12531" xr:uid="{00000000-0005-0000-0000-000005310000}"/>
    <cellStyle name="Note 26 2" xfId="12532" xr:uid="{00000000-0005-0000-0000-000006310000}"/>
    <cellStyle name="Note 26 3" xfId="12533" xr:uid="{00000000-0005-0000-0000-000007310000}"/>
    <cellStyle name="Note 26 4" xfId="12534" xr:uid="{00000000-0005-0000-0000-000008310000}"/>
    <cellStyle name="Note 27" xfId="12535" xr:uid="{00000000-0005-0000-0000-000009310000}"/>
    <cellStyle name="Note 27 2" xfId="12536" xr:uid="{00000000-0005-0000-0000-00000A310000}"/>
    <cellStyle name="Note 27 3" xfId="12537" xr:uid="{00000000-0005-0000-0000-00000B310000}"/>
    <cellStyle name="Note 27 4" xfId="12538" xr:uid="{00000000-0005-0000-0000-00000C310000}"/>
    <cellStyle name="Note 28" xfId="12539" xr:uid="{00000000-0005-0000-0000-00000D310000}"/>
    <cellStyle name="Note 28 2" xfId="12540" xr:uid="{00000000-0005-0000-0000-00000E310000}"/>
    <cellStyle name="Note 28 3" xfId="12541" xr:uid="{00000000-0005-0000-0000-00000F310000}"/>
    <cellStyle name="Note 28 4" xfId="12542" xr:uid="{00000000-0005-0000-0000-000010310000}"/>
    <cellStyle name="Note 29" xfId="12543" xr:uid="{00000000-0005-0000-0000-000011310000}"/>
    <cellStyle name="Note 29 2" xfId="12544" xr:uid="{00000000-0005-0000-0000-000012310000}"/>
    <cellStyle name="Note 29 3" xfId="12545" xr:uid="{00000000-0005-0000-0000-000013310000}"/>
    <cellStyle name="Note 29 4" xfId="12546" xr:uid="{00000000-0005-0000-0000-000014310000}"/>
    <cellStyle name="Note 3" xfId="12547" xr:uid="{00000000-0005-0000-0000-000015310000}"/>
    <cellStyle name="Note 3 10" xfId="12548" xr:uid="{00000000-0005-0000-0000-000016310000}"/>
    <cellStyle name="Note 3 11" xfId="12549" xr:uid="{00000000-0005-0000-0000-000017310000}"/>
    <cellStyle name="Note 3 2" xfId="12550" xr:uid="{00000000-0005-0000-0000-000018310000}"/>
    <cellStyle name="Note 3 2 2" xfId="12551" xr:uid="{00000000-0005-0000-0000-000019310000}"/>
    <cellStyle name="Note 3 2 2 2" xfId="12552" xr:uid="{00000000-0005-0000-0000-00001A310000}"/>
    <cellStyle name="Note 3 2 2 3" xfId="12553" xr:uid="{00000000-0005-0000-0000-00001B310000}"/>
    <cellStyle name="Note 3 2 2 4" xfId="12554" xr:uid="{00000000-0005-0000-0000-00001C310000}"/>
    <cellStyle name="Note 3 2 3" xfId="12555" xr:uid="{00000000-0005-0000-0000-00001D310000}"/>
    <cellStyle name="Note 3 2 4" xfId="12556" xr:uid="{00000000-0005-0000-0000-00001E310000}"/>
    <cellStyle name="Note 3 2 5" xfId="12557" xr:uid="{00000000-0005-0000-0000-00001F310000}"/>
    <cellStyle name="Note 3 3" xfId="12558" xr:uid="{00000000-0005-0000-0000-000020310000}"/>
    <cellStyle name="Note 3 3 2" xfId="12559" xr:uid="{00000000-0005-0000-0000-000021310000}"/>
    <cellStyle name="Note 3 3 3" xfId="12560" xr:uid="{00000000-0005-0000-0000-000022310000}"/>
    <cellStyle name="Note 3 3 4" xfId="12561" xr:uid="{00000000-0005-0000-0000-000023310000}"/>
    <cellStyle name="Note 3 4" xfId="12562" xr:uid="{00000000-0005-0000-0000-000024310000}"/>
    <cellStyle name="Note 3 4 2" xfId="12563" xr:uid="{00000000-0005-0000-0000-000025310000}"/>
    <cellStyle name="Note 3 4 2 2" xfId="12564" xr:uid="{00000000-0005-0000-0000-000026310000}"/>
    <cellStyle name="Note 3 4 2 3" xfId="12565" xr:uid="{00000000-0005-0000-0000-000027310000}"/>
    <cellStyle name="Note 3 4 2 4" xfId="12566" xr:uid="{00000000-0005-0000-0000-000028310000}"/>
    <cellStyle name="Note 3 4 3" xfId="12567" xr:uid="{00000000-0005-0000-0000-000029310000}"/>
    <cellStyle name="Note 3 4 3 2" xfId="12568" xr:uid="{00000000-0005-0000-0000-00002A310000}"/>
    <cellStyle name="Note 3 4 3 3" xfId="12569" xr:uid="{00000000-0005-0000-0000-00002B310000}"/>
    <cellStyle name="Note 3 4 3 4" xfId="12570" xr:uid="{00000000-0005-0000-0000-00002C310000}"/>
    <cellStyle name="Note 3 4 4" xfId="12571" xr:uid="{00000000-0005-0000-0000-00002D310000}"/>
    <cellStyle name="Note 3 4 5" xfId="12572" xr:uid="{00000000-0005-0000-0000-00002E310000}"/>
    <cellStyle name="Note 3 4 6" xfId="12573" xr:uid="{00000000-0005-0000-0000-00002F310000}"/>
    <cellStyle name="Note 3 5" xfId="12574" xr:uid="{00000000-0005-0000-0000-000030310000}"/>
    <cellStyle name="Note 3 5 2" xfId="12575" xr:uid="{00000000-0005-0000-0000-000031310000}"/>
    <cellStyle name="Note 3 5 3" xfId="12576" xr:uid="{00000000-0005-0000-0000-000032310000}"/>
    <cellStyle name="Note 3 5 4" xfId="12577" xr:uid="{00000000-0005-0000-0000-000033310000}"/>
    <cellStyle name="Note 3 6" xfId="12578" xr:uid="{00000000-0005-0000-0000-000034310000}"/>
    <cellStyle name="Note 3 6 2" xfId="12579" xr:uid="{00000000-0005-0000-0000-000035310000}"/>
    <cellStyle name="Note 3 6 3" xfId="12580" xr:uid="{00000000-0005-0000-0000-000036310000}"/>
    <cellStyle name="Note 3 6 4" xfId="12581" xr:uid="{00000000-0005-0000-0000-000037310000}"/>
    <cellStyle name="Note 3 7" xfId="12582" xr:uid="{00000000-0005-0000-0000-000038310000}"/>
    <cellStyle name="Note 3 7 2" xfId="12583" xr:uid="{00000000-0005-0000-0000-000039310000}"/>
    <cellStyle name="Note 3 7 3" xfId="12584" xr:uid="{00000000-0005-0000-0000-00003A310000}"/>
    <cellStyle name="Note 3 7 4" xfId="12585" xr:uid="{00000000-0005-0000-0000-00003B310000}"/>
    <cellStyle name="Note 3 8" xfId="12586" xr:uid="{00000000-0005-0000-0000-00003C310000}"/>
    <cellStyle name="Note 3 9" xfId="12587" xr:uid="{00000000-0005-0000-0000-00003D310000}"/>
    <cellStyle name="Note 30" xfId="12588" xr:uid="{00000000-0005-0000-0000-00003E310000}"/>
    <cellStyle name="Note 30 2" xfId="12589" xr:uid="{00000000-0005-0000-0000-00003F310000}"/>
    <cellStyle name="Note 30 3" xfId="12590" xr:uid="{00000000-0005-0000-0000-000040310000}"/>
    <cellStyle name="Note 30 4" xfId="12591" xr:uid="{00000000-0005-0000-0000-000041310000}"/>
    <cellStyle name="Note 31" xfId="12592" xr:uid="{00000000-0005-0000-0000-000042310000}"/>
    <cellStyle name="Note 31 2" xfId="12593" xr:uid="{00000000-0005-0000-0000-000043310000}"/>
    <cellStyle name="Note 31 3" xfId="12594" xr:uid="{00000000-0005-0000-0000-000044310000}"/>
    <cellStyle name="Note 31 4" xfId="12595" xr:uid="{00000000-0005-0000-0000-000045310000}"/>
    <cellStyle name="Note 32" xfId="12596" xr:uid="{00000000-0005-0000-0000-000046310000}"/>
    <cellStyle name="Note 32 2" xfId="12597" xr:uid="{00000000-0005-0000-0000-000047310000}"/>
    <cellStyle name="Note 32 3" xfId="12598" xr:uid="{00000000-0005-0000-0000-000048310000}"/>
    <cellStyle name="Note 32 4" xfId="12599" xr:uid="{00000000-0005-0000-0000-000049310000}"/>
    <cellStyle name="Note 33" xfId="12600" xr:uid="{00000000-0005-0000-0000-00004A310000}"/>
    <cellStyle name="Note 33 2" xfId="12601" xr:uid="{00000000-0005-0000-0000-00004B310000}"/>
    <cellStyle name="Note 33 3" xfId="12602" xr:uid="{00000000-0005-0000-0000-00004C310000}"/>
    <cellStyle name="Note 33 4" xfId="12603" xr:uid="{00000000-0005-0000-0000-00004D310000}"/>
    <cellStyle name="Note 34" xfId="12604" xr:uid="{00000000-0005-0000-0000-00004E310000}"/>
    <cellStyle name="Note 34 2" xfId="12605" xr:uid="{00000000-0005-0000-0000-00004F310000}"/>
    <cellStyle name="Note 34 3" xfId="12606" xr:uid="{00000000-0005-0000-0000-000050310000}"/>
    <cellStyle name="Note 34 4" xfId="12607" xr:uid="{00000000-0005-0000-0000-000051310000}"/>
    <cellStyle name="Note 35" xfId="12608" xr:uid="{00000000-0005-0000-0000-000052310000}"/>
    <cellStyle name="Note 35 2" xfId="12609" xr:uid="{00000000-0005-0000-0000-000053310000}"/>
    <cellStyle name="Note 35 3" xfId="12610" xr:uid="{00000000-0005-0000-0000-000054310000}"/>
    <cellStyle name="Note 35 4" xfId="12611" xr:uid="{00000000-0005-0000-0000-000055310000}"/>
    <cellStyle name="Note 36" xfId="12612" xr:uid="{00000000-0005-0000-0000-000056310000}"/>
    <cellStyle name="Note 36 2" xfId="12613" xr:uid="{00000000-0005-0000-0000-000057310000}"/>
    <cellStyle name="Note 36 3" xfId="12614" xr:uid="{00000000-0005-0000-0000-000058310000}"/>
    <cellStyle name="Note 36 4" xfId="12615" xr:uid="{00000000-0005-0000-0000-000059310000}"/>
    <cellStyle name="Note 37" xfId="12616" xr:uid="{00000000-0005-0000-0000-00005A310000}"/>
    <cellStyle name="Note 37 2" xfId="12617" xr:uid="{00000000-0005-0000-0000-00005B310000}"/>
    <cellStyle name="Note 37 3" xfId="12618" xr:uid="{00000000-0005-0000-0000-00005C310000}"/>
    <cellStyle name="Note 37 4" xfId="12619" xr:uid="{00000000-0005-0000-0000-00005D310000}"/>
    <cellStyle name="Note 38" xfId="12620" xr:uid="{00000000-0005-0000-0000-00005E310000}"/>
    <cellStyle name="Note 38 2" xfId="12621" xr:uid="{00000000-0005-0000-0000-00005F310000}"/>
    <cellStyle name="Note 38 3" xfId="12622" xr:uid="{00000000-0005-0000-0000-000060310000}"/>
    <cellStyle name="Note 38 4" xfId="12623" xr:uid="{00000000-0005-0000-0000-000061310000}"/>
    <cellStyle name="Note 39" xfId="12624" xr:uid="{00000000-0005-0000-0000-000062310000}"/>
    <cellStyle name="Note 39 2" xfId="12625" xr:uid="{00000000-0005-0000-0000-000063310000}"/>
    <cellStyle name="Note 39 3" xfId="12626" xr:uid="{00000000-0005-0000-0000-000064310000}"/>
    <cellStyle name="Note 39 4" xfId="12627" xr:uid="{00000000-0005-0000-0000-000065310000}"/>
    <cellStyle name="Note 4" xfId="12628" xr:uid="{00000000-0005-0000-0000-000066310000}"/>
    <cellStyle name="Note 4 2" xfId="12629" xr:uid="{00000000-0005-0000-0000-000067310000}"/>
    <cellStyle name="Note 4 2 2" xfId="12630" xr:uid="{00000000-0005-0000-0000-000068310000}"/>
    <cellStyle name="Note 4 2 3" xfId="12631" xr:uid="{00000000-0005-0000-0000-000069310000}"/>
    <cellStyle name="Note 4 2 4" xfId="12632" xr:uid="{00000000-0005-0000-0000-00006A310000}"/>
    <cellStyle name="Note 4 3" xfId="12633" xr:uid="{00000000-0005-0000-0000-00006B310000}"/>
    <cellStyle name="Note 4 3 2" xfId="12634" xr:uid="{00000000-0005-0000-0000-00006C310000}"/>
    <cellStyle name="Note 4 3 2 2" xfId="12635" xr:uid="{00000000-0005-0000-0000-00006D310000}"/>
    <cellStyle name="Note 4 3 2 3" xfId="12636" xr:uid="{00000000-0005-0000-0000-00006E310000}"/>
    <cellStyle name="Note 4 3 2 4" xfId="12637" xr:uid="{00000000-0005-0000-0000-00006F310000}"/>
    <cellStyle name="Note 4 3 3" xfId="12638" xr:uid="{00000000-0005-0000-0000-000070310000}"/>
    <cellStyle name="Note 4 3 4" xfId="12639" xr:uid="{00000000-0005-0000-0000-000071310000}"/>
    <cellStyle name="Note 4 3 5" xfId="12640" xr:uid="{00000000-0005-0000-0000-000072310000}"/>
    <cellStyle name="Note 4 3_ELC_final" xfId="12641" xr:uid="{00000000-0005-0000-0000-000073310000}"/>
    <cellStyle name="Note 4 4" xfId="12642" xr:uid="{00000000-0005-0000-0000-000074310000}"/>
    <cellStyle name="Note 4 4 2" xfId="12643" xr:uid="{00000000-0005-0000-0000-000075310000}"/>
    <cellStyle name="Note 4 4 3" xfId="12644" xr:uid="{00000000-0005-0000-0000-000076310000}"/>
    <cellStyle name="Note 4 4 4" xfId="12645" xr:uid="{00000000-0005-0000-0000-000077310000}"/>
    <cellStyle name="Note 4 5" xfId="12646" xr:uid="{00000000-0005-0000-0000-000078310000}"/>
    <cellStyle name="Note 4 6" xfId="12647" xr:uid="{00000000-0005-0000-0000-000079310000}"/>
    <cellStyle name="Note 4 7" xfId="12648" xr:uid="{00000000-0005-0000-0000-00007A310000}"/>
    <cellStyle name="Note 4 8" xfId="12649" xr:uid="{00000000-0005-0000-0000-00007B310000}"/>
    <cellStyle name="Note 4_ELC_final" xfId="12650" xr:uid="{00000000-0005-0000-0000-00007C310000}"/>
    <cellStyle name="Note 40" xfId="12651" xr:uid="{00000000-0005-0000-0000-00007D310000}"/>
    <cellStyle name="Note 40 2" xfId="12652" xr:uid="{00000000-0005-0000-0000-00007E310000}"/>
    <cellStyle name="Note 40 3" xfId="12653" xr:uid="{00000000-0005-0000-0000-00007F310000}"/>
    <cellStyle name="Note 40 4" xfId="12654" xr:uid="{00000000-0005-0000-0000-000080310000}"/>
    <cellStyle name="Note 41" xfId="12655" xr:uid="{00000000-0005-0000-0000-000081310000}"/>
    <cellStyle name="Note 41 2" xfId="12656" xr:uid="{00000000-0005-0000-0000-000082310000}"/>
    <cellStyle name="Note 41 3" xfId="12657" xr:uid="{00000000-0005-0000-0000-000083310000}"/>
    <cellStyle name="Note 41 4" xfId="12658" xr:uid="{00000000-0005-0000-0000-000084310000}"/>
    <cellStyle name="Note 42" xfId="12659" xr:uid="{00000000-0005-0000-0000-000085310000}"/>
    <cellStyle name="Note 43" xfId="12660" xr:uid="{00000000-0005-0000-0000-000086310000}"/>
    <cellStyle name="Note 5" xfId="12661" xr:uid="{00000000-0005-0000-0000-000087310000}"/>
    <cellStyle name="Note 5 2" xfId="12662" xr:uid="{00000000-0005-0000-0000-000088310000}"/>
    <cellStyle name="Note 5 2 2" xfId="12663" xr:uid="{00000000-0005-0000-0000-000089310000}"/>
    <cellStyle name="Note 5 2 3" xfId="12664" xr:uid="{00000000-0005-0000-0000-00008A310000}"/>
    <cellStyle name="Note 5 2 4" xfId="12665" xr:uid="{00000000-0005-0000-0000-00008B310000}"/>
    <cellStyle name="Note 5 3" xfId="12666" xr:uid="{00000000-0005-0000-0000-00008C310000}"/>
    <cellStyle name="Note 5 3 2" xfId="12667" xr:uid="{00000000-0005-0000-0000-00008D310000}"/>
    <cellStyle name="Note 5 3 2 2" xfId="12668" xr:uid="{00000000-0005-0000-0000-00008E310000}"/>
    <cellStyle name="Note 5 3 2 3" xfId="12669" xr:uid="{00000000-0005-0000-0000-00008F310000}"/>
    <cellStyle name="Note 5 3 2 4" xfId="12670" xr:uid="{00000000-0005-0000-0000-000090310000}"/>
    <cellStyle name="Note 5 3 3" xfId="12671" xr:uid="{00000000-0005-0000-0000-000091310000}"/>
    <cellStyle name="Note 5 3 4" xfId="12672" xr:uid="{00000000-0005-0000-0000-000092310000}"/>
    <cellStyle name="Note 5 3 5" xfId="12673" xr:uid="{00000000-0005-0000-0000-000093310000}"/>
    <cellStyle name="Note 5 3_ELC_final" xfId="12674" xr:uid="{00000000-0005-0000-0000-000094310000}"/>
    <cellStyle name="Note 5 4" xfId="12675" xr:uid="{00000000-0005-0000-0000-000095310000}"/>
    <cellStyle name="Note 5 4 2" xfId="12676" xr:uid="{00000000-0005-0000-0000-000096310000}"/>
    <cellStyle name="Note 5 4 3" xfId="12677" xr:uid="{00000000-0005-0000-0000-000097310000}"/>
    <cellStyle name="Note 5 4 4" xfId="12678" xr:uid="{00000000-0005-0000-0000-000098310000}"/>
    <cellStyle name="Note 5 5" xfId="12679" xr:uid="{00000000-0005-0000-0000-000099310000}"/>
    <cellStyle name="Note 5 6" xfId="12680" xr:uid="{00000000-0005-0000-0000-00009A310000}"/>
    <cellStyle name="Note 5 7" xfId="12681" xr:uid="{00000000-0005-0000-0000-00009B310000}"/>
    <cellStyle name="Note 5 8" xfId="12682" xr:uid="{00000000-0005-0000-0000-00009C310000}"/>
    <cellStyle name="Note 5_ELC_final" xfId="12683" xr:uid="{00000000-0005-0000-0000-00009D310000}"/>
    <cellStyle name="Note 6" xfId="12684" xr:uid="{00000000-0005-0000-0000-00009E310000}"/>
    <cellStyle name="Note 6 2" xfId="12685" xr:uid="{00000000-0005-0000-0000-00009F310000}"/>
    <cellStyle name="Note 6 2 2" xfId="12686" xr:uid="{00000000-0005-0000-0000-0000A0310000}"/>
    <cellStyle name="Note 6 2 3" xfId="12687" xr:uid="{00000000-0005-0000-0000-0000A1310000}"/>
    <cellStyle name="Note 6 2 4" xfId="12688" xr:uid="{00000000-0005-0000-0000-0000A2310000}"/>
    <cellStyle name="Note 6 3" xfId="12689" xr:uid="{00000000-0005-0000-0000-0000A3310000}"/>
    <cellStyle name="Note 6 3 2" xfId="12690" xr:uid="{00000000-0005-0000-0000-0000A4310000}"/>
    <cellStyle name="Note 6 3 2 2" xfId="12691" xr:uid="{00000000-0005-0000-0000-0000A5310000}"/>
    <cellStyle name="Note 6 3 2 3" xfId="12692" xr:uid="{00000000-0005-0000-0000-0000A6310000}"/>
    <cellStyle name="Note 6 3 2 4" xfId="12693" xr:uid="{00000000-0005-0000-0000-0000A7310000}"/>
    <cellStyle name="Note 6 3 3" xfId="12694" xr:uid="{00000000-0005-0000-0000-0000A8310000}"/>
    <cellStyle name="Note 6 3 4" xfId="12695" xr:uid="{00000000-0005-0000-0000-0000A9310000}"/>
    <cellStyle name="Note 6 3 5" xfId="12696" xr:uid="{00000000-0005-0000-0000-0000AA310000}"/>
    <cellStyle name="Note 6 3_ELC_final" xfId="12697" xr:uid="{00000000-0005-0000-0000-0000AB310000}"/>
    <cellStyle name="Note 6 4" xfId="12698" xr:uid="{00000000-0005-0000-0000-0000AC310000}"/>
    <cellStyle name="Note 6 4 2" xfId="12699" xr:uid="{00000000-0005-0000-0000-0000AD310000}"/>
    <cellStyle name="Note 6 4 3" xfId="12700" xr:uid="{00000000-0005-0000-0000-0000AE310000}"/>
    <cellStyle name="Note 6 4 4" xfId="12701" xr:uid="{00000000-0005-0000-0000-0000AF310000}"/>
    <cellStyle name="Note 6 5" xfId="12702" xr:uid="{00000000-0005-0000-0000-0000B0310000}"/>
    <cellStyle name="Note 6 6" xfId="12703" xr:uid="{00000000-0005-0000-0000-0000B1310000}"/>
    <cellStyle name="Note 6 7" xfId="12704" xr:uid="{00000000-0005-0000-0000-0000B2310000}"/>
    <cellStyle name="Note 6 8" xfId="12705" xr:uid="{00000000-0005-0000-0000-0000B3310000}"/>
    <cellStyle name="Note 6_ELC_final" xfId="12706" xr:uid="{00000000-0005-0000-0000-0000B4310000}"/>
    <cellStyle name="Note 7" xfId="12707" xr:uid="{00000000-0005-0000-0000-0000B5310000}"/>
    <cellStyle name="Note 7 2" xfId="12708" xr:uid="{00000000-0005-0000-0000-0000B6310000}"/>
    <cellStyle name="Note 7 2 2" xfId="12709" xr:uid="{00000000-0005-0000-0000-0000B7310000}"/>
    <cellStyle name="Note 7 2 3" xfId="12710" xr:uid="{00000000-0005-0000-0000-0000B8310000}"/>
    <cellStyle name="Note 7 2 4" xfId="12711" xr:uid="{00000000-0005-0000-0000-0000B9310000}"/>
    <cellStyle name="Note 7 3" xfId="12712" xr:uid="{00000000-0005-0000-0000-0000BA310000}"/>
    <cellStyle name="Note 7 3 2" xfId="12713" xr:uid="{00000000-0005-0000-0000-0000BB310000}"/>
    <cellStyle name="Note 7 3 2 2" xfId="12714" xr:uid="{00000000-0005-0000-0000-0000BC310000}"/>
    <cellStyle name="Note 7 3 2 3" xfId="12715" xr:uid="{00000000-0005-0000-0000-0000BD310000}"/>
    <cellStyle name="Note 7 3 2 4" xfId="12716" xr:uid="{00000000-0005-0000-0000-0000BE310000}"/>
    <cellStyle name="Note 7 3 3" xfId="12717" xr:uid="{00000000-0005-0000-0000-0000BF310000}"/>
    <cellStyle name="Note 7 3 4" xfId="12718" xr:uid="{00000000-0005-0000-0000-0000C0310000}"/>
    <cellStyle name="Note 7 3 5" xfId="12719" xr:uid="{00000000-0005-0000-0000-0000C1310000}"/>
    <cellStyle name="Note 7 3_ELC_final" xfId="12720" xr:uid="{00000000-0005-0000-0000-0000C2310000}"/>
    <cellStyle name="Note 7 4" xfId="12721" xr:uid="{00000000-0005-0000-0000-0000C3310000}"/>
    <cellStyle name="Note 7 4 2" xfId="12722" xr:uid="{00000000-0005-0000-0000-0000C4310000}"/>
    <cellStyle name="Note 7 4 3" xfId="12723" xr:uid="{00000000-0005-0000-0000-0000C5310000}"/>
    <cellStyle name="Note 7 4 4" xfId="12724" xr:uid="{00000000-0005-0000-0000-0000C6310000}"/>
    <cellStyle name="Note 7 5" xfId="12725" xr:uid="{00000000-0005-0000-0000-0000C7310000}"/>
    <cellStyle name="Note 7 6" xfId="12726" xr:uid="{00000000-0005-0000-0000-0000C8310000}"/>
    <cellStyle name="Note 7 7" xfId="12727" xr:uid="{00000000-0005-0000-0000-0000C9310000}"/>
    <cellStyle name="Note 7 8" xfId="12728" xr:uid="{00000000-0005-0000-0000-0000CA310000}"/>
    <cellStyle name="Note 7_ELC_final" xfId="12729" xr:uid="{00000000-0005-0000-0000-0000CB310000}"/>
    <cellStyle name="Note 8" xfId="12730" xr:uid="{00000000-0005-0000-0000-0000CC310000}"/>
    <cellStyle name="Note 8 2" xfId="12731" xr:uid="{00000000-0005-0000-0000-0000CD310000}"/>
    <cellStyle name="Note 8 2 2" xfId="12732" xr:uid="{00000000-0005-0000-0000-0000CE310000}"/>
    <cellStyle name="Note 8 2 3" xfId="12733" xr:uid="{00000000-0005-0000-0000-0000CF310000}"/>
    <cellStyle name="Note 8 2 4" xfId="12734" xr:uid="{00000000-0005-0000-0000-0000D0310000}"/>
    <cellStyle name="Note 8 3" xfId="12735" xr:uid="{00000000-0005-0000-0000-0000D1310000}"/>
    <cellStyle name="Note 8 3 2" xfId="12736" xr:uid="{00000000-0005-0000-0000-0000D2310000}"/>
    <cellStyle name="Note 8 3 2 2" xfId="12737" xr:uid="{00000000-0005-0000-0000-0000D3310000}"/>
    <cellStyle name="Note 8 3 2 3" xfId="12738" xr:uid="{00000000-0005-0000-0000-0000D4310000}"/>
    <cellStyle name="Note 8 3 2 4" xfId="12739" xr:uid="{00000000-0005-0000-0000-0000D5310000}"/>
    <cellStyle name="Note 8 3 3" xfId="12740" xr:uid="{00000000-0005-0000-0000-0000D6310000}"/>
    <cellStyle name="Note 8 3 4" xfId="12741" xr:uid="{00000000-0005-0000-0000-0000D7310000}"/>
    <cellStyle name="Note 8 3 5" xfId="12742" xr:uid="{00000000-0005-0000-0000-0000D8310000}"/>
    <cellStyle name="Note 8 3_ELC_final" xfId="12743" xr:uid="{00000000-0005-0000-0000-0000D9310000}"/>
    <cellStyle name="Note 8 4" xfId="12744" xr:uid="{00000000-0005-0000-0000-0000DA310000}"/>
    <cellStyle name="Note 8 4 2" xfId="12745" xr:uid="{00000000-0005-0000-0000-0000DB310000}"/>
    <cellStyle name="Note 8 4 3" xfId="12746" xr:uid="{00000000-0005-0000-0000-0000DC310000}"/>
    <cellStyle name="Note 8 4 4" xfId="12747" xr:uid="{00000000-0005-0000-0000-0000DD310000}"/>
    <cellStyle name="Note 8 5" xfId="12748" xr:uid="{00000000-0005-0000-0000-0000DE310000}"/>
    <cellStyle name="Note 8 6" xfId="12749" xr:uid="{00000000-0005-0000-0000-0000DF310000}"/>
    <cellStyle name="Note 8 7" xfId="12750" xr:uid="{00000000-0005-0000-0000-0000E0310000}"/>
    <cellStyle name="Note 8 8" xfId="12751" xr:uid="{00000000-0005-0000-0000-0000E1310000}"/>
    <cellStyle name="Note 8_ELC_final" xfId="12752" xr:uid="{00000000-0005-0000-0000-0000E2310000}"/>
    <cellStyle name="Note 9" xfId="12753" xr:uid="{00000000-0005-0000-0000-0000E3310000}"/>
    <cellStyle name="Note 9 2" xfId="12754" xr:uid="{00000000-0005-0000-0000-0000E4310000}"/>
    <cellStyle name="Note 9 2 2" xfId="12755" xr:uid="{00000000-0005-0000-0000-0000E5310000}"/>
    <cellStyle name="Note 9 2 3" xfId="12756" xr:uid="{00000000-0005-0000-0000-0000E6310000}"/>
    <cellStyle name="Note 9 2 4" xfId="12757" xr:uid="{00000000-0005-0000-0000-0000E7310000}"/>
    <cellStyle name="Note 9 2 5" xfId="12758" xr:uid="{00000000-0005-0000-0000-0000E8310000}"/>
    <cellStyle name="Note 9 3" xfId="12759" xr:uid="{00000000-0005-0000-0000-0000E9310000}"/>
    <cellStyle name="Note 9 3 2" xfId="12760" xr:uid="{00000000-0005-0000-0000-0000EA310000}"/>
    <cellStyle name="Note 9 3 2 2" xfId="12761" xr:uid="{00000000-0005-0000-0000-0000EB310000}"/>
    <cellStyle name="Note 9 3 2 3" xfId="12762" xr:uid="{00000000-0005-0000-0000-0000EC310000}"/>
    <cellStyle name="Note 9 3 2 4" xfId="12763" xr:uid="{00000000-0005-0000-0000-0000ED310000}"/>
    <cellStyle name="Note 9 3 3" xfId="12764" xr:uid="{00000000-0005-0000-0000-0000EE310000}"/>
    <cellStyle name="Note 9 3 4" xfId="12765" xr:uid="{00000000-0005-0000-0000-0000EF310000}"/>
    <cellStyle name="Note 9 3 5" xfId="12766" xr:uid="{00000000-0005-0000-0000-0000F0310000}"/>
    <cellStyle name="Note 9 3_ELC_final" xfId="12767" xr:uid="{00000000-0005-0000-0000-0000F1310000}"/>
    <cellStyle name="Note 9 4" xfId="12768" xr:uid="{00000000-0005-0000-0000-0000F2310000}"/>
    <cellStyle name="Note 9 4 2" xfId="12769" xr:uid="{00000000-0005-0000-0000-0000F3310000}"/>
    <cellStyle name="Note 9 4 3" xfId="12770" xr:uid="{00000000-0005-0000-0000-0000F4310000}"/>
    <cellStyle name="Note 9 4 4" xfId="12771" xr:uid="{00000000-0005-0000-0000-0000F5310000}"/>
    <cellStyle name="Note 9 5" xfId="12772" xr:uid="{00000000-0005-0000-0000-0000F6310000}"/>
    <cellStyle name="Note 9 6" xfId="12773" xr:uid="{00000000-0005-0000-0000-0000F7310000}"/>
    <cellStyle name="Note 9 7" xfId="12774" xr:uid="{00000000-0005-0000-0000-0000F8310000}"/>
    <cellStyle name="Note 9 8" xfId="12775" xr:uid="{00000000-0005-0000-0000-0000F9310000}"/>
    <cellStyle name="Note 9_ELC_final" xfId="12776" xr:uid="{00000000-0005-0000-0000-0000FA310000}"/>
    <cellStyle name="Notiz" xfId="12777" xr:uid="{00000000-0005-0000-0000-0000FB310000}"/>
    <cellStyle name="Notiz 2" xfId="12778" xr:uid="{00000000-0005-0000-0000-0000FC310000}"/>
    <cellStyle name="Notiz 2 2" xfId="12779" xr:uid="{00000000-0005-0000-0000-0000FD310000}"/>
    <cellStyle name="Notiz 2 3" xfId="12780" xr:uid="{00000000-0005-0000-0000-0000FE310000}"/>
    <cellStyle name="Notiz 2 4" xfId="12781" xr:uid="{00000000-0005-0000-0000-0000FF310000}"/>
    <cellStyle name="Notiz 3" xfId="12782" xr:uid="{00000000-0005-0000-0000-000000320000}"/>
    <cellStyle name="Notiz 3 2" xfId="12783" xr:uid="{00000000-0005-0000-0000-000001320000}"/>
    <cellStyle name="Notiz 3 3" xfId="12784" xr:uid="{00000000-0005-0000-0000-000002320000}"/>
    <cellStyle name="Notiz 3 4" xfId="12785" xr:uid="{00000000-0005-0000-0000-000003320000}"/>
    <cellStyle name="Notiz 4" xfId="12786" xr:uid="{00000000-0005-0000-0000-000004320000}"/>
    <cellStyle name="Notiz 5" xfId="12787" xr:uid="{00000000-0005-0000-0000-000005320000}"/>
    <cellStyle name="Notiz 6" xfId="12788" xr:uid="{00000000-0005-0000-0000-000006320000}"/>
    <cellStyle name="num_note" xfId="12789" xr:uid="{00000000-0005-0000-0000-000007320000}"/>
    <cellStyle name="Nuovo" xfId="12790" xr:uid="{00000000-0005-0000-0000-000008320000}"/>
    <cellStyle name="Nuovo 10" xfId="12791" xr:uid="{00000000-0005-0000-0000-000009320000}"/>
    <cellStyle name="Nuovo 10 2" xfId="12792" xr:uid="{00000000-0005-0000-0000-00000A320000}"/>
    <cellStyle name="Nuovo 10 3" xfId="12793" xr:uid="{00000000-0005-0000-0000-00000B320000}"/>
    <cellStyle name="Nuovo 10 4" xfId="12794" xr:uid="{00000000-0005-0000-0000-00000C320000}"/>
    <cellStyle name="Nuovo 11" xfId="12795" xr:uid="{00000000-0005-0000-0000-00000D320000}"/>
    <cellStyle name="Nuovo 11 2" xfId="12796" xr:uid="{00000000-0005-0000-0000-00000E320000}"/>
    <cellStyle name="Nuovo 11 3" xfId="12797" xr:uid="{00000000-0005-0000-0000-00000F320000}"/>
    <cellStyle name="Nuovo 11 4" xfId="12798" xr:uid="{00000000-0005-0000-0000-000010320000}"/>
    <cellStyle name="Nuovo 12" xfId="12799" xr:uid="{00000000-0005-0000-0000-000011320000}"/>
    <cellStyle name="Nuovo 12 2" xfId="12800" xr:uid="{00000000-0005-0000-0000-000012320000}"/>
    <cellStyle name="Nuovo 12 3" xfId="12801" xr:uid="{00000000-0005-0000-0000-000013320000}"/>
    <cellStyle name="Nuovo 12 4" xfId="12802" xr:uid="{00000000-0005-0000-0000-000014320000}"/>
    <cellStyle name="Nuovo 13" xfId="12803" xr:uid="{00000000-0005-0000-0000-000015320000}"/>
    <cellStyle name="Nuovo 13 2" xfId="12804" xr:uid="{00000000-0005-0000-0000-000016320000}"/>
    <cellStyle name="Nuovo 13 3" xfId="12805" xr:uid="{00000000-0005-0000-0000-000017320000}"/>
    <cellStyle name="Nuovo 13 4" xfId="12806" xr:uid="{00000000-0005-0000-0000-000018320000}"/>
    <cellStyle name="Nuovo 14" xfId="12807" xr:uid="{00000000-0005-0000-0000-000019320000}"/>
    <cellStyle name="Nuovo 14 2" xfId="12808" xr:uid="{00000000-0005-0000-0000-00001A320000}"/>
    <cellStyle name="Nuovo 14 3" xfId="12809" xr:uid="{00000000-0005-0000-0000-00001B320000}"/>
    <cellStyle name="Nuovo 14 4" xfId="12810" xr:uid="{00000000-0005-0000-0000-00001C320000}"/>
    <cellStyle name="Nuovo 15" xfId="12811" xr:uid="{00000000-0005-0000-0000-00001D320000}"/>
    <cellStyle name="Nuovo 15 2" xfId="12812" xr:uid="{00000000-0005-0000-0000-00001E320000}"/>
    <cellStyle name="Nuovo 15 3" xfId="12813" xr:uid="{00000000-0005-0000-0000-00001F320000}"/>
    <cellStyle name="Nuovo 15 4" xfId="12814" xr:uid="{00000000-0005-0000-0000-000020320000}"/>
    <cellStyle name="Nuovo 16" xfId="12815" xr:uid="{00000000-0005-0000-0000-000021320000}"/>
    <cellStyle name="Nuovo 16 2" xfId="12816" xr:uid="{00000000-0005-0000-0000-000022320000}"/>
    <cellStyle name="Nuovo 16 3" xfId="12817" xr:uid="{00000000-0005-0000-0000-000023320000}"/>
    <cellStyle name="Nuovo 16 4" xfId="12818" xr:uid="{00000000-0005-0000-0000-000024320000}"/>
    <cellStyle name="Nuovo 17" xfId="12819" xr:uid="{00000000-0005-0000-0000-000025320000}"/>
    <cellStyle name="Nuovo 17 2" xfId="12820" xr:uid="{00000000-0005-0000-0000-000026320000}"/>
    <cellStyle name="Nuovo 17 3" xfId="12821" xr:uid="{00000000-0005-0000-0000-000027320000}"/>
    <cellStyle name="Nuovo 17 4" xfId="12822" xr:uid="{00000000-0005-0000-0000-000028320000}"/>
    <cellStyle name="Nuovo 18" xfId="12823" xr:uid="{00000000-0005-0000-0000-000029320000}"/>
    <cellStyle name="Nuovo 18 2" xfId="12824" xr:uid="{00000000-0005-0000-0000-00002A320000}"/>
    <cellStyle name="Nuovo 18 3" xfId="12825" xr:uid="{00000000-0005-0000-0000-00002B320000}"/>
    <cellStyle name="Nuovo 18 4" xfId="12826" xr:uid="{00000000-0005-0000-0000-00002C320000}"/>
    <cellStyle name="Nuovo 19" xfId="12827" xr:uid="{00000000-0005-0000-0000-00002D320000}"/>
    <cellStyle name="Nuovo 19 2" xfId="12828" xr:uid="{00000000-0005-0000-0000-00002E320000}"/>
    <cellStyle name="Nuovo 19 3" xfId="12829" xr:uid="{00000000-0005-0000-0000-00002F320000}"/>
    <cellStyle name="Nuovo 19 4" xfId="12830" xr:uid="{00000000-0005-0000-0000-000030320000}"/>
    <cellStyle name="Nuovo 2" xfId="12831" xr:uid="{00000000-0005-0000-0000-000031320000}"/>
    <cellStyle name="Nuovo 2 2" xfId="12832" xr:uid="{00000000-0005-0000-0000-000032320000}"/>
    <cellStyle name="Nuovo 2 3" xfId="12833" xr:uid="{00000000-0005-0000-0000-000033320000}"/>
    <cellStyle name="Nuovo 2 4" xfId="12834" xr:uid="{00000000-0005-0000-0000-000034320000}"/>
    <cellStyle name="Nuovo 20" xfId="12835" xr:uid="{00000000-0005-0000-0000-000035320000}"/>
    <cellStyle name="Nuovo 20 2" xfId="12836" xr:uid="{00000000-0005-0000-0000-000036320000}"/>
    <cellStyle name="Nuovo 20 3" xfId="12837" xr:uid="{00000000-0005-0000-0000-000037320000}"/>
    <cellStyle name="Nuovo 20 4" xfId="12838" xr:uid="{00000000-0005-0000-0000-000038320000}"/>
    <cellStyle name="Nuovo 21" xfId="12839" xr:uid="{00000000-0005-0000-0000-000039320000}"/>
    <cellStyle name="Nuovo 21 2" xfId="12840" xr:uid="{00000000-0005-0000-0000-00003A320000}"/>
    <cellStyle name="Nuovo 21 3" xfId="12841" xr:uid="{00000000-0005-0000-0000-00003B320000}"/>
    <cellStyle name="Nuovo 21 4" xfId="12842" xr:uid="{00000000-0005-0000-0000-00003C320000}"/>
    <cellStyle name="Nuovo 22" xfId="12843" xr:uid="{00000000-0005-0000-0000-00003D320000}"/>
    <cellStyle name="Nuovo 22 2" xfId="12844" xr:uid="{00000000-0005-0000-0000-00003E320000}"/>
    <cellStyle name="Nuovo 22 3" xfId="12845" xr:uid="{00000000-0005-0000-0000-00003F320000}"/>
    <cellStyle name="Nuovo 22 4" xfId="12846" xr:uid="{00000000-0005-0000-0000-000040320000}"/>
    <cellStyle name="Nuovo 23" xfId="12847" xr:uid="{00000000-0005-0000-0000-000041320000}"/>
    <cellStyle name="Nuovo 23 2" xfId="12848" xr:uid="{00000000-0005-0000-0000-000042320000}"/>
    <cellStyle name="Nuovo 23 3" xfId="12849" xr:uid="{00000000-0005-0000-0000-000043320000}"/>
    <cellStyle name="Nuovo 23 4" xfId="12850" xr:uid="{00000000-0005-0000-0000-000044320000}"/>
    <cellStyle name="Nuovo 24" xfId="12851" xr:uid="{00000000-0005-0000-0000-000045320000}"/>
    <cellStyle name="Nuovo 24 2" xfId="12852" xr:uid="{00000000-0005-0000-0000-000046320000}"/>
    <cellStyle name="Nuovo 24 3" xfId="12853" xr:uid="{00000000-0005-0000-0000-000047320000}"/>
    <cellStyle name="Nuovo 24 4" xfId="12854" xr:uid="{00000000-0005-0000-0000-000048320000}"/>
    <cellStyle name="Nuovo 25" xfId="12855" xr:uid="{00000000-0005-0000-0000-000049320000}"/>
    <cellStyle name="Nuovo 25 2" xfId="12856" xr:uid="{00000000-0005-0000-0000-00004A320000}"/>
    <cellStyle name="Nuovo 25 3" xfId="12857" xr:uid="{00000000-0005-0000-0000-00004B320000}"/>
    <cellStyle name="Nuovo 25 4" xfId="12858" xr:uid="{00000000-0005-0000-0000-00004C320000}"/>
    <cellStyle name="Nuovo 26" xfId="12859" xr:uid="{00000000-0005-0000-0000-00004D320000}"/>
    <cellStyle name="Nuovo 26 2" xfId="12860" xr:uid="{00000000-0005-0000-0000-00004E320000}"/>
    <cellStyle name="Nuovo 26 3" xfId="12861" xr:uid="{00000000-0005-0000-0000-00004F320000}"/>
    <cellStyle name="Nuovo 26 4" xfId="12862" xr:uid="{00000000-0005-0000-0000-000050320000}"/>
    <cellStyle name="Nuovo 27" xfId="12863" xr:uid="{00000000-0005-0000-0000-000051320000}"/>
    <cellStyle name="Nuovo 27 2" xfId="12864" xr:uid="{00000000-0005-0000-0000-000052320000}"/>
    <cellStyle name="Nuovo 27 3" xfId="12865" xr:uid="{00000000-0005-0000-0000-000053320000}"/>
    <cellStyle name="Nuovo 27 4" xfId="12866" xr:uid="{00000000-0005-0000-0000-000054320000}"/>
    <cellStyle name="Nuovo 28" xfId="12867" xr:uid="{00000000-0005-0000-0000-000055320000}"/>
    <cellStyle name="Nuovo 28 2" xfId="12868" xr:uid="{00000000-0005-0000-0000-000056320000}"/>
    <cellStyle name="Nuovo 28 3" xfId="12869" xr:uid="{00000000-0005-0000-0000-000057320000}"/>
    <cellStyle name="Nuovo 28 4" xfId="12870" xr:uid="{00000000-0005-0000-0000-000058320000}"/>
    <cellStyle name="Nuovo 29" xfId="12871" xr:uid="{00000000-0005-0000-0000-000059320000}"/>
    <cellStyle name="Nuovo 29 2" xfId="12872" xr:uid="{00000000-0005-0000-0000-00005A320000}"/>
    <cellStyle name="Nuovo 29 3" xfId="12873" xr:uid="{00000000-0005-0000-0000-00005B320000}"/>
    <cellStyle name="Nuovo 29 4" xfId="12874" xr:uid="{00000000-0005-0000-0000-00005C320000}"/>
    <cellStyle name="Nuovo 3" xfId="12875" xr:uid="{00000000-0005-0000-0000-00005D320000}"/>
    <cellStyle name="Nuovo 3 2" xfId="12876" xr:uid="{00000000-0005-0000-0000-00005E320000}"/>
    <cellStyle name="Nuovo 3 3" xfId="12877" xr:uid="{00000000-0005-0000-0000-00005F320000}"/>
    <cellStyle name="Nuovo 3 4" xfId="12878" xr:uid="{00000000-0005-0000-0000-000060320000}"/>
    <cellStyle name="Nuovo 30" xfId="12879" xr:uid="{00000000-0005-0000-0000-000061320000}"/>
    <cellStyle name="Nuovo 30 2" xfId="12880" xr:uid="{00000000-0005-0000-0000-000062320000}"/>
    <cellStyle name="Nuovo 30 3" xfId="12881" xr:uid="{00000000-0005-0000-0000-000063320000}"/>
    <cellStyle name="Nuovo 30 4" xfId="12882" xr:uid="{00000000-0005-0000-0000-000064320000}"/>
    <cellStyle name="Nuovo 31" xfId="12883" xr:uid="{00000000-0005-0000-0000-000065320000}"/>
    <cellStyle name="Nuovo 31 2" xfId="12884" xr:uid="{00000000-0005-0000-0000-000066320000}"/>
    <cellStyle name="Nuovo 31 3" xfId="12885" xr:uid="{00000000-0005-0000-0000-000067320000}"/>
    <cellStyle name="Nuovo 31 4" xfId="12886" xr:uid="{00000000-0005-0000-0000-000068320000}"/>
    <cellStyle name="Nuovo 32" xfId="12887" xr:uid="{00000000-0005-0000-0000-000069320000}"/>
    <cellStyle name="Nuovo 32 2" xfId="12888" xr:uid="{00000000-0005-0000-0000-00006A320000}"/>
    <cellStyle name="Nuovo 32 3" xfId="12889" xr:uid="{00000000-0005-0000-0000-00006B320000}"/>
    <cellStyle name="Nuovo 32 4" xfId="12890" xr:uid="{00000000-0005-0000-0000-00006C320000}"/>
    <cellStyle name="Nuovo 33" xfId="12891" xr:uid="{00000000-0005-0000-0000-00006D320000}"/>
    <cellStyle name="Nuovo 33 2" xfId="12892" xr:uid="{00000000-0005-0000-0000-00006E320000}"/>
    <cellStyle name="Nuovo 33 3" xfId="12893" xr:uid="{00000000-0005-0000-0000-00006F320000}"/>
    <cellStyle name="Nuovo 33 4" xfId="12894" xr:uid="{00000000-0005-0000-0000-000070320000}"/>
    <cellStyle name="Nuovo 34" xfId="12895" xr:uid="{00000000-0005-0000-0000-000071320000}"/>
    <cellStyle name="Nuovo 34 2" xfId="12896" xr:uid="{00000000-0005-0000-0000-000072320000}"/>
    <cellStyle name="Nuovo 34 3" xfId="12897" xr:uid="{00000000-0005-0000-0000-000073320000}"/>
    <cellStyle name="Nuovo 34 4" xfId="12898" xr:uid="{00000000-0005-0000-0000-000074320000}"/>
    <cellStyle name="Nuovo 35" xfId="12899" xr:uid="{00000000-0005-0000-0000-000075320000}"/>
    <cellStyle name="Nuovo 35 2" xfId="12900" xr:uid="{00000000-0005-0000-0000-000076320000}"/>
    <cellStyle name="Nuovo 35 3" xfId="12901" xr:uid="{00000000-0005-0000-0000-000077320000}"/>
    <cellStyle name="Nuovo 35 4" xfId="12902" xr:uid="{00000000-0005-0000-0000-000078320000}"/>
    <cellStyle name="Nuovo 36" xfId="12903" xr:uid="{00000000-0005-0000-0000-000079320000}"/>
    <cellStyle name="Nuovo 36 2" xfId="12904" xr:uid="{00000000-0005-0000-0000-00007A320000}"/>
    <cellStyle name="Nuovo 36 3" xfId="12905" xr:uid="{00000000-0005-0000-0000-00007B320000}"/>
    <cellStyle name="Nuovo 36 4" xfId="12906" xr:uid="{00000000-0005-0000-0000-00007C320000}"/>
    <cellStyle name="Nuovo 37" xfId="12907" xr:uid="{00000000-0005-0000-0000-00007D320000}"/>
    <cellStyle name="Nuovo 37 2" xfId="12908" xr:uid="{00000000-0005-0000-0000-00007E320000}"/>
    <cellStyle name="Nuovo 37 3" xfId="12909" xr:uid="{00000000-0005-0000-0000-00007F320000}"/>
    <cellStyle name="Nuovo 37 4" xfId="12910" xr:uid="{00000000-0005-0000-0000-000080320000}"/>
    <cellStyle name="Nuovo 38" xfId="12911" xr:uid="{00000000-0005-0000-0000-000081320000}"/>
    <cellStyle name="Nuovo 38 2" xfId="12912" xr:uid="{00000000-0005-0000-0000-000082320000}"/>
    <cellStyle name="Nuovo 38 3" xfId="12913" xr:uid="{00000000-0005-0000-0000-000083320000}"/>
    <cellStyle name="Nuovo 38 4" xfId="12914" xr:uid="{00000000-0005-0000-0000-000084320000}"/>
    <cellStyle name="Nuovo 39" xfId="12915" xr:uid="{00000000-0005-0000-0000-000085320000}"/>
    <cellStyle name="Nuovo 39 2" xfId="12916" xr:uid="{00000000-0005-0000-0000-000086320000}"/>
    <cellStyle name="Nuovo 39 3" xfId="12917" xr:uid="{00000000-0005-0000-0000-000087320000}"/>
    <cellStyle name="Nuovo 4" xfId="12918" xr:uid="{00000000-0005-0000-0000-000088320000}"/>
    <cellStyle name="Nuovo 4 2" xfId="12919" xr:uid="{00000000-0005-0000-0000-000089320000}"/>
    <cellStyle name="Nuovo 4 2 2" xfId="12920" xr:uid="{00000000-0005-0000-0000-00008A320000}"/>
    <cellStyle name="Nuovo 4 2 3" xfId="12921" xr:uid="{00000000-0005-0000-0000-00008B320000}"/>
    <cellStyle name="Nuovo 4 2 4" xfId="12922" xr:uid="{00000000-0005-0000-0000-00008C320000}"/>
    <cellStyle name="Nuovo 4 3" xfId="12923" xr:uid="{00000000-0005-0000-0000-00008D320000}"/>
    <cellStyle name="Nuovo 4 4" xfId="12924" xr:uid="{00000000-0005-0000-0000-00008E320000}"/>
    <cellStyle name="Nuovo 4 5" xfId="12925" xr:uid="{00000000-0005-0000-0000-00008F320000}"/>
    <cellStyle name="Nuovo 40" xfId="12926" xr:uid="{00000000-0005-0000-0000-000090320000}"/>
    <cellStyle name="Nuovo 40 2" xfId="12927" xr:uid="{00000000-0005-0000-0000-000091320000}"/>
    <cellStyle name="Nuovo 40 3" xfId="12928" xr:uid="{00000000-0005-0000-0000-000092320000}"/>
    <cellStyle name="Nuovo 41" xfId="12929" xr:uid="{00000000-0005-0000-0000-000093320000}"/>
    <cellStyle name="Nuovo 42" xfId="12930" xr:uid="{00000000-0005-0000-0000-000094320000}"/>
    <cellStyle name="Nuovo 43" xfId="12931" xr:uid="{00000000-0005-0000-0000-000095320000}"/>
    <cellStyle name="Nuovo 44" xfId="12932" xr:uid="{00000000-0005-0000-0000-000096320000}"/>
    <cellStyle name="Nuovo 5" xfId="12933" xr:uid="{00000000-0005-0000-0000-000097320000}"/>
    <cellStyle name="Nuovo 5 2" xfId="12934" xr:uid="{00000000-0005-0000-0000-000098320000}"/>
    <cellStyle name="Nuovo 5 3" xfId="12935" xr:uid="{00000000-0005-0000-0000-000099320000}"/>
    <cellStyle name="Nuovo 5 4" xfId="12936" xr:uid="{00000000-0005-0000-0000-00009A320000}"/>
    <cellStyle name="Nuovo 6" xfId="12937" xr:uid="{00000000-0005-0000-0000-00009B320000}"/>
    <cellStyle name="Nuovo 6 2" xfId="12938" xr:uid="{00000000-0005-0000-0000-00009C320000}"/>
    <cellStyle name="Nuovo 6 3" xfId="12939" xr:uid="{00000000-0005-0000-0000-00009D320000}"/>
    <cellStyle name="Nuovo 6 4" xfId="12940" xr:uid="{00000000-0005-0000-0000-00009E320000}"/>
    <cellStyle name="Nuovo 7" xfId="12941" xr:uid="{00000000-0005-0000-0000-00009F320000}"/>
    <cellStyle name="Nuovo 7 2" xfId="12942" xr:uid="{00000000-0005-0000-0000-0000A0320000}"/>
    <cellStyle name="Nuovo 7 3" xfId="12943" xr:uid="{00000000-0005-0000-0000-0000A1320000}"/>
    <cellStyle name="Nuovo 7 4" xfId="12944" xr:uid="{00000000-0005-0000-0000-0000A2320000}"/>
    <cellStyle name="Nuovo 8" xfId="12945" xr:uid="{00000000-0005-0000-0000-0000A3320000}"/>
    <cellStyle name="Nuovo 8 2" xfId="12946" xr:uid="{00000000-0005-0000-0000-0000A4320000}"/>
    <cellStyle name="Nuovo 8 3" xfId="12947" xr:uid="{00000000-0005-0000-0000-0000A5320000}"/>
    <cellStyle name="Nuovo 8 4" xfId="12948" xr:uid="{00000000-0005-0000-0000-0000A6320000}"/>
    <cellStyle name="Nuovo 9" xfId="12949" xr:uid="{00000000-0005-0000-0000-0000A7320000}"/>
    <cellStyle name="Nuovo 9 2" xfId="12950" xr:uid="{00000000-0005-0000-0000-0000A8320000}"/>
    <cellStyle name="Nuovo 9 3" xfId="12951" xr:uid="{00000000-0005-0000-0000-0000A9320000}"/>
    <cellStyle name="Nuovo 9 4" xfId="12952" xr:uid="{00000000-0005-0000-0000-0000AA320000}"/>
    <cellStyle name="Output 10" xfId="12953" xr:uid="{00000000-0005-0000-0000-0000AB320000}"/>
    <cellStyle name="Output 10 2" xfId="12954" xr:uid="{00000000-0005-0000-0000-0000AC320000}"/>
    <cellStyle name="Output 10 3" xfId="12955" xr:uid="{00000000-0005-0000-0000-0000AD320000}"/>
    <cellStyle name="Output 10 4" xfId="12956" xr:uid="{00000000-0005-0000-0000-0000AE320000}"/>
    <cellStyle name="Output 11" xfId="12957" xr:uid="{00000000-0005-0000-0000-0000AF320000}"/>
    <cellStyle name="Output 11 2" xfId="12958" xr:uid="{00000000-0005-0000-0000-0000B0320000}"/>
    <cellStyle name="Output 11 3" xfId="12959" xr:uid="{00000000-0005-0000-0000-0000B1320000}"/>
    <cellStyle name="Output 11 4" xfId="12960" xr:uid="{00000000-0005-0000-0000-0000B2320000}"/>
    <cellStyle name="Output 12" xfId="12961" xr:uid="{00000000-0005-0000-0000-0000B3320000}"/>
    <cellStyle name="Output 12 2" xfId="12962" xr:uid="{00000000-0005-0000-0000-0000B4320000}"/>
    <cellStyle name="Output 12 3" xfId="12963" xr:uid="{00000000-0005-0000-0000-0000B5320000}"/>
    <cellStyle name="Output 12 4" xfId="12964" xr:uid="{00000000-0005-0000-0000-0000B6320000}"/>
    <cellStyle name="Output 13" xfId="12965" xr:uid="{00000000-0005-0000-0000-0000B7320000}"/>
    <cellStyle name="Output 13 2" xfId="12966" xr:uid="{00000000-0005-0000-0000-0000B8320000}"/>
    <cellStyle name="Output 13 3" xfId="12967" xr:uid="{00000000-0005-0000-0000-0000B9320000}"/>
    <cellStyle name="Output 13 4" xfId="12968" xr:uid="{00000000-0005-0000-0000-0000BA320000}"/>
    <cellStyle name="Output 14" xfId="12969" xr:uid="{00000000-0005-0000-0000-0000BB320000}"/>
    <cellStyle name="Output 14 2" xfId="12970" xr:uid="{00000000-0005-0000-0000-0000BC320000}"/>
    <cellStyle name="Output 14 3" xfId="12971" xr:uid="{00000000-0005-0000-0000-0000BD320000}"/>
    <cellStyle name="Output 14 4" xfId="12972" xr:uid="{00000000-0005-0000-0000-0000BE320000}"/>
    <cellStyle name="Output 15" xfId="12973" xr:uid="{00000000-0005-0000-0000-0000BF320000}"/>
    <cellStyle name="Output 15 2" xfId="12974" xr:uid="{00000000-0005-0000-0000-0000C0320000}"/>
    <cellStyle name="Output 15 3" xfId="12975" xr:uid="{00000000-0005-0000-0000-0000C1320000}"/>
    <cellStyle name="Output 15 4" xfId="12976" xr:uid="{00000000-0005-0000-0000-0000C2320000}"/>
    <cellStyle name="Output 16" xfId="12977" xr:uid="{00000000-0005-0000-0000-0000C3320000}"/>
    <cellStyle name="Output 16 2" xfId="12978" xr:uid="{00000000-0005-0000-0000-0000C4320000}"/>
    <cellStyle name="Output 16 3" xfId="12979" xr:uid="{00000000-0005-0000-0000-0000C5320000}"/>
    <cellStyle name="Output 16 4" xfId="12980" xr:uid="{00000000-0005-0000-0000-0000C6320000}"/>
    <cellStyle name="Output 17" xfId="12981" xr:uid="{00000000-0005-0000-0000-0000C7320000}"/>
    <cellStyle name="Output 17 2" xfId="12982" xr:uid="{00000000-0005-0000-0000-0000C8320000}"/>
    <cellStyle name="Output 17 3" xfId="12983" xr:uid="{00000000-0005-0000-0000-0000C9320000}"/>
    <cellStyle name="Output 17 4" xfId="12984" xr:uid="{00000000-0005-0000-0000-0000CA320000}"/>
    <cellStyle name="Output 18" xfId="12985" xr:uid="{00000000-0005-0000-0000-0000CB320000}"/>
    <cellStyle name="Output 18 2" xfId="12986" xr:uid="{00000000-0005-0000-0000-0000CC320000}"/>
    <cellStyle name="Output 18 3" xfId="12987" xr:uid="{00000000-0005-0000-0000-0000CD320000}"/>
    <cellStyle name="Output 18 4" xfId="12988" xr:uid="{00000000-0005-0000-0000-0000CE320000}"/>
    <cellStyle name="Output 19" xfId="12989" xr:uid="{00000000-0005-0000-0000-0000CF320000}"/>
    <cellStyle name="Output 19 2" xfId="12990" xr:uid="{00000000-0005-0000-0000-0000D0320000}"/>
    <cellStyle name="Output 19 3" xfId="12991" xr:uid="{00000000-0005-0000-0000-0000D1320000}"/>
    <cellStyle name="Output 19 4" xfId="12992" xr:uid="{00000000-0005-0000-0000-0000D2320000}"/>
    <cellStyle name="Output 2" xfId="12993" xr:uid="{00000000-0005-0000-0000-0000D3320000}"/>
    <cellStyle name="Output 2 10" xfId="12994" xr:uid="{00000000-0005-0000-0000-0000D4320000}"/>
    <cellStyle name="Output 2 10 2" xfId="12995" xr:uid="{00000000-0005-0000-0000-0000D5320000}"/>
    <cellStyle name="Output 2 10 3" xfId="12996" xr:uid="{00000000-0005-0000-0000-0000D6320000}"/>
    <cellStyle name="Output 2 10 4" xfId="12997" xr:uid="{00000000-0005-0000-0000-0000D7320000}"/>
    <cellStyle name="Output 2 10 5" xfId="12998" xr:uid="{00000000-0005-0000-0000-0000D8320000}"/>
    <cellStyle name="Output 2 11" xfId="12999" xr:uid="{00000000-0005-0000-0000-0000D9320000}"/>
    <cellStyle name="Output 2 12" xfId="13000" xr:uid="{00000000-0005-0000-0000-0000DA320000}"/>
    <cellStyle name="Output 2 13" xfId="13001" xr:uid="{00000000-0005-0000-0000-0000DB320000}"/>
    <cellStyle name="Output 2 14" xfId="13002" xr:uid="{00000000-0005-0000-0000-0000DC320000}"/>
    <cellStyle name="Output 2 15" xfId="13003" xr:uid="{00000000-0005-0000-0000-0000DD320000}"/>
    <cellStyle name="Output 2 2" xfId="13004" xr:uid="{00000000-0005-0000-0000-0000DE320000}"/>
    <cellStyle name="Output 2 2 2" xfId="13005" xr:uid="{00000000-0005-0000-0000-0000DF320000}"/>
    <cellStyle name="Output 2 2 3" xfId="13006" xr:uid="{00000000-0005-0000-0000-0000E0320000}"/>
    <cellStyle name="Output 2 2 4" xfId="13007" xr:uid="{00000000-0005-0000-0000-0000E1320000}"/>
    <cellStyle name="Output 2 2 5" xfId="13008" xr:uid="{00000000-0005-0000-0000-0000E2320000}"/>
    <cellStyle name="Output 2 2_DACNEW" xfId="17781" xr:uid="{00000000-0005-0000-0000-0000E3320000}"/>
    <cellStyle name="Output 2 3" xfId="13009" xr:uid="{00000000-0005-0000-0000-0000E4320000}"/>
    <cellStyle name="Output 2 3 2" xfId="13010" xr:uid="{00000000-0005-0000-0000-0000E5320000}"/>
    <cellStyle name="Output 2 3 3" xfId="13011" xr:uid="{00000000-0005-0000-0000-0000E6320000}"/>
    <cellStyle name="Output 2 3 4" xfId="13012" xr:uid="{00000000-0005-0000-0000-0000E7320000}"/>
    <cellStyle name="Output 2 3 5" xfId="13013" xr:uid="{00000000-0005-0000-0000-0000E8320000}"/>
    <cellStyle name="Output 2 4" xfId="13014" xr:uid="{00000000-0005-0000-0000-0000E9320000}"/>
    <cellStyle name="Output 2 4 2" xfId="13015" xr:uid="{00000000-0005-0000-0000-0000EA320000}"/>
    <cellStyle name="Output 2 4 3" xfId="13016" xr:uid="{00000000-0005-0000-0000-0000EB320000}"/>
    <cellStyle name="Output 2 4 4" xfId="13017" xr:uid="{00000000-0005-0000-0000-0000EC320000}"/>
    <cellStyle name="Output 2 4 5" xfId="13018" xr:uid="{00000000-0005-0000-0000-0000ED320000}"/>
    <cellStyle name="Output 2 5" xfId="13019" xr:uid="{00000000-0005-0000-0000-0000EE320000}"/>
    <cellStyle name="Output 2 5 2" xfId="13020" xr:uid="{00000000-0005-0000-0000-0000EF320000}"/>
    <cellStyle name="Output 2 5 3" xfId="13021" xr:uid="{00000000-0005-0000-0000-0000F0320000}"/>
    <cellStyle name="Output 2 5 4" xfId="13022" xr:uid="{00000000-0005-0000-0000-0000F1320000}"/>
    <cellStyle name="Output 2 5 5" xfId="13023" xr:uid="{00000000-0005-0000-0000-0000F2320000}"/>
    <cellStyle name="Output 2 6" xfId="13024" xr:uid="{00000000-0005-0000-0000-0000F3320000}"/>
    <cellStyle name="Output 2 6 2" xfId="13025" xr:uid="{00000000-0005-0000-0000-0000F4320000}"/>
    <cellStyle name="Output 2 6 3" xfId="13026" xr:uid="{00000000-0005-0000-0000-0000F5320000}"/>
    <cellStyle name="Output 2 6 4" xfId="13027" xr:uid="{00000000-0005-0000-0000-0000F6320000}"/>
    <cellStyle name="Output 2 6 5" xfId="13028" xr:uid="{00000000-0005-0000-0000-0000F7320000}"/>
    <cellStyle name="Output 2 7" xfId="13029" xr:uid="{00000000-0005-0000-0000-0000F8320000}"/>
    <cellStyle name="Output 2 7 2" xfId="13030" xr:uid="{00000000-0005-0000-0000-0000F9320000}"/>
    <cellStyle name="Output 2 7 3" xfId="13031" xr:uid="{00000000-0005-0000-0000-0000FA320000}"/>
    <cellStyle name="Output 2 7 4" xfId="13032" xr:uid="{00000000-0005-0000-0000-0000FB320000}"/>
    <cellStyle name="Output 2 7 5" xfId="13033" xr:uid="{00000000-0005-0000-0000-0000FC320000}"/>
    <cellStyle name="Output 2 8" xfId="13034" xr:uid="{00000000-0005-0000-0000-0000FD320000}"/>
    <cellStyle name="Output 2 8 2" xfId="13035" xr:uid="{00000000-0005-0000-0000-0000FE320000}"/>
    <cellStyle name="Output 2 8 3" xfId="13036" xr:uid="{00000000-0005-0000-0000-0000FF320000}"/>
    <cellStyle name="Output 2 8 4" xfId="13037" xr:uid="{00000000-0005-0000-0000-000000330000}"/>
    <cellStyle name="Output 2 8 5" xfId="13038" xr:uid="{00000000-0005-0000-0000-000001330000}"/>
    <cellStyle name="Output 2 9" xfId="13039" xr:uid="{00000000-0005-0000-0000-000002330000}"/>
    <cellStyle name="Output 2 9 2" xfId="13040" xr:uid="{00000000-0005-0000-0000-000003330000}"/>
    <cellStyle name="Output 2 9 3" xfId="13041" xr:uid="{00000000-0005-0000-0000-000004330000}"/>
    <cellStyle name="Output 2 9 4" xfId="13042" xr:uid="{00000000-0005-0000-0000-000005330000}"/>
    <cellStyle name="Output 2 9 5" xfId="13043" xr:uid="{00000000-0005-0000-0000-000006330000}"/>
    <cellStyle name="Output 2_DACNEW" xfId="17780" xr:uid="{00000000-0005-0000-0000-000007330000}"/>
    <cellStyle name="Output 20" xfId="13044" xr:uid="{00000000-0005-0000-0000-000008330000}"/>
    <cellStyle name="Output 20 2" xfId="13045" xr:uid="{00000000-0005-0000-0000-000009330000}"/>
    <cellStyle name="Output 20 3" xfId="13046" xr:uid="{00000000-0005-0000-0000-00000A330000}"/>
    <cellStyle name="Output 20 4" xfId="13047" xr:uid="{00000000-0005-0000-0000-00000B330000}"/>
    <cellStyle name="Output 21" xfId="13048" xr:uid="{00000000-0005-0000-0000-00000C330000}"/>
    <cellStyle name="Output 21 2" xfId="13049" xr:uid="{00000000-0005-0000-0000-00000D330000}"/>
    <cellStyle name="Output 21 3" xfId="13050" xr:uid="{00000000-0005-0000-0000-00000E330000}"/>
    <cellStyle name="Output 21 4" xfId="13051" xr:uid="{00000000-0005-0000-0000-00000F330000}"/>
    <cellStyle name="Output 22" xfId="13052" xr:uid="{00000000-0005-0000-0000-000010330000}"/>
    <cellStyle name="Output 22 2" xfId="13053" xr:uid="{00000000-0005-0000-0000-000011330000}"/>
    <cellStyle name="Output 22 3" xfId="13054" xr:uid="{00000000-0005-0000-0000-000012330000}"/>
    <cellStyle name="Output 22 4" xfId="13055" xr:uid="{00000000-0005-0000-0000-000013330000}"/>
    <cellStyle name="Output 23" xfId="13056" xr:uid="{00000000-0005-0000-0000-000014330000}"/>
    <cellStyle name="Output 23 2" xfId="13057" xr:uid="{00000000-0005-0000-0000-000015330000}"/>
    <cellStyle name="Output 23 3" xfId="13058" xr:uid="{00000000-0005-0000-0000-000016330000}"/>
    <cellStyle name="Output 23 4" xfId="13059" xr:uid="{00000000-0005-0000-0000-000017330000}"/>
    <cellStyle name="Output 24" xfId="13060" xr:uid="{00000000-0005-0000-0000-000018330000}"/>
    <cellStyle name="Output 24 2" xfId="13061" xr:uid="{00000000-0005-0000-0000-000019330000}"/>
    <cellStyle name="Output 24 3" xfId="13062" xr:uid="{00000000-0005-0000-0000-00001A330000}"/>
    <cellStyle name="Output 24 4" xfId="13063" xr:uid="{00000000-0005-0000-0000-00001B330000}"/>
    <cellStyle name="Output 25" xfId="13064" xr:uid="{00000000-0005-0000-0000-00001C330000}"/>
    <cellStyle name="Output 25 2" xfId="13065" xr:uid="{00000000-0005-0000-0000-00001D330000}"/>
    <cellStyle name="Output 25 3" xfId="13066" xr:uid="{00000000-0005-0000-0000-00001E330000}"/>
    <cellStyle name="Output 25 4" xfId="13067" xr:uid="{00000000-0005-0000-0000-00001F330000}"/>
    <cellStyle name="Output 26" xfId="13068" xr:uid="{00000000-0005-0000-0000-000020330000}"/>
    <cellStyle name="Output 26 2" xfId="13069" xr:uid="{00000000-0005-0000-0000-000021330000}"/>
    <cellStyle name="Output 26 3" xfId="13070" xr:uid="{00000000-0005-0000-0000-000022330000}"/>
    <cellStyle name="Output 26 4" xfId="13071" xr:uid="{00000000-0005-0000-0000-000023330000}"/>
    <cellStyle name="Output 27" xfId="13072" xr:uid="{00000000-0005-0000-0000-000024330000}"/>
    <cellStyle name="Output 27 2" xfId="13073" xr:uid="{00000000-0005-0000-0000-000025330000}"/>
    <cellStyle name="Output 27 3" xfId="13074" xr:uid="{00000000-0005-0000-0000-000026330000}"/>
    <cellStyle name="Output 27 4" xfId="13075" xr:uid="{00000000-0005-0000-0000-000027330000}"/>
    <cellStyle name="Output 28" xfId="13076" xr:uid="{00000000-0005-0000-0000-000028330000}"/>
    <cellStyle name="Output 28 2" xfId="13077" xr:uid="{00000000-0005-0000-0000-000029330000}"/>
    <cellStyle name="Output 28 3" xfId="13078" xr:uid="{00000000-0005-0000-0000-00002A330000}"/>
    <cellStyle name="Output 28 4" xfId="13079" xr:uid="{00000000-0005-0000-0000-00002B330000}"/>
    <cellStyle name="Output 29" xfId="13080" xr:uid="{00000000-0005-0000-0000-00002C330000}"/>
    <cellStyle name="Output 29 2" xfId="13081" xr:uid="{00000000-0005-0000-0000-00002D330000}"/>
    <cellStyle name="Output 29 3" xfId="13082" xr:uid="{00000000-0005-0000-0000-00002E330000}"/>
    <cellStyle name="Output 29 4" xfId="13083" xr:uid="{00000000-0005-0000-0000-00002F330000}"/>
    <cellStyle name="Output 3" xfId="13084" xr:uid="{00000000-0005-0000-0000-000030330000}"/>
    <cellStyle name="Output 3 2" xfId="13085" xr:uid="{00000000-0005-0000-0000-000031330000}"/>
    <cellStyle name="Output 3 2 2" xfId="13086" xr:uid="{00000000-0005-0000-0000-000032330000}"/>
    <cellStyle name="Output 3 2 3" xfId="13087" xr:uid="{00000000-0005-0000-0000-000033330000}"/>
    <cellStyle name="Output 3 2 4" xfId="13088" xr:uid="{00000000-0005-0000-0000-000034330000}"/>
    <cellStyle name="Output 3 3" xfId="13089" xr:uid="{00000000-0005-0000-0000-000035330000}"/>
    <cellStyle name="Output 3 3 2" xfId="13090" xr:uid="{00000000-0005-0000-0000-000036330000}"/>
    <cellStyle name="Output 3 3 3" xfId="13091" xr:uid="{00000000-0005-0000-0000-000037330000}"/>
    <cellStyle name="Output 3 3 4" xfId="13092" xr:uid="{00000000-0005-0000-0000-000038330000}"/>
    <cellStyle name="Output 3 4" xfId="13093" xr:uid="{00000000-0005-0000-0000-000039330000}"/>
    <cellStyle name="Output 3 4 2" xfId="13094" xr:uid="{00000000-0005-0000-0000-00003A330000}"/>
    <cellStyle name="Output 3 4 3" xfId="13095" xr:uid="{00000000-0005-0000-0000-00003B330000}"/>
    <cellStyle name="Output 3 4 4" xfId="13096" xr:uid="{00000000-0005-0000-0000-00003C330000}"/>
    <cellStyle name="Output 3 5" xfId="13097" xr:uid="{00000000-0005-0000-0000-00003D330000}"/>
    <cellStyle name="Output 3 6" xfId="13098" xr:uid="{00000000-0005-0000-0000-00003E330000}"/>
    <cellStyle name="Output 3 7" xfId="13099" xr:uid="{00000000-0005-0000-0000-00003F330000}"/>
    <cellStyle name="Output 3 8" xfId="13100" xr:uid="{00000000-0005-0000-0000-000040330000}"/>
    <cellStyle name="Output 30" xfId="13101" xr:uid="{00000000-0005-0000-0000-000041330000}"/>
    <cellStyle name="Output 30 2" xfId="13102" xr:uid="{00000000-0005-0000-0000-000042330000}"/>
    <cellStyle name="Output 30 3" xfId="13103" xr:uid="{00000000-0005-0000-0000-000043330000}"/>
    <cellStyle name="Output 30 4" xfId="13104" xr:uid="{00000000-0005-0000-0000-000044330000}"/>
    <cellStyle name="Output 31" xfId="13105" xr:uid="{00000000-0005-0000-0000-000045330000}"/>
    <cellStyle name="Output 31 2" xfId="13106" xr:uid="{00000000-0005-0000-0000-000046330000}"/>
    <cellStyle name="Output 31 3" xfId="13107" xr:uid="{00000000-0005-0000-0000-000047330000}"/>
    <cellStyle name="Output 31 4" xfId="13108" xr:uid="{00000000-0005-0000-0000-000048330000}"/>
    <cellStyle name="Output 32" xfId="13109" xr:uid="{00000000-0005-0000-0000-000049330000}"/>
    <cellStyle name="Output 32 2" xfId="13110" xr:uid="{00000000-0005-0000-0000-00004A330000}"/>
    <cellStyle name="Output 32 3" xfId="13111" xr:uid="{00000000-0005-0000-0000-00004B330000}"/>
    <cellStyle name="Output 32 4" xfId="13112" xr:uid="{00000000-0005-0000-0000-00004C330000}"/>
    <cellStyle name="Output 33" xfId="13113" xr:uid="{00000000-0005-0000-0000-00004D330000}"/>
    <cellStyle name="Output 33 2" xfId="13114" xr:uid="{00000000-0005-0000-0000-00004E330000}"/>
    <cellStyle name="Output 33 3" xfId="13115" xr:uid="{00000000-0005-0000-0000-00004F330000}"/>
    <cellStyle name="Output 33 4" xfId="13116" xr:uid="{00000000-0005-0000-0000-000050330000}"/>
    <cellStyle name="Output 34" xfId="13117" xr:uid="{00000000-0005-0000-0000-000051330000}"/>
    <cellStyle name="Output 34 2" xfId="13118" xr:uid="{00000000-0005-0000-0000-000052330000}"/>
    <cellStyle name="Output 34 3" xfId="13119" xr:uid="{00000000-0005-0000-0000-000053330000}"/>
    <cellStyle name="Output 34 4" xfId="13120" xr:uid="{00000000-0005-0000-0000-000054330000}"/>
    <cellStyle name="Output 35" xfId="13121" xr:uid="{00000000-0005-0000-0000-000055330000}"/>
    <cellStyle name="Output 35 2" xfId="13122" xr:uid="{00000000-0005-0000-0000-000056330000}"/>
    <cellStyle name="Output 35 3" xfId="13123" xr:uid="{00000000-0005-0000-0000-000057330000}"/>
    <cellStyle name="Output 35 4" xfId="13124" xr:uid="{00000000-0005-0000-0000-000058330000}"/>
    <cellStyle name="Output 36" xfId="13125" xr:uid="{00000000-0005-0000-0000-000059330000}"/>
    <cellStyle name="Output 36 2" xfId="13126" xr:uid="{00000000-0005-0000-0000-00005A330000}"/>
    <cellStyle name="Output 36 3" xfId="13127" xr:uid="{00000000-0005-0000-0000-00005B330000}"/>
    <cellStyle name="Output 36 4" xfId="13128" xr:uid="{00000000-0005-0000-0000-00005C330000}"/>
    <cellStyle name="Output 37" xfId="13129" xr:uid="{00000000-0005-0000-0000-00005D330000}"/>
    <cellStyle name="Output 37 2" xfId="13130" xr:uid="{00000000-0005-0000-0000-00005E330000}"/>
    <cellStyle name="Output 37 3" xfId="13131" xr:uid="{00000000-0005-0000-0000-00005F330000}"/>
    <cellStyle name="Output 37 4" xfId="13132" xr:uid="{00000000-0005-0000-0000-000060330000}"/>
    <cellStyle name="Output 38" xfId="13133" xr:uid="{00000000-0005-0000-0000-000061330000}"/>
    <cellStyle name="Output 38 2" xfId="13134" xr:uid="{00000000-0005-0000-0000-000062330000}"/>
    <cellStyle name="Output 38 3" xfId="13135" xr:uid="{00000000-0005-0000-0000-000063330000}"/>
    <cellStyle name="Output 38 4" xfId="13136" xr:uid="{00000000-0005-0000-0000-000064330000}"/>
    <cellStyle name="Output 39" xfId="13137" xr:uid="{00000000-0005-0000-0000-000065330000}"/>
    <cellStyle name="Output 39 2" xfId="13138" xr:uid="{00000000-0005-0000-0000-000066330000}"/>
    <cellStyle name="Output 39 3" xfId="13139" xr:uid="{00000000-0005-0000-0000-000067330000}"/>
    <cellStyle name="Output 39 4" xfId="13140" xr:uid="{00000000-0005-0000-0000-000068330000}"/>
    <cellStyle name="Output 4" xfId="13141" xr:uid="{00000000-0005-0000-0000-000069330000}"/>
    <cellStyle name="Output 4 2" xfId="13142" xr:uid="{00000000-0005-0000-0000-00006A330000}"/>
    <cellStyle name="Output 4 3" xfId="13143" xr:uid="{00000000-0005-0000-0000-00006B330000}"/>
    <cellStyle name="Output 4 4" xfId="13144" xr:uid="{00000000-0005-0000-0000-00006C330000}"/>
    <cellStyle name="Output 4 5" xfId="13145" xr:uid="{00000000-0005-0000-0000-00006D330000}"/>
    <cellStyle name="Output 4 6" xfId="13146" xr:uid="{00000000-0005-0000-0000-00006E330000}"/>
    <cellStyle name="Output 40" xfId="13147" xr:uid="{00000000-0005-0000-0000-00006F330000}"/>
    <cellStyle name="Output 40 2" xfId="13148" xr:uid="{00000000-0005-0000-0000-000070330000}"/>
    <cellStyle name="Output 40 3" xfId="13149" xr:uid="{00000000-0005-0000-0000-000071330000}"/>
    <cellStyle name="Output 40 4" xfId="13150" xr:uid="{00000000-0005-0000-0000-000072330000}"/>
    <cellStyle name="Output 41" xfId="13151" xr:uid="{00000000-0005-0000-0000-000073330000}"/>
    <cellStyle name="Output 41 2" xfId="13152" xr:uid="{00000000-0005-0000-0000-000074330000}"/>
    <cellStyle name="Output 41 3" xfId="13153" xr:uid="{00000000-0005-0000-0000-000075330000}"/>
    <cellStyle name="Output 41 4" xfId="13154" xr:uid="{00000000-0005-0000-0000-000076330000}"/>
    <cellStyle name="Output 42" xfId="13155" xr:uid="{00000000-0005-0000-0000-000077330000}"/>
    <cellStyle name="Output 42 2" xfId="13156" xr:uid="{00000000-0005-0000-0000-000078330000}"/>
    <cellStyle name="Output 42 3" xfId="13157" xr:uid="{00000000-0005-0000-0000-000079330000}"/>
    <cellStyle name="Output 42 4" xfId="13158" xr:uid="{00000000-0005-0000-0000-00007A330000}"/>
    <cellStyle name="Output 43" xfId="13159" xr:uid="{00000000-0005-0000-0000-00007B330000}"/>
    <cellStyle name="Output 43 2" xfId="13160" xr:uid="{00000000-0005-0000-0000-00007C330000}"/>
    <cellStyle name="Output 43 3" xfId="13161" xr:uid="{00000000-0005-0000-0000-00007D330000}"/>
    <cellStyle name="Output 43 4" xfId="13162" xr:uid="{00000000-0005-0000-0000-00007E330000}"/>
    <cellStyle name="Output 44" xfId="13163" xr:uid="{00000000-0005-0000-0000-00007F330000}"/>
    <cellStyle name="Output 5" xfId="13164" xr:uid="{00000000-0005-0000-0000-000080330000}"/>
    <cellStyle name="Output 5 2" xfId="13165" xr:uid="{00000000-0005-0000-0000-000081330000}"/>
    <cellStyle name="Output 5 3" xfId="13166" xr:uid="{00000000-0005-0000-0000-000082330000}"/>
    <cellStyle name="Output 5 4" xfId="13167" xr:uid="{00000000-0005-0000-0000-000083330000}"/>
    <cellStyle name="Output 5 5" xfId="13168" xr:uid="{00000000-0005-0000-0000-000084330000}"/>
    <cellStyle name="Output 5 6" xfId="13169" xr:uid="{00000000-0005-0000-0000-000085330000}"/>
    <cellStyle name="Output 6" xfId="13170" xr:uid="{00000000-0005-0000-0000-000086330000}"/>
    <cellStyle name="Output 6 2" xfId="13171" xr:uid="{00000000-0005-0000-0000-000087330000}"/>
    <cellStyle name="Output 6 3" xfId="13172" xr:uid="{00000000-0005-0000-0000-000088330000}"/>
    <cellStyle name="Output 6 4" xfId="13173" xr:uid="{00000000-0005-0000-0000-000089330000}"/>
    <cellStyle name="Output 6 5" xfId="13174" xr:uid="{00000000-0005-0000-0000-00008A330000}"/>
    <cellStyle name="Output 6 6" xfId="13175" xr:uid="{00000000-0005-0000-0000-00008B330000}"/>
    <cellStyle name="Output 7" xfId="13176" xr:uid="{00000000-0005-0000-0000-00008C330000}"/>
    <cellStyle name="Output 7 2" xfId="13177" xr:uid="{00000000-0005-0000-0000-00008D330000}"/>
    <cellStyle name="Output 7 3" xfId="13178" xr:uid="{00000000-0005-0000-0000-00008E330000}"/>
    <cellStyle name="Output 7 4" xfId="13179" xr:uid="{00000000-0005-0000-0000-00008F330000}"/>
    <cellStyle name="Output 8" xfId="13180" xr:uid="{00000000-0005-0000-0000-000090330000}"/>
    <cellStyle name="Output 8 2" xfId="13181" xr:uid="{00000000-0005-0000-0000-000091330000}"/>
    <cellStyle name="Output 8 3" xfId="13182" xr:uid="{00000000-0005-0000-0000-000092330000}"/>
    <cellStyle name="Output 8 4" xfId="13183" xr:uid="{00000000-0005-0000-0000-000093330000}"/>
    <cellStyle name="Output 9" xfId="13184" xr:uid="{00000000-0005-0000-0000-000094330000}"/>
    <cellStyle name="Output 9 2" xfId="13185" xr:uid="{00000000-0005-0000-0000-000095330000}"/>
    <cellStyle name="Output 9 3" xfId="13186" xr:uid="{00000000-0005-0000-0000-000096330000}"/>
    <cellStyle name="Output 9 4" xfId="13187" xr:uid="{00000000-0005-0000-0000-000097330000}"/>
    <cellStyle name="Pattern" xfId="13188" xr:uid="{00000000-0005-0000-0000-000098330000}"/>
    <cellStyle name="Pattern 2" xfId="13189" xr:uid="{00000000-0005-0000-0000-000099330000}"/>
    <cellStyle name="Pattern 3" xfId="13190" xr:uid="{00000000-0005-0000-0000-00009A330000}"/>
    <cellStyle name="Pattern 4" xfId="13191" xr:uid="{00000000-0005-0000-0000-00009B330000}"/>
    <cellStyle name="Pattern 5" xfId="13192" xr:uid="{00000000-0005-0000-0000-00009C330000}"/>
    <cellStyle name="Percen - Type1" xfId="17782" xr:uid="{00000000-0005-0000-0000-00009D330000}"/>
    <cellStyle name="Percent" xfId="13193" builtinId="5"/>
    <cellStyle name="Percent 10" xfId="13194" xr:uid="{00000000-0005-0000-0000-00009F330000}"/>
    <cellStyle name="Percent 10 10" xfId="13195" xr:uid="{00000000-0005-0000-0000-0000A0330000}"/>
    <cellStyle name="Percent 10 10 2" xfId="13196" xr:uid="{00000000-0005-0000-0000-0000A1330000}"/>
    <cellStyle name="Percent 10 10 3" xfId="13197" xr:uid="{00000000-0005-0000-0000-0000A2330000}"/>
    <cellStyle name="Percent 10 10 4" xfId="13198" xr:uid="{00000000-0005-0000-0000-0000A3330000}"/>
    <cellStyle name="Percent 10 11" xfId="13199" xr:uid="{00000000-0005-0000-0000-0000A4330000}"/>
    <cellStyle name="Percent 10 11 2" xfId="13200" xr:uid="{00000000-0005-0000-0000-0000A5330000}"/>
    <cellStyle name="Percent 10 11 3" xfId="13201" xr:uid="{00000000-0005-0000-0000-0000A6330000}"/>
    <cellStyle name="Percent 10 11 4" xfId="13202" xr:uid="{00000000-0005-0000-0000-0000A7330000}"/>
    <cellStyle name="Percent 10 12" xfId="13203" xr:uid="{00000000-0005-0000-0000-0000A8330000}"/>
    <cellStyle name="Percent 10 12 2" xfId="13204" xr:uid="{00000000-0005-0000-0000-0000A9330000}"/>
    <cellStyle name="Percent 10 12 3" xfId="13205" xr:uid="{00000000-0005-0000-0000-0000AA330000}"/>
    <cellStyle name="Percent 10 12 4" xfId="13206" xr:uid="{00000000-0005-0000-0000-0000AB330000}"/>
    <cellStyle name="Percent 10 13" xfId="13207" xr:uid="{00000000-0005-0000-0000-0000AC330000}"/>
    <cellStyle name="Percent 10 13 2" xfId="13208" xr:uid="{00000000-0005-0000-0000-0000AD330000}"/>
    <cellStyle name="Percent 10 13 3" xfId="13209" xr:uid="{00000000-0005-0000-0000-0000AE330000}"/>
    <cellStyle name="Percent 10 13 4" xfId="13210" xr:uid="{00000000-0005-0000-0000-0000AF330000}"/>
    <cellStyle name="Percent 10 14" xfId="13211" xr:uid="{00000000-0005-0000-0000-0000B0330000}"/>
    <cellStyle name="Percent 10 14 2" xfId="13212" xr:uid="{00000000-0005-0000-0000-0000B1330000}"/>
    <cellStyle name="Percent 10 14 3" xfId="13213" xr:uid="{00000000-0005-0000-0000-0000B2330000}"/>
    <cellStyle name="Percent 10 15" xfId="13214" xr:uid="{00000000-0005-0000-0000-0000B3330000}"/>
    <cellStyle name="Percent 10 15 2" xfId="13215" xr:uid="{00000000-0005-0000-0000-0000B4330000}"/>
    <cellStyle name="Percent 10 15 3" xfId="13216" xr:uid="{00000000-0005-0000-0000-0000B5330000}"/>
    <cellStyle name="Percent 10 16" xfId="13217" xr:uid="{00000000-0005-0000-0000-0000B6330000}"/>
    <cellStyle name="Percent 10 16 2" xfId="13218" xr:uid="{00000000-0005-0000-0000-0000B7330000}"/>
    <cellStyle name="Percent 10 16 3" xfId="13219" xr:uid="{00000000-0005-0000-0000-0000B8330000}"/>
    <cellStyle name="Percent 10 17" xfId="13220" xr:uid="{00000000-0005-0000-0000-0000B9330000}"/>
    <cellStyle name="Percent 10 17 2" xfId="13221" xr:uid="{00000000-0005-0000-0000-0000BA330000}"/>
    <cellStyle name="Percent 10 17 3" xfId="13222" xr:uid="{00000000-0005-0000-0000-0000BB330000}"/>
    <cellStyle name="Percent 10 18" xfId="13223" xr:uid="{00000000-0005-0000-0000-0000BC330000}"/>
    <cellStyle name="Percent 10 18 2" xfId="13224" xr:uid="{00000000-0005-0000-0000-0000BD330000}"/>
    <cellStyle name="Percent 10 18 3" xfId="13225" xr:uid="{00000000-0005-0000-0000-0000BE330000}"/>
    <cellStyle name="Percent 10 19" xfId="13226" xr:uid="{00000000-0005-0000-0000-0000BF330000}"/>
    <cellStyle name="Percent 10 19 2" xfId="13227" xr:uid="{00000000-0005-0000-0000-0000C0330000}"/>
    <cellStyle name="Percent 10 19 3" xfId="13228" xr:uid="{00000000-0005-0000-0000-0000C1330000}"/>
    <cellStyle name="Percent 10 2" xfId="13229" xr:uid="{00000000-0005-0000-0000-0000C2330000}"/>
    <cellStyle name="Percent 10 2 2" xfId="13230" xr:uid="{00000000-0005-0000-0000-0000C3330000}"/>
    <cellStyle name="Percent 10 2 2 2" xfId="13231" xr:uid="{00000000-0005-0000-0000-0000C4330000}"/>
    <cellStyle name="Percent 10 2 2 3" xfId="13232" xr:uid="{00000000-0005-0000-0000-0000C5330000}"/>
    <cellStyle name="Percent 10 2 3" xfId="13233" xr:uid="{00000000-0005-0000-0000-0000C6330000}"/>
    <cellStyle name="Percent 10 2 3 2" xfId="13234" xr:uid="{00000000-0005-0000-0000-0000C7330000}"/>
    <cellStyle name="Percent 10 2 3 3" xfId="13235" xr:uid="{00000000-0005-0000-0000-0000C8330000}"/>
    <cellStyle name="Percent 10 2 4" xfId="13236" xr:uid="{00000000-0005-0000-0000-0000C9330000}"/>
    <cellStyle name="Percent 10 2 5" xfId="13237" xr:uid="{00000000-0005-0000-0000-0000CA330000}"/>
    <cellStyle name="Percent 10 2 6" xfId="13238" xr:uid="{00000000-0005-0000-0000-0000CB330000}"/>
    <cellStyle name="Percent 10 20" xfId="13239" xr:uid="{00000000-0005-0000-0000-0000CC330000}"/>
    <cellStyle name="Percent 10 20 2" xfId="13240" xr:uid="{00000000-0005-0000-0000-0000CD330000}"/>
    <cellStyle name="Percent 10 20 3" xfId="13241" xr:uid="{00000000-0005-0000-0000-0000CE330000}"/>
    <cellStyle name="Percent 10 21" xfId="13242" xr:uid="{00000000-0005-0000-0000-0000CF330000}"/>
    <cellStyle name="Percent 10 22" xfId="13243" xr:uid="{00000000-0005-0000-0000-0000D0330000}"/>
    <cellStyle name="Percent 10 23" xfId="13244" xr:uid="{00000000-0005-0000-0000-0000D1330000}"/>
    <cellStyle name="Percent 10 24" xfId="13245" xr:uid="{00000000-0005-0000-0000-0000D2330000}"/>
    <cellStyle name="Percent 10 3" xfId="13246" xr:uid="{00000000-0005-0000-0000-0000D3330000}"/>
    <cellStyle name="Percent 10 3 2" xfId="13247" xr:uid="{00000000-0005-0000-0000-0000D4330000}"/>
    <cellStyle name="Percent 10 3 2 2" xfId="13248" xr:uid="{00000000-0005-0000-0000-0000D5330000}"/>
    <cellStyle name="Percent 10 3 2 3" xfId="13249" xr:uid="{00000000-0005-0000-0000-0000D6330000}"/>
    <cellStyle name="Percent 10 3 3" xfId="13250" xr:uid="{00000000-0005-0000-0000-0000D7330000}"/>
    <cellStyle name="Percent 10 3 3 2" xfId="13251" xr:uid="{00000000-0005-0000-0000-0000D8330000}"/>
    <cellStyle name="Percent 10 3 3 3" xfId="13252" xr:uid="{00000000-0005-0000-0000-0000D9330000}"/>
    <cellStyle name="Percent 10 3 4" xfId="13253" xr:uid="{00000000-0005-0000-0000-0000DA330000}"/>
    <cellStyle name="Percent 10 3 5" xfId="13254" xr:uid="{00000000-0005-0000-0000-0000DB330000}"/>
    <cellStyle name="Percent 10 3 6" xfId="13255" xr:uid="{00000000-0005-0000-0000-0000DC330000}"/>
    <cellStyle name="Percent 10 4" xfId="13256" xr:uid="{00000000-0005-0000-0000-0000DD330000}"/>
    <cellStyle name="Percent 10 4 2" xfId="13257" xr:uid="{00000000-0005-0000-0000-0000DE330000}"/>
    <cellStyle name="Percent 10 4 2 2" xfId="13258" xr:uid="{00000000-0005-0000-0000-0000DF330000}"/>
    <cellStyle name="Percent 10 4 2 3" xfId="13259" xr:uid="{00000000-0005-0000-0000-0000E0330000}"/>
    <cellStyle name="Percent 10 4 3" xfId="13260" xr:uid="{00000000-0005-0000-0000-0000E1330000}"/>
    <cellStyle name="Percent 10 4 3 2" xfId="13261" xr:uid="{00000000-0005-0000-0000-0000E2330000}"/>
    <cellStyle name="Percent 10 4 3 3" xfId="13262" xr:uid="{00000000-0005-0000-0000-0000E3330000}"/>
    <cellStyle name="Percent 10 4 4" xfId="13263" xr:uid="{00000000-0005-0000-0000-0000E4330000}"/>
    <cellStyle name="Percent 10 4 5" xfId="13264" xr:uid="{00000000-0005-0000-0000-0000E5330000}"/>
    <cellStyle name="Percent 10 4 6" xfId="13265" xr:uid="{00000000-0005-0000-0000-0000E6330000}"/>
    <cellStyle name="Percent 10 5" xfId="13266" xr:uid="{00000000-0005-0000-0000-0000E7330000}"/>
    <cellStyle name="Percent 10 5 2" xfId="13267" xr:uid="{00000000-0005-0000-0000-0000E8330000}"/>
    <cellStyle name="Percent 10 5 2 2" xfId="13268" xr:uid="{00000000-0005-0000-0000-0000E9330000}"/>
    <cellStyle name="Percent 10 5 2 3" xfId="13269" xr:uid="{00000000-0005-0000-0000-0000EA330000}"/>
    <cellStyle name="Percent 10 5 3" xfId="13270" xr:uid="{00000000-0005-0000-0000-0000EB330000}"/>
    <cellStyle name="Percent 10 5 3 2" xfId="13271" xr:uid="{00000000-0005-0000-0000-0000EC330000}"/>
    <cellStyle name="Percent 10 5 3 3" xfId="13272" xr:uid="{00000000-0005-0000-0000-0000ED330000}"/>
    <cellStyle name="Percent 10 5 4" xfId="13273" xr:uid="{00000000-0005-0000-0000-0000EE330000}"/>
    <cellStyle name="Percent 10 5 5" xfId="13274" xr:uid="{00000000-0005-0000-0000-0000EF330000}"/>
    <cellStyle name="Percent 10 5 6" xfId="13275" xr:uid="{00000000-0005-0000-0000-0000F0330000}"/>
    <cellStyle name="Percent 10 6" xfId="13276" xr:uid="{00000000-0005-0000-0000-0000F1330000}"/>
    <cellStyle name="Percent 10 6 2" xfId="13277" xr:uid="{00000000-0005-0000-0000-0000F2330000}"/>
    <cellStyle name="Percent 10 6 2 2" xfId="13278" xr:uid="{00000000-0005-0000-0000-0000F3330000}"/>
    <cellStyle name="Percent 10 6 2 3" xfId="13279" xr:uid="{00000000-0005-0000-0000-0000F4330000}"/>
    <cellStyle name="Percent 10 6 3" xfId="13280" xr:uid="{00000000-0005-0000-0000-0000F5330000}"/>
    <cellStyle name="Percent 10 6 3 2" xfId="13281" xr:uid="{00000000-0005-0000-0000-0000F6330000}"/>
    <cellStyle name="Percent 10 6 3 3" xfId="13282" xr:uid="{00000000-0005-0000-0000-0000F7330000}"/>
    <cellStyle name="Percent 10 6 4" xfId="13283" xr:uid="{00000000-0005-0000-0000-0000F8330000}"/>
    <cellStyle name="Percent 10 6 5" xfId="13284" xr:uid="{00000000-0005-0000-0000-0000F9330000}"/>
    <cellStyle name="Percent 10 6 6" xfId="13285" xr:uid="{00000000-0005-0000-0000-0000FA330000}"/>
    <cellStyle name="Percent 10 7" xfId="13286" xr:uid="{00000000-0005-0000-0000-0000FB330000}"/>
    <cellStyle name="Percent 10 7 2" xfId="13287" xr:uid="{00000000-0005-0000-0000-0000FC330000}"/>
    <cellStyle name="Percent 10 7 2 2" xfId="13288" xr:uid="{00000000-0005-0000-0000-0000FD330000}"/>
    <cellStyle name="Percent 10 7 2 3" xfId="13289" xr:uid="{00000000-0005-0000-0000-0000FE330000}"/>
    <cellStyle name="Percent 10 7 3" xfId="13290" xr:uid="{00000000-0005-0000-0000-0000FF330000}"/>
    <cellStyle name="Percent 10 7 3 2" xfId="13291" xr:uid="{00000000-0005-0000-0000-000000340000}"/>
    <cellStyle name="Percent 10 7 3 3" xfId="13292" xr:uid="{00000000-0005-0000-0000-000001340000}"/>
    <cellStyle name="Percent 10 7 4" xfId="13293" xr:uid="{00000000-0005-0000-0000-000002340000}"/>
    <cellStyle name="Percent 10 7 4 2" xfId="13294" xr:uid="{00000000-0005-0000-0000-000003340000}"/>
    <cellStyle name="Percent 10 7 4 3" xfId="13295" xr:uid="{00000000-0005-0000-0000-000004340000}"/>
    <cellStyle name="Percent 10 7 5" xfId="13296" xr:uid="{00000000-0005-0000-0000-000005340000}"/>
    <cellStyle name="Percent 10 7 5 2" xfId="13297" xr:uid="{00000000-0005-0000-0000-000006340000}"/>
    <cellStyle name="Percent 10 7 5 3" xfId="13298" xr:uid="{00000000-0005-0000-0000-000007340000}"/>
    <cellStyle name="Percent 10 7 6" xfId="13299" xr:uid="{00000000-0005-0000-0000-000008340000}"/>
    <cellStyle name="Percent 10 7 7" xfId="13300" xr:uid="{00000000-0005-0000-0000-000009340000}"/>
    <cellStyle name="Percent 10 7 8" xfId="13301" xr:uid="{00000000-0005-0000-0000-00000A340000}"/>
    <cellStyle name="Percent 10 8" xfId="13302" xr:uid="{00000000-0005-0000-0000-00000B340000}"/>
    <cellStyle name="Percent 10 8 2" xfId="13303" xr:uid="{00000000-0005-0000-0000-00000C340000}"/>
    <cellStyle name="Percent 10 8 2 2" xfId="13304" xr:uid="{00000000-0005-0000-0000-00000D340000}"/>
    <cellStyle name="Percent 10 8 2 3" xfId="13305" xr:uid="{00000000-0005-0000-0000-00000E340000}"/>
    <cellStyle name="Percent 10 8 3" xfId="13306" xr:uid="{00000000-0005-0000-0000-00000F340000}"/>
    <cellStyle name="Percent 10 8 3 2" xfId="13307" xr:uid="{00000000-0005-0000-0000-000010340000}"/>
    <cellStyle name="Percent 10 8 3 3" xfId="13308" xr:uid="{00000000-0005-0000-0000-000011340000}"/>
    <cellStyle name="Percent 10 8 4" xfId="13309" xr:uid="{00000000-0005-0000-0000-000012340000}"/>
    <cellStyle name="Percent 10 8 5" xfId="13310" xr:uid="{00000000-0005-0000-0000-000013340000}"/>
    <cellStyle name="Percent 10 8 6" xfId="13311" xr:uid="{00000000-0005-0000-0000-000014340000}"/>
    <cellStyle name="Percent 10 9" xfId="13312" xr:uid="{00000000-0005-0000-0000-000015340000}"/>
    <cellStyle name="Percent 10 9 2" xfId="13313" xr:uid="{00000000-0005-0000-0000-000016340000}"/>
    <cellStyle name="Percent 10 9 3" xfId="13314" xr:uid="{00000000-0005-0000-0000-000017340000}"/>
    <cellStyle name="Percent 11" xfId="13315" xr:uid="{00000000-0005-0000-0000-000018340000}"/>
    <cellStyle name="Percent 11 10" xfId="13316" xr:uid="{00000000-0005-0000-0000-000019340000}"/>
    <cellStyle name="Percent 11 10 2" xfId="13317" xr:uid="{00000000-0005-0000-0000-00001A340000}"/>
    <cellStyle name="Percent 11 10 3" xfId="13318" xr:uid="{00000000-0005-0000-0000-00001B340000}"/>
    <cellStyle name="Percent 11 11" xfId="13319" xr:uid="{00000000-0005-0000-0000-00001C340000}"/>
    <cellStyle name="Percent 11 12" xfId="13320" xr:uid="{00000000-0005-0000-0000-00001D340000}"/>
    <cellStyle name="Percent 11 13" xfId="13321" xr:uid="{00000000-0005-0000-0000-00001E340000}"/>
    <cellStyle name="Percent 11 2" xfId="13322" xr:uid="{00000000-0005-0000-0000-00001F340000}"/>
    <cellStyle name="Percent 11 2 2" xfId="13323" xr:uid="{00000000-0005-0000-0000-000020340000}"/>
    <cellStyle name="Percent 11 2 2 2" xfId="13324" xr:uid="{00000000-0005-0000-0000-000021340000}"/>
    <cellStyle name="Percent 11 2 2 3" xfId="13325" xr:uid="{00000000-0005-0000-0000-000022340000}"/>
    <cellStyle name="Percent 11 2 3" xfId="13326" xr:uid="{00000000-0005-0000-0000-000023340000}"/>
    <cellStyle name="Percent 11 2 3 2" xfId="13327" xr:uid="{00000000-0005-0000-0000-000024340000}"/>
    <cellStyle name="Percent 11 2 3 3" xfId="13328" xr:uid="{00000000-0005-0000-0000-000025340000}"/>
    <cellStyle name="Percent 11 2 4" xfId="13329" xr:uid="{00000000-0005-0000-0000-000026340000}"/>
    <cellStyle name="Percent 11 2 5" xfId="13330" xr:uid="{00000000-0005-0000-0000-000027340000}"/>
    <cellStyle name="Percent 11 2 6" xfId="13331" xr:uid="{00000000-0005-0000-0000-000028340000}"/>
    <cellStyle name="Percent 11 3" xfId="13332" xr:uid="{00000000-0005-0000-0000-000029340000}"/>
    <cellStyle name="Percent 11 3 2" xfId="13333" xr:uid="{00000000-0005-0000-0000-00002A340000}"/>
    <cellStyle name="Percent 11 3 2 2" xfId="13334" xr:uid="{00000000-0005-0000-0000-00002B340000}"/>
    <cellStyle name="Percent 11 3 2 3" xfId="13335" xr:uid="{00000000-0005-0000-0000-00002C340000}"/>
    <cellStyle name="Percent 11 3 3" xfId="13336" xr:uid="{00000000-0005-0000-0000-00002D340000}"/>
    <cellStyle name="Percent 11 3 3 2" xfId="13337" xr:uid="{00000000-0005-0000-0000-00002E340000}"/>
    <cellStyle name="Percent 11 3 3 3" xfId="13338" xr:uid="{00000000-0005-0000-0000-00002F340000}"/>
    <cellStyle name="Percent 11 3 4" xfId="13339" xr:uid="{00000000-0005-0000-0000-000030340000}"/>
    <cellStyle name="Percent 11 3 5" xfId="13340" xr:uid="{00000000-0005-0000-0000-000031340000}"/>
    <cellStyle name="Percent 11 3 6" xfId="13341" xr:uid="{00000000-0005-0000-0000-000032340000}"/>
    <cellStyle name="Percent 11 4" xfId="13342" xr:uid="{00000000-0005-0000-0000-000033340000}"/>
    <cellStyle name="Percent 11 4 2" xfId="13343" xr:uid="{00000000-0005-0000-0000-000034340000}"/>
    <cellStyle name="Percent 11 4 2 2" xfId="13344" xr:uid="{00000000-0005-0000-0000-000035340000}"/>
    <cellStyle name="Percent 11 4 2 3" xfId="13345" xr:uid="{00000000-0005-0000-0000-000036340000}"/>
    <cellStyle name="Percent 11 4 3" xfId="13346" xr:uid="{00000000-0005-0000-0000-000037340000}"/>
    <cellStyle name="Percent 11 4 3 2" xfId="13347" xr:uid="{00000000-0005-0000-0000-000038340000}"/>
    <cellStyle name="Percent 11 4 3 3" xfId="13348" xr:uid="{00000000-0005-0000-0000-000039340000}"/>
    <cellStyle name="Percent 11 4 4" xfId="13349" xr:uid="{00000000-0005-0000-0000-00003A340000}"/>
    <cellStyle name="Percent 11 4 5" xfId="13350" xr:uid="{00000000-0005-0000-0000-00003B340000}"/>
    <cellStyle name="Percent 11 4 6" xfId="13351" xr:uid="{00000000-0005-0000-0000-00003C340000}"/>
    <cellStyle name="Percent 11 5" xfId="13352" xr:uid="{00000000-0005-0000-0000-00003D340000}"/>
    <cellStyle name="Percent 11 5 2" xfId="13353" xr:uid="{00000000-0005-0000-0000-00003E340000}"/>
    <cellStyle name="Percent 11 5 2 2" xfId="13354" xr:uid="{00000000-0005-0000-0000-00003F340000}"/>
    <cellStyle name="Percent 11 5 2 3" xfId="13355" xr:uid="{00000000-0005-0000-0000-000040340000}"/>
    <cellStyle name="Percent 11 5 3" xfId="13356" xr:uid="{00000000-0005-0000-0000-000041340000}"/>
    <cellStyle name="Percent 11 5 3 2" xfId="13357" xr:uid="{00000000-0005-0000-0000-000042340000}"/>
    <cellStyle name="Percent 11 5 3 3" xfId="13358" xr:uid="{00000000-0005-0000-0000-000043340000}"/>
    <cellStyle name="Percent 11 5 4" xfId="13359" xr:uid="{00000000-0005-0000-0000-000044340000}"/>
    <cellStyle name="Percent 11 5 5" xfId="13360" xr:uid="{00000000-0005-0000-0000-000045340000}"/>
    <cellStyle name="Percent 11 5 6" xfId="13361" xr:uid="{00000000-0005-0000-0000-000046340000}"/>
    <cellStyle name="Percent 11 6" xfId="13362" xr:uid="{00000000-0005-0000-0000-000047340000}"/>
    <cellStyle name="Percent 11 6 2" xfId="13363" xr:uid="{00000000-0005-0000-0000-000048340000}"/>
    <cellStyle name="Percent 11 6 2 2" xfId="13364" xr:uid="{00000000-0005-0000-0000-000049340000}"/>
    <cellStyle name="Percent 11 6 2 3" xfId="13365" xr:uid="{00000000-0005-0000-0000-00004A340000}"/>
    <cellStyle name="Percent 11 6 3" xfId="13366" xr:uid="{00000000-0005-0000-0000-00004B340000}"/>
    <cellStyle name="Percent 11 6 3 2" xfId="13367" xr:uid="{00000000-0005-0000-0000-00004C340000}"/>
    <cellStyle name="Percent 11 6 3 3" xfId="13368" xr:uid="{00000000-0005-0000-0000-00004D340000}"/>
    <cellStyle name="Percent 11 6 4" xfId="13369" xr:uid="{00000000-0005-0000-0000-00004E340000}"/>
    <cellStyle name="Percent 11 6 5" xfId="13370" xr:uid="{00000000-0005-0000-0000-00004F340000}"/>
    <cellStyle name="Percent 11 6 6" xfId="13371" xr:uid="{00000000-0005-0000-0000-000050340000}"/>
    <cellStyle name="Percent 11 7" xfId="13372" xr:uid="{00000000-0005-0000-0000-000051340000}"/>
    <cellStyle name="Percent 11 7 2" xfId="13373" xr:uid="{00000000-0005-0000-0000-000052340000}"/>
    <cellStyle name="Percent 11 7 2 2" xfId="13374" xr:uid="{00000000-0005-0000-0000-000053340000}"/>
    <cellStyle name="Percent 11 7 2 3" xfId="13375" xr:uid="{00000000-0005-0000-0000-000054340000}"/>
    <cellStyle name="Percent 11 7 3" xfId="13376" xr:uid="{00000000-0005-0000-0000-000055340000}"/>
    <cellStyle name="Percent 11 7 3 2" xfId="13377" xr:uid="{00000000-0005-0000-0000-000056340000}"/>
    <cellStyle name="Percent 11 7 3 3" xfId="13378" xr:uid="{00000000-0005-0000-0000-000057340000}"/>
    <cellStyle name="Percent 11 7 4" xfId="13379" xr:uid="{00000000-0005-0000-0000-000058340000}"/>
    <cellStyle name="Percent 11 7 4 2" xfId="13380" xr:uid="{00000000-0005-0000-0000-000059340000}"/>
    <cellStyle name="Percent 11 7 4 3" xfId="13381" xr:uid="{00000000-0005-0000-0000-00005A340000}"/>
    <cellStyle name="Percent 11 7 5" xfId="13382" xr:uid="{00000000-0005-0000-0000-00005B340000}"/>
    <cellStyle name="Percent 11 7 5 2" xfId="13383" xr:uid="{00000000-0005-0000-0000-00005C340000}"/>
    <cellStyle name="Percent 11 7 5 3" xfId="13384" xr:uid="{00000000-0005-0000-0000-00005D340000}"/>
    <cellStyle name="Percent 11 7 6" xfId="13385" xr:uid="{00000000-0005-0000-0000-00005E340000}"/>
    <cellStyle name="Percent 11 7 7" xfId="13386" xr:uid="{00000000-0005-0000-0000-00005F340000}"/>
    <cellStyle name="Percent 11 7 8" xfId="13387" xr:uid="{00000000-0005-0000-0000-000060340000}"/>
    <cellStyle name="Percent 11 8" xfId="13388" xr:uid="{00000000-0005-0000-0000-000061340000}"/>
    <cellStyle name="Percent 11 8 2" xfId="13389" xr:uid="{00000000-0005-0000-0000-000062340000}"/>
    <cellStyle name="Percent 11 8 2 2" xfId="13390" xr:uid="{00000000-0005-0000-0000-000063340000}"/>
    <cellStyle name="Percent 11 8 2 3" xfId="13391" xr:uid="{00000000-0005-0000-0000-000064340000}"/>
    <cellStyle name="Percent 11 8 3" xfId="13392" xr:uid="{00000000-0005-0000-0000-000065340000}"/>
    <cellStyle name="Percent 11 8 3 2" xfId="13393" xr:uid="{00000000-0005-0000-0000-000066340000}"/>
    <cellStyle name="Percent 11 8 3 3" xfId="13394" xr:uid="{00000000-0005-0000-0000-000067340000}"/>
    <cellStyle name="Percent 11 8 4" xfId="13395" xr:uid="{00000000-0005-0000-0000-000068340000}"/>
    <cellStyle name="Percent 11 8 5" xfId="13396" xr:uid="{00000000-0005-0000-0000-000069340000}"/>
    <cellStyle name="Percent 11 8 6" xfId="13397" xr:uid="{00000000-0005-0000-0000-00006A340000}"/>
    <cellStyle name="Percent 11 9" xfId="13398" xr:uid="{00000000-0005-0000-0000-00006B340000}"/>
    <cellStyle name="Percent 11 9 2" xfId="13399" xr:uid="{00000000-0005-0000-0000-00006C340000}"/>
    <cellStyle name="Percent 11 9 3" xfId="13400" xr:uid="{00000000-0005-0000-0000-00006D340000}"/>
    <cellStyle name="Percent 12" xfId="13401" xr:uid="{00000000-0005-0000-0000-00006E340000}"/>
    <cellStyle name="Percent 12 10" xfId="13402" xr:uid="{00000000-0005-0000-0000-00006F340000}"/>
    <cellStyle name="Percent 12 10 2" xfId="13403" xr:uid="{00000000-0005-0000-0000-000070340000}"/>
    <cellStyle name="Percent 12 10 3" xfId="13404" xr:uid="{00000000-0005-0000-0000-000071340000}"/>
    <cellStyle name="Percent 12 11" xfId="13405" xr:uid="{00000000-0005-0000-0000-000072340000}"/>
    <cellStyle name="Percent 12 12" xfId="13406" xr:uid="{00000000-0005-0000-0000-000073340000}"/>
    <cellStyle name="Percent 12 13" xfId="13407" xr:uid="{00000000-0005-0000-0000-000074340000}"/>
    <cellStyle name="Percent 12 2" xfId="13408" xr:uid="{00000000-0005-0000-0000-000075340000}"/>
    <cellStyle name="Percent 12 2 2" xfId="13409" xr:uid="{00000000-0005-0000-0000-000076340000}"/>
    <cellStyle name="Percent 12 2 2 2" xfId="13410" xr:uid="{00000000-0005-0000-0000-000077340000}"/>
    <cellStyle name="Percent 12 2 2 3" xfId="13411" xr:uid="{00000000-0005-0000-0000-000078340000}"/>
    <cellStyle name="Percent 12 2 3" xfId="13412" xr:uid="{00000000-0005-0000-0000-000079340000}"/>
    <cellStyle name="Percent 12 2 3 2" xfId="13413" xr:uid="{00000000-0005-0000-0000-00007A340000}"/>
    <cellStyle name="Percent 12 2 3 3" xfId="13414" xr:uid="{00000000-0005-0000-0000-00007B340000}"/>
    <cellStyle name="Percent 12 2 4" xfId="13415" xr:uid="{00000000-0005-0000-0000-00007C340000}"/>
    <cellStyle name="Percent 12 2 5" xfId="13416" xr:uid="{00000000-0005-0000-0000-00007D340000}"/>
    <cellStyle name="Percent 12 2 6" xfId="13417" xr:uid="{00000000-0005-0000-0000-00007E340000}"/>
    <cellStyle name="Percent 12 3" xfId="13418" xr:uid="{00000000-0005-0000-0000-00007F340000}"/>
    <cellStyle name="Percent 12 3 2" xfId="13419" xr:uid="{00000000-0005-0000-0000-000080340000}"/>
    <cellStyle name="Percent 12 3 2 2" xfId="13420" xr:uid="{00000000-0005-0000-0000-000081340000}"/>
    <cellStyle name="Percent 12 3 2 3" xfId="13421" xr:uid="{00000000-0005-0000-0000-000082340000}"/>
    <cellStyle name="Percent 12 3 3" xfId="13422" xr:uid="{00000000-0005-0000-0000-000083340000}"/>
    <cellStyle name="Percent 12 3 3 2" xfId="13423" xr:uid="{00000000-0005-0000-0000-000084340000}"/>
    <cellStyle name="Percent 12 3 3 3" xfId="13424" xr:uid="{00000000-0005-0000-0000-000085340000}"/>
    <cellStyle name="Percent 12 3 4" xfId="13425" xr:uid="{00000000-0005-0000-0000-000086340000}"/>
    <cellStyle name="Percent 12 3 5" xfId="13426" xr:uid="{00000000-0005-0000-0000-000087340000}"/>
    <cellStyle name="Percent 12 3 6" xfId="13427" xr:uid="{00000000-0005-0000-0000-000088340000}"/>
    <cellStyle name="Percent 12 4" xfId="13428" xr:uid="{00000000-0005-0000-0000-000089340000}"/>
    <cellStyle name="Percent 12 4 2" xfId="13429" xr:uid="{00000000-0005-0000-0000-00008A340000}"/>
    <cellStyle name="Percent 12 4 2 2" xfId="13430" xr:uid="{00000000-0005-0000-0000-00008B340000}"/>
    <cellStyle name="Percent 12 4 2 3" xfId="13431" xr:uid="{00000000-0005-0000-0000-00008C340000}"/>
    <cellStyle name="Percent 12 4 3" xfId="13432" xr:uid="{00000000-0005-0000-0000-00008D340000}"/>
    <cellStyle name="Percent 12 4 3 2" xfId="13433" xr:uid="{00000000-0005-0000-0000-00008E340000}"/>
    <cellStyle name="Percent 12 4 3 3" xfId="13434" xr:uid="{00000000-0005-0000-0000-00008F340000}"/>
    <cellStyle name="Percent 12 4 4" xfId="13435" xr:uid="{00000000-0005-0000-0000-000090340000}"/>
    <cellStyle name="Percent 12 4 5" xfId="13436" xr:uid="{00000000-0005-0000-0000-000091340000}"/>
    <cellStyle name="Percent 12 4 6" xfId="13437" xr:uid="{00000000-0005-0000-0000-000092340000}"/>
    <cellStyle name="Percent 12 5" xfId="13438" xr:uid="{00000000-0005-0000-0000-000093340000}"/>
    <cellStyle name="Percent 12 5 2" xfId="13439" xr:uid="{00000000-0005-0000-0000-000094340000}"/>
    <cellStyle name="Percent 12 5 2 2" xfId="13440" xr:uid="{00000000-0005-0000-0000-000095340000}"/>
    <cellStyle name="Percent 12 5 2 3" xfId="13441" xr:uid="{00000000-0005-0000-0000-000096340000}"/>
    <cellStyle name="Percent 12 5 3" xfId="13442" xr:uid="{00000000-0005-0000-0000-000097340000}"/>
    <cellStyle name="Percent 12 5 3 2" xfId="13443" xr:uid="{00000000-0005-0000-0000-000098340000}"/>
    <cellStyle name="Percent 12 5 3 3" xfId="13444" xr:uid="{00000000-0005-0000-0000-000099340000}"/>
    <cellStyle name="Percent 12 5 4" xfId="13445" xr:uid="{00000000-0005-0000-0000-00009A340000}"/>
    <cellStyle name="Percent 12 5 5" xfId="13446" xr:uid="{00000000-0005-0000-0000-00009B340000}"/>
    <cellStyle name="Percent 12 5 6" xfId="13447" xr:uid="{00000000-0005-0000-0000-00009C340000}"/>
    <cellStyle name="Percent 12 6" xfId="13448" xr:uid="{00000000-0005-0000-0000-00009D340000}"/>
    <cellStyle name="Percent 12 6 2" xfId="13449" xr:uid="{00000000-0005-0000-0000-00009E340000}"/>
    <cellStyle name="Percent 12 6 2 2" xfId="13450" xr:uid="{00000000-0005-0000-0000-00009F340000}"/>
    <cellStyle name="Percent 12 6 2 3" xfId="13451" xr:uid="{00000000-0005-0000-0000-0000A0340000}"/>
    <cellStyle name="Percent 12 6 3" xfId="13452" xr:uid="{00000000-0005-0000-0000-0000A1340000}"/>
    <cellStyle name="Percent 12 6 3 2" xfId="13453" xr:uid="{00000000-0005-0000-0000-0000A2340000}"/>
    <cellStyle name="Percent 12 6 3 3" xfId="13454" xr:uid="{00000000-0005-0000-0000-0000A3340000}"/>
    <cellStyle name="Percent 12 6 4" xfId="13455" xr:uid="{00000000-0005-0000-0000-0000A4340000}"/>
    <cellStyle name="Percent 12 6 5" xfId="13456" xr:uid="{00000000-0005-0000-0000-0000A5340000}"/>
    <cellStyle name="Percent 12 6 6" xfId="13457" xr:uid="{00000000-0005-0000-0000-0000A6340000}"/>
    <cellStyle name="Percent 12 7" xfId="13458" xr:uid="{00000000-0005-0000-0000-0000A7340000}"/>
    <cellStyle name="Percent 12 7 2" xfId="13459" xr:uid="{00000000-0005-0000-0000-0000A8340000}"/>
    <cellStyle name="Percent 12 7 2 2" xfId="13460" xr:uid="{00000000-0005-0000-0000-0000A9340000}"/>
    <cellStyle name="Percent 12 7 2 3" xfId="13461" xr:uid="{00000000-0005-0000-0000-0000AA340000}"/>
    <cellStyle name="Percent 12 7 3" xfId="13462" xr:uid="{00000000-0005-0000-0000-0000AB340000}"/>
    <cellStyle name="Percent 12 7 3 2" xfId="13463" xr:uid="{00000000-0005-0000-0000-0000AC340000}"/>
    <cellStyle name="Percent 12 7 3 3" xfId="13464" xr:uid="{00000000-0005-0000-0000-0000AD340000}"/>
    <cellStyle name="Percent 12 7 4" xfId="13465" xr:uid="{00000000-0005-0000-0000-0000AE340000}"/>
    <cellStyle name="Percent 12 7 4 2" xfId="13466" xr:uid="{00000000-0005-0000-0000-0000AF340000}"/>
    <cellStyle name="Percent 12 7 4 3" xfId="13467" xr:uid="{00000000-0005-0000-0000-0000B0340000}"/>
    <cellStyle name="Percent 12 7 5" xfId="13468" xr:uid="{00000000-0005-0000-0000-0000B1340000}"/>
    <cellStyle name="Percent 12 7 5 2" xfId="13469" xr:uid="{00000000-0005-0000-0000-0000B2340000}"/>
    <cellStyle name="Percent 12 7 5 3" xfId="13470" xr:uid="{00000000-0005-0000-0000-0000B3340000}"/>
    <cellStyle name="Percent 12 7 6" xfId="13471" xr:uid="{00000000-0005-0000-0000-0000B4340000}"/>
    <cellStyle name="Percent 12 7 7" xfId="13472" xr:uid="{00000000-0005-0000-0000-0000B5340000}"/>
    <cellStyle name="Percent 12 7 8" xfId="13473" xr:uid="{00000000-0005-0000-0000-0000B6340000}"/>
    <cellStyle name="Percent 12 8" xfId="13474" xr:uid="{00000000-0005-0000-0000-0000B7340000}"/>
    <cellStyle name="Percent 12 8 2" xfId="13475" xr:uid="{00000000-0005-0000-0000-0000B8340000}"/>
    <cellStyle name="Percent 12 8 2 2" xfId="13476" xr:uid="{00000000-0005-0000-0000-0000B9340000}"/>
    <cellStyle name="Percent 12 8 2 3" xfId="13477" xr:uid="{00000000-0005-0000-0000-0000BA340000}"/>
    <cellStyle name="Percent 12 8 3" xfId="13478" xr:uid="{00000000-0005-0000-0000-0000BB340000}"/>
    <cellStyle name="Percent 12 8 3 2" xfId="13479" xr:uid="{00000000-0005-0000-0000-0000BC340000}"/>
    <cellStyle name="Percent 12 8 3 3" xfId="13480" xr:uid="{00000000-0005-0000-0000-0000BD340000}"/>
    <cellStyle name="Percent 12 8 4" xfId="13481" xr:uid="{00000000-0005-0000-0000-0000BE340000}"/>
    <cellStyle name="Percent 12 8 5" xfId="13482" xr:uid="{00000000-0005-0000-0000-0000BF340000}"/>
    <cellStyle name="Percent 12 8 6" xfId="13483" xr:uid="{00000000-0005-0000-0000-0000C0340000}"/>
    <cellStyle name="Percent 12 9" xfId="13484" xr:uid="{00000000-0005-0000-0000-0000C1340000}"/>
    <cellStyle name="Percent 12 9 2" xfId="13485" xr:uid="{00000000-0005-0000-0000-0000C2340000}"/>
    <cellStyle name="Percent 12 9 3" xfId="13486" xr:uid="{00000000-0005-0000-0000-0000C3340000}"/>
    <cellStyle name="Percent 13" xfId="13487" xr:uid="{00000000-0005-0000-0000-0000C4340000}"/>
    <cellStyle name="Percent 13 10" xfId="13488" xr:uid="{00000000-0005-0000-0000-0000C5340000}"/>
    <cellStyle name="Percent 13 10 2" xfId="13489" xr:uid="{00000000-0005-0000-0000-0000C6340000}"/>
    <cellStyle name="Percent 13 10 3" xfId="13490" xr:uid="{00000000-0005-0000-0000-0000C7340000}"/>
    <cellStyle name="Percent 13 11" xfId="13491" xr:uid="{00000000-0005-0000-0000-0000C8340000}"/>
    <cellStyle name="Percent 13 12" xfId="13492" xr:uid="{00000000-0005-0000-0000-0000C9340000}"/>
    <cellStyle name="Percent 13 13" xfId="13493" xr:uid="{00000000-0005-0000-0000-0000CA340000}"/>
    <cellStyle name="Percent 13 2" xfId="13494" xr:uid="{00000000-0005-0000-0000-0000CB340000}"/>
    <cellStyle name="Percent 13 2 2" xfId="13495" xr:uid="{00000000-0005-0000-0000-0000CC340000}"/>
    <cellStyle name="Percent 13 2 2 2" xfId="13496" xr:uid="{00000000-0005-0000-0000-0000CD340000}"/>
    <cellStyle name="Percent 13 2 2 3" xfId="13497" xr:uid="{00000000-0005-0000-0000-0000CE340000}"/>
    <cellStyle name="Percent 13 2 3" xfId="13498" xr:uid="{00000000-0005-0000-0000-0000CF340000}"/>
    <cellStyle name="Percent 13 2 3 2" xfId="13499" xr:uid="{00000000-0005-0000-0000-0000D0340000}"/>
    <cellStyle name="Percent 13 2 3 3" xfId="13500" xr:uid="{00000000-0005-0000-0000-0000D1340000}"/>
    <cellStyle name="Percent 13 2 4" xfId="13501" xr:uid="{00000000-0005-0000-0000-0000D2340000}"/>
    <cellStyle name="Percent 13 2 5" xfId="13502" xr:uid="{00000000-0005-0000-0000-0000D3340000}"/>
    <cellStyle name="Percent 13 2 6" xfId="13503" xr:uid="{00000000-0005-0000-0000-0000D4340000}"/>
    <cellStyle name="Percent 13 3" xfId="13504" xr:uid="{00000000-0005-0000-0000-0000D5340000}"/>
    <cellStyle name="Percent 13 3 2" xfId="13505" xr:uid="{00000000-0005-0000-0000-0000D6340000}"/>
    <cellStyle name="Percent 13 3 2 2" xfId="13506" xr:uid="{00000000-0005-0000-0000-0000D7340000}"/>
    <cellStyle name="Percent 13 3 2 3" xfId="13507" xr:uid="{00000000-0005-0000-0000-0000D8340000}"/>
    <cellStyle name="Percent 13 3 3" xfId="13508" xr:uid="{00000000-0005-0000-0000-0000D9340000}"/>
    <cellStyle name="Percent 13 3 3 2" xfId="13509" xr:uid="{00000000-0005-0000-0000-0000DA340000}"/>
    <cellStyle name="Percent 13 3 3 3" xfId="13510" xr:uid="{00000000-0005-0000-0000-0000DB340000}"/>
    <cellStyle name="Percent 13 3 4" xfId="13511" xr:uid="{00000000-0005-0000-0000-0000DC340000}"/>
    <cellStyle name="Percent 13 3 5" xfId="13512" xr:uid="{00000000-0005-0000-0000-0000DD340000}"/>
    <cellStyle name="Percent 13 3 6" xfId="13513" xr:uid="{00000000-0005-0000-0000-0000DE340000}"/>
    <cellStyle name="Percent 13 4" xfId="13514" xr:uid="{00000000-0005-0000-0000-0000DF340000}"/>
    <cellStyle name="Percent 13 4 2" xfId="13515" xr:uid="{00000000-0005-0000-0000-0000E0340000}"/>
    <cellStyle name="Percent 13 4 2 2" xfId="13516" xr:uid="{00000000-0005-0000-0000-0000E1340000}"/>
    <cellStyle name="Percent 13 4 2 3" xfId="13517" xr:uid="{00000000-0005-0000-0000-0000E2340000}"/>
    <cellStyle name="Percent 13 4 3" xfId="13518" xr:uid="{00000000-0005-0000-0000-0000E3340000}"/>
    <cellStyle name="Percent 13 4 3 2" xfId="13519" xr:uid="{00000000-0005-0000-0000-0000E4340000}"/>
    <cellStyle name="Percent 13 4 3 3" xfId="13520" xr:uid="{00000000-0005-0000-0000-0000E5340000}"/>
    <cellStyle name="Percent 13 4 4" xfId="13521" xr:uid="{00000000-0005-0000-0000-0000E6340000}"/>
    <cellStyle name="Percent 13 4 5" xfId="13522" xr:uid="{00000000-0005-0000-0000-0000E7340000}"/>
    <cellStyle name="Percent 13 4 6" xfId="13523" xr:uid="{00000000-0005-0000-0000-0000E8340000}"/>
    <cellStyle name="Percent 13 5" xfId="13524" xr:uid="{00000000-0005-0000-0000-0000E9340000}"/>
    <cellStyle name="Percent 13 5 2" xfId="13525" xr:uid="{00000000-0005-0000-0000-0000EA340000}"/>
    <cellStyle name="Percent 13 5 2 2" xfId="13526" xr:uid="{00000000-0005-0000-0000-0000EB340000}"/>
    <cellStyle name="Percent 13 5 2 3" xfId="13527" xr:uid="{00000000-0005-0000-0000-0000EC340000}"/>
    <cellStyle name="Percent 13 5 3" xfId="13528" xr:uid="{00000000-0005-0000-0000-0000ED340000}"/>
    <cellStyle name="Percent 13 5 3 2" xfId="13529" xr:uid="{00000000-0005-0000-0000-0000EE340000}"/>
    <cellStyle name="Percent 13 5 3 3" xfId="13530" xr:uid="{00000000-0005-0000-0000-0000EF340000}"/>
    <cellStyle name="Percent 13 5 4" xfId="13531" xr:uid="{00000000-0005-0000-0000-0000F0340000}"/>
    <cellStyle name="Percent 13 5 5" xfId="13532" xr:uid="{00000000-0005-0000-0000-0000F1340000}"/>
    <cellStyle name="Percent 13 5 6" xfId="13533" xr:uid="{00000000-0005-0000-0000-0000F2340000}"/>
    <cellStyle name="Percent 13 6" xfId="13534" xr:uid="{00000000-0005-0000-0000-0000F3340000}"/>
    <cellStyle name="Percent 13 6 2" xfId="13535" xr:uid="{00000000-0005-0000-0000-0000F4340000}"/>
    <cellStyle name="Percent 13 6 2 2" xfId="13536" xr:uid="{00000000-0005-0000-0000-0000F5340000}"/>
    <cellStyle name="Percent 13 6 2 3" xfId="13537" xr:uid="{00000000-0005-0000-0000-0000F6340000}"/>
    <cellStyle name="Percent 13 6 3" xfId="13538" xr:uid="{00000000-0005-0000-0000-0000F7340000}"/>
    <cellStyle name="Percent 13 6 3 2" xfId="13539" xr:uid="{00000000-0005-0000-0000-0000F8340000}"/>
    <cellStyle name="Percent 13 6 3 3" xfId="13540" xr:uid="{00000000-0005-0000-0000-0000F9340000}"/>
    <cellStyle name="Percent 13 6 4" xfId="13541" xr:uid="{00000000-0005-0000-0000-0000FA340000}"/>
    <cellStyle name="Percent 13 6 5" xfId="13542" xr:uid="{00000000-0005-0000-0000-0000FB340000}"/>
    <cellStyle name="Percent 13 6 6" xfId="13543" xr:uid="{00000000-0005-0000-0000-0000FC340000}"/>
    <cellStyle name="Percent 13 7" xfId="13544" xr:uid="{00000000-0005-0000-0000-0000FD340000}"/>
    <cellStyle name="Percent 13 7 2" xfId="13545" xr:uid="{00000000-0005-0000-0000-0000FE340000}"/>
    <cellStyle name="Percent 13 7 2 2" xfId="13546" xr:uid="{00000000-0005-0000-0000-0000FF340000}"/>
    <cellStyle name="Percent 13 7 2 3" xfId="13547" xr:uid="{00000000-0005-0000-0000-000000350000}"/>
    <cellStyle name="Percent 13 7 3" xfId="13548" xr:uid="{00000000-0005-0000-0000-000001350000}"/>
    <cellStyle name="Percent 13 7 3 2" xfId="13549" xr:uid="{00000000-0005-0000-0000-000002350000}"/>
    <cellStyle name="Percent 13 7 3 3" xfId="13550" xr:uid="{00000000-0005-0000-0000-000003350000}"/>
    <cellStyle name="Percent 13 7 4" xfId="13551" xr:uid="{00000000-0005-0000-0000-000004350000}"/>
    <cellStyle name="Percent 13 7 4 2" xfId="13552" xr:uid="{00000000-0005-0000-0000-000005350000}"/>
    <cellStyle name="Percent 13 7 4 3" xfId="13553" xr:uid="{00000000-0005-0000-0000-000006350000}"/>
    <cellStyle name="Percent 13 7 5" xfId="13554" xr:uid="{00000000-0005-0000-0000-000007350000}"/>
    <cellStyle name="Percent 13 7 5 2" xfId="13555" xr:uid="{00000000-0005-0000-0000-000008350000}"/>
    <cellStyle name="Percent 13 7 5 3" xfId="13556" xr:uid="{00000000-0005-0000-0000-000009350000}"/>
    <cellStyle name="Percent 13 7 6" xfId="13557" xr:uid="{00000000-0005-0000-0000-00000A350000}"/>
    <cellStyle name="Percent 13 7 7" xfId="13558" xr:uid="{00000000-0005-0000-0000-00000B350000}"/>
    <cellStyle name="Percent 13 7 8" xfId="13559" xr:uid="{00000000-0005-0000-0000-00000C350000}"/>
    <cellStyle name="Percent 13 8" xfId="13560" xr:uid="{00000000-0005-0000-0000-00000D350000}"/>
    <cellStyle name="Percent 13 8 2" xfId="13561" xr:uid="{00000000-0005-0000-0000-00000E350000}"/>
    <cellStyle name="Percent 13 8 2 2" xfId="13562" xr:uid="{00000000-0005-0000-0000-00000F350000}"/>
    <cellStyle name="Percent 13 8 2 3" xfId="13563" xr:uid="{00000000-0005-0000-0000-000010350000}"/>
    <cellStyle name="Percent 13 8 3" xfId="13564" xr:uid="{00000000-0005-0000-0000-000011350000}"/>
    <cellStyle name="Percent 13 8 3 2" xfId="13565" xr:uid="{00000000-0005-0000-0000-000012350000}"/>
    <cellStyle name="Percent 13 8 3 3" xfId="13566" xr:uid="{00000000-0005-0000-0000-000013350000}"/>
    <cellStyle name="Percent 13 8 4" xfId="13567" xr:uid="{00000000-0005-0000-0000-000014350000}"/>
    <cellStyle name="Percent 13 8 5" xfId="13568" xr:uid="{00000000-0005-0000-0000-000015350000}"/>
    <cellStyle name="Percent 13 8 6" xfId="13569" xr:uid="{00000000-0005-0000-0000-000016350000}"/>
    <cellStyle name="Percent 13 9" xfId="13570" xr:uid="{00000000-0005-0000-0000-000017350000}"/>
    <cellStyle name="Percent 13 9 2" xfId="13571" xr:uid="{00000000-0005-0000-0000-000018350000}"/>
    <cellStyle name="Percent 13 9 3" xfId="13572" xr:uid="{00000000-0005-0000-0000-000019350000}"/>
    <cellStyle name="Percent 14" xfId="13573" xr:uid="{00000000-0005-0000-0000-00001A350000}"/>
    <cellStyle name="Percent 14 10" xfId="13574" xr:uid="{00000000-0005-0000-0000-00001B350000}"/>
    <cellStyle name="Percent 14 10 2" xfId="13575" xr:uid="{00000000-0005-0000-0000-00001C350000}"/>
    <cellStyle name="Percent 14 10 3" xfId="13576" xr:uid="{00000000-0005-0000-0000-00001D350000}"/>
    <cellStyle name="Percent 14 11" xfId="13577" xr:uid="{00000000-0005-0000-0000-00001E350000}"/>
    <cellStyle name="Percent 14 12" xfId="13578" xr:uid="{00000000-0005-0000-0000-00001F350000}"/>
    <cellStyle name="Percent 14 13" xfId="13579" xr:uid="{00000000-0005-0000-0000-000020350000}"/>
    <cellStyle name="Percent 14 2" xfId="13580" xr:uid="{00000000-0005-0000-0000-000021350000}"/>
    <cellStyle name="Percent 14 2 2" xfId="13581" xr:uid="{00000000-0005-0000-0000-000022350000}"/>
    <cellStyle name="Percent 14 2 2 2" xfId="13582" xr:uid="{00000000-0005-0000-0000-000023350000}"/>
    <cellStyle name="Percent 14 2 2 3" xfId="13583" xr:uid="{00000000-0005-0000-0000-000024350000}"/>
    <cellStyle name="Percent 14 2 3" xfId="13584" xr:uid="{00000000-0005-0000-0000-000025350000}"/>
    <cellStyle name="Percent 14 2 3 2" xfId="13585" xr:uid="{00000000-0005-0000-0000-000026350000}"/>
    <cellStyle name="Percent 14 2 3 3" xfId="13586" xr:uid="{00000000-0005-0000-0000-000027350000}"/>
    <cellStyle name="Percent 14 2 4" xfId="13587" xr:uid="{00000000-0005-0000-0000-000028350000}"/>
    <cellStyle name="Percent 14 2 5" xfId="13588" xr:uid="{00000000-0005-0000-0000-000029350000}"/>
    <cellStyle name="Percent 14 2 6" xfId="13589" xr:uid="{00000000-0005-0000-0000-00002A350000}"/>
    <cellStyle name="Percent 14 3" xfId="13590" xr:uid="{00000000-0005-0000-0000-00002B350000}"/>
    <cellStyle name="Percent 14 3 2" xfId="13591" xr:uid="{00000000-0005-0000-0000-00002C350000}"/>
    <cellStyle name="Percent 14 3 2 2" xfId="13592" xr:uid="{00000000-0005-0000-0000-00002D350000}"/>
    <cellStyle name="Percent 14 3 2 3" xfId="13593" xr:uid="{00000000-0005-0000-0000-00002E350000}"/>
    <cellStyle name="Percent 14 3 3" xfId="13594" xr:uid="{00000000-0005-0000-0000-00002F350000}"/>
    <cellStyle name="Percent 14 3 3 2" xfId="13595" xr:uid="{00000000-0005-0000-0000-000030350000}"/>
    <cellStyle name="Percent 14 3 3 3" xfId="13596" xr:uid="{00000000-0005-0000-0000-000031350000}"/>
    <cellStyle name="Percent 14 3 4" xfId="13597" xr:uid="{00000000-0005-0000-0000-000032350000}"/>
    <cellStyle name="Percent 14 3 5" xfId="13598" xr:uid="{00000000-0005-0000-0000-000033350000}"/>
    <cellStyle name="Percent 14 3 6" xfId="13599" xr:uid="{00000000-0005-0000-0000-000034350000}"/>
    <cellStyle name="Percent 14 4" xfId="13600" xr:uid="{00000000-0005-0000-0000-000035350000}"/>
    <cellStyle name="Percent 14 4 2" xfId="13601" xr:uid="{00000000-0005-0000-0000-000036350000}"/>
    <cellStyle name="Percent 14 4 2 2" xfId="13602" xr:uid="{00000000-0005-0000-0000-000037350000}"/>
    <cellStyle name="Percent 14 4 2 3" xfId="13603" xr:uid="{00000000-0005-0000-0000-000038350000}"/>
    <cellStyle name="Percent 14 4 3" xfId="13604" xr:uid="{00000000-0005-0000-0000-000039350000}"/>
    <cellStyle name="Percent 14 4 3 2" xfId="13605" xr:uid="{00000000-0005-0000-0000-00003A350000}"/>
    <cellStyle name="Percent 14 4 3 3" xfId="13606" xr:uid="{00000000-0005-0000-0000-00003B350000}"/>
    <cellStyle name="Percent 14 4 4" xfId="13607" xr:uid="{00000000-0005-0000-0000-00003C350000}"/>
    <cellStyle name="Percent 14 4 5" xfId="13608" xr:uid="{00000000-0005-0000-0000-00003D350000}"/>
    <cellStyle name="Percent 14 4 6" xfId="13609" xr:uid="{00000000-0005-0000-0000-00003E350000}"/>
    <cellStyle name="Percent 14 5" xfId="13610" xr:uid="{00000000-0005-0000-0000-00003F350000}"/>
    <cellStyle name="Percent 14 5 2" xfId="13611" xr:uid="{00000000-0005-0000-0000-000040350000}"/>
    <cellStyle name="Percent 14 5 2 2" xfId="13612" xr:uid="{00000000-0005-0000-0000-000041350000}"/>
    <cellStyle name="Percent 14 5 2 3" xfId="13613" xr:uid="{00000000-0005-0000-0000-000042350000}"/>
    <cellStyle name="Percent 14 5 3" xfId="13614" xr:uid="{00000000-0005-0000-0000-000043350000}"/>
    <cellStyle name="Percent 14 5 3 2" xfId="13615" xr:uid="{00000000-0005-0000-0000-000044350000}"/>
    <cellStyle name="Percent 14 5 3 3" xfId="13616" xr:uid="{00000000-0005-0000-0000-000045350000}"/>
    <cellStyle name="Percent 14 5 4" xfId="13617" xr:uid="{00000000-0005-0000-0000-000046350000}"/>
    <cellStyle name="Percent 14 5 5" xfId="13618" xr:uid="{00000000-0005-0000-0000-000047350000}"/>
    <cellStyle name="Percent 14 5 6" xfId="13619" xr:uid="{00000000-0005-0000-0000-000048350000}"/>
    <cellStyle name="Percent 14 6" xfId="13620" xr:uid="{00000000-0005-0000-0000-000049350000}"/>
    <cellStyle name="Percent 14 6 2" xfId="13621" xr:uid="{00000000-0005-0000-0000-00004A350000}"/>
    <cellStyle name="Percent 14 6 2 2" xfId="13622" xr:uid="{00000000-0005-0000-0000-00004B350000}"/>
    <cellStyle name="Percent 14 6 2 3" xfId="13623" xr:uid="{00000000-0005-0000-0000-00004C350000}"/>
    <cellStyle name="Percent 14 6 3" xfId="13624" xr:uid="{00000000-0005-0000-0000-00004D350000}"/>
    <cellStyle name="Percent 14 6 3 2" xfId="13625" xr:uid="{00000000-0005-0000-0000-00004E350000}"/>
    <cellStyle name="Percent 14 6 3 3" xfId="13626" xr:uid="{00000000-0005-0000-0000-00004F350000}"/>
    <cellStyle name="Percent 14 6 4" xfId="13627" xr:uid="{00000000-0005-0000-0000-000050350000}"/>
    <cellStyle name="Percent 14 6 5" xfId="13628" xr:uid="{00000000-0005-0000-0000-000051350000}"/>
    <cellStyle name="Percent 14 6 6" xfId="13629" xr:uid="{00000000-0005-0000-0000-000052350000}"/>
    <cellStyle name="Percent 14 7" xfId="13630" xr:uid="{00000000-0005-0000-0000-000053350000}"/>
    <cellStyle name="Percent 14 7 2" xfId="13631" xr:uid="{00000000-0005-0000-0000-000054350000}"/>
    <cellStyle name="Percent 14 7 2 2" xfId="13632" xr:uid="{00000000-0005-0000-0000-000055350000}"/>
    <cellStyle name="Percent 14 7 2 3" xfId="13633" xr:uid="{00000000-0005-0000-0000-000056350000}"/>
    <cellStyle name="Percent 14 7 3" xfId="13634" xr:uid="{00000000-0005-0000-0000-000057350000}"/>
    <cellStyle name="Percent 14 7 3 2" xfId="13635" xr:uid="{00000000-0005-0000-0000-000058350000}"/>
    <cellStyle name="Percent 14 7 3 3" xfId="13636" xr:uid="{00000000-0005-0000-0000-000059350000}"/>
    <cellStyle name="Percent 14 7 4" xfId="13637" xr:uid="{00000000-0005-0000-0000-00005A350000}"/>
    <cellStyle name="Percent 14 7 4 2" xfId="13638" xr:uid="{00000000-0005-0000-0000-00005B350000}"/>
    <cellStyle name="Percent 14 7 4 3" xfId="13639" xr:uid="{00000000-0005-0000-0000-00005C350000}"/>
    <cellStyle name="Percent 14 7 5" xfId="13640" xr:uid="{00000000-0005-0000-0000-00005D350000}"/>
    <cellStyle name="Percent 14 7 5 2" xfId="13641" xr:uid="{00000000-0005-0000-0000-00005E350000}"/>
    <cellStyle name="Percent 14 7 5 3" xfId="13642" xr:uid="{00000000-0005-0000-0000-00005F350000}"/>
    <cellStyle name="Percent 14 7 6" xfId="13643" xr:uid="{00000000-0005-0000-0000-000060350000}"/>
    <cellStyle name="Percent 14 7 7" xfId="13644" xr:uid="{00000000-0005-0000-0000-000061350000}"/>
    <cellStyle name="Percent 14 7 8" xfId="13645" xr:uid="{00000000-0005-0000-0000-000062350000}"/>
    <cellStyle name="Percent 14 8" xfId="13646" xr:uid="{00000000-0005-0000-0000-000063350000}"/>
    <cellStyle name="Percent 14 8 2" xfId="13647" xr:uid="{00000000-0005-0000-0000-000064350000}"/>
    <cellStyle name="Percent 14 8 2 2" xfId="13648" xr:uid="{00000000-0005-0000-0000-000065350000}"/>
    <cellStyle name="Percent 14 8 2 3" xfId="13649" xr:uid="{00000000-0005-0000-0000-000066350000}"/>
    <cellStyle name="Percent 14 8 3" xfId="13650" xr:uid="{00000000-0005-0000-0000-000067350000}"/>
    <cellStyle name="Percent 14 8 3 2" xfId="13651" xr:uid="{00000000-0005-0000-0000-000068350000}"/>
    <cellStyle name="Percent 14 8 3 3" xfId="13652" xr:uid="{00000000-0005-0000-0000-000069350000}"/>
    <cellStyle name="Percent 14 8 4" xfId="13653" xr:uid="{00000000-0005-0000-0000-00006A350000}"/>
    <cellStyle name="Percent 14 8 5" xfId="13654" xr:uid="{00000000-0005-0000-0000-00006B350000}"/>
    <cellStyle name="Percent 14 8 6" xfId="13655" xr:uid="{00000000-0005-0000-0000-00006C350000}"/>
    <cellStyle name="Percent 14 9" xfId="13656" xr:uid="{00000000-0005-0000-0000-00006D350000}"/>
    <cellStyle name="Percent 14 9 2" xfId="13657" xr:uid="{00000000-0005-0000-0000-00006E350000}"/>
    <cellStyle name="Percent 14 9 3" xfId="13658" xr:uid="{00000000-0005-0000-0000-00006F350000}"/>
    <cellStyle name="Percent 15" xfId="13659" xr:uid="{00000000-0005-0000-0000-000070350000}"/>
    <cellStyle name="Percent 15 10" xfId="13660" xr:uid="{00000000-0005-0000-0000-000071350000}"/>
    <cellStyle name="Percent 15 10 2" xfId="13661" xr:uid="{00000000-0005-0000-0000-000072350000}"/>
    <cellStyle name="Percent 15 10 3" xfId="13662" xr:uid="{00000000-0005-0000-0000-000073350000}"/>
    <cellStyle name="Percent 15 10 4" xfId="13663" xr:uid="{00000000-0005-0000-0000-000074350000}"/>
    <cellStyle name="Percent 15 11" xfId="13664" xr:uid="{00000000-0005-0000-0000-000075350000}"/>
    <cellStyle name="Percent 15 11 2" xfId="13665" xr:uid="{00000000-0005-0000-0000-000076350000}"/>
    <cellStyle name="Percent 15 11 3" xfId="13666" xr:uid="{00000000-0005-0000-0000-000077350000}"/>
    <cellStyle name="Percent 15 11 4" xfId="13667" xr:uid="{00000000-0005-0000-0000-000078350000}"/>
    <cellStyle name="Percent 15 12" xfId="13668" xr:uid="{00000000-0005-0000-0000-000079350000}"/>
    <cellStyle name="Percent 15 12 2" xfId="13669" xr:uid="{00000000-0005-0000-0000-00007A350000}"/>
    <cellStyle name="Percent 15 12 3" xfId="13670" xr:uid="{00000000-0005-0000-0000-00007B350000}"/>
    <cellStyle name="Percent 15 12 4" xfId="13671" xr:uid="{00000000-0005-0000-0000-00007C350000}"/>
    <cellStyle name="Percent 15 13" xfId="13672" xr:uid="{00000000-0005-0000-0000-00007D350000}"/>
    <cellStyle name="Percent 15 13 2" xfId="13673" xr:uid="{00000000-0005-0000-0000-00007E350000}"/>
    <cellStyle name="Percent 15 13 3" xfId="13674" xr:uid="{00000000-0005-0000-0000-00007F350000}"/>
    <cellStyle name="Percent 15 13 4" xfId="13675" xr:uid="{00000000-0005-0000-0000-000080350000}"/>
    <cellStyle name="Percent 15 14" xfId="13676" xr:uid="{00000000-0005-0000-0000-000081350000}"/>
    <cellStyle name="Percent 15 14 2" xfId="13677" xr:uid="{00000000-0005-0000-0000-000082350000}"/>
    <cellStyle name="Percent 15 14 3" xfId="13678" xr:uid="{00000000-0005-0000-0000-000083350000}"/>
    <cellStyle name="Percent 15 14 4" xfId="13679" xr:uid="{00000000-0005-0000-0000-000084350000}"/>
    <cellStyle name="Percent 15 15" xfId="13680" xr:uid="{00000000-0005-0000-0000-000085350000}"/>
    <cellStyle name="Percent 15 15 2" xfId="13681" xr:uid="{00000000-0005-0000-0000-000086350000}"/>
    <cellStyle name="Percent 15 15 3" xfId="13682" xr:uid="{00000000-0005-0000-0000-000087350000}"/>
    <cellStyle name="Percent 15 16" xfId="13683" xr:uid="{00000000-0005-0000-0000-000088350000}"/>
    <cellStyle name="Percent 15 17" xfId="13684" xr:uid="{00000000-0005-0000-0000-000089350000}"/>
    <cellStyle name="Percent 15 18" xfId="13685" xr:uid="{00000000-0005-0000-0000-00008A350000}"/>
    <cellStyle name="Percent 15 2" xfId="13686" xr:uid="{00000000-0005-0000-0000-00008B350000}"/>
    <cellStyle name="Percent 15 2 10" xfId="13687" xr:uid="{00000000-0005-0000-0000-00008C350000}"/>
    <cellStyle name="Percent 15 2 11" xfId="13688" xr:uid="{00000000-0005-0000-0000-00008D350000}"/>
    <cellStyle name="Percent 15 2 2" xfId="13689" xr:uid="{00000000-0005-0000-0000-00008E350000}"/>
    <cellStyle name="Percent 15 2 2 2" xfId="13690" xr:uid="{00000000-0005-0000-0000-00008F350000}"/>
    <cellStyle name="Percent 15 2 2 3" xfId="13691" xr:uid="{00000000-0005-0000-0000-000090350000}"/>
    <cellStyle name="Percent 15 2 2 4" xfId="13692" xr:uid="{00000000-0005-0000-0000-000091350000}"/>
    <cellStyle name="Percent 15 2 3" xfId="13693" xr:uid="{00000000-0005-0000-0000-000092350000}"/>
    <cellStyle name="Percent 15 2 3 2" xfId="13694" xr:uid="{00000000-0005-0000-0000-000093350000}"/>
    <cellStyle name="Percent 15 2 3 3" xfId="13695" xr:uid="{00000000-0005-0000-0000-000094350000}"/>
    <cellStyle name="Percent 15 2 3 4" xfId="13696" xr:uid="{00000000-0005-0000-0000-000095350000}"/>
    <cellStyle name="Percent 15 2 4" xfId="13697" xr:uid="{00000000-0005-0000-0000-000096350000}"/>
    <cellStyle name="Percent 15 2 4 2" xfId="13698" xr:uid="{00000000-0005-0000-0000-000097350000}"/>
    <cellStyle name="Percent 15 2 4 3" xfId="13699" xr:uid="{00000000-0005-0000-0000-000098350000}"/>
    <cellStyle name="Percent 15 2 4 4" xfId="13700" xr:uid="{00000000-0005-0000-0000-000099350000}"/>
    <cellStyle name="Percent 15 2 5" xfId="13701" xr:uid="{00000000-0005-0000-0000-00009A350000}"/>
    <cellStyle name="Percent 15 2 5 2" xfId="13702" xr:uid="{00000000-0005-0000-0000-00009B350000}"/>
    <cellStyle name="Percent 15 2 5 3" xfId="13703" xr:uid="{00000000-0005-0000-0000-00009C350000}"/>
    <cellStyle name="Percent 15 2 5 4" xfId="13704" xr:uid="{00000000-0005-0000-0000-00009D350000}"/>
    <cellStyle name="Percent 15 2 6" xfId="13705" xr:uid="{00000000-0005-0000-0000-00009E350000}"/>
    <cellStyle name="Percent 15 2 6 2" xfId="13706" xr:uid="{00000000-0005-0000-0000-00009F350000}"/>
    <cellStyle name="Percent 15 2 6 3" xfId="13707" xr:uid="{00000000-0005-0000-0000-0000A0350000}"/>
    <cellStyle name="Percent 15 2 6 4" xfId="13708" xr:uid="{00000000-0005-0000-0000-0000A1350000}"/>
    <cellStyle name="Percent 15 2 7" xfId="13709" xr:uid="{00000000-0005-0000-0000-0000A2350000}"/>
    <cellStyle name="Percent 15 2 7 2" xfId="13710" xr:uid="{00000000-0005-0000-0000-0000A3350000}"/>
    <cellStyle name="Percent 15 2 7 3" xfId="13711" xr:uid="{00000000-0005-0000-0000-0000A4350000}"/>
    <cellStyle name="Percent 15 2 7 4" xfId="13712" xr:uid="{00000000-0005-0000-0000-0000A5350000}"/>
    <cellStyle name="Percent 15 2 8" xfId="13713" xr:uid="{00000000-0005-0000-0000-0000A6350000}"/>
    <cellStyle name="Percent 15 2 8 2" xfId="13714" xr:uid="{00000000-0005-0000-0000-0000A7350000}"/>
    <cellStyle name="Percent 15 2 8 3" xfId="13715" xr:uid="{00000000-0005-0000-0000-0000A8350000}"/>
    <cellStyle name="Percent 15 2 9" xfId="13716" xr:uid="{00000000-0005-0000-0000-0000A9350000}"/>
    <cellStyle name="Percent 15 3" xfId="13717" xr:uid="{00000000-0005-0000-0000-0000AA350000}"/>
    <cellStyle name="Percent 15 3 2" xfId="13718" xr:uid="{00000000-0005-0000-0000-0000AB350000}"/>
    <cellStyle name="Percent 15 3 3" xfId="13719" xr:uid="{00000000-0005-0000-0000-0000AC350000}"/>
    <cellStyle name="Percent 15 3 4" xfId="13720" xr:uid="{00000000-0005-0000-0000-0000AD350000}"/>
    <cellStyle name="Percent 15 4" xfId="13721" xr:uid="{00000000-0005-0000-0000-0000AE350000}"/>
    <cellStyle name="Percent 15 4 2" xfId="13722" xr:uid="{00000000-0005-0000-0000-0000AF350000}"/>
    <cellStyle name="Percent 15 4 2 2" xfId="13723" xr:uid="{00000000-0005-0000-0000-0000B0350000}"/>
    <cellStyle name="Percent 15 4 2 3" xfId="13724" xr:uid="{00000000-0005-0000-0000-0000B1350000}"/>
    <cellStyle name="Percent 15 4 3" xfId="13725" xr:uid="{00000000-0005-0000-0000-0000B2350000}"/>
    <cellStyle name="Percent 15 4 3 2" xfId="13726" xr:uid="{00000000-0005-0000-0000-0000B3350000}"/>
    <cellStyle name="Percent 15 4 3 3" xfId="13727" xr:uid="{00000000-0005-0000-0000-0000B4350000}"/>
    <cellStyle name="Percent 15 4 4" xfId="13728" xr:uid="{00000000-0005-0000-0000-0000B5350000}"/>
    <cellStyle name="Percent 15 4 5" xfId="13729" xr:uid="{00000000-0005-0000-0000-0000B6350000}"/>
    <cellStyle name="Percent 15 4 6" xfId="13730" xr:uid="{00000000-0005-0000-0000-0000B7350000}"/>
    <cellStyle name="Percent 15 5" xfId="13731" xr:uid="{00000000-0005-0000-0000-0000B8350000}"/>
    <cellStyle name="Percent 15 5 2" xfId="13732" xr:uid="{00000000-0005-0000-0000-0000B9350000}"/>
    <cellStyle name="Percent 15 5 3" xfId="13733" xr:uid="{00000000-0005-0000-0000-0000BA350000}"/>
    <cellStyle name="Percent 15 5 4" xfId="13734" xr:uid="{00000000-0005-0000-0000-0000BB350000}"/>
    <cellStyle name="Percent 15 6" xfId="13735" xr:uid="{00000000-0005-0000-0000-0000BC350000}"/>
    <cellStyle name="Percent 15 6 2" xfId="13736" xr:uid="{00000000-0005-0000-0000-0000BD350000}"/>
    <cellStyle name="Percent 15 6 3" xfId="13737" xr:uid="{00000000-0005-0000-0000-0000BE350000}"/>
    <cellStyle name="Percent 15 6 4" xfId="13738" xr:uid="{00000000-0005-0000-0000-0000BF350000}"/>
    <cellStyle name="Percent 15 7" xfId="13739" xr:uid="{00000000-0005-0000-0000-0000C0350000}"/>
    <cellStyle name="Percent 15 7 2" xfId="13740" xr:uid="{00000000-0005-0000-0000-0000C1350000}"/>
    <cellStyle name="Percent 15 7 2 2" xfId="13741" xr:uid="{00000000-0005-0000-0000-0000C2350000}"/>
    <cellStyle name="Percent 15 7 2 3" xfId="13742" xr:uid="{00000000-0005-0000-0000-0000C3350000}"/>
    <cellStyle name="Percent 15 7 3" xfId="13743" xr:uid="{00000000-0005-0000-0000-0000C4350000}"/>
    <cellStyle name="Percent 15 7 3 2" xfId="13744" xr:uid="{00000000-0005-0000-0000-0000C5350000}"/>
    <cellStyle name="Percent 15 7 3 3" xfId="13745" xr:uid="{00000000-0005-0000-0000-0000C6350000}"/>
    <cellStyle name="Percent 15 7 4" xfId="13746" xr:uid="{00000000-0005-0000-0000-0000C7350000}"/>
    <cellStyle name="Percent 15 7 5" xfId="13747" xr:uid="{00000000-0005-0000-0000-0000C8350000}"/>
    <cellStyle name="Percent 15 7 6" xfId="13748" xr:uid="{00000000-0005-0000-0000-0000C9350000}"/>
    <cellStyle name="Percent 15 8" xfId="13749" xr:uid="{00000000-0005-0000-0000-0000CA350000}"/>
    <cellStyle name="Percent 15 8 2" xfId="13750" xr:uid="{00000000-0005-0000-0000-0000CB350000}"/>
    <cellStyle name="Percent 15 8 3" xfId="13751" xr:uid="{00000000-0005-0000-0000-0000CC350000}"/>
    <cellStyle name="Percent 15 8 4" xfId="13752" xr:uid="{00000000-0005-0000-0000-0000CD350000}"/>
    <cellStyle name="Percent 15 9" xfId="13753" xr:uid="{00000000-0005-0000-0000-0000CE350000}"/>
    <cellStyle name="Percent 15 9 2" xfId="13754" xr:uid="{00000000-0005-0000-0000-0000CF350000}"/>
    <cellStyle name="Percent 15 9 3" xfId="13755" xr:uid="{00000000-0005-0000-0000-0000D0350000}"/>
    <cellStyle name="Percent 15 9 4" xfId="13756" xr:uid="{00000000-0005-0000-0000-0000D1350000}"/>
    <cellStyle name="Percent 16" xfId="13757" xr:uid="{00000000-0005-0000-0000-0000D2350000}"/>
    <cellStyle name="Percent 16 10" xfId="13758" xr:uid="{00000000-0005-0000-0000-0000D3350000}"/>
    <cellStyle name="Percent 16 11" xfId="13759" xr:uid="{00000000-0005-0000-0000-0000D4350000}"/>
    <cellStyle name="Percent 16 12" xfId="13760" xr:uid="{00000000-0005-0000-0000-0000D5350000}"/>
    <cellStyle name="Percent 16 2" xfId="13761" xr:uid="{00000000-0005-0000-0000-0000D6350000}"/>
    <cellStyle name="Percent 16 2 2" xfId="13762" xr:uid="{00000000-0005-0000-0000-0000D7350000}"/>
    <cellStyle name="Percent 16 2 2 2" xfId="13763" xr:uid="{00000000-0005-0000-0000-0000D8350000}"/>
    <cellStyle name="Percent 16 2 2 3" xfId="13764" xr:uid="{00000000-0005-0000-0000-0000D9350000}"/>
    <cellStyle name="Percent 16 2 3" xfId="13765" xr:uid="{00000000-0005-0000-0000-0000DA350000}"/>
    <cellStyle name="Percent 16 2 3 2" xfId="13766" xr:uid="{00000000-0005-0000-0000-0000DB350000}"/>
    <cellStyle name="Percent 16 2 3 3" xfId="13767" xr:uid="{00000000-0005-0000-0000-0000DC350000}"/>
    <cellStyle name="Percent 16 2 4" xfId="13768" xr:uid="{00000000-0005-0000-0000-0000DD350000}"/>
    <cellStyle name="Percent 16 2 5" xfId="13769" xr:uid="{00000000-0005-0000-0000-0000DE350000}"/>
    <cellStyle name="Percent 16 2 6" xfId="13770" xr:uid="{00000000-0005-0000-0000-0000DF350000}"/>
    <cellStyle name="Percent 16 3" xfId="13771" xr:uid="{00000000-0005-0000-0000-0000E0350000}"/>
    <cellStyle name="Percent 16 3 10" xfId="13772" xr:uid="{00000000-0005-0000-0000-0000E1350000}"/>
    <cellStyle name="Percent 16 3 10 2" xfId="13773" xr:uid="{00000000-0005-0000-0000-0000E2350000}"/>
    <cellStyle name="Percent 16 3 10 3" xfId="13774" xr:uid="{00000000-0005-0000-0000-0000E3350000}"/>
    <cellStyle name="Percent 16 3 10 4" xfId="13775" xr:uid="{00000000-0005-0000-0000-0000E4350000}"/>
    <cellStyle name="Percent 16 3 11" xfId="13776" xr:uid="{00000000-0005-0000-0000-0000E5350000}"/>
    <cellStyle name="Percent 16 3 11 2" xfId="13777" xr:uid="{00000000-0005-0000-0000-0000E6350000}"/>
    <cellStyle name="Percent 16 3 11 3" xfId="13778" xr:uid="{00000000-0005-0000-0000-0000E7350000}"/>
    <cellStyle name="Percent 16 3 11 4" xfId="13779" xr:uid="{00000000-0005-0000-0000-0000E8350000}"/>
    <cellStyle name="Percent 16 3 12" xfId="13780" xr:uid="{00000000-0005-0000-0000-0000E9350000}"/>
    <cellStyle name="Percent 16 3 12 2" xfId="13781" xr:uid="{00000000-0005-0000-0000-0000EA350000}"/>
    <cellStyle name="Percent 16 3 12 3" xfId="13782" xr:uid="{00000000-0005-0000-0000-0000EB350000}"/>
    <cellStyle name="Percent 16 3 12 4" xfId="13783" xr:uid="{00000000-0005-0000-0000-0000EC350000}"/>
    <cellStyle name="Percent 16 3 13" xfId="13784" xr:uid="{00000000-0005-0000-0000-0000ED350000}"/>
    <cellStyle name="Percent 16 3 13 2" xfId="13785" xr:uid="{00000000-0005-0000-0000-0000EE350000}"/>
    <cellStyle name="Percent 16 3 13 3" xfId="13786" xr:uid="{00000000-0005-0000-0000-0000EF350000}"/>
    <cellStyle name="Percent 16 3 13 4" xfId="13787" xr:uid="{00000000-0005-0000-0000-0000F0350000}"/>
    <cellStyle name="Percent 16 3 14" xfId="13788" xr:uid="{00000000-0005-0000-0000-0000F1350000}"/>
    <cellStyle name="Percent 16 3 14 2" xfId="13789" xr:uid="{00000000-0005-0000-0000-0000F2350000}"/>
    <cellStyle name="Percent 16 3 14 3" xfId="13790" xr:uid="{00000000-0005-0000-0000-0000F3350000}"/>
    <cellStyle name="Percent 16 3 14 4" xfId="13791" xr:uid="{00000000-0005-0000-0000-0000F4350000}"/>
    <cellStyle name="Percent 16 3 15" xfId="13792" xr:uid="{00000000-0005-0000-0000-0000F5350000}"/>
    <cellStyle name="Percent 16 3 15 2" xfId="13793" xr:uid="{00000000-0005-0000-0000-0000F6350000}"/>
    <cellStyle name="Percent 16 3 15 3" xfId="13794" xr:uid="{00000000-0005-0000-0000-0000F7350000}"/>
    <cellStyle name="Percent 16 3 15 4" xfId="13795" xr:uid="{00000000-0005-0000-0000-0000F8350000}"/>
    <cellStyle name="Percent 16 3 16" xfId="13796" xr:uid="{00000000-0005-0000-0000-0000F9350000}"/>
    <cellStyle name="Percent 16 3 16 2" xfId="13797" xr:uid="{00000000-0005-0000-0000-0000FA350000}"/>
    <cellStyle name="Percent 16 3 16 3" xfId="13798" xr:uid="{00000000-0005-0000-0000-0000FB350000}"/>
    <cellStyle name="Percent 16 3 16 4" xfId="13799" xr:uid="{00000000-0005-0000-0000-0000FC350000}"/>
    <cellStyle name="Percent 16 3 17" xfId="13800" xr:uid="{00000000-0005-0000-0000-0000FD350000}"/>
    <cellStyle name="Percent 16 3 17 2" xfId="13801" xr:uid="{00000000-0005-0000-0000-0000FE350000}"/>
    <cellStyle name="Percent 16 3 17 3" xfId="13802" xr:uid="{00000000-0005-0000-0000-0000FF350000}"/>
    <cellStyle name="Percent 16 3 17 4" xfId="13803" xr:uid="{00000000-0005-0000-0000-000000360000}"/>
    <cellStyle name="Percent 16 3 18" xfId="13804" xr:uid="{00000000-0005-0000-0000-000001360000}"/>
    <cellStyle name="Percent 16 3 18 2" xfId="13805" xr:uid="{00000000-0005-0000-0000-000002360000}"/>
    <cellStyle name="Percent 16 3 18 3" xfId="13806" xr:uid="{00000000-0005-0000-0000-000003360000}"/>
    <cellStyle name="Percent 16 3 19" xfId="13807" xr:uid="{00000000-0005-0000-0000-000004360000}"/>
    <cellStyle name="Percent 16 3 19 2" xfId="13808" xr:uid="{00000000-0005-0000-0000-000005360000}"/>
    <cellStyle name="Percent 16 3 19 3" xfId="13809" xr:uid="{00000000-0005-0000-0000-000006360000}"/>
    <cellStyle name="Percent 16 3 2" xfId="13810" xr:uid="{00000000-0005-0000-0000-000007360000}"/>
    <cellStyle name="Percent 16 3 2 2" xfId="13811" xr:uid="{00000000-0005-0000-0000-000008360000}"/>
    <cellStyle name="Percent 16 3 2 3" xfId="13812" xr:uid="{00000000-0005-0000-0000-000009360000}"/>
    <cellStyle name="Percent 16 3 2 4" xfId="13813" xr:uid="{00000000-0005-0000-0000-00000A360000}"/>
    <cellStyle name="Percent 16 3 20" xfId="13814" xr:uid="{00000000-0005-0000-0000-00000B360000}"/>
    <cellStyle name="Percent 16 3 21" xfId="13815" xr:uid="{00000000-0005-0000-0000-00000C360000}"/>
    <cellStyle name="Percent 16 3 22" xfId="13816" xr:uid="{00000000-0005-0000-0000-00000D360000}"/>
    <cellStyle name="Percent 16 3 3" xfId="13817" xr:uid="{00000000-0005-0000-0000-00000E360000}"/>
    <cellStyle name="Percent 16 3 3 2" xfId="13818" xr:uid="{00000000-0005-0000-0000-00000F360000}"/>
    <cellStyle name="Percent 16 3 3 3" xfId="13819" xr:uid="{00000000-0005-0000-0000-000010360000}"/>
    <cellStyle name="Percent 16 3 3 4" xfId="13820" xr:uid="{00000000-0005-0000-0000-000011360000}"/>
    <cellStyle name="Percent 16 3 4" xfId="13821" xr:uid="{00000000-0005-0000-0000-000012360000}"/>
    <cellStyle name="Percent 16 3 4 2" xfId="13822" xr:uid="{00000000-0005-0000-0000-000013360000}"/>
    <cellStyle name="Percent 16 3 4 3" xfId="13823" xr:uid="{00000000-0005-0000-0000-000014360000}"/>
    <cellStyle name="Percent 16 3 4 4" xfId="13824" xr:uid="{00000000-0005-0000-0000-000015360000}"/>
    <cellStyle name="Percent 16 3 5" xfId="13825" xr:uid="{00000000-0005-0000-0000-000016360000}"/>
    <cellStyle name="Percent 16 3 5 2" xfId="13826" xr:uid="{00000000-0005-0000-0000-000017360000}"/>
    <cellStyle name="Percent 16 3 5 3" xfId="13827" xr:uid="{00000000-0005-0000-0000-000018360000}"/>
    <cellStyle name="Percent 16 3 5 4" xfId="13828" xr:uid="{00000000-0005-0000-0000-000019360000}"/>
    <cellStyle name="Percent 16 3 6" xfId="13829" xr:uid="{00000000-0005-0000-0000-00001A360000}"/>
    <cellStyle name="Percent 16 3 6 2" xfId="13830" xr:uid="{00000000-0005-0000-0000-00001B360000}"/>
    <cellStyle name="Percent 16 3 6 3" xfId="13831" xr:uid="{00000000-0005-0000-0000-00001C360000}"/>
    <cellStyle name="Percent 16 3 6 4" xfId="13832" xr:uid="{00000000-0005-0000-0000-00001D360000}"/>
    <cellStyle name="Percent 16 3 7" xfId="13833" xr:uid="{00000000-0005-0000-0000-00001E360000}"/>
    <cellStyle name="Percent 16 3 7 2" xfId="13834" xr:uid="{00000000-0005-0000-0000-00001F360000}"/>
    <cellStyle name="Percent 16 3 7 3" xfId="13835" xr:uid="{00000000-0005-0000-0000-000020360000}"/>
    <cellStyle name="Percent 16 3 7 4" xfId="13836" xr:uid="{00000000-0005-0000-0000-000021360000}"/>
    <cellStyle name="Percent 16 3 8" xfId="13837" xr:uid="{00000000-0005-0000-0000-000022360000}"/>
    <cellStyle name="Percent 16 3 8 2" xfId="13838" xr:uid="{00000000-0005-0000-0000-000023360000}"/>
    <cellStyle name="Percent 16 3 8 3" xfId="13839" xr:uid="{00000000-0005-0000-0000-000024360000}"/>
    <cellStyle name="Percent 16 3 8 4" xfId="13840" xr:uid="{00000000-0005-0000-0000-000025360000}"/>
    <cellStyle name="Percent 16 3 9" xfId="13841" xr:uid="{00000000-0005-0000-0000-000026360000}"/>
    <cellStyle name="Percent 16 3 9 2" xfId="13842" xr:uid="{00000000-0005-0000-0000-000027360000}"/>
    <cellStyle name="Percent 16 3 9 3" xfId="13843" xr:uid="{00000000-0005-0000-0000-000028360000}"/>
    <cellStyle name="Percent 16 3 9 4" xfId="13844" xr:uid="{00000000-0005-0000-0000-000029360000}"/>
    <cellStyle name="Percent 16 4" xfId="13845" xr:uid="{00000000-0005-0000-0000-00002A360000}"/>
    <cellStyle name="Percent 16 4 10" xfId="13846" xr:uid="{00000000-0005-0000-0000-00002B360000}"/>
    <cellStyle name="Percent 16 4 10 2" xfId="13847" xr:uid="{00000000-0005-0000-0000-00002C360000}"/>
    <cellStyle name="Percent 16 4 10 3" xfId="13848" xr:uid="{00000000-0005-0000-0000-00002D360000}"/>
    <cellStyle name="Percent 16 4 10 4" xfId="13849" xr:uid="{00000000-0005-0000-0000-00002E360000}"/>
    <cellStyle name="Percent 16 4 11" xfId="13850" xr:uid="{00000000-0005-0000-0000-00002F360000}"/>
    <cellStyle name="Percent 16 4 11 2" xfId="13851" xr:uid="{00000000-0005-0000-0000-000030360000}"/>
    <cellStyle name="Percent 16 4 11 3" xfId="13852" xr:uid="{00000000-0005-0000-0000-000031360000}"/>
    <cellStyle name="Percent 16 4 11 4" xfId="13853" xr:uid="{00000000-0005-0000-0000-000032360000}"/>
    <cellStyle name="Percent 16 4 12" xfId="13854" xr:uid="{00000000-0005-0000-0000-000033360000}"/>
    <cellStyle name="Percent 16 4 12 2" xfId="13855" xr:uid="{00000000-0005-0000-0000-000034360000}"/>
    <cellStyle name="Percent 16 4 12 3" xfId="13856" xr:uid="{00000000-0005-0000-0000-000035360000}"/>
    <cellStyle name="Percent 16 4 12 4" xfId="13857" xr:uid="{00000000-0005-0000-0000-000036360000}"/>
    <cellStyle name="Percent 16 4 13" xfId="13858" xr:uid="{00000000-0005-0000-0000-000037360000}"/>
    <cellStyle name="Percent 16 4 13 2" xfId="13859" xr:uid="{00000000-0005-0000-0000-000038360000}"/>
    <cellStyle name="Percent 16 4 13 3" xfId="13860" xr:uid="{00000000-0005-0000-0000-000039360000}"/>
    <cellStyle name="Percent 16 4 13 4" xfId="13861" xr:uid="{00000000-0005-0000-0000-00003A360000}"/>
    <cellStyle name="Percent 16 4 14" xfId="13862" xr:uid="{00000000-0005-0000-0000-00003B360000}"/>
    <cellStyle name="Percent 16 4 14 2" xfId="13863" xr:uid="{00000000-0005-0000-0000-00003C360000}"/>
    <cellStyle name="Percent 16 4 14 3" xfId="13864" xr:uid="{00000000-0005-0000-0000-00003D360000}"/>
    <cellStyle name="Percent 16 4 14 4" xfId="13865" xr:uid="{00000000-0005-0000-0000-00003E360000}"/>
    <cellStyle name="Percent 16 4 15" xfId="13866" xr:uid="{00000000-0005-0000-0000-00003F360000}"/>
    <cellStyle name="Percent 16 4 15 2" xfId="13867" xr:uid="{00000000-0005-0000-0000-000040360000}"/>
    <cellStyle name="Percent 16 4 15 3" xfId="13868" xr:uid="{00000000-0005-0000-0000-000041360000}"/>
    <cellStyle name="Percent 16 4 15 4" xfId="13869" xr:uid="{00000000-0005-0000-0000-000042360000}"/>
    <cellStyle name="Percent 16 4 16" xfId="13870" xr:uid="{00000000-0005-0000-0000-000043360000}"/>
    <cellStyle name="Percent 16 4 16 2" xfId="13871" xr:uid="{00000000-0005-0000-0000-000044360000}"/>
    <cellStyle name="Percent 16 4 16 3" xfId="13872" xr:uid="{00000000-0005-0000-0000-000045360000}"/>
    <cellStyle name="Percent 16 4 16 4" xfId="13873" xr:uid="{00000000-0005-0000-0000-000046360000}"/>
    <cellStyle name="Percent 16 4 17" xfId="13874" xr:uid="{00000000-0005-0000-0000-000047360000}"/>
    <cellStyle name="Percent 16 4 17 2" xfId="13875" xr:uid="{00000000-0005-0000-0000-000048360000}"/>
    <cellStyle name="Percent 16 4 17 3" xfId="13876" xr:uid="{00000000-0005-0000-0000-000049360000}"/>
    <cellStyle name="Percent 16 4 17 4" xfId="13877" xr:uid="{00000000-0005-0000-0000-00004A360000}"/>
    <cellStyle name="Percent 16 4 18" xfId="13878" xr:uid="{00000000-0005-0000-0000-00004B360000}"/>
    <cellStyle name="Percent 16 4 18 2" xfId="13879" xr:uid="{00000000-0005-0000-0000-00004C360000}"/>
    <cellStyle name="Percent 16 4 18 3" xfId="13880" xr:uid="{00000000-0005-0000-0000-00004D360000}"/>
    <cellStyle name="Percent 16 4 19" xfId="13881" xr:uid="{00000000-0005-0000-0000-00004E360000}"/>
    <cellStyle name="Percent 16 4 19 2" xfId="13882" xr:uid="{00000000-0005-0000-0000-00004F360000}"/>
    <cellStyle name="Percent 16 4 19 3" xfId="13883" xr:uid="{00000000-0005-0000-0000-000050360000}"/>
    <cellStyle name="Percent 16 4 2" xfId="13884" xr:uid="{00000000-0005-0000-0000-000051360000}"/>
    <cellStyle name="Percent 16 4 2 2" xfId="13885" xr:uid="{00000000-0005-0000-0000-000052360000}"/>
    <cellStyle name="Percent 16 4 2 3" xfId="13886" xr:uid="{00000000-0005-0000-0000-000053360000}"/>
    <cellStyle name="Percent 16 4 2 4" xfId="13887" xr:uid="{00000000-0005-0000-0000-000054360000}"/>
    <cellStyle name="Percent 16 4 20" xfId="13888" xr:uid="{00000000-0005-0000-0000-000055360000}"/>
    <cellStyle name="Percent 16 4 21" xfId="13889" xr:uid="{00000000-0005-0000-0000-000056360000}"/>
    <cellStyle name="Percent 16 4 22" xfId="13890" xr:uid="{00000000-0005-0000-0000-000057360000}"/>
    <cellStyle name="Percent 16 4 3" xfId="13891" xr:uid="{00000000-0005-0000-0000-000058360000}"/>
    <cellStyle name="Percent 16 4 3 2" xfId="13892" xr:uid="{00000000-0005-0000-0000-000059360000}"/>
    <cellStyle name="Percent 16 4 3 3" xfId="13893" xr:uid="{00000000-0005-0000-0000-00005A360000}"/>
    <cellStyle name="Percent 16 4 3 4" xfId="13894" xr:uid="{00000000-0005-0000-0000-00005B360000}"/>
    <cellStyle name="Percent 16 4 4" xfId="13895" xr:uid="{00000000-0005-0000-0000-00005C360000}"/>
    <cellStyle name="Percent 16 4 4 2" xfId="13896" xr:uid="{00000000-0005-0000-0000-00005D360000}"/>
    <cellStyle name="Percent 16 4 4 3" xfId="13897" xr:uid="{00000000-0005-0000-0000-00005E360000}"/>
    <cellStyle name="Percent 16 4 4 4" xfId="13898" xr:uid="{00000000-0005-0000-0000-00005F360000}"/>
    <cellStyle name="Percent 16 4 5" xfId="13899" xr:uid="{00000000-0005-0000-0000-000060360000}"/>
    <cellStyle name="Percent 16 4 5 2" xfId="13900" xr:uid="{00000000-0005-0000-0000-000061360000}"/>
    <cellStyle name="Percent 16 4 5 3" xfId="13901" xr:uid="{00000000-0005-0000-0000-000062360000}"/>
    <cellStyle name="Percent 16 4 5 4" xfId="13902" xr:uid="{00000000-0005-0000-0000-000063360000}"/>
    <cellStyle name="Percent 16 4 6" xfId="13903" xr:uid="{00000000-0005-0000-0000-000064360000}"/>
    <cellStyle name="Percent 16 4 6 2" xfId="13904" xr:uid="{00000000-0005-0000-0000-000065360000}"/>
    <cellStyle name="Percent 16 4 6 3" xfId="13905" xr:uid="{00000000-0005-0000-0000-000066360000}"/>
    <cellStyle name="Percent 16 4 6 4" xfId="13906" xr:uid="{00000000-0005-0000-0000-000067360000}"/>
    <cellStyle name="Percent 16 4 7" xfId="13907" xr:uid="{00000000-0005-0000-0000-000068360000}"/>
    <cellStyle name="Percent 16 4 7 2" xfId="13908" xr:uid="{00000000-0005-0000-0000-000069360000}"/>
    <cellStyle name="Percent 16 4 7 3" xfId="13909" xr:uid="{00000000-0005-0000-0000-00006A360000}"/>
    <cellStyle name="Percent 16 4 7 4" xfId="13910" xr:uid="{00000000-0005-0000-0000-00006B360000}"/>
    <cellStyle name="Percent 16 4 8" xfId="13911" xr:uid="{00000000-0005-0000-0000-00006C360000}"/>
    <cellStyle name="Percent 16 4 8 2" xfId="13912" xr:uid="{00000000-0005-0000-0000-00006D360000}"/>
    <cellStyle name="Percent 16 4 8 3" xfId="13913" xr:uid="{00000000-0005-0000-0000-00006E360000}"/>
    <cellStyle name="Percent 16 4 8 4" xfId="13914" xr:uid="{00000000-0005-0000-0000-00006F360000}"/>
    <cellStyle name="Percent 16 4 9" xfId="13915" xr:uid="{00000000-0005-0000-0000-000070360000}"/>
    <cellStyle name="Percent 16 4 9 2" xfId="13916" xr:uid="{00000000-0005-0000-0000-000071360000}"/>
    <cellStyle name="Percent 16 4 9 3" xfId="13917" xr:uid="{00000000-0005-0000-0000-000072360000}"/>
    <cellStyle name="Percent 16 4 9 4" xfId="13918" xr:uid="{00000000-0005-0000-0000-000073360000}"/>
    <cellStyle name="Percent 16 5" xfId="13919" xr:uid="{00000000-0005-0000-0000-000074360000}"/>
    <cellStyle name="Percent 16 5 10" xfId="13920" xr:uid="{00000000-0005-0000-0000-000075360000}"/>
    <cellStyle name="Percent 16 5 10 2" xfId="13921" xr:uid="{00000000-0005-0000-0000-000076360000}"/>
    <cellStyle name="Percent 16 5 10 3" xfId="13922" xr:uid="{00000000-0005-0000-0000-000077360000}"/>
    <cellStyle name="Percent 16 5 10 4" xfId="13923" xr:uid="{00000000-0005-0000-0000-000078360000}"/>
    <cellStyle name="Percent 16 5 11" xfId="13924" xr:uid="{00000000-0005-0000-0000-000079360000}"/>
    <cellStyle name="Percent 16 5 11 2" xfId="13925" xr:uid="{00000000-0005-0000-0000-00007A360000}"/>
    <cellStyle name="Percent 16 5 11 3" xfId="13926" xr:uid="{00000000-0005-0000-0000-00007B360000}"/>
    <cellStyle name="Percent 16 5 11 4" xfId="13927" xr:uid="{00000000-0005-0000-0000-00007C360000}"/>
    <cellStyle name="Percent 16 5 12" xfId="13928" xr:uid="{00000000-0005-0000-0000-00007D360000}"/>
    <cellStyle name="Percent 16 5 12 2" xfId="13929" xr:uid="{00000000-0005-0000-0000-00007E360000}"/>
    <cellStyle name="Percent 16 5 12 3" xfId="13930" xr:uid="{00000000-0005-0000-0000-00007F360000}"/>
    <cellStyle name="Percent 16 5 12 4" xfId="13931" xr:uid="{00000000-0005-0000-0000-000080360000}"/>
    <cellStyle name="Percent 16 5 13" xfId="13932" xr:uid="{00000000-0005-0000-0000-000081360000}"/>
    <cellStyle name="Percent 16 5 13 2" xfId="13933" xr:uid="{00000000-0005-0000-0000-000082360000}"/>
    <cellStyle name="Percent 16 5 13 3" xfId="13934" xr:uid="{00000000-0005-0000-0000-000083360000}"/>
    <cellStyle name="Percent 16 5 13 4" xfId="13935" xr:uid="{00000000-0005-0000-0000-000084360000}"/>
    <cellStyle name="Percent 16 5 14" xfId="13936" xr:uid="{00000000-0005-0000-0000-000085360000}"/>
    <cellStyle name="Percent 16 5 14 2" xfId="13937" xr:uid="{00000000-0005-0000-0000-000086360000}"/>
    <cellStyle name="Percent 16 5 14 3" xfId="13938" xr:uid="{00000000-0005-0000-0000-000087360000}"/>
    <cellStyle name="Percent 16 5 14 4" xfId="13939" xr:uid="{00000000-0005-0000-0000-000088360000}"/>
    <cellStyle name="Percent 16 5 15" xfId="13940" xr:uid="{00000000-0005-0000-0000-000089360000}"/>
    <cellStyle name="Percent 16 5 15 2" xfId="13941" xr:uid="{00000000-0005-0000-0000-00008A360000}"/>
    <cellStyle name="Percent 16 5 15 3" xfId="13942" xr:uid="{00000000-0005-0000-0000-00008B360000}"/>
    <cellStyle name="Percent 16 5 15 4" xfId="13943" xr:uid="{00000000-0005-0000-0000-00008C360000}"/>
    <cellStyle name="Percent 16 5 16" xfId="13944" xr:uid="{00000000-0005-0000-0000-00008D360000}"/>
    <cellStyle name="Percent 16 5 16 2" xfId="13945" xr:uid="{00000000-0005-0000-0000-00008E360000}"/>
    <cellStyle name="Percent 16 5 16 3" xfId="13946" xr:uid="{00000000-0005-0000-0000-00008F360000}"/>
    <cellStyle name="Percent 16 5 16 4" xfId="13947" xr:uid="{00000000-0005-0000-0000-000090360000}"/>
    <cellStyle name="Percent 16 5 17" xfId="13948" xr:uid="{00000000-0005-0000-0000-000091360000}"/>
    <cellStyle name="Percent 16 5 17 2" xfId="13949" xr:uid="{00000000-0005-0000-0000-000092360000}"/>
    <cellStyle name="Percent 16 5 17 3" xfId="13950" xr:uid="{00000000-0005-0000-0000-000093360000}"/>
    <cellStyle name="Percent 16 5 17 4" xfId="13951" xr:uid="{00000000-0005-0000-0000-000094360000}"/>
    <cellStyle name="Percent 16 5 18" xfId="13952" xr:uid="{00000000-0005-0000-0000-000095360000}"/>
    <cellStyle name="Percent 16 5 18 2" xfId="13953" xr:uid="{00000000-0005-0000-0000-000096360000}"/>
    <cellStyle name="Percent 16 5 18 3" xfId="13954" xr:uid="{00000000-0005-0000-0000-000097360000}"/>
    <cellStyle name="Percent 16 5 19" xfId="13955" xr:uid="{00000000-0005-0000-0000-000098360000}"/>
    <cellStyle name="Percent 16 5 19 2" xfId="13956" xr:uid="{00000000-0005-0000-0000-000099360000}"/>
    <cellStyle name="Percent 16 5 19 3" xfId="13957" xr:uid="{00000000-0005-0000-0000-00009A360000}"/>
    <cellStyle name="Percent 16 5 2" xfId="13958" xr:uid="{00000000-0005-0000-0000-00009B360000}"/>
    <cellStyle name="Percent 16 5 2 2" xfId="13959" xr:uid="{00000000-0005-0000-0000-00009C360000}"/>
    <cellStyle name="Percent 16 5 2 3" xfId="13960" xr:uid="{00000000-0005-0000-0000-00009D360000}"/>
    <cellStyle name="Percent 16 5 2 4" xfId="13961" xr:uid="{00000000-0005-0000-0000-00009E360000}"/>
    <cellStyle name="Percent 16 5 20" xfId="13962" xr:uid="{00000000-0005-0000-0000-00009F360000}"/>
    <cellStyle name="Percent 16 5 21" xfId="13963" xr:uid="{00000000-0005-0000-0000-0000A0360000}"/>
    <cellStyle name="Percent 16 5 22" xfId="13964" xr:uid="{00000000-0005-0000-0000-0000A1360000}"/>
    <cellStyle name="Percent 16 5 3" xfId="13965" xr:uid="{00000000-0005-0000-0000-0000A2360000}"/>
    <cellStyle name="Percent 16 5 3 2" xfId="13966" xr:uid="{00000000-0005-0000-0000-0000A3360000}"/>
    <cellStyle name="Percent 16 5 3 3" xfId="13967" xr:uid="{00000000-0005-0000-0000-0000A4360000}"/>
    <cellStyle name="Percent 16 5 3 4" xfId="13968" xr:uid="{00000000-0005-0000-0000-0000A5360000}"/>
    <cellStyle name="Percent 16 5 4" xfId="13969" xr:uid="{00000000-0005-0000-0000-0000A6360000}"/>
    <cellStyle name="Percent 16 5 4 2" xfId="13970" xr:uid="{00000000-0005-0000-0000-0000A7360000}"/>
    <cellStyle name="Percent 16 5 4 3" xfId="13971" xr:uid="{00000000-0005-0000-0000-0000A8360000}"/>
    <cellStyle name="Percent 16 5 4 4" xfId="13972" xr:uid="{00000000-0005-0000-0000-0000A9360000}"/>
    <cellStyle name="Percent 16 5 5" xfId="13973" xr:uid="{00000000-0005-0000-0000-0000AA360000}"/>
    <cellStyle name="Percent 16 5 5 2" xfId="13974" xr:uid="{00000000-0005-0000-0000-0000AB360000}"/>
    <cellStyle name="Percent 16 5 5 3" xfId="13975" xr:uid="{00000000-0005-0000-0000-0000AC360000}"/>
    <cellStyle name="Percent 16 5 5 4" xfId="13976" xr:uid="{00000000-0005-0000-0000-0000AD360000}"/>
    <cellStyle name="Percent 16 5 6" xfId="13977" xr:uid="{00000000-0005-0000-0000-0000AE360000}"/>
    <cellStyle name="Percent 16 5 6 2" xfId="13978" xr:uid="{00000000-0005-0000-0000-0000AF360000}"/>
    <cellStyle name="Percent 16 5 6 3" xfId="13979" xr:uid="{00000000-0005-0000-0000-0000B0360000}"/>
    <cellStyle name="Percent 16 5 6 4" xfId="13980" xr:uid="{00000000-0005-0000-0000-0000B1360000}"/>
    <cellStyle name="Percent 16 5 7" xfId="13981" xr:uid="{00000000-0005-0000-0000-0000B2360000}"/>
    <cellStyle name="Percent 16 5 7 2" xfId="13982" xr:uid="{00000000-0005-0000-0000-0000B3360000}"/>
    <cellStyle name="Percent 16 5 7 3" xfId="13983" xr:uid="{00000000-0005-0000-0000-0000B4360000}"/>
    <cellStyle name="Percent 16 5 7 4" xfId="13984" xr:uid="{00000000-0005-0000-0000-0000B5360000}"/>
    <cellStyle name="Percent 16 5 8" xfId="13985" xr:uid="{00000000-0005-0000-0000-0000B6360000}"/>
    <cellStyle name="Percent 16 5 8 2" xfId="13986" xr:uid="{00000000-0005-0000-0000-0000B7360000}"/>
    <cellStyle name="Percent 16 5 8 3" xfId="13987" xr:uid="{00000000-0005-0000-0000-0000B8360000}"/>
    <cellStyle name="Percent 16 5 8 4" xfId="13988" xr:uid="{00000000-0005-0000-0000-0000B9360000}"/>
    <cellStyle name="Percent 16 5 9" xfId="13989" xr:uid="{00000000-0005-0000-0000-0000BA360000}"/>
    <cellStyle name="Percent 16 5 9 2" xfId="13990" xr:uid="{00000000-0005-0000-0000-0000BB360000}"/>
    <cellStyle name="Percent 16 5 9 3" xfId="13991" xr:uid="{00000000-0005-0000-0000-0000BC360000}"/>
    <cellStyle name="Percent 16 5 9 4" xfId="13992" xr:uid="{00000000-0005-0000-0000-0000BD360000}"/>
    <cellStyle name="Percent 16 6" xfId="13993" xr:uid="{00000000-0005-0000-0000-0000BE360000}"/>
    <cellStyle name="Percent 16 6 10" xfId="13994" xr:uid="{00000000-0005-0000-0000-0000BF360000}"/>
    <cellStyle name="Percent 16 6 10 2" xfId="13995" xr:uid="{00000000-0005-0000-0000-0000C0360000}"/>
    <cellStyle name="Percent 16 6 10 3" xfId="13996" xr:uid="{00000000-0005-0000-0000-0000C1360000}"/>
    <cellStyle name="Percent 16 6 10 4" xfId="13997" xr:uid="{00000000-0005-0000-0000-0000C2360000}"/>
    <cellStyle name="Percent 16 6 11" xfId="13998" xr:uid="{00000000-0005-0000-0000-0000C3360000}"/>
    <cellStyle name="Percent 16 6 11 2" xfId="13999" xr:uid="{00000000-0005-0000-0000-0000C4360000}"/>
    <cellStyle name="Percent 16 6 11 3" xfId="14000" xr:uid="{00000000-0005-0000-0000-0000C5360000}"/>
    <cellStyle name="Percent 16 6 11 4" xfId="14001" xr:uid="{00000000-0005-0000-0000-0000C6360000}"/>
    <cellStyle name="Percent 16 6 12" xfId="14002" xr:uid="{00000000-0005-0000-0000-0000C7360000}"/>
    <cellStyle name="Percent 16 6 12 2" xfId="14003" xr:uid="{00000000-0005-0000-0000-0000C8360000}"/>
    <cellStyle name="Percent 16 6 12 3" xfId="14004" xr:uid="{00000000-0005-0000-0000-0000C9360000}"/>
    <cellStyle name="Percent 16 6 12 4" xfId="14005" xr:uid="{00000000-0005-0000-0000-0000CA360000}"/>
    <cellStyle name="Percent 16 6 13" xfId="14006" xr:uid="{00000000-0005-0000-0000-0000CB360000}"/>
    <cellStyle name="Percent 16 6 13 2" xfId="14007" xr:uid="{00000000-0005-0000-0000-0000CC360000}"/>
    <cellStyle name="Percent 16 6 13 3" xfId="14008" xr:uid="{00000000-0005-0000-0000-0000CD360000}"/>
    <cellStyle name="Percent 16 6 13 4" xfId="14009" xr:uid="{00000000-0005-0000-0000-0000CE360000}"/>
    <cellStyle name="Percent 16 6 14" xfId="14010" xr:uid="{00000000-0005-0000-0000-0000CF360000}"/>
    <cellStyle name="Percent 16 6 14 2" xfId="14011" xr:uid="{00000000-0005-0000-0000-0000D0360000}"/>
    <cellStyle name="Percent 16 6 14 3" xfId="14012" xr:uid="{00000000-0005-0000-0000-0000D1360000}"/>
    <cellStyle name="Percent 16 6 14 4" xfId="14013" xr:uid="{00000000-0005-0000-0000-0000D2360000}"/>
    <cellStyle name="Percent 16 6 15" xfId="14014" xr:uid="{00000000-0005-0000-0000-0000D3360000}"/>
    <cellStyle name="Percent 16 6 15 2" xfId="14015" xr:uid="{00000000-0005-0000-0000-0000D4360000}"/>
    <cellStyle name="Percent 16 6 15 3" xfId="14016" xr:uid="{00000000-0005-0000-0000-0000D5360000}"/>
    <cellStyle name="Percent 16 6 15 4" xfId="14017" xr:uid="{00000000-0005-0000-0000-0000D6360000}"/>
    <cellStyle name="Percent 16 6 16" xfId="14018" xr:uid="{00000000-0005-0000-0000-0000D7360000}"/>
    <cellStyle name="Percent 16 6 16 2" xfId="14019" xr:uid="{00000000-0005-0000-0000-0000D8360000}"/>
    <cellStyle name="Percent 16 6 16 3" xfId="14020" xr:uid="{00000000-0005-0000-0000-0000D9360000}"/>
    <cellStyle name="Percent 16 6 16 4" xfId="14021" xr:uid="{00000000-0005-0000-0000-0000DA360000}"/>
    <cellStyle name="Percent 16 6 17" xfId="14022" xr:uid="{00000000-0005-0000-0000-0000DB360000}"/>
    <cellStyle name="Percent 16 6 17 2" xfId="14023" xr:uid="{00000000-0005-0000-0000-0000DC360000}"/>
    <cellStyle name="Percent 16 6 17 3" xfId="14024" xr:uid="{00000000-0005-0000-0000-0000DD360000}"/>
    <cellStyle name="Percent 16 6 17 4" xfId="14025" xr:uid="{00000000-0005-0000-0000-0000DE360000}"/>
    <cellStyle name="Percent 16 6 18" xfId="14026" xr:uid="{00000000-0005-0000-0000-0000DF360000}"/>
    <cellStyle name="Percent 16 6 18 2" xfId="14027" xr:uid="{00000000-0005-0000-0000-0000E0360000}"/>
    <cellStyle name="Percent 16 6 18 3" xfId="14028" xr:uid="{00000000-0005-0000-0000-0000E1360000}"/>
    <cellStyle name="Percent 16 6 19" xfId="14029" xr:uid="{00000000-0005-0000-0000-0000E2360000}"/>
    <cellStyle name="Percent 16 6 19 2" xfId="14030" xr:uid="{00000000-0005-0000-0000-0000E3360000}"/>
    <cellStyle name="Percent 16 6 19 3" xfId="14031" xr:uid="{00000000-0005-0000-0000-0000E4360000}"/>
    <cellStyle name="Percent 16 6 2" xfId="14032" xr:uid="{00000000-0005-0000-0000-0000E5360000}"/>
    <cellStyle name="Percent 16 6 2 2" xfId="14033" xr:uid="{00000000-0005-0000-0000-0000E6360000}"/>
    <cellStyle name="Percent 16 6 2 3" xfId="14034" xr:uid="{00000000-0005-0000-0000-0000E7360000}"/>
    <cellStyle name="Percent 16 6 2 4" xfId="14035" xr:uid="{00000000-0005-0000-0000-0000E8360000}"/>
    <cellStyle name="Percent 16 6 20" xfId="14036" xr:uid="{00000000-0005-0000-0000-0000E9360000}"/>
    <cellStyle name="Percent 16 6 21" xfId="14037" xr:uid="{00000000-0005-0000-0000-0000EA360000}"/>
    <cellStyle name="Percent 16 6 22" xfId="14038" xr:uid="{00000000-0005-0000-0000-0000EB360000}"/>
    <cellStyle name="Percent 16 6 3" xfId="14039" xr:uid="{00000000-0005-0000-0000-0000EC360000}"/>
    <cellStyle name="Percent 16 6 3 2" xfId="14040" xr:uid="{00000000-0005-0000-0000-0000ED360000}"/>
    <cellStyle name="Percent 16 6 3 3" xfId="14041" xr:uid="{00000000-0005-0000-0000-0000EE360000}"/>
    <cellStyle name="Percent 16 6 3 4" xfId="14042" xr:uid="{00000000-0005-0000-0000-0000EF360000}"/>
    <cellStyle name="Percent 16 6 4" xfId="14043" xr:uid="{00000000-0005-0000-0000-0000F0360000}"/>
    <cellStyle name="Percent 16 6 4 2" xfId="14044" xr:uid="{00000000-0005-0000-0000-0000F1360000}"/>
    <cellStyle name="Percent 16 6 4 3" xfId="14045" xr:uid="{00000000-0005-0000-0000-0000F2360000}"/>
    <cellStyle name="Percent 16 6 4 4" xfId="14046" xr:uid="{00000000-0005-0000-0000-0000F3360000}"/>
    <cellStyle name="Percent 16 6 5" xfId="14047" xr:uid="{00000000-0005-0000-0000-0000F4360000}"/>
    <cellStyle name="Percent 16 6 5 2" xfId="14048" xr:uid="{00000000-0005-0000-0000-0000F5360000}"/>
    <cellStyle name="Percent 16 6 5 3" xfId="14049" xr:uid="{00000000-0005-0000-0000-0000F6360000}"/>
    <cellStyle name="Percent 16 6 5 4" xfId="14050" xr:uid="{00000000-0005-0000-0000-0000F7360000}"/>
    <cellStyle name="Percent 16 6 6" xfId="14051" xr:uid="{00000000-0005-0000-0000-0000F8360000}"/>
    <cellStyle name="Percent 16 6 6 2" xfId="14052" xr:uid="{00000000-0005-0000-0000-0000F9360000}"/>
    <cellStyle name="Percent 16 6 6 3" xfId="14053" xr:uid="{00000000-0005-0000-0000-0000FA360000}"/>
    <cellStyle name="Percent 16 6 6 4" xfId="14054" xr:uid="{00000000-0005-0000-0000-0000FB360000}"/>
    <cellStyle name="Percent 16 6 7" xfId="14055" xr:uid="{00000000-0005-0000-0000-0000FC360000}"/>
    <cellStyle name="Percent 16 6 7 2" xfId="14056" xr:uid="{00000000-0005-0000-0000-0000FD360000}"/>
    <cellStyle name="Percent 16 6 7 3" xfId="14057" xr:uid="{00000000-0005-0000-0000-0000FE360000}"/>
    <cellStyle name="Percent 16 6 7 4" xfId="14058" xr:uid="{00000000-0005-0000-0000-0000FF360000}"/>
    <cellStyle name="Percent 16 6 8" xfId="14059" xr:uid="{00000000-0005-0000-0000-000000370000}"/>
    <cellStyle name="Percent 16 6 8 2" xfId="14060" xr:uid="{00000000-0005-0000-0000-000001370000}"/>
    <cellStyle name="Percent 16 6 8 3" xfId="14061" xr:uid="{00000000-0005-0000-0000-000002370000}"/>
    <cellStyle name="Percent 16 6 8 4" xfId="14062" xr:uid="{00000000-0005-0000-0000-000003370000}"/>
    <cellStyle name="Percent 16 6 9" xfId="14063" xr:uid="{00000000-0005-0000-0000-000004370000}"/>
    <cellStyle name="Percent 16 6 9 2" xfId="14064" xr:uid="{00000000-0005-0000-0000-000005370000}"/>
    <cellStyle name="Percent 16 6 9 3" xfId="14065" xr:uid="{00000000-0005-0000-0000-000006370000}"/>
    <cellStyle name="Percent 16 6 9 4" xfId="14066" xr:uid="{00000000-0005-0000-0000-000007370000}"/>
    <cellStyle name="Percent 16 7" xfId="14067" xr:uid="{00000000-0005-0000-0000-000008370000}"/>
    <cellStyle name="Percent 16 7 10" xfId="14068" xr:uid="{00000000-0005-0000-0000-000009370000}"/>
    <cellStyle name="Percent 16 7 10 2" xfId="14069" xr:uid="{00000000-0005-0000-0000-00000A370000}"/>
    <cellStyle name="Percent 16 7 10 3" xfId="14070" xr:uid="{00000000-0005-0000-0000-00000B370000}"/>
    <cellStyle name="Percent 16 7 10 4" xfId="14071" xr:uid="{00000000-0005-0000-0000-00000C370000}"/>
    <cellStyle name="Percent 16 7 11" xfId="14072" xr:uid="{00000000-0005-0000-0000-00000D370000}"/>
    <cellStyle name="Percent 16 7 11 2" xfId="14073" xr:uid="{00000000-0005-0000-0000-00000E370000}"/>
    <cellStyle name="Percent 16 7 11 3" xfId="14074" xr:uid="{00000000-0005-0000-0000-00000F370000}"/>
    <cellStyle name="Percent 16 7 11 4" xfId="14075" xr:uid="{00000000-0005-0000-0000-000010370000}"/>
    <cellStyle name="Percent 16 7 12" xfId="14076" xr:uid="{00000000-0005-0000-0000-000011370000}"/>
    <cellStyle name="Percent 16 7 12 2" xfId="14077" xr:uid="{00000000-0005-0000-0000-000012370000}"/>
    <cellStyle name="Percent 16 7 12 3" xfId="14078" xr:uid="{00000000-0005-0000-0000-000013370000}"/>
    <cellStyle name="Percent 16 7 12 4" xfId="14079" xr:uid="{00000000-0005-0000-0000-000014370000}"/>
    <cellStyle name="Percent 16 7 13" xfId="14080" xr:uid="{00000000-0005-0000-0000-000015370000}"/>
    <cellStyle name="Percent 16 7 13 2" xfId="14081" xr:uid="{00000000-0005-0000-0000-000016370000}"/>
    <cellStyle name="Percent 16 7 13 3" xfId="14082" xr:uid="{00000000-0005-0000-0000-000017370000}"/>
    <cellStyle name="Percent 16 7 13 4" xfId="14083" xr:uid="{00000000-0005-0000-0000-000018370000}"/>
    <cellStyle name="Percent 16 7 14" xfId="14084" xr:uid="{00000000-0005-0000-0000-000019370000}"/>
    <cellStyle name="Percent 16 7 14 2" xfId="14085" xr:uid="{00000000-0005-0000-0000-00001A370000}"/>
    <cellStyle name="Percent 16 7 14 3" xfId="14086" xr:uid="{00000000-0005-0000-0000-00001B370000}"/>
    <cellStyle name="Percent 16 7 14 4" xfId="14087" xr:uid="{00000000-0005-0000-0000-00001C370000}"/>
    <cellStyle name="Percent 16 7 15" xfId="14088" xr:uid="{00000000-0005-0000-0000-00001D370000}"/>
    <cellStyle name="Percent 16 7 15 2" xfId="14089" xr:uid="{00000000-0005-0000-0000-00001E370000}"/>
    <cellStyle name="Percent 16 7 15 3" xfId="14090" xr:uid="{00000000-0005-0000-0000-00001F370000}"/>
    <cellStyle name="Percent 16 7 15 4" xfId="14091" xr:uid="{00000000-0005-0000-0000-000020370000}"/>
    <cellStyle name="Percent 16 7 16" xfId="14092" xr:uid="{00000000-0005-0000-0000-000021370000}"/>
    <cellStyle name="Percent 16 7 16 2" xfId="14093" xr:uid="{00000000-0005-0000-0000-000022370000}"/>
    <cellStyle name="Percent 16 7 16 3" xfId="14094" xr:uid="{00000000-0005-0000-0000-000023370000}"/>
    <cellStyle name="Percent 16 7 16 4" xfId="14095" xr:uid="{00000000-0005-0000-0000-000024370000}"/>
    <cellStyle name="Percent 16 7 17" xfId="14096" xr:uid="{00000000-0005-0000-0000-000025370000}"/>
    <cellStyle name="Percent 16 7 17 2" xfId="14097" xr:uid="{00000000-0005-0000-0000-000026370000}"/>
    <cellStyle name="Percent 16 7 17 3" xfId="14098" xr:uid="{00000000-0005-0000-0000-000027370000}"/>
    <cellStyle name="Percent 16 7 17 4" xfId="14099" xr:uid="{00000000-0005-0000-0000-000028370000}"/>
    <cellStyle name="Percent 16 7 18" xfId="14100" xr:uid="{00000000-0005-0000-0000-000029370000}"/>
    <cellStyle name="Percent 16 7 18 2" xfId="14101" xr:uid="{00000000-0005-0000-0000-00002A370000}"/>
    <cellStyle name="Percent 16 7 18 3" xfId="14102" xr:uid="{00000000-0005-0000-0000-00002B370000}"/>
    <cellStyle name="Percent 16 7 19" xfId="14103" xr:uid="{00000000-0005-0000-0000-00002C370000}"/>
    <cellStyle name="Percent 16 7 19 2" xfId="14104" xr:uid="{00000000-0005-0000-0000-00002D370000}"/>
    <cellStyle name="Percent 16 7 19 3" xfId="14105" xr:uid="{00000000-0005-0000-0000-00002E370000}"/>
    <cellStyle name="Percent 16 7 2" xfId="14106" xr:uid="{00000000-0005-0000-0000-00002F370000}"/>
    <cellStyle name="Percent 16 7 2 2" xfId="14107" xr:uid="{00000000-0005-0000-0000-000030370000}"/>
    <cellStyle name="Percent 16 7 2 2 2" xfId="14108" xr:uid="{00000000-0005-0000-0000-000031370000}"/>
    <cellStyle name="Percent 16 7 2 2 3" xfId="14109" xr:uid="{00000000-0005-0000-0000-000032370000}"/>
    <cellStyle name="Percent 16 7 2 3" xfId="14110" xr:uid="{00000000-0005-0000-0000-000033370000}"/>
    <cellStyle name="Percent 16 7 2 3 2" xfId="14111" xr:uid="{00000000-0005-0000-0000-000034370000}"/>
    <cellStyle name="Percent 16 7 2 3 3" xfId="14112" xr:uid="{00000000-0005-0000-0000-000035370000}"/>
    <cellStyle name="Percent 16 7 2 4" xfId="14113" xr:uid="{00000000-0005-0000-0000-000036370000}"/>
    <cellStyle name="Percent 16 7 2 5" xfId="14114" xr:uid="{00000000-0005-0000-0000-000037370000}"/>
    <cellStyle name="Percent 16 7 2 6" xfId="14115" xr:uid="{00000000-0005-0000-0000-000038370000}"/>
    <cellStyle name="Percent 16 7 20" xfId="14116" xr:uid="{00000000-0005-0000-0000-000039370000}"/>
    <cellStyle name="Percent 16 7 21" xfId="14117" xr:uid="{00000000-0005-0000-0000-00003A370000}"/>
    <cellStyle name="Percent 16 7 22" xfId="14118" xr:uid="{00000000-0005-0000-0000-00003B370000}"/>
    <cellStyle name="Percent 16 7 3" xfId="14119" xr:uid="{00000000-0005-0000-0000-00003C370000}"/>
    <cellStyle name="Percent 16 7 3 2" xfId="14120" xr:uid="{00000000-0005-0000-0000-00003D370000}"/>
    <cellStyle name="Percent 16 7 3 2 2" xfId="14121" xr:uid="{00000000-0005-0000-0000-00003E370000}"/>
    <cellStyle name="Percent 16 7 3 2 3" xfId="14122" xr:uid="{00000000-0005-0000-0000-00003F370000}"/>
    <cellStyle name="Percent 16 7 3 3" xfId="14123" xr:uid="{00000000-0005-0000-0000-000040370000}"/>
    <cellStyle name="Percent 16 7 3 3 2" xfId="14124" xr:uid="{00000000-0005-0000-0000-000041370000}"/>
    <cellStyle name="Percent 16 7 3 3 3" xfId="14125" xr:uid="{00000000-0005-0000-0000-000042370000}"/>
    <cellStyle name="Percent 16 7 3 4" xfId="14126" xr:uid="{00000000-0005-0000-0000-000043370000}"/>
    <cellStyle name="Percent 16 7 3 5" xfId="14127" xr:uid="{00000000-0005-0000-0000-000044370000}"/>
    <cellStyle name="Percent 16 7 3 6" xfId="14128" xr:uid="{00000000-0005-0000-0000-000045370000}"/>
    <cellStyle name="Percent 16 7 4" xfId="14129" xr:uid="{00000000-0005-0000-0000-000046370000}"/>
    <cellStyle name="Percent 16 7 4 2" xfId="14130" xr:uid="{00000000-0005-0000-0000-000047370000}"/>
    <cellStyle name="Percent 16 7 4 3" xfId="14131" xr:uid="{00000000-0005-0000-0000-000048370000}"/>
    <cellStyle name="Percent 16 7 4 4" xfId="14132" xr:uid="{00000000-0005-0000-0000-000049370000}"/>
    <cellStyle name="Percent 16 7 5" xfId="14133" xr:uid="{00000000-0005-0000-0000-00004A370000}"/>
    <cellStyle name="Percent 16 7 5 2" xfId="14134" xr:uid="{00000000-0005-0000-0000-00004B370000}"/>
    <cellStyle name="Percent 16 7 5 3" xfId="14135" xr:uid="{00000000-0005-0000-0000-00004C370000}"/>
    <cellStyle name="Percent 16 7 5 4" xfId="14136" xr:uid="{00000000-0005-0000-0000-00004D370000}"/>
    <cellStyle name="Percent 16 7 6" xfId="14137" xr:uid="{00000000-0005-0000-0000-00004E370000}"/>
    <cellStyle name="Percent 16 7 6 2" xfId="14138" xr:uid="{00000000-0005-0000-0000-00004F370000}"/>
    <cellStyle name="Percent 16 7 6 3" xfId="14139" xr:uid="{00000000-0005-0000-0000-000050370000}"/>
    <cellStyle name="Percent 16 7 6 4" xfId="14140" xr:uid="{00000000-0005-0000-0000-000051370000}"/>
    <cellStyle name="Percent 16 7 7" xfId="14141" xr:uid="{00000000-0005-0000-0000-000052370000}"/>
    <cellStyle name="Percent 16 7 7 2" xfId="14142" xr:uid="{00000000-0005-0000-0000-000053370000}"/>
    <cellStyle name="Percent 16 7 7 3" xfId="14143" xr:uid="{00000000-0005-0000-0000-000054370000}"/>
    <cellStyle name="Percent 16 7 7 4" xfId="14144" xr:uid="{00000000-0005-0000-0000-000055370000}"/>
    <cellStyle name="Percent 16 7 8" xfId="14145" xr:uid="{00000000-0005-0000-0000-000056370000}"/>
    <cellStyle name="Percent 16 7 8 2" xfId="14146" xr:uid="{00000000-0005-0000-0000-000057370000}"/>
    <cellStyle name="Percent 16 7 8 3" xfId="14147" xr:uid="{00000000-0005-0000-0000-000058370000}"/>
    <cellStyle name="Percent 16 7 8 4" xfId="14148" xr:uid="{00000000-0005-0000-0000-000059370000}"/>
    <cellStyle name="Percent 16 7 9" xfId="14149" xr:uid="{00000000-0005-0000-0000-00005A370000}"/>
    <cellStyle name="Percent 16 7 9 2" xfId="14150" xr:uid="{00000000-0005-0000-0000-00005B370000}"/>
    <cellStyle name="Percent 16 7 9 3" xfId="14151" xr:uid="{00000000-0005-0000-0000-00005C370000}"/>
    <cellStyle name="Percent 16 7 9 4" xfId="14152" xr:uid="{00000000-0005-0000-0000-00005D370000}"/>
    <cellStyle name="Percent 16 8" xfId="14153" xr:uid="{00000000-0005-0000-0000-00005E370000}"/>
    <cellStyle name="Percent 16 8 10" xfId="14154" xr:uid="{00000000-0005-0000-0000-00005F370000}"/>
    <cellStyle name="Percent 16 8 10 2" xfId="14155" xr:uid="{00000000-0005-0000-0000-000060370000}"/>
    <cellStyle name="Percent 16 8 10 3" xfId="14156" xr:uid="{00000000-0005-0000-0000-000061370000}"/>
    <cellStyle name="Percent 16 8 10 4" xfId="14157" xr:uid="{00000000-0005-0000-0000-000062370000}"/>
    <cellStyle name="Percent 16 8 11" xfId="14158" xr:uid="{00000000-0005-0000-0000-000063370000}"/>
    <cellStyle name="Percent 16 8 11 2" xfId="14159" xr:uid="{00000000-0005-0000-0000-000064370000}"/>
    <cellStyle name="Percent 16 8 11 3" xfId="14160" xr:uid="{00000000-0005-0000-0000-000065370000}"/>
    <cellStyle name="Percent 16 8 11 4" xfId="14161" xr:uid="{00000000-0005-0000-0000-000066370000}"/>
    <cellStyle name="Percent 16 8 12" xfId="14162" xr:uid="{00000000-0005-0000-0000-000067370000}"/>
    <cellStyle name="Percent 16 8 12 2" xfId="14163" xr:uid="{00000000-0005-0000-0000-000068370000}"/>
    <cellStyle name="Percent 16 8 12 3" xfId="14164" xr:uid="{00000000-0005-0000-0000-000069370000}"/>
    <cellStyle name="Percent 16 8 12 4" xfId="14165" xr:uid="{00000000-0005-0000-0000-00006A370000}"/>
    <cellStyle name="Percent 16 8 13" xfId="14166" xr:uid="{00000000-0005-0000-0000-00006B370000}"/>
    <cellStyle name="Percent 16 8 13 2" xfId="14167" xr:uid="{00000000-0005-0000-0000-00006C370000}"/>
    <cellStyle name="Percent 16 8 13 3" xfId="14168" xr:uid="{00000000-0005-0000-0000-00006D370000}"/>
    <cellStyle name="Percent 16 8 13 4" xfId="14169" xr:uid="{00000000-0005-0000-0000-00006E370000}"/>
    <cellStyle name="Percent 16 8 14" xfId="14170" xr:uid="{00000000-0005-0000-0000-00006F370000}"/>
    <cellStyle name="Percent 16 8 14 2" xfId="14171" xr:uid="{00000000-0005-0000-0000-000070370000}"/>
    <cellStyle name="Percent 16 8 14 3" xfId="14172" xr:uid="{00000000-0005-0000-0000-000071370000}"/>
    <cellStyle name="Percent 16 8 14 4" xfId="14173" xr:uid="{00000000-0005-0000-0000-000072370000}"/>
    <cellStyle name="Percent 16 8 15" xfId="14174" xr:uid="{00000000-0005-0000-0000-000073370000}"/>
    <cellStyle name="Percent 16 8 15 2" xfId="14175" xr:uid="{00000000-0005-0000-0000-000074370000}"/>
    <cellStyle name="Percent 16 8 15 3" xfId="14176" xr:uid="{00000000-0005-0000-0000-000075370000}"/>
    <cellStyle name="Percent 16 8 15 4" xfId="14177" xr:uid="{00000000-0005-0000-0000-000076370000}"/>
    <cellStyle name="Percent 16 8 16" xfId="14178" xr:uid="{00000000-0005-0000-0000-000077370000}"/>
    <cellStyle name="Percent 16 8 16 2" xfId="14179" xr:uid="{00000000-0005-0000-0000-000078370000}"/>
    <cellStyle name="Percent 16 8 16 3" xfId="14180" xr:uid="{00000000-0005-0000-0000-000079370000}"/>
    <cellStyle name="Percent 16 8 16 4" xfId="14181" xr:uid="{00000000-0005-0000-0000-00007A370000}"/>
    <cellStyle name="Percent 16 8 17" xfId="14182" xr:uid="{00000000-0005-0000-0000-00007B370000}"/>
    <cellStyle name="Percent 16 8 17 2" xfId="14183" xr:uid="{00000000-0005-0000-0000-00007C370000}"/>
    <cellStyle name="Percent 16 8 17 3" xfId="14184" xr:uid="{00000000-0005-0000-0000-00007D370000}"/>
    <cellStyle name="Percent 16 8 17 4" xfId="14185" xr:uid="{00000000-0005-0000-0000-00007E370000}"/>
    <cellStyle name="Percent 16 8 18" xfId="14186" xr:uid="{00000000-0005-0000-0000-00007F370000}"/>
    <cellStyle name="Percent 16 8 19" xfId="14187" xr:uid="{00000000-0005-0000-0000-000080370000}"/>
    <cellStyle name="Percent 16 8 2" xfId="14188" xr:uid="{00000000-0005-0000-0000-000081370000}"/>
    <cellStyle name="Percent 16 8 2 2" xfId="14189" xr:uid="{00000000-0005-0000-0000-000082370000}"/>
    <cellStyle name="Percent 16 8 2 3" xfId="14190" xr:uid="{00000000-0005-0000-0000-000083370000}"/>
    <cellStyle name="Percent 16 8 2 4" xfId="14191" xr:uid="{00000000-0005-0000-0000-000084370000}"/>
    <cellStyle name="Percent 16 8 20" xfId="14192" xr:uid="{00000000-0005-0000-0000-000085370000}"/>
    <cellStyle name="Percent 16 8 3" xfId="14193" xr:uid="{00000000-0005-0000-0000-000086370000}"/>
    <cellStyle name="Percent 16 8 3 2" xfId="14194" xr:uid="{00000000-0005-0000-0000-000087370000}"/>
    <cellStyle name="Percent 16 8 3 3" xfId="14195" xr:uid="{00000000-0005-0000-0000-000088370000}"/>
    <cellStyle name="Percent 16 8 3 4" xfId="14196" xr:uid="{00000000-0005-0000-0000-000089370000}"/>
    <cellStyle name="Percent 16 8 4" xfId="14197" xr:uid="{00000000-0005-0000-0000-00008A370000}"/>
    <cellStyle name="Percent 16 8 4 2" xfId="14198" xr:uid="{00000000-0005-0000-0000-00008B370000}"/>
    <cellStyle name="Percent 16 8 4 3" xfId="14199" xr:uid="{00000000-0005-0000-0000-00008C370000}"/>
    <cellStyle name="Percent 16 8 4 4" xfId="14200" xr:uid="{00000000-0005-0000-0000-00008D370000}"/>
    <cellStyle name="Percent 16 8 5" xfId="14201" xr:uid="{00000000-0005-0000-0000-00008E370000}"/>
    <cellStyle name="Percent 16 8 5 2" xfId="14202" xr:uid="{00000000-0005-0000-0000-00008F370000}"/>
    <cellStyle name="Percent 16 8 5 3" xfId="14203" xr:uid="{00000000-0005-0000-0000-000090370000}"/>
    <cellStyle name="Percent 16 8 5 4" xfId="14204" xr:uid="{00000000-0005-0000-0000-000091370000}"/>
    <cellStyle name="Percent 16 8 6" xfId="14205" xr:uid="{00000000-0005-0000-0000-000092370000}"/>
    <cellStyle name="Percent 16 8 6 2" xfId="14206" xr:uid="{00000000-0005-0000-0000-000093370000}"/>
    <cellStyle name="Percent 16 8 6 3" xfId="14207" xr:uid="{00000000-0005-0000-0000-000094370000}"/>
    <cellStyle name="Percent 16 8 6 4" xfId="14208" xr:uid="{00000000-0005-0000-0000-000095370000}"/>
    <cellStyle name="Percent 16 8 7" xfId="14209" xr:uid="{00000000-0005-0000-0000-000096370000}"/>
    <cellStyle name="Percent 16 8 7 2" xfId="14210" xr:uid="{00000000-0005-0000-0000-000097370000}"/>
    <cellStyle name="Percent 16 8 7 3" xfId="14211" xr:uid="{00000000-0005-0000-0000-000098370000}"/>
    <cellStyle name="Percent 16 8 7 4" xfId="14212" xr:uid="{00000000-0005-0000-0000-000099370000}"/>
    <cellStyle name="Percent 16 8 8" xfId="14213" xr:uid="{00000000-0005-0000-0000-00009A370000}"/>
    <cellStyle name="Percent 16 8 8 2" xfId="14214" xr:uid="{00000000-0005-0000-0000-00009B370000}"/>
    <cellStyle name="Percent 16 8 8 3" xfId="14215" xr:uid="{00000000-0005-0000-0000-00009C370000}"/>
    <cellStyle name="Percent 16 8 8 4" xfId="14216" xr:uid="{00000000-0005-0000-0000-00009D370000}"/>
    <cellStyle name="Percent 16 8 9" xfId="14217" xr:uid="{00000000-0005-0000-0000-00009E370000}"/>
    <cellStyle name="Percent 16 8 9 2" xfId="14218" xr:uid="{00000000-0005-0000-0000-00009F370000}"/>
    <cellStyle name="Percent 16 8 9 3" xfId="14219" xr:uid="{00000000-0005-0000-0000-0000A0370000}"/>
    <cellStyle name="Percent 16 8 9 4" xfId="14220" xr:uid="{00000000-0005-0000-0000-0000A1370000}"/>
    <cellStyle name="Percent 16 9" xfId="14221" xr:uid="{00000000-0005-0000-0000-0000A2370000}"/>
    <cellStyle name="Percent 16 9 10" xfId="14222" xr:uid="{00000000-0005-0000-0000-0000A3370000}"/>
    <cellStyle name="Percent 16 9 10 2" xfId="14223" xr:uid="{00000000-0005-0000-0000-0000A4370000}"/>
    <cellStyle name="Percent 16 9 10 3" xfId="14224" xr:uid="{00000000-0005-0000-0000-0000A5370000}"/>
    <cellStyle name="Percent 16 9 10 4" xfId="14225" xr:uid="{00000000-0005-0000-0000-0000A6370000}"/>
    <cellStyle name="Percent 16 9 11" xfId="14226" xr:uid="{00000000-0005-0000-0000-0000A7370000}"/>
    <cellStyle name="Percent 16 9 11 2" xfId="14227" xr:uid="{00000000-0005-0000-0000-0000A8370000}"/>
    <cellStyle name="Percent 16 9 11 3" xfId="14228" xr:uid="{00000000-0005-0000-0000-0000A9370000}"/>
    <cellStyle name="Percent 16 9 11 4" xfId="14229" xr:uid="{00000000-0005-0000-0000-0000AA370000}"/>
    <cellStyle name="Percent 16 9 12" xfId="14230" xr:uid="{00000000-0005-0000-0000-0000AB370000}"/>
    <cellStyle name="Percent 16 9 12 2" xfId="14231" xr:uid="{00000000-0005-0000-0000-0000AC370000}"/>
    <cellStyle name="Percent 16 9 12 3" xfId="14232" xr:uid="{00000000-0005-0000-0000-0000AD370000}"/>
    <cellStyle name="Percent 16 9 12 4" xfId="14233" xr:uid="{00000000-0005-0000-0000-0000AE370000}"/>
    <cellStyle name="Percent 16 9 13" xfId="14234" xr:uid="{00000000-0005-0000-0000-0000AF370000}"/>
    <cellStyle name="Percent 16 9 13 2" xfId="14235" xr:uid="{00000000-0005-0000-0000-0000B0370000}"/>
    <cellStyle name="Percent 16 9 13 3" xfId="14236" xr:uid="{00000000-0005-0000-0000-0000B1370000}"/>
    <cellStyle name="Percent 16 9 13 4" xfId="14237" xr:uid="{00000000-0005-0000-0000-0000B2370000}"/>
    <cellStyle name="Percent 16 9 14" xfId="14238" xr:uid="{00000000-0005-0000-0000-0000B3370000}"/>
    <cellStyle name="Percent 16 9 14 2" xfId="14239" xr:uid="{00000000-0005-0000-0000-0000B4370000}"/>
    <cellStyle name="Percent 16 9 14 3" xfId="14240" xr:uid="{00000000-0005-0000-0000-0000B5370000}"/>
    <cellStyle name="Percent 16 9 14 4" xfId="14241" xr:uid="{00000000-0005-0000-0000-0000B6370000}"/>
    <cellStyle name="Percent 16 9 15" xfId="14242" xr:uid="{00000000-0005-0000-0000-0000B7370000}"/>
    <cellStyle name="Percent 16 9 15 2" xfId="14243" xr:uid="{00000000-0005-0000-0000-0000B8370000}"/>
    <cellStyle name="Percent 16 9 15 3" xfId="14244" xr:uid="{00000000-0005-0000-0000-0000B9370000}"/>
    <cellStyle name="Percent 16 9 15 4" xfId="14245" xr:uid="{00000000-0005-0000-0000-0000BA370000}"/>
    <cellStyle name="Percent 16 9 16" xfId="14246" xr:uid="{00000000-0005-0000-0000-0000BB370000}"/>
    <cellStyle name="Percent 16 9 16 2" xfId="14247" xr:uid="{00000000-0005-0000-0000-0000BC370000}"/>
    <cellStyle name="Percent 16 9 16 3" xfId="14248" xr:uid="{00000000-0005-0000-0000-0000BD370000}"/>
    <cellStyle name="Percent 16 9 16 4" xfId="14249" xr:uid="{00000000-0005-0000-0000-0000BE370000}"/>
    <cellStyle name="Percent 16 9 17" xfId="14250" xr:uid="{00000000-0005-0000-0000-0000BF370000}"/>
    <cellStyle name="Percent 16 9 17 2" xfId="14251" xr:uid="{00000000-0005-0000-0000-0000C0370000}"/>
    <cellStyle name="Percent 16 9 17 3" xfId="14252" xr:uid="{00000000-0005-0000-0000-0000C1370000}"/>
    <cellStyle name="Percent 16 9 17 4" xfId="14253" xr:uid="{00000000-0005-0000-0000-0000C2370000}"/>
    <cellStyle name="Percent 16 9 18" xfId="14254" xr:uid="{00000000-0005-0000-0000-0000C3370000}"/>
    <cellStyle name="Percent 16 9 19" xfId="14255" xr:uid="{00000000-0005-0000-0000-0000C4370000}"/>
    <cellStyle name="Percent 16 9 2" xfId="14256" xr:uid="{00000000-0005-0000-0000-0000C5370000}"/>
    <cellStyle name="Percent 16 9 2 2" xfId="14257" xr:uid="{00000000-0005-0000-0000-0000C6370000}"/>
    <cellStyle name="Percent 16 9 2 3" xfId="14258" xr:uid="{00000000-0005-0000-0000-0000C7370000}"/>
    <cellStyle name="Percent 16 9 2 4" xfId="14259" xr:uid="{00000000-0005-0000-0000-0000C8370000}"/>
    <cellStyle name="Percent 16 9 20" xfId="14260" xr:uid="{00000000-0005-0000-0000-0000C9370000}"/>
    <cellStyle name="Percent 16 9 3" xfId="14261" xr:uid="{00000000-0005-0000-0000-0000CA370000}"/>
    <cellStyle name="Percent 16 9 3 2" xfId="14262" xr:uid="{00000000-0005-0000-0000-0000CB370000}"/>
    <cellStyle name="Percent 16 9 3 3" xfId="14263" xr:uid="{00000000-0005-0000-0000-0000CC370000}"/>
    <cellStyle name="Percent 16 9 3 4" xfId="14264" xr:uid="{00000000-0005-0000-0000-0000CD370000}"/>
    <cellStyle name="Percent 16 9 4" xfId="14265" xr:uid="{00000000-0005-0000-0000-0000CE370000}"/>
    <cellStyle name="Percent 16 9 4 2" xfId="14266" xr:uid="{00000000-0005-0000-0000-0000CF370000}"/>
    <cellStyle name="Percent 16 9 4 3" xfId="14267" xr:uid="{00000000-0005-0000-0000-0000D0370000}"/>
    <cellStyle name="Percent 16 9 4 4" xfId="14268" xr:uid="{00000000-0005-0000-0000-0000D1370000}"/>
    <cellStyle name="Percent 16 9 5" xfId="14269" xr:uid="{00000000-0005-0000-0000-0000D2370000}"/>
    <cellStyle name="Percent 16 9 5 2" xfId="14270" xr:uid="{00000000-0005-0000-0000-0000D3370000}"/>
    <cellStyle name="Percent 16 9 5 3" xfId="14271" xr:uid="{00000000-0005-0000-0000-0000D4370000}"/>
    <cellStyle name="Percent 16 9 5 4" xfId="14272" xr:uid="{00000000-0005-0000-0000-0000D5370000}"/>
    <cellStyle name="Percent 16 9 6" xfId="14273" xr:uid="{00000000-0005-0000-0000-0000D6370000}"/>
    <cellStyle name="Percent 16 9 6 2" xfId="14274" xr:uid="{00000000-0005-0000-0000-0000D7370000}"/>
    <cellStyle name="Percent 16 9 6 3" xfId="14275" xr:uid="{00000000-0005-0000-0000-0000D8370000}"/>
    <cellStyle name="Percent 16 9 6 4" xfId="14276" xr:uid="{00000000-0005-0000-0000-0000D9370000}"/>
    <cellStyle name="Percent 16 9 7" xfId="14277" xr:uid="{00000000-0005-0000-0000-0000DA370000}"/>
    <cellStyle name="Percent 16 9 7 2" xfId="14278" xr:uid="{00000000-0005-0000-0000-0000DB370000}"/>
    <cellStyle name="Percent 16 9 7 3" xfId="14279" xr:uid="{00000000-0005-0000-0000-0000DC370000}"/>
    <cellStyle name="Percent 16 9 7 4" xfId="14280" xr:uid="{00000000-0005-0000-0000-0000DD370000}"/>
    <cellStyle name="Percent 16 9 8" xfId="14281" xr:uid="{00000000-0005-0000-0000-0000DE370000}"/>
    <cellStyle name="Percent 16 9 8 2" xfId="14282" xr:uid="{00000000-0005-0000-0000-0000DF370000}"/>
    <cellStyle name="Percent 16 9 8 3" xfId="14283" xr:uid="{00000000-0005-0000-0000-0000E0370000}"/>
    <cellStyle name="Percent 16 9 8 4" xfId="14284" xr:uid="{00000000-0005-0000-0000-0000E1370000}"/>
    <cellStyle name="Percent 16 9 9" xfId="14285" xr:uid="{00000000-0005-0000-0000-0000E2370000}"/>
    <cellStyle name="Percent 16 9 9 2" xfId="14286" xr:uid="{00000000-0005-0000-0000-0000E3370000}"/>
    <cellStyle name="Percent 16 9 9 3" xfId="14287" xr:uid="{00000000-0005-0000-0000-0000E4370000}"/>
    <cellStyle name="Percent 16 9 9 4" xfId="14288" xr:uid="{00000000-0005-0000-0000-0000E5370000}"/>
    <cellStyle name="Percent 17" xfId="14289" xr:uid="{00000000-0005-0000-0000-0000E6370000}"/>
    <cellStyle name="Percent 17 10" xfId="14290" xr:uid="{00000000-0005-0000-0000-0000E7370000}"/>
    <cellStyle name="Percent 17 10 2" xfId="14291" xr:uid="{00000000-0005-0000-0000-0000E8370000}"/>
    <cellStyle name="Percent 17 10 3" xfId="14292" xr:uid="{00000000-0005-0000-0000-0000E9370000}"/>
    <cellStyle name="Percent 17 11" xfId="14293" xr:uid="{00000000-0005-0000-0000-0000EA370000}"/>
    <cellStyle name="Percent 17 12" xfId="14294" xr:uid="{00000000-0005-0000-0000-0000EB370000}"/>
    <cellStyle name="Percent 17 13" xfId="14295" xr:uid="{00000000-0005-0000-0000-0000EC370000}"/>
    <cellStyle name="Percent 17 2" xfId="14296" xr:uid="{00000000-0005-0000-0000-0000ED370000}"/>
    <cellStyle name="Percent 17 2 2" xfId="14297" xr:uid="{00000000-0005-0000-0000-0000EE370000}"/>
    <cellStyle name="Percent 17 2 3" xfId="14298" xr:uid="{00000000-0005-0000-0000-0000EF370000}"/>
    <cellStyle name="Percent 17 3" xfId="14299" xr:uid="{00000000-0005-0000-0000-0000F0370000}"/>
    <cellStyle name="Percent 17 3 2" xfId="14300" xr:uid="{00000000-0005-0000-0000-0000F1370000}"/>
    <cellStyle name="Percent 17 3 3" xfId="14301" xr:uid="{00000000-0005-0000-0000-0000F2370000}"/>
    <cellStyle name="Percent 17 4" xfId="14302" xr:uid="{00000000-0005-0000-0000-0000F3370000}"/>
    <cellStyle name="Percent 17 4 2" xfId="14303" xr:uid="{00000000-0005-0000-0000-0000F4370000}"/>
    <cellStyle name="Percent 17 4 3" xfId="14304" xr:uid="{00000000-0005-0000-0000-0000F5370000}"/>
    <cellStyle name="Percent 17 5" xfId="14305" xr:uid="{00000000-0005-0000-0000-0000F6370000}"/>
    <cellStyle name="Percent 17 5 2" xfId="14306" xr:uid="{00000000-0005-0000-0000-0000F7370000}"/>
    <cellStyle name="Percent 17 5 3" xfId="14307" xr:uid="{00000000-0005-0000-0000-0000F8370000}"/>
    <cellStyle name="Percent 17 6" xfId="14308" xr:uid="{00000000-0005-0000-0000-0000F9370000}"/>
    <cellStyle name="Percent 17 6 2" xfId="14309" xr:uid="{00000000-0005-0000-0000-0000FA370000}"/>
    <cellStyle name="Percent 17 6 3" xfId="14310" xr:uid="{00000000-0005-0000-0000-0000FB370000}"/>
    <cellStyle name="Percent 17 7" xfId="14311" xr:uid="{00000000-0005-0000-0000-0000FC370000}"/>
    <cellStyle name="Percent 17 7 2" xfId="14312" xr:uid="{00000000-0005-0000-0000-0000FD370000}"/>
    <cellStyle name="Percent 17 7 2 2" xfId="14313" xr:uid="{00000000-0005-0000-0000-0000FE370000}"/>
    <cellStyle name="Percent 17 7 2 3" xfId="14314" xr:uid="{00000000-0005-0000-0000-0000FF370000}"/>
    <cellStyle name="Percent 17 7 3" xfId="14315" xr:uid="{00000000-0005-0000-0000-000000380000}"/>
    <cellStyle name="Percent 17 7 3 2" xfId="14316" xr:uid="{00000000-0005-0000-0000-000001380000}"/>
    <cellStyle name="Percent 17 7 3 3" xfId="14317" xr:uid="{00000000-0005-0000-0000-000002380000}"/>
    <cellStyle name="Percent 17 7 4" xfId="14318" xr:uid="{00000000-0005-0000-0000-000003380000}"/>
    <cellStyle name="Percent 17 7 5" xfId="14319" xr:uid="{00000000-0005-0000-0000-000004380000}"/>
    <cellStyle name="Percent 17 8" xfId="14320" xr:uid="{00000000-0005-0000-0000-000005380000}"/>
    <cellStyle name="Percent 17 8 2" xfId="14321" xr:uid="{00000000-0005-0000-0000-000006380000}"/>
    <cellStyle name="Percent 17 8 2 2" xfId="14322" xr:uid="{00000000-0005-0000-0000-000007380000}"/>
    <cellStyle name="Percent 17 8 2 3" xfId="14323" xr:uid="{00000000-0005-0000-0000-000008380000}"/>
    <cellStyle name="Percent 17 8 3" xfId="14324" xr:uid="{00000000-0005-0000-0000-000009380000}"/>
    <cellStyle name="Percent 17 8 4" xfId="14325" xr:uid="{00000000-0005-0000-0000-00000A380000}"/>
    <cellStyle name="Percent 17 9" xfId="14326" xr:uid="{00000000-0005-0000-0000-00000B380000}"/>
    <cellStyle name="Percent 17 9 2" xfId="14327" xr:uid="{00000000-0005-0000-0000-00000C380000}"/>
    <cellStyle name="Percent 17 9 3" xfId="14328" xr:uid="{00000000-0005-0000-0000-00000D380000}"/>
    <cellStyle name="Percent 18" xfId="14329" xr:uid="{00000000-0005-0000-0000-00000E380000}"/>
    <cellStyle name="Percent 18 2" xfId="14330" xr:uid="{00000000-0005-0000-0000-00000F380000}"/>
    <cellStyle name="Percent 18 3" xfId="14331" xr:uid="{00000000-0005-0000-0000-000010380000}"/>
    <cellStyle name="Percent 19" xfId="14332" xr:uid="{00000000-0005-0000-0000-000011380000}"/>
    <cellStyle name="Percent 19 2" xfId="14333" xr:uid="{00000000-0005-0000-0000-000012380000}"/>
    <cellStyle name="Percent 19 2 2" xfId="14334" xr:uid="{00000000-0005-0000-0000-000013380000}"/>
    <cellStyle name="Percent 19 2 3" xfId="14335" xr:uid="{00000000-0005-0000-0000-000014380000}"/>
    <cellStyle name="Percent 19 3" xfId="14336" xr:uid="{00000000-0005-0000-0000-000015380000}"/>
    <cellStyle name="Percent 19 4" xfId="14337" xr:uid="{00000000-0005-0000-0000-000016380000}"/>
    <cellStyle name="Percent 2" xfId="14338" xr:uid="{00000000-0005-0000-0000-000017380000}"/>
    <cellStyle name="Percent 2 10" xfId="14339" xr:uid="{00000000-0005-0000-0000-000018380000}"/>
    <cellStyle name="Percent 2 10 10" xfId="14340" xr:uid="{00000000-0005-0000-0000-000019380000}"/>
    <cellStyle name="Percent 2 10 11" xfId="14341" xr:uid="{00000000-0005-0000-0000-00001A380000}"/>
    <cellStyle name="Percent 2 10 2" xfId="14342" xr:uid="{00000000-0005-0000-0000-00001B380000}"/>
    <cellStyle name="Percent 2 10 2 2" xfId="14343" xr:uid="{00000000-0005-0000-0000-00001C380000}"/>
    <cellStyle name="Percent 2 10 2 3" xfId="14344" xr:uid="{00000000-0005-0000-0000-00001D380000}"/>
    <cellStyle name="Percent 2 10 2 4" xfId="14345" xr:uid="{00000000-0005-0000-0000-00001E380000}"/>
    <cellStyle name="Percent 2 10 3" xfId="14346" xr:uid="{00000000-0005-0000-0000-00001F380000}"/>
    <cellStyle name="Percent 2 10 3 2" xfId="14347" xr:uid="{00000000-0005-0000-0000-000020380000}"/>
    <cellStyle name="Percent 2 10 3 3" xfId="14348" xr:uid="{00000000-0005-0000-0000-000021380000}"/>
    <cellStyle name="Percent 2 10 3 4" xfId="14349" xr:uid="{00000000-0005-0000-0000-000022380000}"/>
    <cellStyle name="Percent 2 10 4" xfId="14350" xr:uid="{00000000-0005-0000-0000-000023380000}"/>
    <cellStyle name="Percent 2 10 4 2" xfId="14351" xr:uid="{00000000-0005-0000-0000-000024380000}"/>
    <cellStyle name="Percent 2 10 4 3" xfId="14352" xr:uid="{00000000-0005-0000-0000-000025380000}"/>
    <cellStyle name="Percent 2 10 4 4" xfId="14353" xr:uid="{00000000-0005-0000-0000-000026380000}"/>
    <cellStyle name="Percent 2 10 5" xfId="14354" xr:uid="{00000000-0005-0000-0000-000027380000}"/>
    <cellStyle name="Percent 2 10 5 2" xfId="14355" xr:uid="{00000000-0005-0000-0000-000028380000}"/>
    <cellStyle name="Percent 2 10 5 3" xfId="14356" xr:uid="{00000000-0005-0000-0000-000029380000}"/>
    <cellStyle name="Percent 2 10 5 4" xfId="14357" xr:uid="{00000000-0005-0000-0000-00002A380000}"/>
    <cellStyle name="Percent 2 10 6" xfId="14358" xr:uid="{00000000-0005-0000-0000-00002B380000}"/>
    <cellStyle name="Percent 2 10 6 2" xfId="14359" xr:uid="{00000000-0005-0000-0000-00002C380000}"/>
    <cellStyle name="Percent 2 10 6 3" xfId="14360" xr:uid="{00000000-0005-0000-0000-00002D380000}"/>
    <cellStyle name="Percent 2 10 6 4" xfId="14361" xr:uid="{00000000-0005-0000-0000-00002E380000}"/>
    <cellStyle name="Percent 2 10 7" xfId="14362" xr:uid="{00000000-0005-0000-0000-00002F380000}"/>
    <cellStyle name="Percent 2 10 7 2" xfId="14363" xr:uid="{00000000-0005-0000-0000-000030380000}"/>
    <cellStyle name="Percent 2 10 7 3" xfId="14364" xr:uid="{00000000-0005-0000-0000-000031380000}"/>
    <cellStyle name="Percent 2 10 7 4" xfId="14365" xr:uid="{00000000-0005-0000-0000-000032380000}"/>
    <cellStyle name="Percent 2 10 8" xfId="14366" xr:uid="{00000000-0005-0000-0000-000033380000}"/>
    <cellStyle name="Percent 2 10 8 2" xfId="14367" xr:uid="{00000000-0005-0000-0000-000034380000}"/>
    <cellStyle name="Percent 2 10 8 3" xfId="14368" xr:uid="{00000000-0005-0000-0000-000035380000}"/>
    <cellStyle name="Percent 2 10 8 4" xfId="14369" xr:uid="{00000000-0005-0000-0000-000036380000}"/>
    <cellStyle name="Percent 2 10 9" xfId="14370" xr:uid="{00000000-0005-0000-0000-000037380000}"/>
    <cellStyle name="Percent 2 11" xfId="14371" xr:uid="{00000000-0005-0000-0000-000038380000}"/>
    <cellStyle name="Percent 2 11 10" xfId="14372" xr:uid="{00000000-0005-0000-0000-000039380000}"/>
    <cellStyle name="Percent 2 11 11" xfId="14373" xr:uid="{00000000-0005-0000-0000-00003A380000}"/>
    <cellStyle name="Percent 2 11 2" xfId="14374" xr:uid="{00000000-0005-0000-0000-00003B380000}"/>
    <cellStyle name="Percent 2 11 2 2" xfId="14375" xr:uid="{00000000-0005-0000-0000-00003C380000}"/>
    <cellStyle name="Percent 2 11 2 3" xfId="14376" xr:uid="{00000000-0005-0000-0000-00003D380000}"/>
    <cellStyle name="Percent 2 11 2 4" xfId="14377" xr:uid="{00000000-0005-0000-0000-00003E380000}"/>
    <cellStyle name="Percent 2 11 3" xfId="14378" xr:uid="{00000000-0005-0000-0000-00003F380000}"/>
    <cellStyle name="Percent 2 11 3 2" xfId="14379" xr:uid="{00000000-0005-0000-0000-000040380000}"/>
    <cellStyle name="Percent 2 11 3 3" xfId="14380" xr:uid="{00000000-0005-0000-0000-000041380000}"/>
    <cellStyle name="Percent 2 11 3 4" xfId="14381" xr:uid="{00000000-0005-0000-0000-000042380000}"/>
    <cellStyle name="Percent 2 11 4" xfId="14382" xr:uid="{00000000-0005-0000-0000-000043380000}"/>
    <cellStyle name="Percent 2 11 4 2" xfId="14383" xr:uid="{00000000-0005-0000-0000-000044380000}"/>
    <cellStyle name="Percent 2 11 4 3" xfId="14384" xr:uid="{00000000-0005-0000-0000-000045380000}"/>
    <cellStyle name="Percent 2 11 4 4" xfId="14385" xr:uid="{00000000-0005-0000-0000-000046380000}"/>
    <cellStyle name="Percent 2 11 5" xfId="14386" xr:uid="{00000000-0005-0000-0000-000047380000}"/>
    <cellStyle name="Percent 2 11 5 2" xfId="14387" xr:uid="{00000000-0005-0000-0000-000048380000}"/>
    <cellStyle name="Percent 2 11 5 3" xfId="14388" xr:uid="{00000000-0005-0000-0000-000049380000}"/>
    <cellStyle name="Percent 2 11 5 4" xfId="14389" xr:uid="{00000000-0005-0000-0000-00004A380000}"/>
    <cellStyle name="Percent 2 11 6" xfId="14390" xr:uid="{00000000-0005-0000-0000-00004B380000}"/>
    <cellStyle name="Percent 2 11 6 2" xfId="14391" xr:uid="{00000000-0005-0000-0000-00004C380000}"/>
    <cellStyle name="Percent 2 11 6 3" xfId="14392" xr:uid="{00000000-0005-0000-0000-00004D380000}"/>
    <cellStyle name="Percent 2 11 6 4" xfId="14393" xr:uid="{00000000-0005-0000-0000-00004E380000}"/>
    <cellStyle name="Percent 2 11 7" xfId="14394" xr:uid="{00000000-0005-0000-0000-00004F380000}"/>
    <cellStyle name="Percent 2 11 7 2" xfId="14395" xr:uid="{00000000-0005-0000-0000-000050380000}"/>
    <cellStyle name="Percent 2 11 7 3" xfId="14396" xr:uid="{00000000-0005-0000-0000-000051380000}"/>
    <cellStyle name="Percent 2 11 7 4" xfId="14397" xr:uid="{00000000-0005-0000-0000-000052380000}"/>
    <cellStyle name="Percent 2 11 8" xfId="14398" xr:uid="{00000000-0005-0000-0000-000053380000}"/>
    <cellStyle name="Percent 2 11 8 2" xfId="14399" xr:uid="{00000000-0005-0000-0000-000054380000}"/>
    <cellStyle name="Percent 2 11 8 3" xfId="14400" xr:uid="{00000000-0005-0000-0000-000055380000}"/>
    <cellStyle name="Percent 2 11 8 4" xfId="14401" xr:uid="{00000000-0005-0000-0000-000056380000}"/>
    <cellStyle name="Percent 2 11 9" xfId="14402" xr:uid="{00000000-0005-0000-0000-000057380000}"/>
    <cellStyle name="Percent 2 12" xfId="14403" xr:uid="{00000000-0005-0000-0000-000058380000}"/>
    <cellStyle name="Percent 2 12 2" xfId="14404" xr:uid="{00000000-0005-0000-0000-000059380000}"/>
    <cellStyle name="Percent 2 12 3" xfId="14405" xr:uid="{00000000-0005-0000-0000-00005A380000}"/>
    <cellStyle name="Percent 2 12 4" xfId="14406" xr:uid="{00000000-0005-0000-0000-00005B380000}"/>
    <cellStyle name="Percent 2 13" xfId="14407" xr:uid="{00000000-0005-0000-0000-00005C380000}"/>
    <cellStyle name="Percent 2 13 2" xfId="14408" xr:uid="{00000000-0005-0000-0000-00005D380000}"/>
    <cellStyle name="Percent 2 13 3" xfId="14409" xr:uid="{00000000-0005-0000-0000-00005E380000}"/>
    <cellStyle name="Percent 2 13 4" xfId="14410" xr:uid="{00000000-0005-0000-0000-00005F380000}"/>
    <cellStyle name="Percent 2 14" xfId="14411" xr:uid="{00000000-0005-0000-0000-000060380000}"/>
    <cellStyle name="Percent 2 14 2" xfId="14412" xr:uid="{00000000-0005-0000-0000-000061380000}"/>
    <cellStyle name="Percent 2 14 3" xfId="14413" xr:uid="{00000000-0005-0000-0000-000062380000}"/>
    <cellStyle name="Percent 2 14 4" xfId="14414" xr:uid="{00000000-0005-0000-0000-000063380000}"/>
    <cellStyle name="Percent 2 15" xfId="14415" xr:uid="{00000000-0005-0000-0000-000064380000}"/>
    <cellStyle name="Percent 2 15 2" xfId="14416" xr:uid="{00000000-0005-0000-0000-000065380000}"/>
    <cellStyle name="Percent 2 15 3" xfId="14417" xr:uid="{00000000-0005-0000-0000-000066380000}"/>
    <cellStyle name="Percent 2 15 4" xfId="14418" xr:uid="{00000000-0005-0000-0000-000067380000}"/>
    <cellStyle name="Percent 2 16" xfId="14419" xr:uid="{00000000-0005-0000-0000-000068380000}"/>
    <cellStyle name="Percent 2 16 2" xfId="14420" xr:uid="{00000000-0005-0000-0000-000069380000}"/>
    <cellStyle name="Percent 2 16 3" xfId="14421" xr:uid="{00000000-0005-0000-0000-00006A380000}"/>
    <cellStyle name="Percent 2 16 4" xfId="14422" xr:uid="{00000000-0005-0000-0000-00006B380000}"/>
    <cellStyle name="Percent 2 17" xfId="14423" xr:uid="{00000000-0005-0000-0000-00006C380000}"/>
    <cellStyle name="Percent 2 17 2" xfId="14424" xr:uid="{00000000-0005-0000-0000-00006D380000}"/>
    <cellStyle name="Percent 2 17 3" xfId="14425" xr:uid="{00000000-0005-0000-0000-00006E380000}"/>
    <cellStyle name="Percent 2 17 4" xfId="14426" xr:uid="{00000000-0005-0000-0000-00006F380000}"/>
    <cellStyle name="Percent 2 18" xfId="14427" xr:uid="{00000000-0005-0000-0000-000070380000}"/>
    <cellStyle name="Percent 2 18 2" xfId="14428" xr:uid="{00000000-0005-0000-0000-000071380000}"/>
    <cellStyle name="Percent 2 18 3" xfId="14429" xr:uid="{00000000-0005-0000-0000-000072380000}"/>
    <cellStyle name="Percent 2 18 4" xfId="14430" xr:uid="{00000000-0005-0000-0000-000073380000}"/>
    <cellStyle name="Percent 2 19" xfId="14431" xr:uid="{00000000-0005-0000-0000-000074380000}"/>
    <cellStyle name="Percent 2 19 2" xfId="14432" xr:uid="{00000000-0005-0000-0000-000075380000}"/>
    <cellStyle name="Percent 2 19 3" xfId="14433" xr:uid="{00000000-0005-0000-0000-000076380000}"/>
    <cellStyle name="Percent 2 19 4" xfId="14434" xr:uid="{00000000-0005-0000-0000-000077380000}"/>
    <cellStyle name="Percent 2 2" xfId="14435" xr:uid="{00000000-0005-0000-0000-000078380000}"/>
    <cellStyle name="Percent 2 2 10" xfId="14436" xr:uid="{00000000-0005-0000-0000-000079380000}"/>
    <cellStyle name="Percent 2 2 11" xfId="14437" xr:uid="{00000000-0005-0000-0000-00007A380000}"/>
    <cellStyle name="Percent 2 2 12" xfId="14438" xr:uid="{00000000-0005-0000-0000-00007B380000}"/>
    <cellStyle name="Percent 2 2 2" xfId="14439" xr:uid="{00000000-0005-0000-0000-00007C380000}"/>
    <cellStyle name="Percent 2 2 2 2" xfId="14440" xr:uid="{00000000-0005-0000-0000-00007D380000}"/>
    <cellStyle name="Percent 2 2 2 3" xfId="14441" xr:uid="{00000000-0005-0000-0000-00007E380000}"/>
    <cellStyle name="Percent 2 2 2 4" xfId="14442" xr:uid="{00000000-0005-0000-0000-00007F380000}"/>
    <cellStyle name="Percent 2 2 3" xfId="14443" xr:uid="{00000000-0005-0000-0000-000080380000}"/>
    <cellStyle name="Percent 2 2 3 2" xfId="14444" xr:uid="{00000000-0005-0000-0000-000081380000}"/>
    <cellStyle name="Percent 2 2 3 2 2" xfId="14445" xr:uid="{00000000-0005-0000-0000-000082380000}"/>
    <cellStyle name="Percent 2 2 3 2 3" xfId="14446" xr:uid="{00000000-0005-0000-0000-000083380000}"/>
    <cellStyle name="Percent 2 2 3 3" xfId="14447" xr:uid="{00000000-0005-0000-0000-000084380000}"/>
    <cellStyle name="Percent 2 2 3 3 2" xfId="14448" xr:uid="{00000000-0005-0000-0000-000085380000}"/>
    <cellStyle name="Percent 2 2 3 3 3" xfId="14449" xr:uid="{00000000-0005-0000-0000-000086380000}"/>
    <cellStyle name="Percent 2 2 3 4" xfId="14450" xr:uid="{00000000-0005-0000-0000-000087380000}"/>
    <cellStyle name="Percent 2 2 3 4 2" xfId="14451" xr:uid="{00000000-0005-0000-0000-000088380000}"/>
    <cellStyle name="Percent 2 2 3 4 2 2" xfId="14452" xr:uid="{00000000-0005-0000-0000-000089380000}"/>
    <cellStyle name="Percent 2 2 3 4 2 3" xfId="14453" xr:uid="{00000000-0005-0000-0000-00008A380000}"/>
    <cellStyle name="Percent 2 2 3 4 3" xfId="14454" xr:uid="{00000000-0005-0000-0000-00008B380000}"/>
    <cellStyle name="Percent 2 2 3 4 4" xfId="14455" xr:uid="{00000000-0005-0000-0000-00008C380000}"/>
    <cellStyle name="Percent 2 2 3 5" xfId="14456" xr:uid="{00000000-0005-0000-0000-00008D380000}"/>
    <cellStyle name="Percent 2 2 3 6" xfId="14457" xr:uid="{00000000-0005-0000-0000-00008E380000}"/>
    <cellStyle name="Percent 2 2 3 7" xfId="14458" xr:uid="{00000000-0005-0000-0000-00008F380000}"/>
    <cellStyle name="Percent 2 2 4" xfId="14459" xr:uid="{00000000-0005-0000-0000-000090380000}"/>
    <cellStyle name="Percent 2 2 4 2" xfId="14460" xr:uid="{00000000-0005-0000-0000-000091380000}"/>
    <cellStyle name="Percent 2 2 4 2 2" xfId="14461" xr:uid="{00000000-0005-0000-0000-000092380000}"/>
    <cellStyle name="Percent 2 2 4 2 3" xfId="14462" xr:uid="{00000000-0005-0000-0000-000093380000}"/>
    <cellStyle name="Percent 2 2 4 3" xfId="14463" xr:uid="{00000000-0005-0000-0000-000094380000}"/>
    <cellStyle name="Percent 2 2 4 3 2" xfId="14464" xr:uid="{00000000-0005-0000-0000-000095380000}"/>
    <cellStyle name="Percent 2 2 4 3 3" xfId="14465" xr:uid="{00000000-0005-0000-0000-000096380000}"/>
    <cellStyle name="Percent 2 2 4 4" xfId="14466" xr:uid="{00000000-0005-0000-0000-000097380000}"/>
    <cellStyle name="Percent 2 2 4 5" xfId="14467" xr:uid="{00000000-0005-0000-0000-000098380000}"/>
    <cellStyle name="Percent 2 2 4 6" xfId="14468" xr:uid="{00000000-0005-0000-0000-000099380000}"/>
    <cellStyle name="Percent 2 2 5" xfId="14469" xr:uid="{00000000-0005-0000-0000-00009A380000}"/>
    <cellStyle name="Percent 2 2 5 2" xfId="14470" xr:uid="{00000000-0005-0000-0000-00009B380000}"/>
    <cellStyle name="Percent 2 2 5 3" xfId="14471" xr:uid="{00000000-0005-0000-0000-00009C380000}"/>
    <cellStyle name="Percent 2 2 5 4" xfId="14472" xr:uid="{00000000-0005-0000-0000-00009D380000}"/>
    <cellStyle name="Percent 2 2 6" xfId="14473" xr:uid="{00000000-0005-0000-0000-00009E380000}"/>
    <cellStyle name="Percent 2 2 6 2" xfId="14474" xr:uid="{00000000-0005-0000-0000-00009F380000}"/>
    <cellStyle name="Percent 2 2 6 2 2" xfId="14475" xr:uid="{00000000-0005-0000-0000-0000A0380000}"/>
    <cellStyle name="Percent 2 2 6 2 3" xfId="14476" xr:uid="{00000000-0005-0000-0000-0000A1380000}"/>
    <cellStyle name="Percent 2 2 6 3" xfId="14477" xr:uid="{00000000-0005-0000-0000-0000A2380000}"/>
    <cellStyle name="Percent 2 2 6 3 2" xfId="14478" xr:uid="{00000000-0005-0000-0000-0000A3380000}"/>
    <cellStyle name="Percent 2 2 6 3 3" xfId="14479" xr:uid="{00000000-0005-0000-0000-0000A4380000}"/>
    <cellStyle name="Percent 2 2 6 4" xfId="14480" xr:uid="{00000000-0005-0000-0000-0000A5380000}"/>
    <cellStyle name="Percent 2 2 6 5" xfId="14481" xr:uid="{00000000-0005-0000-0000-0000A6380000}"/>
    <cellStyle name="Percent 2 2 6 6" xfId="14482" xr:uid="{00000000-0005-0000-0000-0000A7380000}"/>
    <cellStyle name="Percent 2 2 7" xfId="14483" xr:uid="{00000000-0005-0000-0000-0000A8380000}"/>
    <cellStyle name="Percent 2 2 7 2" xfId="14484" xr:uid="{00000000-0005-0000-0000-0000A9380000}"/>
    <cellStyle name="Percent 2 2 7 2 2" xfId="14485" xr:uid="{00000000-0005-0000-0000-0000AA380000}"/>
    <cellStyle name="Percent 2 2 7 2 3" xfId="14486" xr:uid="{00000000-0005-0000-0000-0000AB380000}"/>
    <cellStyle name="Percent 2 2 7 3" xfId="14487" xr:uid="{00000000-0005-0000-0000-0000AC380000}"/>
    <cellStyle name="Percent 2 2 7 3 2" xfId="14488" xr:uid="{00000000-0005-0000-0000-0000AD380000}"/>
    <cellStyle name="Percent 2 2 7 3 3" xfId="14489" xr:uid="{00000000-0005-0000-0000-0000AE380000}"/>
    <cellStyle name="Percent 2 2 7 4" xfId="14490" xr:uid="{00000000-0005-0000-0000-0000AF380000}"/>
    <cellStyle name="Percent 2 2 7 5" xfId="14491" xr:uid="{00000000-0005-0000-0000-0000B0380000}"/>
    <cellStyle name="Percent 2 2 7 6" xfId="14492" xr:uid="{00000000-0005-0000-0000-0000B1380000}"/>
    <cellStyle name="Percent 2 2 8" xfId="14493" xr:uid="{00000000-0005-0000-0000-0000B2380000}"/>
    <cellStyle name="Percent 2 2 8 2" xfId="14494" xr:uid="{00000000-0005-0000-0000-0000B3380000}"/>
    <cellStyle name="Percent 2 2 8 3" xfId="14495" xr:uid="{00000000-0005-0000-0000-0000B4380000}"/>
    <cellStyle name="Percent 2 2 8 4" xfId="14496" xr:uid="{00000000-0005-0000-0000-0000B5380000}"/>
    <cellStyle name="Percent 2 2 9" xfId="14497" xr:uid="{00000000-0005-0000-0000-0000B6380000}"/>
    <cellStyle name="Percent 2 2 9 2" xfId="14498" xr:uid="{00000000-0005-0000-0000-0000B7380000}"/>
    <cellStyle name="Percent 2 2 9 3" xfId="14499" xr:uid="{00000000-0005-0000-0000-0000B8380000}"/>
    <cellStyle name="Percent 2 20" xfId="14500" xr:uid="{00000000-0005-0000-0000-0000B9380000}"/>
    <cellStyle name="Percent 2 20 2" xfId="14501" xr:uid="{00000000-0005-0000-0000-0000BA380000}"/>
    <cellStyle name="Percent 2 20 3" xfId="14502" xr:uid="{00000000-0005-0000-0000-0000BB380000}"/>
    <cellStyle name="Percent 2 21" xfId="14503" xr:uid="{00000000-0005-0000-0000-0000BC380000}"/>
    <cellStyle name="Percent 2 21 2" xfId="14504" xr:uid="{00000000-0005-0000-0000-0000BD380000}"/>
    <cellStyle name="Percent 2 21 3" xfId="14505" xr:uid="{00000000-0005-0000-0000-0000BE380000}"/>
    <cellStyle name="Percent 2 22" xfId="14506" xr:uid="{00000000-0005-0000-0000-0000BF380000}"/>
    <cellStyle name="Percent 2 22 2" xfId="14507" xr:uid="{00000000-0005-0000-0000-0000C0380000}"/>
    <cellStyle name="Percent 2 22 3" xfId="14508" xr:uid="{00000000-0005-0000-0000-0000C1380000}"/>
    <cellStyle name="Percent 2 23" xfId="14509" xr:uid="{00000000-0005-0000-0000-0000C2380000}"/>
    <cellStyle name="Percent 2 23 2" xfId="14510" xr:uid="{00000000-0005-0000-0000-0000C3380000}"/>
    <cellStyle name="Percent 2 23 3" xfId="14511" xr:uid="{00000000-0005-0000-0000-0000C4380000}"/>
    <cellStyle name="Percent 2 24" xfId="14512" xr:uid="{00000000-0005-0000-0000-0000C5380000}"/>
    <cellStyle name="Percent 2 24 2" xfId="14513" xr:uid="{00000000-0005-0000-0000-0000C6380000}"/>
    <cellStyle name="Percent 2 24 3" xfId="14514" xr:uid="{00000000-0005-0000-0000-0000C7380000}"/>
    <cellStyle name="Percent 2 25" xfId="14515" xr:uid="{00000000-0005-0000-0000-0000C8380000}"/>
    <cellStyle name="Percent 2 25 2" xfId="14516" xr:uid="{00000000-0005-0000-0000-0000C9380000}"/>
    <cellStyle name="Percent 2 25 3" xfId="14517" xr:uid="{00000000-0005-0000-0000-0000CA380000}"/>
    <cellStyle name="Percent 2 26" xfId="14518" xr:uid="{00000000-0005-0000-0000-0000CB380000}"/>
    <cellStyle name="Percent 2 26 2" xfId="14519" xr:uid="{00000000-0005-0000-0000-0000CC380000}"/>
    <cellStyle name="Percent 2 26 3" xfId="14520" xr:uid="{00000000-0005-0000-0000-0000CD380000}"/>
    <cellStyle name="Percent 2 27" xfId="14521" xr:uid="{00000000-0005-0000-0000-0000CE380000}"/>
    <cellStyle name="Percent 2 27 2" xfId="14522" xr:uid="{00000000-0005-0000-0000-0000CF380000}"/>
    <cellStyle name="Percent 2 27 3" xfId="14523" xr:uid="{00000000-0005-0000-0000-0000D0380000}"/>
    <cellStyle name="Percent 2 28" xfId="14524" xr:uid="{00000000-0005-0000-0000-0000D1380000}"/>
    <cellStyle name="Percent 2 28 2" xfId="14525" xr:uid="{00000000-0005-0000-0000-0000D2380000}"/>
    <cellStyle name="Percent 2 28 3" xfId="14526" xr:uid="{00000000-0005-0000-0000-0000D3380000}"/>
    <cellStyle name="Percent 2 29" xfId="14527" xr:uid="{00000000-0005-0000-0000-0000D4380000}"/>
    <cellStyle name="Percent 2 29 2" xfId="14528" xr:uid="{00000000-0005-0000-0000-0000D5380000}"/>
    <cellStyle name="Percent 2 29 3" xfId="14529" xr:uid="{00000000-0005-0000-0000-0000D6380000}"/>
    <cellStyle name="Percent 2 3" xfId="14530" xr:uid="{00000000-0005-0000-0000-0000D7380000}"/>
    <cellStyle name="Percent 2 3 10" xfId="14531" xr:uid="{00000000-0005-0000-0000-0000D8380000}"/>
    <cellStyle name="Percent 2 3 10 2" xfId="14532" xr:uid="{00000000-0005-0000-0000-0000D9380000}"/>
    <cellStyle name="Percent 2 3 10 3" xfId="14533" xr:uid="{00000000-0005-0000-0000-0000DA380000}"/>
    <cellStyle name="Percent 2 3 11" xfId="14534" xr:uid="{00000000-0005-0000-0000-0000DB380000}"/>
    <cellStyle name="Percent 2 3 11 2" xfId="14535" xr:uid="{00000000-0005-0000-0000-0000DC380000}"/>
    <cellStyle name="Percent 2 3 11 3" xfId="14536" xr:uid="{00000000-0005-0000-0000-0000DD380000}"/>
    <cellStyle name="Percent 2 3 12" xfId="14537" xr:uid="{00000000-0005-0000-0000-0000DE380000}"/>
    <cellStyle name="Percent 2 3 12 2" xfId="14538" xr:uid="{00000000-0005-0000-0000-0000DF380000}"/>
    <cellStyle name="Percent 2 3 12 3" xfId="14539" xr:uid="{00000000-0005-0000-0000-0000E0380000}"/>
    <cellStyle name="Percent 2 3 13" xfId="14540" xr:uid="{00000000-0005-0000-0000-0000E1380000}"/>
    <cellStyle name="Percent 2 3 13 2" xfId="14541" xr:uid="{00000000-0005-0000-0000-0000E2380000}"/>
    <cellStyle name="Percent 2 3 13 3" xfId="14542" xr:uid="{00000000-0005-0000-0000-0000E3380000}"/>
    <cellStyle name="Percent 2 3 14" xfId="14543" xr:uid="{00000000-0005-0000-0000-0000E4380000}"/>
    <cellStyle name="Percent 2 3 14 2" xfId="14544" xr:uid="{00000000-0005-0000-0000-0000E5380000}"/>
    <cellStyle name="Percent 2 3 14 3" xfId="14545" xr:uid="{00000000-0005-0000-0000-0000E6380000}"/>
    <cellStyle name="Percent 2 3 15" xfId="14546" xr:uid="{00000000-0005-0000-0000-0000E7380000}"/>
    <cellStyle name="Percent 2 3 15 2" xfId="14547" xr:uid="{00000000-0005-0000-0000-0000E8380000}"/>
    <cellStyle name="Percent 2 3 15 3" xfId="14548" xr:uid="{00000000-0005-0000-0000-0000E9380000}"/>
    <cellStyle name="Percent 2 3 16" xfId="14549" xr:uid="{00000000-0005-0000-0000-0000EA380000}"/>
    <cellStyle name="Percent 2 3 16 2" xfId="14550" xr:uid="{00000000-0005-0000-0000-0000EB380000}"/>
    <cellStyle name="Percent 2 3 16 3" xfId="14551" xr:uid="{00000000-0005-0000-0000-0000EC380000}"/>
    <cellStyle name="Percent 2 3 17" xfId="14552" xr:uid="{00000000-0005-0000-0000-0000ED380000}"/>
    <cellStyle name="Percent 2 3 18" xfId="14553" xr:uid="{00000000-0005-0000-0000-0000EE380000}"/>
    <cellStyle name="Percent 2 3 19" xfId="14554" xr:uid="{00000000-0005-0000-0000-0000EF380000}"/>
    <cellStyle name="Percent 2 3 2" xfId="14555" xr:uid="{00000000-0005-0000-0000-0000F0380000}"/>
    <cellStyle name="Percent 2 3 2 2" xfId="14556" xr:uid="{00000000-0005-0000-0000-0000F1380000}"/>
    <cellStyle name="Percent 2 3 2 3" xfId="14557" xr:uid="{00000000-0005-0000-0000-0000F2380000}"/>
    <cellStyle name="Percent 2 3 2 4" xfId="14558" xr:uid="{00000000-0005-0000-0000-0000F3380000}"/>
    <cellStyle name="Percent 2 3 3" xfId="14559" xr:uid="{00000000-0005-0000-0000-0000F4380000}"/>
    <cellStyle name="Percent 2 3 3 2" xfId="14560" xr:uid="{00000000-0005-0000-0000-0000F5380000}"/>
    <cellStyle name="Percent 2 3 3 2 2" xfId="14561" xr:uid="{00000000-0005-0000-0000-0000F6380000}"/>
    <cellStyle name="Percent 2 3 3 2 3" xfId="14562" xr:uid="{00000000-0005-0000-0000-0000F7380000}"/>
    <cellStyle name="Percent 2 3 3 3" xfId="14563" xr:uid="{00000000-0005-0000-0000-0000F8380000}"/>
    <cellStyle name="Percent 2 3 3 3 2" xfId="14564" xr:uid="{00000000-0005-0000-0000-0000F9380000}"/>
    <cellStyle name="Percent 2 3 3 3 2 2" xfId="14565" xr:uid="{00000000-0005-0000-0000-0000FA380000}"/>
    <cellStyle name="Percent 2 3 3 3 2 3" xfId="14566" xr:uid="{00000000-0005-0000-0000-0000FB380000}"/>
    <cellStyle name="Percent 2 3 3 3 3" xfId="14567" xr:uid="{00000000-0005-0000-0000-0000FC380000}"/>
    <cellStyle name="Percent 2 3 3 3 3 2" xfId="14568" xr:uid="{00000000-0005-0000-0000-0000FD380000}"/>
    <cellStyle name="Percent 2 3 3 3 3 3" xfId="14569" xr:uid="{00000000-0005-0000-0000-0000FE380000}"/>
    <cellStyle name="Percent 2 3 3 3 4" xfId="14570" xr:uid="{00000000-0005-0000-0000-0000FF380000}"/>
    <cellStyle name="Percent 2 3 3 3 4 2" xfId="14571" xr:uid="{00000000-0005-0000-0000-000000390000}"/>
    <cellStyle name="Percent 2 3 3 3 4 2 2" xfId="14572" xr:uid="{00000000-0005-0000-0000-000001390000}"/>
    <cellStyle name="Percent 2 3 3 3 4 2 3" xfId="14573" xr:uid="{00000000-0005-0000-0000-000002390000}"/>
    <cellStyle name="Percent 2 3 3 3 4 3" xfId="14574" xr:uid="{00000000-0005-0000-0000-000003390000}"/>
    <cellStyle name="Percent 2 3 3 3 4 4" xfId="14575" xr:uid="{00000000-0005-0000-0000-000004390000}"/>
    <cellStyle name="Percent 2 3 3 3 5" xfId="14576" xr:uid="{00000000-0005-0000-0000-000005390000}"/>
    <cellStyle name="Percent 2 3 3 3 6" xfId="14577" xr:uid="{00000000-0005-0000-0000-000006390000}"/>
    <cellStyle name="Percent 2 3 3 4" xfId="14578" xr:uid="{00000000-0005-0000-0000-000007390000}"/>
    <cellStyle name="Percent 2 3 3 5" xfId="14579" xr:uid="{00000000-0005-0000-0000-000008390000}"/>
    <cellStyle name="Percent 2 3 3 6" xfId="14580" xr:uid="{00000000-0005-0000-0000-000009390000}"/>
    <cellStyle name="Percent 2 3 4" xfId="14581" xr:uid="{00000000-0005-0000-0000-00000A390000}"/>
    <cellStyle name="Percent 2 3 4 2" xfId="14582" xr:uid="{00000000-0005-0000-0000-00000B390000}"/>
    <cellStyle name="Percent 2 3 4 3" xfId="14583" xr:uid="{00000000-0005-0000-0000-00000C390000}"/>
    <cellStyle name="Percent 2 3 4 4" xfId="14584" xr:uid="{00000000-0005-0000-0000-00000D390000}"/>
    <cellStyle name="Percent 2 3 5" xfId="14585" xr:uid="{00000000-0005-0000-0000-00000E390000}"/>
    <cellStyle name="Percent 2 3 5 2" xfId="14586" xr:uid="{00000000-0005-0000-0000-00000F390000}"/>
    <cellStyle name="Percent 2 3 5 2 2" xfId="14587" xr:uid="{00000000-0005-0000-0000-000010390000}"/>
    <cellStyle name="Percent 2 3 5 2 3" xfId="14588" xr:uid="{00000000-0005-0000-0000-000011390000}"/>
    <cellStyle name="Percent 2 3 5 3" xfId="14589" xr:uid="{00000000-0005-0000-0000-000012390000}"/>
    <cellStyle name="Percent 2 3 5 4" xfId="14590" xr:uid="{00000000-0005-0000-0000-000013390000}"/>
    <cellStyle name="Percent 2 3 5 5" xfId="14591" xr:uid="{00000000-0005-0000-0000-000014390000}"/>
    <cellStyle name="Percent 2 3 6" xfId="14592" xr:uid="{00000000-0005-0000-0000-000015390000}"/>
    <cellStyle name="Percent 2 3 6 2" xfId="14593" xr:uid="{00000000-0005-0000-0000-000016390000}"/>
    <cellStyle name="Percent 2 3 6 3" xfId="14594" xr:uid="{00000000-0005-0000-0000-000017390000}"/>
    <cellStyle name="Percent 2 3 6 4" xfId="14595" xr:uid="{00000000-0005-0000-0000-000018390000}"/>
    <cellStyle name="Percent 2 3 7" xfId="14596" xr:uid="{00000000-0005-0000-0000-000019390000}"/>
    <cellStyle name="Percent 2 3 7 2" xfId="14597" xr:uid="{00000000-0005-0000-0000-00001A390000}"/>
    <cellStyle name="Percent 2 3 7 3" xfId="14598" xr:uid="{00000000-0005-0000-0000-00001B390000}"/>
    <cellStyle name="Percent 2 3 7 4" xfId="14599" xr:uid="{00000000-0005-0000-0000-00001C390000}"/>
    <cellStyle name="Percent 2 3 8" xfId="14600" xr:uid="{00000000-0005-0000-0000-00001D390000}"/>
    <cellStyle name="Percent 2 3 8 2" xfId="14601" xr:uid="{00000000-0005-0000-0000-00001E390000}"/>
    <cellStyle name="Percent 2 3 8 3" xfId="14602" xr:uid="{00000000-0005-0000-0000-00001F390000}"/>
    <cellStyle name="Percent 2 3 8 4" xfId="14603" xr:uid="{00000000-0005-0000-0000-000020390000}"/>
    <cellStyle name="Percent 2 3 9" xfId="14604" xr:uid="{00000000-0005-0000-0000-000021390000}"/>
    <cellStyle name="Percent 2 3 9 2" xfId="14605" xr:uid="{00000000-0005-0000-0000-000022390000}"/>
    <cellStyle name="Percent 2 3 9 3" xfId="14606" xr:uid="{00000000-0005-0000-0000-000023390000}"/>
    <cellStyle name="Percent 2 30" xfId="14607" xr:uid="{00000000-0005-0000-0000-000024390000}"/>
    <cellStyle name="Percent 2 30 2" xfId="14608" xr:uid="{00000000-0005-0000-0000-000025390000}"/>
    <cellStyle name="Percent 2 30 3" xfId="14609" xr:uid="{00000000-0005-0000-0000-000026390000}"/>
    <cellStyle name="Percent 2 31" xfId="14610" xr:uid="{00000000-0005-0000-0000-000027390000}"/>
    <cellStyle name="Percent 2 31 2" xfId="14611" xr:uid="{00000000-0005-0000-0000-000028390000}"/>
    <cellStyle name="Percent 2 31 3" xfId="14612" xr:uid="{00000000-0005-0000-0000-000029390000}"/>
    <cellStyle name="Percent 2 32" xfId="14613" xr:uid="{00000000-0005-0000-0000-00002A390000}"/>
    <cellStyle name="Percent 2 32 2" xfId="14614" xr:uid="{00000000-0005-0000-0000-00002B390000}"/>
    <cellStyle name="Percent 2 32 3" xfId="14615" xr:uid="{00000000-0005-0000-0000-00002C390000}"/>
    <cellStyle name="Percent 2 33" xfId="14616" xr:uid="{00000000-0005-0000-0000-00002D390000}"/>
    <cellStyle name="Percent 2 33 2" xfId="14617" xr:uid="{00000000-0005-0000-0000-00002E390000}"/>
    <cellStyle name="Percent 2 33 3" xfId="14618" xr:uid="{00000000-0005-0000-0000-00002F390000}"/>
    <cellStyle name="Percent 2 34" xfId="14619" xr:uid="{00000000-0005-0000-0000-000030390000}"/>
    <cellStyle name="Percent 2 34 2" xfId="14620" xr:uid="{00000000-0005-0000-0000-000031390000}"/>
    <cellStyle name="Percent 2 34 3" xfId="14621" xr:uid="{00000000-0005-0000-0000-000032390000}"/>
    <cellStyle name="Percent 2 35" xfId="14622" xr:uid="{00000000-0005-0000-0000-000033390000}"/>
    <cellStyle name="Percent 2 35 2" xfId="14623" xr:uid="{00000000-0005-0000-0000-000034390000}"/>
    <cellStyle name="Percent 2 35 3" xfId="14624" xr:uid="{00000000-0005-0000-0000-000035390000}"/>
    <cellStyle name="Percent 2 36" xfId="14625" xr:uid="{00000000-0005-0000-0000-000036390000}"/>
    <cellStyle name="Percent 2 36 2" xfId="14626" xr:uid="{00000000-0005-0000-0000-000037390000}"/>
    <cellStyle name="Percent 2 36 3" xfId="14627" xr:uid="{00000000-0005-0000-0000-000038390000}"/>
    <cellStyle name="Percent 2 37" xfId="14628" xr:uid="{00000000-0005-0000-0000-000039390000}"/>
    <cellStyle name="Percent 2 37 2" xfId="14629" xr:uid="{00000000-0005-0000-0000-00003A390000}"/>
    <cellStyle name="Percent 2 37 3" xfId="14630" xr:uid="{00000000-0005-0000-0000-00003B390000}"/>
    <cellStyle name="Percent 2 38" xfId="14631" xr:uid="{00000000-0005-0000-0000-00003C390000}"/>
    <cellStyle name="Percent 2 38 2" xfId="14632" xr:uid="{00000000-0005-0000-0000-00003D390000}"/>
    <cellStyle name="Percent 2 38 3" xfId="14633" xr:uid="{00000000-0005-0000-0000-00003E390000}"/>
    <cellStyle name="Percent 2 39" xfId="14634" xr:uid="{00000000-0005-0000-0000-00003F390000}"/>
    <cellStyle name="Percent 2 39 2" xfId="14635" xr:uid="{00000000-0005-0000-0000-000040390000}"/>
    <cellStyle name="Percent 2 39 3" xfId="14636" xr:uid="{00000000-0005-0000-0000-000041390000}"/>
    <cellStyle name="Percent 2 4" xfId="14637" xr:uid="{00000000-0005-0000-0000-000042390000}"/>
    <cellStyle name="Percent 2 4 10" xfId="14638" xr:uid="{00000000-0005-0000-0000-000043390000}"/>
    <cellStyle name="Percent 2 4 10 2" xfId="14639" xr:uid="{00000000-0005-0000-0000-000044390000}"/>
    <cellStyle name="Percent 2 4 10 3" xfId="14640" xr:uid="{00000000-0005-0000-0000-000045390000}"/>
    <cellStyle name="Percent 2 4 11" xfId="14641" xr:uid="{00000000-0005-0000-0000-000046390000}"/>
    <cellStyle name="Percent 2 4 11 2" xfId="14642" xr:uid="{00000000-0005-0000-0000-000047390000}"/>
    <cellStyle name="Percent 2 4 11 3" xfId="14643" xr:uid="{00000000-0005-0000-0000-000048390000}"/>
    <cellStyle name="Percent 2 4 12" xfId="14644" xr:uid="{00000000-0005-0000-0000-000049390000}"/>
    <cellStyle name="Percent 2 4 12 2" xfId="14645" xr:uid="{00000000-0005-0000-0000-00004A390000}"/>
    <cellStyle name="Percent 2 4 12 3" xfId="14646" xr:uid="{00000000-0005-0000-0000-00004B390000}"/>
    <cellStyle name="Percent 2 4 13" xfId="14647" xr:uid="{00000000-0005-0000-0000-00004C390000}"/>
    <cellStyle name="Percent 2 4 13 2" xfId="14648" xr:uid="{00000000-0005-0000-0000-00004D390000}"/>
    <cellStyle name="Percent 2 4 13 3" xfId="14649" xr:uid="{00000000-0005-0000-0000-00004E390000}"/>
    <cellStyle name="Percent 2 4 14" xfId="14650" xr:uid="{00000000-0005-0000-0000-00004F390000}"/>
    <cellStyle name="Percent 2 4 14 2" xfId="14651" xr:uid="{00000000-0005-0000-0000-000050390000}"/>
    <cellStyle name="Percent 2 4 14 3" xfId="14652" xr:uid="{00000000-0005-0000-0000-000051390000}"/>
    <cellStyle name="Percent 2 4 15" xfId="14653" xr:uid="{00000000-0005-0000-0000-000052390000}"/>
    <cellStyle name="Percent 2 4 15 2" xfId="14654" xr:uid="{00000000-0005-0000-0000-000053390000}"/>
    <cellStyle name="Percent 2 4 15 3" xfId="14655" xr:uid="{00000000-0005-0000-0000-000054390000}"/>
    <cellStyle name="Percent 2 4 16" xfId="14656" xr:uid="{00000000-0005-0000-0000-000055390000}"/>
    <cellStyle name="Percent 2 4 16 2" xfId="14657" xr:uid="{00000000-0005-0000-0000-000056390000}"/>
    <cellStyle name="Percent 2 4 16 3" xfId="14658" xr:uid="{00000000-0005-0000-0000-000057390000}"/>
    <cellStyle name="Percent 2 4 17" xfId="14659" xr:uid="{00000000-0005-0000-0000-000058390000}"/>
    <cellStyle name="Percent 2 4 17 2" xfId="14660" xr:uid="{00000000-0005-0000-0000-000059390000}"/>
    <cellStyle name="Percent 2 4 17 3" xfId="14661" xr:uid="{00000000-0005-0000-0000-00005A390000}"/>
    <cellStyle name="Percent 2 4 18" xfId="14662" xr:uid="{00000000-0005-0000-0000-00005B390000}"/>
    <cellStyle name="Percent 2 4 19" xfId="14663" xr:uid="{00000000-0005-0000-0000-00005C390000}"/>
    <cellStyle name="Percent 2 4 2" xfId="14664" xr:uid="{00000000-0005-0000-0000-00005D390000}"/>
    <cellStyle name="Percent 2 4 2 2" xfId="14665" xr:uid="{00000000-0005-0000-0000-00005E390000}"/>
    <cellStyle name="Percent 2 4 2 3" xfId="14666" xr:uid="{00000000-0005-0000-0000-00005F390000}"/>
    <cellStyle name="Percent 2 4 2 4" xfId="14667" xr:uid="{00000000-0005-0000-0000-000060390000}"/>
    <cellStyle name="Percent 2 4 20" xfId="14668" xr:uid="{00000000-0005-0000-0000-000061390000}"/>
    <cellStyle name="Percent 2 4 3" xfId="14669" xr:uid="{00000000-0005-0000-0000-000062390000}"/>
    <cellStyle name="Percent 2 4 3 2" xfId="14670" xr:uid="{00000000-0005-0000-0000-000063390000}"/>
    <cellStyle name="Percent 2 4 3 3" xfId="14671" xr:uid="{00000000-0005-0000-0000-000064390000}"/>
    <cellStyle name="Percent 2 4 3 4" xfId="14672" xr:uid="{00000000-0005-0000-0000-000065390000}"/>
    <cellStyle name="Percent 2 4 4" xfId="14673" xr:uid="{00000000-0005-0000-0000-000066390000}"/>
    <cellStyle name="Percent 2 4 4 2" xfId="14674" xr:uid="{00000000-0005-0000-0000-000067390000}"/>
    <cellStyle name="Percent 2 4 4 3" xfId="14675" xr:uid="{00000000-0005-0000-0000-000068390000}"/>
    <cellStyle name="Percent 2 4 4 4" xfId="14676" xr:uid="{00000000-0005-0000-0000-000069390000}"/>
    <cellStyle name="Percent 2 4 5" xfId="14677" xr:uid="{00000000-0005-0000-0000-00006A390000}"/>
    <cellStyle name="Percent 2 4 5 2" xfId="14678" xr:uid="{00000000-0005-0000-0000-00006B390000}"/>
    <cellStyle name="Percent 2 4 5 3" xfId="14679" xr:uid="{00000000-0005-0000-0000-00006C390000}"/>
    <cellStyle name="Percent 2 4 5 4" xfId="14680" xr:uid="{00000000-0005-0000-0000-00006D390000}"/>
    <cellStyle name="Percent 2 4 6" xfId="14681" xr:uid="{00000000-0005-0000-0000-00006E390000}"/>
    <cellStyle name="Percent 2 4 6 2" xfId="14682" xr:uid="{00000000-0005-0000-0000-00006F390000}"/>
    <cellStyle name="Percent 2 4 6 3" xfId="14683" xr:uid="{00000000-0005-0000-0000-000070390000}"/>
    <cellStyle name="Percent 2 4 6 4" xfId="14684" xr:uid="{00000000-0005-0000-0000-000071390000}"/>
    <cellStyle name="Percent 2 4 7" xfId="14685" xr:uid="{00000000-0005-0000-0000-000072390000}"/>
    <cellStyle name="Percent 2 4 7 2" xfId="14686" xr:uid="{00000000-0005-0000-0000-000073390000}"/>
    <cellStyle name="Percent 2 4 7 3" xfId="14687" xr:uid="{00000000-0005-0000-0000-000074390000}"/>
    <cellStyle name="Percent 2 4 7 4" xfId="14688" xr:uid="{00000000-0005-0000-0000-000075390000}"/>
    <cellStyle name="Percent 2 4 8" xfId="14689" xr:uid="{00000000-0005-0000-0000-000076390000}"/>
    <cellStyle name="Percent 2 4 8 2" xfId="14690" xr:uid="{00000000-0005-0000-0000-000077390000}"/>
    <cellStyle name="Percent 2 4 8 3" xfId="14691" xr:uid="{00000000-0005-0000-0000-000078390000}"/>
    <cellStyle name="Percent 2 4 8 4" xfId="14692" xr:uid="{00000000-0005-0000-0000-000079390000}"/>
    <cellStyle name="Percent 2 4 9" xfId="14693" xr:uid="{00000000-0005-0000-0000-00007A390000}"/>
    <cellStyle name="Percent 2 4 9 2" xfId="14694" xr:uid="{00000000-0005-0000-0000-00007B390000}"/>
    <cellStyle name="Percent 2 4 9 3" xfId="14695" xr:uid="{00000000-0005-0000-0000-00007C390000}"/>
    <cellStyle name="Percent 2 40" xfId="14696" xr:uid="{00000000-0005-0000-0000-00007D390000}"/>
    <cellStyle name="Percent 2 40 2" xfId="14697" xr:uid="{00000000-0005-0000-0000-00007E390000}"/>
    <cellStyle name="Percent 2 40 3" xfId="14698" xr:uid="{00000000-0005-0000-0000-00007F390000}"/>
    <cellStyle name="Percent 2 41" xfId="14699" xr:uid="{00000000-0005-0000-0000-000080390000}"/>
    <cellStyle name="Percent 2 41 2" xfId="14700" xr:uid="{00000000-0005-0000-0000-000081390000}"/>
    <cellStyle name="Percent 2 41 3" xfId="14701" xr:uid="{00000000-0005-0000-0000-000082390000}"/>
    <cellStyle name="Percent 2 42" xfId="14702" xr:uid="{00000000-0005-0000-0000-000083390000}"/>
    <cellStyle name="Percent 2 42 2" xfId="14703" xr:uid="{00000000-0005-0000-0000-000084390000}"/>
    <cellStyle name="Percent 2 42 3" xfId="14704" xr:uid="{00000000-0005-0000-0000-000085390000}"/>
    <cellStyle name="Percent 2 43" xfId="14705" xr:uid="{00000000-0005-0000-0000-000086390000}"/>
    <cellStyle name="Percent 2 43 2" xfId="14706" xr:uid="{00000000-0005-0000-0000-000087390000}"/>
    <cellStyle name="Percent 2 43 3" xfId="14707" xr:uid="{00000000-0005-0000-0000-000088390000}"/>
    <cellStyle name="Percent 2 44" xfId="14708" xr:uid="{00000000-0005-0000-0000-000089390000}"/>
    <cellStyle name="Percent 2 44 2" xfId="14709" xr:uid="{00000000-0005-0000-0000-00008A390000}"/>
    <cellStyle name="Percent 2 44 3" xfId="14710" xr:uid="{00000000-0005-0000-0000-00008B390000}"/>
    <cellStyle name="Percent 2 45" xfId="14711" xr:uid="{00000000-0005-0000-0000-00008C390000}"/>
    <cellStyle name="Percent 2 45 2" xfId="14712" xr:uid="{00000000-0005-0000-0000-00008D390000}"/>
    <cellStyle name="Percent 2 45 3" xfId="14713" xr:uid="{00000000-0005-0000-0000-00008E390000}"/>
    <cellStyle name="Percent 2 46" xfId="14714" xr:uid="{00000000-0005-0000-0000-00008F390000}"/>
    <cellStyle name="Percent 2 46 2" xfId="14715" xr:uid="{00000000-0005-0000-0000-000090390000}"/>
    <cellStyle name="Percent 2 46 3" xfId="14716" xr:uid="{00000000-0005-0000-0000-000091390000}"/>
    <cellStyle name="Percent 2 47" xfId="14717" xr:uid="{00000000-0005-0000-0000-000092390000}"/>
    <cellStyle name="Percent 2 47 2" xfId="14718" xr:uid="{00000000-0005-0000-0000-000093390000}"/>
    <cellStyle name="Percent 2 47 3" xfId="14719" xr:uid="{00000000-0005-0000-0000-000094390000}"/>
    <cellStyle name="Percent 2 48" xfId="14720" xr:uid="{00000000-0005-0000-0000-000095390000}"/>
    <cellStyle name="Percent 2 48 2" xfId="14721" xr:uid="{00000000-0005-0000-0000-000096390000}"/>
    <cellStyle name="Percent 2 48 2 2" xfId="14722" xr:uid="{00000000-0005-0000-0000-000097390000}"/>
    <cellStyle name="Percent 2 48 2 3" xfId="14723" xr:uid="{00000000-0005-0000-0000-000098390000}"/>
    <cellStyle name="Percent 2 48 3" xfId="14724" xr:uid="{00000000-0005-0000-0000-000099390000}"/>
    <cellStyle name="Percent 2 48 4" xfId="14725" xr:uid="{00000000-0005-0000-0000-00009A390000}"/>
    <cellStyle name="Percent 2 49" xfId="14726" xr:uid="{00000000-0005-0000-0000-00009B390000}"/>
    <cellStyle name="Percent 2 49 2" xfId="14727" xr:uid="{00000000-0005-0000-0000-00009C390000}"/>
    <cellStyle name="Percent 2 49 3" xfId="14728" xr:uid="{00000000-0005-0000-0000-00009D390000}"/>
    <cellStyle name="Percent 2 5" xfId="14729" xr:uid="{00000000-0005-0000-0000-00009E390000}"/>
    <cellStyle name="Percent 2 5 10" xfId="14730" xr:uid="{00000000-0005-0000-0000-00009F390000}"/>
    <cellStyle name="Percent 2 5 10 2" xfId="14731" xr:uid="{00000000-0005-0000-0000-0000A0390000}"/>
    <cellStyle name="Percent 2 5 10 3" xfId="14732" xr:uid="{00000000-0005-0000-0000-0000A1390000}"/>
    <cellStyle name="Percent 2 5 11" xfId="14733" xr:uid="{00000000-0005-0000-0000-0000A2390000}"/>
    <cellStyle name="Percent 2 5 11 2" xfId="14734" xr:uid="{00000000-0005-0000-0000-0000A3390000}"/>
    <cellStyle name="Percent 2 5 11 3" xfId="14735" xr:uid="{00000000-0005-0000-0000-0000A4390000}"/>
    <cellStyle name="Percent 2 5 12" xfId="14736" xr:uid="{00000000-0005-0000-0000-0000A5390000}"/>
    <cellStyle name="Percent 2 5 12 2" xfId="14737" xr:uid="{00000000-0005-0000-0000-0000A6390000}"/>
    <cellStyle name="Percent 2 5 12 3" xfId="14738" xr:uid="{00000000-0005-0000-0000-0000A7390000}"/>
    <cellStyle name="Percent 2 5 13" xfId="14739" xr:uid="{00000000-0005-0000-0000-0000A8390000}"/>
    <cellStyle name="Percent 2 5 13 2" xfId="14740" xr:uid="{00000000-0005-0000-0000-0000A9390000}"/>
    <cellStyle name="Percent 2 5 13 3" xfId="14741" xr:uid="{00000000-0005-0000-0000-0000AA390000}"/>
    <cellStyle name="Percent 2 5 14" xfId="14742" xr:uid="{00000000-0005-0000-0000-0000AB390000}"/>
    <cellStyle name="Percent 2 5 14 2" xfId="14743" xr:uid="{00000000-0005-0000-0000-0000AC390000}"/>
    <cellStyle name="Percent 2 5 14 3" xfId="14744" xr:uid="{00000000-0005-0000-0000-0000AD390000}"/>
    <cellStyle name="Percent 2 5 15" xfId="14745" xr:uid="{00000000-0005-0000-0000-0000AE390000}"/>
    <cellStyle name="Percent 2 5 15 2" xfId="14746" xr:uid="{00000000-0005-0000-0000-0000AF390000}"/>
    <cellStyle name="Percent 2 5 15 3" xfId="14747" xr:uid="{00000000-0005-0000-0000-0000B0390000}"/>
    <cellStyle name="Percent 2 5 16" xfId="14748" xr:uid="{00000000-0005-0000-0000-0000B1390000}"/>
    <cellStyle name="Percent 2 5 17" xfId="14749" xr:uid="{00000000-0005-0000-0000-0000B2390000}"/>
    <cellStyle name="Percent 2 5 18" xfId="14750" xr:uid="{00000000-0005-0000-0000-0000B3390000}"/>
    <cellStyle name="Percent 2 5 2" xfId="14751" xr:uid="{00000000-0005-0000-0000-0000B4390000}"/>
    <cellStyle name="Percent 2 5 2 2" xfId="14752" xr:uid="{00000000-0005-0000-0000-0000B5390000}"/>
    <cellStyle name="Percent 2 5 2 3" xfId="14753" xr:uid="{00000000-0005-0000-0000-0000B6390000}"/>
    <cellStyle name="Percent 2 5 2 4" xfId="14754" xr:uid="{00000000-0005-0000-0000-0000B7390000}"/>
    <cellStyle name="Percent 2 5 3" xfId="14755" xr:uid="{00000000-0005-0000-0000-0000B8390000}"/>
    <cellStyle name="Percent 2 5 3 2" xfId="14756" xr:uid="{00000000-0005-0000-0000-0000B9390000}"/>
    <cellStyle name="Percent 2 5 3 3" xfId="14757" xr:uid="{00000000-0005-0000-0000-0000BA390000}"/>
    <cellStyle name="Percent 2 5 3 4" xfId="14758" xr:uid="{00000000-0005-0000-0000-0000BB390000}"/>
    <cellStyle name="Percent 2 5 4" xfId="14759" xr:uid="{00000000-0005-0000-0000-0000BC390000}"/>
    <cellStyle name="Percent 2 5 4 2" xfId="14760" xr:uid="{00000000-0005-0000-0000-0000BD390000}"/>
    <cellStyle name="Percent 2 5 4 3" xfId="14761" xr:uid="{00000000-0005-0000-0000-0000BE390000}"/>
    <cellStyle name="Percent 2 5 4 4" xfId="14762" xr:uid="{00000000-0005-0000-0000-0000BF390000}"/>
    <cellStyle name="Percent 2 5 5" xfId="14763" xr:uid="{00000000-0005-0000-0000-0000C0390000}"/>
    <cellStyle name="Percent 2 5 5 2" xfId="14764" xr:uid="{00000000-0005-0000-0000-0000C1390000}"/>
    <cellStyle name="Percent 2 5 5 3" xfId="14765" xr:uid="{00000000-0005-0000-0000-0000C2390000}"/>
    <cellStyle name="Percent 2 5 5 4" xfId="14766" xr:uid="{00000000-0005-0000-0000-0000C3390000}"/>
    <cellStyle name="Percent 2 5 6" xfId="14767" xr:uid="{00000000-0005-0000-0000-0000C4390000}"/>
    <cellStyle name="Percent 2 5 6 2" xfId="14768" xr:uid="{00000000-0005-0000-0000-0000C5390000}"/>
    <cellStyle name="Percent 2 5 6 3" xfId="14769" xr:uid="{00000000-0005-0000-0000-0000C6390000}"/>
    <cellStyle name="Percent 2 5 6 4" xfId="14770" xr:uid="{00000000-0005-0000-0000-0000C7390000}"/>
    <cellStyle name="Percent 2 5 7" xfId="14771" xr:uid="{00000000-0005-0000-0000-0000C8390000}"/>
    <cellStyle name="Percent 2 5 7 2" xfId="14772" xr:uid="{00000000-0005-0000-0000-0000C9390000}"/>
    <cellStyle name="Percent 2 5 7 3" xfId="14773" xr:uid="{00000000-0005-0000-0000-0000CA390000}"/>
    <cellStyle name="Percent 2 5 7 4" xfId="14774" xr:uid="{00000000-0005-0000-0000-0000CB390000}"/>
    <cellStyle name="Percent 2 5 8" xfId="14775" xr:uid="{00000000-0005-0000-0000-0000CC390000}"/>
    <cellStyle name="Percent 2 5 8 2" xfId="14776" xr:uid="{00000000-0005-0000-0000-0000CD390000}"/>
    <cellStyle name="Percent 2 5 8 3" xfId="14777" xr:uid="{00000000-0005-0000-0000-0000CE390000}"/>
    <cellStyle name="Percent 2 5 8 4" xfId="14778" xr:uid="{00000000-0005-0000-0000-0000CF390000}"/>
    <cellStyle name="Percent 2 5 9" xfId="14779" xr:uid="{00000000-0005-0000-0000-0000D0390000}"/>
    <cellStyle name="Percent 2 5 9 2" xfId="14780" xr:uid="{00000000-0005-0000-0000-0000D1390000}"/>
    <cellStyle name="Percent 2 5 9 3" xfId="14781" xr:uid="{00000000-0005-0000-0000-0000D2390000}"/>
    <cellStyle name="Percent 2 50" xfId="14782" xr:uid="{00000000-0005-0000-0000-0000D3390000}"/>
    <cellStyle name="Percent 2 51" xfId="14783" xr:uid="{00000000-0005-0000-0000-0000D4390000}"/>
    <cellStyle name="Percent 2 52" xfId="14784" xr:uid="{00000000-0005-0000-0000-0000D5390000}"/>
    <cellStyle name="Percent 2 6" xfId="14785" xr:uid="{00000000-0005-0000-0000-0000D6390000}"/>
    <cellStyle name="Percent 2 6 10" xfId="14786" xr:uid="{00000000-0005-0000-0000-0000D7390000}"/>
    <cellStyle name="Percent 2 6 10 2" xfId="14787" xr:uid="{00000000-0005-0000-0000-0000D8390000}"/>
    <cellStyle name="Percent 2 6 10 3" xfId="14788" xr:uid="{00000000-0005-0000-0000-0000D9390000}"/>
    <cellStyle name="Percent 2 6 11" xfId="14789" xr:uid="{00000000-0005-0000-0000-0000DA390000}"/>
    <cellStyle name="Percent 2 6 11 2" xfId="14790" xr:uid="{00000000-0005-0000-0000-0000DB390000}"/>
    <cellStyle name="Percent 2 6 11 3" xfId="14791" xr:uid="{00000000-0005-0000-0000-0000DC390000}"/>
    <cellStyle name="Percent 2 6 12" xfId="14792" xr:uid="{00000000-0005-0000-0000-0000DD390000}"/>
    <cellStyle name="Percent 2 6 12 2" xfId="14793" xr:uid="{00000000-0005-0000-0000-0000DE390000}"/>
    <cellStyle name="Percent 2 6 12 3" xfId="14794" xr:uid="{00000000-0005-0000-0000-0000DF390000}"/>
    <cellStyle name="Percent 2 6 13" xfId="14795" xr:uid="{00000000-0005-0000-0000-0000E0390000}"/>
    <cellStyle name="Percent 2 6 13 2" xfId="14796" xr:uid="{00000000-0005-0000-0000-0000E1390000}"/>
    <cellStyle name="Percent 2 6 13 3" xfId="14797" xr:uid="{00000000-0005-0000-0000-0000E2390000}"/>
    <cellStyle name="Percent 2 6 14" xfId="14798" xr:uid="{00000000-0005-0000-0000-0000E3390000}"/>
    <cellStyle name="Percent 2 6 14 2" xfId="14799" xr:uid="{00000000-0005-0000-0000-0000E4390000}"/>
    <cellStyle name="Percent 2 6 14 3" xfId="14800" xr:uid="{00000000-0005-0000-0000-0000E5390000}"/>
    <cellStyle name="Percent 2 6 15" xfId="14801" xr:uid="{00000000-0005-0000-0000-0000E6390000}"/>
    <cellStyle name="Percent 2 6 15 2" xfId="14802" xr:uid="{00000000-0005-0000-0000-0000E7390000}"/>
    <cellStyle name="Percent 2 6 15 3" xfId="14803" xr:uid="{00000000-0005-0000-0000-0000E8390000}"/>
    <cellStyle name="Percent 2 6 16" xfId="14804" xr:uid="{00000000-0005-0000-0000-0000E9390000}"/>
    <cellStyle name="Percent 2 6 17" xfId="14805" xr:uid="{00000000-0005-0000-0000-0000EA390000}"/>
    <cellStyle name="Percent 2 6 18" xfId="14806" xr:uid="{00000000-0005-0000-0000-0000EB390000}"/>
    <cellStyle name="Percent 2 6 2" xfId="14807" xr:uid="{00000000-0005-0000-0000-0000EC390000}"/>
    <cellStyle name="Percent 2 6 2 2" xfId="14808" xr:uid="{00000000-0005-0000-0000-0000ED390000}"/>
    <cellStyle name="Percent 2 6 2 3" xfId="14809" xr:uid="{00000000-0005-0000-0000-0000EE390000}"/>
    <cellStyle name="Percent 2 6 2 4" xfId="14810" xr:uid="{00000000-0005-0000-0000-0000EF390000}"/>
    <cellStyle name="Percent 2 6 3" xfId="14811" xr:uid="{00000000-0005-0000-0000-0000F0390000}"/>
    <cellStyle name="Percent 2 6 3 2" xfId="14812" xr:uid="{00000000-0005-0000-0000-0000F1390000}"/>
    <cellStyle name="Percent 2 6 3 3" xfId="14813" xr:uid="{00000000-0005-0000-0000-0000F2390000}"/>
    <cellStyle name="Percent 2 6 3 4" xfId="14814" xr:uid="{00000000-0005-0000-0000-0000F3390000}"/>
    <cellStyle name="Percent 2 6 4" xfId="14815" xr:uid="{00000000-0005-0000-0000-0000F4390000}"/>
    <cellStyle name="Percent 2 6 4 2" xfId="14816" xr:uid="{00000000-0005-0000-0000-0000F5390000}"/>
    <cellStyle name="Percent 2 6 4 3" xfId="14817" xr:uid="{00000000-0005-0000-0000-0000F6390000}"/>
    <cellStyle name="Percent 2 6 4 4" xfId="14818" xr:uid="{00000000-0005-0000-0000-0000F7390000}"/>
    <cellStyle name="Percent 2 6 5" xfId="14819" xr:uid="{00000000-0005-0000-0000-0000F8390000}"/>
    <cellStyle name="Percent 2 6 5 2" xfId="14820" xr:uid="{00000000-0005-0000-0000-0000F9390000}"/>
    <cellStyle name="Percent 2 6 5 3" xfId="14821" xr:uid="{00000000-0005-0000-0000-0000FA390000}"/>
    <cellStyle name="Percent 2 6 5 4" xfId="14822" xr:uid="{00000000-0005-0000-0000-0000FB390000}"/>
    <cellStyle name="Percent 2 6 6" xfId="14823" xr:uid="{00000000-0005-0000-0000-0000FC390000}"/>
    <cellStyle name="Percent 2 6 6 2" xfId="14824" xr:uid="{00000000-0005-0000-0000-0000FD390000}"/>
    <cellStyle name="Percent 2 6 6 3" xfId="14825" xr:uid="{00000000-0005-0000-0000-0000FE390000}"/>
    <cellStyle name="Percent 2 6 6 4" xfId="14826" xr:uid="{00000000-0005-0000-0000-0000FF390000}"/>
    <cellStyle name="Percent 2 6 7" xfId="14827" xr:uid="{00000000-0005-0000-0000-0000003A0000}"/>
    <cellStyle name="Percent 2 6 7 2" xfId="14828" xr:uid="{00000000-0005-0000-0000-0000013A0000}"/>
    <cellStyle name="Percent 2 6 7 3" xfId="14829" xr:uid="{00000000-0005-0000-0000-0000023A0000}"/>
    <cellStyle name="Percent 2 6 7 4" xfId="14830" xr:uid="{00000000-0005-0000-0000-0000033A0000}"/>
    <cellStyle name="Percent 2 6 8" xfId="14831" xr:uid="{00000000-0005-0000-0000-0000043A0000}"/>
    <cellStyle name="Percent 2 6 8 2" xfId="14832" xr:uid="{00000000-0005-0000-0000-0000053A0000}"/>
    <cellStyle name="Percent 2 6 8 3" xfId="14833" xr:uid="{00000000-0005-0000-0000-0000063A0000}"/>
    <cellStyle name="Percent 2 6 8 4" xfId="14834" xr:uid="{00000000-0005-0000-0000-0000073A0000}"/>
    <cellStyle name="Percent 2 6 9" xfId="14835" xr:uid="{00000000-0005-0000-0000-0000083A0000}"/>
    <cellStyle name="Percent 2 6 9 2" xfId="14836" xr:uid="{00000000-0005-0000-0000-0000093A0000}"/>
    <cellStyle name="Percent 2 6 9 3" xfId="14837" xr:uid="{00000000-0005-0000-0000-00000A3A0000}"/>
    <cellStyle name="Percent 2 7" xfId="14838" xr:uid="{00000000-0005-0000-0000-00000B3A0000}"/>
    <cellStyle name="Percent 2 7 10" xfId="14839" xr:uid="{00000000-0005-0000-0000-00000C3A0000}"/>
    <cellStyle name="Percent 2 7 11" xfId="14840" xr:uid="{00000000-0005-0000-0000-00000D3A0000}"/>
    <cellStyle name="Percent 2 7 2" xfId="14841" xr:uid="{00000000-0005-0000-0000-00000E3A0000}"/>
    <cellStyle name="Percent 2 7 2 2" xfId="14842" xr:uid="{00000000-0005-0000-0000-00000F3A0000}"/>
    <cellStyle name="Percent 2 7 2 3" xfId="14843" xr:uid="{00000000-0005-0000-0000-0000103A0000}"/>
    <cellStyle name="Percent 2 7 2 4" xfId="14844" xr:uid="{00000000-0005-0000-0000-0000113A0000}"/>
    <cellStyle name="Percent 2 7 3" xfId="14845" xr:uid="{00000000-0005-0000-0000-0000123A0000}"/>
    <cellStyle name="Percent 2 7 3 2" xfId="14846" xr:uid="{00000000-0005-0000-0000-0000133A0000}"/>
    <cellStyle name="Percent 2 7 3 3" xfId="14847" xr:uid="{00000000-0005-0000-0000-0000143A0000}"/>
    <cellStyle name="Percent 2 7 3 4" xfId="14848" xr:uid="{00000000-0005-0000-0000-0000153A0000}"/>
    <cellStyle name="Percent 2 7 4" xfId="14849" xr:uid="{00000000-0005-0000-0000-0000163A0000}"/>
    <cellStyle name="Percent 2 7 4 2" xfId="14850" xr:uid="{00000000-0005-0000-0000-0000173A0000}"/>
    <cellStyle name="Percent 2 7 4 3" xfId="14851" xr:uid="{00000000-0005-0000-0000-0000183A0000}"/>
    <cellStyle name="Percent 2 7 4 4" xfId="14852" xr:uid="{00000000-0005-0000-0000-0000193A0000}"/>
    <cellStyle name="Percent 2 7 5" xfId="14853" xr:uid="{00000000-0005-0000-0000-00001A3A0000}"/>
    <cellStyle name="Percent 2 7 5 2" xfId="14854" xr:uid="{00000000-0005-0000-0000-00001B3A0000}"/>
    <cellStyle name="Percent 2 7 5 3" xfId="14855" xr:uid="{00000000-0005-0000-0000-00001C3A0000}"/>
    <cellStyle name="Percent 2 7 5 4" xfId="14856" xr:uid="{00000000-0005-0000-0000-00001D3A0000}"/>
    <cellStyle name="Percent 2 7 6" xfId="14857" xr:uid="{00000000-0005-0000-0000-00001E3A0000}"/>
    <cellStyle name="Percent 2 7 6 2" xfId="14858" xr:uid="{00000000-0005-0000-0000-00001F3A0000}"/>
    <cellStyle name="Percent 2 7 6 3" xfId="14859" xr:uid="{00000000-0005-0000-0000-0000203A0000}"/>
    <cellStyle name="Percent 2 7 6 4" xfId="14860" xr:uid="{00000000-0005-0000-0000-0000213A0000}"/>
    <cellStyle name="Percent 2 7 7" xfId="14861" xr:uid="{00000000-0005-0000-0000-0000223A0000}"/>
    <cellStyle name="Percent 2 7 7 2" xfId="14862" xr:uid="{00000000-0005-0000-0000-0000233A0000}"/>
    <cellStyle name="Percent 2 7 7 3" xfId="14863" xr:uid="{00000000-0005-0000-0000-0000243A0000}"/>
    <cellStyle name="Percent 2 7 7 4" xfId="14864" xr:uid="{00000000-0005-0000-0000-0000253A0000}"/>
    <cellStyle name="Percent 2 7 8" xfId="14865" xr:uid="{00000000-0005-0000-0000-0000263A0000}"/>
    <cellStyle name="Percent 2 7 8 2" xfId="14866" xr:uid="{00000000-0005-0000-0000-0000273A0000}"/>
    <cellStyle name="Percent 2 7 8 3" xfId="14867" xr:uid="{00000000-0005-0000-0000-0000283A0000}"/>
    <cellStyle name="Percent 2 7 8 4" xfId="14868" xr:uid="{00000000-0005-0000-0000-0000293A0000}"/>
    <cellStyle name="Percent 2 7 9" xfId="14869" xr:uid="{00000000-0005-0000-0000-00002A3A0000}"/>
    <cellStyle name="Percent 2 8" xfId="14870" xr:uid="{00000000-0005-0000-0000-00002B3A0000}"/>
    <cellStyle name="Percent 2 8 10" xfId="14871" xr:uid="{00000000-0005-0000-0000-00002C3A0000}"/>
    <cellStyle name="Percent 2 8 11" xfId="14872" xr:uid="{00000000-0005-0000-0000-00002D3A0000}"/>
    <cellStyle name="Percent 2 8 2" xfId="14873" xr:uid="{00000000-0005-0000-0000-00002E3A0000}"/>
    <cellStyle name="Percent 2 8 2 2" xfId="14874" xr:uid="{00000000-0005-0000-0000-00002F3A0000}"/>
    <cellStyle name="Percent 2 8 2 3" xfId="14875" xr:uid="{00000000-0005-0000-0000-0000303A0000}"/>
    <cellStyle name="Percent 2 8 2 4" xfId="14876" xr:uid="{00000000-0005-0000-0000-0000313A0000}"/>
    <cellStyle name="Percent 2 8 3" xfId="14877" xr:uid="{00000000-0005-0000-0000-0000323A0000}"/>
    <cellStyle name="Percent 2 8 3 2" xfId="14878" xr:uid="{00000000-0005-0000-0000-0000333A0000}"/>
    <cellStyle name="Percent 2 8 3 3" xfId="14879" xr:uid="{00000000-0005-0000-0000-0000343A0000}"/>
    <cellStyle name="Percent 2 8 3 4" xfId="14880" xr:uid="{00000000-0005-0000-0000-0000353A0000}"/>
    <cellStyle name="Percent 2 8 4" xfId="14881" xr:uid="{00000000-0005-0000-0000-0000363A0000}"/>
    <cellStyle name="Percent 2 8 4 2" xfId="14882" xr:uid="{00000000-0005-0000-0000-0000373A0000}"/>
    <cellStyle name="Percent 2 8 4 3" xfId="14883" xr:uid="{00000000-0005-0000-0000-0000383A0000}"/>
    <cellStyle name="Percent 2 8 4 4" xfId="14884" xr:uid="{00000000-0005-0000-0000-0000393A0000}"/>
    <cellStyle name="Percent 2 8 5" xfId="14885" xr:uid="{00000000-0005-0000-0000-00003A3A0000}"/>
    <cellStyle name="Percent 2 8 5 2" xfId="14886" xr:uid="{00000000-0005-0000-0000-00003B3A0000}"/>
    <cellStyle name="Percent 2 8 5 3" xfId="14887" xr:uid="{00000000-0005-0000-0000-00003C3A0000}"/>
    <cellStyle name="Percent 2 8 5 4" xfId="14888" xr:uid="{00000000-0005-0000-0000-00003D3A0000}"/>
    <cellStyle name="Percent 2 8 6" xfId="14889" xr:uid="{00000000-0005-0000-0000-00003E3A0000}"/>
    <cellStyle name="Percent 2 8 6 2" xfId="14890" xr:uid="{00000000-0005-0000-0000-00003F3A0000}"/>
    <cellStyle name="Percent 2 8 6 3" xfId="14891" xr:uid="{00000000-0005-0000-0000-0000403A0000}"/>
    <cellStyle name="Percent 2 8 6 4" xfId="14892" xr:uid="{00000000-0005-0000-0000-0000413A0000}"/>
    <cellStyle name="Percent 2 8 7" xfId="14893" xr:uid="{00000000-0005-0000-0000-0000423A0000}"/>
    <cellStyle name="Percent 2 8 7 2" xfId="14894" xr:uid="{00000000-0005-0000-0000-0000433A0000}"/>
    <cellStyle name="Percent 2 8 7 3" xfId="14895" xr:uid="{00000000-0005-0000-0000-0000443A0000}"/>
    <cellStyle name="Percent 2 8 7 4" xfId="14896" xr:uid="{00000000-0005-0000-0000-0000453A0000}"/>
    <cellStyle name="Percent 2 8 8" xfId="14897" xr:uid="{00000000-0005-0000-0000-0000463A0000}"/>
    <cellStyle name="Percent 2 8 8 2" xfId="14898" xr:uid="{00000000-0005-0000-0000-0000473A0000}"/>
    <cellStyle name="Percent 2 8 8 3" xfId="14899" xr:uid="{00000000-0005-0000-0000-0000483A0000}"/>
    <cellStyle name="Percent 2 8 8 4" xfId="14900" xr:uid="{00000000-0005-0000-0000-0000493A0000}"/>
    <cellStyle name="Percent 2 8 9" xfId="14901" xr:uid="{00000000-0005-0000-0000-00004A3A0000}"/>
    <cellStyle name="Percent 2 9" xfId="14902" xr:uid="{00000000-0005-0000-0000-00004B3A0000}"/>
    <cellStyle name="Percent 2 9 10" xfId="14903" xr:uid="{00000000-0005-0000-0000-00004C3A0000}"/>
    <cellStyle name="Percent 2 9 11" xfId="14904" xr:uid="{00000000-0005-0000-0000-00004D3A0000}"/>
    <cellStyle name="Percent 2 9 2" xfId="14905" xr:uid="{00000000-0005-0000-0000-00004E3A0000}"/>
    <cellStyle name="Percent 2 9 2 2" xfId="14906" xr:uid="{00000000-0005-0000-0000-00004F3A0000}"/>
    <cellStyle name="Percent 2 9 2 3" xfId="14907" xr:uid="{00000000-0005-0000-0000-0000503A0000}"/>
    <cellStyle name="Percent 2 9 2 4" xfId="14908" xr:uid="{00000000-0005-0000-0000-0000513A0000}"/>
    <cellStyle name="Percent 2 9 3" xfId="14909" xr:uid="{00000000-0005-0000-0000-0000523A0000}"/>
    <cellStyle name="Percent 2 9 3 2" xfId="14910" xr:uid="{00000000-0005-0000-0000-0000533A0000}"/>
    <cellStyle name="Percent 2 9 3 3" xfId="14911" xr:uid="{00000000-0005-0000-0000-0000543A0000}"/>
    <cellStyle name="Percent 2 9 3 4" xfId="14912" xr:uid="{00000000-0005-0000-0000-0000553A0000}"/>
    <cellStyle name="Percent 2 9 4" xfId="14913" xr:uid="{00000000-0005-0000-0000-0000563A0000}"/>
    <cellStyle name="Percent 2 9 4 2" xfId="14914" xr:uid="{00000000-0005-0000-0000-0000573A0000}"/>
    <cellStyle name="Percent 2 9 4 3" xfId="14915" xr:uid="{00000000-0005-0000-0000-0000583A0000}"/>
    <cellStyle name="Percent 2 9 4 4" xfId="14916" xr:uid="{00000000-0005-0000-0000-0000593A0000}"/>
    <cellStyle name="Percent 2 9 5" xfId="14917" xr:uid="{00000000-0005-0000-0000-00005A3A0000}"/>
    <cellStyle name="Percent 2 9 5 2" xfId="14918" xr:uid="{00000000-0005-0000-0000-00005B3A0000}"/>
    <cellStyle name="Percent 2 9 5 3" xfId="14919" xr:uid="{00000000-0005-0000-0000-00005C3A0000}"/>
    <cellStyle name="Percent 2 9 5 4" xfId="14920" xr:uid="{00000000-0005-0000-0000-00005D3A0000}"/>
    <cellStyle name="Percent 2 9 6" xfId="14921" xr:uid="{00000000-0005-0000-0000-00005E3A0000}"/>
    <cellStyle name="Percent 2 9 6 2" xfId="14922" xr:uid="{00000000-0005-0000-0000-00005F3A0000}"/>
    <cellStyle name="Percent 2 9 6 3" xfId="14923" xr:uid="{00000000-0005-0000-0000-0000603A0000}"/>
    <cellStyle name="Percent 2 9 6 4" xfId="14924" xr:uid="{00000000-0005-0000-0000-0000613A0000}"/>
    <cellStyle name="Percent 2 9 7" xfId="14925" xr:uid="{00000000-0005-0000-0000-0000623A0000}"/>
    <cellStyle name="Percent 2 9 7 2" xfId="14926" xr:uid="{00000000-0005-0000-0000-0000633A0000}"/>
    <cellStyle name="Percent 2 9 7 3" xfId="14927" xr:uid="{00000000-0005-0000-0000-0000643A0000}"/>
    <cellStyle name="Percent 2 9 7 4" xfId="14928" xr:uid="{00000000-0005-0000-0000-0000653A0000}"/>
    <cellStyle name="Percent 2 9 8" xfId="14929" xr:uid="{00000000-0005-0000-0000-0000663A0000}"/>
    <cellStyle name="Percent 2 9 8 2" xfId="14930" xr:uid="{00000000-0005-0000-0000-0000673A0000}"/>
    <cellStyle name="Percent 2 9 8 3" xfId="14931" xr:uid="{00000000-0005-0000-0000-0000683A0000}"/>
    <cellStyle name="Percent 2 9 8 4" xfId="14932" xr:uid="{00000000-0005-0000-0000-0000693A0000}"/>
    <cellStyle name="Percent 2 9 9" xfId="14933" xr:uid="{00000000-0005-0000-0000-00006A3A0000}"/>
    <cellStyle name="Percent 2_DACNEW" xfId="17764" xr:uid="{00000000-0005-0000-0000-00006B3A0000}"/>
    <cellStyle name="Percent 20" xfId="14934" xr:uid="{00000000-0005-0000-0000-00006C3A0000}"/>
    <cellStyle name="Percent 20 10" xfId="14935" xr:uid="{00000000-0005-0000-0000-00006D3A0000}"/>
    <cellStyle name="Percent 20 2" xfId="14936" xr:uid="{00000000-0005-0000-0000-00006E3A0000}"/>
    <cellStyle name="Percent 20 2 2" xfId="14937" xr:uid="{00000000-0005-0000-0000-00006F3A0000}"/>
    <cellStyle name="Percent 20 2 3" xfId="14938" xr:uid="{00000000-0005-0000-0000-0000703A0000}"/>
    <cellStyle name="Percent 20 2 4" xfId="14939" xr:uid="{00000000-0005-0000-0000-0000713A0000}"/>
    <cellStyle name="Percent 20 3" xfId="14940" xr:uid="{00000000-0005-0000-0000-0000723A0000}"/>
    <cellStyle name="Percent 20 3 2" xfId="14941" xr:uid="{00000000-0005-0000-0000-0000733A0000}"/>
    <cellStyle name="Percent 20 3 3" xfId="14942" xr:uid="{00000000-0005-0000-0000-0000743A0000}"/>
    <cellStyle name="Percent 20 4" xfId="14943" xr:uid="{00000000-0005-0000-0000-0000753A0000}"/>
    <cellStyle name="Percent 20 4 2" xfId="14944" xr:uid="{00000000-0005-0000-0000-0000763A0000}"/>
    <cellStyle name="Percent 20 4 3" xfId="14945" xr:uid="{00000000-0005-0000-0000-0000773A0000}"/>
    <cellStyle name="Percent 20 5" xfId="14946" xr:uid="{00000000-0005-0000-0000-0000783A0000}"/>
    <cellStyle name="Percent 20 5 2" xfId="14947" xr:uid="{00000000-0005-0000-0000-0000793A0000}"/>
    <cellStyle name="Percent 20 5 3" xfId="14948" xr:uid="{00000000-0005-0000-0000-00007A3A0000}"/>
    <cellStyle name="Percent 20 6" xfId="14949" xr:uid="{00000000-0005-0000-0000-00007B3A0000}"/>
    <cellStyle name="Percent 20 6 2" xfId="14950" xr:uid="{00000000-0005-0000-0000-00007C3A0000}"/>
    <cellStyle name="Percent 20 6 3" xfId="14951" xr:uid="{00000000-0005-0000-0000-00007D3A0000}"/>
    <cellStyle name="Percent 20 7" xfId="14952" xr:uid="{00000000-0005-0000-0000-00007E3A0000}"/>
    <cellStyle name="Percent 20 7 2" xfId="14953" xr:uid="{00000000-0005-0000-0000-00007F3A0000}"/>
    <cellStyle name="Percent 20 7 2 2" xfId="14954" xr:uid="{00000000-0005-0000-0000-0000803A0000}"/>
    <cellStyle name="Percent 20 7 2 3" xfId="14955" xr:uid="{00000000-0005-0000-0000-0000813A0000}"/>
    <cellStyle name="Percent 20 7 3" xfId="14956" xr:uid="{00000000-0005-0000-0000-0000823A0000}"/>
    <cellStyle name="Percent 20 7 3 2" xfId="14957" xr:uid="{00000000-0005-0000-0000-0000833A0000}"/>
    <cellStyle name="Percent 20 7 3 3" xfId="14958" xr:uid="{00000000-0005-0000-0000-0000843A0000}"/>
    <cellStyle name="Percent 20 7 4" xfId="14959" xr:uid="{00000000-0005-0000-0000-0000853A0000}"/>
    <cellStyle name="Percent 20 7 5" xfId="14960" xr:uid="{00000000-0005-0000-0000-0000863A0000}"/>
    <cellStyle name="Percent 20 8" xfId="14961" xr:uid="{00000000-0005-0000-0000-0000873A0000}"/>
    <cellStyle name="Percent 20 9" xfId="14962" xr:uid="{00000000-0005-0000-0000-0000883A0000}"/>
    <cellStyle name="Percent 21" xfId="14963" xr:uid="{00000000-0005-0000-0000-0000893A0000}"/>
    <cellStyle name="Percent 21 2" xfId="14964" xr:uid="{00000000-0005-0000-0000-00008A3A0000}"/>
    <cellStyle name="Percent 21 2 2" xfId="14965" xr:uid="{00000000-0005-0000-0000-00008B3A0000}"/>
    <cellStyle name="Percent 21 2 3" xfId="14966" xr:uid="{00000000-0005-0000-0000-00008C3A0000}"/>
    <cellStyle name="Percent 21 3" xfId="14967" xr:uid="{00000000-0005-0000-0000-00008D3A0000}"/>
    <cellStyle name="Percent 21 3 2" xfId="14968" xr:uid="{00000000-0005-0000-0000-00008E3A0000}"/>
    <cellStyle name="Percent 21 3 3" xfId="14969" xr:uid="{00000000-0005-0000-0000-00008F3A0000}"/>
    <cellStyle name="Percent 21 4" xfId="14970" xr:uid="{00000000-0005-0000-0000-0000903A0000}"/>
    <cellStyle name="Percent 21 4 2" xfId="14971" xr:uid="{00000000-0005-0000-0000-0000913A0000}"/>
    <cellStyle name="Percent 21 4 3" xfId="14972" xr:uid="{00000000-0005-0000-0000-0000923A0000}"/>
    <cellStyle name="Percent 21 5" xfId="14973" xr:uid="{00000000-0005-0000-0000-0000933A0000}"/>
    <cellStyle name="Percent 21 5 2" xfId="14974" xr:uid="{00000000-0005-0000-0000-0000943A0000}"/>
    <cellStyle name="Percent 21 5 3" xfId="14975" xr:uid="{00000000-0005-0000-0000-0000953A0000}"/>
    <cellStyle name="Percent 21 6" xfId="14976" xr:uid="{00000000-0005-0000-0000-0000963A0000}"/>
    <cellStyle name="Percent 21 6 2" xfId="14977" xr:uid="{00000000-0005-0000-0000-0000973A0000}"/>
    <cellStyle name="Percent 21 6 3" xfId="14978" xr:uid="{00000000-0005-0000-0000-0000983A0000}"/>
    <cellStyle name="Percent 21 7" xfId="14979" xr:uid="{00000000-0005-0000-0000-0000993A0000}"/>
    <cellStyle name="Percent 21 7 2" xfId="14980" xr:uid="{00000000-0005-0000-0000-00009A3A0000}"/>
    <cellStyle name="Percent 21 7 2 2" xfId="14981" xr:uid="{00000000-0005-0000-0000-00009B3A0000}"/>
    <cellStyle name="Percent 21 7 2 3" xfId="14982" xr:uid="{00000000-0005-0000-0000-00009C3A0000}"/>
    <cellStyle name="Percent 21 7 3" xfId="14983" xr:uid="{00000000-0005-0000-0000-00009D3A0000}"/>
    <cellStyle name="Percent 21 7 3 2" xfId="14984" xr:uid="{00000000-0005-0000-0000-00009E3A0000}"/>
    <cellStyle name="Percent 21 7 3 3" xfId="14985" xr:uid="{00000000-0005-0000-0000-00009F3A0000}"/>
    <cellStyle name="Percent 21 7 4" xfId="14986" xr:uid="{00000000-0005-0000-0000-0000A03A0000}"/>
    <cellStyle name="Percent 21 7 5" xfId="14987" xr:uid="{00000000-0005-0000-0000-0000A13A0000}"/>
    <cellStyle name="Percent 21 8" xfId="14988" xr:uid="{00000000-0005-0000-0000-0000A23A0000}"/>
    <cellStyle name="Percent 21 9" xfId="14989" xr:uid="{00000000-0005-0000-0000-0000A33A0000}"/>
    <cellStyle name="Percent 22" xfId="14990" xr:uid="{00000000-0005-0000-0000-0000A43A0000}"/>
    <cellStyle name="Percent 22 2" xfId="14991" xr:uid="{00000000-0005-0000-0000-0000A53A0000}"/>
    <cellStyle name="Percent 22 2 2" xfId="14992" xr:uid="{00000000-0005-0000-0000-0000A63A0000}"/>
    <cellStyle name="Percent 22 2 3" xfId="14993" xr:uid="{00000000-0005-0000-0000-0000A73A0000}"/>
    <cellStyle name="Percent 22 3" xfId="14994" xr:uid="{00000000-0005-0000-0000-0000A83A0000}"/>
    <cellStyle name="Percent 22 3 2" xfId="14995" xr:uid="{00000000-0005-0000-0000-0000A93A0000}"/>
    <cellStyle name="Percent 22 3 3" xfId="14996" xr:uid="{00000000-0005-0000-0000-0000AA3A0000}"/>
    <cellStyle name="Percent 22 4" xfId="14997" xr:uid="{00000000-0005-0000-0000-0000AB3A0000}"/>
    <cellStyle name="Percent 22 4 2" xfId="14998" xr:uid="{00000000-0005-0000-0000-0000AC3A0000}"/>
    <cellStyle name="Percent 22 4 3" xfId="14999" xr:uid="{00000000-0005-0000-0000-0000AD3A0000}"/>
    <cellStyle name="Percent 22 5" xfId="15000" xr:uid="{00000000-0005-0000-0000-0000AE3A0000}"/>
    <cellStyle name="Percent 22 5 2" xfId="15001" xr:uid="{00000000-0005-0000-0000-0000AF3A0000}"/>
    <cellStyle name="Percent 22 5 3" xfId="15002" xr:uid="{00000000-0005-0000-0000-0000B03A0000}"/>
    <cellStyle name="Percent 22 6" xfId="15003" xr:uid="{00000000-0005-0000-0000-0000B13A0000}"/>
    <cellStyle name="Percent 22 6 2" xfId="15004" xr:uid="{00000000-0005-0000-0000-0000B23A0000}"/>
    <cellStyle name="Percent 22 6 3" xfId="15005" xr:uid="{00000000-0005-0000-0000-0000B33A0000}"/>
    <cellStyle name="Percent 22 7" xfId="15006" xr:uid="{00000000-0005-0000-0000-0000B43A0000}"/>
    <cellStyle name="Percent 22 7 2" xfId="15007" xr:uid="{00000000-0005-0000-0000-0000B53A0000}"/>
    <cellStyle name="Percent 22 7 2 2" xfId="15008" xr:uid="{00000000-0005-0000-0000-0000B63A0000}"/>
    <cellStyle name="Percent 22 7 2 3" xfId="15009" xr:uid="{00000000-0005-0000-0000-0000B73A0000}"/>
    <cellStyle name="Percent 22 7 3" xfId="15010" xr:uid="{00000000-0005-0000-0000-0000B83A0000}"/>
    <cellStyle name="Percent 22 7 3 2" xfId="15011" xr:uid="{00000000-0005-0000-0000-0000B93A0000}"/>
    <cellStyle name="Percent 22 7 3 3" xfId="15012" xr:uid="{00000000-0005-0000-0000-0000BA3A0000}"/>
    <cellStyle name="Percent 22 7 4" xfId="15013" xr:uid="{00000000-0005-0000-0000-0000BB3A0000}"/>
    <cellStyle name="Percent 22 7 5" xfId="15014" xr:uid="{00000000-0005-0000-0000-0000BC3A0000}"/>
    <cellStyle name="Percent 22 8" xfId="15015" xr:uid="{00000000-0005-0000-0000-0000BD3A0000}"/>
    <cellStyle name="Percent 22 9" xfId="15016" xr:uid="{00000000-0005-0000-0000-0000BE3A0000}"/>
    <cellStyle name="Percent 23" xfId="15017" xr:uid="{00000000-0005-0000-0000-0000BF3A0000}"/>
    <cellStyle name="Percent 23 2" xfId="15018" xr:uid="{00000000-0005-0000-0000-0000C03A0000}"/>
    <cellStyle name="Percent 23 2 2" xfId="15019" xr:uid="{00000000-0005-0000-0000-0000C13A0000}"/>
    <cellStyle name="Percent 23 2 3" xfId="15020" xr:uid="{00000000-0005-0000-0000-0000C23A0000}"/>
    <cellStyle name="Percent 23 3" xfId="15021" xr:uid="{00000000-0005-0000-0000-0000C33A0000}"/>
    <cellStyle name="Percent 23 3 2" xfId="15022" xr:uid="{00000000-0005-0000-0000-0000C43A0000}"/>
    <cellStyle name="Percent 23 3 3" xfId="15023" xr:uid="{00000000-0005-0000-0000-0000C53A0000}"/>
    <cellStyle name="Percent 23 4" xfId="15024" xr:uid="{00000000-0005-0000-0000-0000C63A0000}"/>
    <cellStyle name="Percent 23 4 2" xfId="15025" xr:uid="{00000000-0005-0000-0000-0000C73A0000}"/>
    <cellStyle name="Percent 23 4 3" xfId="15026" xr:uid="{00000000-0005-0000-0000-0000C83A0000}"/>
    <cellStyle name="Percent 23 5" xfId="15027" xr:uid="{00000000-0005-0000-0000-0000C93A0000}"/>
    <cellStyle name="Percent 23 5 2" xfId="15028" xr:uid="{00000000-0005-0000-0000-0000CA3A0000}"/>
    <cellStyle name="Percent 23 5 3" xfId="15029" xr:uid="{00000000-0005-0000-0000-0000CB3A0000}"/>
    <cellStyle name="Percent 23 6" xfId="15030" xr:uid="{00000000-0005-0000-0000-0000CC3A0000}"/>
    <cellStyle name="Percent 23 6 2" xfId="15031" xr:uid="{00000000-0005-0000-0000-0000CD3A0000}"/>
    <cellStyle name="Percent 23 6 3" xfId="15032" xr:uid="{00000000-0005-0000-0000-0000CE3A0000}"/>
    <cellStyle name="Percent 23 7" xfId="15033" xr:uid="{00000000-0005-0000-0000-0000CF3A0000}"/>
    <cellStyle name="Percent 23 7 2" xfId="15034" xr:uid="{00000000-0005-0000-0000-0000D03A0000}"/>
    <cellStyle name="Percent 23 7 2 2" xfId="15035" xr:uid="{00000000-0005-0000-0000-0000D13A0000}"/>
    <cellStyle name="Percent 23 7 2 3" xfId="15036" xr:uid="{00000000-0005-0000-0000-0000D23A0000}"/>
    <cellStyle name="Percent 23 7 3" xfId="15037" xr:uid="{00000000-0005-0000-0000-0000D33A0000}"/>
    <cellStyle name="Percent 23 7 3 2" xfId="15038" xr:uid="{00000000-0005-0000-0000-0000D43A0000}"/>
    <cellStyle name="Percent 23 7 3 3" xfId="15039" xr:uid="{00000000-0005-0000-0000-0000D53A0000}"/>
    <cellStyle name="Percent 23 7 4" xfId="15040" xr:uid="{00000000-0005-0000-0000-0000D63A0000}"/>
    <cellStyle name="Percent 23 7 5" xfId="15041" xr:uid="{00000000-0005-0000-0000-0000D73A0000}"/>
    <cellStyle name="Percent 23 8" xfId="15042" xr:uid="{00000000-0005-0000-0000-0000D83A0000}"/>
    <cellStyle name="Percent 23 9" xfId="15043" xr:uid="{00000000-0005-0000-0000-0000D93A0000}"/>
    <cellStyle name="Percent 24" xfId="15044" xr:uid="{00000000-0005-0000-0000-0000DA3A0000}"/>
    <cellStyle name="Percent 24 10" xfId="15045" xr:uid="{00000000-0005-0000-0000-0000DB3A0000}"/>
    <cellStyle name="Percent 24 10 2" xfId="15046" xr:uid="{00000000-0005-0000-0000-0000DC3A0000}"/>
    <cellStyle name="Percent 24 10 2 2" xfId="15047" xr:uid="{00000000-0005-0000-0000-0000DD3A0000}"/>
    <cellStyle name="Percent 24 10 2 3" xfId="15048" xr:uid="{00000000-0005-0000-0000-0000DE3A0000}"/>
    <cellStyle name="Percent 24 10 3" xfId="15049" xr:uid="{00000000-0005-0000-0000-0000DF3A0000}"/>
    <cellStyle name="Percent 24 10 4" xfId="15050" xr:uid="{00000000-0005-0000-0000-0000E03A0000}"/>
    <cellStyle name="Percent 24 11" xfId="15051" xr:uid="{00000000-0005-0000-0000-0000E13A0000}"/>
    <cellStyle name="Percent 24 11 2" xfId="15052" xr:uid="{00000000-0005-0000-0000-0000E23A0000}"/>
    <cellStyle name="Percent 24 11 3" xfId="15053" xr:uid="{00000000-0005-0000-0000-0000E33A0000}"/>
    <cellStyle name="Percent 24 12" xfId="15054" xr:uid="{00000000-0005-0000-0000-0000E43A0000}"/>
    <cellStyle name="Percent 24 13" xfId="15055" xr:uid="{00000000-0005-0000-0000-0000E53A0000}"/>
    <cellStyle name="Percent 24 2" xfId="15056" xr:uid="{00000000-0005-0000-0000-0000E63A0000}"/>
    <cellStyle name="Percent 24 2 2" xfId="15057" xr:uid="{00000000-0005-0000-0000-0000E73A0000}"/>
    <cellStyle name="Percent 24 2 3" xfId="15058" xr:uid="{00000000-0005-0000-0000-0000E83A0000}"/>
    <cellStyle name="Percent 24 3" xfId="15059" xr:uid="{00000000-0005-0000-0000-0000E93A0000}"/>
    <cellStyle name="Percent 24 3 2" xfId="15060" xr:uid="{00000000-0005-0000-0000-0000EA3A0000}"/>
    <cellStyle name="Percent 24 3 3" xfId="15061" xr:uid="{00000000-0005-0000-0000-0000EB3A0000}"/>
    <cellStyle name="Percent 24 4" xfId="15062" xr:uid="{00000000-0005-0000-0000-0000EC3A0000}"/>
    <cellStyle name="Percent 24 4 2" xfId="15063" xr:uid="{00000000-0005-0000-0000-0000ED3A0000}"/>
    <cellStyle name="Percent 24 4 3" xfId="15064" xr:uid="{00000000-0005-0000-0000-0000EE3A0000}"/>
    <cellStyle name="Percent 24 5" xfId="15065" xr:uid="{00000000-0005-0000-0000-0000EF3A0000}"/>
    <cellStyle name="Percent 24 5 2" xfId="15066" xr:uid="{00000000-0005-0000-0000-0000F03A0000}"/>
    <cellStyle name="Percent 24 5 3" xfId="15067" xr:uid="{00000000-0005-0000-0000-0000F13A0000}"/>
    <cellStyle name="Percent 24 6" xfId="15068" xr:uid="{00000000-0005-0000-0000-0000F23A0000}"/>
    <cellStyle name="Percent 24 6 2" xfId="15069" xr:uid="{00000000-0005-0000-0000-0000F33A0000}"/>
    <cellStyle name="Percent 24 6 3" xfId="15070" xr:uid="{00000000-0005-0000-0000-0000F43A0000}"/>
    <cellStyle name="Percent 24 7" xfId="15071" xr:uid="{00000000-0005-0000-0000-0000F53A0000}"/>
    <cellStyle name="Percent 24 7 2" xfId="15072" xr:uid="{00000000-0005-0000-0000-0000F63A0000}"/>
    <cellStyle name="Percent 24 7 2 2" xfId="15073" xr:uid="{00000000-0005-0000-0000-0000F73A0000}"/>
    <cellStyle name="Percent 24 7 2 3" xfId="15074" xr:uid="{00000000-0005-0000-0000-0000F83A0000}"/>
    <cellStyle name="Percent 24 7 3" xfId="15075" xr:uid="{00000000-0005-0000-0000-0000F93A0000}"/>
    <cellStyle name="Percent 24 7 3 2" xfId="15076" xr:uid="{00000000-0005-0000-0000-0000FA3A0000}"/>
    <cellStyle name="Percent 24 7 3 3" xfId="15077" xr:uid="{00000000-0005-0000-0000-0000FB3A0000}"/>
    <cellStyle name="Percent 24 7 4" xfId="15078" xr:uid="{00000000-0005-0000-0000-0000FC3A0000}"/>
    <cellStyle name="Percent 24 7 5" xfId="15079" xr:uid="{00000000-0005-0000-0000-0000FD3A0000}"/>
    <cellStyle name="Percent 24 8" xfId="15080" xr:uid="{00000000-0005-0000-0000-0000FE3A0000}"/>
    <cellStyle name="Percent 24 8 2" xfId="15081" xr:uid="{00000000-0005-0000-0000-0000FF3A0000}"/>
    <cellStyle name="Percent 24 8 2 2" xfId="15082" xr:uid="{00000000-0005-0000-0000-0000003B0000}"/>
    <cellStyle name="Percent 24 8 2 2 2" xfId="15083" xr:uid="{00000000-0005-0000-0000-0000013B0000}"/>
    <cellStyle name="Percent 24 8 2 2 3" xfId="15084" xr:uid="{00000000-0005-0000-0000-0000023B0000}"/>
    <cellStyle name="Percent 24 8 2 3" xfId="15085" xr:uid="{00000000-0005-0000-0000-0000033B0000}"/>
    <cellStyle name="Percent 24 8 2 4" xfId="15086" xr:uid="{00000000-0005-0000-0000-0000043B0000}"/>
    <cellStyle name="Percent 24 8 3" xfId="15087" xr:uid="{00000000-0005-0000-0000-0000053B0000}"/>
    <cellStyle name="Percent 24 8 3 2" xfId="15088" xr:uid="{00000000-0005-0000-0000-0000063B0000}"/>
    <cellStyle name="Percent 24 8 3 2 2" xfId="15089" xr:uid="{00000000-0005-0000-0000-0000073B0000}"/>
    <cellStyle name="Percent 24 8 3 2 3" xfId="15090" xr:uid="{00000000-0005-0000-0000-0000083B0000}"/>
    <cellStyle name="Percent 24 8 3 3" xfId="15091" xr:uid="{00000000-0005-0000-0000-0000093B0000}"/>
    <cellStyle name="Percent 24 8 3 4" xfId="15092" xr:uid="{00000000-0005-0000-0000-00000A3B0000}"/>
    <cellStyle name="Percent 24 8 4" xfId="15093" xr:uid="{00000000-0005-0000-0000-00000B3B0000}"/>
    <cellStyle name="Percent 24 8 4 2" xfId="15094" xr:uid="{00000000-0005-0000-0000-00000C3B0000}"/>
    <cellStyle name="Percent 24 8 4 3" xfId="15095" xr:uid="{00000000-0005-0000-0000-00000D3B0000}"/>
    <cellStyle name="Percent 24 8 5" xfId="15096" xr:uid="{00000000-0005-0000-0000-00000E3B0000}"/>
    <cellStyle name="Percent 24 8 6" xfId="15097" xr:uid="{00000000-0005-0000-0000-00000F3B0000}"/>
    <cellStyle name="Percent 24 9" xfId="15098" xr:uid="{00000000-0005-0000-0000-0000103B0000}"/>
    <cellStyle name="Percent 24 9 2" xfId="15099" xr:uid="{00000000-0005-0000-0000-0000113B0000}"/>
    <cellStyle name="Percent 24 9 2 2" xfId="15100" xr:uid="{00000000-0005-0000-0000-0000123B0000}"/>
    <cellStyle name="Percent 24 9 2 3" xfId="15101" xr:uid="{00000000-0005-0000-0000-0000133B0000}"/>
    <cellStyle name="Percent 24 9 3" xfId="15102" xr:uid="{00000000-0005-0000-0000-0000143B0000}"/>
    <cellStyle name="Percent 24 9 4" xfId="15103" xr:uid="{00000000-0005-0000-0000-0000153B0000}"/>
    <cellStyle name="Percent 25" xfId="15104" xr:uid="{00000000-0005-0000-0000-0000163B0000}"/>
    <cellStyle name="Percent 25 2" xfId="15105" xr:uid="{00000000-0005-0000-0000-0000173B0000}"/>
    <cellStyle name="Percent 25 2 2" xfId="15106" xr:uid="{00000000-0005-0000-0000-0000183B0000}"/>
    <cellStyle name="Percent 25 2 3" xfId="15107" xr:uid="{00000000-0005-0000-0000-0000193B0000}"/>
    <cellStyle name="Percent 25 3" xfId="15108" xr:uid="{00000000-0005-0000-0000-00001A3B0000}"/>
    <cellStyle name="Percent 25 3 2" xfId="15109" xr:uid="{00000000-0005-0000-0000-00001B3B0000}"/>
    <cellStyle name="Percent 25 3 3" xfId="15110" xr:uid="{00000000-0005-0000-0000-00001C3B0000}"/>
    <cellStyle name="Percent 25 4" xfId="15111" xr:uid="{00000000-0005-0000-0000-00001D3B0000}"/>
    <cellStyle name="Percent 25 4 2" xfId="15112" xr:uid="{00000000-0005-0000-0000-00001E3B0000}"/>
    <cellStyle name="Percent 25 4 3" xfId="15113" xr:uid="{00000000-0005-0000-0000-00001F3B0000}"/>
    <cellStyle name="Percent 25 5" xfId="15114" xr:uid="{00000000-0005-0000-0000-0000203B0000}"/>
    <cellStyle name="Percent 25 5 2" xfId="15115" xr:uid="{00000000-0005-0000-0000-0000213B0000}"/>
    <cellStyle name="Percent 25 5 3" xfId="15116" xr:uid="{00000000-0005-0000-0000-0000223B0000}"/>
    <cellStyle name="Percent 25 6" xfId="15117" xr:uid="{00000000-0005-0000-0000-0000233B0000}"/>
    <cellStyle name="Percent 25 6 2" xfId="15118" xr:uid="{00000000-0005-0000-0000-0000243B0000}"/>
    <cellStyle name="Percent 25 6 3" xfId="15119" xr:uid="{00000000-0005-0000-0000-0000253B0000}"/>
    <cellStyle name="Percent 25 7" xfId="15120" xr:uid="{00000000-0005-0000-0000-0000263B0000}"/>
    <cellStyle name="Percent 25 7 2" xfId="15121" xr:uid="{00000000-0005-0000-0000-0000273B0000}"/>
    <cellStyle name="Percent 25 7 2 2" xfId="15122" xr:uid="{00000000-0005-0000-0000-0000283B0000}"/>
    <cellStyle name="Percent 25 7 2 3" xfId="15123" xr:uid="{00000000-0005-0000-0000-0000293B0000}"/>
    <cellStyle name="Percent 25 7 3" xfId="15124" xr:uid="{00000000-0005-0000-0000-00002A3B0000}"/>
    <cellStyle name="Percent 25 7 3 2" xfId="15125" xr:uid="{00000000-0005-0000-0000-00002B3B0000}"/>
    <cellStyle name="Percent 25 7 3 3" xfId="15126" xr:uid="{00000000-0005-0000-0000-00002C3B0000}"/>
    <cellStyle name="Percent 25 7 4" xfId="15127" xr:uid="{00000000-0005-0000-0000-00002D3B0000}"/>
    <cellStyle name="Percent 25 7 5" xfId="15128" xr:uid="{00000000-0005-0000-0000-00002E3B0000}"/>
    <cellStyle name="Percent 25 8" xfId="15129" xr:uid="{00000000-0005-0000-0000-00002F3B0000}"/>
    <cellStyle name="Percent 25 9" xfId="15130" xr:uid="{00000000-0005-0000-0000-0000303B0000}"/>
    <cellStyle name="Percent 26" xfId="15131" xr:uid="{00000000-0005-0000-0000-0000313B0000}"/>
    <cellStyle name="Percent 26 2" xfId="15132" xr:uid="{00000000-0005-0000-0000-0000323B0000}"/>
    <cellStyle name="Percent 26 2 2" xfId="15133" xr:uid="{00000000-0005-0000-0000-0000333B0000}"/>
    <cellStyle name="Percent 26 2 3" xfId="15134" xr:uid="{00000000-0005-0000-0000-0000343B0000}"/>
    <cellStyle name="Percent 26 3" xfId="15135" xr:uid="{00000000-0005-0000-0000-0000353B0000}"/>
    <cellStyle name="Percent 26 3 2" xfId="15136" xr:uid="{00000000-0005-0000-0000-0000363B0000}"/>
    <cellStyle name="Percent 26 3 3" xfId="15137" xr:uid="{00000000-0005-0000-0000-0000373B0000}"/>
    <cellStyle name="Percent 26 4" xfId="15138" xr:uid="{00000000-0005-0000-0000-0000383B0000}"/>
    <cellStyle name="Percent 26 4 2" xfId="15139" xr:uid="{00000000-0005-0000-0000-0000393B0000}"/>
    <cellStyle name="Percent 26 4 3" xfId="15140" xr:uid="{00000000-0005-0000-0000-00003A3B0000}"/>
    <cellStyle name="Percent 26 5" xfId="15141" xr:uid="{00000000-0005-0000-0000-00003B3B0000}"/>
    <cellStyle name="Percent 26 5 2" xfId="15142" xr:uid="{00000000-0005-0000-0000-00003C3B0000}"/>
    <cellStyle name="Percent 26 5 3" xfId="15143" xr:uid="{00000000-0005-0000-0000-00003D3B0000}"/>
    <cellStyle name="Percent 26 6" xfId="15144" xr:uid="{00000000-0005-0000-0000-00003E3B0000}"/>
    <cellStyle name="Percent 26 6 2" xfId="15145" xr:uid="{00000000-0005-0000-0000-00003F3B0000}"/>
    <cellStyle name="Percent 26 6 3" xfId="15146" xr:uid="{00000000-0005-0000-0000-0000403B0000}"/>
    <cellStyle name="Percent 26 7" xfId="15147" xr:uid="{00000000-0005-0000-0000-0000413B0000}"/>
    <cellStyle name="Percent 26 7 2" xfId="15148" xr:uid="{00000000-0005-0000-0000-0000423B0000}"/>
    <cellStyle name="Percent 26 7 2 2" xfId="15149" xr:uid="{00000000-0005-0000-0000-0000433B0000}"/>
    <cellStyle name="Percent 26 7 2 3" xfId="15150" xr:uid="{00000000-0005-0000-0000-0000443B0000}"/>
    <cellStyle name="Percent 26 7 3" xfId="15151" xr:uid="{00000000-0005-0000-0000-0000453B0000}"/>
    <cellStyle name="Percent 26 7 3 2" xfId="15152" xr:uid="{00000000-0005-0000-0000-0000463B0000}"/>
    <cellStyle name="Percent 26 7 3 3" xfId="15153" xr:uid="{00000000-0005-0000-0000-0000473B0000}"/>
    <cellStyle name="Percent 26 7 4" xfId="15154" xr:uid="{00000000-0005-0000-0000-0000483B0000}"/>
    <cellStyle name="Percent 26 7 5" xfId="15155" xr:uid="{00000000-0005-0000-0000-0000493B0000}"/>
    <cellStyle name="Percent 26 8" xfId="15156" xr:uid="{00000000-0005-0000-0000-00004A3B0000}"/>
    <cellStyle name="Percent 26 9" xfId="15157" xr:uid="{00000000-0005-0000-0000-00004B3B0000}"/>
    <cellStyle name="Percent 27" xfId="15158" xr:uid="{00000000-0005-0000-0000-00004C3B0000}"/>
    <cellStyle name="Percent 27 2" xfId="15159" xr:uid="{00000000-0005-0000-0000-00004D3B0000}"/>
    <cellStyle name="Percent 27 3" xfId="15160" xr:uid="{00000000-0005-0000-0000-00004E3B0000}"/>
    <cellStyle name="Percent 28" xfId="15161" xr:uid="{00000000-0005-0000-0000-00004F3B0000}"/>
    <cellStyle name="Percent 28 2" xfId="15162" xr:uid="{00000000-0005-0000-0000-0000503B0000}"/>
    <cellStyle name="Percent 28 2 2" xfId="15163" xr:uid="{00000000-0005-0000-0000-0000513B0000}"/>
    <cellStyle name="Percent 28 2 2 2" xfId="15164" xr:uid="{00000000-0005-0000-0000-0000523B0000}"/>
    <cellStyle name="Percent 28 2 2 2 2" xfId="15165" xr:uid="{00000000-0005-0000-0000-0000533B0000}"/>
    <cellStyle name="Percent 28 2 2 2 3" xfId="15166" xr:uid="{00000000-0005-0000-0000-0000543B0000}"/>
    <cellStyle name="Percent 28 2 2 3" xfId="15167" xr:uid="{00000000-0005-0000-0000-0000553B0000}"/>
    <cellStyle name="Percent 28 2 2 4" xfId="15168" xr:uid="{00000000-0005-0000-0000-0000563B0000}"/>
    <cellStyle name="Percent 28 2 3" xfId="15169" xr:uid="{00000000-0005-0000-0000-0000573B0000}"/>
    <cellStyle name="Percent 28 2 3 2" xfId="15170" xr:uid="{00000000-0005-0000-0000-0000583B0000}"/>
    <cellStyle name="Percent 28 2 3 2 2" xfId="15171" xr:uid="{00000000-0005-0000-0000-0000593B0000}"/>
    <cellStyle name="Percent 28 2 3 2 3" xfId="15172" xr:uid="{00000000-0005-0000-0000-00005A3B0000}"/>
    <cellStyle name="Percent 28 2 3 3" xfId="15173" xr:uid="{00000000-0005-0000-0000-00005B3B0000}"/>
    <cellStyle name="Percent 28 2 3 4" xfId="15174" xr:uid="{00000000-0005-0000-0000-00005C3B0000}"/>
    <cellStyle name="Percent 28 2 4" xfId="15175" xr:uid="{00000000-0005-0000-0000-00005D3B0000}"/>
    <cellStyle name="Percent 28 2 4 2" xfId="15176" xr:uid="{00000000-0005-0000-0000-00005E3B0000}"/>
    <cellStyle name="Percent 28 2 4 3" xfId="15177" xr:uid="{00000000-0005-0000-0000-00005F3B0000}"/>
    <cellStyle name="Percent 28 2 5" xfId="15178" xr:uid="{00000000-0005-0000-0000-0000603B0000}"/>
    <cellStyle name="Percent 28 2 6" xfId="15179" xr:uid="{00000000-0005-0000-0000-0000613B0000}"/>
    <cellStyle name="Percent 28 3" xfId="15180" xr:uid="{00000000-0005-0000-0000-0000623B0000}"/>
    <cellStyle name="Percent 28 3 2" xfId="15181" xr:uid="{00000000-0005-0000-0000-0000633B0000}"/>
    <cellStyle name="Percent 28 3 2 2" xfId="15182" xr:uid="{00000000-0005-0000-0000-0000643B0000}"/>
    <cellStyle name="Percent 28 3 2 3" xfId="15183" xr:uid="{00000000-0005-0000-0000-0000653B0000}"/>
    <cellStyle name="Percent 28 3 3" xfId="15184" xr:uid="{00000000-0005-0000-0000-0000663B0000}"/>
    <cellStyle name="Percent 28 3 4" xfId="15185" xr:uid="{00000000-0005-0000-0000-0000673B0000}"/>
    <cellStyle name="Percent 28 4" xfId="15186" xr:uid="{00000000-0005-0000-0000-0000683B0000}"/>
    <cellStyle name="Percent 28 4 2" xfId="15187" xr:uid="{00000000-0005-0000-0000-0000693B0000}"/>
    <cellStyle name="Percent 28 4 2 2" xfId="15188" xr:uid="{00000000-0005-0000-0000-00006A3B0000}"/>
    <cellStyle name="Percent 28 4 2 3" xfId="15189" xr:uid="{00000000-0005-0000-0000-00006B3B0000}"/>
    <cellStyle name="Percent 28 4 3" xfId="15190" xr:uid="{00000000-0005-0000-0000-00006C3B0000}"/>
    <cellStyle name="Percent 28 4 4" xfId="15191" xr:uid="{00000000-0005-0000-0000-00006D3B0000}"/>
    <cellStyle name="Percent 28 5" xfId="15192" xr:uid="{00000000-0005-0000-0000-00006E3B0000}"/>
    <cellStyle name="Percent 28 5 2" xfId="15193" xr:uid="{00000000-0005-0000-0000-00006F3B0000}"/>
    <cellStyle name="Percent 28 5 3" xfId="15194" xr:uid="{00000000-0005-0000-0000-0000703B0000}"/>
    <cellStyle name="Percent 28 6" xfId="15195" xr:uid="{00000000-0005-0000-0000-0000713B0000}"/>
    <cellStyle name="Percent 28 7" xfId="15196" xr:uid="{00000000-0005-0000-0000-0000723B0000}"/>
    <cellStyle name="Percent 29" xfId="15197" xr:uid="{00000000-0005-0000-0000-0000733B0000}"/>
    <cellStyle name="Percent 3" xfId="15198" xr:uid="{00000000-0005-0000-0000-0000743B0000}"/>
    <cellStyle name="Percent 3 10" xfId="15199" xr:uid="{00000000-0005-0000-0000-0000753B0000}"/>
    <cellStyle name="Percent 3 10 10" xfId="15200" xr:uid="{00000000-0005-0000-0000-0000763B0000}"/>
    <cellStyle name="Percent 3 10 10 2" xfId="15201" xr:uid="{00000000-0005-0000-0000-0000773B0000}"/>
    <cellStyle name="Percent 3 10 10 3" xfId="15202" xr:uid="{00000000-0005-0000-0000-0000783B0000}"/>
    <cellStyle name="Percent 3 10 11" xfId="15203" xr:uid="{00000000-0005-0000-0000-0000793B0000}"/>
    <cellStyle name="Percent 3 10 11 2" xfId="15204" xr:uid="{00000000-0005-0000-0000-00007A3B0000}"/>
    <cellStyle name="Percent 3 10 11 3" xfId="15205" xr:uid="{00000000-0005-0000-0000-00007B3B0000}"/>
    <cellStyle name="Percent 3 10 12" xfId="15206" xr:uid="{00000000-0005-0000-0000-00007C3B0000}"/>
    <cellStyle name="Percent 3 10 12 2" xfId="15207" xr:uid="{00000000-0005-0000-0000-00007D3B0000}"/>
    <cellStyle name="Percent 3 10 12 3" xfId="15208" xr:uid="{00000000-0005-0000-0000-00007E3B0000}"/>
    <cellStyle name="Percent 3 10 13" xfId="15209" xr:uid="{00000000-0005-0000-0000-00007F3B0000}"/>
    <cellStyle name="Percent 3 10 13 2" xfId="15210" xr:uid="{00000000-0005-0000-0000-0000803B0000}"/>
    <cellStyle name="Percent 3 10 13 3" xfId="15211" xr:uid="{00000000-0005-0000-0000-0000813B0000}"/>
    <cellStyle name="Percent 3 10 14" xfId="15212" xr:uid="{00000000-0005-0000-0000-0000823B0000}"/>
    <cellStyle name="Percent 3 10 14 2" xfId="15213" xr:uid="{00000000-0005-0000-0000-0000833B0000}"/>
    <cellStyle name="Percent 3 10 14 3" xfId="15214" xr:uid="{00000000-0005-0000-0000-0000843B0000}"/>
    <cellStyle name="Percent 3 10 15" xfId="15215" xr:uid="{00000000-0005-0000-0000-0000853B0000}"/>
    <cellStyle name="Percent 3 10 15 2" xfId="15216" xr:uid="{00000000-0005-0000-0000-0000863B0000}"/>
    <cellStyle name="Percent 3 10 15 3" xfId="15217" xr:uid="{00000000-0005-0000-0000-0000873B0000}"/>
    <cellStyle name="Percent 3 10 16" xfId="15218" xr:uid="{00000000-0005-0000-0000-0000883B0000}"/>
    <cellStyle name="Percent 3 10 17" xfId="15219" xr:uid="{00000000-0005-0000-0000-0000893B0000}"/>
    <cellStyle name="Percent 3 10 2" xfId="15220" xr:uid="{00000000-0005-0000-0000-00008A3B0000}"/>
    <cellStyle name="Percent 3 10 2 2" xfId="15221" xr:uid="{00000000-0005-0000-0000-00008B3B0000}"/>
    <cellStyle name="Percent 3 10 2 3" xfId="15222" xr:uid="{00000000-0005-0000-0000-00008C3B0000}"/>
    <cellStyle name="Percent 3 10 3" xfId="15223" xr:uid="{00000000-0005-0000-0000-00008D3B0000}"/>
    <cellStyle name="Percent 3 10 3 2" xfId="15224" xr:uid="{00000000-0005-0000-0000-00008E3B0000}"/>
    <cellStyle name="Percent 3 10 3 3" xfId="15225" xr:uid="{00000000-0005-0000-0000-00008F3B0000}"/>
    <cellStyle name="Percent 3 10 4" xfId="15226" xr:uid="{00000000-0005-0000-0000-0000903B0000}"/>
    <cellStyle name="Percent 3 10 4 2" xfId="15227" xr:uid="{00000000-0005-0000-0000-0000913B0000}"/>
    <cellStyle name="Percent 3 10 4 3" xfId="15228" xr:uid="{00000000-0005-0000-0000-0000923B0000}"/>
    <cellStyle name="Percent 3 10 5" xfId="15229" xr:uid="{00000000-0005-0000-0000-0000933B0000}"/>
    <cellStyle name="Percent 3 10 5 2" xfId="15230" xr:uid="{00000000-0005-0000-0000-0000943B0000}"/>
    <cellStyle name="Percent 3 10 5 3" xfId="15231" xr:uid="{00000000-0005-0000-0000-0000953B0000}"/>
    <cellStyle name="Percent 3 10 6" xfId="15232" xr:uid="{00000000-0005-0000-0000-0000963B0000}"/>
    <cellStyle name="Percent 3 10 6 2" xfId="15233" xr:uid="{00000000-0005-0000-0000-0000973B0000}"/>
    <cellStyle name="Percent 3 10 6 3" xfId="15234" xr:uid="{00000000-0005-0000-0000-0000983B0000}"/>
    <cellStyle name="Percent 3 10 7" xfId="15235" xr:uid="{00000000-0005-0000-0000-0000993B0000}"/>
    <cellStyle name="Percent 3 10 7 2" xfId="15236" xr:uid="{00000000-0005-0000-0000-00009A3B0000}"/>
    <cellStyle name="Percent 3 10 7 3" xfId="15237" xr:uid="{00000000-0005-0000-0000-00009B3B0000}"/>
    <cellStyle name="Percent 3 10 8" xfId="15238" xr:uid="{00000000-0005-0000-0000-00009C3B0000}"/>
    <cellStyle name="Percent 3 10 8 2" xfId="15239" xr:uid="{00000000-0005-0000-0000-00009D3B0000}"/>
    <cellStyle name="Percent 3 10 8 3" xfId="15240" xr:uid="{00000000-0005-0000-0000-00009E3B0000}"/>
    <cellStyle name="Percent 3 10 9" xfId="15241" xr:uid="{00000000-0005-0000-0000-00009F3B0000}"/>
    <cellStyle name="Percent 3 10 9 2" xfId="15242" xr:uid="{00000000-0005-0000-0000-0000A03B0000}"/>
    <cellStyle name="Percent 3 10 9 3" xfId="15243" xr:uid="{00000000-0005-0000-0000-0000A13B0000}"/>
    <cellStyle name="Percent 3 11" xfId="15244" xr:uid="{00000000-0005-0000-0000-0000A23B0000}"/>
    <cellStyle name="Percent 3 11 2" xfId="15245" xr:uid="{00000000-0005-0000-0000-0000A33B0000}"/>
    <cellStyle name="Percent 3 11 3" xfId="15246" xr:uid="{00000000-0005-0000-0000-0000A43B0000}"/>
    <cellStyle name="Percent 3 12" xfId="15247" xr:uid="{00000000-0005-0000-0000-0000A53B0000}"/>
    <cellStyle name="Percent 3 12 2" xfId="15248" xr:uid="{00000000-0005-0000-0000-0000A63B0000}"/>
    <cellStyle name="Percent 3 12 3" xfId="15249" xr:uid="{00000000-0005-0000-0000-0000A73B0000}"/>
    <cellStyle name="Percent 3 13" xfId="15250" xr:uid="{00000000-0005-0000-0000-0000A83B0000}"/>
    <cellStyle name="Percent 3 13 2" xfId="15251" xr:uid="{00000000-0005-0000-0000-0000A93B0000}"/>
    <cellStyle name="Percent 3 13 3" xfId="15252" xr:uid="{00000000-0005-0000-0000-0000AA3B0000}"/>
    <cellStyle name="Percent 3 14" xfId="15253" xr:uid="{00000000-0005-0000-0000-0000AB3B0000}"/>
    <cellStyle name="Percent 3 14 2" xfId="15254" xr:uid="{00000000-0005-0000-0000-0000AC3B0000}"/>
    <cellStyle name="Percent 3 14 3" xfId="15255" xr:uid="{00000000-0005-0000-0000-0000AD3B0000}"/>
    <cellStyle name="Percent 3 15" xfId="15256" xr:uid="{00000000-0005-0000-0000-0000AE3B0000}"/>
    <cellStyle name="Percent 3 15 2" xfId="15257" xr:uid="{00000000-0005-0000-0000-0000AF3B0000}"/>
    <cellStyle name="Percent 3 15 3" xfId="15258" xr:uid="{00000000-0005-0000-0000-0000B03B0000}"/>
    <cellStyle name="Percent 3 16" xfId="15259" xr:uid="{00000000-0005-0000-0000-0000B13B0000}"/>
    <cellStyle name="Percent 3 16 2" xfId="15260" xr:uid="{00000000-0005-0000-0000-0000B23B0000}"/>
    <cellStyle name="Percent 3 16 3" xfId="15261" xr:uid="{00000000-0005-0000-0000-0000B33B0000}"/>
    <cellStyle name="Percent 3 17" xfId="15262" xr:uid="{00000000-0005-0000-0000-0000B43B0000}"/>
    <cellStyle name="Percent 3 17 2" xfId="15263" xr:uid="{00000000-0005-0000-0000-0000B53B0000}"/>
    <cellStyle name="Percent 3 17 3" xfId="15264" xr:uid="{00000000-0005-0000-0000-0000B63B0000}"/>
    <cellStyle name="Percent 3 18" xfId="15265" xr:uid="{00000000-0005-0000-0000-0000B73B0000}"/>
    <cellStyle name="Percent 3 18 2" xfId="15266" xr:uid="{00000000-0005-0000-0000-0000B83B0000}"/>
    <cellStyle name="Percent 3 18 3" xfId="15267" xr:uid="{00000000-0005-0000-0000-0000B93B0000}"/>
    <cellStyle name="Percent 3 19" xfId="15268" xr:uid="{00000000-0005-0000-0000-0000BA3B0000}"/>
    <cellStyle name="Percent 3 19 2" xfId="15269" xr:uid="{00000000-0005-0000-0000-0000BB3B0000}"/>
    <cellStyle name="Percent 3 19 3" xfId="15270" xr:uid="{00000000-0005-0000-0000-0000BC3B0000}"/>
    <cellStyle name="Percent 3 2" xfId="15271" xr:uid="{00000000-0005-0000-0000-0000BD3B0000}"/>
    <cellStyle name="Percent 3 2 10" xfId="15272" xr:uid="{00000000-0005-0000-0000-0000BE3B0000}"/>
    <cellStyle name="Percent 3 2 10 2" xfId="15273" xr:uid="{00000000-0005-0000-0000-0000BF3B0000}"/>
    <cellStyle name="Percent 3 2 10 3" xfId="15274" xr:uid="{00000000-0005-0000-0000-0000C03B0000}"/>
    <cellStyle name="Percent 3 2 11" xfId="15275" xr:uid="{00000000-0005-0000-0000-0000C13B0000}"/>
    <cellStyle name="Percent 3 2 11 2" xfId="15276" xr:uid="{00000000-0005-0000-0000-0000C23B0000}"/>
    <cellStyle name="Percent 3 2 11 3" xfId="15277" xr:uid="{00000000-0005-0000-0000-0000C33B0000}"/>
    <cellStyle name="Percent 3 2 12" xfId="15278" xr:uid="{00000000-0005-0000-0000-0000C43B0000}"/>
    <cellStyle name="Percent 3 2 12 2" xfId="15279" xr:uid="{00000000-0005-0000-0000-0000C53B0000}"/>
    <cellStyle name="Percent 3 2 12 3" xfId="15280" xr:uid="{00000000-0005-0000-0000-0000C63B0000}"/>
    <cellStyle name="Percent 3 2 13" xfId="15281" xr:uid="{00000000-0005-0000-0000-0000C73B0000}"/>
    <cellStyle name="Percent 3 2 13 2" xfId="15282" xr:uid="{00000000-0005-0000-0000-0000C83B0000}"/>
    <cellStyle name="Percent 3 2 13 3" xfId="15283" xr:uid="{00000000-0005-0000-0000-0000C93B0000}"/>
    <cellStyle name="Percent 3 2 14" xfId="15284" xr:uid="{00000000-0005-0000-0000-0000CA3B0000}"/>
    <cellStyle name="Percent 3 2 14 2" xfId="15285" xr:uid="{00000000-0005-0000-0000-0000CB3B0000}"/>
    <cellStyle name="Percent 3 2 14 3" xfId="15286" xr:uid="{00000000-0005-0000-0000-0000CC3B0000}"/>
    <cellStyle name="Percent 3 2 15" xfId="15287" xr:uid="{00000000-0005-0000-0000-0000CD3B0000}"/>
    <cellStyle name="Percent 3 2 15 2" xfId="15288" xr:uid="{00000000-0005-0000-0000-0000CE3B0000}"/>
    <cellStyle name="Percent 3 2 15 3" xfId="15289" xr:uid="{00000000-0005-0000-0000-0000CF3B0000}"/>
    <cellStyle name="Percent 3 2 16" xfId="15290" xr:uid="{00000000-0005-0000-0000-0000D03B0000}"/>
    <cellStyle name="Percent 3 2 16 2" xfId="15291" xr:uid="{00000000-0005-0000-0000-0000D13B0000}"/>
    <cellStyle name="Percent 3 2 16 3" xfId="15292" xr:uid="{00000000-0005-0000-0000-0000D23B0000}"/>
    <cellStyle name="Percent 3 2 17" xfId="15293" xr:uid="{00000000-0005-0000-0000-0000D33B0000}"/>
    <cellStyle name="Percent 3 2 17 2" xfId="15294" xr:uid="{00000000-0005-0000-0000-0000D43B0000}"/>
    <cellStyle name="Percent 3 2 17 3" xfId="15295" xr:uid="{00000000-0005-0000-0000-0000D53B0000}"/>
    <cellStyle name="Percent 3 2 18" xfId="15296" xr:uid="{00000000-0005-0000-0000-0000D63B0000}"/>
    <cellStyle name="Percent 3 2 19" xfId="15297" xr:uid="{00000000-0005-0000-0000-0000D73B0000}"/>
    <cellStyle name="Percent 3 2 2" xfId="15298" xr:uid="{00000000-0005-0000-0000-0000D83B0000}"/>
    <cellStyle name="Percent 3 2 2 2" xfId="15299" xr:uid="{00000000-0005-0000-0000-0000D93B0000}"/>
    <cellStyle name="Percent 3 2 2 2 2" xfId="15300" xr:uid="{00000000-0005-0000-0000-0000DA3B0000}"/>
    <cellStyle name="Percent 3 2 2 2 2 2" xfId="15301" xr:uid="{00000000-0005-0000-0000-0000DB3B0000}"/>
    <cellStyle name="Percent 3 2 2 2 2 3" xfId="15302" xr:uid="{00000000-0005-0000-0000-0000DC3B0000}"/>
    <cellStyle name="Percent 3 2 2 2 3" xfId="15303" xr:uid="{00000000-0005-0000-0000-0000DD3B0000}"/>
    <cellStyle name="Percent 3 2 2 2 4" xfId="15304" xr:uid="{00000000-0005-0000-0000-0000DE3B0000}"/>
    <cellStyle name="Percent 3 2 2 3" xfId="15305" xr:uid="{00000000-0005-0000-0000-0000DF3B0000}"/>
    <cellStyle name="Percent 3 2 2 3 2" xfId="15306" xr:uid="{00000000-0005-0000-0000-0000E03B0000}"/>
    <cellStyle name="Percent 3 2 2 3 3" xfId="15307" xr:uid="{00000000-0005-0000-0000-0000E13B0000}"/>
    <cellStyle name="Percent 3 2 2 4" xfId="15308" xr:uid="{00000000-0005-0000-0000-0000E23B0000}"/>
    <cellStyle name="Percent 3 2 2 4 2" xfId="15309" xr:uid="{00000000-0005-0000-0000-0000E33B0000}"/>
    <cellStyle name="Percent 3 2 2 4 3" xfId="15310" xr:uid="{00000000-0005-0000-0000-0000E43B0000}"/>
    <cellStyle name="Percent 3 2 2 5" xfId="15311" xr:uid="{00000000-0005-0000-0000-0000E53B0000}"/>
    <cellStyle name="Percent 3 2 2 6" xfId="15312" xr:uid="{00000000-0005-0000-0000-0000E63B0000}"/>
    <cellStyle name="Percent 3 2 2 7" xfId="15313" xr:uid="{00000000-0005-0000-0000-0000E73B0000}"/>
    <cellStyle name="Percent 3 2 20" xfId="15314" xr:uid="{00000000-0005-0000-0000-0000E83B0000}"/>
    <cellStyle name="Percent 3 2 3" xfId="15315" xr:uid="{00000000-0005-0000-0000-0000E93B0000}"/>
    <cellStyle name="Percent 3 2 3 2" xfId="15316" xr:uid="{00000000-0005-0000-0000-0000EA3B0000}"/>
    <cellStyle name="Percent 3 2 3 2 2" xfId="15317" xr:uid="{00000000-0005-0000-0000-0000EB3B0000}"/>
    <cellStyle name="Percent 3 2 3 2 3" xfId="15318" xr:uid="{00000000-0005-0000-0000-0000EC3B0000}"/>
    <cellStyle name="Percent 3 2 3 3" xfId="15319" xr:uid="{00000000-0005-0000-0000-0000ED3B0000}"/>
    <cellStyle name="Percent 3 2 3 4" xfId="15320" xr:uid="{00000000-0005-0000-0000-0000EE3B0000}"/>
    <cellStyle name="Percent 3 2 4" xfId="15321" xr:uid="{00000000-0005-0000-0000-0000EF3B0000}"/>
    <cellStyle name="Percent 3 2 4 2" xfId="15322" xr:uid="{00000000-0005-0000-0000-0000F03B0000}"/>
    <cellStyle name="Percent 3 2 4 3" xfId="15323" xr:uid="{00000000-0005-0000-0000-0000F13B0000}"/>
    <cellStyle name="Percent 3 2 5" xfId="15324" xr:uid="{00000000-0005-0000-0000-0000F23B0000}"/>
    <cellStyle name="Percent 3 2 5 2" xfId="15325" xr:uid="{00000000-0005-0000-0000-0000F33B0000}"/>
    <cellStyle name="Percent 3 2 5 3" xfId="15326" xr:uid="{00000000-0005-0000-0000-0000F43B0000}"/>
    <cellStyle name="Percent 3 2 6" xfId="15327" xr:uid="{00000000-0005-0000-0000-0000F53B0000}"/>
    <cellStyle name="Percent 3 2 6 2" xfId="15328" xr:uid="{00000000-0005-0000-0000-0000F63B0000}"/>
    <cellStyle name="Percent 3 2 6 3" xfId="15329" xr:uid="{00000000-0005-0000-0000-0000F73B0000}"/>
    <cellStyle name="Percent 3 2 7" xfId="15330" xr:uid="{00000000-0005-0000-0000-0000F83B0000}"/>
    <cellStyle name="Percent 3 2 7 2" xfId="15331" xr:uid="{00000000-0005-0000-0000-0000F93B0000}"/>
    <cellStyle name="Percent 3 2 7 3" xfId="15332" xr:uid="{00000000-0005-0000-0000-0000FA3B0000}"/>
    <cellStyle name="Percent 3 2 8" xfId="15333" xr:uid="{00000000-0005-0000-0000-0000FB3B0000}"/>
    <cellStyle name="Percent 3 2 8 2" xfId="15334" xr:uid="{00000000-0005-0000-0000-0000FC3B0000}"/>
    <cellStyle name="Percent 3 2 8 3" xfId="15335" xr:uid="{00000000-0005-0000-0000-0000FD3B0000}"/>
    <cellStyle name="Percent 3 2 9" xfId="15336" xr:uid="{00000000-0005-0000-0000-0000FE3B0000}"/>
    <cellStyle name="Percent 3 2 9 2" xfId="15337" xr:uid="{00000000-0005-0000-0000-0000FF3B0000}"/>
    <cellStyle name="Percent 3 2 9 3" xfId="15338" xr:uid="{00000000-0005-0000-0000-0000003C0000}"/>
    <cellStyle name="Percent 3 20" xfId="15339" xr:uid="{00000000-0005-0000-0000-0000013C0000}"/>
    <cellStyle name="Percent 3 20 2" xfId="15340" xr:uid="{00000000-0005-0000-0000-0000023C0000}"/>
    <cellStyle name="Percent 3 20 3" xfId="15341" xr:uid="{00000000-0005-0000-0000-0000033C0000}"/>
    <cellStyle name="Percent 3 21" xfId="15342" xr:uid="{00000000-0005-0000-0000-0000043C0000}"/>
    <cellStyle name="Percent 3 21 2" xfId="15343" xr:uid="{00000000-0005-0000-0000-0000053C0000}"/>
    <cellStyle name="Percent 3 21 3" xfId="15344" xr:uid="{00000000-0005-0000-0000-0000063C0000}"/>
    <cellStyle name="Percent 3 22" xfId="15345" xr:uid="{00000000-0005-0000-0000-0000073C0000}"/>
    <cellStyle name="Percent 3 22 2" xfId="15346" xr:uid="{00000000-0005-0000-0000-0000083C0000}"/>
    <cellStyle name="Percent 3 22 3" xfId="15347" xr:uid="{00000000-0005-0000-0000-0000093C0000}"/>
    <cellStyle name="Percent 3 23" xfId="15348" xr:uid="{00000000-0005-0000-0000-00000A3C0000}"/>
    <cellStyle name="Percent 3 23 2" xfId="15349" xr:uid="{00000000-0005-0000-0000-00000B3C0000}"/>
    <cellStyle name="Percent 3 23 3" xfId="15350" xr:uid="{00000000-0005-0000-0000-00000C3C0000}"/>
    <cellStyle name="Percent 3 24" xfId="15351" xr:uid="{00000000-0005-0000-0000-00000D3C0000}"/>
    <cellStyle name="Percent 3 24 2" xfId="15352" xr:uid="{00000000-0005-0000-0000-00000E3C0000}"/>
    <cellStyle name="Percent 3 24 3" xfId="15353" xr:uid="{00000000-0005-0000-0000-00000F3C0000}"/>
    <cellStyle name="Percent 3 25" xfId="15354" xr:uid="{00000000-0005-0000-0000-0000103C0000}"/>
    <cellStyle name="Percent 3 25 2" xfId="15355" xr:uid="{00000000-0005-0000-0000-0000113C0000}"/>
    <cellStyle name="Percent 3 25 3" xfId="15356" xr:uid="{00000000-0005-0000-0000-0000123C0000}"/>
    <cellStyle name="Percent 3 26" xfId="15357" xr:uid="{00000000-0005-0000-0000-0000133C0000}"/>
    <cellStyle name="Percent 3 26 2" xfId="15358" xr:uid="{00000000-0005-0000-0000-0000143C0000}"/>
    <cellStyle name="Percent 3 26 3" xfId="15359" xr:uid="{00000000-0005-0000-0000-0000153C0000}"/>
    <cellStyle name="Percent 3 27" xfId="15360" xr:uid="{00000000-0005-0000-0000-0000163C0000}"/>
    <cellStyle name="Percent 3 27 2" xfId="15361" xr:uid="{00000000-0005-0000-0000-0000173C0000}"/>
    <cellStyle name="Percent 3 27 3" xfId="15362" xr:uid="{00000000-0005-0000-0000-0000183C0000}"/>
    <cellStyle name="Percent 3 28" xfId="15363" xr:uid="{00000000-0005-0000-0000-0000193C0000}"/>
    <cellStyle name="Percent 3 28 2" xfId="15364" xr:uid="{00000000-0005-0000-0000-00001A3C0000}"/>
    <cellStyle name="Percent 3 28 3" xfId="15365" xr:uid="{00000000-0005-0000-0000-00001B3C0000}"/>
    <cellStyle name="Percent 3 29" xfId="15366" xr:uid="{00000000-0005-0000-0000-00001C3C0000}"/>
    <cellStyle name="Percent 3 29 2" xfId="15367" xr:uid="{00000000-0005-0000-0000-00001D3C0000}"/>
    <cellStyle name="Percent 3 29 3" xfId="15368" xr:uid="{00000000-0005-0000-0000-00001E3C0000}"/>
    <cellStyle name="Percent 3 3" xfId="15369" xr:uid="{00000000-0005-0000-0000-00001F3C0000}"/>
    <cellStyle name="Percent 3 3 10" xfId="15370" xr:uid="{00000000-0005-0000-0000-0000203C0000}"/>
    <cellStyle name="Percent 3 3 10 2" xfId="15371" xr:uid="{00000000-0005-0000-0000-0000213C0000}"/>
    <cellStyle name="Percent 3 3 10 3" xfId="15372" xr:uid="{00000000-0005-0000-0000-0000223C0000}"/>
    <cellStyle name="Percent 3 3 11" xfId="15373" xr:uid="{00000000-0005-0000-0000-0000233C0000}"/>
    <cellStyle name="Percent 3 3 11 2" xfId="15374" xr:uid="{00000000-0005-0000-0000-0000243C0000}"/>
    <cellStyle name="Percent 3 3 11 3" xfId="15375" xr:uid="{00000000-0005-0000-0000-0000253C0000}"/>
    <cellStyle name="Percent 3 3 12" xfId="15376" xr:uid="{00000000-0005-0000-0000-0000263C0000}"/>
    <cellStyle name="Percent 3 3 12 2" xfId="15377" xr:uid="{00000000-0005-0000-0000-0000273C0000}"/>
    <cellStyle name="Percent 3 3 12 3" xfId="15378" xr:uid="{00000000-0005-0000-0000-0000283C0000}"/>
    <cellStyle name="Percent 3 3 13" xfId="15379" xr:uid="{00000000-0005-0000-0000-0000293C0000}"/>
    <cellStyle name="Percent 3 3 13 2" xfId="15380" xr:uid="{00000000-0005-0000-0000-00002A3C0000}"/>
    <cellStyle name="Percent 3 3 13 3" xfId="15381" xr:uid="{00000000-0005-0000-0000-00002B3C0000}"/>
    <cellStyle name="Percent 3 3 14" xfId="15382" xr:uid="{00000000-0005-0000-0000-00002C3C0000}"/>
    <cellStyle name="Percent 3 3 14 2" xfId="15383" xr:uid="{00000000-0005-0000-0000-00002D3C0000}"/>
    <cellStyle name="Percent 3 3 14 3" xfId="15384" xr:uid="{00000000-0005-0000-0000-00002E3C0000}"/>
    <cellStyle name="Percent 3 3 15" xfId="15385" xr:uid="{00000000-0005-0000-0000-00002F3C0000}"/>
    <cellStyle name="Percent 3 3 15 2" xfId="15386" xr:uid="{00000000-0005-0000-0000-0000303C0000}"/>
    <cellStyle name="Percent 3 3 15 3" xfId="15387" xr:uid="{00000000-0005-0000-0000-0000313C0000}"/>
    <cellStyle name="Percent 3 3 16" xfId="15388" xr:uid="{00000000-0005-0000-0000-0000323C0000}"/>
    <cellStyle name="Percent 3 3 17" xfId="15389" xr:uid="{00000000-0005-0000-0000-0000333C0000}"/>
    <cellStyle name="Percent 3 3 18" xfId="15390" xr:uid="{00000000-0005-0000-0000-0000343C0000}"/>
    <cellStyle name="Percent 3 3 2" xfId="15391" xr:uid="{00000000-0005-0000-0000-0000353C0000}"/>
    <cellStyle name="Percent 3 3 2 2" xfId="15392" xr:uid="{00000000-0005-0000-0000-0000363C0000}"/>
    <cellStyle name="Percent 3 3 2 3" xfId="15393" xr:uid="{00000000-0005-0000-0000-0000373C0000}"/>
    <cellStyle name="Percent 3 3 3" xfId="15394" xr:uid="{00000000-0005-0000-0000-0000383C0000}"/>
    <cellStyle name="Percent 3 3 3 2" xfId="15395" xr:uid="{00000000-0005-0000-0000-0000393C0000}"/>
    <cellStyle name="Percent 3 3 3 2 2" xfId="15396" xr:uid="{00000000-0005-0000-0000-00003A3C0000}"/>
    <cellStyle name="Percent 3 3 3 2 3" xfId="15397" xr:uid="{00000000-0005-0000-0000-00003B3C0000}"/>
    <cellStyle name="Percent 3 3 3 3" xfId="15398" xr:uid="{00000000-0005-0000-0000-00003C3C0000}"/>
    <cellStyle name="Percent 3 3 3 3 2" xfId="15399" xr:uid="{00000000-0005-0000-0000-00003D3C0000}"/>
    <cellStyle name="Percent 3 3 3 3 2 2" xfId="15400" xr:uid="{00000000-0005-0000-0000-00003E3C0000}"/>
    <cellStyle name="Percent 3 3 3 3 2 3" xfId="15401" xr:uid="{00000000-0005-0000-0000-00003F3C0000}"/>
    <cellStyle name="Percent 3 3 3 3 3" xfId="15402" xr:uid="{00000000-0005-0000-0000-0000403C0000}"/>
    <cellStyle name="Percent 3 3 3 3 3 2" xfId="15403" xr:uid="{00000000-0005-0000-0000-0000413C0000}"/>
    <cellStyle name="Percent 3 3 3 3 3 3" xfId="15404" xr:uid="{00000000-0005-0000-0000-0000423C0000}"/>
    <cellStyle name="Percent 3 3 3 3 4" xfId="15405" xr:uid="{00000000-0005-0000-0000-0000433C0000}"/>
    <cellStyle name="Percent 3 3 3 3 4 2" xfId="15406" xr:uid="{00000000-0005-0000-0000-0000443C0000}"/>
    <cellStyle name="Percent 3 3 3 3 4 2 2" xfId="15407" xr:uid="{00000000-0005-0000-0000-0000453C0000}"/>
    <cellStyle name="Percent 3 3 3 3 4 2 3" xfId="15408" xr:uid="{00000000-0005-0000-0000-0000463C0000}"/>
    <cellStyle name="Percent 3 3 3 3 4 3" xfId="15409" xr:uid="{00000000-0005-0000-0000-0000473C0000}"/>
    <cellStyle name="Percent 3 3 3 3 4 4" xfId="15410" xr:uid="{00000000-0005-0000-0000-0000483C0000}"/>
    <cellStyle name="Percent 3 3 3 3 5" xfId="15411" xr:uid="{00000000-0005-0000-0000-0000493C0000}"/>
    <cellStyle name="Percent 3 3 3 3 6" xfId="15412" xr:uid="{00000000-0005-0000-0000-00004A3C0000}"/>
    <cellStyle name="Percent 3 3 3 4" xfId="15413" xr:uid="{00000000-0005-0000-0000-00004B3C0000}"/>
    <cellStyle name="Percent 3 3 3 5" xfId="15414" xr:uid="{00000000-0005-0000-0000-00004C3C0000}"/>
    <cellStyle name="Percent 3 3 4" xfId="15415" xr:uid="{00000000-0005-0000-0000-00004D3C0000}"/>
    <cellStyle name="Percent 3 3 4 2" xfId="15416" xr:uid="{00000000-0005-0000-0000-00004E3C0000}"/>
    <cellStyle name="Percent 3 3 4 2 2" xfId="15417" xr:uid="{00000000-0005-0000-0000-00004F3C0000}"/>
    <cellStyle name="Percent 3 3 4 2 3" xfId="15418" xr:uid="{00000000-0005-0000-0000-0000503C0000}"/>
    <cellStyle name="Percent 3 3 4 3" xfId="15419" xr:uid="{00000000-0005-0000-0000-0000513C0000}"/>
    <cellStyle name="Percent 3 3 4 4" xfId="15420" xr:uid="{00000000-0005-0000-0000-0000523C0000}"/>
    <cellStyle name="Percent 3 3 5" xfId="15421" xr:uid="{00000000-0005-0000-0000-0000533C0000}"/>
    <cellStyle name="Percent 3 3 5 2" xfId="15422" xr:uid="{00000000-0005-0000-0000-0000543C0000}"/>
    <cellStyle name="Percent 3 3 5 3" xfId="15423" xr:uid="{00000000-0005-0000-0000-0000553C0000}"/>
    <cellStyle name="Percent 3 3 6" xfId="15424" xr:uid="{00000000-0005-0000-0000-0000563C0000}"/>
    <cellStyle name="Percent 3 3 6 2" xfId="15425" xr:uid="{00000000-0005-0000-0000-0000573C0000}"/>
    <cellStyle name="Percent 3 3 6 2 2" xfId="15426" xr:uid="{00000000-0005-0000-0000-0000583C0000}"/>
    <cellStyle name="Percent 3 3 6 2 3" xfId="15427" xr:uid="{00000000-0005-0000-0000-0000593C0000}"/>
    <cellStyle name="Percent 3 3 6 3" xfId="15428" xr:uid="{00000000-0005-0000-0000-00005A3C0000}"/>
    <cellStyle name="Percent 3 3 6 4" xfId="15429" xr:uid="{00000000-0005-0000-0000-00005B3C0000}"/>
    <cellStyle name="Percent 3 3 7" xfId="15430" xr:uid="{00000000-0005-0000-0000-00005C3C0000}"/>
    <cellStyle name="Percent 3 3 7 2" xfId="15431" xr:uid="{00000000-0005-0000-0000-00005D3C0000}"/>
    <cellStyle name="Percent 3 3 7 3" xfId="15432" xr:uid="{00000000-0005-0000-0000-00005E3C0000}"/>
    <cellStyle name="Percent 3 3 8" xfId="15433" xr:uid="{00000000-0005-0000-0000-00005F3C0000}"/>
    <cellStyle name="Percent 3 3 8 2" xfId="15434" xr:uid="{00000000-0005-0000-0000-0000603C0000}"/>
    <cellStyle name="Percent 3 3 8 3" xfId="15435" xr:uid="{00000000-0005-0000-0000-0000613C0000}"/>
    <cellStyle name="Percent 3 3 9" xfId="15436" xr:uid="{00000000-0005-0000-0000-0000623C0000}"/>
    <cellStyle name="Percent 3 3 9 2" xfId="15437" xr:uid="{00000000-0005-0000-0000-0000633C0000}"/>
    <cellStyle name="Percent 3 3 9 3" xfId="15438" xr:uid="{00000000-0005-0000-0000-0000643C0000}"/>
    <cellStyle name="Percent 3 30" xfId="15439" xr:uid="{00000000-0005-0000-0000-0000653C0000}"/>
    <cellStyle name="Percent 3 30 2" xfId="15440" xr:uid="{00000000-0005-0000-0000-0000663C0000}"/>
    <cellStyle name="Percent 3 30 3" xfId="15441" xr:uid="{00000000-0005-0000-0000-0000673C0000}"/>
    <cellStyle name="Percent 3 31" xfId="15442" xr:uid="{00000000-0005-0000-0000-0000683C0000}"/>
    <cellStyle name="Percent 3 32" xfId="15443" xr:uid="{00000000-0005-0000-0000-0000693C0000}"/>
    <cellStyle name="Percent 3 33" xfId="15444" xr:uid="{00000000-0005-0000-0000-00006A3C0000}"/>
    <cellStyle name="Percent 3 4" xfId="15445" xr:uid="{00000000-0005-0000-0000-00006B3C0000}"/>
    <cellStyle name="Percent 3 4 10" xfId="15446" xr:uid="{00000000-0005-0000-0000-00006C3C0000}"/>
    <cellStyle name="Percent 3 4 10 2" xfId="15447" xr:uid="{00000000-0005-0000-0000-00006D3C0000}"/>
    <cellStyle name="Percent 3 4 10 3" xfId="15448" xr:uid="{00000000-0005-0000-0000-00006E3C0000}"/>
    <cellStyle name="Percent 3 4 11" xfId="15449" xr:uid="{00000000-0005-0000-0000-00006F3C0000}"/>
    <cellStyle name="Percent 3 4 11 2" xfId="15450" xr:uid="{00000000-0005-0000-0000-0000703C0000}"/>
    <cellStyle name="Percent 3 4 11 3" xfId="15451" xr:uid="{00000000-0005-0000-0000-0000713C0000}"/>
    <cellStyle name="Percent 3 4 12" xfId="15452" xr:uid="{00000000-0005-0000-0000-0000723C0000}"/>
    <cellStyle name="Percent 3 4 12 2" xfId="15453" xr:uid="{00000000-0005-0000-0000-0000733C0000}"/>
    <cellStyle name="Percent 3 4 12 3" xfId="15454" xr:uid="{00000000-0005-0000-0000-0000743C0000}"/>
    <cellStyle name="Percent 3 4 13" xfId="15455" xr:uid="{00000000-0005-0000-0000-0000753C0000}"/>
    <cellStyle name="Percent 3 4 13 2" xfId="15456" xr:uid="{00000000-0005-0000-0000-0000763C0000}"/>
    <cellStyle name="Percent 3 4 13 3" xfId="15457" xr:uid="{00000000-0005-0000-0000-0000773C0000}"/>
    <cellStyle name="Percent 3 4 14" xfId="15458" xr:uid="{00000000-0005-0000-0000-0000783C0000}"/>
    <cellStyle name="Percent 3 4 14 2" xfId="15459" xr:uid="{00000000-0005-0000-0000-0000793C0000}"/>
    <cellStyle name="Percent 3 4 14 3" xfId="15460" xr:uid="{00000000-0005-0000-0000-00007A3C0000}"/>
    <cellStyle name="Percent 3 4 15" xfId="15461" xr:uid="{00000000-0005-0000-0000-00007B3C0000}"/>
    <cellStyle name="Percent 3 4 15 2" xfId="15462" xr:uid="{00000000-0005-0000-0000-00007C3C0000}"/>
    <cellStyle name="Percent 3 4 15 3" xfId="15463" xr:uid="{00000000-0005-0000-0000-00007D3C0000}"/>
    <cellStyle name="Percent 3 4 16" xfId="15464" xr:uid="{00000000-0005-0000-0000-00007E3C0000}"/>
    <cellStyle name="Percent 3 4 17" xfId="15465" xr:uid="{00000000-0005-0000-0000-00007F3C0000}"/>
    <cellStyle name="Percent 3 4 18" xfId="15466" xr:uid="{00000000-0005-0000-0000-0000803C0000}"/>
    <cellStyle name="Percent 3 4 2" xfId="15467" xr:uid="{00000000-0005-0000-0000-0000813C0000}"/>
    <cellStyle name="Percent 3 4 2 2" xfId="15468" xr:uid="{00000000-0005-0000-0000-0000823C0000}"/>
    <cellStyle name="Percent 3 4 2 3" xfId="15469" xr:uid="{00000000-0005-0000-0000-0000833C0000}"/>
    <cellStyle name="Percent 3 4 3" xfId="15470" xr:uid="{00000000-0005-0000-0000-0000843C0000}"/>
    <cellStyle name="Percent 3 4 3 2" xfId="15471" xr:uid="{00000000-0005-0000-0000-0000853C0000}"/>
    <cellStyle name="Percent 3 4 3 3" xfId="15472" xr:uid="{00000000-0005-0000-0000-0000863C0000}"/>
    <cellStyle name="Percent 3 4 4" xfId="15473" xr:uid="{00000000-0005-0000-0000-0000873C0000}"/>
    <cellStyle name="Percent 3 4 4 2" xfId="15474" xr:uid="{00000000-0005-0000-0000-0000883C0000}"/>
    <cellStyle name="Percent 3 4 4 2 2" xfId="15475" xr:uid="{00000000-0005-0000-0000-0000893C0000}"/>
    <cellStyle name="Percent 3 4 4 2 3" xfId="15476" xr:uid="{00000000-0005-0000-0000-00008A3C0000}"/>
    <cellStyle name="Percent 3 4 4 3" xfId="15477" xr:uid="{00000000-0005-0000-0000-00008B3C0000}"/>
    <cellStyle name="Percent 3 4 4 4" xfId="15478" xr:uid="{00000000-0005-0000-0000-00008C3C0000}"/>
    <cellStyle name="Percent 3 4 5" xfId="15479" xr:uid="{00000000-0005-0000-0000-00008D3C0000}"/>
    <cellStyle name="Percent 3 4 5 2" xfId="15480" xr:uid="{00000000-0005-0000-0000-00008E3C0000}"/>
    <cellStyle name="Percent 3 4 5 3" xfId="15481" xr:uid="{00000000-0005-0000-0000-00008F3C0000}"/>
    <cellStyle name="Percent 3 4 6" xfId="15482" xr:uid="{00000000-0005-0000-0000-0000903C0000}"/>
    <cellStyle name="Percent 3 4 6 2" xfId="15483" xr:uid="{00000000-0005-0000-0000-0000913C0000}"/>
    <cellStyle name="Percent 3 4 6 3" xfId="15484" xr:uid="{00000000-0005-0000-0000-0000923C0000}"/>
    <cellStyle name="Percent 3 4 7" xfId="15485" xr:uid="{00000000-0005-0000-0000-0000933C0000}"/>
    <cellStyle name="Percent 3 4 7 2" xfId="15486" xr:uid="{00000000-0005-0000-0000-0000943C0000}"/>
    <cellStyle name="Percent 3 4 7 3" xfId="15487" xr:uid="{00000000-0005-0000-0000-0000953C0000}"/>
    <cellStyle name="Percent 3 4 8" xfId="15488" xr:uid="{00000000-0005-0000-0000-0000963C0000}"/>
    <cellStyle name="Percent 3 4 8 2" xfId="15489" xr:uid="{00000000-0005-0000-0000-0000973C0000}"/>
    <cellStyle name="Percent 3 4 8 3" xfId="15490" xr:uid="{00000000-0005-0000-0000-0000983C0000}"/>
    <cellStyle name="Percent 3 4 9" xfId="15491" xr:uid="{00000000-0005-0000-0000-0000993C0000}"/>
    <cellStyle name="Percent 3 4 9 2" xfId="15492" xr:uid="{00000000-0005-0000-0000-00009A3C0000}"/>
    <cellStyle name="Percent 3 4 9 3" xfId="15493" xr:uid="{00000000-0005-0000-0000-00009B3C0000}"/>
    <cellStyle name="Percent 3 5" xfId="15494" xr:uid="{00000000-0005-0000-0000-00009C3C0000}"/>
    <cellStyle name="Percent 3 5 10" xfId="15495" xr:uid="{00000000-0005-0000-0000-00009D3C0000}"/>
    <cellStyle name="Percent 3 5 10 2" xfId="15496" xr:uid="{00000000-0005-0000-0000-00009E3C0000}"/>
    <cellStyle name="Percent 3 5 10 3" xfId="15497" xr:uid="{00000000-0005-0000-0000-00009F3C0000}"/>
    <cellStyle name="Percent 3 5 11" xfId="15498" xr:uid="{00000000-0005-0000-0000-0000A03C0000}"/>
    <cellStyle name="Percent 3 5 11 2" xfId="15499" xr:uid="{00000000-0005-0000-0000-0000A13C0000}"/>
    <cellStyle name="Percent 3 5 11 3" xfId="15500" xr:uid="{00000000-0005-0000-0000-0000A23C0000}"/>
    <cellStyle name="Percent 3 5 12" xfId="15501" xr:uid="{00000000-0005-0000-0000-0000A33C0000}"/>
    <cellStyle name="Percent 3 5 12 2" xfId="15502" xr:uid="{00000000-0005-0000-0000-0000A43C0000}"/>
    <cellStyle name="Percent 3 5 12 3" xfId="15503" xr:uid="{00000000-0005-0000-0000-0000A53C0000}"/>
    <cellStyle name="Percent 3 5 13" xfId="15504" xr:uid="{00000000-0005-0000-0000-0000A63C0000}"/>
    <cellStyle name="Percent 3 5 13 2" xfId="15505" xr:uid="{00000000-0005-0000-0000-0000A73C0000}"/>
    <cellStyle name="Percent 3 5 13 3" xfId="15506" xr:uid="{00000000-0005-0000-0000-0000A83C0000}"/>
    <cellStyle name="Percent 3 5 14" xfId="15507" xr:uid="{00000000-0005-0000-0000-0000A93C0000}"/>
    <cellStyle name="Percent 3 5 14 2" xfId="15508" xr:uid="{00000000-0005-0000-0000-0000AA3C0000}"/>
    <cellStyle name="Percent 3 5 14 3" xfId="15509" xr:uid="{00000000-0005-0000-0000-0000AB3C0000}"/>
    <cellStyle name="Percent 3 5 15" xfId="15510" xr:uid="{00000000-0005-0000-0000-0000AC3C0000}"/>
    <cellStyle name="Percent 3 5 15 2" xfId="15511" xr:uid="{00000000-0005-0000-0000-0000AD3C0000}"/>
    <cellStyle name="Percent 3 5 15 3" xfId="15512" xr:uid="{00000000-0005-0000-0000-0000AE3C0000}"/>
    <cellStyle name="Percent 3 5 16" xfId="15513" xr:uid="{00000000-0005-0000-0000-0000AF3C0000}"/>
    <cellStyle name="Percent 3 5 16 2" xfId="15514" xr:uid="{00000000-0005-0000-0000-0000B03C0000}"/>
    <cellStyle name="Percent 3 5 16 3" xfId="15515" xr:uid="{00000000-0005-0000-0000-0000B13C0000}"/>
    <cellStyle name="Percent 3 5 17" xfId="15516" xr:uid="{00000000-0005-0000-0000-0000B23C0000}"/>
    <cellStyle name="Percent 3 5 17 2" xfId="15517" xr:uid="{00000000-0005-0000-0000-0000B33C0000}"/>
    <cellStyle name="Percent 3 5 17 3" xfId="15518" xr:uid="{00000000-0005-0000-0000-0000B43C0000}"/>
    <cellStyle name="Percent 3 5 18" xfId="15519" xr:uid="{00000000-0005-0000-0000-0000B53C0000}"/>
    <cellStyle name="Percent 3 5 19" xfId="15520" xr:uid="{00000000-0005-0000-0000-0000B63C0000}"/>
    <cellStyle name="Percent 3 5 2" xfId="15521" xr:uid="{00000000-0005-0000-0000-0000B73C0000}"/>
    <cellStyle name="Percent 3 5 2 2" xfId="15522" xr:uid="{00000000-0005-0000-0000-0000B83C0000}"/>
    <cellStyle name="Percent 3 5 2 3" xfId="15523" xr:uid="{00000000-0005-0000-0000-0000B93C0000}"/>
    <cellStyle name="Percent 3 5 20" xfId="15524" xr:uid="{00000000-0005-0000-0000-0000BA3C0000}"/>
    <cellStyle name="Percent 3 5 3" xfId="15525" xr:uid="{00000000-0005-0000-0000-0000BB3C0000}"/>
    <cellStyle name="Percent 3 5 3 2" xfId="15526" xr:uid="{00000000-0005-0000-0000-0000BC3C0000}"/>
    <cellStyle name="Percent 3 5 3 3" xfId="15527" xr:uid="{00000000-0005-0000-0000-0000BD3C0000}"/>
    <cellStyle name="Percent 3 5 4" xfId="15528" xr:uid="{00000000-0005-0000-0000-0000BE3C0000}"/>
    <cellStyle name="Percent 3 5 4 2" xfId="15529" xr:uid="{00000000-0005-0000-0000-0000BF3C0000}"/>
    <cellStyle name="Percent 3 5 4 3" xfId="15530" xr:uid="{00000000-0005-0000-0000-0000C03C0000}"/>
    <cellStyle name="Percent 3 5 5" xfId="15531" xr:uid="{00000000-0005-0000-0000-0000C13C0000}"/>
    <cellStyle name="Percent 3 5 5 2" xfId="15532" xr:uid="{00000000-0005-0000-0000-0000C23C0000}"/>
    <cellStyle name="Percent 3 5 5 3" xfId="15533" xr:uid="{00000000-0005-0000-0000-0000C33C0000}"/>
    <cellStyle name="Percent 3 5 6" xfId="15534" xr:uid="{00000000-0005-0000-0000-0000C43C0000}"/>
    <cellStyle name="Percent 3 5 6 2" xfId="15535" xr:uid="{00000000-0005-0000-0000-0000C53C0000}"/>
    <cellStyle name="Percent 3 5 6 3" xfId="15536" xr:uid="{00000000-0005-0000-0000-0000C63C0000}"/>
    <cellStyle name="Percent 3 5 7" xfId="15537" xr:uid="{00000000-0005-0000-0000-0000C73C0000}"/>
    <cellStyle name="Percent 3 5 7 2" xfId="15538" xr:uid="{00000000-0005-0000-0000-0000C83C0000}"/>
    <cellStyle name="Percent 3 5 7 3" xfId="15539" xr:uid="{00000000-0005-0000-0000-0000C93C0000}"/>
    <cellStyle name="Percent 3 5 8" xfId="15540" xr:uid="{00000000-0005-0000-0000-0000CA3C0000}"/>
    <cellStyle name="Percent 3 5 8 2" xfId="15541" xr:uid="{00000000-0005-0000-0000-0000CB3C0000}"/>
    <cellStyle name="Percent 3 5 8 3" xfId="15542" xr:uid="{00000000-0005-0000-0000-0000CC3C0000}"/>
    <cellStyle name="Percent 3 5 9" xfId="15543" xr:uid="{00000000-0005-0000-0000-0000CD3C0000}"/>
    <cellStyle name="Percent 3 5 9 2" xfId="15544" xr:uid="{00000000-0005-0000-0000-0000CE3C0000}"/>
    <cellStyle name="Percent 3 5 9 3" xfId="15545" xr:uid="{00000000-0005-0000-0000-0000CF3C0000}"/>
    <cellStyle name="Percent 3 6" xfId="15546" xr:uid="{00000000-0005-0000-0000-0000D03C0000}"/>
    <cellStyle name="Percent 3 6 10" xfId="15547" xr:uid="{00000000-0005-0000-0000-0000D13C0000}"/>
    <cellStyle name="Percent 3 6 10 2" xfId="15548" xr:uid="{00000000-0005-0000-0000-0000D23C0000}"/>
    <cellStyle name="Percent 3 6 10 3" xfId="15549" xr:uid="{00000000-0005-0000-0000-0000D33C0000}"/>
    <cellStyle name="Percent 3 6 11" xfId="15550" xr:uid="{00000000-0005-0000-0000-0000D43C0000}"/>
    <cellStyle name="Percent 3 6 11 2" xfId="15551" xr:uid="{00000000-0005-0000-0000-0000D53C0000}"/>
    <cellStyle name="Percent 3 6 11 3" xfId="15552" xr:uid="{00000000-0005-0000-0000-0000D63C0000}"/>
    <cellStyle name="Percent 3 6 12" xfId="15553" xr:uid="{00000000-0005-0000-0000-0000D73C0000}"/>
    <cellStyle name="Percent 3 6 12 2" xfId="15554" xr:uid="{00000000-0005-0000-0000-0000D83C0000}"/>
    <cellStyle name="Percent 3 6 12 3" xfId="15555" xr:uid="{00000000-0005-0000-0000-0000D93C0000}"/>
    <cellStyle name="Percent 3 6 13" xfId="15556" xr:uid="{00000000-0005-0000-0000-0000DA3C0000}"/>
    <cellStyle name="Percent 3 6 13 2" xfId="15557" xr:uid="{00000000-0005-0000-0000-0000DB3C0000}"/>
    <cellStyle name="Percent 3 6 13 3" xfId="15558" xr:uid="{00000000-0005-0000-0000-0000DC3C0000}"/>
    <cellStyle name="Percent 3 6 14" xfId="15559" xr:uid="{00000000-0005-0000-0000-0000DD3C0000}"/>
    <cellStyle name="Percent 3 6 14 2" xfId="15560" xr:uid="{00000000-0005-0000-0000-0000DE3C0000}"/>
    <cellStyle name="Percent 3 6 14 3" xfId="15561" xr:uid="{00000000-0005-0000-0000-0000DF3C0000}"/>
    <cellStyle name="Percent 3 6 15" xfId="15562" xr:uid="{00000000-0005-0000-0000-0000E03C0000}"/>
    <cellStyle name="Percent 3 6 15 2" xfId="15563" xr:uid="{00000000-0005-0000-0000-0000E13C0000}"/>
    <cellStyle name="Percent 3 6 15 3" xfId="15564" xr:uid="{00000000-0005-0000-0000-0000E23C0000}"/>
    <cellStyle name="Percent 3 6 16" xfId="15565" xr:uid="{00000000-0005-0000-0000-0000E33C0000}"/>
    <cellStyle name="Percent 3 6 17" xfId="15566" xr:uid="{00000000-0005-0000-0000-0000E43C0000}"/>
    <cellStyle name="Percent 3 6 18" xfId="15567" xr:uid="{00000000-0005-0000-0000-0000E53C0000}"/>
    <cellStyle name="Percent 3 6 2" xfId="15568" xr:uid="{00000000-0005-0000-0000-0000E63C0000}"/>
    <cellStyle name="Percent 3 6 2 2" xfId="15569" xr:uid="{00000000-0005-0000-0000-0000E73C0000}"/>
    <cellStyle name="Percent 3 6 2 3" xfId="15570" xr:uid="{00000000-0005-0000-0000-0000E83C0000}"/>
    <cellStyle name="Percent 3 6 3" xfId="15571" xr:uid="{00000000-0005-0000-0000-0000E93C0000}"/>
    <cellStyle name="Percent 3 6 3 2" xfId="15572" xr:uid="{00000000-0005-0000-0000-0000EA3C0000}"/>
    <cellStyle name="Percent 3 6 3 3" xfId="15573" xr:uid="{00000000-0005-0000-0000-0000EB3C0000}"/>
    <cellStyle name="Percent 3 6 4" xfId="15574" xr:uid="{00000000-0005-0000-0000-0000EC3C0000}"/>
    <cellStyle name="Percent 3 6 4 2" xfId="15575" xr:uid="{00000000-0005-0000-0000-0000ED3C0000}"/>
    <cellStyle name="Percent 3 6 4 3" xfId="15576" xr:uid="{00000000-0005-0000-0000-0000EE3C0000}"/>
    <cellStyle name="Percent 3 6 5" xfId="15577" xr:uid="{00000000-0005-0000-0000-0000EF3C0000}"/>
    <cellStyle name="Percent 3 6 5 2" xfId="15578" xr:uid="{00000000-0005-0000-0000-0000F03C0000}"/>
    <cellStyle name="Percent 3 6 5 3" xfId="15579" xr:uid="{00000000-0005-0000-0000-0000F13C0000}"/>
    <cellStyle name="Percent 3 6 6" xfId="15580" xr:uid="{00000000-0005-0000-0000-0000F23C0000}"/>
    <cellStyle name="Percent 3 6 6 2" xfId="15581" xr:uid="{00000000-0005-0000-0000-0000F33C0000}"/>
    <cellStyle name="Percent 3 6 6 3" xfId="15582" xr:uid="{00000000-0005-0000-0000-0000F43C0000}"/>
    <cellStyle name="Percent 3 6 7" xfId="15583" xr:uid="{00000000-0005-0000-0000-0000F53C0000}"/>
    <cellStyle name="Percent 3 6 7 2" xfId="15584" xr:uid="{00000000-0005-0000-0000-0000F63C0000}"/>
    <cellStyle name="Percent 3 6 7 3" xfId="15585" xr:uid="{00000000-0005-0000-0000-0000F73C0000}"/>
    <cellStyle name="Percent 3 6 8" xfId="15586" xr:uid="{00000000-0005-0000-0000-0000F83C0000}"/>
    <cellStyle name="Percent 3 6 8 2" xfId="15587" xr:uid="{00000000-0005-0000-0000-0000F93C0000}"/>
    <cellStyle name="Percent 3 6 8 3" xfId="15588" xr:uid="{00000000-0005-0000-0000-0000FA3C0000}"/>
    <cellStyle name="Percent 3 6 9" xfId="15589" xr:uid="{00000000-0005-0000-0000-0000FB3C0000}"/>
    <cellStyle name="Percent 3 6 9 2" xfId="15590" xr:uid="{00000000-0005-0000-0000-0000FC3C0000}"/>
    <cellStyle name="Percent 3 6 9 3" xfId="15591" xr:uid="{00000000-0005-0000-0000-0000FD3C0000}"/>
    <cellStyle name="Percent 3 7" xfId="15592" xr:uid="{00000000-0005-0000-0000-0000FE3C0000}"/>
    <cellStyle name="Percent 3 7 10" xfId="15593" xr:uid="{00000000-0005-0000-0000-0000FF3C0000}"/>
    <cellStyle name="Percent 3 7 10 2" xfId="15594" xr:uid="{00000000-0005-0000-0000-0000003D0000}"/>
    <cellStyle name="Percent 3 7 10 3" xfId="15595" xr:uid="{00000000-0005-0000-0000-0000013D0000}"/>
    <cellStyle name="Percent 3 7 11" xfId="15596" xr:uid="{00000000-0005-0000-0000-0000023D0000}"/>
    <cellStyle name="Percent 3 7 11 2" xfId="15597" xr:uid="{00000000-0005-0000-0000-0000033D0000}"/>
    <cellStyle name="Percent 3 7 11 3" xfId="15598" xr:uid="{00000000-0005-0000-0000-0000043D0000}"/>
    <cellStyle name="Percent 3 7 12" xfId="15599" xr:uid="{00000000-0005-0000-0000-0000053D0000}"/>
    <cellStyle name="Percent 3 7 12 2" xfId="15600" xr:uid="{00000000-0005-0000-0000-0000063D0000}"/>
    <cellStyle name="Percent 3 7 12 3" xfId="15601" xr:uid="{00000000-0005-0000-0000-0000073D0000}"/>
    <cellStyle name="Percent 3 7 13" xfId="15602" xr:uid="{00000000-0005-0000-0000-0000083D0000}"/>
    <cellStyle name="Percent 3 7 13 2" xfId="15603" xr:uid="{00000000-0005-0000-0000-0000093D0000}"/>
    <cellStyle name="Percent 3 7 13 3" xfId="15604" xr:uid="{00000000-0005-0000-0000-00000A3D0000}"/>
    <cellStyle name="Percent 3 7 14" xfId="15605" xr:uid="{00000000-0005-0000-0000-00000B3D0000}"/>
    <cellStyle name="Percent 3 7 14 2" xfId="15606" xr:uid="{00000000-0005-0000-0000-00000C3D0000}"/>
    <cellStyle name="Percent 3 7 14 3" xfId="15607" xr:uid="{00000000-0005-0000-0000-00000D3D0000}"/>
    <cellStyle name="Percent 3 7 15" xfId="15608" xr:uid="{00000000-0005-0000-0000-00000E3D0000}"/>
    <cellStyle name="Percent 3 7 15 2" xfId="15609" xr:uid="{00000000-0005-0000-0000-00000F3D0000}"/>
    <cellStyle name="Percent 3 7 15 3" xfId="15610" xr:uid="{00000000-0005-0000-0000-0000103D0000}"/>
    <cellStyle name="Percent 3 7 16" xfId="15611" xr:uid="{00000000-0005-0000-0000-0000113D0000}"/>
    <cellStyle name="Percent 3 7 17" xfId="15612" xr:uid="{00000000-0005-0000-0000-0000123D0000}"/>
    <cellStyle name="Percent 3 7 18" xfId="15613" xr:uid="{00000000-0005-0000-0000-0000133D0000}"/>
    <cellStyle name="Percent 3 7 2" xfId="15614" xr:uid="{00000000-0005-0000-0000-0000143D0000}"/>
    <cellStyle name="Percent 3 7 2 2" xfId="15615" xr:uid="{00000000-0005-0000-0000-0000153D0000}"/>
    <cellStyle name="Percent 3 7 2 3" xfId="15616" xr:uid="{00000000-0005-0000-0000-0000163D0000}"/>
    <cellStyle name="Percent 3 7 3" xfId="15617" xr:uid="{00000000-0005-0000-0000-0000173D0000}"/>
    <cellStyle name="Percent 3 7 3 2" xfId="15618" xr:uid="{00000000-0005-0000-0000-0000183D0000}"/>
    <cellStyle name="Percent 3 7 3 3" xfId="15619" xr:uid="{00000000-0005-0000-0000-0000193D0000}"/>
    <cellStyle name="Percent 3 7 4" xfId="15620" xr:uid="{00000000-0005-0000-0000-00001A3D0000}"/>
    <cellStyle name="Percent 3 7 4 2" xfId="15621" xr:uid="{00000000-0005-0000-0000-00001B3D0000}"/>
    <cellStyle name="Percent 3 7 4 3" xfId="15622" xr:uid="{00000000-0005-0000-0000-00001C3D0000}"/>
    <cellStyle name="Percent 3 7 5" xfId="15623" xr:uid="{00000000-0005-0000-0000-00001D3D0000}"/>
    <cellStyle name="Percent 3 7 5 2" xfId="15624" xr:uid="{00000000-0005-0000-0000-00001E3D0000}"/>
    <cellStyle name="Percent 3 7 5 3" xfId="15625" xr:uid="{00000000-0005-0000-0000-00001F3D0000}"/>
    <cellStyle name="Percent 3 7 6" xfId="15626" xr:uid="{00000000-0005-0000-0000-0000203D0000}"/>
    <cellStyle name="Percent 3 7 6 2" xfId="15627" xr:uid="{00000000-0005-0000-0000-0000213D0000}"/>
    <cellStyle name="Percent 3 7 6 3" xfId="15628" xr:uid="{00000000-0005-0000-0000-0000223D0000}"/>
    <cellStyle name="Percent 3 7 7" xfId="15629" xr:uid="{00000000-0005-0000-0000-0000233D0000}"/>
    <cellStyle name="Percent 3 7 7 2" xfId="15630" xr:uid="{00000000-0005-0000-0000-0000243D0000}"/>
    <cellStyle name="Percent 3 7 7 3" xfId="15631" xr:uid="{00000000-0005-0000-0000-0000253D0000}"/>
    <cellStyle name="Percent 3 7 8" xfId="15632" xr:uid="{00000000-0005-0000-0000-0000263D0000}"/>
    <cellStyle name="Percent 3 7 8 2" xfId="15633" xr:uid="{00000000-0005-0000-0000-0000273D0000}"/>
    <cellStyle name="Percent 3 7 8 3" xfId="15634" xr:uid="{00000000-0005-0000-0000-0000283D0000}"/>
    <cellStyle name="Percent 3 7 9" xfId="15635" xr:uid="{00000000-0005-0000-0000-0000293D0000}"/>
    <cellStyle name="Percent 3 7 9 2" xfId="15636" xr:uid="{00000000-0005-0000-0000-00002A3D0000}"/>
    <cellStyle name="Percent 3 7 9 3" xfId="15637" xr:uid="{00000000-0005-0000-0000-00002B3D0000}"/>
    <cellStyle name="Percent 3 8" xfId="15638" xr:uid="{00000000-0005-0000-0000-00002C3D0000}"/>
    <cellStyle name="Percent 3 8 10" xfId="15639" xr:uid="{00000000-0005-0000-0000-00002D3D0000}"/>
    <cellStyle name="Percent 3 8 10 2" xfId="15640" xr:uid="{00000000-0005-0000-0000-00002E3D0000}"/>
    <cellStyle name="Percent 3 8 10 3" xfId="15641" xr:uid="{00000000-0005-0000-0000-00002F3D0000}"/>
    <cellStyle name="Percent 3 8 11" xfId="15642" xr:uid="{00000000-0005-0000-0000-0000303D0000}"/>
    <cellStyle name="Percent 3 8 11 2" xfId="15643" xr:uid="{00000000-0005-0000-0000-0000313D0000}"/>
    <cellStyle name="Percent 3 8 11 3" xfId="15644" xr:uid="{00000000-0005-0000-0000-0000323D0000}"/>
    <cellStyle name="Percent 3 8 12" xfId="15645" xr:uid="{00000000-0005-0000-0000-0000333D0000}"/>
    <cellStyle name="Percent 3 8 12 2" xfId="15646" xr:uid="{00000000-0005-0000-0000-0000343D0000}"/>
    <cellStyle name="Percent 3 8 12 3" xfId="15647" xr:uid="{00000000-0005-0000-0000-0000353D0000}"/>
    <cellStyle name="Percent 3 8 13" xfId="15648" xr:uid="{00000000-0005-0000-0000-0000363D0000}"/>
    <cellStyle name="Percent 3 8 13 2" xfId="15649" xr:uid="{00000000-0005-0000-0000-0000373D0000}"/>
    <cellStyle name="Percent 3 8 13 3" xfId="15650" xr:uid="{00000000-0005-0000-0000-0000383D0000}"/>
    <cellStyle name="Percent 3 8 14" xfId="15651" xr:uid="{00000000-0005-0000-0000-0000393D0000}"/>
    <cellStyle name="Percent 3 8 14 2" xfId="15652" xr:uid="{00000000-0005-0000-0000-00003A3D0000}"/>
    <cellStyle name="Percent 3 8 14 3" xfId="15653" xr:uid="{00000000-0005-0000-0000-00003B3D0000}"/>
    <cellStyle name="Percent 3 8 15" xfId="15654" xr:uid="{00000000-0005-0000-0000-00003C3D0000}"/>
    <cellStyle name="Percent 3 8 15 2" xfId="15655" xr:uid="{00000000-0005-0000-0000-00003D3D0000}"/>
    <cellStyle name="Percent 3 8 15 3" xfId="15656" xr:uid="{00000000-0005-0000-0000-00003E3D0000}"/>
    <cellStyle name="Percent 3 8 16" xfId="15657" xr:uid="{00000000-0005-0000-0000-00003F3D0000}"/>
    <cellStyle name="Percent 3 8 17" xfId="15658" xr:uid="{00000000-0005-0000-0000-0000403D0000}"/>
    <cellStyle name="Percent 3 8 18" xfId="15659" xr:uid="{00000000-0005-0000-0000-0000413D0000}"/>
    <cellStyle name="Percent 3 8 2" xfId="15660" xr:uid="{00000000-0005-0000-0000-0000423D0000}"/>
    <cellStyle name="Percent 3 8 2 2" xfId="15661" xr:uid="{00000000-0005-0000-0000-0000433D0000}"/>
    <cellStyle name="Percent 3 8 2 3" xfId="15662" xr:uid="{00000000-0005-0000-0000-0000443D0000}"/>
    <cellStyle name="Percent 3 8 3" xfId="15663" xr:uid="{00000000-0005-0000-0000-0000453D0000}"/>
    <cellStyle name="Percent 3 8 3 2" xfId="15664" xr:uid="{00000000-0005-0000-0000-0000463D0000}"/>
    <cellStyle name="Percent 3 8 3 3" xfId="15665" xr:uid="{00000000-0005-0000-0000-0000473D0000}"/>
    <cellStyle name="Percent 3 8 4" xfId="15666" xr:uid="{00000000-0005-0000-0000-0000483D0000}"/>
    <cellStyle name="Percent 3 8 4 2" xfId="15667" xr:uid="{00000000-0005-0000-0000-0000493D0000}"/>
    <cellStyle name="Percent 3 8 4 3" xfId="15668" xr:uid="{00000000-0005-0000-0000-00004A3D0000}"/>
    <cellStyle name="Percent 3 8 5" xfId="15669" xr:uid="{00000000-0005-0000-0000-00004B3D0000}"/>
    <cellStyle name="Percent 3 8 5 2" xfId="15670" xr:uid="{00000000-0005-0000-0000-00004C3D0000}"/>
    <cellStyle name="Percent 3 8 5 3" xfId="15671" xr:uid="{00000000-0005-0000-0000-00004D3D0000}"/>
    <cellStyle name="Percent 3 8 6" xfId="15672" xr:uid="{00000000-0005-0000-0000-00004E3D0000}"/>
    <cellStyle name="Percent 3 8 6 2" xfId="15673" xr:uid="{00000000-0005-0000-0000-00004F3D0000}"/>
    <cellStyle name="Percent 3 8 6 3" xfId="15674" xr:uid="{00000000-0005-0000-0000-0000503D0000}"/>
    <cellStyle name="Percent 3 8 7" xfId="15675" xr:uid="{00000000-0005-0000-0000-0000513D0000}"/>
    <cellStyle name="Percent 3 8 7 2" xfId="15676" xr:uid="{00000000-0005-0000-0000-0000523D0000}"/>
    <cellStyle name="Percent 3 8 7 3" xfId="15677" xr:uid="{00000000-0005-0000-0000-0000533D0000}"/>
    <cellStyle name="Percent 3 8 8" xfId="15678" xr:uid="{00000000-0005-0000-0000-0000543D0000}"/>
    <cellStyle name="Percent 3 8 8 2" xfId="15679" xr:uid="{00000000-0005-0000-0000-0000553D0000}"/>
    <cellStyle name="Percent 3 8 8 3" xfId="15680" xr:uid="{00000000-0005-0000-0000-0000563D0000}"/>
    <cellStyle name="Percent 3 8 9" xfId="15681" xr:uid="{00000000-0005-0000-0000-0000573D0000}"/>
    <cellStyle name="Percent 3 8 9 2" xfId="15682" xr:uid="{00000000-0005-0000-0000-0000583D0000}"/>
    <cellStyle name="Percent 3 8 9 3" xfId="15683" xr:uid="{00000000-0005-0000-0000-0000593D0000}"/>
    <cellStyle name="Percent 3 9" xfId="15684" xr:uid="{00000000-0005-0000-0000-00005A3D0000}"/>
    <cellStyle name="Percent 3 9 10" xfId="15685" xr:uid="{00000000-0005-0000-0000-00005B3D0000}"/>
    <cellStyle name="Percent 3 9 10 2" xfId="15686" xr:uid="{00000000-0005-0000-0000-00005C3D0000}"/>
    <cellStyle name="Percent 3 9 10 3" xfId="15687" xr:uid="{00000000-0005-0000-0000-00005D3D0000}"/>
    <cellStyle name="Percent 3 9 11" xfId="15688" xr:uid="{00000000-0005-0000-0000-00005E3D0000}"/>
    <cellStyle name="Percent 3 9 11 2" xfId="15689" xr:uid="{00000000-0005-0000-0000-00005F3D0000}"/>
    <cellStyle name="Percent 3 9 11 3" xfId="15690" xr:uid="{00000000-0005-0000-0000-0000603D0000}"/>
    <cellStyle name="Percent 3 9 12" xfId="15691" xr:uid="{00000000-0005-0000-0000-0000613D0000}"/>
    <cellStyle name="Percent 3 9 12 2" xfId="15692" xr:uid="{00000000-0005-0000-0000-0000623D0000}"/>
    <cellStyle name="Percent 3 9 12 3" xfId="15693" xr:uid="{00000000-0005-0000-0000-0000633D0000}"/>
    <cellStyle name="Percent 3 9 13" xfId="15694" xr:uid="{00000000-0005-0000-0000-0000643D0000}"/>
    <cellStyle name="Percent 3 9 13 2" xfId="15695" xr:uid="{00000000-0005-0000-0000-0000653D0000}"/>
    <cellStyle name="Percent 3 9 13 3" xfId="15696" xr:uid="{00000000-0005-0000-0000-0000663D0000}"/>
    <cellStyle name="Percent 3 9 14" xfId="15697" xr:uid="{00000000-0005-0000-0000-0000673D0000}"/>
    <cellStyle name="Percent 3 9 14 2" xfId="15698" xr:uid="{00000000-0005-0000-0000-0000683D0000}"/>
    <cellStyle name="Percent 3 9 14 3" xfId="15699" xr:uid="{00000000-0005-0000-0000-0000693D0000}"/>
    <cellStyle name="Percent 3 9 15" xfId="15700" xr:uid="{00000000-0005-0000-0000-00006A3D0000}"/>
    <cellStyle name="Percent 3 9 15 2" xfId="15701" xr:uid="{00000000-0005-0000-0000-00006B3D0000}"/>
    <cellStyle name="Percent 3 9 15 3" xfId="15702" xr:uid="{00000000-0005-0000-0000-00006C3D0000}"/>
    <cellStyle name="Percent 3 9 16" xfId="15703" xr:uid="{00000000-0005-0000-0000-00006D3D0000}"/>
    <cellStyle name="Percent 3 9 17" xfId="15704" xr:uid="{00000000-0005-0000-0000-00006E3D0000}"/>
    <cellStyle name="Percent 3 9 18" xfId="15705" xr:uid="{00000000-0005-0000-0000-00006F3D0000}"/>
    <cellStyle name="Percent 3 9 2" xfId="15706" xr:uid="{00000000-0005-0000-0000-0000703D0000}"/>
    <cellStyle name="Percent 3 9 2 2" xfId="15707" xr:uid="{00000000-0005-0000-0000-0000713D0000}"/>
    <cellStyle name="Percent 3 9 2 3" xfId="15708" xr:uid="{00000000-0005-0000-0000-0000723D0000}"/>
    <cellStyle name="Percent 3 9 3" xfId="15709" xr:uid="{00000000-0005-0000-0000-0000733D0000}"/>
    <cellStyle name="Percent 3 9 3 2" xfId="15710" xr:uid="{00000000-0005-0000-0000-0000743D0000}"/>
    <cellStyle name="Percent 3 9 3 3" xfId="15711" xr:uid="{00000000-0005-0000-0000-0000753D0000}"/>
    <cellStyle name="Percent 3 9 4" xfId="15712" xr:uid="{00000000-0005-0000-0000-0000763D0000}"/>
    <cellStyle name="Percent 3 9 4 2" xfId="15713" xr:uid="{00000000-0005-0000-0000-0000773D0000}"/>
    <cellStyle name="Percent 3 9 4 3" xfId="15714" xr:uid="{00000000-0005-0000-0000-0000783D0000}"/>
    <cellStyle name="Percent 3 9 5" xfId="15715" xr:uid="{00000000-0005-0000-0000-0000793D0000}"/>
    <cellStyle name="Percent 3 9 5 2" xfId="15716" xr:uid="{00000000-0005-0000-0000-00007A3D0000}"/>
    <cellStyle name="Percent 3 9 5 3" xfId="15717" xr:uid="{00000000-0005-0000-0000-00007B3D0000}"/>
    <cellStyle name="Percent 3 9 6" xfId="15718" xr:uid="{00000000-0005-0000-0000-00007C3D0000}"/>
    <cellStyle name="Percent 3 9 6 2" xfId="15719" xr:uid="{00000000-0005-0000-0000-00007D3D0000}"/>
    <cellStyle name="Percent 3 9 6 3" xfId="15720" xr:uid="{00000000-0005-0000-0000-00007E3D0000}"/>
    <cellStyle name="Percent 3 9 7" xfId="15721" xr:uid="{00000000-0005-0000-0000-00007F3D0000}"/>
    <cellStyle name="Percent 3 9 7 2" xfId="15722" xr:uid="{00000000-0005-0000-0000-0000803D0000}"/>
    <cellStyle name="Percent 3 9 7 3" xfId="15723" xr:uid="{00000000-0005-0000-0000-0000813D0000}"/>
    <cellStyle name="Percent 3 9 8" xfId="15724" xr:uid="{00000000-0005-0000-0000-0000823D0000}"/>
    <cellStyle name="Percent 3 9 8 2" xfId="15725" xr:uid="{00000000-0005-0000-0000-0000833D0000}"/>
    <cellStyle name="Percent 3 9 8 3" xfId="15726" xr:uid="{00000000-0005-0000-0000-0000843D0000}"/>
    <cellStyle name="Percent 3 9 9" xfId="15727" xr:uid="{00000000-0005-0000-0000-0000853D0000}"/>
    <cellStyle name="Percent 3 9 9 2" xfId="15728" xr:uid="{00000000-0005-0000-0000-0000863D0000}"/>
    <cellStyle name="Percent 3 9 9 3" xfId="15729" xr:uid="{00000000-0005-0000-0000-0000873D0000}"/>
    <cellStyle name="Percent 3_DACNEW" xfId="17765" xr:uid="{00000000-0005-0000-0000-0000883D0000}"/>
    <cellStyle name="Percent 30" xfId="15730" xr:uid="{00000000-0005-0000-0000-0000893D0000}"/>
    <cellStyle name="Percent 31" xfId="15731" xr:uid="{00000000-0005-0000-0000-00008A3D0000}"/>
    <cellStyle name="Percent 31 2" xfId="15732" xr:uid="{00000000-0005-0000-0000-00008B3D0000}"/>
    <cellStyle name="Percent 31 3" xfId="15733" xr:uid="{00000000-0005-0000-0000-00008C3D0000}"/>
    <cellStyle name="Percent 32" xfId="15734" xr:uid="{00000000-0005-0000-0000-00008D3D0000}"/>
    <cellStyle name="Percent 4" xfId="15735" xr:uid="{00000000-0005-0000-0000-00008E3D0000}"/>
    <cellStyle name="Percent 4 10" xfId="15736" xr:uid="{00000000-0005-0000-0000-00008F3D0000}"/>
    <cellStyle name="Percent 4 10 2" xfId="15737" xr:uid="{00000000-0005-0000-0000-0000903D0000}"/>
    <cellStyle name="Percent 4 10 3" xfId="15738" xr:uid="{00000000-0005-0000-0000-0000913D0000}"/>
    <cellStyle name="Percent 4 10 4" xfId="15739" xr:uid="{00000000-0005-0000-0000-0000923D0000}"/>
    <cellStyle name="Percent 4 11" xfId="15740" xr:uid="{00000000-0005-0000-0000-0000933D0000}"/>
    <cellStyle name="Percent 4 11 2" xfId="15741" xr:uid="{00000000-0005-0000-0000-0000943D0000}"/>
    <cellStyle name="Percent 4 11 3" xfId="15742" xr:uid="{00000000-0005-0000-0000-0000953D0000}"/>
    <cellStyle name="Percent 4 11 4" xfId="15743" xr:uid="{00000000-0005-0000-0000-0000963D0000}"/>
    <cellStyle name="Percent 4 12" xfId="15744" xr:uid="{00000000-0005-0000-0000-0000973D0000}"/>
    <cellStyle name="Percent 4 12 2" xfId="15745" xr:uid="{00000000-0005-0000-0000-0000983D0000}"/>
    <cellStyle name="Percent 4 12 3" xfId="15746" xr:uid="{00000000-0005-0000-0000-0000993D0000}"/>
    <cellStyle name="Percent 4 12 4" xfId="15747" xr:uid="{00000000-0005-0000-0000-00009A3D0000}"/>
    <cellStyle name="Percent 4 13" xfId="15748" xr:uid="{00000000-0005-0000-0000-00009B3D0000}"/>
    <cellStyle name="Percent 4 13 2" xfId="15749" xr:uid="{00000000-0005-0000-0000-00009C3D0000}"/>
    <cellStyle name="Percent 4 13 3" xfId="15750" xr:uid="{00000000-0005-0000-0000-00009D3D0000}"/>
    <cellStyle name="Percent 4 13 4" xfId="15751" xr:uid="{00000000-0005-0000-0000-00009E3D0000}"/>
    <cellStyle name="Percent 4 14" xfId="15752" xr:uid="{00000000-0005-0000-0000-00009F3D0000}"/>
    <cellStyle name="Percent 4 14 2" xfId="15753" xr:uid="{00000000-0005-0000-0000-0000A03D0000}"/>
    <cellStyle name="Percent 4 14 2 2" xfId="15754" xr:uid="{00000000-0005-0000-0000-0000A13D0000}"/>
    <cellStyle name="Percent 4 14 2 3" xfId="15755" xr:uid="{00000000-0005-0000-0000-0000A23D0000}"/>
    <cellStyle name="Percent 4 14 3" xfId="15756" xr:uid="{00000000-0005-0000-0000-0000A33D0000}"/>
    <cellStyle name="Percent 4 14 4" xfId="15757" xr:uid="{00000000-0005-0000-0000-0000A43D0000}"/>
    <cellStyle name="Percent 4 15" xfId="15758" xr:uid="{00000000-0005-0000-0000-0000A53D0000}"/>
    <cellStyle name="Percent 4 15 2" xfId="15759" xr:uid="{00000000-0005-0000-0000-0000A63D0000}"/>
    <cellStyle name="Percent 4 15 3" xfId="15760" xr:uid="{00000000-0005-0000-0000-0000A73D0000}"/>
    <cellStyle name="Percent 4 16" xfId="15761" xr:uid="{00000000-0005-0000-0000-0000A83D0000}"/>
    <cellStyle name="Percent 4 16 2" xfId="15762" xr:uid="{00000000-0005-0000-0000-0000A93D0000}"/>
    <cellStyle name="Percent 4 16 2 2" xfId="15763" xr:uid="{00000000-0005-0000-0000-0000AA3D0000}"/>
    <cellStyle name="Percent 4 16 2 3" xfId="15764" xr:uid="{00000000-0005-0000-0000-0000AB3D0000}"/>
    <cellStyle name="Percent 4 16 3" xfId="15765" xr:uid="{00000000-0005-0000-0000-0000AC3D0000}"/>
    <cellStyle name="Percent 4 16 4" xfId="15766" xr:uid="{00000000-0005-0000-0000-0000AD3D0000}"/>
    <cellStyle name="Percent 4 17" xfId="15767" xr:uid="{00000000-0005-0000-0000-0000AE3D0000}"/>
    <cellStyle name="Percent 4 17 2" xfId="15768" xr:uid="{00000000-0005-0000-0000-0000AF3D0000}"/>
    <cellStyle name="Percent 4 17 3" xfId="15769" xr:uid="{00000000-0005-0000-0000-0000B03D0000}"/>
    <cellStyle name="Percent 4 18" xfId="15770" xr:uid="{00000000-0005-0000-0000-0000B13D0000}"/>
    <cellStyle name="Percent 4 18 2" xfId="15771" xr:uid="{00000000-0005-0000-0000-0000B23D0000}"/>
    <cellStyle name="Percent 4 18 3" xfId="15772" xr:uid="{00000000-0005-0000-0000-0000B33D0000}"/>
    <cellStyle name="Percent 4 19" xfId="15773" xr:uid="{00000000-0005-0000-0000-0000B43D0000}"/>
    <cellStyle name="Percent 4 19 2" xfId="15774" xr:uid="{00000000-0005-0000-0000-0000B53D0000}"/>
    <cellStyle name="Percent 4 19 3" xfId="15775" xr:uid="{00000000-0005-0000-0000-0000B63D0000}"/>
    <cellStyle name="Percent 4 2" xfId="15776" xr:uid="{00000000-0005-0000-0000-0000B73D0000}"/>
    <cellStyle name="Percent 4 2 10" xfId="15777" xr:uid="{00000000-0005-0000-0000-0000B83D0000}"/>
    <cellStyle name="Percent 4 2 11" xfId="15778" xr:uid="{00000000-0005-0000-0000-0000B93D0000}"/>
    <cellStyle name="Percent 4 2 12" xfId="15779" xr:uid="{00000000-0005-0000-0000-0000BA3D0000}"/>
    <cellStyle name="Percent 4 2 2" xfId="15780" xr:uid="{00000000-0005-0000-0000-0000BB3D0000}"/>
    <cellStyle name="Percent 4 2 2 2" xfId="15781" xr:uid="{00000000-0005-0000-0000-0000BC3D0000}"/>
    <cellStyle name="Percent 4 2 2 3" xfId="15782" xr:uid="{00000000-0005-0000-0000-0000BD3D0000}"/>
    <cellStyle name="Percent 4 2 2 4" xfId="15783" xr:uid="{00000000-0005-0000-0000-0000BE3D0000}"/>
    <cellStyle name="Percent 4 2 3" xfId="15784" xr:uid="{00000000-0005-0000-0000-0000BF3D0000}"/>
    <cellStyle name="Percent 4 2 3 2" xfId="15785" xr:uid="{00000000-0005-0000-0000-0000C03D0000}"/>
    <cellStyle name="Percent 4 2 3 3" xfId="15786" xr:uid="{00000000-0005-0000-0000-0000C13D0000}"/>
    <cellStyle name="Percent 4 2 3 4" xfId="15787" xr:uid="{00000000-0005-0000-0000-0000C23D0000}"/>
    <cellStyle name="Percent 4 2 4" xfId="15788" xr:uid="{00000000-0005-0000-0000-0000C33D0000}"/>
    <cellStyle name="Percent 4 2 4 2" xfId="15789" xr:uid="{00000000-0005-0000-0000-0000C43D0000}"/>
    <cellStyle name="Percent 4 2 4 2 2" xfId="15790" xr:uid="{00000000-0005-0000-0000-0000C53D0000}"/>
    <cellStyle name="Percent 4 2 4 2 3" xfId="15791" xr:uid="{00000000-0005-0000-0000-0000C63D0000}"/>
    <cellStyle name="Percent 4 2 4 3" xfId="15792" xr:uid="{00000000-0005-0000-0000-0000C73D0000}"/>
    <cellStyle name="Percent 4 2 4 3 2" xfId="15793" xr:uid="{00000000-0005-0000-0000-0000C83D0000}"/>
    <cellStyle name="Percent 4 2 4 3 3" xfId="15794" xr:uid="{00000000-0005-0000-0000-0000C93D0000}"/>
    <cellStyle name="Percent 4 2 4 4" xfId="15795" xr:uid="{00000000-0005-0000-0000-0000CA3D0000}"/>
    <cellStyle name="Percent 4 2 4 5" xfId="15796" xr:uid="{00000000-0005-0000-0000-0000CB3D0000}"/>
    <cellStyle name="Percent 4 2 4 6" xfId="15797" xr:uid="{00000000-0005-0000-0000-0000CC3D0000}"/>
    <cellStyle name="Percent 4 2 5" xfId="15798" xr:uid="{00000000-0005-0000-0000-0000CD3D0000}"/>
    <cellStyle name="Percent 4 2 5 2" xfId="15799" xr:uid="{00000000-0005-0000-0000-0000CE3D0000}"/>
    <cellStyle name="Percent 4 2 5 3" xfId="15800" xr:uid="{00000000-0005-0000-0000-0000CF3D0000}"/>
    <cellStyle name="Percent 4 2 5 4" xfId="15801" xr:uid="{00000000-0005-0000-0000-0000D03D0000}"/>
    <cellStyle name="Percent 4 2 6" xfId="15802" xr:uid="{00000000-0005-0000-0000-0000D13D0000}"/>
    <cellStyle name="Percent 4 2 6 2" xfId="15803" xr:uid="{00000000-0005-0000-0000-0000D23D0000}"/>
    <cellStyle name="Percent 4 2 6 2 2" xfId="15804" xr:uid="{00000000-0005-0000-0000-0000D33D0000}"/>
    <cellStyle name="Percent 4 2 6 2 3" xfId="15805" xr:uid="{00000000-0005-0000-0000-0000D43D0000}"/>
    <cellStyle name="Percent 4 2 6 3" xfId="15806" xr:uid="{00000000-0005-0000-0000-0000D53D0000}"/>
    <cellStyle name="Percent 4 2 6 3 2" xfId="15807" xr:uid="{00000000-0005-0000-0000-0000D63D0000}"/>
    <cellStyle name="Percent 4 2 6 3 3" xfId="15808" xr:uid="{00000000-0005-0000-0000-0000D73D0000}"/>
    <cellStyle name="Percent 4 2 6 4" xfId="15809" xr:uid="{00000000-0005-0000-0000-0000D83D0000}"/>
    <cellStyle name="Percent 4 2 6 5" xfId="15810" xr:uid="{00000000-0005-0000-0000-0000D93D0000}"/>
    <cellStyle name="Percent 4 2 6 6" xfId="15811" xr:uid="{00000000-0005-0000-0000-0000DA3D0000}"/>
    <cellStyle name="Percent 4 2 7" xfId="15812" xr:uid="{00000000-0005-0000-0000-0000DB3D0000}"/>
    <cellStyle name="Percent 4 2 7 2" xfId="15813" xr:uid="{00000000-0005-0000-0000-0000DC3D0000}"/>
    <cellStyle name="Percent 4 2 7 3" xfId="15814" xr:uid="{00000000-0005-0000-0000-0000DD3D0000}"/>
    <cellStyle name="Percent 4 2 7 4" xfId="15815" xr:uid="{00000000-0005-0000-0000-0000DE3D0000}"/>
    <cellStyle name="Percent 4 2 8" xfId="15816" xr:uid="{00000000-0005-0000-0000-0000DF3D0000}"/>
    <cellStyle name="Percent 4 2 8 2" xfId="15817" xr:uid="{00000000-0005-0000-0000-0000E03D0000}"/>
    <cellStyle name="Percent 4 2 8 3" xfId="15818" xr:uid="{00000000-0005-0000-0000-0000E13D0000}"/>
    <cellStyle name="Percent 4 2 8 4" xfId="15819" xr:uid="{00000000-0005-0000-0000-0000E23D0000}"/>
    <cellStyle name="Percent 4 2 9" xfId="15820" xr:uid="{00000000-0005-0000-0000-0000E33D0000}"/>
    <cellStyle name="Percent 4 2 9 2" xfId="15821" xr:uid="{00000000-0005-0000-0000-0000E43D0000}"/>
    <cellStyle name="Percent 4 2 9 3" xfId="15822" xr:uid="{00000000-0005-0000-0000-0000E53D0000}"/>
    <cellStyle name="Percent 4 20" xfId="15823" xr:uid="{00000000-0005-0000-0000-0000E63D0000}"/>
    <cellStyle name="Percent 4 20 2" xfId="15824" xr:uid="{00000000-0005-0000-0000-0000E73D0000}"/>
    <cellStyle name="Percent 4 20 3" xfId="15825" xr:uid="{00000000-0005-0000-0000-0000E83D0000}"/>
    <cellStyle name="Percent 4 21" xfId="15826" xr:uid="{00000000-0005-0000-0000-0000E93D0000}"/>
    <cellStyle name="Percent 4 21 2" xfId="15827" xr:uid="{00000000-0005-0000-0000-0000EA3D0000}"/>
    <cellStyle name="Percent 4 21 3" xfId="15828" xr:uid="{00000000-0005-0000-0000-0000EB3D0000}"/>
    <cellStyle name="Percent 4 22" xfId="15829" xr:uid="{00000000-0005-0000-0000-0000EC3D0000}"/>
    <cellStyle name="Percent 4 22 2" xfId="15830" xr:uid="{00000000-0005-0000-0000-0000ED3D0000}"/>
    <cellStyle name="Percent 4 22 3" xfId="15831" xr:uid="{00000000-0005-0000-0000-0000EE3D0000}"/>
    <cellStyle name="Percent 4 23" xfId="15832" xr:uid="{00000000-0005-0000-0000-0000EF3D0000}"/>
    <cellStyle name="Percent 4 23 2" xfId="15833" xr:uid="{00000000-0005-0000-0000-0000F03D0000}"/>
    <cellStyle name="Percent 4 23 3" xfId="15834" xr:uid="{00000000-0005-0000-0000-0000F13D0000}"/>
    <cellStyle name="Percent 4 24" xfId="15835" xr:uid="{00000000-0005-0000-0000-0000F23D0000}"/>
    <cellStyle name="Percent 4 24 2" xfId="15836" xr:uid="{00000000-0005-0000-0000-0000F33D0000}"/>
    <cellStyle name="Percent 4 24 3" xfId="15837" xr:uid="{00000000-0005-0000-0000-0000F43D0000}"/>
    <cellStyle name="Percent 4 25" xfId="15838" xr:uid="{00000000-0005-0000-0000-0000F53D0000}"/>
    <cellStyle name="Percent 4 25 2" xfId="15839" xr:uid="{00000000-0005-0000-0000-0000F63D0000}"/>
    <cellStyle name="Percent 4 25 3" xfId="15840" xr:uid="{00000000-0005-0000-0000-0000F73D0000}"/>
    <cellStyle name="Percent 4 26" xfId="15841" xr:uid="{00000000-0005-0000-0000-0000F83D0000}"/>
    <cellStyle name="Percent 4 26 2" xfId="15842" xr:uid="{00000000-0005-0000-0000-0000F93D0000}"/>
    <cellStyle name="Percent 4 26 3" xfId="15843" xr:uid="{00000000-0005-0000-0000-0000FA3D0000}"/>
    <cellStyle name="Percent 4 27" xfId="15844" xr:uid="{00000000-0005-0000-0000-0000FB3D0000}"/>
    <cellStyle name="Percent 4 27 2" xfId="15845" xr:uid="{00000000-0005-0000-0000-0000FC3D0000}"/>
    <cellStyle name="Percent 4 27 3" xfId="15846" xr:uid="{00000000-0005-0000-0000-0000FD3D0000}"/>
    <cellStyle name="Percent 4 28" xfId="15847" xr:uid="{00000000-0005-0000-0000-0000FE3D0000}"/>
    <cellStyle name="Percent 4 28 2" xfId="15848" xr:uid="{00000000-0005-0000-0000-0000FF3D0000}"/>
    <cellStyle name="Percent 4 28 3" xfId="15849" xr:uid="{00000000-0005-0000-0000-0000003E0000}"/>
    <cellStyle name="Percent 4 29" xfId="15850" xr:uid="{00000000-0005-0000-0000-0000013E0000}"/>
    <cellStyle name="Percent 4 29 2" xfId="15851" xr:uid="{00000000-0005-0000-0000-0000023E0000}"/>
    <cellStyle name="Percent 4 29 2 2" xfId="15852" xr:uid="{00000000-0005-0000-0000-0000033E0000}"/>
    <cellStyle name="Percent 4 29 2 3" xfId="15853" xr:uid="{00000000-0005-0000-0000-0000043E0000}"/>
    <cellStyle name="Percent 4 29 3" xfId="15854" xr:uid="{00000000-0005-0000-0000-0000053E0000}"/>
    <cellStyle name="Percent 4 29 3 2" xfId="15855" xr:uid="{00000000-0005-0000-0000-0000063E0000}"/>
    <cellStyle name="Percent 4 29 3 2 2" xfId="15856" xr:uid="{00000000-0005-0000-0000-0000073E0000}"/>
    <cellStyle name="Percent 4 29 3 2 2 2" xfId="15857" xr:uid="{00000000-0005-0000-0000-0000083E0000}"/>
    <cellStyle name="Percent 4 29 3 2 2 3" xfId="15858" xr:uid="{00000000-0005-0000-0000-0000093E0000}"/>
    <cellStyle name="Percent 4 29 3 2 3" xfId="15859" xr:uid="{00000000-0005-0000-0000-00000A3E0000}"/>
    <cellStyle name="Percent 4 29 3 2 4" xfId="15860" xr:uid="{00000000-0005-0000-0000-00000B3E0000}"/>
    <cellStyle name="Percent 4 29 3 3" xfId="15861" xr:uid="{00000000-0005-0000-0000-00000C3E0000}"/>
    <cellStyle name="Percent 4 29 3 3 2" xfId="15862" xr:uid="{00000000-0005-0000-0000-00000D3E0000}"/>
    <cellStyle name="Percent 4 29 3 3 2 2" xfId="15863" xr:uid="{00000000-0005-0000-0000-00000E3E0000}"/>
    <cellStyle name="Percent 4 29 3 3 2 3" xfId="15864" xr:uid="{00000000-0005-0000-0000-00000F3E0000}"/>
    <cellStyle name="Percent 4 29 3 3 3" xfId="15865" xr:uid="{00000000-0005-0000-0000-0000103E0000}"/>
    <cellStyle name="Percent 4 29 3 3 4" xfId="15866" xr:uid="{00000000-0005-0000-0000-0000113E0000}"/>
    <cellStyle name="Percent 4 29 3 4" xfId="15867" xr:uid="{00000000-0005-0000-0000-0000123E0000}"/>
    <cellStyle name="Percent 4 29 3 4 2" xfId="15868" xr:uid="{00000000-0005-0000-0000-0000133E0000}"/>
    <cellStyle name="Percent 4 29 3 4 3" xfId="15869" xr:uid="{00000000-0005-0000-0000-0000143E0000}"/>
    <cellStyle name="Percent 4 29 3 5" xfId="15870" xr:uid="{00000000-0005-0000-0000-0000153E0000}"/>
    <cellStyle name="Percent 4 29 3 6" xfId="15871" xr:uid="{00000000-0005-0000-0000-0000163E0000}"/>
    <cellStyle name="Percent 4 29 4" xfId="15872" xr:uid="{00000000-0005-0000-0000-0000173E0000}"/>
    <cellStyle name="Percent 4 29 4 2" xfId="15873" xr:uid="{00000000-0005-0000-0000-0000183E0000}"/>
    <cellStyle name="Percent 4 29 4 2 2" xfId="15874" xr:uid="{00000000-0005-0000-0000-0000193E0000}"/>
    <cellStyle name="Percent 4 29 4 2 3" xfId="15875" xr:uid="{00000000-0005-0000-0000-00001A3E0000}"/>
    <cellStyle name="Percent 4 29 4 3" xfId="15876" xr:uid="{00000000-0005-0000-0000-00001B3E0000}"/>
    <cellStyle name="Percent 4 29 4 4" xfId="15877" xr:uid="{00000000-0005-0000-0000-00001C3E0000}"/>
    <cellStyle name="Percent 4 29 5" xfId="15878" xr:uid="{00000000-0005-0000-0000-00001D3E0000}"/>
    <cellStyle name="Percent 4 29 5 2" xfId="15879" xr:uid="{00000000-0005-0000-0000-00001E3E0000}"/>
    <cellStyle name="Percent 4 29 5 2 2" xfId="15880" xr:uid="{00000000-0005-0000-0000-00001F3E0000}"/>
    <cellStyle name="Percent 4 29 5 2 3" xfId="15881" xr:uid="{00000000-0005-0000-0000-0000203E0000}"/>
    <cellStyle name="Percent 4 29 5 3" xfId="15882" xr:uid="{00000000-0005-0000-0000-0000213E0000}"/>
    <cellStyle name="Percent 4 29 5 4" xfId="15883" xr:uid="{00000000-0005-0000-0000-0000223E0000}"/>
    <cellStyle name="Percent 4 29 6" xfId="15884" xr:uid="{00000000-0005-0000-0000-0000233E0000}"/>
    <cellStyle name="Percent 4 29 6 2" xfId="15885" xr:uid="{00000000-0005-0000-0000-0000243E0000}"/>
    <cellStyle name="Percent 4 29 6 3" xfId="15886" xr:uid="{00000000-0005-0000-0000-0000253E0000}"/>
    <cellStyle name="Percent 4 29 7" xfId="15887" xr:uid="{00000000-0005-0000-0000-0000263E0000}"/>
    <cellStyle name="Percent 4 29 8" xfId="15888" xr:uid="{00000000-0005-0000-0000-0000273E0000}"/>
    <cellStyle name="Percent 4 3" xfId="15889" xr:uid="{00000000-0005-0000-0000-0000283E0000}"/>
    <cellStyle name="Percent 4 3 10" xfId="15890" xr:uid="{00000000-0005-0000-0000-0000293E0000}"/>
    <cellStyle name="Percent 4 3 11" xfId="15891" xr:uid="{00000000-0005-0000-0000-00002A3E0000}"/>
    <cellStyle name="Percent 4 3 2" xfId="15892" xr:uid="{00000000-0005-0000-0000-00002B3E0000}"/>
    <cellStyle name="Percent 4 3 2 2" xfId="15893" xr:uid="{00000000-0005-0000-0000-00002C3E0000}"/>
    <cellStyle name="Percent 4 3 2 3" xfId="15894" xr:uid="{00000000-0005-0000-0000-00002D3E0000}"/>
    <cellStyle name="Percent 4 3 2 4" xfId="15895" xr:uid="{00000000-0005-0000-0000-00002E3E0000}"/>
    <cellStyle name="Percent 4 3 3" xfId="15896" xr:uid="{00000000-0005-0000-0000-00002F3E0000}"/>
    <cellStyle name="Percent 4 3 3 2" xfId="15897" xr:uid="{00000000-0005-0000-0000-0000303E0000}"/>
    <cellStyle name="Percent 4 3 3 3" xfId="15898" xr:uid="{00000000-0005-0000-0000-0000313E0000}"/>
    <cellStyle name="Percent 4 3 3 4" xfId="15899" xr:uid="{00000000-0005-0000-0000-0000323E0000}"/>
    <cellStyle name="Percent 4 3 4" xfId="15900" xr:uid="{00000000-0005-0000-0000-0000333E0000}"/>
    <cellStyle name="Percent 4 3 4 2" xfId="15901" xr:uid="{00000000-0005-0000-0000-0000343E0000}"/>
    <cellStyle name="Percent 4 3 4 3" xfId="15902" xr:uid="{00000000-0005-0000-0000-0000353E0000}"/>
    <cellStyle name="Percent 4 3 4 4" xfId="15903" xr:uid="{00000000-0005-0000-0000-0000363E0000}"/>
    <cellStyle name="Percent 4 3 5" xfId="15904" xr:uid="{00000000-0005-0000-0000-0000373E0000}"/>
    <cellStyle name="Percent 4 3 5 2" xfId="15905" xr:uid="{00000000-0005-0000-0000-0000383E0000}"/>
    <cellStyle name="Percent 4 3 5 3" xfId="15906" xr:uid="{00000000-0005-0000-0000-0000393E0000}"/>
    <cellStyle name="Percent 4 3 5 4" xfId="15907" xr:uid="{00000000-0005-0000-0000-00003A3E0000}"/>
    <cellStyle name="Percent 4 3 6" xfId="15908" xr:uid="{00000000-0005-0000-0000-00003B3E0000}"/>
    <cellStyle name="Percent 4 3 6 2" xfId="15909" xr:uid="{00000000-0005-0000-0000-00003C3E0000}"/>
    <cellStyle name="Percent 4 3 6 3" xfId="15910" xr:uid="{00000000-0005-0000-0000-00003D3E0000}"/>
    <cellStyle name="Percent 4 3 6 4" xfId="15911" xr:uid="{00000000-0005-0000-0000-00003E3E0000}"/>
    <cellStyle name="Percent 4 3 7" xfId="15912" xr:uid="{00000000-0005-0000-0000-00003F3E0000}"/>
    <cellStyle name="Percent 4 3 7 2" xfId="15913" xr:uid="{00000000-0005-0000-0000-0000403E0000}"/>
    <cellStyle name="Percent 4 3 7 3" xfId="15914" xr:uid="{00000000-0005-0000-0000-0000413E0000}"/>
    <cellStyle name="Percent 4 3 7 4" xfId="15915" xr:uid="{00000000-0005-0000-0000-0000423E0000}"/>
    <cellStyle name="Percent 4 3 8" xfId="15916" xr:uid="{00000000-0005-0000-0000-0000433E0000}"/>
    <cellStyle name="Percent 4 3 8 2" xfId="15917" xr:uid="{00000000-0005-0000-0000-0000443E0000}"/>
    <cellStyle name="Percent 4 3 8 3" xfId="15918" xr:uid="{00000000-0005-0000-0000-0000453E0000}"/>
    <cellStyle name="Percent 4 3 8 4" xfId="15919" xr:uid="{00000000-0005-0000-0000-0000463E0000}"/>
    <cellStyle name="Percent 4 3 9" xfId="15920" xr:uid="{00000000-0005-0000-0000-0000473E0000}"/>
    <cellStyle name="Percent 4 30" xfId="15921" xr:uid="{00000000-0005-0000-0000-0000483E0000}"/>
    <cellStyle name="Percent 4 30 2" xfId="15922" xr:uid="{00000000-0005-0000-0000-0000493E0000}"/>
    <cellStyle name="Percent 4 30 3" xfId="15923" xr:uid="{00000000-0005-0000-0000-00004A3E0000}"/>
    <cellStyle name="Percent 4 31" xfId="15924" xr:uid="{00000000-0005-0000-0000-00004B3E0000}"/>
    <cellStyle name="Percent 4 31 2" xfId="15925" xr:uid="{00000000-0005-0000-0000-00004C3E0000}"/>
    <cellStyle name="Percent 4 31 3" xfId="15926" xr:uid="{00000000-0005-0000-0000-00004D3E0000}"/>
    <cellStyle name="Percent 4 32" xfId="15927" xr:uid="{00000000-0005-0000-0000-00004E3E0000}"/>
    <cellStyle name="Percent 4 33" xfId="15928" xr:uid="{00000000-0005-0000-0000-00004F3E0000}"/>
    <cellStyle name="Percent 4 34" xfId="15929" xr:uid="{00000000-0005-0000-0000-0000503E0000}"/>
    <cellStyle name="Percent 4 4" xfId="15930" xr:uid="{00000000-0005-0000-0000-0000513E0000}"/>
    <cellStyle name="Percent 4 4 10" xfId="15931" xr:uid="{00000000-0005-0000-0000-0000523E0000}"/>
    <cellStyle name="Percent 4 4 11" xfId="15932" xr:uid="{00000000-0005-0000-0000-0000533E0000}"/>
    <cellStyle name="Percent 4 4 12" xfId="15933" xr:uid="{00000000-0005-0000-0000-0000543E0000}"/>
    <cellStyle name="Percent 4 4 2" xfId="15934" xr:uid="{00000000-0005-0000-0000-0000553E0000}"/>
    <cellStyle name="Percent 4 4 2 2" xfId="15935" xr:uid="{00000000-0005-0000-0000-0000563E0000}"/>
    <cellStyle name="Percent 4 4 2 3" xfId="15936" xr:uid="{00000000-0005-0000-0000-0000573E0000}"/>
    <cellStyle name="Percent 4 4 2 4" xfId="15937" xr:uid="{00000000-0005-0000-0000-0000583E0000}"/>
    <cellStyle name="Percent 4 4 3" xfId="15938" xr:uid="{00000000-0005-0000-0000-0000593E0000}"/>
    <cellStyle name="Percent 4 4 3 2" xfId="15939" xr:uid="{00000000-0005-0000-0000-00005A3E0000}"/>
    <cellStyle name="Percent 4 4 3 3" xfId="15940" xr:uid="{00000000-0005-0000-0000-00005B3E0000}"/>
    <cellStyle name="Percent 4 4 3 4" xfId="15941" xr:uid="{00000000-0005-0000-0000-00005C3E0000}"/>
    <cellStyle name="Percent 4 4 4" xfId="15942" xr:uid="{00000000-0005-0000-0000-00005D3E0000}"/>
    <cellStyle name="Percent 4 4 4 2" xfId="15943" xr:uid="{00000000-0005-0000-0000-00005E3E0000}"/>
    <cellStyle name="Percent 4 4 4 3" xfId="15944" xr:uid="{00000000-0005-0000-0000-00005F3E0000}"/>
    <cellStyle name="Percent 4 4 4 4" xfId="15945" xr:uid="{00000000-0005-0000-0000-0000603E0000}"/>
    <cellStyle name="Percent 4 4 5" xfId="15946" xr:uid="{00000000-0005-0000-0000-0000613E0000}"/>
    <cellStyle name="Percent 4 4 5 2" xfId="15947" xr:uid="{00000000-0005-0000-0000-0000623E0000}"/>
    <cellStyle name="Percent 4 4 5 3" xfId="15948" xr:uid="{00000000-0005-0000-0000-0000633E0000}"/>
    <cellStyle name="Percent 4 4 5 4" xfId="15949" xr:uid="{00000000-0005-0000-0000-0000643E0000}"/>
    <cellStyle name="Percent 4 4 6" xfId="15950" xr:uid="{00000000-0005-0000-0000-0000653E0000}"/>
    <cellStyle name="Percent 4 4 6 2" xfId="15951" xr:uid="{00000000-0005-0000-0000-0000663E0000}"/>
    <cellStyle name="Percent 4 4 6 3" xfId="15952" xr:uid="{00000000-0005-0000-0000-0000673E0000}"/>
    <cellStyle name="Percent 4 4 6 4" xfId="15953" xr:uid="{00000000-0005-0000-0000-0000683E0000}"/>
    <cellStyle name="Percent 4 4 7" xfId="15954" xr:uid="{00000000-0005-0000-0000-0000693E0000}"/>
    <cellStyle name="Percent 4 4 7 2" xfId="15955" xr:uid="{00000000-0005-0000-0000-00006A3E0000}"/>
    <cellStyle name="Percent 4 4 7 3" xfId="15956" xr:uid="{00000000-0005-0000-0000-00006B3E0000}"/>
    <cellStyle name="Percent 4 4 7 4" xfId="15957" xr:uid="{00000000-0005-0000-0000-00006C3E0000}"/>
    <cellStyle name="Percent 4 4 8" xfId="15958" xr:uid="{00000000-0005-0000-0000-00006D3E0000}"/>
    <cellStyle name="Percent 4 4 8 2" xfId="15959" xr:uid="{00000000-0005-0000-0000-00006E3E0000}"/>
    <cellStyle name="Percent 4 4 8 3" xfId="15960" xr:uid="{00000000-0005-0000-0000-00006F3E0000}"/>
    <cellStyle name="Percent 4 4 8 4" xfId="15961" xr:uid="{00000000-0005-0000-0000-0000703E0000}"/>
    <cellStyle name="Percent 4 4 9" xfId="15962" xr:uid="{00000000-0005-0000-0000-0000713E0000}"/>
    <cellStyle name="Percent 4 4 9 2" xfId="15963" xr:uid="{00000000-0005-0000-0000-0000723E0000}"/>
    <cellStyle name="Percent 4 4 9 3" xfId="15964" xr:uid="{00000000-0005-0000-0000-0000733E0000}"/>
    <cellStyle name="Percent 4 5" xfId="15965" xr:uid="{00000000-0005-0000-0000-0000743E0000}"/>
    <cellStyle name="Percent 4 5 10" xfId="15966" xr:uid="{00000000-0005-0000-0000-0000753E0000}"/>
    <cellStyle name="Percent 4 5 11" xfId="15967" xr:uid="{00000000-0005-0000-0000-0000763E0000}"/>
    <cellStyle name="Percent 4 5 12" xfId="15968" xr:uid="{00000000-0005-0000-0000-0000773E0000}"/>
    <cellStyle name="Percent 4 5 2" xfId="15969" xr:uid="{00000000-0005-0000-0000-0000783E0000}"/>
    <cellStyle name="Percent 4 5 2 2" xfId="15970" xr:uid="{00000000-0005-0000-0000-0000793E0000}"/>
    <cellStyle name="Percent 4 5 2 3" xfId="15971" xr:uid="{00000000-0005-0000-0000-00007A3E0000}"/>
    <cellStyle name="Percent 4 5 2 4" xfId="15972" xr:uid="{00000000-0005-0000-0000-00007B3E0000}"/>
    <cellStyle name="Percent 4 5 3" xfId="15973" xr:uid="{00000000-0005-0000-0000-00007C3E0000}"/>
    <cellStyle name="Percent 4 5 3 2" xfId="15974" xr:uid="{00000000-0005-0000-0000-00007D3E0000}"/>
    <cellStyle name="Percent 4 5 3 3" xfId="15975" xr:uid="{00000000-0005-0000-0000-00007E3E0000}"/>
    <cellStyle name="Percent 4 5 3 4" xfId="15976" xr:uid="{00000000-0005-0000-0000-00007F3E0000}"/>
    <cellStyle name="Percent 4 5 4" xfId="15977" xr:uid="{00000000-0005-0000-0000-0000803E0000}"/>
    <cellStyle name="Percent 4 5 4 2" xfId="15978" xr:uid="{00000000-0005-0000-0000-0000813E0000}"/>
    <cellStyle name="Percent 4 5 4 3" xfId="15979" xr:uid="{00000000-0005-0000-0000-0000823E0000}"/>
    <cellStyle name="Percent 4 5 4 4" xfId="15980" xr:uid="{00000000-0005-0000-0000-0000833E0000}"/>
    <cellStyle name="Percent 4 5 5" xfId="15981" xr:uid="{00000000-0005-0000-0000-0000843E0000}"/>
    <cellStyle name="Percent 4 5 5 2" xfId="15982" xr:uid="{00000000-0005-0000-0000-0000853E0000}"/>
    <cellStyle name="Percent 4 5 5 3" xfId="15983" xr:uid="{00000000-0005-0000-0000-0000863E0000}"/>
    <cellStyle name="Percent 4 5 5 4" xfId="15984" xr:uid="{00000000-0005-0000-0000-0000873E0000}"/>
    <cellStyle name="Percent 4 5 6" xfId="15985" xr:uid="{00000000-0005-0000-0000-0000883E0000}"/>
    <cellStyle name="Percent 4 5 6 2" xfId="15986" xr:uid="{00000000-0005-0000-0000-0000893E0000}"/>
    <cellStyle name="Percent 4 5 6 3" xfId="15987" xr:uid="{00000000-0005-0000-0000-00008A3E0000}"/>
    <cellStyle name="Percent 4 5 6 4" xfId="15988" xr:uid="{00000000-0005-0000-0000-00008B3E0000}"/>
    <cellStyle name="Percent 4 5 7" xfId="15989" xr:uid="{00000000-0005-0000-0000-00008C3E0000}"/>
    <cellStyle name="Percent 4 5 7 2" xfId="15990" xr:uid="{00000000-0005-0000-0000-00008D3E0000}"/>
    <cellStyle name="Percent 4 5 7 3" xfId="15991" xr:uid="{00000000-0005-0000-0000-00008E3E0000}"/>
    <cellStyle name="Percent 4 5 7 4" xfId="15992" xr:uid="{00000000-0005-0000-0000-00008F3E0000}"/>
    <cellStyle name="Percent 4 5 8" xfId="15993" xr:uid="{00000000-0005-0000-0000-0000903E0000}"/>
    <cellStyle name="Percent 4 5 8 2" xfId="15994" xr:uid="{00000000-0005-0000-0000-0000913E0000}"/>
    <cellStyle name="Percent 4 5 8 3" xfId="15995" xr:uid="{00000000-0005-0000-0000-0000923E0000}"/>
    <cellStyle name="Percent 4 5 8 4" xfId="15996" xr:uid="{00000000-0005-0000-0000-0000933E0000}"/>
    <cellStyle name="Percent 4 5 9" xfId="15997" xr:uid="{00000000-0005-0000-0000-0000943E0000}"/>
    <cellStyle name="Percent 4 5 9 2" xfId="15998" xr:uid="{00000000-0005-0000-0000-0000953E0000}"/>
    <cellStyle name="Percent 4 5 9 3" xfId="15999" xr:uid="{00000000-0005-0000-0000-0000963E0000}"/>
    <cellStyle name="Percent 4 6" xfId="16000" xr:uid="{00000000-0005-0000-0000-0000973E0000}"/>
    <cellStyle name="Percent 4 6 10" xfId="16001" xr:uid="{00000000-0005-0000-0000-0000983E0000}"/>
    <cellStyle name="Percent 4 6 11" xfId="16002" xr:uid="{00000000-0005-0000-0000-0000993E0000}"/>
    <cellStyle name="Percent 4 6 2" xfId="16003" xr:uid="{00000000-0005-0000-0000-00009A3E0000}"/>
    <cellStyle name="Percent 4 6 2 2" xfId="16004" xr:uid="{00000000-0005-0000-0000-00009B3E0000}"/>
    <cellStyle name="Percent 4 6 2 3" xfId="16005" xr:uid="{00000000-0005-0000-0000-00009C3E0000}"/>
    <cellStyle name="Percent 4 6 2 4" xfId="16006" xr:uid="{00000000-0005-0000-0000-00009D3E0000}"/>
    <cellStyle name="Percent 4 6 3" xfId="16007" xr:uid="{00000000-0005-0000-0000-00009E3E0000}"/>
    <cellStyle name="Percent 4 6 3 2" xfId="16008" xr:uid="{00000000-0005-0000-0000-00009F3E0000}"/>
    <cellStyle name="Percent 4 6 3 3" xfId="16009" xr:uid="{00000000-0005-0000-0000-0000A03E0000}"/>
    <cellStyle name="Percent 4 6 3 4" xfId="16010" xr:uid="{00000000-0005-0000-0000-0000A13E0000}"/>
    <cellStyle name="Percent 4 6 4" xfId="16011" xr:uid="{00000000-0005-0000-0000-0000A23E0000}"/>
    <cellStyle name="Percent 4 6 4 2" xfId="16012" xr:uid="{00000000-0005-0000-0000-0000A33E0000}"/>
    <cellStyle name="Percent 4 6 4 3" xfId="16013" xr:uid="{00000000-0005-0000-0000-0000A43E0000}"/>
    <cellStyle name="Percent 4 6 4 4" xfId="16014" xr:uid="{00000000-0005-0000-0000-0000A53E0000}"/>
    <cellStyle name="Percent 4 6 5" xfId="16015" xr:uid="{00000000-0005-0000-0000-0000A63E0000}"/>
    <cellStyle name="Percent 4 6 5 2" xfId="16016" xr:uid="{00000000-0005-0000-0000-0000A73E0000}"/>
    <cellStyle name="Percent 4 6 5 3" xfId="16017" xr:uid="{00000000-0005-0000-0000-0000A83E0000}"/>
    <cellStyle name="Percent 4 6 5 4" xfId="16018" xr:uid="{00000000-0005-0000-0000-0000A93E0000}"/>
    <cellStyle name="Percent 4 6 6" xfId="16019" xr:uid="{00000000-0005-0000-0000-0000AA3E0000}"/>
    <cellStyle name="Percent 4 6 6 2" xfId="16020" xr:uid="{00000000-0005-0000-0000-0000AB3E0000}"/>
    <cellStyle name="Percent 4 6 6 3" xfId="16021" xr:uid="{00000000-0005-0000-0000-0000AC3E0000}"/>
    <cellStyle name="Percent 4 6 6 4" xfId="16022" xr:uid="{00000000-0005-0000-0000-0000AD3E0000}"/>
    <cellStyle name="Percent 4 6 7" xfId="16023" xr:uid="{00000000-0005-0000-0000-0000AE3E0000}"/>
    <cellStyle name="Percent 4 6 7 2" xfId="16024" xr:uid="{00000000-0005-0000-0000-0000AF3E0000}"/>
    <cellStyle name="Percent 4 6 7 3" xfId="16025" xr:uid="{00000000-0005-0000-0000-0000B03E0000}"/>
    <cellStyle name="Percent 4 6 7 4" xfId="16026" xr:uid="{00000000-0005-0000-0000-0000B13E0000}"/>
    <cellStyle name="Percent 4 6 8" xfId="16027" xr:uid="{00000000-0005-0000-0000-0000B23E0000}"/>
    <cellStyle name="Percent 4 6 8 2" xfId="16028" xr:uid="{00000000-0005-0000-0000-0000B33E0000}"/>
    <cellStyle name="Percent 4 6 8 3" xfId="16029" xr:uid="{00000000-0005-0000-0000-0000B43E0000}"/>
    <cellStyle name="Percent 4 6 8 4" xfId="16030" xr:uid="{00000000-0005-0000-0000-0000B53E0000}"/>
    <cellStyle name="Percent 4 6 9" xfId="16031" xr:uid="{00000000-0005-0000-0000-0000B63E0000}"/>
    <cellStyle name="Percent 4 7" xfId="16032" xr:uid="{00000000-0005-0000-0000-0000B73E0000}"/>
    <cellStyle name="Percent 4 7 2" xfId="16033" xr:uid="{00000000-0005-0000-0000-0000B83E0000}"/>
    <cellStyle name="Percent 4 7 3" xfId="16034" xr:uid="{00000000-0005-0000-0000-0000B93E0000}"/>
    <cellStyle name="Percent 4 7 4" xfId="16035" xr:uid="{00000000-0005-0000-0000-0000BA3E0000}"/>
    <cellStyle name="Percent 4 8" xfId="16036" xr:uid="{00000000-0005-0000-0000-0000BB3E0000}"/>
    <cellStyle name="Percent 4 8 2" xfId="16037" xr:uid="{00000000-0005-0000-0000-0000BC3E0000}"/>
    <cellStyle name="Percent 4 8 3" xfId="16038" xr:uid="{00000000-0005-0000-0000-0000BD3E0000}"/>
    <cellStyle name="Percent 4 8 4" xfId="16039" xr:uid="{00000000-0005-0000-0000-0000BE3E0000}"/>
    <cellStyle name="Percent 4 9" xfId="16040" xr:uid="{00000000-0005-0000-0000-0000BF3E0000}"/>
    <cellStyle name="Percent 4 9 2" xfId="16041" xr:uid="{00000000-0005-0000-0000-0000C03E0000}"/>
    <cellStyle name="Percent 4 9 3" xfId="16042" xr:uid="{00000000-0005-0000-0000-0000C13E0000}"/>
    <cellStyle name="Percent 4 9 4" xfId="16043" xr:uid="{00000000-0005-0000-0000-0000C23E0000}"/>
    <cellStyle name="Percent 5" xfId="16044" xr:uid="{00000000-0005-0000-0000-0000C33E0000}"/>
    <cellStyle name="Percent 5 10" xfId="16045" xr:uid="{00000000-0005-0000-0000-0000C43E0000}"/>
    <cellStyle name="Percent 5 10 2" xfId="16046" xr:uid="{00000000-0005-0000-0000-0000C53E0000}"/>
    <cellStyle name="Percent 5 10 3" xfId="16047" xr:uid="{00000000-0005-0000-0000-0000C63E0000}"/>
    <cellStyle name="Percent 5 11" xfId="16048" xr:uid="{00000000-0005-0000-0000-0000C73E0000}"/>
    <cellStyle name="Percent 5 11 2" xfId="16049" xr:uid="{00000000-0005-0000-0000-0000C83E0000}"/>
    <cellStyle name="Percent 5 11 2 2" xfId="16050" xr:uid="{00000000-0005-0000-0000-0000C93E0000}"/>
    <cellStyle name="Percent 5 11 2 2 2" xfId="16051" xr:uid="{00000000-0005-0000-0000-0000CA3E0000}"/>
    <cellStyle name="Percent 5 11 2 2 2 2" xfId="16052" xr:uid="{00000000-0005-0000-0000-0000CB3E0000}"/>
    <cellStyle name="Percent 5 11 2 2 2 3" xfId="16053" xr:uid="{00000000-0005-0000-0000-0000CC3E0000}"/>
    <cellStyle name="Percent 5 11 2 2 3" xfId="16054" xr:uid="{00000000-0005-0000-0000-0000CD3E0000}"/>
    <cellStyle name="Percent 5 11 2 2 4" xfId="16055" xr:uid="{00000000-0005-0000-0000-0000CE3E0000}"/>
    <cellStyle name="Percent 5 11 2 3" xfId="16056" xr:uid="{00000000-0005-0000-0000-0000CF3E0000}"/>
    <cellStyle name="Percent 5 11 2 3 2" xfId="16057" xr:uid="{00000000-0005-0000-0000-0000D03E0000}"/>
    <cellStyle name="Percent 5 11 2 3 2 2" xfId="16058" xr:uid="{00000000-0005-0000-0000-0000D13E0000}"/>
    <cellStyle name="Percent 5 11 2 3 2 3" xfId="16059" xr:uid="{00000000-0005-0000-0000-0000D23E0000}"/>
    <cellStyle name="Percent 5 11 2 3 3" xfId="16060" xr:uid="{00000000-0005-0000-0000-0000D33E0000}"/>
    <cellStyle name="Percent 5 11 2 3 4" xfId="16061" xr:uid="{00000000-0005-0000-0000-0000D43E0000}"/>
    <cellStyle name="Percent 5 11 2 4" xfId="16062" xr:uid="{00000000-0005-0000-0000-0000D53E0000}"/>
    <cellStyle name="Percent 5 11 2 4 2" xfId="16063" xr:uid="{00000000-0005-0000-0000-0000D63E0000}"/>
    <cellStyle name="Percent 5 11 2 4 3" xfId="16064" xr:uid="{00000000-0005-0000-0000-0000D73E0000}"/>
    <cellStyle name="Percent 5 11 2 5" xfId="16065" xr:uid="{00000000-0005-0000-0000-0000D83E0000}"/>
    <cellStyle name="Percent 5 11 2 6" xfId="16066" xr:uid="{00000000-0005-0000-0000-0000D93E0000}"/>
    <cellStyle name="Percent 5 11 3" xfId="16067" xr:uid="{00000000-0005-0000-0000-0000DA3E0000}"/>
    <cellStyle name="Percent 5 11 3 2" xfId="16068" xr:uid="{00000000-0005-0000-0000-0000DB3E0000}"/>
    <cellStyle name="Percent 5 11 3 2 2" xfId="16069" xr:uid="{00000000-0005-0000-0000-0000DC3E0000}"/>
    <cellStyle name="Percent 5 11 3 2 3" xfId="16070" xr:uid="{00000000-0005-0000-0000-0000DD3E0000}"/>
    <cellStyle name="Percent 5 11 3 3" xfId="16071" xr:uid="{00000000-0005-0000-0000-0000DE3E0000}"/>
    <cellStyle name="Percent 5 11 3 4" xfId="16072" xr:uid="{00000000-0005-0000-0000-0000DF3E0000}"/>
    <cellStyle name="Percent 5 11 4" xfId="16073" xr:uid="{00000000-0005-0000-0000-0000E03E0000}"/>
    <cellStyle name="Percent 5 11 4 2" xfId="16074" xr:uid="{00000000-0005-0000-0000-0000E13E0000}"/>
    <cellStyle name="Percent 5 11 4 2 2" xfId="16075" xr:uid="{00000000-0005-0000-0000-0000E23E0000}"/>
    <cellStyle name="Percent 5 11 4 2 3" xfId="16076" xr:uid="{00000000-0005-0000-0000-0000E33E0000}"/>
    <cellStyle name="Percent 5 11 4 3" xfId="16077" xr:uid="{00000000-0005-0000-0000-0000E43E0000}"/>
    <cellStyle name="Percent 5 11 4 4" xfId="16078" xr:uid="{00000000-0005-0000-0000-0000E53E0000}"/>
    <cellStyle name="Percent 5 11 5" xfId="16079" xr:uid="{00000000-0005-0000-0000-0000E63E0000}"/>
    <cellStyle name="Percent 5 11 5 2" xfId="16080" xr:uid="{00000000-0005-0000-0000-0000E73E0000}"/>
    <cellStyle name="Percent 5 11 5 3" xfId="16081" xr:uid="{00000000-0005-0000-0000-0000E83E0000}"/>
    <cellStyle name="Percent 5 11 6" xfId="16082" xr:uid="{00000000-0005-0000-0000-0000E93E0000}"/>
    <cellStyle name="Percent 5 11 7" xfId="16083" xr:uid="{00000000-0005-0000-0000-0000EA3E0000}"/>
    <cellStyle name="Percent 5 12" xfId="16084" xr:uid="{00000000-0005-0000-0000-0000EB3E0000}"/>
    <cellStyle name="Percent 5 13" xfId="16085" xr:uid="{00000000-0005-0000-0000-0000EC3E0000}"/>
    <cellStyle name="Percent 5 14" xfId="16086" xr:uid="{00000000-0005-0000-0000-0000ED3E0000}"/>
    <cellStyle name="Percent 5 2" xfId="16087" xr:uid="{00000000-0005-0000-0000-0000EE3E0000}"/>
    <cellStyle name="Percent 5 2 2" xfId="16088" xr:uid="{00000000-0005-0000-0000-0000EF3E0000}"/>
    <cellStyle name="Percent 5 2 3" xfId="16089" xr:uid="{00000000-0005-0000-0000-0000F03E0000}"/>
    <cellStyle name="Percent 5 2 4" xfId="16090" xr:uid="{00000000-0005-0000-0000-0000F13E0000}"/>
    <cellStyle name="Percent 5 3" xfId="16091" xr:uid="{00000000-0005-0000-0000-0000F23E0000}"/>
    <cellStyle name="Percent 5 3 2" xfId="16092" xr:uid="{00000000-0005-0000-0000-0000F33E0000}"/>
    <cellStyle name="Percent 5 3 2 2" xfId="16093" xr:uid="{00000000-0005-0000-0000-0000F43E0000}"/>
    <cellStyle name="Percent 5 3 2 3" xfId="16094" xr:uid="{00000000-0005-0000-0000-0000F53E0000}"/>
    <cellStyle name="Percent 5 3 3" xfId="16095" xr:uid="{00000000-0005-0000-0000-0000F63E0000}"/>
    <cellStyle name="Percent 5 3 4" xfId="16096" xr:uid="{00000000-0005-0000-0000-0000F73E0000}"/>
    <cellStyle name="Percent 5 3 5" xfId="16097" xr:uid="{00000000-0005-0000-0000-0000F83E0000}"/>
    <cellStyle name="Percent 5 4" xfId="16098" xr:uid="{00000000-0005-0000-0000-0000F93E0000}"/>
    <cellStyle name="Percent 5 4 2" xfId="16099" xr:uid="{00000000-0005-0000-0000-0000FA3E0000}"/>
    <cellStyle name="Percent 5 4 2 2" xfId="16100" xr:uid="{00000000-0005-0000-0000-0000FB3E0000}"/>
    <cellStyle name="Percent 5 4 2 3" xfId="16101" xr:uid="{00000000-0005-0000-0000-0000FC3E0000}"/>
    <cellStyle name="Percent 5 4 3" xfId="16102" xr:uid="{00000000-0005-0000-0000-0000FD3E0000}"/>
    <cellStyle name="Percent 5 4 4" xfId="16103" xr:uid="{00000000-0005-0000-0000-0000FE3E0000}"/>
    <cellStyle name="Percent 5 4 5" xfId="16104" xr:uid="{00000000-0005-0000-0000-0000FF3E0000}"/>
    <cellStyle name="Percent 5 5" xfId="16105" xr:uid="{00000000-0005-0000-0000-0000003F0000}"/>
    <cellStyle name="Percent 5 5 2" xfId="16106" xr:uid="{00000000-0005-0000-0000-0000013F0000}"/>
    <cellStyle name="Percent 5 5 2 2" xfId="16107" xr:uid="{00000000-0005-0000-0000-0000023F0000}"/>
    <cellStyle name="Percent 5 5 2 3" xfId="16108" xr:uid="{00000000-0005-0000-0000-0000033F0000}"/>
    <cellStyle name="Percent 5 5 3" xfId="16109" xr:uid="{00000000-0005-0000-0000-0000043F0000}"/>
    <cellStyle name="Percent 5 5 3 2" xfId="16110" xr:uid="{00000000-0005-0000-0000-0000053F0000}"/>
    <cellStyle name="Percent 5 5 3 3" xfId="16111" xr:uid="{00000000-0005-0000-0000-0000063F0000}"/>
    <cellStyle name="Percent 5 5 4" xfId="16112" xr:uid="{00000000-0005-0000-0000-0000073F0000}"/>
    <cellStyle name="Percent 5 5 5" xfId="16113" xr:uid="{00000000-0005-0000-0000-0000083F0000}"/>
    <cellStyle name="Percent 5 5 6" xfId="16114" xr:uid="{00000000-0005-0000-0000-0000093F0000}"/>
    <cellStyle name="Percent 5 6" xfId="16115" xr:uid="{00000000-0005-0000-0000-00000A3F0000}"/>
    <cellStyle name="Percent 5 6 2" xfId="16116" xr:uid="{00000000-0005-0000-0000-00000B3F0000}"/>
    <cellStyle name="Percent 5 6 3" xfId="16117" xr:uid="{00000000-0005-0000-0000-00000C3F0000}"/>
    <cellStyle name="Percent 5 6 4" xfId="16118" xr:uid="{00000000-0005-0000-0000-00000D3F0000}"/>
    <cellStyle name="Percent 5 7" xfId="16119" xr:uid="{00000000-0005-0000-0000-00000E3F0000}"/>
    <cellStyle name="Percent 5 7 2" xfId="16120" xr:uid="{00000000-0005-0000-0000-00000F3F0000}"/>
    <cellStyle name="Percent 5 7 3" xfId="16121" xr:uid="{00000000-0005-0000-0000-0000103F0000}"/>
    <cellStyle name="Percent 5 7 4" xfId="16122" xr:uid="{00000000-0005-0000-0000-0000113F0000}"/>
    <cellStyle name="Percent 5 8" xfId="16123" xr:uid="{00000000-0005-0000-0000-0000123F0000}"/>
    <cellStyle name="Percent 5 8 2" xfId="16124" xr:uid="{00000000-0005-0000-0000-0000133F0000}"/>
    <cellStyle name="Percent 5 8 3" xfId="16125" xr:uid="{00000000-0005-0000-0000-0000143F0000}"/>
    <cellStyle name="Percent 5 8 4" xfId="16126" xr:uid="{00000000-0005-0000-0000-0000153F0000}"/>
    <cellStyle name="Percent 5 9" xfId="16127" xr:uid="{00000000-0005-0000-0000-0000163F0000}"/>
    <cellStyle name="Percent 5 9 2" xfId="16128" xr:uid="{00000000-0005-0000-0000-0000173F0000}"/>
    <cellStyle name="Percent 5 9 2 2" xfId="16129" xr:uid="{00000000-0005-0000-0000-0000183F0000}"/>
    <cellStyle name="Percent 5 9 2 3" xfId="16130" xr:uid="{00000000-0005-0000-0000-0000193F0000}"/>
    <cellStyle name="Percent 5 9 3" xfId="16131" xr:uid="{00000000-0005-0000-0000-00001A3F0000}"/>
    <cellStyle name="Percent 5 9 3 2" xfId="16132" xr:uid="{00000000-0005-0000-0000-00001B3F0000}"/>
    <cellStyle name="Percent 5 9 3 3" xfId="16133" xr:uid="{00000000-0005-0000-0000-00001C3F0000}"/>
    <cellStyle name="Percent 5 9 4" xfId="16134" xr:uid="{00000000-0005-0000-0000-00001D3F0000}"/>
    <cellStyle name="Percent 5 9 4 2" xfId="16135" xr:uid="{00000000-0005-0000-0000-00001E3F0000}"/>
    <cellStyle name="Percent 5 9 4 2 2" xfId="16136" xr:uid="{00000000-0005-0000-0000-00001F3F0000}"/>
    <cellStyle name="Percent 5 9 4 2 3" xfId="16137" xr:uid="{00000000-0005-0000-0000-0000203F0000}"/>
    <cellStyle name="Percent 5 9 4 3" xfId="16138" xr:uid="{00000000-0005-0000-0000-0000213F0000}"/>
    <cellStyle name="Percent 5 9 4 4" xfId="16139" xr:uid="{00000000-0005-0000-0000-0000223F0000}"/>
    <cellStyle name="Percent 5 9 5" xfId="16140" xr:uid="{00000000-0005-0000-0000-0000233F0000}"/>
    <cellStyle name="Percent 5 9 6" xfId="16141" xr:uid="{00000000-0005-0000-0000-0000243F0000}"/>
    <cellStyle name="Percent 6" xfId="16142" xr:uid="{00000000-0005-0000-0000-0000253F0000}"/>
    <cellStyle name="Percent 6 10" xfId="16143" xr:uid="{00000000-0005-0000-0000-0000263F0000}"/>
    <cellStyle name="Percent 6 10 2" xfId="16144" xr:uid="{00000000-0005-0000-0000-0000273F0000}"/>
    <cellStyle name="Percent 6 10 2 2" xfId="16145" xr:uid="{00000000-0005-0000-0000-0000283F0000}"/>
    <cellStyle name="Percent 6 10 2 2 2" xfId="16146" xr:uid="{00000000-0005-0000-0000-0000293F0000}"/>
    <cellStyle name="Percent 6 10 2 2 3" xfId="16147" xr:uid="{00000000-0005-0000-0000-00002A3F0000}"/>
    <cellStyle name="Percent 6 10 2 3" xfId="16148" xr:uid="{00000000-0005-0000-0000-00002B3F0000}"/>
    <cellStyle name="Percent 6 10 2 4" xfId="16149" xr:uid="{00000000-0005-0000-0000-00002C3F0000}"/>
    <cellStyle name="Percent 6 10 3" xfId="16150" xr:uid="{00000000-0005-0000-0000-00002D3F0000}"/>
    <cellStyle name="Percent 6 10 3 2" xfId="16151" xr:uid="{00000000-0005-0000-0000-00002E3F0000}"/>
    <cellStyle name="Percent 6 10 3 3" xfId="16152" xr:uid="{00000000-0005-0000-0000-00002F3F0000}"/>
    <cellStyle name="Percent 6 10 4" xfId="16153" xr:uid="{00000000-0005-0000-0000-0000303F0000}"/>
    <cellStyle name="Percent 6 10 5" xfId="16154" xr:uid="{00000000-0005-0000-0000-0000313F0000}"/>
    <cellStyle name="Percent 6 11" xfId="16155" xr:uid="{00000000-0005-0000-0000-0000323F0000}"/>
    <cellStyle name="Percent 6 11 2" xfId="16156" xr:uid="{00000000-0005-0000-0000-0000333F0000}"/>
    <cellStyle name="Percent 6 11 3" xfId="16157" xr:uid="{00000000-0005-0000-0000-0000343F0000}"/>
    <cellStyle name="Percent 6 12" xfId="16158" xr:uid="{00000000-0005-0000-0000-0000353F0000}"/>
    <cellStyle name="Percent 6 13" xfId="16159" xr:uid="{00000000-0005-0000-0000-0000363F0000}"/>
    <cellStyle name="Percent 6 14" xfId="16160" xr:uid="{00000000-0005-0000-0000-0000373F0000}"/>
    <cellStyle name="Percent 6 2" xfId="16161" xr:uid="{00000000-0005-0000-0000-0000383F0000}"/>
    <cellStyle name="Percent 6 2 2" xfId="16162" xr:uid="{00000000-0005-0000-0000-0000393F0000}"/>
    <cellStyle name="Percent 6 2 3" xfId="16163" xr:uid="{00000000-0005-0000-0000-00003A3F0000}"/>
    <cellStyle name="Percent 6 2 4" xfId="16164" xr:uid="{00000000-0005-0000-0000-00003B3F0000}"/>
    <cellStyle name="Percent 6 3" xfId="16165" xr:uid="{00000000-0005-0000-0000-00003C3F0000}"/>
    <cellStyle name="Percent 6 3 2" xfId="16166" xr:uid="{00000000-0005-0000-0000-00003D3F0000}"/>
    <cellStyle name="Percent 6 3 2 2" xfId="16167" xr:uid="{00000000-0005-0000-0000-00003E3F0000}"/>
    <cellStyle name="Percent 6 3 2 3" xfId="16168" xr:uid="{00000000-0005-0000-0000-00003F3F0000}"/>
    <cellStyle name="Percent 6 3 3" xfId="16169" xr:uid="{00000000-0005-0000-0000-0000403F0000}"/>
    <cellStyle name="Percent 6 3 3 2" xfId="16170" xr:uid="{00000000-0005-0000-0000-0000413F0000}"/>
    <cellStyle name="Percent 6 3 3 3" xfId="16171" xr:uid="{00000000-0005-0000-0000-0000423F0000}"/>
    <cellStyle name="Percent 6 3 4" xfId="16172" xr:uid="{00000000-0005-0000-0000-0000433F0000}"/>
    <cellStyle name="Percent 6 3 5" xfId="16173" xr:uid="{00000000-0005-0000-0000-0000443F0000}"/>
    <cellStyle name="Percent 6 3 6" xfId="16174" xr:uid="{00000000-0005-0000-0000-0000453F0000}"/>
    <cellStyle name="Percent 6 4" xfId="16175" xr:uid="{00000000-0005-0000-0000-0000463F0000}"/>
    <cellStyle name="Percent 6 4 2" xfId="16176" xr:uid="{00000000-0005-0000-0000-0000473F0000}"/>
    <cellStyle name="Percent 6 4 3" xfId="16177" xr:uid="{00000000-0005-0000-0000-0000483F0000}"/>
    <cellStyle name="Percent 6 4 4" xfId="16178" xr:uid="{00000000-0005-0000-0000-0000493F0000}"/>
    <cellStyle name="Percent 6 5" xfId="16179" xr:uid="{00000000-0005-0000-0000-00004A3F0000}"/>
    <cellStyle name="Percent 6 5 2" xfId="16180" xr:uid="{00000000-0005-0000-0000-00004B3F0000}"/>
    <cellStyle name="Percent 6 5 3" xfId="16181" xr:uid="{00000000-0005-0000-0000-00004C3F0000}"/>
    <cellStyle name="Percent 6 5 4" xfId="16182" xr:uid="{00000000-0005-0000-0000-00004D3F0000}"/>
    <cellStyle name="Percent 6 6" xfId="16183" xr:uid="{00000000-0005-0000-0000-00004E3F0000}"/>
    <cellStyle name="Percent 6 6 2" xfId="16184" xr:uid="{00000000-0005-0000-0000-00004F3F0000}"/>
    <cellStyle name="Percent 6 6 3" xfId="16185" xr:uid="{00000000-0005-0000-0000-0000503F0000}"/>
    <cellStyle name="Percent 6 6 4" xfId="16186" xr:uid="{00000000-0005-0000-0000-0000513F0000}"/>
    <cellStyle name="Percent 6 7" xfId="16187" xr:uid="{00000000-0005-0000-0000-0000523F0000}"/>
    <cellStyle name="Percent 6 7 2" xfId="16188" xr:uid="{00000000-0005-0000-0000-0000533F0000}"/>
    <cellStyle name="Percent 6 7 3" xfId="16189" xr:uid="{00000000-0005-0000-0000-0000543F0000}"/>
    <cellStyle name="Percent 6 7 4" xfId="16190" xr:uid="{00000000-0005-0000-0000-0000553F0000}"/>
    <cellStyle name="Percent 6 8" xfId="16191" xr:uid="{00000000-0005-0000-0000-0000563F0000}"/>
    <cellStyle name="Percent 6 8 2" xfId="16192" xr:uid="{00000000-0005-0000-0000-0000573F0000}"/>
    <cellStyle name="Percent 6 8 3" xfId="16193" xr:uid="{00000000-0005-0000-0000-0000583F0000}"/>
    <cellStyle name="Percent 6 8 4" xfId="16194" xr:uid="{00000000-0005-0000-0000-0000593F0000}"/>
    <cellStyle name="Percent 6 9" xfId="16195" xr:uid="{00000000-0005-0000-0000-00005A3F0000}"/>
    <cellStyle name="Percent 6 9 2" xfId="16196" xr:uid="{00000000-0005-0000-0000-00005B3F0000}"/>
    <cellStyle name="Percent 6 9 2 2" xfId="16197" xr:uid="{00000000-0005-0000-0000-00005C3F0000}"/>
    <cellStyle name="Percent 6 9 2 2 2" xfId="16198" xr:uid="{00000000-0005-0000-0000-00005D3F0000}"/>
    <cellStyle name="Percent 6 9 2 2 3" xfId="16199" xr:uid="{00000000-0005-0000-0000-00005E3F0000}"/>
    <cellStyle name="Percent 6 9 2 3" xfId="16200" xr:uid="{00000000-0005-0000-0000-00005F3F0000}"/>
    <cellStyle name="Percent 6 9 2 4" xfId="16201" xr:uid="{00000000-0005-0000-0000-0000603F0000}"/>
    <cellStyle name="Percent 6 9 3" xfId="16202" xr:uid="{00000000-0005-0000-0000-0000613F0000}"/>
    <cellStyle name="Percent 6 9 3 2" xfId="16203" xr:uid="{00000000-0005-0000-0000-0000623F0000}"/>
    <cellStyle name="Percent 6 9 3 2 2" xfId="16204" xr:uid="{00000000-0005-0000-0000-0000633F0000}"/>
    <cellStyle name="Percent 6 9 3 2 3" xfId="16205" xr:uid="{00000000-0005-0000-0000-0000643F0000}"/>
    <cellStyle name="Percent 6 9 3 3" xfId="16206" xr:uid="{00000000-0005-0000-0000-0000653F0000}"/>
    <cellStyle name="Percent 6 9 3 4" xfId="16207" xr:uid="{00000000-0005-0000-0000-0000663F0000}"/>
    <cellStyle name="Percent 6 9 4" xfId="16208" xr:uid="{00000000-0005-0000-0000-0000673F0000}"/>
    <cellStyle name="Percent 6 9 4 2" xfId="16209" xr:uid="{00000000-0005-0000-0000-0000683F0000}"/>
    <cellStyle name="Percent 6 9 4 3" xfId="16210" xr:uid="{00000000-0005-0000-0000-0000693F0000}"/>
    <cellStyle name="Percent 6 9 5" xfId="16211" xr:uid="{00000000-0005-0000-0000-00006A3F0000}"/>
    <cellStyle name="Percent 6 9 6" xfId="16212" xr:uid="{00000000-0005-0000-0000-00006B3F0000}"/>
    <cellStyle name="Percent 7" xfId="16213" xr:uid="{00000000-0005-0000-0000-00006C3F0000}"/>
    <cellStyle name="Percent 7 10" xfId="16214" xr:uid="{00000000-0005-0000-0000-00006D3F0000}"/>
    <cellStyle name="Percent 7 10 2" xfId="16215" xr:uid="{00000000-0005-0000-0000-00006E3F0000}"/>
    <cellStyle name="Percent 7 10 2 2" xfId="16216" xr:uid="{00000000-0005-0000-0000-00006F3F0000}"/>
    <cellStyle name="Percent 7 10 2 2 2" xfId="16217" xr:uid="{00000000-0005-0000-0000-0000703F0000}"/>
    <cellStyle name="Percent 7 10 2 2 3" xfId="16218" xr:uid="{00000000-0005-0000-0000-0000713F0000}"/>
    <cellStyle name="Percent 7 10 2 3" xfId="16219" xr:uid="{00000000-0005-0000-0000-0000723F0000}"/>
    <cellStyle name="Percent 7 10 2 4" xfId="16220" xr:uid="{00000000-0005-0000-0000-0000733F0000}"/>
    <cellStyle name="Percent 7 10 3" xfId="16221" xr:uid="{00000000-0005-0000-0000-0000743F0000}"/>
    <cellStyle name="Percent 7 10 3 2" xfId="16222" xr:uid="{00000000-0005-0000-0000-0000753F0000}"/>
    <cellStyle name="Percent 7 10 3 3" xfId="16223" xr:uid="{00000000-0005-0000-0000-0000763F0000}"/>
    <cellStyle name="Percent 7 10 4" xfId="16224" xr:uid="{00000000-0005-0000-0000-0000773F0000}"/>
    <cellStyle name="Percent 7 10 5" xfId="16225" xr:uid="{00000000-0005-0000-0000-0000783F0000}"/>
    <cellStyle name="Percent 7 11" xfId="16226" xr:uid="{00000000-0005-0000-0000-0000793F0000}"/>
    <cellStyle name="Percent 7 11 2" xfId="16227" xr:uid="{00000000-0005-0000-0000-00007A3F0000}"/>
    <cellStyle name="Percent 7 11 3" xfId="16228" xr:uid="{00000000-0005-0000-0000-00007B3F0000}"/>
    <cellStyle name="Percent 7 12" xfId="16229" xr:uid="{00000000-0005-0000-0000-00007C3F0000}"/>
    <cellStyle name="Percent 7 13" xfId="16230" xr:uid="{00000000-0005-0000-0000-00007D3F0000}"/>
    <cellStyle name="Percent 7 14" xfId="16231" xr:uid="{00000000-0005-0000-0000-00007E3F0000}"/>
    <cellStyle name="Percent 7 2" xfId="16232" xr:uid="{00000000-0005-0000-0000-00007F3F0000}"/>
    <cellStyle name="Percent 7 2 2" xfId="16233" xr:uid="{00000000-0005-0000-0000-0000803F0000}"/>
    <cellStyle name="Percent 7 2 3" xfId="16234" xr:uid="{00000000-0005-0000-0000-0000813F0000}"/>
    <cellStyle name="Percent 7 2 4" xfId="16235" xr:uid="{00000000-0005-0000-0000-0000823F0000}"/>
    <cellStyle name="Percent 7 3" xfId="16236" xr:uid="{00000000-0005-0000-0000-0000833F0000}"/>
    <cellStyle name="Percent 7 3 2" xfId="16237" xr:uid="{00000000-0005-0000-0000-0000843F0000}"/>
    <cellStyle name="Percent 7 3 3" xfId="16238" xr:uid="{00000000-0005-0000-0000-0000853F0000}"/>
    <cellStyle name="Percent 7 3 4" xfId="16239" xr:uid="{00000000-0005-0000-0000-0000863F0000}"/>
    <cellStyle name="Percent 7 4" xfId="16240" xr:uid="{00000000-0005-0000-0000-0000873F0000}"/>
    <cellStyle name="Percent 7 4 2" xfId="16241" xr:uid="{00000000-0005-0000-0000-0000883F0000}"/>
    <cellStyle name="Percent 7 4 3" xfId="16242" xr:uid="{00000000-0005-0000-0000-0000893F0000}"/>
    <cellStyle name="Percent 7 4 4" xfId="16243" xr:uid="{00000000-0005-0000-0000-00008A3F0000}"/>
    <cellStyle name="Percent 7 5" xfId="16244" xr:uid="{00000000-0005-0000-0000-00008B3F0000}"/>
    <cellStyle name="Percent 7 5 2" xfId="16245" xr:uid="{00000000-0005-0000-0000-00008C3F0000}"/>
    <cellStyle name="Percent 7 5 3" xfId="16246" xr:uid="{00000000-0005-0000-0000-00008D3F0000}"/>
    <cellStyle name="Percent 7 5 4" xfId="16247" xr:uid="{00000000-0005-0000-0000-00008E3F0000}"/>
    <cellStyle name="Percent 7 6" xfId="16248" xr:uid="{00000000-0005-0000-0000-00008F3F0000}"/>
    <cellStyle name="Percent 7 6 2" xfId="16249" xr:uid="{00000000-0005-0000-0000-0000903F0000}"/>
    <cellStyle name="Percent 7 6 3" xfId="16250" xr:uid="{00000000-0005-0000-0000-0000913F0000}"/>
    <cellStyle name="Percent 7 6 4" xfId="16251" xr:uid="{00000000-0005-0000-0000-0000923F0000}"/>
    <cellStyle name="Percent 7 7" xfId="16252" xr:uid="{00000000-0005-0000-0000-0000933F0000}"/>
    <cellStyle name="Percent 7 7 2" xfId="16253" xr:uid="{00000000-0005-0000-0000-0000943F0000}"/>
    <cellStyle name="Percent 7 7 3" xfId="16254" xr:uid="{00000000-0005-0000-0000-0000953F0000}"/>
    <cellStyle name="Percent 7 7 4" xfId="16255" xr:uid="{00000000-0005-0000-0000-0000963F0000}"/>
    <cellStyle name="Percent 7 8" xfId="16256" xr:uid="{00000000-0005-0000-0000-0000973F0000}"/>
    <cellStyle name="Percent 7 8 2" xfId="16257" xr:uid="{00000000-0005-0000-0000-0000983F0000}"/>
    <cellStyle name="Percent 7 8 3" xfId="16258" xr:uid="{00000000-0005-0000-0000-0000993F0000}"/>
    <cellStyle name="Percent 7 8 4" xfId="16259" xr:uid="{00000000-0005-0000-0000-00009A3F0000}"/>
    <cellStyle name="Percent 7 9" xfId="16260" xr:uid="{00000000-0005-0000-0000-00009B3F0000}"/>
    <cellStyle name="Percent 7 9 2" xfId="16261" xr:uid="{00000000-0005-0000-0000-00009C3F0000}"/>
    <cellStyle name="Percent 7 9 2 2" xfId="16262" xr:uid="{00000000-0005-0000-0000-00009D3F0000}"/>
    <cellStyle name="Percent 7 9 2 2 2" xfId="16263" xr:uid="{00000000-0005-0000-0000-00009E3F0000}"/>
    <cellStyle name="Percent 7 9 2 2 3" xfId="16264" xr:uid="{00000000-0005-0000-0000-00009F3F0000}"/>
    <cellStyle name="Percent 7 9 2 3" xfId="16265" xr:uid="{00000000-0005-0000-0000-0000A03F0000}"/>
    <cellStyle name="Percent 7 9 2 4" xfId="16266" xr:uid="{00000000-0005-0000-0000-0000A13F0000}"/>
    <cellStyle name="Percent 7 9 3" xfId="16267" xr:uid="{00000000-0005-0000-0000-0000A23F0000}"/>
    <cellStyle name="Percent 7 9 3 2" xfId="16268" xr:uid="{00000000-0005-0000-0000-0000A33F0000}"/>
    <cellStyle name="Percent 7 9 3 2 2" xfId="16269" xr:uid="{00000000-0005-0000-0000-0000A43F0000}"/>
    <cellStyle name="Percent 7 9 3 2 3" xfId="16270" xr:uid="{00000000-0005-0000-0000-0000A53F0000}"/>
    <cellStyle name="Percent 7 9 3 3" xfId="16271" xr:uid="{00000000-0005-0000-0000-0000A63F0000}"/>
    <cellStyle name="Percent 7 9 3 4" xfId="16272" xr:uid="{00000000-0005-0000-0000-0000A73F0000}"/>
    <cellStyle name="Percent 7 9 4" xfId="16273" xr:uid="{00000000-0005-0000-0000-0000A83F0000}"/>
    <cellStyle name="Percent 7 9 4 2" xfId="16274" xr:uid="{00000000-0005-0000-0000-0000A93F0000}"/>
    <cellStyle name="Percent 7 9 4 3" xfId="16275" xr:uid="{00000000-0005-0000-0000-0000AA3F0000}"/>
    <cellStyle name="Percent 7 9 5" xfId="16276" xr:uid="{00000000-0005-0000-0000-0000AB3F0000}"/>
    <cellStyle name="Percent 7 9 6" xfId="16277" xr:uid="{00000000-0005-0000-0000-0000AC3F0000}"/>
    <cellStyle name="Percent 8" xfId="16278" xr:uid="{00000000-0005-0000-0000-0000AD3F0000}"/>
    <cellStyle name="Percent 8 10" xfId="16279" xr:uid="{00000000-0005-0000-0000-0000AE3F0000}"/>
    <cellStyle name="Percent 8 11" xfId="16280" xr:uid="{00000000-0005-0000-0000-0000AF3F0000}"/>
    <cellStyle name="Percent 8 2" xfId="16281" xr:uid="{00000000-0005-0000-0000-0000B03F0000}"/>
    <cellStyle name="Percent 8 2 2" xfId="16282" xr:uid="{00000000-0005-0000-0000-0000B13F0000}"/>
    <cellStyle name="Percent 8 2 3" xfId="16283" xr:uid="{00000000-0005-0000-0000-0000B23F0000}"/>
    <cellStyle name="Percent 8 2 4" xfId="16284" xr:uid="{00000000-0005-0000-0000-0000B33F0000}"/>
    <cellStyle name="Percent 8 3" xfId="16285" xr:uid="{00000000-0005-0000-0000-0000B43F0000}"/>
    <cellStyle name="Percent 8 3 2" xfId="16286" xr:uid="{00000000-0005-0000-0000-0000B53F0000}"/>
    <cellStyle name="Percent 8 3 3" xfId="16287" xr:uid="{00000000-0005-0000-0000-0000B63F0000}"/>
    <cellStyle name="Percent 8 3 4" xfId="16288" xr:uid="{00000000-0005-0000-0000-0000B73F0000}"/>
    <cellStyle name="Percent 8 4" xfId="16289" xr:uid="{00000000-0005-0000-0000-0000B83F0000}"/>
    <cellStyle name="Percent 8 4 2" xfId="16290" xr:uid="{00000000-0005-0000-0000-0000B93F0000}"/>
    <cellStyle name="Percent 8 4 3" xfId="16291" xr:uid="{00000000-0005-0000-0000-0000BA3F0000}"/>
    <cellStyle name="Percent 8 4 4" xfId="16292" xr:uid="{00000000-0005-0000-0000-0000BB3F0000}"/>
    <cellStyle name="Percent 8 5" xfId="16293" xr:uid="{00000000-0005-0000-0000-0000BC3F0000}"/>
    <cellStyle name="Percent 8 5 2" xfId="16294" xr:uid="{00000000-0005-0000-0000-0000BD3F0000}"/>
    <cellStyle name="Percent 8 5 3" xfId="16295" xr:uid="{00000000-0005-0000-0000-0000BE3F0000}"/>
    <cellStyle name="Percent 8 5 4" xfId="16296" xr:uid="{00000000-0005-0000-0000-0000BF3F0000}"/>
    <cellStyle name="Percent 8 6" xfId="16297" xr:uid="{00000000-0005-0000-0000-0000C03F0000}"/>
    <cellStyle name="Percent 8 6 2" xfId="16298" xr:uid="{00000000-0005-0000-0000-0000C13F0000}"/>
    <cellStyle name="Percent 8 6 3" xfId="16299" xr:uid="{00000000-0005-0000-0000-0000C23F0000}"/>
    <cellStyle name="Percent 8 6 4" xfId="16300" xr:uid="{00000000-0005-0000-0000-0000C33F0000}"/>
    <cellStyle name="Percent 8 7" xfId="16301" xr:uid="{00000000-0005-0000-0000-0000C43F0000}"/>
    <cellStyle name="Percent 8 7 2" xfId="16302" xr:uid="{00000000-0005-0000-0000-0000C53F0000}"/>
    <cellStyle name="Percent 8 7 3" xfId="16303" xr:uid="{00000000-0005-0000-0000-0000C63F0000}"/>
    <cellStyle name="Percent 8 7 4" xfId="16304" xr:uid="{00000000-0005-0000-0000-0000C73F0000}"/>
    <cellStyle name="Percent 8 8" xfId="16305" xr:uid="{00000000-0005-0000-0000-0000C83F0000}"/>
    <cellStyle name="Percent 8 8 2" xfId="16306" xr:uid="{00000000-0005-0000-0000-0000C93F0000}"/>
    <cellStyle name="Percent 8 8 3" xfId="16307" xr:uid="{00000000-0005-0000-0000-0000CA3F0000}"/>
    <cellStyle name="Percent 8 8 4" xfId="16308" xr:uid="{00000000-0005-0000-0000-0000CB3F0000}"/>
    <cellStyle name="Percent 8 9" xfId="16309" xr:uid="{00000000-0005-0000-0000-0000CC3F0000}"/>
    <cellStyle name="Percent 9" xfId="16310" xr:uid="{00000000-0005-0000-0000-0000CD3F0000}"/>
    <cellStyle name="Percent 9 10" xfId="16311" xr:uid="{00000000-0005-0000-0000-0000CE3F0000}"/>
    <cellStyle name="Percent 9 10 2" xfId="16312" xr:uid="{00000000-0005-0000-0000-0000CF3F0000}"/>
    <cellStyle name="Percent 9 10 3" xfId="16313" xr:uid="{00000000-0005-0000-0000-0000D03F0000}"/>
    <cellStyle name="Percent 9 11" xfId="16314" xr:uid="{00000000-0005-0000-0000-0000D13F0000}"/>
    <cellStyle name="Percent 9 11 2" xfId="16315" xr:uid="{00000000-0005-0000-0000-0000D23F0000}"/>
    <cellStyle name="Percent 9 11 3" xfId="16316" xr:uid="{00000000-0005-0000-0000-0000D33F0000}"/>
    <cellStyle name="Percent 9 12" xfId="16317" xr:uid="{00000000-0005-0000-0000-0000D43F0000}"/>
    <cellStyle name="Percent 9 12 2" xfId="16318" xr:uid="{00000000-0005-0000-0000-0000D53F0000}"/>
    <cellStyle name="Percent 9 12 3" xfId="16319" xr:uid="{00000000-0005-0000-0000-0000D63F0000}"/>
    <cellStyle name="Percent 9 13" xfId="16320" xr:uid="{00000000-0005-0000-0000-0000D73F0000}"/>
    <cellStyle name="Percent 9 13 2" xfId="16321" xr:uid="{00000000-0005-0000-0000-0000D83F0000}"/>
    <cellStyle name="Percent 9 13 3" xfId="16322" xr:uid="{00000000-0005-0000-0000-0000D93F0000}"/>
    <cellStyle name="Percent 9 14" xfId="16323" xr:uid="{00000000-0005-0000-0000-0000DA3F0000}"/>
    <cellStyle name="Percent 9 14 2" xfId="16324" xr:uid="{00000000-0005-0000-0000-0000DB3F0000}"/>
    <cellStyle name="Percent 9 14 3" xfId="16325" xr:uid="{00000000-0005-0000-0000-0000DC3F0000}"/>
    <cellStyle name="Percent 9 15" xfId="16326" xr:uid="{00000000-0005-0000-0000-0000DD3F0000}"/>
    <cellStyle name="Percent 9 15 2" xfId="16327" xr:uid="{00000000-0005-0000-0000-0000DE3F0000}"/>
    <cellStyle name="Percent 9 15 3" xfId="16328" xr:uid="{00000000-0005-0000-0000-0000DF3F0000}"/>
    <cellStyle name="Percent 9 16" xfId="16329" xr:uid="{00000000-0005-0000-0000-0000E03F0000}"/>
    <cellStyle name="Percent 9 16 2" xfId="16330" xr:uid="{00000000-0005-0000-0000-0000E13F0000}"/>
    <cellStyle name="Percent 9 16 3" xfId="16331" xr:uid="{00000000-0005-0000-0000-0000E23F0000}"/>
    <cellStyle name="Percent 9 17" xfId="16332" xr:uid="{00000000-0005-0000-0000-0000E33F0000}"/>
    <cellStyle name="Percent 9 17 2" xfId="16333" xr:uid="{00000000-0005-0000-0000-0000E43F0000}"/>
    <cellStyle name="Percent 9 17 3" xfId="16334" xr:uid="{00000000-0005-0000-0000-0000E53F0000}"/>
    <cellStyle name="Percent 9 18" xfId="16335" xr:uid="{00000000-0005-0000-0000-0000E63F0000}"/>
    <cellStyle name="Percent 9 18 2" xfId="16336" xr:uid="{00000000-0005-0000-0000-0000E73F0000}"/>
    <cellStyle name="Percent 9 18 3" xfId="16337" xr:uid="{00000000-0005-0000-0000-0000E83F0000}"/>
    <cellStyle name="Percent 9 19" xfId="16338" xr:uid="{00000000-0005-0000-0000-0000E93F0000}"/>
    <cellStyle name="Percent 9 19 2" xfId="16339" xr:uid="{00000000-0005-0000-0000-0000EA3F0000}"/>
    <cellStyle name="Percent 9 19 3" xfId="16340" xr:uid="{00000000-0005-0000-0000-0000EB3F0000}"/>
    <cellStyle name="Percent 9 2" xfId="16341" xr:uid="{00000000-0005-0000-0000-0000EC3F0000}"/>
    <cellStyle name="Percent 9 2 2" xfId="16342" xr:uid="{00000000-0005-0000-0000-0000ED3F0000}"/>
    <cellStyle name="Percent 9 2 2 2" xfId="16343" xr:uid="{00000000-0005-0000-0000-0000EE3F0000}"/>
    <cellStyle name="Percent 9 2 2 3" xfId="16344" xr:uid="{00000000-0005-0000-0000-0000EF3F0000}"/>
    <cellStyle name="Percent 9 2 3" xfId="16345" xr:uid="{00000000-0005-0000-0000-0000F03F0000}"/>
    <cellStyle name="Percent 9 2 3 2" xfId="16346" xr:uid="{00000000-0005-0000-0000-0000F13F0000}"/>
    <cellStyle name="Percent 9 2 3 3" xfId="16347" xr:uid="{00000000-0005-0000-0000-0000F23F0000}"/>
    <cellStyle name="Percent 9 2 4" xfId="16348" xr:uid="{00000000-0005-0000-0000-0000F33F0000}"/>
    <cellStyle name="Percent 9 2 5" xfId="16349" xr:uid="{00000000-0005-0000-0000-0000F43F0000}"/>
    <cellStyle name="Percent 9 2 6" xfId="16350" xr:uid="{00000000-0005-0000-0000-0000F53F0000}"/>
    <cellStyle name="Percent 9 20" xfId="16351" xr:uid="{00000000-0005-0000-0000-0000F63F0000}"/>
    <cellStyle name="Percent 9 20 2" xfId="16352" xr:uid="{00000000-0005-0000-0000-0000F73F0000}"/>
    <cellStyle name="Percent 9 20 3" xfId="16353" xr:uid="{00000000-0005-0000-0000-0000F83F0000}"/>
    <cellStyle name="Percent 9 21" xfId="16354" xr:uid="{00000000-0005-0000-0000-0000F93F0000}"/>
    <cellStyle name="Percent 9 21 2" xfId="16355" xr:uid="{00000000-0005-0000-0000-0000FA3F0000}"/>
    <cellStyle name="Percent 9 21 3" xfId="16356" xr:uid="{00000000-0005-0000-0000-0000FB3F0000}"/>
    <cellStyle name="Percent 9 22" xfId="16357" xr:uid="{00000000-0005-0000-0000-0000FC3F0000}"/>
    <cellStyle name="Percent 9 22 2" xfId="16358" xr:uid="{00000000-0005-0000-0000-0000FD3F0000}"/>
    <cellStyle name="Percent 9 22 3" xfId="16359" xr:uid="{00000000-0005-0000-0000-0000FE3F0000}"/>
    <cellStyle name="Percent 9 23" xfId="16360" xr:uid="{00000000-0005-0000-0000-0000FF3F0000}"/>
    <cellStyle name="Percent 9 24" xfId="16361" xr:uid="{00000000-0005-0000-0000-000000400000}"/>
    <cellStyle name="Percent 9 25" xfId="16362" xr:uid="{00000000-0005-0000-0000-000001400000}"/>
    <cellStyle name="Percent 9 3" xfId="16363" xr:uid="{00000000-0005-0000-0000-000002400000}"/>
    <cellStyle name="Percent 9 3 2" xfId="16364" xr:uid="{00000000-0005-0000-0000-000003400000}"/>
    <cellStyle name="Percent 9 3 2 2" xfId="16365" xr:uid="{00000000-0005-0000-0000-000004400000}"/>
    <cellStyle name="Percent 9 3 2 3" xfId="16366" xr:uid="{00000000-0005-0000-0000-000005400000}"/>
    <cellStyle name="Percent 9 3 3" xfId="16367" xr:uid="{00000000-0005-0000-0000-000006400000}"/>
    <cellStyle name="Percent 9 3 3 2" xfId="16368" xr:uid="{00000000-0005-0000-0000-000007400000}"/>
    <cellStyle name="Percent 9 3 3 3" xfId="16369" xr:uid="{00000000-0005-0000-0000-000008400000}"/>
    <cellStyle name="Percent 9 3 4" xfId="16370" xr:uid="{00000000-0005-0000-0000-000009400000}"/>
    <cellStyle name="Percent 9 3 5" xfId="16371" xr:uid="{00000000-0005-0000-0000-00000A400000}"/>
    <cellStyle name="Percent 9 3 6" xfId="16372" xr:uid="{00000000-0005-0000-0000-00000B400000}"/>
    <cellStyle name="Percent 9 4" xfId="16373" xr:uid="{00000000-0005-0000-0000-00000C400000}"/>
    <cellStyle name="Percent 9 4 2" xfId="16374" xr:uid="{00000000-0005-0000-0000-00000D400000}"/>
    <cellStyle name="Percent 9 4 2 2" xfId="16375" xr:uid="{00000000-0005-0000-0000-00000E400000}"/>
    <cellStyle name="Percent 9 4 2 3" xfId="16376" xr:uid="{00000000-0005-0000-0000-00000F400000}"/>
    <cellStyle name="Percent 9 4 3" xfId="16377" xr:uid="{00000000-0005-0000-0000-000010400000}"/>
    <cellStyle name="Percent 9 4 3 2" xfId="16378" xr:uid="{00000000-0005-0000-0000-000011400000}"/>
    <cellStyle name="Percent 9 4 3 3" xfId="16379" xr:uid="{00000000-0005-0000-0000-000012400000}"/>
    <cellStyle name="Percent 9 4 4" xfId="16380" xr:uid="{00000000-0005-0000-0000-000013400000}"/>
    <cellStyle name="Percent 9 4 5" xfId="16381" xr:uid="{00000000-0005-0000-0000-000014400000}"/>
    <cellStyle name="Percent 9 4 6" xfId="16382" xr:uid="{00000000-0005-0000-0000-000015400000}"/>
    <cellStyle name="Percent 9 5" xfId="16383" xr:uid="{00000000-0005-0000-0000-000016400000}"/>
    <cellStyle name="Percent 9 5 2" xfId="16384" xr:uid="{00000000-0005-0000-0000-000017400000}"/>
    <cellStyle name="Percent 9 5 2 2" xfId="16385" xr:uid="{00000000-0005-0000-0000-000018400000}"/>
    <cellStyle name="Percent 9 5 2 3" xfId="16386" xr:uid="{00000000-0005-0000-0000-000019400000}"/>
    <cellStyle name="Percent 9 5 3" xfId="16387" xr:uid="{00000000-0005-0000-0000-00001A400000}"/>
    <cellStyle name="Percent 9 5 3 2" xfId="16388" xr:uid="{00000000-0005-0000-0000-00001B400000}"/>
    <cellStyle name="Percent 9 5 3 3" xfId="16389" xr:uid="{00000000-0005-0000-0000-00001C400000}"/>
    <cellStyle name="Percent 9 5 4" xfId="16390" xr:uid="{00000000-0005-0000-0000-00001D400000}"/>
    <cellStyle name="Percent 9 5 5" xfId="16391" xr:uid="{00000000-0005-0000-0000-00001E400000}"/>
    <cellStyle name="Percent 9 5 6" xfId="16392" xr:uid="{00000000-0005-0000-0000-00001F400000}"/>
    <cellStyle name="Percent 9 6" xfId="16393" xr:uid="{00000000-0005-0000-0000-000020400000}"/>
    <cellStyle name="Percent 9 6 2" xfId="16394" xr:uid="{00000000-0005-0000-0000-000021400000}"/>
    <cellStyle name="Percent 9 6 2 2" xfId="16395" xr:uid="{00000000-0005-0000-0000-000022400000}"/>
    <cellStyle name="Percent 9 6 2 3" xfId="16396" xr:uid="{00000000-0005-0000-0000-000023400000}"/>
    <cellStyle name="Percent 9 6 3" xfId="16397" xr:uid="{00000000-0005-0000-0000-000024400000}"/>
    <cellStyle name="Percent 9 6 3 2" xfId="16398" xr:uid="{00000000-0005-0000-0000-000025400000}"/>
    <cellStyle name="Percent 9 6 3 3" xfId="16399" xr:uid="{00000000-0005-0000-0000-000026400000}"/>
    <cellStyle name="Percent 9 6 4" xfId="16400" xr:uid="{00000000-0005-0000-0000-000027400000}"/>
    <cellStyle name="Percent 9 6 5" xfId="16401" xr:uid="{00000000-0005-0000-0000-000028400000}"/>
    <cellStyle name="Percent 9 6 6" xfId="16402" xr:uid="{00000000-0005-0000-0000-000029400000}"/>
    <cellStyle name="Percent 9 7" xfId="16403" xr:uid="{00000000-0005-0000-0000-00002A400000}"/>
    <cellStyle name="Percent 9 7 2" xfId="16404" xr:uid="{00000000-0005-0000-0000-00002B400000}"/>
    <cellStyle name="Percent 9 7 2 2" xfId="16405" xr:uid="{00000000-0005-0000-0000-00002C400000}"/>
    <cellStyle name="Percent 9 7 2 3" xfId="16406" xr:uid="{00000000-0005-0000-0000-00002D400000}"/>
    <cellStyle name="Percent 9 7 3" xfId="16407" xr:uid="{00000000-0005-0000-0000-00002E400000}"/>
    <cellStyle name="Percent 9 7 3 2" xfId="16408" xr:uid="{00000000-0005-0000-0000-00002F400000}"/>
    <cellStyle name="Percent 9 7 3 3" xfId="16409" xr:uid="{00000000-0005-0000-0000-000030400000}"/>
    <cellStyle name="Percent 9 7 4" xfId="16410" xr:uid="{00000000-0005-0000-0000-000031400000}"/>
    <cellStyle name="Percent 9 7 4 2" xfId="16411" xr:uid="{00000000-0005-0000-0000-000032400000}"/>
    <cellStyle name="Percent 9 7 4 3" xfId="16412" xr:uid="{00000000-0005-0000-0000-000033400000}"/>
    <cellStyle name="Percent 9 7 5" xfId="16413" xr:uid="{00000000-0005-0000-0000-000034400000}"/>
    <cellStyle name="Percent 9 7 5 2" xfId="16414" xr:uid="{00000000-0005-0000-0000-000035400000}"/>
    <cellStyle name="Percent 9 7 5 3" xfId="16415" xr:uid="{00000000-0005-0000-0000-000036400000}"/>
    <cellStyle name="Percent 9 7 6" xfId="16416" xr:uid="{00000000-0005-0000-0000-000037400000}"/>
    <cellStyle name="Percent 9 7 7" xfId="16417" xr:uid="{00000000-0005-0000-0000-000038400000}"/>
    <cellStyle name="Percent 9 7 8" xfId="16418" xr:uid="{00000000-0005-0000-0000-000039400000}"/>
    <cellStyle name="Percent 9 8" xfId="16419" xr:uid="{00000000-0005-0000-0000-00003A400000}"/>
    <cellStyle name="Percent 9 8 2" xfId="16420" xr:uid="{00000000-0005-0000-0000-00003B400000}"/>
    <cellStyle name="Percent 9 8 2 2" xfId="16421" xr:uid="{00000000-0005-0000-0000-00003C400000}"/>
    <cellStyle name="Percent 9 8 2 3" xfId="16422" xr:uid="{00000000-0005-0000-0000-00003D400000}"/>
    <cellStyle name="Percent 9 8 3" xfId="16423" xr:uid="{00000000-0005-0000-0000-00003E400000}"/>
    <cellStyle name="Percent 9 8 3 2" xfId="16424" xr:uid="{00000000-0005-0000-0000-00003F400000}"/>
    <cellStyle name="Percent 9 8 3 3" xfId="16425" xr:uid="{00000000-0005-0000-0000-000040400000}"/>
    <cellStyle name="Percent 9 8 4" xfId="16426" xr:uid="{00000000-0005-0000-0000-000041400000}"/>
    <cellStyle name="Percent 9 8 5" xfId="16427" xr:uid="{00000000-0005-0000-0000-000042400000}"/>
    <cellStyle name="Percent 9 8 6" xfId="16428" xr:uid="{00000000-0005-0000-0000-000043400000}"/>
    <cellStyle name="Percent 9 9" xfId="16429" xr:uid="{00000000-0005-0000-0000-000044400000}"/>
    <cellStyle name="Percent 9 9 2" xfId="16430" xr:uid="{00000000-0005-0000-0000-000045400000}"/>
    <cellStyle name="Percent 9 9 3" xfId="16431" xr:uid="{00000000-0005-0000-0000-000046400000}"/>
    <cellStyle name="Percentagem 2 2" xfId="16432" xr:uid="{00000000-0005-0000-0000-000047400000}"/>
    <cellStyle name="Percentagem 2 2 2" xfId="16433" xr:uid="{00000000-0005-0000-0000-000048400000}"/>
    <cellStyle name="Percentagem 2 2 3" xfId="16434" xr:uid="{00000000-0005-0000-0000-000049400000}"/>
    <cellStyle name="Percentagem 2 3" xfId="16435" xr:uid="{00000000-0005-0000-0000-00004A400000}"/>
    <cellStyle name="Percentagem 2 3 2" xfId="16436" xr:uid="{00000000-0005-0000-0000-00004B400000}"/>
    <cellStyle name="Percentagem 2 3 3" xfId="16437" xr:uid="{00000000-0005-0000-0000-00004C400000}"/>
    <cellStyle name="Pilkku_BL4R2" xfId="17766" xr:uid="{00000000-0005-0000-0000-00004D400000}"/>
    <cellStyle name="Procent 2" xfId="17783" xr:uid="{00000000-0005-0000-0000-00004E400000}"/>
    <cellStyle name="Procent 3" xfId="17784" xr:uid="{00000000-0005-0000-0000-00004F400000}"/>
    <cellStyle name="Prosentti_BL4R2" xfId="17767" xr:uid="{00000000-0005-0000-0000-000050400000}"/>
    <cellStyle name="Pyör. luku_BL4R2" xfId="17768" xr:uid="{00000000-0005-0000-0000-000051400000}"/>
    <cellStyle name="Pyör. valuutta_BL4R2" xfId="17769" xr:uid="{00000000-0005-0000-0000-000052400000}"/>
    <cellStyle name="Schlecht" xfId="16438" xr:uid="{00000000-0005-0000-0000-000053400000}"/>
    <cellStyle name="Schlecht 2" xfId="16439" xr:uid="{00000000-0005-0000-0000-000054400000}"/>
    <cellStyle name="Schlecht 3" xfId="16440" xr:uid="{00000000-0005-0000-0000-000055400000}"/>
    <cellStyle name="Shade" xfId="16441" xr:uid="{00000000-0005-0000-0000-000056400000}"/>
    <cellStyle name="Shade 2" xfId="16442" xr:uid="{00000000-0005-0000-0000-000057400000}"/>
    <cellStyle name="Shade 3" xfId="16443" xr:uid="{00000000-0005-0000-0000-000058400000}"/>
    <cellStyle name="Shade 4" xfId="16444" xr:uid="{00000000-0005-0000-0000-000059400000}"/>
    <cellStyle name="source" xfId="16445" xr:uid="{00000000-0005-0000-0000-00005A400000}"/>
    <cellStyle name="source 2" xfId="16446" xr:uid="{00000000-0005-0000-0000-00005B400000}"/>
    <cellStyle name="source 2 2" xfId="16447" xr:uid="{00000000-0005-0000-0000-00005C400000}"/>
    <cellStyle name="source 2 3" xfId="16448" xr:uid="{00000000-0005-0000-0000-00005D400000}"/>
    <cellStyle name="source 3" xfId="16449" xr:uid="{00000000-0005-0000-0000-00005E400000}"/>
    <cellStyle name="source 4" xfId="16450" xr:uid="{00000000-0005-0000-0000-00005F400000}"/>
    <cellStyle name="Standaard_Blad1" xfId="16451" xr:uid="{00000000-0005-0000-0000-000060400000}"/>
    <cellStyle name="Standard 2" xfId="16452" xr:uid="{00000000-0005-0000-0000-000061400000}"/>
    <cellStyle name="Standard 2 2" xfId="16453" xr:uid="{00000000-0005-0000-0000-000062400000}"/>
    <cellStyle name="Standard 2 3" xfId="16454" xr:uid="{00000000-0005-0000-0000-000063400000}"/>
    <cellStyle name="Standard 2 4" xfId="16455" xr:uid="{00000000-0005-0000-0000-000064400000}"/>
    <cellStyle name="Standard 3" xfId="16456" xr:uid="{00000000-0005-0000-0000-000065400000}"/>
    <cellStyle name="Standard 3 2" xfId="16457" xr:uid="{00000000-0005-0000-0000-000066400000}"/>
    <cellStyle name="Standard 3 3" xfId="16458" xr:uid="{00000000-0005-0000-0000-000067400000}"/>
    <cellStyle name="Standard_FI00EU01" xfId="16459" xr:uid="{00000000-0005-0000-0000-000068400000}"/>
    <cellStyle name="Style 1" xfId="16460" xr:uid="{00000000-0005-0000-0000-000069400000}"/>
    <cellStyle name="Style 1 2" xfId="16461" xr:uid="{00000000-0005-0000-0000-00006A400000}"/>
    <cellStyle name="Style 1 3" xfId="16462" xr:uid="{00000000-0005-0000-0000-00006B400000}"/>
    <cellStyle name="Style 103" xfId="16463" xr:uid="{00000000-0005-0000-0000-00006C400000}"/>
    <cellStyle name="Style 103 2" xfId="16464" xr:uid="{00000000-0005-0000-0000-00006D400000}"/>
    <cellStyle name="Style 103 2 2" xfId="16465" xr:uid="{00000000-0005-0000-0000-00006E400000}"/>
    <cellStyle name="Style 103 2 3" xfId="16466" xr:uid="{00000000-0005-0000-0000-00006F400000}"/>
    <cellStyle name="Style 103 3" xfId="16467" xr:uid="{00000000-0005-0000-0000-000070400000}"/>
    <cellStyle name="Style 103 3 2" xfId="16468" xr:uid="{00000000-0005-0000-0000-000071400000}"/>
    <cellStyle name="Style 103 3 3" xfId="16469" xr:uid="{00000000-0005-0000-0000-000072400000}"/>
    <cellStyle name="Style 103 4" xfId="16470" xr:uid="{00000000-0005-0000-0000-000073400000}"/>
    <cellStyle name="Style 103 5" xfId="16471" xr:uid="{00000000-0005-0000-0000-000074400000}"/>
    <cellStyle name="Style 104" xfId="16472" xr:uid="{00000000-0005-0000-0000-000075400000}"/>
    <cellStyle name="Style 104 2" xfId="16473" xr:uid="{00000000-0005-0000-0000-000076400000}"/>
    <cellStyle name="Style 104 2 2" xfId="16474" xr:uid="{00000000-0005-0000-0000-000077400000}"/>
    <cellStyle name="Style 104 2 3" xfId="16475" xr:uid="{00000000-0005-0000-0000-000078400000}"/>
    <cellStyle name="Style 104 3" xfId="16476" xr:uid="{00000000-0005-0000-0000-000079400000}"/>
    <cellStyle name="Style 104 3 2" xfId="16477" xr:uid="{00000000-0005-0000-0000-00007A400000}"/>
    <cellStyle name="Style 104 3 3" xfId="16478" xr:uid="{00000000-0005-0000-0000-00007B400000}"/>
    <cellStyle name="Style 104 4" xfId="16479" xr:uid="{00000000-0005-0000-0000-00007C400000}"/>
    <cellStyle name="Style 104 5" xfId="16480" xr:uid="{00000000-0005-0000-0000-00007D400000}"/>
    <cellStyle name="Style 105" xfId="16481" xr:uid="{00000000-0005-0000-0000-00007E400000}"/>
    <cellStyle name="Style 105 2" xfId="16482" xr:uid="{00000000-0005-0000-0000-00007F400000}"/>
    <cellStyle name="Style 105 2 2" xfId="16483" xr:uid="{00000000-0005-0000-0000-000080400000}"/>
    <cellStyle name="Style 105 2 3" xfId="16484" xr:uid="{00000000-0005-0000-0000-000081400000}"/>
    <cellStyle name="Style 105 3" xfId="16485" xr:uid="{00000000-0005-0000-0000-000082400000}"/>
    <cellStyle name="Style 105 4" xfId="16486" xr:uid="{00000000-0005-0000-0000-000083400000}"/>
    <cellStyle name="Style 106" xfId="16487" xr:uid="{00000000-0005-0000-0000-000084400000}"/>
    <cellStyle name="Style 106 2" xfId="16488" xr:uid="{00000000-0005-0000-0000-000085400000}"/>
    <cellStyle name="Style 106 2 2" xfId="16489" xr:uid="{00000000-0005-0000-0000-000086400000}"/>
    <cellStyle name="Style 106 2 3" xfId="16490" xr:uid="{00000000-0005-0000-0000-000087400000}"/>
    <cellStyle name="Style 106 3" xfId="16491" xr:uid="{00000000-0005-0000-0000-000088400000}"/>
    <cellStyle name="Style 106 4" xfId="16492" xr:uid="{00000000-0005-0000-0000-000089400000}"/>
    <cellStyle name="Style 107" xfId="16493" xr:uid="{00000000-0005-0000-0000-00008A400000}"/>
    <cellStyle name="Style 107 2" xfId="16494" xr:uid="{00000000-0005-0000-0000-00008B400000}"/>
    <cellStyle name="Style 107 2 2" xfId="16495" xr:uid="{00000000-0005-0000-0000-00008C400000}"/>
    <cellStyle name="Style 107 2 3" xfId="16496" xr:uid="{00000000-0005-0000-0000-00008D400000}"/>
    <cellStyle name="Style 107 3" xfId="16497" xr:uid="{00000000-0005-0000-0000-00008E400000}"/>
    <cellStyle name="Style 107 4" xfId="16498" xr:uid="{00000000-0005-0000-0000-00008F400000}"/>
    <cellStyle name="Style 108" xfId="16499" xr:uid="{00000000-0005-0000-0000-000090400000}"/>
    <cellStyle name="Style 108 2" xfId="16500" xr:uid="{00000000-0005-0000-0000-000091400000}"/>
    <cellStyle name="Style 108 2 2" xfId="16501" xr:uid="{00000000-0005-0000-0000-000092400000}"/>
    <cellStyle name="Style 108 2 3" xfId="16502" xr:uid="{00000000-0005-0000-0000-000093400000}"/>
    <cellStyle name="Style 108 3" xfId="16503" xr:uid="{00000000-0005-0000-0000-000094400000}"/>
    <cellStyle name="Style 108 3 2" xfId="16504" xr:uid="{00000000-0005-0000-0000-000095400000}"/>
    <cellStyle name="Style 108 3 3" xfId="16505" xr:uid="{00000000-0005-0000-0000-000096400000}"/>
    <cellStyle name="Style 108 4" xfId="16506" xr:uid="{00000000-0005-0000-0000-000097400000}"/>
    <cellStyle name="Style 108 5" xfId="16507" xr:uid="{00000000-0005-0000-0000-000098400000}"/>
    <cellStyle name="Style 109" xfId="16508" xr:uid="{00000000-0005-0000-0000-000099400000}"/>
    <cellStyle name="Style 109 2" xfId="16509" xr:uid="{00000000-0005-0000-0000-00009A400000}"/>
    <cellStyle name="Style 109 2 2" xfId="16510" xr:uid="{00000000-0005-0000-0000-00009B400000}"/>
    <cellStyle name="Style 109 2 3" xfId="16511" xr:uid="{00000000-0005-0000-0000-00009C400000}"/>
    <cellStyle name="Style 109 3" xfId="16512" xr:uid="{00000000-0005-0000-0000-00009D400000}"/>
    <cellStyle name="Style 109 4" xfId="16513" xr:uid="{00000000-0005-0000-0000-00009E400000}"/>
    <cellStyle name="Style 110" xfId="16514" xr:uid="{00000000-0005-0000-0000-00009F400000}"/>
    <cellStyle name="Style 110 2" xfId="16515" xr:uid="{00000000-0005-0000-0000-0000A0400000}"/>
    <cellStyle name="Style 110 2 2" xfId="16516" xr:uid="{00000000-0005-0000-0000-0000A1400000}"/>
    <cellStyle name="Style 110 2 3" xfId="16517" xr:uid="{00000000-0005-0000-0000-0000A2400000}"/>
    <cellStyle name="Style 110 3" xfId="16518" xr:uid="{00000000-0005-0000-0000-0000A3400000}"/>
    <cellStyle name="Style 110 4" xfId="16519" xr:uid="{00000000-0005-0000-0000-0000A4400000}"/>
    <cellStyle name="Style 114" xfId="16520" xr:uid="{00000000-0005-0000-0000-0000A5400000}"/>
    <cellStyle name="Style 114 2" xfId="16521" xr:uid="{00000000-0005-0000-0000-0000A6400000}"/>
    <cellStyle name="Style 114 2 2" xfId="16522" xr:uid="{00000000-0005-0000-0000-0000A7400000}"/>
    <cellStyle name="Style 114 2 3" xfId="16523" xr:uid="{00000000-0005-0000-0000-0000A8400000}"/>
    <cellStyle name="Style 114 3" xfId="16524" xr:uid="{00000000-0005-0000-0000-0000A9400000}"/>
    <cellStyle name="Style 114 3 2" xfId="16525" xr:uid="{00000000-0005-0000-0000-0000AA400000}"/>
    <cellStyle name="Style 114 3 3" xfId="16526" xr:uid="{00000000-0005-0000-0000-0000AB400000}"/>
    <cellStyle name="Style 114 4" xfId="16527" xr:uid="{00000000-0005-0000-0000-0000AC400000}"/>
    <cellStyle name="Style 114 5" xfId="16528" xr:uid="{00000000-0005-0000-0000-0000AD400000}"/>
    <cellStyle name="Style 115" xfId="16529" xr:uid="{00000000-0005-0000-0000-0000AE400000}"/>
    <cellStyle name="Style 115 2" xfId="16530" xr:uid="{00000000-0005-0000-0000-0000AF400000}"/>
    <cellStyle name="Style 115 2 2" xfId="16531" xr:uid="{00000000-0005-0000-0000-0000B0400000}"/>
    <cellStyle name="Style 115 2 3" xfId="16532" xr:uid="{00000000-0005-0000-0000-0000B1400000}"/>
    <cellStyle name="Style 115 3" xfId="16533" xr:uid="{00000000-0005-0000-0000-0000B2400000}"/>
    <cellStyle name="Style 115 3 2" xfId="16534" xr:uid="{00000000-0005-0000-0000-0000B3400000}"/>
    <cellStyle name="Style 115 3 3" xfId="16535" xr:uid="{00000000-0005-0000-0000-0000B4400000}"/>
    <cellStyle name="Style 115 4" xfId="16536" xr:uid="{00000000-0005-0000-0000-0000B5400000}"/>
    <cellStyle name="Style 115 5" xfId="16537" xr:uid="{00000000-0005-0000-0000-0000B6400000}"/>
    <cellStyle name="Style 116" xfId="16538" xr:uid="{00000000-0005-0000-0000-0000B7400000}"/>
    <cellStyle name="Style 116 2" xfId="16539" xr:uid="{00000000-0005-0000-0000-0000B8400000}"/>
    <cellStyle name="Style 116 2 2" xfId="16540" xr:uid="{00000000-0005-0000-0000-0000B9400000}"/>
    <cellStyle name="Style 116 2 3" xfId="16541" xr:uid="{00000000-0005-0000-0000-0000BA400000}"/>
    <cellStyle name="Style 116 3" xfId="16542" xr:uid="{00000000-0005-0000-0000-0000BB400000}"/>
    <cellStyle name="Style 116 4" xfId="16543" xr:uid="{00000000-0005-0000-0000-0000BC400000}"/>
    <cellStyle name="Style 117" xfId="16544" xr:uid="{00000000-0005-0000-0000-0000BD400000}"/>
    <cellStyle name="Style 117 2" xfId="16545" xr:uid="{00000000-0005-0000-0000-0000BE400000}"/>
    <cellStyle name="Style 117 2 2" xfId="16546" xr:uid="{00000000-0005-0000-0000-0000BF400000}"/>
    <cellStyle name="Style 117 2 3" xfId="16547" xr:uid="{00000000-0005-0000-0000-0000C0400000}"/>
    <cellStyle name="Style 117 3" xfId="16548" xr:uid="{00000000-0005-0000-0000-0000C1400000}"/>
    <cellStyle name="Style 117 4" xfId="16549" xr:uid="{00000000-0005-0000-0000-0000C2400000}"/>
    <cellStyle name="Style 118" xfId="16550" xr:uid="{00000000-0005-0000-0000-0000C3400000}"/>
    <cellStyle name="Style 118 2" xfId="16551" xr:uid="{00000000-0005-0000-0000-0000C4400000}"/>
    <cellStyle name="Style 118 2 2" xfId="16552" xr:uid="{00000000-0005-0000-0000-0000C5400000}"/>
    <cellStyle name="Style 118 2 3" xfId="16553" xr:uid="{00000000-0005-0000-0000-0000C6400000}"/>
    <cellStyle name="Style 118 3" xfId="16554" xr:uid="{00000000-0005-0000-0000-0000C7400000}"/>
    <cellStyle name="Style 118 4" xfId="16555" xr:uid="{00000000-0005-0000-0000-0000C8400000}"/>
    <cellStyle name="Style 119" xfId="16556" xr:uid="{00000000-0005-0000-0000-0000C9400000}"/>
    <cellStyle name="Style 119 2" xfId="16557" xr:uid="{00000000-0005-0000-0000-0000CA400000}"/>
    <cellStyle name="Style 119 2 2" xfId="16558" xr:uid="{00000000-0005-0000-0000-0000CB400000}"/>
    <cellStyle name="Style 119 2 3" xfId="16559" xr:uid="{00000000-0005-0000-0000-0000CC400000}"/>
    <cellStyle name="Style 119 3" xfId="16560" xr:uid="{00000000-0005-0000-0000-0000CD400000}"/>
    <cellStyle name="Style 119 3 2" xfId="16561" xr:uid="{00000000-0005-0000-0000-0000CE400000}"/>
    <cellStyle name="Style 119 3 3" xfId="16562" xr:uid="{00000000-0005-0000-0000-0000CF400000}"/>
    <cellStyle name="Style 119 4" xfId="16563" xr:uid="{00000000-0005-0000-0000-0000D0400000}"/>
    <cellStyle name="Style 119 5" xfId="16564" xr:uid="{00000000-0005-0000-0000-0000D1400000}"/>
    <cellStyle name="Style 120" xfId="16565" xr:uid="{00000000-0005-0000-0000-0000D2400000}"/>
    <cellStyle name="Style 120 2" xfId="16566" xr:uid="{00000000-0005-0000-0000-0000D3400000}"/>
    <cellStyle name="Style 120 2 2" xfId="16567" xr:uid="{00000000-0005-0000-0000-0000D4400000}"/>
    <cellStyle name="Style 120 2 3" xfId="16568" xr:uid="{00000000-0005-0000-0000-0000D5400000}"/>
    <cellStyle name="Style 120 3" xfId="16569" xr:uid="{00000000-0005-0000-0000-0000D6400000}"/>
    <cellStyle name="Style 120 4" xfId="16570" xr:uid="{00000000-0005-0000-0000-0000D7400000}"/>
    <cellStyle name="Style 121" xfId="16571" xr:uid="{00000000-0005-0000-0000-0000D8400000}"/>
    <cellStyle name="Style 121 2" xfId="16572" xr:uid="{00000000-0005-0000-0000-0000D9400000}"/>
    <cellStyle name="Style 121 2 2" xfId="16573" xr:uid="{00000000-0005-0000-0000-0000DA400000}"/>
    <cellStyle name="Style 121 2 3" xfId="16574" xr:uid="{00000000-0005-0000-0000-0000DB400000}"/>
    <cellStyle name="Style 121 3" xfId="16575" xr:uid="{00000000-0005-0000-0000-0000DC400000}"/>
    <cellStyle name="Style 121 4" xfId="16576" xr:uid="{00000000-0005-0000-0000-0000DD400000}"/>
    <cellStyle name="Style 126" xfId="16577" xr:uid="{00000000-0005-0000-0000-0000DE400000}"/>
    <cellStyle name="Style 126 2" xfId="16578" xr:uid="{00000000-0005-0000-0000-0000DF400000}"/>
    <cellStyle name="Style 126 2 2" xfId="16579" xr:uid="{00000000-0005-0000-0000-0000E0400000}"/>
    <cellStyle name="Style 126 2 3" xfId="16580" xr:uid="{00000000-0005-0000-0000-0000E1400000}"/>
    <cellStyle name="Style 126 3" xfId="16581" xr:uid="{00000000-0005-0000-0000-0000E2400000}"/>
    <cellStyle name="Style 126 3 2" xfId="16582" xr:uid="{00000000-0005-0000-0000-0000E3400000}"/>
    <cellStyle name="Style 126 3 3" xfId="16583" xr:uid="{00000000-0005-0000-0000-0000E4400000}"/>
    <cellStyle name="Style 126 4" xfId="16584" xr:uid="{00000000-0005-0000-0000-0000E5400000}"/>
    <cellStyle name="Style 126 5" xfId="16585" xr:uid="{00000000-0005-0000-0000-0000E6400000}"/>
    <cellStyle name="Style 127" xfId="16586" xr:uid="{00000000-0005-0000-0000-0000E7400000}"/>
    <cellStyle name="Style 127 2" xfId="16587" xr:uid="{00000000-0005-0000-0000-0000E8400000}"/>
    <cellStyle name="Style 127 2 2" xfId="16588" xr:uid="{00000000-0005-0000-0000-0000E9400000}"/>
    <cellStyle name="Style 127 2 3" xfId="16589" xr:uid="{00000000-0005-0000-0000-0000EA400000}"/>
    <cellStyle name="Style 127 3" xfId="16590" xr:uid="{00000000-0005-0000-0000-0000EB400000}"/>
    <cellStyle name="Style 127 4" xfId="16591" xr:uid="{00000000-0005-0000-0000-0000EC400000}"/>
    <cellStyle name="Style 128" xfId="16592" xr:uid="{00000000-0005-0000-0000-0000ED400000}"/>
    <cellStyle name="Style 128 2" xfId="16593" xr:uid="{00000000-0005-0000-0000-0000EE400000}"/>
    <cellStyle name="Style 128 2 2" xfId="16594" xr:uid="{00000000-0005-0000-0000-0000EF400000}"/>
    <cellStyle name="Style 128 2 3" xfId="16595" xr:uid="{00000000-0005-0000-0000-0000F0400000}"/>
    <cellStyle name="Style 128 3" xfId="16596" xr:uid="{00000000-0005-0000-0000-0000F1400000}"/>
    <cellStyle name="Style 128 4" xfId="16597" xr:uid="{00000000-0005-0000-0000-0000F2400000}"/>
    <cellStyle name="Style 129" xfId="16598" xr:uid="{00000000-0005-0000-0000-0000F3400000}"/>
    <cellStyle name="Style 129 2" xfId="16599" xr:uid="{00000000-0005-0000-0000-0000F4400000}"/>
    <cellStyle name="Style 129 2 2" xfId="16600" xr:uid="{00000000-0005-0000-0000-0000F5400000}"/>
    <cellStyle name="Style 129 2 3" xfId="16601" xr:uid="{00000000-0005-0000-0000-0000F6400000}"/>
    <cellStyle name="Style 129 3" xfId="16602" xr:uid="{00000000-0005-0000-0000-0000F7400000}"/>
    <cellStyle name="Style 129 4" xfId="16603" xr:uid="{00000000-0005-0000-0000-0000F8400000}"/>
    <cellStyle name="Style 130" xfId="16604" xr:uid="{00000000-0005-0000-0000-0000F9400000}"/>
    <cellStyle name="Style 130 2" xfId="16605" xr:uid="{00000000-0005-0000-0000-0000FA400000}"/>
    <cellStyle name="Style 130 2 2" xfId="16606" xr:uid="{00000000-0005-0000-0000-0000FB400000}"/>
    <cellStyle name="Style 130 2 3" xfId="16607" xr:uid="{00000000-0005-0000-0000-0000FC400000}"/>
    <cellStyle name="Style 130 3" xfId="16608" xr:uid="{00000000-0005-0000-0000-0000FD400000}"/>
    <cellStyle name="Style 130 3 2" xfId="16609" xr:uid="{00000000-0005-0000-0000-0000FE400000}"/>
    <cellStyle name="Style 130 3 3" xfId="16610" xr:uid="{00000000-0005-0000-0000-0000FF400000}"/>
    <cellStyle name="Style 130 4" xfId="16611" xr:uid="{00000000-0005-0000-0000-000000410000}"/>
    <cellStyle name="Style 130 5" xfId="16612" xr:uid="{00000000-0005-0000-0000-000001410000}"/>
    <cellStyle name="Style 131" xfId="16613" xr:uid="{00000000-0005-0000-0000-000002410000}"/>
    <cellStyle name="Style 131 2" xfId="16614" xr:uid="{00000000-0005-0000-0000-000003410000}"/>
    <cellStyle name="Style 131 2 2" xfId="16615" xr:uid="{00000000-0005-0000-0000-000004410000}"/>
    <cellStyle name="Style 131 2 3" xfId="16616" xr:uid="{00000000-0005-0000-0000-000005410000}"/>
    <cellStyle name="Style 131 3" xfId="16617" xr:uid="{00000000-0005-0000-0000-000006410000}"/>
    <cellStyle name="Style 131 4" xfId="16618" xr:uid="{00000000-0005-0000-0000-000007410000}"/>
    <cellStyle name="Style 132" xfId="16619" xr:uid="{00000000-0005-0000-0000-000008410000}"/>
    <cellStyle name="Style 132 2" xfId="16620" xr:uid="{00000000-0005-0000-0000-000009410000}"/>
    <cellStyle name="Style 132 2 2" xfId="16621" xr:uid="{00000000-0005-0000-0000-00000A410000}"/>
    <cellStyle name="Style 132 2 3" xfId="16622" xr:uid="{00000000-0005-0000-0000-00000B410000}"/>
    <cellStyle name="Style 132 3" xfId="16623" xr:uid="{00000000-0005-0000-0000-00000C410000}"/>
    <cellStyle name="Style 132 4" xfId="16624" xr:uid="{00000000-0005-0000-0000-00000D410000}"/>
    <cellStyle name="Style 137" xfId="16625" xr:uid="{00000000-0005-0000-0000-00000E410000}"/>
    <cellStyle name="Style 137 2" xfId="16626" xr:uid="{00000000-0005-0000-0000-00000F410000}"/>
    <cellStyle name="Style 137 2 2" xfId="16627" xr:uid="{00000000-0005-0000-0000-000010410000}"/>
    <cellStyle name="Style 137 2 3" xfId="16628" xr:uid="{00000000-0005-0000-0000-000011410000}"/>
    <cellStyle name="Style 137 3" xfId="16629" xr:uid="{00000000-0005-0000-0000-000012410000}"/>
    <cellStyle name="Style 137 3 2" xfId="16630" xr:uid="{00000000-0005-0000-0000-000013410000}"/>
    <cellStyle name="Style 137 3 3" xfId="16631" xr:uid="{00000000-0005-0000-0000-000014410000}"/>
    <cellStyle name="Style 137 4" xfId="16632" xr:uid="{00000000-0005-0000-0000-000015410000}"/>
    <cellStyle name="Style 137 5" xfId="16633" xr:uid="{00000000-0005-0000-0000-000016410000}"/>
    <cellStyle name="Style 138" xfId="16634" xr:uid="{00000000-0005-0000-0000-000017410000}"/>
    <cellStyle name="Style 138 2" xfId="16635" xr:uid="{00000000-0005-0000-0000-000018410000}"/>
    <cellStyle name="Style 138 2 2" xfId="16636" xr:uid="{00000000-0005-0000-0000-000019410000}"/>
    <cellStyle name="Style 138 2 3" xfId="16637" xr:uid="{00000000-0005-0000-0000-00001A410000}"/>
    <cellStyle name="Style 138 3" xfId="16638" xr:uid="{00000000-0005-0000-0000-00001B410000}"/>
    <cellStyle name="Style 138 4" xfId="16639" xr:uid="{00000000-0005-0000-0000-00001C410000}"/>
    <cellStyle name="Style 139" xfId="16640" xr:uid="{00000000-0005-0000-0000-00001D410000}"/>
    <cellStyle name="Style 139 2" xfId="16641" xr:uid="{00000000-0005-0000-0000-00001E410000}"/>
    <cellStyle name="Style 139 2 2" xfId="16642" xr:uid="{00000000-0005-0000-0000-00001F410000}"/>
    <cellStyle name="Style 139 2 3" xfId="16643" xr:uid="{00000000-0005-0000-0000-000020410000}"/>
    <cellStyle name="Style 139 3" xfId="16644" xr:uid="{00000000-0005-0000-0000-000021410000}"/>
    <cellStyle name="Style 139 4" xfId="16645" xr:uid="{00000000-0005-0000-0000-000022410000}"/>
    <cellStyle name="Style 140" xfId="16646" xr:uid="{00000000-0005-0000-0000-000023410000}"/>
    <cellStyle name="Style 140 2" xfId="16647" xr:uid="{00000000-0005-0000-0000-000024410000}"/>
    <cellStyle name="Style 140 2 2" xfId="16648" xr:uid="{00000000-0005-0000-0000-000025410000}"/>
    <cellStyle name="Style 140 2 3" xfId="16649" xr:uid="{00000000-0005-0000-0000-000026410000}"/>
    <cellStyle name="Style 140 3" xfId="16650" xr:uid="{00000000-0005-0000-0000-000027410000}"/>
    <cellStyle name="Style 140 4" xfId="16651" xr:uid="{00000000-0005-0000-0000-000028410000}"/>
    <cellStyle name="Style 141" xfId="16652" xr:uid="{00000000-0005-0000-0000-000029410000}"/>
    <cellStyle name="Style 141 2" xfId="16653" xr:uid="{00000000-0005-0000-0000-00002A410000}"/>
    <cellStyle name="Style 141 2 2" xfId="16654" xr:uid="{00000000-0005-0000-0000-00002B410000}"/>
    <cellStyle name="Style 141 2 3" xfId="16655" xr:uid="{00000000-0005-0000-0000-00002C410000}"/>
    <cellStyle name="Style 141 3" xfId="16656" xr:uid="{00000000-0005-0000-0000-00002D410000}"/>
    <cellStyle name="Style 141 3 2" xfId="16657" xr:uid="{00000000-0005-0000-0000-00002E410000}"/>
    <cellStyle name="Style 141 3 3" xfId="16658" xr:uid="{00000000-0005-0000-0000-00002F410000}"/>
    <cellStyle name="Style 141 4" xfId="16659" xr:uid="{00000000-0005-0000-0000-000030410000}"/>
    <cellStyle name="Style 141 5" xfId="16660" xr:uid="{00000000-0005-0000-0000-000031410000}"/>
    <cellStyle name="Style 142" xfId="16661" xr:uid="{00000000-0005-0000-0000-000032410000}"/>
    <cellStyle name="Style 142 2" xfId="16662" xr:uid="{00000000-0005-0000-0000-000033410000}"/>
    <cellStyle name="Style 142 2 2" xfId="16663" xr:uid="{00000000-0005-0000-0000-000034410000}"/>
    <cellStyle name="Style 142 2 3" xfId="16664" xr:uid="{00000000-0005-0000-0000-000035410000}"/>
    <cellStyle name="Style 142 3" xfId="16665" xr:uid="{00000000-0005-0000-0000-000036410000}"/>
    <cellStyle name="Style 142 4" xfId="16666" xr:uid="{00000000-0005-0000-0000-000037410000}"/>
    <cellStyle name="Style 143" xfId="16667" xr:uid="{00000000-0005-0000-0000-000038410000}"/>
    <cellStyle name="Style 143 2" xfId="16668" xr:uid="{00000000-0005-0000-0000-000039410000}"/>
    <cellStyle name="Style 143 2 2" xfId="16669" xr:uid="{00000000-0005-0000-0000-00003A410000}"/>
    <cellStyle name="Style 143 2 3" xfId="16670" xr:uid="{00000000-0005-0000-0000-00003B410000}"/>
    <cellStyle name="Style 143 3" xfId="16671" xr:uid="{00000000-0005-0000-0000-00003C410000}"/>
    <cellStyle name="Style 143 4" xfId="16672" xr:uid="{00000000-0005-0000-0000-00003D410000}"/>
    <cellStyle name="Style 148" xfId="16673" xr:uid="{00000000-0005-0000-0000-00003E410000}"/>
    <cellStyle name="Style 148 2" xfId="16674" xr:uid="{00000000-0005-0000-0000-00003F410000}"/>
    <cellStyle name="Style 148 2 2" xfId="16675" xr:uid="{00000000-0005-0000-0000-000040410000}"/>
    <cellStyle name="Style 148 2 3" xfId="16676" xr:uid="{00000000-0005-0000-0000-000041410000}"/>
    <cellStyle name="Style 148 3" xfId="16677" xr:uid="{00000000-0005-0000-0000-000042410000}"/>
    <cellStyle name="Style 148 3 2" xfId="16678" xr:uid="{00000000-0005-0000-0000-000043410000}"/>
    <cellStyle name="Style 148 3 3" xfId="16679" xr:uid="{00000000-0005-0000-0000-000044410000}"/>
    <cellStyle name="Style 148 4" xfId="16680" xr:uid="{00000000-0005-0000-0000-000045410000}"/>
    <cellStyle name="Style 148 5" xfId="16681" xr:uid="{00000000-0005-0000-0000-000046410000}"/>
    <cellStyle name="Style 149" xfId="16682" xr:uid="{00000000-0005-0000-0000-000047410000}"/>
    <cellStyle name="Style 149 2" xfId="16683" xr:uid="{00000000-0005-0000-0000-000048410000}"/>
    <cellStyle name="Style 149 2 2" xfId="16684" xr:uid="{00000000-0005-0000-0000-000049410000}"/>
    <cellStyle name="Style 149 2 3" xfId="16685" xr:uid="{00000000-0005-0000-0000-00004A410000}"/>
    <cellStyle name="Style 149 3" xfId="16686" xr:uid="{00000000-0005-0000-0000-00004B410000}"/>
    <cellStyle name="Style 149 4" xfId="16687" xr:uid="{00000000-0005-0000-0000-00004C410000}"/>
    <cellStyle name="Style 150" xfId="16688" xr:uid="{00000000-0005-0000-0000-00004D410000}"/>
    <cellStyle name="Style 150 2" xfId="16689" xr:uid="{00000000-0005-0000-0000-00004E410000}"/>
    <cellStyle name="Style 150 2 2" xfId="16690" xr:uid="{00000000-0005-0000-0000-00004F410000}"/>
    <cellStyle name="Style 150 2 3" xfId="16691" xr:uid="{00000000-0005-0000-0000-000050410000}"/>
    <cellStyle name="Style 150 3" xfId="16692" xr:uid="{00000000-0005-0000-0000-000051410000}"/>
    <cellStyle name="Style 150 4" xfId="16693" xr:uid="{00000000-0005-0000-0000-000052410000}"/>
    <cellStyle name="Style 151" xfId="16694" xr:uid="{00000000-0005-0000-0000-000053410000}"/>
    <cellStyle name="Style 151 2" xfId="16695" xr:uid="{00000000-0005-0000-0000-000054410000}"/>
    <cellStyle name="Style 151 2 2" xfId="16696" xr:uid="{00000000-0005-0000-0000-000055410000}"/>
    <cellStyle name="Style 151 2 3" xfId="16697" xr:uid="{00000000-0005-0000-0000-000056410000}"/>
    <cellStyle name="Style 151 3" xfId="16698" xr:uid="{00000000-0005-0000-0000-000057410000}"/>
    <cellStyle name="Style 151 4" xfId="16699" xr:uid="{00000000-0005-0000-0000-000058410000}"/>
    <cellStyle name="Style 152" xfId="16700" xr:uid="{00000000-0005-0000-0000-000059410000}"/>
    <cellStyle name="Style 152 2" xfId="16701" xr:uid="{00000000-0005-0000-0000-00005A410000}"/>
    <cellStyle name="Style 152 2 2" xfId="16702" xr:uid="{00000000-0005-0000-0000-00005B410000}"/>
    <cellStyle name="Style 152 2 3" xfId="16703" xr:uid="{00000000-0005-0000-0000-00005C410000}"/>
    <cellStyle name="Style 152 3" xfId="16704" xr:uid="{00000000-0005-0000-0000-00005D410000}"/>
    <cellStyle name="Style 152 3 2" xfId="16705" xr:uid="{00000000-0005-0000-0000-00005E410000}"/>
    <cellStyle name="Style 152 3 3" xfId="16706" xr:uid="{00000000-0005-0000-0000-00005F410000}"/>
    <cellStyle name="Style 152 4" xfId="16707" xr:uid="{00000000-0005-0000-0000-000060410000}"/>
    <cellStyle name="Style 152 5" xfId="16708" xr:uid="{00000000-0005-0000-0000-000061410000}"/>
    <cellStyle name="Style 153" xfId="16709" xr:uid="{00000000-0005-0000-0000-000062410000}"/>
    <cellStyle name="Style 153 2" xfId="16710" xr:uid="{00000000-0005-0000-0000-000063410000}"/>
    <cellStyle name="Style 153 2 2" xfId="16711" xr:uid="{00000000-0005-0000-0000-000064410000}"/>
    <cellStyle name="Style 153 2 3" xfId="16712" xr:uid="{00000000-0005-0000-0000-000065410000}"/>
    <cellStyle name="Style 153 3" xfId="16713" xr:uid="{00000000-0005-0000-0000-000066410000}"/>
    <cellStyle name="Style 153 4" xfId="16714" xr:uid="{00000000-0005-0000-0000-000067410000}"/>
    <cellStyle name="Style 154" xfId="16715" xr:uid="{00000000-0005-0000-0000-000068410000}"/>
    <cellStyle name="Style 154 2" xfId="16716" xr:uid="{00000000-0005-0000-0000-000069410000}"/>
    <cellStyle name="Style 154 2 2" xfId="16717" xr:uid="{00000000-0005-0000-0000-00006A410000}"/>
    <cellStyle name="Style 154 2 3" xfId="16718" xr:uid="{00000000-0005-0000-0000-00006B410000}"/>
    <cellStyle name="Style 154 3" xfId="16719" xr:uid="{00000000-0005-0000-0000-00006C410000}"/>
    <cellStyle name="Style 154 4" xfId="16720" xr:uid="{00000000-0005-0000-0000-00006D410000}"/>
    <cellStyle name="Style 159" xfId="16721" xr:uid="{00000000-0005-0000-0000-00006E410000}"/>
    <cellStyle name="Style 159 2" xfId="16722" xr:uid="{00000000-0005-0000-0000-00006F410000}"/>
    <cellStyle name="Style 159 2 2" xfId="16723" xr:uid="{00000000-0005-0000-0000-000070410000}"/>
    <cellStyle name="Style 159 2 3" xfId="16724" xr:uid="{00000000-0005-0000-0000-000071410000}"/>
    <cellStyle name="Style 159 3" xfId="16725" xr:uid="{00000000-0005-0000-0000-000072410000}"/>
    <cellStyle name="Style 159 3 2" xfId="16726" xr:uid="{00000000-0005-0000-0000-000073410000}"/>
    <cellStyle name="Style 159 3 3" xfId="16727" xr:uid="{00000000-0005-0000-0000-000074410000}"/>
    <cellStyle name="Style 159 4" xfId="16728" xr:uid="{00000000-0005-0000-0000-000075410000}"/>
    <cellStyle name="Style 159 5" xfId="16729" xr:uid="{00000000-0005-0000-0000-000076410000}"/>
    <cellStyle name="Style 160" xfId="16730" xr:uid="{00000000-0005-0000-0000-000077410000}"/>
    <cellStyle name="Style 160 2" xfId="16731" xr:uid="{00000000-0005-0000-0000-000078410000}"/>
    <cellStyle name="Style 160 2 2" xfId="16732" xr:uid="{00000000-0005-0000-0000-000079410000}"/>
    <cellStyle name="Style 160 2 3" xfId="16733" xr:uid="{00000000-0005-0000-0000-00007A410000}"/>
    <cellStyle name="Style 160 3" xfId="16734" xr:uid="{00000000-0005-0000-0000-00007B410000}"/>
    <cellStyle name="Style 160 4" xfId="16735" xr:uid="{00000000-0005-0000-0000-00007C410000}"/>
    <cellStyle name="Style 161" xfId="16736" xr:uid="{00000000-0005-0000-0000-00007D410000}"/>
    <cellStyle name="Style 161 2" xfId="16737" xr:uid="{00000000-0005-0000-0000-00007E410000}"/>
    <cellStyle name="Style 161 2 2" xfId="16738" xr:uid="{00000000-0005-0000-0000-00007F410000}"/>
    <cellStyle name="Style 161 2 3" xfId="16739" xr:uid="{00000000-0005-0000-0000-000080410000}"/>
    <cellStyle name="Style 161 3" xfId="16740" xr:uid="{00000000-0005-0000-0000-000081410000}"/>
    <cellStyle name="Style 161 4" xfId="16741" xr:uid="{00000000-0005-0000-0000-000082410000}"/>
    <cellStyle name="Style 162" xfId="16742" xr:uid="{00000000-0005-0000-0000-000083410000}"/>
    <cellStyle name="Style 162 2" xfId="16743" xr:uid="{00000000-0005-0000-0000-000084410000}"/>
    <cellStyle name="Style 162 2 2" xfId="16744" xr:uid="{00000000-0005-0000-0000-000085410000}"/>
    <cellStyle name="Style 162 2 3" xfId="16745" xr:uid="{00000000-0005-0000-0000-000086410000}"/>
    <cellStyle name="Style 162 3" xfId="16746" xr:uid="{00000000-0005-0000-0000-000087410000}"/>
    <cellStyle name="Style 162 4" xfId="16747" xr:uid="{00000000-0005-0000-0000-000088410000}"/>
    <cellStyle name="Style 163" xfId="16748" xr:uid="{00000000-0005-0000-0000-000089410000}"/>
    <cellStyle name="Style 163 2" xfId="16749" xr:uid="{00000000-0005-0000-0000-00008A410000}"/>
    <cellStyle name="Style 163 2 2" xfId="16750" xr:uid="{00000000-0005-0000-0000-00008B410000}"/>
    <cellStyle name="Style 163 2 3" xfId="16751" xr:uid="{00000000-0005-0000-0000-00008C410000}"/>
    <cellStyle name="Style 163 3" xfId="16752" xr:uid="{00000000-0005-0000-0000-00008D410000}"/>
    <cellStyle name="Style 163 3 2" xfId="16753" xr:uid="{00000000-0005-0000-0000-00008E410000}"/>
    <cellStyle name="Style 163 3 3" xfId="16754" xr:uid="{00000000-0005-0000-0000-00008F410000}"/>
    <cellStyle name="Style 163 4" xfId="16755" xr:uid="{00000000-0005-0000-0000-000090410000}"/>
    <cellStyle name="Style 163 5" xfId="16756" xr:uid="{00000000-0005-0000-0000-000091410000}"/>
    <cellStyle name="Style 164" xfId="16757" xr:uid="{00000000-0005-0000-0000-000092410000}"/>
    <cellStyle name="Style 164 2" xfId="16758" xr:uid="{00000000-0005-0000-0000-000093410000}"/>
    <cellStyle name="Style 164 2 2" xfId="16759" xr:uid="{00000000-0005-0000-0000-000094410000}"/>
    <cellStyle name="Style 164 2 3" xfId="16760" xr:uid="{00000000-0005-0000-0000-000095410000}"/>
    <cellStyle name="Style 164 3" xfId="16761" xr:uid="{00000000-0005-0000-0000-000096410000}"/>
    <cellStyle name="Style 164 4" xfId="16762" xr:uid="{00000000-0005-0000-0000-000097410000}"/>
    <cellStyle name="Style 165" xfId="16763" xr:uid="{00000000-0005-0000-0000-000098410000}"/>
    <cellStyle name="Style 165 2" xfId="16764" xr:uid="{00000000-0005-0000-0000-000099410000}"/>
    <cellStyle name="Style 165 2 2" xfId="16765" xr:uid="{00000000-0005-0000-0000-00009A410000}"/>
    <cellStyle name="Style 165 2 3" xfId="16766" xr:uid="{00000000-0005-0000-0000-00009B410000}"/>
    <cellStyle name="Style 165 3" xfId="16767" xr:uid="{00000000-0005-0000-0000-00009C410000}"/>
    <cellStyle name="Style 165 4" xfId="16768" xr:uid="{00000000-0005-0000-0000-00009D410000}"/>
    <cellStyle name="Style 21" xfId="16769" xr:uid="{00000000-0005-0000-0000-00009E410000}"/>
    <cellStyle name="Style 21 2" xfId="16770" xr:uid="{00000000-0005-0000-0000-00009F410000}"/>
    <cellStyle name="Style 21 2 2" xfId="16771" xr:uid="{00000000-0005-0000-0000-0000A0410000}"/>
    <cellStyle name="Style 21 2 2 2" xfId="16772" xr:uid="{00000000-0005-0000-0000-0000A1410000}"/>
    <cellStyle name="Style 21 2 2 3" xfId="16773" xr:uid="{00000000-0005-0000-0000-0000A2410000}"/>
    <cellStyle name="Style 21 2 2 4" xfId="16774" xr:uid="{00000000-0005-0000-0000-0000A3410000}"/>
    <cellStyle name="Style 21 2 3" xfId="16775" xr:uid="{00000000-0005-0000-0000-0000A4410000}"/>
    <cellStyle name="Style 21 2 3 2" xfId="16776" xr:uid="{00000000-0005-0000-0000-0000A5410000}"/>
    <cellStyle name="Style 21 2 3 3" xfId="16777" xr:uid="{00000000-0005-0000-0000-0000A6410000}"/>
    <cellStyle name="Style 21 2 3 4" xfId="16778" xr:uid="{00000000-0005-0000-0000-0000A7410000}"/>
    <cellStyle name="Style 21 2 4" xfId="16779" xr:uid="{00000000-0005-0000-0000-0000A8410000}"/>
    <cellStyle name="Style 21 2 5" xfId="16780" xr:uid="{00000000-0005-0000-0000-0000A9410000}"/>
    <cellStyle name="Style 21 2 6" xfId="16781" xr:uid="{00000000-0005-0000-0000-0000AA410000}"/>
    <cellStyle name="Style 21 3" xfId="16782" xr:uid="{00000000-0005-0000-0000-0000AB410000}"/>
    <cellStyle name="Style 21 3 2" xfId="16783" xr:uid="{00000000-0005-0000-0000-0000AC410000}"/>
    <cellStyle name="Style 21 3 2 2" xfId="16784" xr:uid="{00000000-0005-0000-0000-0000AD410000}"/>
    <cellStyle name="Style 21 3 2 3" xfId="16785" xr:uid="{00000000-0005-0000-0000-0000AE410000}"/>
    <cellStyle name="Style 21 3 3" xfId="16786" xr:uid="{00000000-0005-0000-0000-0000AF410000}"/>
    <cellStyle name="Style 21 3 4" xfId="16787" xr:uid="{00000000-0005-0000-0000-0000B0410000}"/>
    <cellStyle name="Style 21 3 5" xfId="16788" xr:uid="{00000000-0005-0000-0000-0000B1410000}"/>
    <cellStyle name="Style 21 4" xfId="16789" xr:uid="{00000000-0005-0000-0000-0000B2410000}"/>
    <cellStyle name="Style 21 4 2" xfId="16790" xr:uid="{00000000-0005-0000-0000-0000B3410000}"/>
    <cellStyle name="Style 21 4 3" xfId="16791" xr:uid="{00000000-0005-0000-0000-0000B4410000}"/>
    <cellStyle name="Style 21 4 4" xfId="16792" xr:uid="{00000000-0005-0000-0000-0000B5410000}"/>
    <cellStyle name="Style 21 5" xfId="16793" xr:uid="{00000000-0005-0000-0000-0000B6410000}"/>
    <cellStyle name="Style 21 5 2" xfId="16794" xr:uid="{00000000-0005-0000-0000-0000B7410000}"/>
    <cellStyle name="Style 21 5 3" xfId="16795" xr:uid="{00000000-0005-0000-0000-0000B8410000}"/>
    <cellStyle name="Style 21 6" xfId="16796" xr:uid="{00000000-0005-0000-0000-0000B9410000}"/>
    <cellStyle name="Style 21 7" xfId="16797" xr:uid="{00000000-0005-0000-0000-0000BA410000}"/>
    <cellStyle name="Style 21 8" xfId="16798" xr:uid="{00000000-0005-0000-0000-0000BB410000}"/>
    <cellStyle name="Style 22" xfId="16799" xr:uid="{00000000-0005-0000-0000-0000BC410000}"/>
    <cellStyle name="Style 22 2" xfId="16800" xr:uid="{00000000-0005-0000-0000-0000BD410000}"/>
    <cellStyle name="Style 22 2 2" xfId="16801" xr:uid="{00000000-0005-0000-0000-0000BE410000}"/>
    <cellStyle name="Style 22 2 3" xfId="16802" xr:uid="{00000000-0005-0000-0000-0000BF410000}"/>
    <cellStyle name="Style 22 3" xfId="16803" xr:uid="{00000000-0005-0000-0000-0000C0410000}"/>
    <cellStyle name="Style 22 3 2" xfId="16804" xr:uid="{00000000-0005-0000-0000-0000C1410000}"/>
    <cellStyle name="Style 22 3 3" xfId="16805" xr:uid="{00000000-0005-0000-0000-0000C2410000}"/>
    <cellStyle name="Style 22 4" xfId="16806" xr:uid="{00000000-0005-0000-0000-0000C3410000}"/>
    <cellStyle name="Style 22 5" xfId="16807" xr:uid="{00000000-0005-0000-0000-0000C4410000}"/>
    <cellStyle name="Style 22 6" xfId="16808" xr:uid="{00000000-0005-0000-0000-0000C5410000}"/>
    <cellStyle name="Style 23" xfId="16809" xr:uid="{00000000-0005-0000-0000-0000C6410000}"/>
    <cellStyle name="Style 23 2" xfId="16810" xr:uid="{00000000-0005-0000-0000-0000C7410000}"/>
    <cellStyle name="Style 23 2 2" xfId="16811" xr:uid="{00000000-0005-0000-0000-0000C8410000}"/>
    <cellStyle name="Style 23 2 3" xfId="16812" xr:uid="{00000000-0005-0000-0000-0000C9410000}"/>
    <cellStyle name="Style 23 3" xfId="16813" xr:uid="{00000000-0005-0000-0000-0000CA410000}"/>
    <cellStyle name="Style 23 3 2" xfId="16814" xr:uid="{00000000-0005-0000-0000-0000CB410000}"/>
    <cellStyle name="Style 23 3 3" xfId="16815" xr:uid="{00000000-0005-0000-0000-0000CC410000}"/>
    <cellStyle name="Style 23 4" xfId="16816" xr:uid="{00000000-0005-0000-0000-0000CD410000}"/>
    <cellStyle name="Style 23 5" xfId="16817" xr:uid="{00000000-0005-0000-0000-0000CE410000}"/>
    <cellStyle name="Style 23 6" xfId="16818" xr:uid="{00000000-0005-0000-0000-0000CF410000}"/>
    <cellStyle name="Style 24" xfId="16819" xr:uid="{00000000-0005-0000-0000-0000D0410000}"/>
    <cellStyle name="Style 24 2" xfId="16820" xr:uid="{00000000-0005-0000-0000-0000D1410000}"/>
    <cellStyle name="Style 24 2 2" xfId="16821" xr:uid="{00000000-0005-0000-0000-0000D2410000}"/>
    <cellStyle name="Style 24 2 3" xfId="16822" xr:uid="{00000000-0005-0000-0000-0000D3410000}"/>
    <cellStyle name="Style 24 3" xfId="16823" xr:uid="{00000000-0005-0000-0000-0000D4410000}"/>
    <cellStyle name="Style 24 3 2" xfId="16824" xr:uid="{00000000-0005-0000-0000-0000D5410000}"/>
    <cellStyle name="Style 24 3 3" xfId="16825" xr:uid="{00000000-0005-0000-0000-0000D6410000}"/>
    <cellStyle name="Style 24 4" xfId="16826" xr:uid="{00000000-0005-0000-0000-0000D7410000}"/>
    <cellStyle name="Style 24 5" xfId="16827" xr:uid="{00000000-0005-0000-0000-0000D8410000}"/>
    <cellStyle name="Style 24 6" xfId="16828" xr:uid="{00000000-0005-0000-0000-0000D9410000}"/>
    <cellStyle name="Style 25" xfId="16829" xr:uid="{00000000-0005-0000-0000-0000DA410000}"/>
    <cellStyle name="Style 25 2" xfId="16830" xr:uid="{00000000-0005-0000-0000-0000DB410000}"/>
    <cellStyle name="Style 25 2 2" xfId="16831" xr:uid="{00000000-0005-0000-0000-0000DC410000}"/>
    <cellStyle name="Style 25 2 2 2" xfId="16832" xr:uid="{00000000-0005-0000-0000-0000DD410000}"/>
    <cellStyle name="Style 25 2 2 3" xfId="16833" xr:uid="{00000000-0005-0000-0000-0000DE410000}"/>
    <cellStyle name="Style 25 2 2 4" xfId="16834" xr:uid="{00000000-0005-0000-0000-0000DF410000}"/>
    <cellStyle name="Style 25 2 3" xfId="16835" xr:uid="{00000000-0005-0000-0000-0000E0410000}"/>
    <cellStyle name="Style 25 2 4" xfId="16836" xr:uid="{00000000-0005-0000-0000-0000E1410000}"/>
    <cellStyle name="Style 25 2 5" xfId="16837" xr:uid="{00000000-0005-0000-0000-0000E2410000}"/>
    <cellStyle name="Style 25 2 6" xfId="16838" xr:uid="{00000000-0005-0000-0000-0000E3410000}"/>
    <cellStyle name="Style 25 3" xfId="16839" xr:uid="{00000000-0005-0000-0000-0000E4410000}"/>
    <cellStyle name="Style 25 3 2" xfId="16840" xr:uid="{00000000-0005-0000-0000-0000E5410000}"/>
    <cellStyle name="Style 25 3 2 2" xfId="16841" xr:uid="{00000000-0005-0000-0000-0000E6410000}"/>
    <cellStyle name="Style 25 3 2 3" xfId="16842" xr:uid="{00000000-0005-0000-0000-0000E7410000}"/>
    <cellStyle name="Style 25 3 3" xfId="16843" xr:uid="{00000000-0005-0000-0000-0000E8410000}"/>
    <cellStyle name="Style 25 3 4" xfId="16844" xr:uid="{00000000-0005-0000-0000-0000E9410000}"/>
    <cellStyle name="Style 25 3 5" xfId="16845" xr:uid="{00000000-0005-0000-0000-0000EA410000}"/>
    <cellStyle name="Style 25 4" xfId="16846" xr:uid="{00000000-0005-0000-0000-0000EB410000}"/>
    <cellStyle name="Style 25 4 2" xfId="16847" xr:uid="{00000000-0005-0000-0000-0000EC410000}"/>
    <cellStyle name="Style 25 4 3" xfId="16848" xr:uid="{00000000-0005-0000-0000-0000ED410000}"/>
    <cellStyle name="Style 25 4 4" xfId="16849" xr:uid="{00000000-0005-0000-0000-0000EE410000}"/>
    <cellStyle name="Style 25 5" xfId="16850" xr:uid="{00000000-0005-0000-0000-0000EF410000}"/>
    <cellStyle name="Style 25 6" xfId="16851" xr:uid="{00000000-0005-0000-0000-0000F0410000}"/>
    <cellStyle name="Style 25 7" xfId="16852" xr:uid="{00000000-0005-0000-0000-0000F1410000}"/>
    <cellStyle name="Style 26" xfId="16853" xr:uid="{00000000-0005-0000-0000-0000F2410000}"/>
    <cellStyle name="Style 26 2" xfId="16854" xr:uid="{00000000-0005-0000-0000-0000F3410000}"/>
    <cellStyle name="Style 26 2 2" xfId="16855" xr:uid="{00000000-0005-0000-0000-0000F4410000}"/>
    <cellStyle name="Style 26 2 3" xfId="16856" xr:uid="{00000000-0005-0000-0000-0000F5410000}"/>
    <cellStyle name="Style 26 3" xfId="16857" xr:uid="{00000000-0005-0000-0000-0000F6410000}"/>
    <cellStyle name="Style 26 3 2" xfId="16858" xr:uid="{00000000-0005-0000-0000-0000F7410000}"/>
    <cellStyle name="Style 26 3 3" xfId="16859" xr:uid="{00000000-0005-0000-0000-0000F8410000}"/>
    <cellStyle name="Style 26 4" xfId="16860" xr:uid="{00000000-0005-0000-0000-0000F9410000}"/>
    <cellStyle name="Style 26 5" xfId="16861" xr:uid="{00000000-0005-0000-0000-0000FA410000}"/>
    <cellStyle name="Style 26 6" xfId="16862" xr:uid="{00000000-0005-0000-0000-0000FB410000}"/>
    <cellStyle name="Style 27" xfId="16863" xr:uid="{00000000-0005-0000-0000-0000FC410000}"/>
    <cellStyle name="Style 27 2" xfId="16864" xr:uid="{00000000-0005-0000-0000-0000FD410000}"/>
    <cellStyle name="Style 27 2 2" xfId="16865" xr:uid="{00000000-0005-0000-0000-0000FE410000}"/>
    <cellStyle name="Style 27 2 3" xfId="16866" xr:uid="{00000000-0005-0000-0000-0000FF410000}"/>
    <cellStyle name="Style 27 3" xfId="16867" xr:uid="{00000000-0005-0000-0000-000000420000}"/>
    <cellStyle name="Style 27 4" xfId="16868" xr:uid="{00000000-0005-0000-0000-000001420000}"/>
    <cellStyle name="Style 35" xfId="16869" xr:uid="{00000000-0005-0000-0000-000002420000}"/>
    <cellStyle name="Style 35 2" xfId="16870" xr:uid="{00000000-0005-0000-0000-000003420000}"/>
    <cellStyle name="Style 35 2 2" xfId="16871" xr:uid="{00000000-0005-0000-0000-000004420000}"/>
    <cellStyle name="Style 35 2 3" xfId="16872" xr:uid="{00000000-0005-0000-0000-000005420000}"/>
    <cellStyle name="Style 35 3" xfId="16873" xr:uid="{00000000-0005-0000-0000-000006420000}"/>
    <cellStyle name="Style 35 3 2" xfId="16874" xr:uid="{00000000-0005-0000-0000-000007420000}"/>
    <cellStyle name="Style 35 3 3" xfId="16875" xr:uid="{00000000-0005-0000-0000-000008420000}"/>
    <cellStyle name="Style 35 4" xfId="16876" xr:uid="{00000000-0005-0000-0000-000009420000}"/>
    <cellStyle name="Style 35 5" xfId="16877" xr:uid="{00000000-0005-0000-0000-00000A420000}"/>
    <cellStyle name="Style 36" xfId="16878" xr:uid="{00000000-0005-0000-0000-00000B420000}"/>
    <cellStyle name="Style 36 2" xfId="16879" xr:uid="{00000000-0005-0000-0000-00000C420000}"/>
    <cellStyle name="Style 36 2 2" xfId="16880" xr:uid="{00000000-0005-0000-0000-00000D420000}"/>
    <cellStyle name="Style 36 2 3" xfId="16881" xr:uid="{00000000-0005-0000-0000-00000E420000}"/>
    <cellStyle name="Style 36 3" xfId="16882" xr:uid="{00000000-0005-0000-0000-00000F420000}"/>
    <cellStyle name="Style 36 4" xfId="16883" xr:uid="{00000000-0005-0000-0000-000010420000}"/>
    <cellStyle name="Style 37" xfId="16884" xr:uid="{00000000-0005-0000-0000-000011420000}"/>
    <cellStyle name="Style 37 2" xfId="16885" xr:uid="{00000000-0005-0000-0000-000012420000}"/>
    <cellStyle name="Style 37 2 2" xfId="16886" xr:uid="{00000000-0005-0000-0000-000013420000}"/>
    <cellStyle name="Style 37 2 3" xfId="16887" xr:uid="{00000000-0005-0000-0000-000014420000}"/>
    <cellStyle name="Style 37 3" xfId="16888" xr:uid="{00000000-0005-0000-0000-000015420000}"/>
    <cellStyle name="Style 37 4" xfId="16889" xr:uid="{00000000-0005-0000-0000-000016420000}"/>
    <cellStyle name="Style 38" xfId="16890" xr:uid="{00000000-0005-0000-0000-000017420000}"/>
    <cellStyle name="Style 38 2" xfId="16891" xr:uid="{00000000-0005-0000-0000-000018420000}"/>
    <cellStyle name="Style 38 2 2" xfId="16892" xr:uid="{00000000-0005-0000-0000-000019420000}"/>
    <cellStyle name="Style 38 2 3" xfId="16893" xr:uid="{00000000-0005-0000-0000-00001A420000}"/>
    <cellStyle name="Style 38 3" xfId="16894" xr:uid="{00000000-0005-0000-0000-00001B420000}"/>
    <cellStyle name="Style 38 4" xfId="16895" xr:uid="{00000000-0005-0000-0000-00001C420000}"/>
    <cellStyle name="Style 39" xfId="16896" xr:uid="{00000000-0005-0000-0000-00001D420000}"/>
    <cellStyle name="Style 39 2" xfId="16897" xr:uid="{00000000-0005-0000-0000-00001E420000}"/>
    <cellStyle name="Style 39 2 2" xfId="16898" xr:uid="{00000000-0005-0000-0000-00001F420000}"/>
    <cellStyle name="Style 39 2 3" xfId="16899" xr:uid="{00000000-0005-0000-0000-000020420000}"/>
    <cellStyle name="Style 39 3" xfId="16900" xr:uid="{00000000-0005-0000-0000-000021420000}"/>
    <cellStyle name="Style 39 3 2" xfId="16901" xr:uid="{00000000-0005-0000-0000-000022420000}"/>
    <cellStyle name="Style 39 3 3" xfId="16902" xr:uid="{00000000-0005-0000-0000-000023420000}"/>
    <cellStyle name="Style 39 4" xfId="16903" xr:uid="{00000000-0005-0000-0000-000024420000}"/>
    <cellStyle name="Style 39 5" xfId="16904" xr:uid="{00000000-0005-0000-0000-000025420000}"/>
    <cellStyle name="Style 40" xfId="16905" xr:uid="{00000000-0005-0000-0000-000026420000}"/>
    <cellStyle name="Style 40 2" xfId="16906" xr:uid="{00000000-0005-0000-0000-000027420000}"/>
    <cellStyle name="Style 40 2 2" xfId="16907" xr:uid="{00000000-0005-0000-0000-000028420000}"/>
    <cellStyle name="Style 40 2 3" xfId="16908" xr:uid="{00000000-0005-0000-0000-000029420000}"/>
    <cellStyle name="Style 40 3" xfId="16909" xr:uid="{00000000-0005-0000-0000-00002A420000}"/>
    <cellStyle name="Style 40 4" xfId="16910" xr:uid="{00000000-0005-0000-0000-00002B420000}"/>
    <cellStyle name="Style 41" xfId="16911" xr:uid="{00000000-0005-0000-0000-00002C420000}"/>
    <cellStyle name="Style 41 2" xfId="16912" xr:uid="{00000000-0005-0000-0000-00002D420000}"/>
    <cellStyle name="Style 41 2 2" xfId="16913" xr:uid="{00000000-0005-0000-0000-00002E420000}"/>
    <cellStyle name="Style 41 2 3" xfId="16914" xr:uid="{00000000-0005-0000-0000-00002F420000}"/>
    <cellStyle name="Style 41 3" xfId="16915" xr:uid="{00000000-0005-0000-0000-000030420000}"/>
    <cellStyle name="Style 41 4" xfId="16916" xr:uid="{00000000-0005-0000-0000-000031420000}"/>
    <cellStyle name="Style 46" xfId="16917" xr:uid="{00000000-0005-0000-0000-000032420000}"/>
    <cellStyle name="Style 46 2" xfId="16918" xr:uid="{00000000-0005-0000-0000-000033420000}"/>
    <cellStyle name="Style 46 2 2" xfId="16919" xr:uid="{00000000-0005-0000-0000-000034420000}"/>
    <cellStyle name="Style 46 2 3" xfId="16920" xr:uid="{00000000-0005-0000-0000-000035420000}"/>
    <cellStyle name="Style 46 3" xfId="16921" xr:uid="{00000000-0005-0000-0000-000036420000}"/>
    <cellStyle name="Style 46 3 2" xfId="16922" xr:uid="{00000000-0005-0000-0000-000037420000}"/>
    <cellStyle name="Style 46 3 3" xfId="16923" xr:uid="{00000000-0005-0000-0000-000038420000}"/>
    <cellStyle name="Style 46 4" xfId="16924" xr:uid="{00000000-0005-0000-0000-000039420000}"/>
    <cellStyle name="Style 46 5" xfId="16925" xr:uid="{00000000-0005-0000-0000-00003A420000}"/>
    <cellStyle name="Style 47" xfId="16926" xr:uid="{00000000-0005-0000-0000-00003B420000}"/>
    <cellStyle name="Style 47 2" xfId="16927" xr:uid="{00000000-0005-0000-0000-00003C420000}"/>
    <cellStyle name="Style 47 2 2" xfId="16928" xr:uid="{00000000-0005-0000-0000-00003D420000}"/>
    <cellStyle name="Style 47 2 3" xfId="16929" xr:uid="{00000000-0005-0000-0000-00003E420000}"/>
    <cellStyle name="Style 47 3" xfId="16930" xr:uid="{00000000-0005-0000-0000-00003F420000}"/>
    <cellStyle name="Style 47 4" xfId="16931" xr:uid="{00000000-0005-0000-0000-000040420000}"/>
    <cellStyle name="Style 48" xfId="16932" xr:uid="{00000000-0005-0000-0000-000041420000}"/>
    <cellStyle name="Style 48 2" xfId="16933" xr:uid="{00000000-0005-0000-0000-000042420000}"/>
    <cellStyle name="Style 48 2 2" xfId="16934" xr:uid="{00000000-0005-0000-0000-000043420000}"/>
    <cellStyle name="Style 48 2 3" xfId="16935" xr:uid="{00000000-0005-0000-0000-000044420000}"/>
    <cellStyle name="Style 48 3" xfId="16936" xr:uid="{00000000-0005-0000-0000-000045420000}"/>
    <cellStyle name="Style 48 4" xfId="16937" xr:uid="{00000000-0005-0000-0000-000046420000}"/>
    <cellStyle name="Style 49" xfId="16938" xr:uid="{00000000-0005-0000-0000-000047420000}"/>
    <cellStyle name="Style 49 2" xfId="16939" xr:uid="{00000000-0005-0000-0000-000048420000}"/>
    <cellStyle name="Style 49 2 2" xfId="16940" xr:uid="{00000000-0005-0000-0000-000049420000}"/>
    <cellStyle name="Style 49 2 3" xfId="16941" xr:uid="{00000000-0005-0000-0000-00004A420000}"/>
    <cellStyle name="Style 49 3" xfId="16942" xr:uid="{00000000-0005-0000-0000-00004B420000}"/>
    <cellStyle name="Style 49 4" xfId="16943" xr:uid="{00000000-0005-0000-0000-00004C420000}"/>
    <cellStyle name="Style 50" xfId="16944" xr:uid="{00000000-0005-0000-0000-00004D420000}"/>
    <cellStyle name="Style 50 2" xfId="16945" xr:uid="{00000000-0005-0000-0000-00004E420000}"/>
    <cellStyle name="Style 50 2 2" xfId="16946" xr:uid="{00000000-0005-0000-0000-00004F420000}"/>
    <cellStyle name="Style 50 2 3" xfId="16947" xr:uid="{00000000-0005-0000-0000-000050420000}"/>
    <cellStyle name="Style 50 3" xfId="16948" xr:uid="{00000000-0005-0000-0000-000051420000}"/>
    <cellStyle name="Style 50 3 2" xfId="16949" xr:uid="{00000000-0005-0000-0000-000052420000}"/>
    <cellStyle name="Style 50 3 3" xfId="16950" xr:uid="{00000000-0005-0000-0000-000053420000}"/>
    <cellStyle name="Style 50 4" xfId="16951" xr:uid="{00000000-0005-0000-0000-000054420000}"/>
    <cellStyle name="Style 50 5" xfId="16952" xr:uid="{00000000-0005-0000-0000-000055420000}"/>
    <cellStyle name="Style 51" xfId="16953" xr:uid="{00000000-0005-0000-0000-000056420000}"/>
    <cellStyle name="Style 51 2" xfId="16954" xr:uid="{00000000-0005-0000-0000-000057420000}"/>
    <cellStyle name="Style 51 2 2" xfId="16955" xr:uid="{00000000-0005-0000-0000-000058420000}"/>
    <cellStyle name="Style 51 2 3" xfId="16956" xr:uid="{00000000-0005-0000-0000-000059420000}"/>
    <cellStyle name="Style 51 3" xfId="16957" xr:uid="{00000000-0005-0000-0000-00005A420000}"/>
    <cellStyle name="Style 51 4" xfId="16958" xr:uid="{00000000-0005-0000-0000-00005B420000}"/>
    <cellStyle name="Style 52" xfId="16959" xr:uid="{00000000-0005-0000-0000-00005C420000}"/>
    <cellStyle name="Style 52 2" xfId="16960" xr:uid="{00000000-0005-0000-0000-00005D420000}"/>
    <cellStyle name="Style 52 2 2" xfId="16961" xr:uid="{00000000-0005-0000-0000-00005E420000}"/>
    <cellStyle name="Style 52 2 3" xfId="16962" xr:uid="{00000000-0005-0000-0000-00005F420000}"/>
    <cellStyle name="Style 52 3" xfId="16963" xr:uid="{00000000-0005-0000-0000-000060420000}"/>
    <cellStyle name="Style 52 4" xfId="16964" xr:uid="{00000000-0005-0000-0000-000061420000}"/>
    <cellStyle name="Style 58" xfId="16965" xr:uid="{00000000-0005-0000-0000-000062420000}"/>
    <cellStyle name="Style 58 2" xfId="16966" xr:uid="{00000000-0005-0000-0000-000063420000}"/>
    <cellStyle name="Style 58 2 2" xfId="16967" xr:uid="{00000000-0005-0000-0000-000064420000}"/>
    <cellStyle name="Style 58 2 3" xfId="16968" xr:uid="{00000000-0005-0000-0000-000065420000}"/>
    <cellStyle name="Style 58 3" xfId="16969" xr:uid="{00000000-0005-0000-0000-000066420000}"/>
    <cellStyle name="Style 58 3 2" xfId="16970" xr:uid="{00000000-0005-0000-0000-000067420000}"/>
    <cellStyle name="Style 58 3 3" xfId="16971" xr:uid="{00000000-0005-0000-0000-000068420000}"/>
    <cellStyle name="Style 58 4" xfId="16972" xr:uid="{00000000-0005-0000-0000-000069420000}"/>
    <cellStyle name="Style 58 5" xfId="16973" xr:uid="{00000000-0005-0000-0000-00006A420000}"/>
    <cellStyle name="Style 59" xfId="16974" xr:uid="{00000000-0005-0000-0000-00006B420000}"/>
    <cellStyle name="Style 59 2" xfId="16975" xr:uid="{00000000-0005-0000-0000-00006C420000}"/>
    <cellStyle name="Style 59 2 2" xfId="16976" xr:uid="{00000000-0005-0000-0000-00006D420000}"/>
    <cellStyle name="Style 59 2 3" xfId="16977" xr:uid="{00000000-0005-0000-0000-00006E420000}"/>
    <cellStyle name="Style 59 3" xfId="16978" xr:uid="{00000000-0005-0000-0000-00006F420000}"/>
    <cellStyle name="Style 59 4" xfId="16979" xr:uid="{00000000-0005-0000-0000-000070420000}"/>
    <cellStyle name="Style 60" xfId="16980" xr:uid="{00000000-0005-0000-0000-000071420000}"/>
    <cellStyle name="Style 60 2" xfId="16981" xr:uid="{00000000-0005-0000-0000-000072420000}"/>
    <cellStyle name="Style 60 2 2" xfId="16982" xr:uid="{00000000-0005-0000-0000-000073420000}"/>
    <cellStyle name="Style 60 2 3" xfId="16983" xr:uid="{00000000-0005-0000-0000-000074420000}"/>
    <cellStyle name="Style 60 3" xfId="16984" xr:uid="{00000000-0005-0000-0000-000075420000}"/>
    <cellStyle name="Style 60 4" xfId="16985" xr:uid="{00000000-0005-0000-0000-000076420000}"/>
    <cellStyle name="Style 61" xfId="16986" xr:uid="{00000000-0005-0000-0000-000077420000}"/>
    <cellStyle name="Style 61 2" xfId="16987" xr:uid="{00000000-0005-0000-0000-000078420000}"/>
    <cellStyle name="Style 61 2 2" xfId="16988" xr:uid="{00000000-0005-0000-0000-000079420000}"/>
    <cellStyle name="Style 61 2 3" xfId="16989" xr:uid="{00000000-0005-0000-0000-00007A420000}"/>
    <cellStyle name="Style 61 3" xfId="16990" xr:uid="{00000000-0005-0000-0000-00007B420000}"/>
    <cellStyle name="Style 61 4" xfId="16991" xr:uid="{00000000-0005-0000-0000-00007C420000}"/>
    <cellStyle name="Style 62" xfId="16992" xr:uid="{00000000-0005-0000-0000-00007D420000}"/>
    <cellStyle name="Style 62 2" xfId="16993" xr:uid="{00000000-0005-0000-0000-00007E420000}"/>
    <cellStyle name="Style 62 2 2" xfId="16994" xr:uid="{00000000-0005-0000-0000-00007F420000}"/>
    <cellStyle name="Style 62 2 3" xfId="16995" xr:uid="{00000000-0005-0000-0000-000080420000}"/>
    <cellStyle name="Style 62 3" xfId="16996" xr:uid="{00000000-0005-0000-0000-000081420000}"/>
    <cellStyle name="Style 62 3 2" xfId="16997" xr:uid="{00000000-0005-0000-0000-000082420000}"/>
    <cellStyle name="Style 62 3 3" xfId="16998" xr:uid="{00000000-0005-0000-0000-000083420000}"/>
    <cellStyle name="Style 62 4" xfId="16999" xr:uid="{00000000-0005-0000-0000-000084420000}"/>
    <cellStyle name="Style 62 5" xfId="17000" xr:uid="{00000000-0005-0000-0000-000085420000}"/>
    <cellStyle name="Style 63" xfId="17001" xr:uid="{00000000-0005-0000-0000-000086420000}"/>
    <cellStyle name="Style 63 2" xfId="17002" xr:uid="{00000000-0005-0000-0000-000087420000}"/>
    <cellStyle name="Style 63 2 2" xfId="17003" xr:uid="{00000000-0005-0000-0000-000088420000}"/>
    <cellStyle name="Style 63 2 3" xfId="17004" xr:uid="{00000000-0005-0000-0000-000089420000}"/>
    <cellStyle name="Style 63 3" xfId="17005" xr:uid="{00000000-0005-0000-0000-00008A420000}"/>
    <cellStyle name="Style 63 4" xfId="17006" xr:uid="{00000000-0005-0000-0000-00008B420000}"/>
    <cellStyle name="Style 64" xfId="17007" xr:uid="{00000000-0005-0000-0000-00008C420000}"/>
    <cellStyle name="Style 64 2" xfId="17008" xr:uid="{00000000-0005-0000-0000-00008D420000}"/>
    <cellStyle name="Style 64 2 2" xfId="17009" xr:uid="{00000000-0005-0000-0000-00008E420000}"/>
    <cellStyle name="Style 64 2 3" xfId="17010" xr:uid="{00000000-0005-0000-0000-00008F420000}"/>
    <cellStyle name="Style 64 3" xfId="17011" xr:uid="{00000000-0005-0000-0000-000090420000}"/>
    <cellStyle name="Style 64 4" xfId="17012" xr:uid="{00000000-0005-0000-0000-000091420000}"/>
    <cellStyle name="Style 69" xfId="17013" xr:uid="{00000000-0005-0000-0000-000092420000}"/>
    <cellStyle name="Style 69 2" xfId="17014" xr:uid="{00000000-0005-0000-0000-000093420000}"/>
    <cellStyle name="Style 69 2 2" xfId="17015" xr:uid="{00000000-0005-0000-0000-000094420000}"/>
    <cellStyle name="Style 69 2 3" xfId="17016" xr:uid="{00000000-0005-0000-0000-000095420000}"/>
    <cellStyle name="Style 69 3" xfId="17017" xr:uid="{00000000-0005-0000-0000-000096420000}"/>
    <cellStyle name="Style 69 3 2" xfId="17018" xr:uid="{00000000-0005-0000-0000-000097420000}"/>
    <cellStyle name="Style 69 3 3" xfId="17019" xr:uid="{00000000-0005-0000-0000-000098420000}"/>
    <cellStyle name="Style 69 4" xfId="17020" xr:uid="{00000000-0005-0000-0000-000099420000}"/>
    <cellStyle name="Style 69 5" xfId="17021" xr:uid="{00000000-0005-0000-0000-00009A420000}"/>
    <cellStyle name="Style 70" xfId="17022" xr:uid="{00000000-0005-0000-0000-00009B420000}"/>
    <cellStyle name="Style 70 2" xfId="17023" xr:uid="{00000000-0005-0000-0000-00009C420000}"/>
    <cellStyle name="Style 70 2 2" xfId="17024" xr:uid="{00000000-0005-0000-0000-00009D420000}"/>
    <cellStyle name="Style 70 2 3" xfId="17025" xr:uid="{00000000-0005-0000-0000-00009E420000}"/>
    <cellStyle name="Style 70 3" xfId="17026" xr:uid="{00000000-0005-0000-0000-00009F420000}"/>
    <cellStyle name="Style 70 4" xfId="17027" xr:uid="{00000000-0005-0000-0000-0000A0420000}"/>
    <cellStyle name="Style 71" xfId="17028" xr:uid="{00000000-0005-0000-0000-0000A1420000}"/>
    <cellStyle name="Style 71 2" xfId="17029" xr:uid="{00000000-0005-0000-0000-0000A2420000}"/>
    <cellStyle name="Style 71 2 2" xfId="17030" xr:uid="{00000000-0005-0000-0000-0000A3420000}"/>
    <cellStyle name="Style 71 2 3" xfId="17031" xr:uid="{00000000-0005-0000-0000-0000A4420000}"/>
    <cellStyle name="Style 71 3" xfId="17032" xr:uid="{00000000-0005-0000-0000-0000A5420000}"/>
    <cellStyle name="Style 71 4" xfId="17033" xr:uid="{00000000-0005-0000-0000-0000A6420000}"/>
    <cellStyle name="Style 72" xfId="17034" xr:uid="{00000000-0005-0000-0000-0000A7420000}"/>
    <cellStyle name="Style 72 2" xfId="17035" xr:uid="{00000000-0005-0000-0000-0000A8420000}"/>
    <cellStyle name="Style 72 2 2" xfId="17036" xr:uid="{00000000-0005-0000-0000-0000A9420000}"/>
    <cellStyle name="Style 72 2 3" xfId="17037" xr:uid="{00000000-0005-0000-0000-0000AA420000}"/>
    <cellStyle name="Style 72 3" xfId="17038" xr:uid="{00000000-0005-0000-0000-0000AB420000}"/>
    <cellStyle name="Style 72 4" xfId="17039" xr:uid="{00000000-0005-0000-0000-0000AC420000}"/>
    <cellStyle name="Style 73" xfId="17040" xr:uid="{00000000-0005-0000-0000-0000AD420000}"/>
    <cellStyle name="Style 73 2" xfId="17041" xr:uid="{00000000-0005-0000-0000-0000AE420000}"/>
    <cellStyle name="Style 73 2 2" xfId="17042" xr:uid="{00000000-0005-0000-0000-0000AF420000}"/>
    <cellStyle name="Style 73 2 3" xfId="17043" xr:uid="{00000000-0005-0000-0000-0000B0420000}"/>
    <cellStyle name="Style 73 3" xfId="17044" xr:uid="{00000000-0005-0000-0000-0000B1420000}"/>
    <cellStyle name="Style 73 3 2" xfId="17045" xr:uid="{00000000-0005-0000-0000-0000B2420000}"/>
    <cellStyle name="Style 73 3 3" xfId="17046" xr:uid="{00000000-0005-0000-0000-0000B3420000}"/>
    <cellStyle name="Style 73 4" xfId="17047" xr:uid="{00000000-0005-0000-0000-0000B4420000}"/>
    <cellStyle name="Style 73 5" xfId="17048" xr:uid="{00000000-0005-0000-0000-0000B5420000}"/>
    <cellStyle name="Style 74" xfId="17049" xr:uid="{00000000-0005-0000-0000-0000B6420000}"/>
    <cellStyle name="Style 74 2" xfId="17050" xr:uid="{00000000-0005-0000-0000-0000B7420000}"/>
    <cellStyle name="Style 74 2 2" xfId="17051" xr:uid="{00000000-0005-0000-0000-0000B8420000}"/>
    <cellStyle name="Style 74 2 3" xfId="17052" xr:uid="{00000000-0005-0000-0000-0000B9420000}"/>
    <cellStyle name="Style 74 3" xfId="17053" xr:uid="{00000000-0005-0000-0000-0000BA420000}"/>
    <cellStyle name="Style 74 4" xfId="17054" xr:uid="{00000000-0005-0000-0000-0000BB420000}"/>
    <cellStyle name="Style 75" xfId="17055" xr:uid="{00000000-0005-0000-0000-0000BC420000}"/>
    <cellStyle name="Style 75 2" xfId="17056" xr:uid="{00000000-0005-0000-0000-0000BD420000}"/>
    <cellStyle name="Style 75 2 2" xfId="17057" xr:uid="{00000000-0005-0000-0000-0000BE420000}"/>
    <cellStyle name="Style 75 2 3" xfId="17058" xr:uid="{00000000-0005-0000-0000-0000BF420000}"/>
    <cellStyle name="Style 75 3" xfId="17059" xr:uid="{00000000-0005-0000-0000-0000C0420000}"/>
    <cellStyle name="Style 75 4" xfId="17060" xr:uid="{00000000-0005-0000-0000-0000C1420000}"/>
    <cellStyle name="Style 80" xfId="17061" xr:uid="{00000000-0005-0000-0000-0000C2420000}"/>
    <cellStyle name="Style 80 2" xfId="17062" xr:uid="{00000000-0005-0000-0000-0000C3420000}"/>
    <cellStyle name="Style 80 2 2" xfId="17063" xr:uid="{00000000-0005-0000-0000-0000C4420000}"/>
    <cellStyle name="Style 80 2 3" xfId="17064" xr:uid="{00000000-0005-0000-0000-0000C5420000}"/>
    <cellStyle name="Style 80 3" xfId="17065" xr:uid="{00000000-0005-0000-0000-0000C6420000}"/>
    <cellStyle name="Style 80 3 2" xfId="17066" xr:uid="{00000000-0005-0000-0000-0000C7420000}"/>
    <cellStyle name="Style 80 3 3" xfId="17067" xr:uid="{00000000-0005-0000-0000-0000C8420000}"/>
    <cellStyle name="Style 80 4" xfId="17068" xr:uid="{00000000-0005-0000-0000-0000C9420000}"/>
    <cellStyle name="Style 80 5" xfId="17069" xr:uid="{00000000-0005-0000-0000-0000CA420000}"/>
    <cellStyle name="Style 81" xfId="17070" xr:uid="{00000000-0005-0000-0000-0000CB420000}"/>
    <cellStyle name="Style 81 2" xfId="17071" xr:uid="{00000000-0005-0000-0000-0000CC420000}"/>
    <cellStyle name="Style 81 2 2" xfId="17072" xr:uid="{00000000-0005-0000-0000-0000CD420000}"/>
    <cellStyle name="Style 81 2 3" xfId="17073" xr:uid="{00000000-0005-0000-0000-0000CE420000}"/>
    <cellStyle name="Style 81 3" xfId="17074" xr:uid="{00000000-0005-0000-0000-0000CF420000}"/>
    <cellStyle name="Style 81 3 2" xfId="17075" xr:uid="{00000000-0005-0000-0000-0000D0420000}"/>
    <cellStyle name="Style 81 3 3" xfId="17076" xr:uid="{00000000-0005-0000-0000-0000D1420000}"/>
    <cellStyle name="Style 81 4" xfId="17077" xr:uid="{00000000-0005-0000-0000-0000D2420000}"/>
    <cellStyle name="Style 81 5" xfId="17078" xr:uid="{00000000-0005-0000-0000-0000D3420000}"/>
    <cellStyle name="Style 82" xfId="17079" xr:uid="{00000000-0005-0000-0000-0000D4420000}"/>
    <cellStyle name="Style 82 2" xfId="17080" xr:uid="{00000000-0005-0000-0000-0000D5420000}"/>
    <cellStyle name="Style 82 2 2" xfId="17081" xr:uid="{00000000-0005-0000-0000-0000D6420000}"/>
    <cellStyle name="Style 82 2 3" xfId="17082" xr:uid="{00000000-0005-0000-0000-0000D7420000}"/>
    <cellStyle name="Style 82 3" xfId="17083" xr:uid="{00000000-0005-0000-0000-0000D8420000}"/>
    <cellStyle name="Style 82 4" xfId="17084" xr:uid="{00000000-0005-0000-0000-0000D9420000}"/>
    <cellStyle name="Style 83" xfId="17085" xr:uid="{00000000-0005-0000-0000-0000DA420000}"/>
    <cellStyle name="Style 83 2" xfId="17086" xr:uid="{00000000-0005-0000-0000-0000DB420000}"/>
    <cellStyle name="Style 83 2 2" xfId="17087" xr:uid="{00000000-0005-0000-0000-0000DC420000}"/>
    <cellStyle name="Style 83 2 3" xfId="17088" xr:uid="{00000000-0005-0000-0000-0000DD420000}"/>
    <cellStyle name="Style 83 3" xfId="17089" xr:uid="{00000000-0005-0000-0000-0000DE420000}"/>
    <cellStyle name="Style 83 4" xfId="17090" xr:uid="{00000000-0005-0000-0000-0000DF420000}"/>
    <cellStyle name="Style 84" xfId="17091" xr:uid="{00000000-0005-0000-0000-0000E0420000}"/>
    <cellStyle name="Style 84 2" xfId="17092" xr:uid="{00000000-0005-0000-0000-0000E1420000}"/>
    <cellStyle name="Style 84 2 2" xfId="17093" xr:uid="{00000000-0005-0000-0000-0000E2420000}"/>
    <cellStyle name="Style 84 2 3" xfId="17094" xr:uid="{00000000-0005-0000-0000-0000E3420000}"/>
    <cellStyle name="Style 84 3" xfId="17095" xr:uid="{00000000-0005-0000-0000-0000E4420000}"/>
    <cellStyle name="Style 84 4" xfId="17096" xr:uid="{00000000-0005-0000-0000-0000E5420000}"/>
    <cellStyle name="Style 85" xfId="17097" xr:uid="{00000000-0005-0000-0000-0000E6420000}"/>
    <cellStyle name="Style 85 2" xfId="17098" xr:uid="{00000000-0005-0000-0000-0000E7420000}"/>
    <cellStyle name="Style 85 2 2" xfId="17099" xr:uid="{00000000-0005-0000-0000-0000E8420000}"/>
    <cellStyle name="Style 85 2 3" xfId="17100" xr:uid="{00000000-0005-0000-0000-0000E9420000}"/>
    <cellStyle name="Style 85 3" xfId="17101" xr:uid="{00000000-0005-0000-0000-0000EA420000}"/>
    <cellStyle name="Style 85 3 2" xfId="17102" xr:uid="{00000000-0005-0000-0000-0000EB420000}"/>
    <cellStyle name="Style 85 3 3" xfId="17103" xr:uid="{00000000-0005-0000-0000-0000EC420000}"/>
    <cellStyle name="Style 85 4" xfId="17104" xr:uid="{00000000-0005-0000-0000-0000ED420000}"/>
    <cellStyle name="Style 85 5" xfId="17105" xr:uid="{00000000-0005-0000-0000-0000EE420000}"/>
    <cellStyle name="Style 86" xfId="17106" xr:uid="{00000000-0005-0000-0000-0000EF420000}"/>
    <cellStyle name="Style 86 2" xfId="17107" xr:uid="{00000000-0005-0000-0000-0000F0420000}"/>
    <cellStyle name="Style 86 2 2" xfId="17108" xr:uid="{00000000-0005-0000-0000-0000F1420000}"/>
    <cellStyle name="Style 86 2 3" xfId="17109" xr:uid="{00000000-0005-0000-0000-0000F2420000}"/>
    <cellStyle name="Style 86 3" xfId="17110" xr:uid="{00000000-0005-0000-0000-0000F3420000}"/>
    <cellStyle name="Style 86 4" xfId="17111" xr:uid="{00000000-0005-0000-0000-0000F4420000}"/>
    <cellStyle name="Style 87" xfId="17112" xr:uid="{00000000-0005-0000-0000-0000F5420000}"/>
    <cellStyle name="Style 87 2" xfId="17113" xr:uid="{00000000-0005-0000-0000-0000F6420000}"/>
    <cellStyle name="Style 87 2 2" xfId="17114" xr:uid="{00000000-0005-0000-0000-0000F7420000}"/>
    <cellStyle name="Style 87 2 3" xfId="17115" xr:uid="{00000000-0005-0000-0000-0000F8420000}"/>
    <cellStyle name="Style 87 3" xfId="17116" xr:uid="{00000000-0005-0000-0000-0000F9420000}"/>
    <cellStyle name="Style 87 4" xfId="17117" xr:uid="{00000000-0005-0000-0000-0000FA420000}"/>
    <cellStyle name="Style 93" xfId="17118" xr:uid="{00000000-0005-0000-0000-0000FB420000}"/>
    <cellStyle name="Style 93 2" xfId="17119" xr:uid="{00000000-0005-0000-0000-0000FC420000}"/>
    <cellStyle name="Style 93 2 2" xfId="17120" xr:uid="{00000000-0005-0000-0000-0000FD420000}"/>
    <cellStyle name="Style 93 2 3" xfId="17121" xr:uid="{00000000-0005-0000-0000-0000FE420000}"/>
    <cellStyle name="Style 93 3" xfId="17122" xr:uid="{00000000-0005-0000-0000-0000FF420000}"/>
    <cellStyle name="Style 93 3 2" xfId="17123" xr:uid="{00000000-0005-0000-0000-000000430000}"/>
    <cellStyle name="Style 93 3 3" xfId="17124" xr:uid="{00000000-0005-0000-0000-000001430000}"/>
    <cellStyle name="Style 93 4" xfId="17125" xr:uid="{00000000-0005-0000-0000-000002430000}"/>
    <cellStyle name="Style 93 5" xfId="17126" xr:uid="{00000000-0005-0000-0000-000003430000}"/>
    <cellStyle name="Style 94" xfId="17127" xr:uid="{00000000-0005-0000-0000-000004430000}"/>
    <cellStyle name="Style 94 2" xfId="17128" xr:uid="{00000000-0005-0000-0000-000005430000}"/>
    <cellStyle name="Style 94 2 2" xfId="17129" xr:uid="{00000000-0005-0000-0000-000006430000}"/>
    <cellStyle name="Style 94 2 3" xfId="17130" xr:uid="{00000000-0005-0000-0000-000007430000}"/>
    <cellStyle name="Style 94 3" xfId="17131" xr:uid="{00000000-0005-0000-0000-000008430000}"/>
    <cellStyle name="Style 94 4" xfId="17132" xr:uid="{00000000-0005-0000-0000-000009430000}"/>
    <cellStyle name="Style 95" xfId="17133" xr:uid="{00000000-0005-0000-0000-00000A430000}"/>
    <cellStyle name="Style 95 2" xfId="17134" xr:uid="{00000000-0005-0000-0000-00000B430000}"/>
    <cellStyle name="Style 95 2 2" xfId="17135" xr:uid="{00000000-0005-0000-0000-00000C430000}"/>
    <cellStyle name="Style 95 2 3" xfId="17136" xr:uid="{00000000-0005-0000-0000-00000D430000}"/>
    <cellStyle name="Style 95 3" xfId="17137" xr:uid="{00000000-0005-0000-0000-00000E430000}"/>
    <cellStyle name="Style 95 4" xfId="17138" xr:uid="{00000000-0005-0000-0000-00000F430000}"/>
    <cellStyle name="Style 96" xfId="17139" xr:uid="{00000000-0005-0000-0000-000010430000}"/>
    <cellStyle name="Style 96 2" xfId="17140" xr:uid="{00000000-0005-0000-0000-000011430000}"/>
    <cellStyle name="Style 96 2 2" xfId="17141" xr:uid="{00000000-0005-0000-0000-000012430000}"/>
    <cellStyle name="Style 96 2 3" xfId="17142" xr:uid="{00000000-0005-0000-0000-000013430000}"/>
    <cellStyle name="Style 96 3" xfId="17143" xr:uid="{00000000-0005-0000-0000-000014430000}"/>
    <cellStyle name="Style 96 4" xfId="17144" xr:uid="{00000000-0005-0000-0000-000015430000}"/>
    <cellStyle name="Style 97" xfId="17145" xr:uid="{00000000-0005-0000-0000-000016430000}"/>
    <cellStyle name="Style 97 2" xfId="17146" xr:uid="{00000000-0005-0000-0000-000017430000}"/>
    <cellStyle name="Style 97 2 2" xfId="17147" xr:uid="{00000000-0005-0000-0000-000018430000}"/>
    <cellStyle name="Style 97 2 3" xfId="17148" xr:uid="{00000000-0005-0000-0000-000019430000}"/>
    <cellStyle name="Style 97 3" xfId="17149" xr:uid="{00000000-0005-0000-0000-00001A430000}"/>
    <cellStyle name="Style 97 3 2" xfId="17150" xr:uid="{00000000-0005-0000-0000-00001B430000}"/>
    <cellStyle name="Style 97 3 3" xfId="17151" xr:uid="{00000000-0005-0000-0000-00001C430000}"/>
    <cellStyle name="Style 97 4" xfId="17152" xr:uid="{00000000-0005-0000-0000-00001D430000}"/>
    <cellStyle name="Style 97 5" xfId="17153" xr:uid="{00000000-0005-0000-0000-00001E430000}"/>
    <cellStyle name="Style 98" xfId="17154" xr:uid="{00000000-0005-0000-0000-00001F430000}"/>
    <cellStyle name="Style 98 2" xfId="17155" xr:uid="{00000000-0005-0000-0000-000020430000}"/>
    <cellStyle name="Style 98 2 2" xfId="17156" xr:uid="{00000000-0005-0000-0000-000021430000}"/>
    <cellStyle name="Style 98 2 3" xfId="17157" xr:uid="{00000000-0005-0000-0000-000022430000}"/>
    <cellStyle name="Style 98 3" xfId="17158" xr:uid="{00000000-0005-0000-0000-000023430000}"/>
    <cellStyle name="Style 98 4" xfId="17159" xr:uid="{00000000-0005-0000-0000-000024430000}"/>
    <cellStyle name="Style 99" xfId="17160" xr:uid="{00000000-0005-0000-0000-000025430000}"/>
    <cellStyle name="Style 99 2" xfId="17161" xr:uid="{00000000-0005-0000-0000-000026430000}"/>
    <cellStyle name="Style 99 2 2" xfId="17162" xr:uid="{00000000-0005-0000-0000-000027430000}"/>
    <cellStyle name="Style 99 2 3" xfId="17163" xr:uid="{00000000-0005-0000-0000-000028430000}"/>
    <cellStyle name="Style 99 3" xfId="17164" xr:uid="{00000000-0005-0000-0000-000029430000}"/>
    <cellStyle name="Style 99 4" xfId="17165" xr:uid="{00000000-0005-0000-0000-00002A430000}"/>
    <cellStyle name="tableau | cellule | normal | decimal 1" xfId="17166" xr:uid="{00000000-0005-0000-0000-00002B430000}"/>
    <cellStyle name="tableau | cellule | normal | decimal 1 2" xfId="17167" xr:uid="{00000000-0005-0000-0000-00002C430000}"/>
    <cellStyle name="tableau | cellule | normal | decimal 1 3" xfId="17168" xr:uid="{00000000-0005-0000-0000-00002D430000}"/>
    <cellStyle name="tableau | cellule | normal | pourcentage | decimal 1" xfId="17169" xr:uid="{00000000-0005-0000-0000-00002E430000}"/>
    <cellStyle name="tableau | cellule | normal | pourcentage | decimal 1 2" xfId="17170" xr:uid="{00000000-0005-0000-0000-00002F430000}"/>
    <cellStyle name="tableau | cellule | normal | pourcentage | decimal 1 3" xfId="17171" xr:uid="{00000000-0005-0000-0000-000030430000}"/>
    <cellStyle name="tableau | cellule | total | decimal 1" xfId="17172" xr:uid="{00000000-0005-0000-0000-000031430000}"/>
    <cellStyle name="tableau | cellule | total | decimal 1 2" xfId="17173" xr:uid="{00000000-0005-0000-0000-000032430000}"/>
    <cellStyle name="tableau | cellule | total | decimal 1 3" xfId="17174" xr:uid="{00000000-0005-0000-0000-000033430000}"/>
    <cellStyle name="tableau | coin superieur gauche" xfId="17175" xr:uid="{00000000-0005-0000-0000-000034430000}"/>
    <cellStyle name="tableau | coin superieur gauche 2" xfId="17176" xr:uid="{00000000-0005-0000-0000-000035430000}"/>
    <cellStyle name="tableau | coin superieur gauche 3" xfId="17177" xr:uid="{00000000-0005-0000-0000-000036430000}"/>
    <cellStyle name="tableau | entete-colonne | series" xfId="17178" xr:uid="{00000000-0005-0000-0000-000037430000}"/>
    <cellStyle name="tableau | entete-colonne | series 2" xfId="17179" xr:uid="{00000000-0005-0000-0000-000038430000}"/>
    <cellStyle name="tableau | entete-colonne | series 3" xfId="17180" xr:uid="{00000000-0005-0000-0000-000039430000}"/>
    <cellStyle name="tableau | entete-ligne | normal" xfId="17181" xr:uid="{00000000-0005-0000-0000-00003A430000}"/>
    <cellStyle name="tableau | entete-ligne | normal 2" xfId="17182" xr:uid="{00000000-0005-0000-0000-00003B430000}"/>
    <cellStyle name="tableau | entete-ligne | normal 3" xfId="17183" xr:uid="{00000000-0005-0000-0000-00003C430000}"/>
    <cellStyle name="tableau | entete-ligne | total" xfId="17184" xr:uid="{00000000-0005-0000-0000-00003D430000}"/>
    <cellStyle name="tableau | entete-ligne | total 2" xfId="17185" xr:uid="{00000000-0005-0000-0000-00003E430000}"/>
    <cellStyle name="tableau | entete-ligne | total 3" xfId="17186" xr:uid="{00000000-0005-0000-0000-00003F430000}"/>
    <cellStyle name="tableau | ligne-titre | niveau1" xfId="17187" xr:uid="{00000000-0005-0000-0000-000040430000}"/>
    <cellStyle name="tableau | ligne-titre | niveau1 2" xfId="17188" xr:uid="{00000000-0005-0000-0000-000041430000}"/>
    <cellStyle name="tableau | ligne-titre | niveau1 3" xfId="17189" xr:uid="{00000000-0005-0000-0000-000042430000}"/>
    <cellStyle name="tableau | ligne-titre | niveau2" xfId="17190" xr:uid="{00000000-0005-0000-0000-000043430000}"/>
    <cellStyle name="tableau | ligne-titre | niveau2 2" xfId="17191" xr:uid="{00000000-0005-0000-0000-000044430000}"/>
    <cellStyle name="tableau | ligne-titre | niveau2 3" xfId="17192" xr:uid="{00000000-0005-0000-0000-000045430000}"/>
    <cellStyle name="Title 10" xfId="17193" xr:uid="{00000000-0005-0000-0000-000046430000}"/>
    <cellStyle name="Title 10 2" xfId="17194" xr:uid="{00000000-0005-0000-0000-000047430000}"/>
    <cellStyle name="Title 10 3" xfId="17195" xr:uid="{00000000-0005-0000-0000-000048430000}"/>
    <cellStyle name="Title 11" xfId="17196" xr:uid="{00000000-0005-0000-0000-000049430000}"/>
    <cellStyle name="Title 11 2" xfId="17197" xr:uid="{00000000-0005-0000-0000-00004A430000}"/>
    <cellStyle name="Title 11 3" xfId="17198" xr:uid="{00000000-0005-0000-0000-00004B430000}"/>
    <cellStyle name="Title 12" xfId="17199" xr:uid="{00000000-0005-0000-0000-00004C430000}"/>
    <cellStyle name="Title 12 2" xfId="17200" xr:uid="{00000000-0005-0000-0000-00004D430000}"/>
    <cellStyle name="Title 12 3" xfId="17201" xr:uid="{00000000-0005-0000-0000-00004E430000}"/>
    <cellStyle name="Title 13" xfId="17202" xr:uid="{00000000-0005-0000-0000-00004F430000}"/>
    <cellStyle name="Title 13 2" xfId="17203" xr:uid="{00000000-0005-0000-0000-000050430000}"/>
    <cellStyle name="Title 13 3" xfId="17204" xr:uid="{00000000-0005-0000-0000-000051430000}"/>
    <cellStyle name="Title 14" xfId="17205" xr:uid="{00000000-0005-0000-0000-000052430000}"/>
    <cellStyle name="Title 14 2" xfId="17206" xr:uid="{00000000-0005-0000-0000-000053430000}"/>
    <cellStyle name="Title 14 3" xfId="17207" xr:uid="{00000000-0005-0000-0000-000054430000}"/>
    <cellStyle name="Title 15" xfId="17208" xr:uid="{00000000-0005-0000-0000-000055430000}"/>
    <cellStyle name="Title 15 2" xfId="17209" xr:uid="{00000000-0005-0000-0000-000056430000}"/>
    <cellStyle name="Title 15 3" xfId="17210" xr:uid="{00000000-0005-0000-0000-000057430000}"/>
    <cellStyle name="Title 16" xfId="17211" xr:uid="{00000000-0005-0000-0000-000058430000}"/>
    <cellStyle name="Title 16 2" xfId="17212" xr:uid="{00000000-0005-0000-0000-000059430000}"/>
    <cellStyle name="Title 16 3" xfId="17213" xr:uid="{00000000-0005-0000-0000-00005A430000}"/>
    <cellStyle name="Title 17" xfId="17214" xr:uid="{00000000-0005-0000-0000-00005B430000}"/>
    <cellStyle name="Title 17 2" xfId="17215" xr:uid="{00000000-0005-0000-0000-00005C430000}"/>
    <cellStyle name="Title 17 3" xfId="17216" xr:uid="{00000000-0005-0000-0000-00005D430000}"/>
    <cellStyle name="Title 18" xfId="17217" xr:uid="{00000000-0005-0000-0000-00005E430000}"/>
    <cellStyle name="Title 18 2" xfId="17218" xr:uid="{00000000-0005-0000-0000-00005F430000}"/>
    <cellStyle name="Title 18 3" xfId="17219" xr:uid="{00000000-0005-0000-0000-000060430000}"/>
    <cellStyle name="Title 19" xfId="17220" xr:uid="{00000000-0005-0000-0000-000061430000}"/>
    <cellStyle name="Title 19 2" xfId="17221" xr:uid="{00000000-0005-0000-0000-000062430000}"/>
    <cellStyle name="Title 19 3" xfId="17222" xr:uid="{00000000-0005-0000-0000-000063430000}"/>
    <cellStyle name="Title 2" xfId="17223" xr:uid="{00000000-0005-0000-0000-000064430000}"/>
    <cellStyle name="Title 2 10" xfId="17224" xr:uid="{00000000-0005-0000-0000-000065430000}"/>
    <cellStyle name="Title 2 10 2" xfId="17225" xr:uid="{00000000-0005-0000-0000-000066430000}"/>
    <cellStyle name="Title 2 10 3" xfId="17226" xr:uid="{00000000-0005-0000-0000-000067430000}"/>
    <cellStyle name="Title 2 10 4" xfId="17227" xr:uid="{00000000-0005-0000-0000-000068430000}"/>
    <cellStyle name="Title 2 11" xfId="17228" xr:uid="{00000000-0005-0000-0000-000069430000}"/>
    <cellStyle name="Title 2 12" xfId="17229" xr:uid="{00000000-0005-0000-0000-00006A430000}"/>
    <cellStyle name="Title 2 13" xfId="17230" xr:uid="{00000000-0005-0000-0000-00006B430000}"/>
    <cellStyle name="Title 2 14" xfId="17231" xr:uid="{00000000-0005-0000-0000-00006C430000}"/>
    <cellStyle name="Title 2 2" xfId="17232" xr:uid="{00000000-0005-0000-0000-00006D430000}"/>
    <cellStyle name="Title 2 2 2" xfId="17233" xr:uid="{00000000-0005-0000-0000-00006E430000}"/>
    <cellStyle name="Title 2 2 3" xfId="17234" xr:uid="{00000000-0005-0000-0000-00006F430000}"/>
    <cellStyle name="Title 2 2 4" xfId="17235" xr:uid="{00000000-0005-0000-0000-000070430000}"/>
    <cellStyle name="Title 2 3" xfId="17236" xr:uid="{00000000-0005-0000-0000-000071430000}"/>
    <cellStyle name="Title 2 3 2" xfId="17237" xr:uid="{00000000-0005-0000-0000-000072430000}"/>
    <cellStyle name="Title 2 3 3" xfId="17238" xr:uid="{00000000-0005-0000-0000-000073430000}"/>
    <cellStyle name="Title 2 3 4" xfId="17239" xr:uid="{00000000-0005-0000-0000-000074430000}"/>
    <cellStyle name="Title 2 4" xfId="17240" xr:uid="{00000000-0005-0000-0000-000075430000}"/>
    <cellStyle name="Title 2 4 2" xfId="17241" xr:uid="{00000000-0005-0000-0000-000076430000}"/>
    <cellStyle name="Title 2 4 3" xfId="17242" xr:uid="{00000000-0005-0000-0000-000077430000}"/>
    <cellStyle name="Title 2 4 4" xfId="17243" xr:uid="{00000000-0005-0000-0000-000078430000}"/>
    <cellStyle name="Title 2 5" xfId="17244" xr:uid="{00000000-0005-0000-0000-000079430000}"/>
    <cellStyle name="Title 2 5 2" xfId="17245" xr:uid="{00000000-0005-0000-0000-00007A430000}"/>
    <cellStyle name="Title 2 5 3" xfId="17246" xr:uid="{00000000-0005-0000-0000-00007B430000}"/>
    <cellStyle name="Title 2 5 4" xfId="17247" xr:uid="{00000000-0005-0000-0000-00007C430000}"/>
    <cellStyle name="Title 2 6" xfId="17248" xr:uid="{00000000-0005-0000-0000-00007D430000}"/>
    <cellStyle name="Title 2 6 2" xfId="17249" xr:uid="{00000000-0005-0000-0000-00007E430000}"/>
    <cellStyle name="Title 2 6 3" xfId="17250" xr:uid="{00000000-0005-0000-0000-00007F430000}"/>
    <cellStyle name="Title 2 6 4" xfId="17251" xr:uid="{00000000-0005-0000-0000-000080430000}"/>
    <cellStyle name="Title 2 7" xfId="17252" xr:uid="{00000000-0005-0000-0000-000081430000}"/>
    <cellStyle name="Title 2 7 2" xfId="17253" xr:uid="{00000000-0005-0000-0000-000082430000}"/>
    <cellStyle name="Title 2 7 3" xfId="17254" xr:uid="{00000000-0005-0000-0000-000083430000}"/>
    <cellStyle name="Title 2 7 4" xfId="17255" xr:uid="{00000000-0005-0000-0000-000084430000}"/>
    <cellStyle name="Title 2 8" xfId="17256" xr:uid="{00000000-0005-0000-0000-000085430000}"/>
    <cellStyle name="Title 2 8 2" xfId="17257" xr:uid="{00000000-0005-0000-0000-000086430000}"/>
    <cellStyle name="Title 2 8 3" xfId="17258" xr:uid="{00000000-0005-0000-0000-000087430000}"/>
    <cellStyle name="Title 2 8 4" xfId="17259" xr:uid="{00000000-0005-0000-0000-000088430000}"/>
    <cellStyle name="Title 2 9" xfId="17260" xr:uid="{00000000-0005-0000-0000-000089430000}"/>
    <cellStyle name="Title 2 9 2" xfId="17261" xr:uid="{00000000-0005-0000-0000-00008A430000}"/>
    <cellStyle name="Title 2 9 3" xfId="17262" xr:uid="{00000000-0005-0000-0000-00008B430000}"/>
    <cellStyle name="Title 2 9 4" xfId="17263" xr:uid="{00000000-0005-0000-0000-00008C430000}"/>
    <cellStyle name="Title 20" xfId="17264" xr:uid="{00000000-0005-0000-0000-00008D430000}"/>
    <cellStyle name="Title 20 2" xfId="17265" xr:uid="{00000000-0005-0000-0000-00008E430000}"/>
    <cellStyle name="Title 20 3" xfId="17266" xr:uid="{00000000-0005-0000-0000-00008F430000}"/>
    <cellStyle name="Title 21" xfId="17267" xr:uid="{00000000-0005-0000-0000-000090430000}"/>
    <cellStyle name="Title 21 2" xfId="17268" xr:uid="{00000000-0005-0000-0000-000091430000}"/>
    <cellStyle name="Title 21 3" xfId="17269" xr:uid="{00000000-0005-0000-0000-000092430000}"/>
    <cellStyle name="Title 22" xfId="17270" xr:uid="{00000000-0005-0000-0000-000093430000}"/>
    <cellStyle name="Title 22 2" xfId="17271" xr:uid="{00000000-0005-0000-0000-000094430000}"/>
    <cellStyle name="Title 22 3" xfId="17272" xr:uid="{00000000-0005-0000-0000-000095430000}"/>
    <cellStyle name="Title 23" xfId="17273" xr:uid="{00000000-0005-0000-0000-000096430000}"/>
    <cellStyle name="Title 23 2" xfId="17274" xr:uid="{00000000-0005-0000-0000-000097430000}"/>
    <cellStyle name="Title 23 3" xfId="17275" xr:uid="{00000000-0005-0000-0000-000098430000}"/>
    <cellStyle name="Title 24" xfId="17276" xr:uid="{00000000-0005-0000-0000-000099430000}"/>
    <cellStyle name="Title 24 2" xfId="17277" xr:uid="{00000000-0005-0000-0000-00009A430000}"/>
    <cellStyle name="Title 24 3" xfId="17278" xr:uid="{00000000-0005-0000-0000-00009B430000}"/>
    <cellStyle name="Title 25" xfId="17279" xr:uid="{00000000-0005-0000-0000-00009C430000}"/>
    <cellStyle name="Title 25 2" xfId="17280" xr:uid="{00000000-0005-0000-0000-00009D430000}"/>
    <cellStyle name="Title 25 3" xfId="17281" xr:uid="{00000000-0005-0000-0000-00009E430000}"/>
    <cellStyle name="Title 26" xfId="17282" xr:uid="{00000000-0005-0000-0000-00009F430000}"/>
    <cellStyle name="Title 26 2" xfId="17283" xr:uid="{00000000-0005-0000-0000-0000A0430000}"/>
    <cellStyle name="Title 26 3" xfId="17284" xr:uid="{00000000-0005-0000-0000-0000A1430000}"/>
    <cellStyle name="Title 27" xfId="17285" xr:uid="{00000000-0005-0000-0000-0000A2430000}"/>
    <cellStyle name="Title 27 2" xfId="17286" xr:uid="{00000000-0005-0000-0000-0000A3430000}"/>
    <cellStyle name="Title 27 3" xfId="17287" xr:uid="{00000000-0005-0000-0000-0000A4430000}"/>
    <cellStyle name="Title 28" xfId="17288" xr:uid="{00000000-0005-0000-0000-0000A5430000}"/>
    <cellStyle name="Title 28 2" xfId="17289" xr:uid="{00000000-0005-0000-0000-0000A6430000}"/>
    <cellStyle name="Title 28 3" xfId="17290" xr:uid="{00000000-0005-0000-0000-0000A7430000}"/>
    <cellStyle name="Title 29" xfId="17291" xr:uid="{00000000-0005-0000-0000-0000A8430000}"/>
    <cellStyle name="Title 29 2" xfId="17292" xr:uid="{00000000-0005-0000-0000-0000A9430000}"/>
    <cellStyle name="Title 29 3" xfId="17293" xr:uid="{00000000-0005-0000-0000-0000AA430000}"/>
    <cellStyle name="Title 3" xfId="17294" xr:uid="{00000000-0005-0000-0000-0000AB430000}"/>
    <cellStyle name="Title 3 2" xfId="17295" xr:uid="{00000000-0005-0000-0000-0000AC430000}"/>
    <cellStyle name="Title 3 2 2" xfId="17296" xr:uid="{00000000-0005-0000-0000-0000AD430000}"/>
    <cellStyle name="Title 3 2 3" xfId="17297" xr:uid="{00000000-0005-0000-0000-0000AE430000}"/>
    <cellStyle name="Title 3 3" xfId="17298" xr:uid="{00000000-0005-0000-0000-0000AF430000}"/>
    <cellStyle name="Title 3 3 2" xfId="17299" xr:uid="{00000000-0005-0000-0000-0000B0430000}"/>
    <cellStyle name="Title 3 3 3" xfId="17300" xr:uid="{00000000-0005-0000-0000-0000B1430000}"/>
    <cellStyle name="Title 3 4" xfId="17301" xr:uid="{00000000-0005-0000-0000-0000B2430000}"/>
    <cellStyle name="Title 3 4 2" xfId="17302" xr:uid="{00000000-0005-0000-0000-0000B3430000}"/>
    <cellStyle name="Title 3 4 3" xfId="17303" xr:uid="{00000000-0005-0000-0000-0000B4430000}"/>
    <cellStyle name="Title 3 5" xfId="17304" xr:uid="{00000000-0005-0000-0000-0000B5430000}"/>
    <cellStyle name="Title 3 6" xfId="17305" xr:uid="{00000000-0005-0000-0000-0000B6430000}"/>
    <cellStyle name="Title 3 7" xfId="17306" xr:uid="{00000000-0005-0000-0000-0000B7430000}"/>
    <cellStyle name="Title 30" xfId="17307" xr:uid="{00000000-0005-0000-0000-0000B8430000}"/>
    <cellStyle name="Title 30 2" xfId="17308" xr:uid="{00000000-0005-0000-0000-0000B9430000}"/>
    <cellStyle name="Title 30 3" xfId="17309" xr:uid="{00000000-0005-0000-0000-0000BA430000}"/>
    <cellStyle name="Title 31" xfId="17310" xr:uid="{00000000-0005-0000-0000-0000BB430000}"/>
    <cellStyle name="Title 31 2" xfId="17311" xr:uid="{00000000-0005-0000-0000-0000BC430000}"/>
    <cellStyle name="Title 31 3" xfId="17312" xr:uid="{00000000-0005-0000-0000-0000BD430000}"/>
    <cellStyle name="Title 32" xfId="17313" xr:uid="{00000000-0005-0000-0000-0000BE430000}"/>
    <cellStyle name="Title 32 2" xfId="17314" xr:uid="{00000000-0005-0000-0000-0000BF430000}"/>
    <cellStyle name="Title 32 3" xfId="17315" xr:uid="{00000000-0005-0000-0000-0000C0430000}"/>
    <cellStyle name="Title 33" xfId="17316" xr:uid="{00000000-0005-0000-0000-0000C1430000}"/>
    <cellStyle name="Title 33 2" xfId="17317" xr:uid="{00000000-0005-0000-0000-0000C2430000}"/>
    <cellStyle name="Title 33 3" xfId="17318" xr:uid="{00000000-0005-0000-0000-0000C3430000}"/>
    <cellStyle name="Title 34" xfId="17319" xr:uid="{00000000-0005-0000-0000-0000C4430000}"/>
    <cellStyle name="Title 34 2" xfId="17320" xr:uid="{00000000-0005-0000-0000-0000C5430000}"/>
    <cellStyle name="Title 34 3" xfId="17321" xr:uid="{00000000-0005-0000-0000-0000C6430000}"/>
    <cellStyle name="Title 35" xfId="17322" xr:uid="{00000000-0005-0000-0000-0000C7430000}"/>
    <cellStyle name="Title 35 2" xfId="17323" xr:uid="{00000000-0005-0000-0000-0000C8430000}"/>
    <cellStyle name="Title 35 3" xfId="17324" xr:uid="{00000000-0005-0000-0000-0000C9430000}"/>
    <cellStyle name="Title 36" xfId="17325" xr:uid="{00000000-0005-0000-0000-0000CA430000}"/>
    <cellStyle name="Title 36 2" xfId="17326" xr:uid="{00000000-0005-0000-0000-0000CB430000}"/>
    <cellStyle name="Title 36 3" xfId="17327" xr:uid="{00000000-0005-0000-0000-0000CC430000}"/>
    <cellStyle name="Title 37" xfId="17328" xr:uid="{00000000-0005-0000-0000-0000CD430000}"/>
    <cellStyle name="Title 37 2" xfId="17329" xr:uid="{00000000-0005-0000-0000-0000CE430000}"/>
    <cellStyle name="Title 37 3" xfId="17330" xr:uid="{00000000-0005-0000-0000-0000CF430000}"/>
    <cellStyle name="Title 38" xfId="17331" xr:uid="{00000000-0005-0000-0000-0000D0430000}"/>
    <cellStyle name="Title 38 2" xfId="17332" xr:uid="{00000000-0005-0000-0000-0000D1430000}"/>
    <cellStyle name="Title 38 3" xfId="17333" xr:uid="{00000000-0005-0000-0000-0000D2430000}"/>
    <cellStyle name="Title 39" xfId="17334" xr:uid="{00000000-0005-0000-0000-0000D3430000}"/>
    <cellStyle name="Title 39 2" xfId="17335" xr:uid="{00000000-0005-0000-0000-0000D4430000}"/>
    <cellStyle name="Title 39 3" xfId="17336" xr:uid="{00000000-0005-0000-0000-0000D5430000}"/>
    <cellStyle name="Title 4" xfId="17337" xr:uid="{00000000-0005-0000-0000-0000D6430000}"/>
    <cellStyle name="Title 4 2" xfId="17338" xr:uid="{00000000-0005-0000-0000-0000D7430000}"/>
    <cellStyle name="Title 4 3" xfId="17339" xr:uid="{00000000-0005-0000-0000-0000D8430000}"/>
    <cellStyle name="Title 4 4" xfId="17340" xr:uid="{00000000-0005-0000-0000-0000D9430000}"/>
    <cellStyle name="Title 4 5" xfId="17341" xr:uid="{00000000-0005-0000-0000-0000DA430000}"/>
    <cellStyle name="Title 40" xfId="17342" xr:uid="{00000000-0005-0000-0000-0000DB430000}"/>
    <cellStyle name="Title 40 2" xfId="17343" xr:uid="{00000000-0005-0000-0000-0000DC430000}"/>
    <cellStyle name="Title 40 3" xfId="17344" xr:uid="{00000000-0005-0000-0000-0000DD430000}"/>
    <cellStyle name="Title 41" xfId="17345" xr:uid="{00000000-0005-0000-0000-0000DE430000}"/>
    <cellStyle name="Title 41 2" xfId="17346" xr:uid="{00000000-0005-0000-0000-0000DF430000}"/>
    <cellStyle name="Title 41 3" xfId="17347" xr:uid="{00000000-0005-0000-0000-0000E0430000}"/>
    <cellStyle name="Title 42" xfId="17348" xr:uid="{00000000-0005-0000-0000-0000E1430000}"/>
    <cellStyle name="Title 42 2" xfId="17349" xr:uid="{00000000-0005-0000-0000-0000E2430000}"/>
    <cellStyle name="Title 42 3" xfId="17350" xr:uid="{00000000-0005-0000-0000-0000E3430000}"/>
    <cellStyle name="Title 43" xfId="17351" xr:uid="{00000000-0005-0000-0000-0000E4430000}"/>
    <cellStyle name="Title 43 2" xfId="17352" xr:uid="{00000000-0005-0000-0000-0000E5430000}"/>
    <cellStyle name="Title 43 3" xfId="17353" xr:uid="{00000000-0005-0000-0000-0000E6430000}"/>
    <cellStyle name="Title 44" xfId="17354" xr:uid="{00000000-0005-0000-0000-0000E7430000}"/>
    <cellStyle name="Title 5" xfId="17355" xr:uid="{00000000-0005-0000-0000-0000E8430000}"/>
    <cellStyle name="Title 5 2" xfId="17356" xr:uid="{00000000-0005-0000-0000-0000E9430000}"/>
    <cellStyle name="Title 5 3" xfId="17357" xr:uid="{00000000-0005-0000-0000-0000EA430000}"/>
    <cellStyle name="Title 5 4" xfId="17358" xr:uid="{00000000-0005-0000-0000-0000EB430000}"/>
    <cellStyle name="Title 5 5" xfId="17359" xr:uid="{00000000-0005-0000-0000-0000EC430000}"/>
    <cellStyle name="Title 6" xfId="17360" xr:uid="{00000000-0005-0000-0000-0000ED430000}"/>
    <cellStyle name="Title 6 2" xfId="17361" xr:uid="{00000000-0005-0000-0000-0000EE430000}"/>
    <cellStyle name="Title 6 3" xfId="17362" xr:uid="{00000000-0005-0000-0000-0000EF430000}"/>
    <cellStyle name="Title 6 4" xfId="17363" xr:uid="{00000000-0005-0000-0000-0000F0430000}"/>
    <cellStyle name="Title 6 5" xfId="17364" xr:uid="{00000000-0005-0000-0000-0000F1430000}"/>
    <cellStyle name="Title 7" xfId="17365" xr:uid="{00000000-0005-0000-0000-0000F2430000}"/>
    <cellStyle name="Title 7 2" xfId="17366" xr:uid="{00000000-0005-0000-0000-0000F3430000}"/>
    <cellStyle name="Title 7 3" xfId="17367" xr:uid="{00000000-0005-0000-0000-0000F4430000}"/>
    <cellStyle name="Title 8" xfId="17368" xr:uid="{00000000-0005-0000-0000-0000F5430000}"/>
    <cellStyle name="Title 8 2" xfId="17369" xr:uid="{00000000-0005-0000-0000-0000F6430000}"/>
    <cellStyle name="Title 8 3" xfId="17370" xr:uid="{00000000-0005-0000-0000-0000F7430000}"/>
    <cellStyle name="Title 9" xfId="17371" xr:uid="{00000000-0005-0000-0000-0000F8430000}"/>
    <cellStyle name="Title 9 2" xfId="17372" xr:uid="{00000000-0005-0000-0000-0000F9430000}"/>
    <cellStyle name="Title 9 3" xfId="17373" xr:uid="{00000000-0005-0000-0000-0000FA430000}"/>
    <cellStyle name="Total 10" xfId="17374" xr:uid="{00000000-0005-0000-0000-0000FB430000}"/>
    <cellStyle name="Total 10 2" xfId="17375" xr:uid="{00000000-0005-0000-0000-0000FC430000}"/>
    <cellStyle name="Total 10 3" xfId="17376" xr:uid="{00000000-0005-0000-0000-0000FD430000}"/>
    <cellStyle name="Total 11" xfId="17377" xr:uid="{00000000-0005-0000-0000-0000FE430000}"/>
    <cellStyle name="Total 11 2" xfId="17378" xr:uid="{00000000-0005-0000-0000-0000FF430000}"/>
    <cellStyle name="Total 11 3" xfId="17379" xr:uid="{00000000-0005-0000-0000-000000440000}"/>
    <cellStyle name="Total 12" xfId="17380" xr:uid="{00000000-0005-0000-0000-000001440000}"/>
    <cellStyle name="Total 12 2" xfId="17381" xr:uid="{00000000-0005-0000-0000-000002440000}"/>
    <cellStyle name="Total 12 3" xfId="17382" xr:uid="{00000000-0005-0000-0000-000003440000}"/>
    <cellStyle name="Total 13" xfId="17383" xr:uid="{00000000-0005-0000-0000-000004440000}"/>
    <cellStyle name="Total 13 2" xfId="17384" xr:uid="{00000000-0005-0000-0000-000005440000}"/>
    <cellStyle name="Total 13 3" xfId="17385" xr:uid="{00000000-0005-0000-0000-000006440000}"/>
    <cellStyle name="Total 14" xfId="17386" xr:uid="{00000000-0005-0000-0000-000007440000}"/>
    <cellStyle name="Total 14 2" xfId="17387" xr:uid="{00000000-0005-0000-0000-000008440000}"/>
    <cellStyle name="Total 14 3" xfId="17388" xr:uid="{00000000-0005-0000-0000-000009440000}"/>
    <cellStyle name="Total 15" xfId="17389" xr:uid="{00000000-0005-0000-0000-00000A440000}"/>
    <cellStyle name="Total 15 2" xfId="17390" xr:uid="{00000000-0005-0000-0000-00000B440000}"/>
    <cellStyle name="Total 15 3" xfId="17391" xr:uid="{00000000-0005-0000-0000-00000C440000}"/>
    <cellStyle name="Total 16" xfId="17392" xr:uid="{00000000-0005-0000-0000-00000D440000}"/>
    <cellStyle name="Total 16 2" xfId="17393" xr:uid="{00000000-0005-0000-0000-00000E440000}"/>
    <cellStyle name="Total 16 3" xfId="17394" xr:uid="{00000000-0005-0000-0000-00000F440000}"/>
    <cellStyle name="Total 17" xfId="17395" xr:uid="{00000000-0005-0000-0000-000010440000}"/>
    <cellStyle name="Total 17 2" xfId="17396" xr:uid="{00000000-0005-0000-0000-000011440000}"/>
    <cellStyle name="Total 17 3" xfId="17397" xr:uid="{00000000-0005-0000-0000-000012440000}"/>
    <cellStyle name="Total 18" xfId="17398" xr:uid="{00000000-0005-0000-0000-000013440000}"/>
    <cellStyle name="Total 18 2" xfId="17399" xr:uid="{00000000-0005-0000-0000-000014440000}"/>
    <cellStyle name="Total 18 3" xfId="17400" xr:uid="{00000000-0005-0000-0000-000015440000}"/>
    <cellStyle name="Total 19" xfId="17401" xr:uid="{00000000-0005-0000-0000-000016440000}"/>
    <cellStyle name="Total 19 2" xfId="17402" xr:uid="{00000000-0005-0000-0000-000017440000}"/>
    <cellStyle name="Total 19 3" xfId="17403" xr:uid="{00000000-0005-0000-0000-000018440000}"/>
    <cellStyle name="Total 2" xfId="17404" xr:uid="{00000000-0005-0000-0000-000019440000}"/>
    <cellStyle name="Total 2 10" xfId="17405" xr:uid="{00000000-0005-0000-0000-00001A440000}"/>
    <cellStyle name="Total 2 10 2" xfId="17406" xr:uid="{00000000-0005-0000-0000-00001B440000}"/>
    <cellStyle name="Total 2 10 3" xfId="17407" xr:uid="{00000000-0005-0000-0000-00001C440000}"/>
    <cellStyle name="Total 2 10 4" xfId="17408" xr:uid="{00000000-0005-0000-0000-00001D440000}"/>
    <cellStyle name="Total 2 11" xfId="17409" xr:uid="{00000000-0005-0000-0000-00001E440000}"/>
    <cellStyle name="Total 2 12" xfId="17410" xr:uid="{00000000-0005-0000-0000-00001F440000}"/>
    <cellStyle name="Total 2 13" xfId="17411" xr:uid="{00000000-0005-0000-0000-000020440000}"/>
    <cellStyle name="Total 2 14" xfId="17412" xr:uid="{00000000-0005-0000-0000-000021440000}"/>
    <cellStyle name="Total 2 2" xfId="17413" xr:uid="{00000000-0005-0000-0000-000022440000}"/>
    <cellStyle name="Total 2 2 2" xfId="17414" xr:uid="{00000000-0005-0000-0000-000023440000}"/>
    <cellStyle name="Total 2 2 3" xfId="17415" xr:uid="{00000000-0005-0000-0000-000024440000}"/>
    <cellStyle name="Total 2 2 4" xfId="17416" xr:uid="{00000000-0005-0000-0000-000025440000}"/>
    <cellStyle name="Total 2 2_DACNEW" xfId="17786" xr:uid="{00000000-0005-0000-0000-000026440000}"/>
    <cellStyle name="Total 2 3" xfId="17417" xr:uid="{00000000-0005-0000-0000-000027440000}"/>
    <cellStyle name="Total 2 3 2" xfId="17418" xr:uid="{00000000-0005-0000-0000-000028440000}"/>
    <cellStyle name="Total 2 3 3" xfId="17419" xr:uid="{00000000-0005-0000-0000-000029440000}"/>
    <cellStyle name="Total 2 3 4" xfId="17420" xr:uid="{00000000-0005-0000-0000-00002A440000}"/>
    <cellStyle name="Total 2 4" xfId="17421" xr:uid="{00000000-0005-0000-0000-00002B440000}"/>
    <cellStyle name="Total 2 4 2" xfId="17422" xr:uid="{00000000-0005-0000-0000-00002C440000}"/>
    <cellStyle name="Total 2 4 3" xfId="17423" xr:uid="{00000000-0005-0000-0000-00002D440000}"/>
    <cellStyle name="Total 2 4 4" xfId="17424" xr:uid="{00000000-0005-0000-0000-00002E440000}"/>
    <cellStyle name="Total 2 5" xfId="17425" xr:uid="{00000000-0005-0000-0000-00002F440000}"/>
    <cellStyle name="Total 2 5 2" xfId="17426" xr:uid="{00000000-0005-0000-0000-000030440000}"/>
    <cellStyle name="Total 2 5 3" xfId="17427" xr:uid="{00000000-0005-0000-0000-000031440000}"/>
    <cellStyle name="Total 2 5 4" xfId="17428" xr:uid="{00000000-0005-0000-0000-000032440000}"/>
    <cellStyle name="Total 2 6" xfId="17429" xr:uid="{00000000-0005-0000-0000-000033440000}"/>
    <cellStyle name="Total 2 6 2" xfId="17430" xr:uid="{00000000-0005-0000-0000-000034440000}"/>
    <cellStyle name="Total 2 6 3" xfId="17431" xr:uid="{00000000-0005-0000-0000-000035440000}"/>
    <cellStyle name="Total 2 6 4" xfId="17432" xr:uid="{00000000-0005-0000-0000-000036440000}"/>
    <cellStyle name="Total 2 7" xfId="17433" xr:uid="{00000000-0005-0000-0000-000037440000}"/>
    <cellStyle name="Total 2 7 2" xfId="17434" xr:uid="{00000000-0005-0000-0000-000038440000}"/>
    <cellStyle name="Total 2 7 3" xfId="17435" xr:uid="{00000000-0005-0000-0000-000039440000}"/>
    <cellStyle name="Total 2 7 4" xfId="17436" xr:uid="{00000000-0005-0000-0000-00003A440000}"/>
    <cellStyle name="Total 2 8" xfId="17437" xr:uid="{00000000-0005-0000-0000-00003B440000}"/>
    <cellStyle name="Total 2 8 2" xfId="17438" xr:uid="{00000000-0005-0000-0000-00003C440000}"/>
    <cellStyle name="Total 2 8 3" xfId="17439" xr:uid="{00000000-0005-0000-0000-00003D440000}"/>
    <cellStyle name="Total 2 8 4" xfId="17440" xr:uid="{00000000-0005-0000-0000-00003E440000}"/>
    <cellStyle name="Total 2 9" xfId="17441" xr:uid="{00000000-0005-0000-0000-00003F440000}"/>
    <cellStyle name="Total 2 9 2" xfId="17442" xr:uid="{00000000-0005-0000-0000-000040440000}"/>
    <cellStyle name="Total 2 9 3" xfId="17443" xr:uid="{00000000-0005-0000-0000-000041440000}"/>
    <cellStyle name="Total 2 9 4" xfId="17444" xr:uid="{00000000-0005-0000-0000-000042440000}"/>
    <cellStyle name="Total 2_DACNEW" xfId="17785" xr:uid="{00000000-0005-0000-0000-000043440000}"/>
    <cellStyle name="Total 20" xfId="17445" xr:uid="{00000000-0005-0000-0000-000044440000}"/>
    <cellStyle name="Total 20 2" xfId="17446" xr:uid="{00000000-0005-0000-0000-000045440000}"/>
    <cellStyle name="Total 20 3" xfId="17447" xr:uid="{00000000-0005-0000-0000-000046440000}"/>
    <cellStyle name="Total 21" xfId="17448" xr:uid="{00000000-0005-0000-0000-000047440000}"/>
    <cellStyle name="Total 21 2" xfId="17449" xr:uid="{00000000-0005-0000-0000-000048440000}"/>
    <cellStyle name="Total 21 3" xfId="17450" xr:uid="{00000000-0005-0000-0000-000049440000}"/>
    <cellStyle name="Total 22" xfId="17451" xr:uid="{00000000-0005-0000-0000-00004A440000}"/>
    <cellStyle name="Total 22 2" xfId="17452" xr:uid="{00000000-0005-0000-0000-00004B440000}"/>
    <cellStyle name="Total 22 3" xfId="17453" xr:uid="{00000000-0005-0000-0000-00004C440000}"/>
    <cellStyle name="Total 23" xfId="17454" xr:uid="{00000000-0005-0000-0000-00004D440000}"/>
    <cellStyle name="Total 23 2" xfId="17455" xr:uid="{00000000-0005-0000-0000-00004E440000}"/>
    <cellStyle name="Total 23 3" xfId="17456" xr:uid="{00000000-0005-0000-0000-00004F440000}"/>
    <cellStyle name="Total 24" xfId="17457" xr:uid="{00000000-0005-0000-0000-000050440000}"/>
    <cellStyle name="Total 24 2" xfId="17458" xr:uid="{00000000-0005-0000-0000-000051440000}"/>
    <cellStyle name="Total 24 3" xfId="17459" xr:uid="{00000000-0005-0000-0000-000052440000}"/>
    <cellStyle name="Total 25" xfId="17460" xr:uid="{00000000-0005-0000-0000-000053440000}"/>
    <cellStyle name="Total 25 2" xfId="17461" xr:uid="{00000000-0005-0000-0000-000054440000}"/>
    <cellStyle name="Total 25 3" xfId="17462" xr:uid="{00000000-0005-0000-0000-000055440000}"/>
    <cellStyle name="Total 26" xfId="17463" xr:uid="{00000000-0005-0000-0000-000056440000}"/>
    <cellStyle name="Total 26 2" xfId="17464" xr:uid="{00000000-0005-0000-0000-000057440000}"/>
    <cellStyle name="Total 26 3" xfId="17465" xr:uid="{00000000-0005-0000-0000-000058440000}"/>
    <cellStyle name="Total 27" xfId="17466" xr:uid="{00000000-0005-0000-0000-000059440000}"/>
    <cellStyle name="Total 27 2" xfId="17467" xr:uid="{00000000-0005-0000-0000-00005A440000}"/>
    <cellStyle name="Total 27 3" xfId="17468" xr:uid="{00000000-0005-0000-0000-00005B440000}"/>
    <cellStyle name="Total 28" xfId="17469" xr:uid="{00000000-0005-0000-0000-00005C440000}"/>
    <cellStyle name="Total 28 2" xfId="17470" xr:uid="{00000000-0005-0000-0000-00005D440000}"/>
    <cellStyle name="Total 28 3" xfId="17471" xr:uid="{00000000-0005-0000-0000-00005E440000}"/>
    <cellStyle name="Total 29" xfId="17472" xr:uid="{00000000-0005-0000-0000-00005F440000}"/>
    <cellStyle name="Total 29 2" xfId="17473" xr:uid="{00000000-0005-0000-0000-000060440000}"/>
    <cellStyle name="Total 29 3" xfId="17474" xr:uid="{00000000-0005-0000-0000-000061440000}"/>
    <cellStyle name="Total 3" xfId="17475" xr:uid="{00000000-0005-0000-0000-000062440000}"/>
    <cellStyle name="Total 3 2" xfId="17476" xr:uid="{00000000-0005-0000-0000-000063440000}"/>
    <cellStyle name="Total 3 2 2" xfId="17477" xr:uid="{00000000-0005-0000-0000-000064440000}"/>
    <cellStyle name="Total 3 2 3" xfId="17478" xr:uid="{00000000-0005-0000-0000-000065440000}"/>
    <cellStyle name="Total 3 3" xfId="17479" xr:uid="{00000000-0005-0000-0000-000066440000}"/>
    <cellStyle name="Total 3 3 2" xfId="17480" xr:uid="{00000000-0005-0000-0000-000067440000}"/>
    <cellStyle name="Total 3 3 3" xfId="17481" xr:uid="{00000000-0005-0000-0000-000068440000}"/>
    <cellStyle name="Total 3 4" xfId="17482" xr:uid="{00000000-0005-0000-0000-000069440000}"/>
    <cellStyle name="Total 3 4 2" xfId="17483" xr:uid="{00000000-0005-0000-0000-00006A440000}"/>
    <cellStyle name="Total 3 4 3" xfId="17484" xr:uid="{00000000-0005-0000-0000-00006B440000}"/>
    <cellStyle name="Total 3 5" xfId="17485" xr:uid="{00000000-0005-0000-0000-00006C440000}"/>
    <cellStyle name="Total 3 6" xfId="17486" xr:uid="{00000000-0005-0000-0000-00006D440000}"/>
    <cellStyle name="Total 3 7" xfId="17487" xr:uid="{00000000-0005-0000-0000-00006E440000}"/>
    <cellStyle name="Total 30" xfId="17488" xr:uid="{00000000-0005-0000-0000-00006F440000}"/>
    <cellStyle name="Total 30 2" xfId="17489" xr:uid="{00000000-0005-0000-0000-000070440000}"/>
    <cellStyle name="Total 30 3" xfId="17490" xr:uid="{00000000-0005-0000-0000-000071440000}"/>
    <cellStyle name="Total 31" xfId="17491" xr:uid="{00000000-0005-0000-0000-000072440000}"/>
    <cellStyle name="Total 31 2" xfId="17492" xr:uid="{00000000-0005-0000-0000-000073440000}"/>
    <cellStyle name="Total 31 3" xfId="17493" xr:uid="{00000000-0005-0000-0000-000074440000}"/>
    <cellStyle name="Total 32" xfId="17494" xr:uid="{00000000-0005-0000-0000-000075440000}"/>
    <cellStyle name="Total 32 2" xfId="17495" xr:uid="{00000000-0005-0000-0000-000076440000}"/>
    <cellStyle name="Total 32 3" xfId="17496" xr:uid="{00000000-0005-0000-0000-000077440000}"/>
    <cellStyle name="Total 33" xfId="17497" xr:uid="{00000000-0005-0000-0000-000078440000}"/>
    <cellStyle name="Total 33 2" xfId="17498" xr:uid="{00000000-0005-0000-0000-000079440000}"/>
    <cellStyle name="Total 33 3" xfId="17499" xr:uid="{00000000-0005-0000-0000-00007A440000}"/>
    <cellStyle name="Total 34" xfId="17500" xr:uid="{00000000-0005-0000-0000-00007B440000}"/>
    <cellStyle name="Total 34 2" xfId="17501" xr:uid="{00000000-0005-0000-0000-00007C440000}"/>
    <cellStyle name="Total 34 3" xfId="17502" xr:uid="{00000000-0005-0000-0000-00007D440000}"/>
    <cellStyle name="Total 35" xfId="17503" xr:uid="{00000000-0005-0000-0000-00007E440000}"/>
    <cellStyle name="Total 35 2" xfId="17504" xr:uid="{00000000-0005-0000-0000-00007F440000}"/>
    <cellStyle name="Total 35 3" xfId="17505" xr:uid="{00000000-0005-0000-0000-000080440000}"/>
    <cellStyle name="Total 36" xfId="17506" xr:uid="{00000000-0005-0000-0000-000081440000}"/>
    <cellStyle name="Total 36 2" xfId="17507" xr:uid="{00000000-0005-0000-0000-000082440000}"/>
    <cellStyle name="Total 36 3" xfId="17508" xr:uid="{00000000-0005-0000-0000-000083440000}"/>
    <cellStyle name="Total 37" xfId="17509" xr:uid="{00000000-0005-0000-0000-000084440000}"/>
    <cellStyle name="Total 37 2" xfId="17510" xr:uid="{00000000-0005-0000-0000-000085440000}"/>
    <cellStyle name="Total 37 3" xfId="17511" xr:uid="{00000000-0005-0000-0000-000086440000}"/>
    <cellStyle name="Total 38" xfId="17512" xr:uid="{00000000-0005-0000-0000-000087440000}"/>
    <cellStyle name="Total 38 2" xfId="17513" xr:uid="{00000000-0005-0000-0000-000088440000}"/>
    <cellStyle name="Total 38 3" xfId="17514" xr:uid="{00000000-0005-0000-0000-000089440000}"/>
    <cellStyle name="Total 39" xfId="17515" xr:uid="{00000000-0005-0000-0000-00008A440000}"/>
    <cellStyle name="Total 39 2" xfId="17516" xr:uid="{00000000-0005-0000-0000-00008B440000}"/>
    <cellStyle name="Total 39 3" xfId="17517" xr:uid="{00000000-0005-0000-0000-00008C440000}"/>
    <cellStyle name="Total 4" xfId="17518" xr:uid="{00000000-0005-0000-0000-00008D440000}"/>
    <cellStyle name="Total 4 2" xfId="17519" xr:uid="{00000000-0005-0000-0000-00008E440000}"/>
    <cellStyle name="Total 4 3" xfId="17520" xr:uid="{00000000-0005-0000-0000-00008F440000}"/>
    <cellStyle name="Total 4 4" xfId="17521" xr:uid="{00000000-0005-0000-0000-000090440000}"/>
    <cellStyle name="Total 4 5" xfId="17522" xr:uid="{00000000-0005-0000-0000-000091440000}"/>
    <cellStyle name="Total 40" xfId="17523" xr:uid="{00000000-0005-0000-0000-000092440000}"/>
    <cellStyle name="Total 40 2" xfId="17524" xr:uid="{00000000-0005-0000-0000-000093440000}"/>
    <cellStyle name="Total 40 3" xfId="17525" xr:uid="{00000000-0005-0000-0000-000094440000}"/>
    <cellStyle name="Total 41" xfId="17526" xr:uid="{00000000-0005-0000-0000-000095440000}"/>
    <cellStyle name="Total 41 2" xfId="17527" xr:uid="{00000000-0005-0000-0000-000096440000}"/>
    <cellStyle name="Total 41 3" xfId="17528" xr:uid="{00000000-0005-0000-0000-000097440000}"/>
    <cellStyle name="Total 42" xfId="17529" xr:uid="{00000000-0005-0000-0000-000098440000}"/>
    <cellStyle name="Total 42 2" xfId="17530" xr:uid="{00000000-0005-0000-0000-000099440000}"/>
    <cellStyle name="Total 42 3" xfId="17531" xr:uid="{00000000-0005-0000-0000-00009A440000}"/>
    <cellStyle name="Total 43" xfId="17532" xr:uid="{00000000-0005-0000-0000-00009B440000}"/>
    <cellStyle name="Total 5" xfId="17533" xr:uid="{00000000-0005-0000-0000-00009C440000}"/>
    <cellStyle name="Total 5 2" xfId="17534" xr:uid="{00000000-0005-0000-0000-00009D440000}"/>
    <cellStyle name="Total 5 3" xfId="17535" xr:uid="{00000000-0005-0000-0000-00009E440000}"/>
    <cellStyle name="Total 5 4" xfId="17536" xr:uid="{00000000-0005-0000-0000-00009F440000}"/>
    <cellStyle name="Total 5 5" xfId="17537" xr:uid="{00000000-0005-0000-0000-0000A0440000}"/>
    <cellStyle name="Total 6" xfId="17538" xr:uid="{00000000-0005-0000-0000-0000A1440000}"/>
    <cellStyle name="Total 6 2" xfId="17539" xr:uid="{00000000-0005-0000-0000-0000A2440000}"/>
    <cellStyle name="Total 6 3" xfId="17540" xr:uid="{00000000-0005-0000-0000-0000A3440000}"/>
    <cellStyle name="Total 6 4" xfId="17541" xr:uid="{00000000-0005-0000-0000-0000A4440000}"/>
    <cellStyle name="Total 6 5" xfId="17542" xr:uid="{00000000-0005-0000-0000-0000A5440000}"/>
    <cellStyle name="Total 7" xfId="17543" xr:uid="{00000000-0005-0000-0000-0000A6440000}"/>
    <cellStyle name="Total 7 2" xfId="17544" xr:uid="{00000000-0005-0000-0000-0000A7440000}"/>
    <cellStyle name="Total 7 3" xfId="17545" xr:uid="{00000000-0005-0000-0000-0000A8440000}"/>
    <cellStyle name="Total 8" xfId="17546" xr:uid="{00000000-0005-0000-0000-0000A9440000}"/>
    <cellStyle name="Total 8 2" xfId="17547" xr:uid="{00000000-0005-0000-0000-0000AA440000}"/>
    <cellStyle name="Total 8 3" xfId="17548" xr:uid="{00000000-0005-0000-0000-0000AB440000}"/>
    <cellStyle name="Total 9" xfId="17549" xr:uid="{00000000-0005-0000-0000-0000AC440000}"/>
    <cellStyle name="Total 9 2" xfId="17550" xr:uid="{00000000-0005-0000-0000-0000AD440000}"/>
    <cellStyle name="Total 9 3" xfId="17551" xr:uid="{00000000-0005-0000-0000-0000AE440000}"/>
    <cellStyle name="Valore valido" xfId="17770" xr:uid="{00000000-0005-0000-0000-0000AF440000}"/>
    <cellStyle name="Valuutta_BL4R2" xfId="17771" xr:uid="{00000000-0005-0000-0000-0000B0440000}"/>
    <cellStyle name="Verknüpfte Zelle" xfId="17567" xr:uid="{00000000-0005-0000-0000-0000B1440000}"/>
    <cellStyle name="Verknüpfte Zelle 2" xfId="17568" xr:uid="{00000000-0005-0000-0000-0000B2440000}"/>
    <cellStyle name="Verknüpfte Zelle 3" xfId="17569" xr:uid="{00000000-0005-0000-0000-0000B3440000}"/>
    <cellStyle name="Warnender Text" xfId="17570" xr:uid="{00000000-0005-0000-0000-0000B4440000}"/>
    <cellStyle name="Warnender Text 2" xfId="17571" xr:uid="{00000000-0005-0000-0000-0000B5440000}"/>
    <cellStyle name="Warnender Text 3" xfId="17572" xr:uid="{00000000-0005-0000-0000-0000B6440000}"/>
    <cellStyle name="Warning Text 10" xfId="17573" xr:uid="{00000000-0005-0000-0000-0000B7440000}"/>
    <cellStyle name="Warning Text 10 2" xfId="17574" xr:uid="{00000000-0005-0000-0000-0000B8440000}"/>
    <cellStyle name="Warning Text 10 3" xfId="17575" xr:uid="{00000000-0005-0000-0000-0000B9440000}"/>
    <cellStyle name="Warning Text 11" xfId="17576" xr:uid="{00000000-0005-0000-0000-0000BA440000}"/>
    <cellStyle name="Warning Text 11 2" xfId="17577" xr:uid="{00000000-0005-0000-0000-0000BB440000}"/>
    <cellStyle name="Warning Text 11 3" xfId="17578" xr:uid="{00000000-0005-0000-0000-0000BC440000}"/>
    <cellStyle name="Warning Text 12" xfId="17579" xr:uid="{00000000-0005-0000-0000-0000BD440000}"/>
    <cellStyle name="Warning Text 12 2" xfId="17580" xr:uid="{00000000-0005-0000-0000-0000BE440000}"/>
    <cellStyle name="Warning Text 12 3" xfId="17581" xr:uid="{00000000-0005-0000-0000-0000BF440000}"/>
    <cellStyle name="Warning Text 13" xfId="17582" xr:uid="{00000000-0005-0000-0000-0000C0440000}"/>
    <cellStyle name="Warning Text 13 2" xfId="17583" xr:uid="{00000000-0005-0000-0000-0000C1440000}"/>
    <cellStyle name="Warning Text 13 3" xfId="17584" xr:uid="{00000000-0005-0000-0000-0000C2440000}"/>
    <cellStyle name="Warning Text 14" xfId="17585" xr:uid="{00000000-0005-0000-0000-0000C3440000}"/>
    <cellStyle name="Warning Text 14 2" xfId="17586" xr:uid="{00000000-0005-0000-0000-0000C4440000}"/>
    <cellStyle name="Warning Text 14 3" xfId="17587" xr:uid="{00000000-0005-0000-0000-0000C5440000}"/>
    <cellStyle name="Warning Text 15" xfId="17588" xr:uid="{00000000-0005-0000-0000-0000C6440000}"/>
    <cellStyle name="Warning Text 15 2" xfId="17589" xr:uid="{00000000-0005-0000-0000-0000C7440000}"/>
    <cellStyle name="Warning Text 15 3" xfId="17590" xr:uid="{00000000-0005-0000-0000-0000C8440000}"/>
    <cellStyle name="Warning Text 16" xfId="17591" xr:uid="{00000000-0005-0000-0000-0000C9440000}"/>
    <cellStyle name="Warning Text 16 2" xfId="17592" xr:uid="{00000000-0005-0000-0000-0000CA440000}"/>
    <cellStyle name="Warning Text 16 3" xfId="17593" xr:uid="{00000000-0005-0000-0000-0000CB440000}"/>
    <cellStyle name="Warning Text 17" xfId="17594" xr:uid="{00000000-0005-0000-0000-0000CC440000}"/>
    <cellStyle name="Warning Text 17 2" xfId="17595" xr:uid="{00000000-0005-0000-0000-0000CD440000}"/>
    <cellStyle name="Warning Text 17 3" xfId="17596" xr:uid="{00000000-0005-0000-0000-0000CE440000}"/>
    <cellStyle name="Warning Text 18" xfId="17597" xr:uid="{00000000-0005-0000-0000-0000CF440000}"/>
    <cellStyle name="Warning Text 18 2" xfId="17598" xr:uid="{00000000-0005-0000-0000-0000D0440000}"/>
    <cellStyle name="Warning Text 18 3" xfId="17599" xr:uid="{00000000-0005-0000-0000-0000D1440000}"/>
    <cellStyle name="Warning Text 19" xfId="17600" xr:uid="{00000000-0005-0000-0000-0000D2440000}"/>
    <cellStyle name="Warning Text 19 2" xfId="17601" xr:uid="{00000000-0005-0000-0000-0000D3440000}"/>
    <cellStyle name="Warning Text 19 3" xfId="17602" xr:uid="{00000000-0005-0000-0000-0000D4440000}"/>
    <cellStyle name="Warning Text 2" xfId="17603" xr:uid="{00000000-0005-0000-0000-0000D5440000}"/>
    <cellStyle name="Warning Text 2 10" xfId="17604" xr:uid="{00000000-0005-0000-0000-0000D6440000}"/>
    <cellStyle name="Warning Text 2 10 2" xfId="17605" xr:uid="{00000000-0005-0000-0000-0000D7440000}"/>
    <cellStyle name="Warning Text 2 10 3" xfId="17606" xr:uid="{00000000-0005-0000-0000-0000D8440000}"/>
    <cellStyle name="Warning Text 2 10 4" xfId="17607" xr:uid="{00000000-0005-0000-0000-0000D9440000}"/>
    <cellStyle name="Warning Text 2 11" xfId="17608" xr:uid="{00000000-0005-0000-0000-0000DA440000}"/>
    <cellStyle name="Warning Text 2 12" xfId="17609" xr:uid="{00000000-0005-0000-0000-0000DB440000}"/>
    <cellStyle name="Warning Text 2 13" xfId="17610" xr:uid="{00000000-0005-0000-0000-0000DC440000}"/>
    <cellStyle name="Warning Text 2 2" xfId="17611" xr:uid="{00000000-0005-0000-0000-0000DD440000}"/>
    <cellStyle name="Warning Text 2 2 2" xfId="17612" xr:uid="{00000000-0005-0000-0000-0000DE440000}"/>
    <cellStyle name="Warning Text 2 2 3" xfId="17613" xr:uid="{00000000-0005-0000-0000-0000DF440000}"/>
    <cellStyle name="Warning Text 2 2 4" xfId="17614" xr:uid="{00000000-0005-0000-0000-0000E0440000}"/>
    <cellStyle name="Warning Text 2 3" xfId="17615" xr:uid="{00000000-0005-0000-0000-0000E1440000}"/>
    <cellStyle name="Warning Text 2 3 2" xfId="17616" xr:uid="{00000000-0005-0000-0000-0000E2440000}"/>
    <cellStyle name="Warning Text 2 3 3" xfId="17617" xr:uid="{00000000-0005-0000-0000-0000E3440000}"/>
    <cellStyle name="Warning Text 2 3 4" xfId="17618" xr:uid="{00000000-0005-0000-0000-0000E4440000}"/>
    <cellStyle name="Warning Text 2 4" xfId="17619" xr:uid="{00000000-0005-0000-0000-0000E5440000}"/>
    <cellStyle name="Warning Text 2 4 2" xfId="17620" xr:uid="{00000000-0005-0000-0000-0000E6440000}"/>
    <cellStyle name="Warning Text 2 4 3" xfId="17621" xr:uid="{00000000-0005-0000-0000-0000E7440000}"/>
    <cellStyle name="Warning Text 2 4 4" xfId="17622" xr:uid="{00000000-0005-0000-0000-0000E8440000}"/>
    <cellStyle name="Warning Text 2 5" xfId="17623" xr:uid="{00000000-0005-0000-0000-0000E9440000}"/>
    <cellStyle name="Warning Text 2 5 2" xfId="17624" xr:uid="{00000000-0005-0000-0000-0000EA440000}"/>
    <cellStyle name="Warning Text 2 5 3" xfId="17625" xr:uid="{00000000-0005-0000-0000-0000EB440000}"/>
    <cellStyle name="Warning Text 2 5 4" xfId="17626" xr:uid="{00000000-0005-0000-0000-0000EC440000}"/>
    <cellStyle name="Warning Text 2 6" xfId="17627" xr:uid="{00000000-0005-0000-0000-0000ED440000}"/>
    <cellStyle name="Warning Text 2 6 2" xfId="17628" xr:uid="{00000000-0005-0000-0000-0000EE440000}"/>
    <cellStyle name="Warning Text 2 6 3" xfId="17629" xr:uid="{00000000-0005-0000-0000-0000EF440000}"/>
    <cellStyle name="Warning Text 2 6 4" xfId="17630" xr:uid="{00000000-0005-0000-0000-0000F0440000}"/>
    <cellStyle name="Warning Text 2 7" xfId="17631" xr:uid="{00000000-0005-0000-0000-0000F1440000}"/>
    <cellStyle name="Warning Text 2 7 2" xfId="17632" xr:uid="{00000000-0005-0000-0000-0000F2440000}"/>
    <cellStyle name="Warning Text 2 7 3" xfId="17633" xr:uid="{00000000-0005-0000-0000-0000F3440000}"/>
    <cellStyle name="Warning Text 2 7 4" xfId="17634" xr:uid="{00000000-0005-0000-0000-0000F4440000}"/>
    <cellStyle name="Warning Text 2 8" xfId="17635" xr:uid="{00000000-0005-0000-0000-0000F5440000}"/>
    <cellStyle name="Warning Text 2 8 2" xfId="17636" xr:uid="{00000000-0005-0000-0000-0000F6440000}"/>
    <cellStyle name="Warning Text 2 8 3" xfId="17637" xr:uid="{00000000-0005-0000-0000-0000F7440000}"/>
    <cellStyle name="Warning Text 2 8 4" xfId="17638" xr:uid="{00000000-0005-0000-0000-0000F8440000}"/>
    <cellStyle name="Warning Text 2 9" xfId="17639" xr:uid="{00000000-0005-0000-0000-0000F9440000}"/>
    <cellStyle name="Warning Text 2 9 2" xfId="17640" xr:uid="{00000000-0005-0000-0000-0000FA440000}"/>
    <cellStyle name="Warning Text 2 9 3" xfId="17641" xr:uid="{00000000-0005-0000-0000-0000FB440000}"/>
    <cellStyle name="Warning Text 2 9 4" xfId="17642" xr:uid="{00000000-0005-0000-0000-0000FC440000}"/>
    <cellStyle name="Warning Text 20" xfId="17643" xr:uid="{00000000-0005-0000-0000-0000FD440000}"/>
    <cellStyle name="Warning Text 20 2" xfId="17644" xr:uid="{00000000-0005-0000-0000-0000FE440000}"/>
    <cellStyle name="Warning Text 20 3" xfId="17645" xr:uid="{00000000-0005-0000-0000-0000FF440000}"/>
    <cellStyle name="Warning Text 21" xfId="17646" xr:uid="{00000000-0005-0000-0000-000000450000}"/>
    <cellStyle name="Warning Text 21 2" xfId="17647" xr:uid="{00000000-0005-0000-0000-000001450000}"/>
    <cellStyle name="Warning Text 21 3" xfId="17648" xr:uid="{00000000-0005-0000-0000-000002450000}"/>
    <cellStyle name="Warning Text 22" xfId="17649" xr:uid="{00000000-0005-0000-0000-000003450000}"/>
    <cellStyle name="Warning Text 22 2" xfId="17650" xr:uid="{00000000-0005-0000-0000-000004450000}"/>
    <cellStyle name="Warning Text 22 3" xfId="17651" xr:uid="{00000000-0005-0000-0000-000005450000}"/>
    <cellStyle name="Warning Text 23" xfId="17652" xr:uid="{00000000-0005-0000-0000-000006450000}"/>
    <cellStyle name="Warning Text 23 2" xfId="17653" xr:uid="{00000000-0005-0000-0000-000007450000}"/>
    <cellStyle name="Warning Text 23 3" xfId="17654" xr:uid="{00000000-0005-0000-0000-000008450000}"/>
    <cellStyle name="Warning Text 24" xfId="17655" xr:uid="{00000000-0005-0000-0000-000009450000}"/>
    <cellStyle name="Warning Text 24 2" xfId="17656" xr:uid="{00000000-0005-0000-0000-00000A450000}"/>
    <cellStyle name="Warning Text 24 3" xfId="17657" xr:uid="{00000000-0005-0000-0000-00000B450000}"/>
    <cellStyle name="Warning Text 25" xfId="17658" xr:uid="{00000000-0005-0000-0000-00000C450000}"/>
    <cellStyle name="Warning Text 25 2" xfId="17659" xr:uid="{00000000-0005-0000-0000-00000D450000}"/>
    <cellStyle name="Warning Text 25 3" xfId="17660" xr:uid="{00000000-0005-0000-0000-00000E450000}"/>
    <cellStyle name="Warning Text 26" xfId="17661" xr:uid="{00000000-0005-0000-0000-00000F450000}"/>
    <cellStyle name="Warning Text 26 2" xfId="17662" xr:uid="{00000000-0005-0000-0000-000010450000}"/>
    <cellStyle name="Warning Text 26 3" xfId="17663" xr:uid="{00000000-0005-0000-0000-000011450000}"/>
    <cellStyle name="Warning Text 27" xfId="17664" xr:uid="{00000000-0005-0000-0000-000012450000}"/>
    <cellStyle name="Warning Text 27 2" xfId="17665" xr:uid="{00000000-0005-0000-0000-000013450000}"/>
    <cellStyle name="Warning Text 27 3" xfId="17666" xr:uid="{00000000-0005-0000-0000-000014450000}"/>
    <cellStyle name="Warning Text 28" xfId="17667" xr:uid="{00000000-0005-0000-0000-000015450000}"/>
    <cellStyle name="Warning Text 28 2" xfId="17668" xr:uid="{00000000-0005-0000-0000-000016450000}"/>
    <cellStyle name="Warning Text 28 3" xfId="17669" xr:uid="{00000000-0005-0000-0000-000017450000}"/>
    <cellStyle name="Warning Text 29" xfId="17670" xr:uid="{00000000-0005-0000-0000-000018450000}"/>
    <cellStyle name="Warning Text 29 2" xfId="17671" xr:uid="{00000000-0005-0000-0000-000019450000}"/>
    <cellStyle name="Warning Text 29 3" xfId="17672" xr:uid="{00000000-0005-0000-0000-00001A450000}"/>
    <cellStyle name="Warning Text 3" xfId="17673" xr:uid="{00000000-0005-0000-0000-00001B450000}"/>
    <cellStyle name="Warning Text 3 2" xfId="17674" xr:uid="{00000000-0005-0000-0000-00001C450000}"/>
    <cellStyle name="Warning Text 3 2 2" xfId="17675" xr:uid="{00000000-0005-0000-0000-00001D450000}"/>
    <cellStyle name="Warning Text 3 2 3" xfId="17676" xr:uid="{00000000-0005-0000-0000-00001E450000}"/>
    <cellStyle name="Warning Text 3 3" xfId="17677" xr:uid="{00000000-0005-0000-0000-00001F450000}"/>
    <cellStyle name="Warning Text 3 4" xfId="17678" xr:uid="{00000000-0005-0000-0000-000020450000}"/>
    <cellStyle name="Warning Text 3 5" xfId="17679" xr:uid="{00000000-0005-0000-0000-000021450000}"/>
    <cellStyle name="Warning Text 30" xfId="17680" xr:uid="{00000000-0005-0000-0000-000022450000}"/>
    <cellStyle name="Warning Text 30 2" xfId="17681" xr:uid="{00000000-0005-0000-0000-000023450000}"/>
    <cellStyle name="Warning Text 30 3" xfId="17682" xr:uid="{00000000-0005-0000-0000-000024450000}"/>
    <cellStyle name="Warning Text 31" xfId="17683" xr:uid="{00000000-0005-0000-0000-000025450000}"/>
    <cellStyle name="Warning Text 31 2" xfId="17684" xr:uid="{00000000-0005-0000-0000-000026450000}"/>
    <cellStyle name="Warning Text 31 3" xfId="17685" xr:uid="{00000000-0005-0000-0000-000027450000}"/>
    <cellStyle name="Warning Text 32" xfId="17686" xr:uid="{00000000-0005-0000-0000-000028450000}"/>
    <cellStyle name="Warning Text 32 2" xfId="17687" xr:uid="{00000000-0005-0000-0000-000029450000}"/>
    <cellStyle name="Warning Text 32 3" xfId="17688" xr:uid="{00000000-0005-0000-0000-00002A450000}"/>
    <cellStyle name="Warning Text 33" xfId="17689" xr:uid="{00000000-0005-0000-0000-00002B450000}"/>
    <cellStyle name="Warning Text 33 2" xfId="17690" xr:uid="{00000000-0005-0000-0000-00002C450000}"/>
    <cellStyle name="Warning Text 33 3" xfId="17691" xr:uid="{00000000-0005-0000-0000-00002D450000}"/>
    <cellStyle name="Warning Text 34" xfId="17692" xr:uid="{00000000-0005-0000-0000-00002E450000}"/>
    <cellStyle name="Warning Text 34 2" xfId="17693" xr:uid="{00000000-0005-0000-0000-00002F450000}"/>
    <cellStyle name="Warning Text 34 3" xfId="17694" xr:uid="{00000000-0005-0000-0000-000030450000}"/>
    <cellStyle name="Warning Text 35" xfId="17695" xr:uid="{00000000-0005-0000-0000-000031450000}"/>
    <cellStyle name="Warning Text 35 2" xfId="17696" xr:uid="{00000000-0005-0000-0000-000032450000}"/>
    <cellStyle name="Warning Text 35 3" xfId="17697" xr:uid="{00000000-0005-0000-0000-000033450000}"/>
    <cellStyle name="Warning Text 36" xfId="17698" xr:uid="{00000000-0005-0000-0000-000034450000}"/>
    <cellStyle name="Warning Text 36 2" xfId="17699" xr:uid="{00000000-0005-0000-0000-000035450000}"/>
    <cellStyle name="Warning Text 36 3" xfId="17700" xr:uid="{00000000-0005-0000-0000-000036450000}"/>
    <cellStyle name="Warning Text 37" xfId="17701" xr:uid="{00000000-0005-0000-0000-000037450000}"/>
    <cellStyle name="Warning Text 37 2" xfId="17702" xr:uid="{00000000-0005-0000-0000-000038450000}"/>
    <cellStyle name="Warning Text 37 3" xfId="17703" xr:uid="{00000000-0005-0000-0000-000039450000}"/>
    <cellStyle name="Warning Text 38" xfId="17704" xr:uid="{00000000-0005-0000-0000-00003A450000}"/>
    <cellStyle name="Warning Text 38 2" xfId="17705" xr:uid="{00000000-0005-0000-0000-00003B450000}"/>
    <cellStyle name="Warning Text 38 3" xfId="17706" xr:uid="{00000000-0005-0000-0000-00003C450000}"/>
    <cellStyle name="Warning Text 39" xfId="17707" xr:uid="{00000000-0005-0000-0000-00003D450000}"/>
    <cellStyle name="Warning Text 39 2" xfId="17708" xr:uid="{00000000-0005-0000-0000-00003E450000}"/>
    <cellStyle name="Warning Text 39 3" xfId="17709" xr:uid="{00000000-0005-0000-0000-00003F450000}"/>
    <cellStyle name="Warning Text 4" xfId="17710" xr:uid="{00000000-0005-0000-0000-000040450000}"/>
    <cellStyle name="Warning Text 4 2" xfId="17711" xr:uid="{00000000-0005-0000-0000-000041450000}"/>
    <cellStyle name="Warning Text 4 3" xfId="17712" xr:uid="{00000000-0005-0000-0000-000042450000}"/>
    <cellStyle name="Warning Text 4 4" xfId="17713" xr:uid="{00000000-0005-0000-0000-000043450000}"/>
    <cellStyle name="Warning Text 4 5" xfId="17714" xr:uid="{00000000-0005-0000-0000-000044450000}"/>
    <cellStyle name="Warning Text 40" xfId="17715" xr:uid="{00000000-0005-0000-0000-000045450000}"/>
    <cellStyle name="Warning Text 40 2" xfId="17716" xr:uid="{00000000-0005-0000-0000-000046450000}"/>
    <cellStyle name="Warning Text 40 3" xfId="17717" xr:uid="{00000000-0005-0000-0000-000047450000}"/>
    <cellStyle name="Warning Text 41" xfId="17718" xr:uid="{00000000-0005-0000-0000-000048450000}"/>
    <cellStyle name="Warning Text 41 2" xfId="17719" xr:uid="{00000000-0005-0000-0000-000049450000}"/>
    <cellStyle name="Warning Text 41 3" xfId="17720" xr:uid="{00000000-0005-0000-0000-00004A450000}"/>
    <cellStyle name="Warning Text 42" xfId="17721" xr:uid="{00000000-0005-0000-0000-00004B450000}"/>
    <cellStyle name="Warning Text 5" xfId="17722" xr:uid="{00000000-0005-0000-0000-00004C450000}"/>
    <cellStyle name="Warning Text 5 2" xfId="17723" xr:uid="{00000000-0005-0000-0000-00004D450000}"/>
    <cellStyle name="Warning Text 5 3" xfId="17724" xr:uid="{00000000-0005-0000-0000-00004E450000}"/>
    <cellStyle name="Warning Text 5 4" xfId="17725" xr:uid="{00000000-0005-0000-0000-00004F450000}"/>
    <cellStyle name="Warning Text 5 5" xfId="17726" xr:uid="{00000000-0005-0000-0000-000050450000}"/>
    <cellStyle name="Warning Text 6" xfId="17727" xr:uid="{00000000-0005-0000-0000-000051450000}"/>
    <cellStyle name="Warning Text 6 2" xfId="17728" xr:uid="{00000000-0005-0000-0000-000052450000}"/>
    <cellStyle name="Warning Text 6 3" xfId="17729" xr:uid="{00000000-0005-0000-0000-000053450000}"/>
    <cellStyle name="Warning Text 6 4" xfId="17730" xr:uid="{00000000-0005-0000-0000-000054450000}"/>
    <cellStyle name="Warning Text 6 5" xfId="17731" xr:uid="{00000000-0005-0000-0000-000055450000}"/>
    <cellStyle name="Warning Text 7" xfId="17732" xr:uid="{00000000-0005-0000-0000-000056450000}"/>
    <cellStyle name="Warning Text 7 2" xfId="17733" xr:uid="{00000000-0005-0000-0000-000057450000}"/>
    <cellStyle name="Warning Text 7 3" xfId="17734" xr:uid="{00000000-0005-0000-0000-000058450000}"/>
    <cellStyle name="Warning Text 8" xfId="17735" xr:uid="{00000000-0005-0000-0000-000059450000}"/>
    <cellStyle name="Warning Text 8 2" xfId="17736" xr:uid="{00000000-0005-0000-0000-00005A450000}"/>
    <cellStyle name="Warning Text 8 3" xfId="17737" xr:uid="{00000000-0005-0000-0000-00005B450000}"/>
    <cellStyle name="Warning Text 9" xfId="17738" xr:uid="{00000000-0005-0000-0000-00005C450000}"/>
    <cellStyle name="Warning Text 9 2" xfId="17739" xr:uid="{00000000-0005-0000-0000-00005D450000}"/>
    <cellStyle name="Warning Text 9 3" xfId="17740" xr:uid="{00000000-0005-0000-0000-00005E450000}"/>
    <cellStyle name="Überschrift" xfId="17552" xr:uid="{00000000-0005-0000-0000-00005F450000}"/>
    <cellStyle name="Überschrift 1" xfId="17553" xr:uid="{00000000-0005-0000-0000-000060450000}"/>
    <cellStyle name="Überschrift 1 2" xfId="17554" xr:uid="{00000000-0005-0000-0000-000061450000}"/>
    <cellStyle name="Überschrift 1 3" xfId="17555" xr:uid="{00000000-0005-0000-0000-000062450000}"/>
    <cellStyle name="Überschrift 2" xfId="17556" xr:uid="{00000000-0005-0000-0000-000063450000}"/>
    <cellStyle name="Überschrift 2 2" xfId="17557" xr:uid="{00000000-0005-0000-0000-000064450000}"/>
    <cellStyle name="Überschrift 2 3" xfId="17558" xr:uid="{00000000-0005-0000-0000-000065450000}"/>
    <cellStyle name="Überschrift 3" xfId="17559" xr:uid="{00000000-0005-0000-0000-000066450000}"/>
    <cellStyle name="Überschrift 3 2" xfId="17560" xr:uid="{00000000-0005-0000-0000-000067450000}"/>
    <cellStyle name="Überschrift 3 3" xfId="17561" xr:uid="{00000000-0005-0000-0000-000068450000}"/>
    <cellStyle name="Überschrift 4" xfId="17562" xr:uid="{00000000-0005-0000-0000-000069450000}"/>
    <cellStyle name="Überschrift 4 2" xfId="17563" xr:uid="{00000000-0005-0000-0000-00006A450000}"/>
    <cellStyle name="Überschrift 4 3" xfId="17564" xr:uid="{00000000-0005-0000-0000-00006B450000}"/>
    <cellStyle name="Überschrift 5" xfId="17565" xr:uid="{00000000-0005-0000-0000-00006C450000}"/>
    <cellStyle name="Überschrift 6" xfId="17566" xr:uid="{00000000-0005-0000-0000-00006D450000}"/>
    <cellStyle name="Year" xfId="17741" xr:uid="{00000000-0005-0000-0000-00006E450000}"/>
    <cellStyle name="Zelle überprüfen" xfId="17742" xr:uid="{00000000-0005-0000-0000-00006F450000}"/>
    <cellStyle name="Zelle überprüfen 2" xfId="17743" xr:uid="{00000000-0005-0000-0000-000070450000}"/>
    <cellStyle name="Zelle überprüfen 3" xfId="17744" xr:uid="{00000000-0005-0000-0000-000071450000}"/>
    <cellStyle name="Гиперссылка" xfId="17745" xr:uid="{00000000-0005-0000-0000-000072450000}"/>
    <cellStyle name="Гиперссылка 2" xfId="17746" xr:uid="{00000000-0005-0000-0000-000073450000}"/>
    <cellStyle name="Гиперссылка 3" xfId="17747" xr:uid="{00000000-0005-0000-0000-000074450000}"/>
    <cellStyle name="Гиперссылка 4" xfId="17748" xr:uid="{00000000-0005-0000-0000-000075450000}"/>
    <cellStyle name="Обычный_2++" xfId="17749" xr:uid="{00000000-0005-0000-0000-000076450000}"/>
    <cellStyle name="已访问的超链接" xfId="17750" xr:uid="{00000000-0005-0000-0000-000077450000}"/>
    <cellStyle name="已访问的超链接 2" xfId="17751" xr:uid="{00000000-0005-0000-0000-000078450000}"/>
    <cellStyle name="已访问的超链接 3" xfId="17752" xr:uid="{00000000-0005-0000-0000-000079450000}"/>
    <cellStyle name="已访问的超链接 4" xfId="17753" xr:uid="{00000000-0005-0000-0000-00007A450000}"/>
  </cellStyles>
  <dxfs count="0"/>
  <tableStyles count="0" defaultTableStyle="TableStyleMedium9" defaultPivotStyle="PivotStyleLight16"/>
  <colors>
    <mruColors>
      <color rgb="FFCCECFF"/>
      <color rgb="FFCCCCFF"/>
      <color rgb="FF0070C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388620</xdr:colOff>
      <xdr:row>82</xdr:row>
      <xdr:rowOff>26670</xdr:rowOff>
    </xdr:from>
    <xdr:to>
      <xdr:col>18</xdr:col>
      <xdr:colOff>443865</xdr:colOff>
      <xdr:row>121</xdr:row>
      <xdr:rowOff>66679</xdr:rowOff>
    </xdr:to>
    <xdr:sp macro="" textlink="">
      <xdr:nvSpPr>
        <xdr:cNvPr id="2" name="TextBox 1">
          <a:extLst>
            <a:ext uri="{FF2B5EF4-FFF2-40B4-BE49-F238E27FC236}">
              <a16:creationId xmlns:a16="http://schemas.microsoft.com/office/drawing/2014/main" id="{6D49AD37-526E-4BA8-BA89-5571ABD2C98D}"/>
            </a:ext>
          </a:extLst>
        </xdr:cNvPr>
        <xdr:cNvSpPr txBox="1"/>
      </xdr:nvSpPr>
      <xdr:spPr>
        <a:xfrm>
          <a:off x="13192125" y="3762375"/>
          <a:ext cx="4333875" cy="6848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100"/>
            </a:lnSpc>
          </a:pPr>
          <a:r>
            <a:rPr lang="en-GB" sz="1100">
              <a:solidFill>
                <a:schemeClr val="dk1"/>
              </a:solidFill>
              <a:effectLst/>
              <a:latin typeface="+mn-lt"/>
              <a:ea typeface="+mn-ea"/>
              <a:cs typeface="+mn-cs"/>
            </a:rPr>
            <a:t>I have checked the information from their pdf. Looks like the key to increase the efficiency has been to change an electrolyser that hydrolyses water in liquid state, to an hydrolyser that hydrolyses water in vapour state (i.e. increasing the temperature). According to what I have read before, the interesting part of doing an electrolysis a such high T, is to co-electrolyse H2 and CO2, to produce the syngas. However, for some reason (I think to take advantage from their previous flowsheet?, or maybe to have the O2 directly separated?) they produce the H2, and then they mix it with CO2 to produce the syngas.</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This is the usual way I have seen in bibliography: </a:t>
          </a: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http://www.topsoefuelcell.com/innovation/soec/soec_process.aspx</a:t>
          </a:r>
          <a:endParaRPr lang="en-GB" sz="1100">
            <a:solidFill>
              <a:schemeClr val="dk1"/>
            </a:solidFill>
            <a:effectLst/>
            <a:latin typeface="+mn-lt"/>
            <a:ea typeface="+mn-ea"/>
            <a:cs typeface="+mn-cs"/>
          </a:endParaRP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http://www.topsoefuelcell.com/innovation/soec/synthetic_fuel.aspx</a:t>
          </a: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Anyway,</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 have checked, and the electric efficiency of a low temperature electrolyser is around 60-80%, while the electric efficiency of a high temperature electrolyser is 90% (extreme cases).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if the process downstream the production of syngas is the same (to synthesize the liquid fuel), after using a low temperature hydrolyser or a high temperature hydrolyser:</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0.80*0.65 = 0.52 aprox 0.5</a:t>
          </a:r>
        </a:p>
        <a:p>
          <a:pPr>
            <a:lnSpc>
              <a:spcPts val="1200"/>
            </a:lnSpc>
          </a:pPr>
          <a:r>
            <a:rPr lang="en-GB" sz="1100">
              <a:solidFill>
                <a:schemeClr val="dk1"/>
              </a:solidFill>
              <a:effectLst/>
              <a:latin typeface="+mn-lt"/>
              <a:ea typeface="+mn-ea"/>
              <a:cs typeface="+mn-cs"/>
            </a:rPr>
            <a:t>0.9*0.65 = 0.59 aprox 0.6 – </a:t>
          </a:r>
          <a:r>
            <a:rPr lang="en-GB" sz="1100" i="1">
              <a:solidFill>
                <a:schemeClr val="dk1"/>
              </a:solidFill>
              <a:effectLst/>
              <a:latin typeface="+mn-lt"/>
              <a:ea typeface="+mn-ea"/>
              <a:cs typeface="+mn-cs"/>
            </a:rPr>
            <a:t>to obtain the efficiency they promised we need to increase the efficiency from the syngas-to-liquid process up to 0.78</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 </a:t>
          </a:r>
        </a:p>
        <a:p>
          <a:pPr>
            <a:lnSpc>
              <a:spcPts val="1100"/>
            </a:lnSpc>
          </a:pPr>
          <a:r>
            <a:rPr lang="en-GB" sz="1100" i="1">
              <a:solidFill>
                <a:schemeClr val="dk1"/>
              </a:solidFill>
              <a:effectLst/>
              <a:latin typeface="+mn-lt"/>
              <a:ea typeface="+mn-ea"/>
              <a:cs typeface="+mn-cs"/>
            </a:rPr>
            <a:t> </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Assuming that the starting electrolyser efficiency was 0.6:</a:t>
          </a:r>
        </a:p>
        <a:p>
          <a:pPr>
            <a:lnSpc>
              <a:spcPts val="1200"/>
            </a:lnSpc>
          </a:pPr>
          <a:r>
            <a:rPr lang="en-GB" sz="1100">
              <a:solidFill>
                <a:schemeClr val="dk1"/>
              </a:solidFill>
              <a:effectLst/>
              <a:latin typeface="+mn-lt"/>
              <a:ea typeface="+mn-ea"/>
              <a:cs typeface="+mn-cs"/>
            </a:rPr>
            <a:t>0.6*0.78 = 0.47</a:t>
          </a:r>
        </a:p>
        <a:p>
          <a:pPr>
            <a:lnSpc>
              <a:spcPts val="1100"/>
            </a:lnSpc>
          </a:pPr>
          <a:r>
            <a:rPr lang="en-GB" sz="1100">
              <a:solidFill>
                <a:schemeClr val="dk1"/>
              </a:solidFill>
              <a:effectLst/>
              <a:latin typeface="+mn-lt"/>
              <a:ea typeface="+mn-ea"/>
              <a:cs typeface="+mn-cs"/>
            </a:rPr>
            <a:t>0.9*0.78 = 0.7</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this will match with what they say.</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In the pdf they say "70% of the required electrical energy contributes to the lower calorific value of the produced fuel". What I understand is that they have calculated the eff as (kW electricity/kW of product). If the product is the same (petrol, diesel, kerosene, methanol), the only explanation is to decrease the inlet amount of electricity needed. Then, somehow, the electricity consumed in the rest of the flowsheet (for the first case) should be less (maybe compressors, or as form of heat in the reactor?). If not, looks like somehow with the starting efficiency at 0.6, we can match the numbers. </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Conclusion: It can be!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0</xdr:colOff>
      <xdr:row>1</xdr:row>
      <xdr:rowOff>0</xdr:rowOff>
    </xdr:from>
    <xdr:to>
      <xdr:col>29</xdr:col>
      <xdr:colOff>338151</xdr:colOff>
      <xdr:row>42</xdr:row>
      <xdr:rowOff>41121</xdr:rowOff>
    </xdr:to>
    <xdr:pic>
      <xdr:nvPicPr>
        <xdr:cNvPr id="2" name="Picture 1">
          <a:extLst>
            <a:ext uri="{FF2B5EF4-FFF2-40B4-BE49-F238E27FC236}">
              <a16:creationId xmlns:a16="http://schemas.microsoft.com/office/drawing/2014/main" id="{6F7EBF75-D2ED-4955-0F9E-C030BF5B8016}"/>
            </a:ext>
          </a:extLst>
        </xdr:cNvPr>
        <xdr:cNvPicPr>
          <a:picLocks noChangeAspect="1"/>
        </xdr:cNvPicPr>
      </xdr:nvPicPr>
      <xdr:blipFill>
        <a:blip xmlns:r="http://schemas.openxmlformats.org/officeDocument/2006/relationships" r:embed="rId1"/>
        <a:stretch>
          <a:fillRect/>
        </a:stretch>
      </xdr:blipFill>
      <xdr:spPr>
        <a:xfrm>
          <a:off x="12906375" y="152400"/>
          <a:ext cx="7514286" cy="6314286"/>
        </a:xfrm>
        <a:prstGeom prst="rect">
          <a:avLst/>
        </a:prstGeom>
      </xdr:spPr>
    </xdr:pic>
    <xdr:clientData/>
  </xdr:twoCellAnchor>
  <xdr:twoCellAnchor editAs="oneCell">
    <xdr:from>
      <xdr:col>17</xdr:col>
      <xdr:colOff>0</xdr:colOff>
      <xdr:row>43</xdr:row>
      <xdr:rowOff>0</xdr:rowOff>
    </xdr:from>
    <xdr:to>
      <xdr:col>27</xdr:col>
      <xdr:colOff>75439</xdr:colOff>
      <xdr:row>63</xdr:row>
      <xdr:rowOff>148190</xdr:rowOff>
    </xdr:to>
    <xdr:pic>
      <xdr:nvPicPr>
        <xdr:cNvPr id="3" name="Picture 2">
          <a:extLst>
            <a:ext uri="{FF2B5EF4-FFF2-40B4-BE49-F238E27FC236}">
              <a16:creationId xmlns:a16="http://schemas.microsoft.com/office/drawing/2014/main" id="{CB21373C-2E56-EA52-225C-B095D7B631A6}"/>
            </a:ext>
          </a:extLst>
        </xdr:cNvPr>
        <xdr:cNvPicPr>
          <a:picLocks noChangeAspect="1"/>
        </xdr:cNvPicPr>
      </xdr:nvPicPr>
      <xdr:blipFill>
        <a:blip xmlns:r="http://schemas.openxmlformats.org/officeDocument/2006/relationships" r:embed="rId2"/>
        <a:stretch>
          <a:fillRect/>
        </a:stretch>
      </xdr:blipFill>
      <xdr:spPr>
        <a:xfrm>
          <a:off x="12906375" y="6572250"/>
          <a:ext cx="6085714" cy="3200000"/>
        </a:xfrm>
        <a:prstGeom prst="rect">
          <a:avLst/>
        </a:prstGeom>
      </xdr:spPr>
    </xdr:pic>
    <xdr:clientData/>
  </xdr:twoCellAnchor>
  <xdr:twoCellAnchor editAs="oneCell">
    <xdr:from>
      <xdr:col>17</xdr:col>
      <xdr:colOff>0</xdr:colOff>
      <xdr:row>65</xdr:row>
      <xdr:rowOff>0</xdr:rowOff>
    </xdr:from>
    <xdr:to>
      <xdr:col>27</xdr:col>
      <xdr:colOff>342106</xdr:colOff>
      <xdr:row>91</xdr:row>
      <xdr:rowOff>75695</xdr:rowOff>
    </xdr:to>
    <xdr:pic>
      <xdr:nvPicPr>
        <xdr:cNvPr id="4" name="Picture 3">
          <a:extLst>
            <a:ext uri="{FF2B5EF4-FFF2-40B4-BE49-F238E27FC236}">
              <a16:creationId xmlns:a16="http://schemas.microsoft.com/office/drawing/2014/main" id="{F4EB9975-22AA-2388-D0F6-DB1592C115CB}"/>
            </a:ext>
          </a:extLst>
        </xdr:cNvPr>
        <xdr:cNvPicPr>
          <a:picLocks noChangeAspect="1"/>
        </xdr:cNvPicPr>
      </xdr:nvPicPr>
      <xdr:blipFill>
        <a:blip xmlns:r="http://schemas.openxmlformats.org/officeDocument/2006/relationships" r:embed="rId3"/>
        <a:stretch>
          <a:fillRect/>
        </a:stretch>
      </xdr:blipFill>
      <xdr:spPr>
        <a:xfrm>
          <a:off x="13287375" y="9944100"/>
          <a:ext cx="6352381" cy="4038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388620</xdr:colOff>
      <xdr:row>81</xdr:row>
      <xdr:rowOff>26670</xdr:rowOff>
    </xdr:from>
    <xdr:to>
      <xdr:col>18</xdr:col>
      <xdr:colOff>443866</xdr:colOff>
      <xdr:row>126</xdr:row>
      <xdr:rowOff>66682</xdr:rowOff>
    </xdr:to>
    <xdr:sp macro="" textlink="">
      <xdr:nvSpPr>
        <xdr:cNvPr id="2" name="TextBox 1">
          <a:extLst>
            <a:ext uri="{FF2B5EF4-FFF2-40B4-BE49-F238E27FC236}">
              <a16:creationId xmlns:a16="http://schemas.microsoft.com/office/drawing/2014/main" id="{1864222C-47CF-45E5-88EF-8D61F1DAF250}"/>
            </a:ext>
          </a:extLst>
        </xdr:cNvPr>
        <xdr:cNvSpPr txBox="1"/>
      </xdr:nvSpPr>
      <xdr:spPr>
        <a:xfrm>
          <a:off x="14839950" y="8610600"/>
          <a:ext cx="6686550" cy="717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100"/>
            </a:lnSpc>
          </a:pPr>
          <a:r>
            <a:rPr lang="en-GB" sz="1100">
              <a:solidFill>
                <a:schemeClr val="dk1"/>
              </a:solidFill>
              <a:effectLst/>
              <a:latin typeface="+mn-lt"/>
              <a:ea typeface="+mn-ea"/>
              <a:cs typeface="+mn-cs"/>
            </a:rPr>
            <a:t>I have checked the information from their pdf. Looks like the key to increase the efficiency has been to change an electrolyser that hydrolyses water in liquid state, to an hydrolyser that hydrolyses water in vapour state (i.e. increasing the temperature). According to what I have read before, the interesting part of doing an electrolysis a such high T, is to co-electrolyse H2 and CO2, to produce the syngas. However, for some reason (I think to take advantage from their previous flowsheet?, or maybe to have the O2 directly separated?) they produce the H2, and then they mix it with CO2 to produce the syngas.</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This is the usual way I have seen in bibliography: </a:t>
          </a: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http://www.topsoefuelcell.com/innovation/soec/soec_process.aspx</a:t>
          </a:r>
          <a:endParaRPr lang="en-GB" sz="1100">
            <a:solidFill>
              <a:schemeClr val="dk1"/>
            </a:solidFill>
            <a:effectLst/>
            <a:latin typeface="+mn-lt"/>
            <a:ea typeface="+mn-ea"/>
            <a:cs typeface="+mn-cs"/>
          </a:endParaRPr>
        </a:p>
        <a:p>
          <a:pPr>
            <a:lnSpc>
              <a:spcPts val="1100"/>
            </a:lnSpc>
          </a:pPr>
          <a:r>
            <a:rPr lang="en-GB" sz="1100" u="sng">
              <a:solidFill>
                <a:schemeClr val="dk1"/>
              </a:solidFill>
              <a:effectLst/>
              <a:latin typeface="+mn-lt"/>
              <a:ea typeface="+mn-ea"/>
              <a:cs typeface="+mn-cs"/>
              <a:hlinkClick xmlns:r="http://schemas.openxmlformats.org/officeDocument/2006/relationships" r:id=""/>
            </a:rPr>
            <a:t>http://www.topsoefuelcell.com/innovation/soec/synthetic_fuel.aspx</a:t>
          </a: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Anyway,</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 have checked, and the electric efficiency of a low temperature electrolyser is around 60-80%, while the electric efficiency of a high temperature electrolyser is 90% (extreme cases). </a:t>
          </a:r>
        </a:p>
        <a:p>
          <a:pPr>
            <a:lnSpc>
              <a:spcPts val="11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if the process downstream the production of syngas is the same (to synthesize the liquid fuel), after using a low temperature hydrolyser or a high temperature hydrolyser:</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0.80*0.65 = 0.52 aprox 0.5</a:t>
          </a:r>
        </a:p>
        <a:p>
          <a:pPr>
            <a:lnSpc>
              <a:spcPts val="1200"/>
            </a:lnSpc>
          </a:pPr>
          <a:r>
            <a:rPr lang="en-GB" sz="1100">
              <a:solidFill>
                <a:schemeClr val="dk1"/>
              </a:solidFill>
              <a:effectLst/>
              <a:latin typeface="+mn-lt"/>
              <a:ea typeface="+mn-ea"/>
              <a:cs typeface="+mn-cs"/>
            </a:rPr>
            <a:t>0.9*0.65 = 0.59 aprox 0.6 – </a:t>
          </a:r>
          <a:r>
            <a:rPr lang="en-GB" sz="1100" i="1">
              <a:solidFill>
                <a:schemeClr val="dk1"/>
              </a:solidFill>
              <a:effectLst/>
              <a:latin typeface="+mn-lt"/>
              <a:ea typeface="+mn-ea"/>
              <a:cs typeface="+mn-cs"/>
            </a:rPr>
            <a:t>to obtain the efficiency they promised we need to increase the efficiency from the syngas-to-liquid process up to 0.78</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 </a:t>
          </a:r>
        </a:p>
        <a:p>
          <a:pPr>
            <a:lnSpc>
              <a:spcPts val="1100"/>
            </a:lnSpc>
          </a:pPr>
          <a:r>
            <a:rPr lang="en-GB" sz="1100" i="1">
              <a:solidFill>
                <a:schemeClr val="dk1"/>
              </a:solidFill>
              <a:effectLst/>
              <a:latin typeface="+mn-lt"/>
              <a:ea typeface="+mn-ea"/>
              <a:cs typeface="+mn-cs"/>
            </a:rPr>
            <a:t> </a:t>
          </a:r>
          <a:endParaRPr lang="en-GB" sz="1100">
            <a:solidFill>
              <a:schemeClr val="dk1"/>
            </a:solidFill>
            <a:effectLst/>
            <a:latin typeface="+mn-lt"/>
            <a:ea typeface="+mn-ea"/>
            <a:cs typeface="+mn-cs"/>
          </a:endParaRPr>
        </a:p>
        <a:p>
          <a:pPr>
            <a:lnSpc>
              <a:spcPts val="1100"/>
            </a:lnSpc>
          </a:pPr>
          <a:r>
            <a:rPr lang="en-GB" sz="1100">
              <a:solidFill>
                <a:schemeClr val="dk1"/>
              </a:solidFill>
              <a:effectLst/>
              <a:latin typeface="+mn-lt"/>
              <a:ea typeface="+mn-ea"/>
              <a:cs typeface="+mn-cs"/>
            </a:rPr>
            <a:t>Assuming that the starting electrolyser efficiency was 0.6:</a:t>
          </a:r>
        </a:p>
        <a:p>
          <a:pPr>
            <a:lnSpc>
              <a:spcPts val="1200"/>
            </a:lnSpc>
          </a:pPr>
          <a:r>
            <a:rPr lang="en-GB" sz="1100">
              <a:solidFill>
                <a:schemeClr val="dk1"/>
              </a:solidFill>
              <a:effectLst/>
              <a:latin typeface="+mn-lt"/>
              <a:ea typeface="+mn-ea"/>
              <a:cs typeface="+mn-cs"/>
            </a:rPr>
            <a:t>0.6*0.78 = 0.47</a:t>
          </a:r>
        </a:p>
        <a:p>
          <a:pPr>
            <a:lnSpc>
              <a:spcPts val="1100"/>
            </a:lnSpc>
          </a:pPr>
          <a:r>
            <a:rPr lang="en-GB" sz="1100">
              <a:solidFill>
                <a:schemeClr val="dk1"/>
              </a:solidFill>
              <a:effectLst/>
              <a:latin typeface="+mn-lt"/>
              <a:ea typeface="+mn-ea"/>
              <a:cs typeface="+mn-cs"/>
            </a:rPr>
            <a:t>0.9*0.78 = 0.7</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Then, this will match with what they say.</a:t>
          </a:r>
        </a:p>
        <a:p>
          <a:pPr>
            <a:lnSpc>
              <a:spcPts val="1200"/>
            </a:lnSpc>
          </a:pPr>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In the pdf they say "70% of the required electrical energy contributes to the lower calorific value of the produced fuel". What I understand is that they have calculated the eff as (kW electricity/kW of product). If the product is the same (petrol, diesel, kerosene, methanol), the only explanation is to decrease the inlet amount of electricity needed. Then, somehow, the electricity consumed in the rest of the flowsheet (for the first case) should be less (maybe compressors, or as form of heat in the reactor?). If not, looks like somehow with the starting efficiency at 0.6, we can match the numbers. </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pPr>
            <a:lnSpc>
              <a:spcPts val="1100"/>
            </a:lnSpc>
          </a:pPr>
          <a:r>
            <a:rPr lang="en-GB" sz="1100">
              <a:solidFill>
                <a:schemeClr val="dk1"/>
              </a:solidFill>
              <a:effectLst/>
              <a:latin typeface="+mn-lt"/>
              <a:ea typeface="+mn-ea"/>
              <a:cs typeface="+mn-cs"/>
            </a:rPr>
            <a:t>Conclusion: It can be!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AE94"/>
  <sheetViews>
    <sheetView zoomScale="70" zoomScaleNormal="70" workbookViewId="0">
      <selection activeCell="D24" sqref="D24"/>
    </sheetView>
  </sheetViews>
  <sheetFormatPr defaultRowHeight="12.75"/>
  <cols>
    <col min="1" max="1" width="15.28515625" customWidth="1"/>
    <col min="2" max="2" width="2.85546875" customWidth="1"/>
    <col min="3" max="3" width="29.5703125" customWidth="1"/>
    <col min="4" max="4" width="47.5703125" bestFit="1" customWidth="1"/>
    <col min="5" max="5" width="43.140625" customWidth="1"/>
    <col min="6" max="6" width="15.85546875" customWidth="1"/>
    <col min="7" max="7" width="15.140625" customWidth="1"/>
    <col min="8" max="8" width="15.85546875" customWidth="1"/>
    <col min="9" max="9" width="13.42578125" bestFit="1" customWidth="1"/>
    <col min="10" max="10" width="14.85546875" bestFit="1" customWidth="1"/>
    <col min="11" max="12" width="13.140625" customWidth="1"/>
    <col min="13" max="13" width="23.140625" customWidth="1"/>
    <col min="14" max="14" width="18" customWidth="1"/>
    <col min="15" max="21" width="17.28515625" customWidth="1"/>
    <col min="22" max="22" width="9.28515625" bestFit="1" customWidth="1"/>
  </cols>
  <sheetData>
    <row r="2" spans="1:23">
      <c r="C2" t="s">
        <v>47</v>
      </c>
    </row>
    <row r="6" spans="1:23" ht="15">
      <c r="C6" s="10"/>
      <c r="H6" s="2" t="s">
        <v>119</v>
      </c>
    </row>
    <row r="7" spans="1:23" ht="15.75" thickBot="1">
      <c r="C7" s="3" t="s">
        <v>0</v>
      </c>
      <c r="D7" s="3" t="s">
        <v>157</v>
      </c>
      <c r="E7" s="3" t="s">
        <v>3</v>
      </c>
      <c r="F7" s="3" t="s">
        <v>2</v>
      </c>
      <c r="G7" s="3" t="s">
        <v>22</v>
      </c>
      <c r="H7" s="3" t="s">
        <v>4</v>
      </c>
      <c r="I7" s="3" t="s">
        <v>14</v>
      </c>
      <c r="J7" s="3" t="s">
        <v>115</v>
      </c>
      <c r="K7" s="3" t="s">
        <v>116</v>
      </c>
      <c r="L7" s="3" t="s">
        <v>117</v>
      </c>
      <c r="M7" s="3" t="s">
        <v>384</v>
      </c>
      <c r="N7" s="3" t="s">
        <v>385</v>
      </c>
      <c r="O7" s="3" t="s">
        <v>81</v>
      </c>
      <c r="P7" s="3" t="s">
        <v>83</v>
      </c>
      <c r="Q7" s="3" t="s">
        <v>84</v>
      </c>
      <c r="R7" s="3" t="s">
        <v>87</v>
      </c>
      <c r="S7" s="3" t="s">
        <v>88</v>
      </c>
      <c r="T7" s="3" t="s">
        <v>91</v>
      </c>
      <c r="U7" s="3" t="s">
        <v>92</v>
      </c>
      <c r="V7" s="3" t="s">
        <v>73</v>
      </c>
      <c r="W7" s="3" t="s">
        <v>94</v>
      </c>
    </row>
    <row r="8" spans="1:23" ht="25.5">
      <c r="C8" s="4" t="s">
        <v>38</v>
      </c>
      <c r="D8" s="4" t="s">
        <v>32</v>
      </c>
      <c r="E8" s="4" t="s">
        <v>39</v>
      </c>
      <c r="F8" s="4" t="s">
        <v>40</v>
      </c>
      <c r="G8" s="4" t="s">
        <v>41</v>
      </c>
      <c r="H8" s="4" t="s">
        <v>42</v>
      </c>
      <c r="I8" s="4" t="s">
        <v>44</v>
      </c>
      <c r="J8" s="4" t="s">
        <v>43</v>
      </c>
      <c r="K8" s="4"/>
      <c r="L8" s="4"/>
      <c r="M8" s="4"/>
      <c r="N8" s="4"/>
      <c r="O8" s="4"/>
      <c r="P8" s="4" t="s">
        <v>75</v>
      </c>
      <c r="Q8" s="4" t="s">
        <v>75</v>
      </c>
      <c r="R8" s="4" t="s">
        <v>75</v>
      </c>
      <c r="S8" s="4" t="s">
        <v>75</v>
      </c>
      <c r="T8" s="4" t="s">
        <v>69</v>
      </c>
      <c r="U8" s="4" t="s">
        <v>69</v>
      </c>
      <c r="V8" s="4" t="s">
        <v>95</v>
      </c>
      <c r="W8" s="4"/>
    </row>
    <row r="9" spans="1:23" ht="19.899999999999999" customHeight="1">
      <c r="A9" s="40" t="s">
        <v>343</v>
      </c>
      <c r="C9" s="37" t="str">
        <f>D63</f>
        <v>S_CCUS_EMIS</v>
      </c>
      <c r="D9" s="37" t="str">
        <f>E63</f>
        <v>Supply convert bio and atm CO2 emission to Diesel</v>
      </c>
      <c r="E9" s="37"/>
      <c r="F9" s="37" t="s">
        <v>113</v>
      </c>
      <c r="G9" s="37"/>
      <c r="H9" s="37" t="s">
        <v>298</v>
      </c>
      <c r="I9" s="37">
        <v>2025</v>
      </c>
      <c r="J9" s="37">
        <f>0.55*J11</f>
        <v>0.42900000000000005</v>
      </c>
      <c r="K9" s="37">
        <f>0.7*K11</f>
        <v>0.54599999999999993</v>
      </c>
      <c r="L9" s="37"/>
      <c r="M9" s="37">
        <f>20/1000</f>
        <v>0.02</v>
      </c>
      <c r="N9" s="37"/>
      <c r="O9" s="37">
        <v>0.9</v>
      </c>
      <c r="P9" s="37">
        <f>'Data electrolyser'!E5*$O$79</f>
        <v>995.43685698194952</v>
      </c>
      <c r="Q9" s="37">
        <f>'Data electrolyser'!F5*$O$79</f>
        <v>889.8</v>
      </c>
      <c r="R9" s="37">
        <f>'Data electrolyser'!I5*$O$79</f>
        <v>179.84553868592059</v>
      </c>
      <c r="S9" s="37">
        <f>'Data electrolyser'!J5*$O$79</f>
        <v>20.772433039711192</v>
      </c>
      <c r="T9" s="37">
        <f>'Data electrolyser'!M5*$O$79</f>
        <v>0.1155595667870036</v>
      </c>
      <c r="U9" s="37">
        <f>T9</f>
        <v>0.1155595667870036</v>
      </c>
      <c r="V9" s="37">
        <v>20</v>
      </c>
      <c r="W9" s="37">
        <v>31.536000000000001</v>
      </c>
    </row>
    <row r="10" spans="1:23" ht="19.899999999999999" customHeight="1">
      <c r="A10" s="40"/>
      <c r="C10" s="37"/>
      <c r="D10" s="37"/>
      <c r="E10" s="37"/>
      <c r="F10" s="37" t="s">
        <v>327</v>
      </c>
      <c r="G10" s="37"/>
      <c r="H10" s="37" t="s">
        <v>299</v>
      </c>
      <c r="I10" s="37"/>
      <c r="J10" s="37"/>
      <c r="K10" s="37"/>
      <c r="L10" s="37">
        <f>1/74</f>
        <v>1.3513513513513514E-2</v>
      </c>
      <c r="M10" s="37"/>
      <c r="N10" s="37"/>
      <c r="O10" s="37"/>
      <c r="P10" s="37"/>
      <c r="Q10" s="37"/>
      <c r="R10" s="37"/>
      <c r="S10" s="37"/>
      <c r="T10" s="37"/>
      <c r="U10" s="37"/>
      <c r="V10" s="37"/>
      <c r="W10" s="37"/>
    </row>
    <row r="11" spans="1:23">
      <c r="A11" s="40" t="s">
        <v>343</v>
      </c>
      <c r="C11" s="37" t="str">
        <f>D64</f>
        <v>S_CCUS_EMIS_H2T</v>
      </c>
      <c r="D11" s="37" t="str">
        <f>E64</f>
        <v>Bio and atm CO2 Hydrogenation to Diesel with centralized tank</v>
      </c>
      <c r="E11" s="37"/>
      <c r="F11" s="37" t="s">
        <v>114</v>
      </c>
      <c r="G11" s="37"/>
      <c r="H11" s="37" t="s">
        <v>298</v>
      </c>
      <c r="I11" s="37">
        <v>2025</v>
      </c>
      <c r="J11" s="37">
        <v>0.78</v>
      </c>
      <c r="K11" s="37">
        <f>J11</f>
        <v>0.78</v>
      </c>
      <c r="L11" s="37"/>
      <c r="M11" s="37">
        <f>20/1000</f>
        <v>0.02</v>
      </c>
      <c r="N11" s="37"/>
      <c r="O11" s="37">
        <v>0.9</v>
      </c>
      <c r="P11" s="37">
        <f>P9-'Data electrolyser'!D5</f>
        <v>497.71842849097476</v>
      </c>
      <c r="Q11" s="37">
        <f>Q9-'Data electrolyser'!E5</f>
        <v>392.0815715090252</v>
      </c>
      <c r="R11" s="37">
        <f>'Data electrolyser'!I5</f>
        <v>89.922769342960294</v>
      </c>
      <c r="S11" s="37">
        <f>'Data electrolyser'!J5</f>
        <v>10.386216519855596</v>
      </c>
      <c r="T11" s="37">
        <f>T9-'Data electrolyser'!M5</f>
        <v>5.7779783393501802E-2</v>
      </c>
      <c r="U11" s="37">
        <f>T11</f>
        <v>5.7779783393501802E-2</v>
      </c>
      <c r="V11" s="37">
        <v>20</v>
      </c>
      <c r="W11" s="37">
        <v>31.536000000000001</v>
      </c>
    </row>
    <row r="12" spans="1:23">
      <c r="A12" s="40"/>
      <c r="C12" s="37"/>
      <c r="D12" s="37"/>
      <c r="E12" s="37"/>
      <c r="F12" s="37" t="s">
        <v>327</v>
      </c>
      <c r="G12" s="37"/>
      <c r="H12" s="37" t="s">
        <v>299</v>
      </c>
      <c r="I12" s="37"/>
      <c r="J12" s="37"/>
      <c r="K12" s="37"/>
      <c r="L12" s="37">
        <f>L10</f>
        <v>1.3513513513513514E-2</v>
      </c>
      <c r="M12" s="37"/>
      <c r="N12" s="37"/>
      <c r="O12" s="37"/>
      <c r="P12" s="37"/>
      <c r="Q12" s="37"/>
      <c r="R12" s="37"/>
      <c r="S12" s="37"/>
      <c r="T12" s="37"/>
      <c r="U12" s="37"/>
      <c r="V12" s="37"/>
      <c r="W12" s="37"/>
    </row>
    <row r="13" spans="1:23">
      <c r="A13" s="40" t="s">
        <v>343</v>
      </c>
      <c r="C13" s="37" t="str">
        <f>D65</f>
        <v>S_CCUS_EMIS_H2U</v>
      </c>
      <c r="D13" s="37" t="str">
        <f>E65</f>
        <v>Bio and atm CO2 Hydrogenation to Diesel with underground storage</v>
      </c>
      <c r="E13" s="37"/>
      <c r="F13" s="37" t="s">
        <v>154</v>
      </c>
      <c r="G13" s="37"/>
      <c r="H13" s="37" t="s">
        <v>298</v>
      </c>
      <c r="I13" s="37">
        <v>2025</v>
      </c>
      <c r="J13" s="37">
        <v>0.78</v>
      </c>
      <c r="K13" s="37">
        <f>J13</f>
        <v>0.78</v>
      </c>
      <c r="L13" s="37"/>
      <c r="M13" s="37">
        <f>20/1000</f>
        <v>0.02</v>
      </c>
      <c r="N13" s="37"/>
      <c r="O13" s="37">
        <v>0.9</v>
      </c>
      <c r="P13" s="37">
        <f t="shared" ref="P13:U13" si="0">P11</f>
        <v>497.71842849097476</v>
      </c>
      <c r="Q13" s="37">
        <f t="shared" si="0"/>
        <v>392.0815715090252</v>
      </c>
      <c r="R13" s="37">
        <f t="shared" si="0"/>
        <v>89.922769342960294</v>
      </c>
      <c r="S13" s="37">
        <f t="shared" si="0"/>
        <v>10.386216519855596</v>
      </c>
      <c r="T13" s="37">
        <f t="shared" si="0"/>
        <v>5.7779783393501802E-2</v>
      </c>
      <c r="U13" s="37">
        <f t="shared" si="0"/>
        <v>5.7779783393501802E-2</v>
      </c>
      <c r="V13" s="37">
        <v>20</v>
      </c>
      <c r="W13" s="37">
        <v>31.536000000000001</v>
      </c>
    </row>
    <row r="14" spans="1:23">
      <c r="C14" s="37"/>
      <c r="D14" s="37"/>
      <c r="E14" s="37"/>
      <c r="F14" s="37" t="s">
        <v>327</v>
      </c>
      <c r="G14" s="37"/>
      <c r="H14" s="37" t="s">
        <v>299</v>
      </c>
      <c r="I14" s="37"/>
      <c r="J14" s="37"/>
      <c r="K14" s="37"/>
      <c r="L14" s="37">
        <f>L12</f>
        <v>1.3513513513513514E-2</v>
      </c>
      <c r="M14" s="37"/>
      <c r="N14" s="37"/>
      <c r="O14" s="37"/>
      <c r="P14" s="37"/>
      <c r="Q14" s="37"/>
      <c r="R14" s="37"/>
      <c r="S14" s="37"/>
      <c r="T14" s="37"/>
      <c r="U14" s="37"/>
      <c r="V14" s="37"/>
      <c r="W14" s="37"/>
    </row>
    <row r="15" spans="1:23">
      <c r="A15" s="40" t="s">
        <v>341</v>
      </c>
      <c r="C15" s="35" t="str">
        <f>D66</f>
        <v>S_CCUS_ATM</v>
      </c>
      <c r="D15" s="35" t="str">
        <f>E66</f>
        <v>Supply convert Atmospheric CO2 to Diesel</v>
      </c>
      <c r="E15" s="35"/>
      <c r="F15" s="35" t="s">
        <v>113</v>
      </c>
      <c r="G15" s="35"/>
      <c r="H15" s="35" t="s">
        <v>298</v>
      </c>
      <c r="I15" s="35">
        <v>2030</v>
      </c>
      <c r="J15" s="35">
        <v>0.33300000000000002</v>
      </c>
      <c r="K15" s="35"/>
      <c r="L15" s="35"/>
      <c r="M15" s="35"/>
      <c r="N15" s="35"/>
      <c r="O15" s="35">
        <f>O9</f>
        <v>0.9</v>
      </c>
      <c r="P15" s="35">
        <f t="shared" ref="P15:U15" si="1">P9*4</f>
        <v>3981.7474279277981</v>
      </c>
      <c r="Q15" s="35">
        <f t="shared" si="1"/>
        <v>3559.2</v>
      </c>
      <c r="R15" s="35">
        <f t="shared" si="1"/>
        <v>719.38215474368235</v>
      </c>
      <c r="S15" s="35">
        <f t="shared" si="1"/>
        <v>83.089732158844768</v>
      </c>
      <c r="T15" s="35">
        <f t="shared" si="1"/>
        <v>0.46223826714801441</v>
      </c>
      <c r="U15" s="35">
        <f t="shared" si="1"/>
        <v>0.46223826714801441</v>
      </c>
      <c r="V15" s="35">
        <f>V9</f>
        <v>20</v>
      </c>
      <c r="W15" s="35">
        <f>W9</f>
        <v>31.536000000000001</v>
      </c>
    </row>
    <row r="16" spans="1:23">
      <c r="C16" s="35"/>
      <c r="D16" s="35"/>
      <c r="E16" s="35"/>
      <c r="F16" s="35" t="s">
        <v>67</v>
      </c>
      <c r="G16" s="35"/>
      <c r="H16" s="35" t="s">
        <v>299</v>
      </c>
      <c r="I16" s="35"/>
      <c r="J16" s="35"/>
      <c r="K16" s="35"/>
      <c r="L16" s="35">
        <f>L12</f>
        <v>1.3513513513513514E-2</v>
      </c>
      <c r="M16" s="35"/>
      <c r="N16" s="35"/>
      <c r="O16" s="35"/>
      <c r="P16" s="35"/>
      <c r="Q16" s="35"/>
      <c r="R16" s="35"/>
      <c r="S16" s="35"/>
      <c r="T16" s="35"/>
      <c r="U16" s="35"/>
      <c r="V16" s="35"/>
      <c r="W16" s="35"/>
    </row>
    <row r="17" spans="1:31">
      <c r="A17" s="40" t="s">
        <v>342</v>
      </c>
      <c r="C17" s="36" t="str">
        <f>D67</f>
        <v>S_CCUS_EMIS_FOS</v>
      </c>
      <c r="D17" s="36" t="str">
        <f>E67</f>
        <v>Supply convert fossil CO2 emission to Diesel</v>
      </c>
      <c r="E17" s="34"/>
      <c r="F17" s="34" t="s">
        <v>113</v>
      </c>
      <c r="G17" s="34"/>
      <c r="H17" s="38" t="s">
        <v>339</v>
      </c>
      <c r="I17" s="34">
        <v>2025</v>
      </c>
      <c r="J17" s="34">
        <v>0.42900000000000005</v>
      </c>
      <c r="K17" s="34">
        <v>0.54599999999999993</v>
      </c>
      <c r="L17" s="34"/>
      <c r="M17" s="34"/>
      <c r="N17" s="34">
        <v>0.02</v>
      </c>
      <c r="O17" s="34">
        <v>0.9</v>
      </c>
      <c r="P17" s="34">
        <v>995.43685698194952</v>
      </c>
      <c r="Q17" s="34">
        <v>889.8</v>
      </c>
      <c r="R17" s="34">
        <v>179.84553868592059</v>
      </c>
      <c r="S17" s="34">
        <v>20.772433039711192</v>
      </c>
      <c r="T17" s="34">
        <v>0.1155595667870036</v>
      </c>
      <c r="U17" s="34">
        <v>0.1155595667870036</v>
      </c>
      <c r="V17" s="34">
        <v>20</v>
      </c>
      <c r="W17" s="34">
        <v>31.536000000000001</v>
      </c>
    </row>
    <row r="18" spans="1:31">
      <c r="C18" s="34"/>
      <c r="D18" s="34"/>
      <c r="E18" s="34"/>
      <c r="F18" s="34" t="s">
        <v>326</v>
      </c>
      <c r="G18" s="34"/>
      <c r="H18" s="38" t="s">
        <v>340</v>
      </c>
      <c r="I18" s="34"/>
      <c r="J18" s="34"/>
      <c r="K18" s="34"/>
      <c r="L18" s="34">
        <v>1.3513513513513514E-2</v>
      </c>
      <c r="M18" s="34"/>
      <c r="N18" s="34"/>
      <c r="O18" s="34"/>
      <c r="P18" s="34"/>
      <c r="Q18" s="34"/>
      <c r="R18" s="34"/>
      <c r="S18" s="34"/>
      <c r="T18" s="34"/>
      <c r="U18" s="34"/>
      <c r="V18" s="34"/>
      <c r="W18" s="34"/>
    </row>
    <row r="19" spans="1:31">
      <c r="A19" s="40" t="s">
        <v>342</v>
      </c>
      <c r="C19" s="36" t="str">
        <f>D68</f>
        <v>S_CCUS_EMIS_FOS_H2T</v>
      </c>
      <c r="D19" s="36" t="str">
        <f>E68</f>
        <v>Fossil CO2 Hydrogenation to Diesel with centralized tank</v>
      </c>
      <c r="E19" s="34"/>
      <c r="F19" s="34" t="s">
        <v>114</v>
      </c>
      <c r="G19" s="34"/>
      <c r="H19" s="38" t="s">
        <v>339</v>
      </c>
      <c r="I19" s="34">
        <v>2025</v>
      </c>
      <c r="J19" s="34">
        <v>0.78</v>
      </c>
      <c r="K19" s="34">
        <v>0.78</v>
      </c>
      <c r="L19" s="34"/>
      <c r="M19" s="34"/>
      <c r="N19" s="34">
        <v>0.02</v>
      </c>
      <c r="O19" s="34">
        <v>0.9</v>
      </c>
      <c r="P19" s="34">
        <v>497.71842849097476</v>
      </c>
      <c r="Q19" s="34">
        <v>392.0815715090252</v>
      </c>
      <c r="R19" s="34">
        <v>89.922769342960294</v>
      </c>
      <c r="S19" s="34">
        <v>10.386216519855596</v>
      </c>
      <c r="T19" s="34">
        <v>5.7779783393501802E-2</v>
      </c>
      <c r="U19" s="34">
        <v>5.7779783393501802E-2</v>
      </c>
      <c r="V19" s="34">
        <v>20</v>
      </c>
      <c r="W19" s="34">
        <v>31.536000000000001</v>
      </c>
    </row>
    <row r="20" spans="1:31">
      <c r="C20" s="34"/>
      <c r="D20" s="34"/>
      <c r="E20" s="34"/>
      <c r="F20" s="34" t="s">
        <v>326</v>
      </c>
      <c r="G20" s="34"/>
      <c r="H20" s="38" t="s">
        <v>340</v>
      </c>
      <c r="I20" s="34"/>
      <c r="J20" s="34"/>
      <c r="K20" s="34"/>
      <c r="L20" s="34">
        <v>1.3513513513513514E-2</v>
      </c>
      <c r="M20" s="34"/>
      <c r="N20" s="34"/>
      <c r="O20" s="34"/>
      <c r="P20" s="34"/>
      <c r="Q20" s="34"/>
      <c r="R20" s="34"/>
      <c r="S20" s="34"/>
      <c r="T20" s="34"/>
      <c r="U20" s="34"/>
      <c r="V20" s="34"/>
      <c r="W20" s="34"/>
    </row>
    <row r="21" spans="1:31">
      <c r="A21" s="40" t="s">
        <v>342</v>
      </c>
      <c r="C21" s="36" t="str">
        <f>D69</f>
        <v>S_CCUS_EMIS_FOS_H2U</v>
      </c>
      <c r="D21" s="36" t="str">
        <f>E69</f>
        <v>Fossil CO2 Hydrogenation to Diesel with underground storage</v>
      </c>
      <c r="E21" s="34"/>
      <c r="F21" s="34" t="s">
        <v>154</v>
      </c>
      <c r="G21" s="34"/>
      <c r="H21" s="38" t="s">
        <v>339</v>
      </c>
      <c r="I21" s="34">
        <v>2025</v>
      </c>
      <c r="J21" s="34">
        <v>0.78</v>
      </c>
      <c r="K21" s="34">
        <v>0.78</v>
      </c>
      <c r="L21" s="34"/>
      <c r="M21" s="34"/>
      <c r="N21" s="34">
        <v>0.02</v>
      </c>
      <c r="O21" s="34">
        <v>0.9</v>
      </c>
      <c r="P21" s="34">
        <v>497.71842849097476</v>
      </c>
      <c r="Q21" s="34">
        <v>392.0815715090252</v>
      </c>
      <c r="R21" s="34">
        <v>89.922769342960294</v>
      </c>
      <c r="S21" s="34">
        <v>10.386216519855596</v>
      </c>
      <c r="T21" s="34">
        <v>5.7779783393501802E-2</v>
      </c>
      <c r="U21" s="34">
        <v>5.7779783393501802E-2</v>
      </c>
      <c r="V21" s="34">
        <v>20</v>
      </c>
      <c r="W21" s="34">
        <v>31.536000000000001</v>
      </c>
    </row>
    <row r="22" spans="1:31">
      <c r="C22" s="34"/>
      <c r="D22" s="34"/>
      <c r="E22" s="34"/>
      <c r="F22" s="34" t="s">
        <v>326</v>
      </c>
      <c r="G22" s="34"/>
      <c r="H22" s="38" t="s">
        <v>340</v>
      </c>
      <c r="I22" s="34"/>
      <c r="J22" s="34"/>
      <c r="K22" s="34"/>
      <c r="L22" s="34">
        <v>1.3513513513513514E-2</v>
      </c>
      <c r="M22" s="34"/>
      <c r="N22" s="34"/>
      <c r="O22" s="34"/>
      <c r="P22" s="34"/>
      <c r="Q22" s="34"/>
      <c r="R22" s="34"/>
      <c r="S22" s="34"/>
      <c r="T22" s="34"/>
      <c r="U22" s="34"/>
      <c r="V22" s="34"/>
      <c r="W22" s="34"/>
    </row>
    <row r="23" spans="1:31">
      <c r="H23" s="39"/>
    </row>
    <row r="25" spans="1:31">
      <c r="P25">
        <v>2900</v>
      </c>
      <c r="Q25" t="s">
        <v>195</v>
      </c>
    </row>
    <row r="26" spans="1:31">
      <c r="P26">
        <f>P25/1000</f>
        <v>2.9</v>
      </c>
      <c r="Q26" t="s">
        <v>196</v>
      </c>
    </row>
    <row r="28" spans="1:31">
      <c r="P28" t="s">
        <v>193</v>
      </c>
    </row>
    <row r="29" spans="1:31">
      <c r="P29">
        <f>PMT(0.09,20,-Q34*1000,0,1)</f>
        <v>291.45392433382096</v>
      </c>
      <c r="Q29">
        <f>PMT(0.09,20,-R34*1000,0,1)</f>
        <v>233.16313946705674</v>
      </c>
      <c r="R29">
        <f>PMT(0.09,20,-S34*1000,0,1)</f>
        <v>186.53051157364536</v>
      </c>
      <c r="S29">
        <f>PMT(0.09,20,-T34*1000,0,1)</f>
        <v>149.2244092589163</v>
      </c>
    </row>
    <row r="30" spans="1:31">
      <c r="C30" s="33" t="s">
        <v>319</v>
      </c>
    </row>
    <row r="31" spans="1:31" ht="15">
      <c r="F31" s="2" t="s">
        <v>119</v>
      </c>
    </row>
    <row r="32" spans="1:31" ht="15.75" thickBot="1">
      <c r="C32" s="3" t="s">
        <v>0</v>
      </c>
      <c r="D32" s="3" t="s">
        <v>157</v>
      </c>
      <c r="E32" s="3" t="s">
        <v>2</v>
      </c>
      <c r="F32" s="3" t="s">
        <v>4</v>
      </c>
      <c r="G32" s="3" t="s">
        <v>158</v>
      </c>
      <c r="H32" s="3" t="s">
        <v>159</v>
      </c>
      <c r="I32" s="3" t="s">
        <v>160</v>
      </c>
      <c r="J32" s="3" t="s">
        <v>161</v>
      </c>
      <c r="K32" s="3" t="s">
        <v>162</v>
      </c>
      <c r="L32" s="3" t="s">
        <v>189</v>
      </c>
      <c r="M32" s="3" t="s">
        <v>190</v>
      </c>
      <c r="N32" s="3" t="s">
        <v>81</v>
      </c>
      <c r="O32" s="3" t="s">
        <v>385</v>
      </c>
      <c r="P32" s="3" t="s">
        <v>384</v>
      </c>
      <c r="Q32" s="3" t="s">
        <v>45</v>
      </c>
      <c r="R32" s="3" t="s">
        <v>82</v>
      </c>
      <c r="S32" s="3" t="s">
        <v>84</v>
      </c>
      <c r="T32" s="3" t="s">
        <v>163</v>
      </c>
      <c r="U32" s="3" t="s">
        <v>85</v>
      </c>
      <c r="V32" s="3" t="s">
        <v>86</v>
      </c>
      <c r="W32" s="3" t="s">
        <v>88</v>
      </c>
      <c r="X32" s="3" t="s">
        <v>191</v>
      </c>
      <c r="Y32" s="3" t="s">
        <v>89</v>
      </c>
      <c r="Z32" s="3" t="s">
        <v>90</v>
      </c>
      <c r="AA32" s="3" t="s">
        <v>92</v>
      </c>
      <c r="AB32" s="3" t="s">
        <v>164</v>
      </c>
      <c r="AC32" s="3" t="s">
        <v>73</v>
      </c>
      <c r="AD32" s="3" t="s">
        <v>93</v>
      </c>
      <c r="AE32" s="3" t="s">
        <v>94</v>
      </c>
    </row>
    <row r="33" spans="1:31" ht="25.5">
      <c r="C33" s="4" t="s">
        <v>150</v>
      </c>
      <c r="D33" s="4" t="s">
        <v>32</v>
      </c>
      <c r="E33" s="4" t="s">
        <v>40</v>
      </c>
      <c r="F33" s="4" t="s">
        <v>42</v>
      </c>
      <c r="G33" s="4"/>
      <c r="H33" s="4"/>
      <c r="I33" s="4"/>
      <c r="J33" s="4"/>
      <c r="K33" s="4"/>
      <c r="L33" s="4"/>
      <c r="M33" s="4"/>
      <c r="N33" s="4"/>
      <c r="O33" s="4"/>
      <c r="P33" s="4"/>
      <c r="Q33" s="4" t="s">
        <v>194</v>
      </c>
      <c r="R33" s="4" t="s">
        <v>194</v>
      </c>
      <c r="S33" s="4" t="s">
        <v>194</v>
      </c>
      <c r="T33" s="4" t="s">
        <v>194</v>
      </c>
      <c r="U33" s="4" t="s">
        <v>194</v>
      </c>
      <c r="V33" s="4" t="s">
        <v>194</v>
      </c>
      <c r="W33" s="4" t="s">
        <v>194</v>
      </c>
      <c r="X33" s="4" t="s">
        <v>194</v>
      </c>
      <c r="Y33" s="4" t="s">
        <v>168</v>
      </c>
      <c r="Z33" s="4" t="s">
        <v>168</v>
      </c>
      <c r="AA33" s="4" t="s">
        <v>168</v>
      </c>
      <c r="AB33" s="4" t="s">
        <v>168</v>
      </c>
      <c r="AC33" s="4" t="s">
        <v>95</v>
      </c>
      <c r="AD33" s="4"/>
      <c r="AE33" s="4"/>
    </row>
    <row r="34" spans="1:31">
      <c r="C34" s="55" t="s">
        <v>272</v>
      </c>
      <c r="D34" s="55" t="s">
        <v>165</v>
      </c>
      <c r="E34" s="55" t="s">
        <v>67</v>
      </c>
      <c r="F34" s="55"/>
      <c r="G34" s="55">
        <v>1</v>
      </c>
      <c r="H34" s="55">
        <v>1</v>
      </c>
      <c r="I34" s="55">
        <v>1</v>
      </c>
      <c r="J34" s="55">
        <v>1</v>
      </c>
      <c r="K34" s="55"/>
      <c r="L34" s="55"/>
      <c r="M34" s="55"/>
      <c r="N34" s="55">
        <v>0.9</v>
      </c>
      <c r="O34" s="55"/>
      <c r="P34" s="55"/>
      <c r="Q34" s="55">
        <f>2900/1000</f>
        <v>2.9</v>
      </c>
      <c r="R34" s="55">
        <f>Q34*0.8</f>
        <v>2.3199999999999998</v>
      </c>
      <c r="S34" s="55">
        <f>R34*0.8</f>
        <v>1.8559999999999999</v>
      </c>
      <c r="T34" s="55">
        <f>S34*0.8</f>
        <v>1.4847999999999999</v>
      </c>
      <c r="U34" s="55">
        <f>90/1000</f>
        <v>0.09</v>
      </c>
      <c r="V34" s="55">
        <f>90/1000</f>
        <v>0.09</v>
      </c>
      <c r="W34" s="55">
        <f>90/1000</f>
        <v>0.09</v>
      </c>
      <c r="X34" s="55">
        <f>90/1000</f>
        <v>0.09</v>
      </c>
      <c r="Y34" s="55">
        <v>0.1</v>
      </c>
      <c r="Z34" s="55">
        <f>Y34*0.8</f>
        <v>8.0000000000000016E-2</v>
      </c>
      <c r="AA34" s="55">
        <f>Z34*0.8</f>
        <v>6.4000000000000015E-2</v>
      </c>
      <c r="AB34" s="55">
        <f>AA34*0.8</f>
        <v>5.1200000000000016E-2</v>
      </c>
      <c r="AC34" s="55">
        <v>25</v>
      </c>
      <c r="AD34" s="56">
        <v>2100</v>
      </c>
      <c r="AE34" s="55">
        <v>1</v>
      </c>
    </row>
    <row r="35" spans="1:31">
      <c r="C35" s="55"/>
      <c r="D35" s="55"/>
      <c r="E35" s="55" t="s">
        <v>155</v>
      </c>
      <c r="F35" s="55"/>
      <c r="G35" s="55">
        <v>2.5000000000000001E-3</v>
      </c>
      <c r="H35" s="55">
        <f t="shared" ref="H35:J36" si="2">G35*0.8</f>
        <v>2E-3</v>
      </c>
      <c r="I35" s="55">
        <f t="shared" si="2"/>
        <v>1.6000000000000001E-3</v>
      </c>
      <c r="J35" s="55">
        <f t="shared" si="2"/>
        <v>1.2800000000000001E-3</v>
      </c>
      <c r="K35" s="55"/>
      <c r="L35" s="55"/>
      <c r="M35" s="55"/>
      <c r="N35" s="55"/>
      <c r="O35" s="55"/>
      <c r="P35" s="55"/>
      <c r="Q35" s="55"/>
      <c r="R35" s="55"/>
      <c r="S35" s="55"/>
      <c r="T35" s="55"/>
      <c r="U35" s="55"/>
      <c r="V35" s="55"/>
      <c r="W35" s="55"/>
      <c r="X35" s="55"/>
      <c r="Y35" s="55"/>
      <c r="Z35" s="55"/>
      <c r="AA35" s="55"/>
      <c r="AB35" s="55"/>
      <c r="AC35" s="55"/>
      <c r="AD35" s="56"/>
      <c r="AE35" s="55"/>
    </row>
    <row r="36" spans="1:31">
      <c r="C36" s="55"/>
      <c r="D36" s="55"/>
      <c r="E36" s="55" t="s">
        <v>192</v>
      </c>
      <c r="F36" s="55"/>
      <c r="G36" s="55">
        <v>1.15E-2</v>
      </c>
      <c r="H36" s="55">
        <f t="shared" si="2"/>
        <v>9.1999999999999998E-3</v>
      </c>
      <c r="I36" s="55">
        <f t="shared" si="2"/>
        <v>7.3600000000000002E-3</v>
      </c>
      <c r="J36" s="55">
        <f>I36*0.8</f>
        <v>5.8880000000000009E-3</v>
      </c>
      <c r="K36" s="55"/>
      <c r="L36" s="55"/>
      <c r="M36" s="55"/>
      <c r="N36" s="55"/>
      <c r="O36" s="55"/>
      <c r="P36" s="55"/>
      <c r="Q36" s="55"/>
      <c r="R36" s="55"/>
      <c r="S36" s="55"/>
      <c r="T36" s="55"/>
      <c r="U36" s="55"/>
      <c r="V36" s="55"/>
      <c r="W36" s="55"/>
      <c r="X36" s="55"/>
      <c r="Y36" s="55"/>
      <c r="Z36" s="55"/>
      <c r="AA36" s="55"/>
      <c r="AB36" s="55"/>
      <c r="AC36" s="55"/>
      <c r="AD36" s="56"/>
      <c r="AE36" s="55"/>
    </row>
    <row r="37" spans="1:31">
      <c r="C37" s="55"/>
      <c r="D37" s="55"/>
      <c r="E37" s="55"/>
      <c r="F37" s="55" t="s">
        <v>66</v>
      </c>
      <c r="G37" s="55"/>
      <c r="H37" s="55"/>
      <c r="I37" s="55"/>
      <c r="J37" s="55"/>
      <c r="K37" s="55">
        <v>1</v>
      </c>
      <c r="L37" s="55"/>
      <c r="M37" s="55"/>
      <c r="N37" s="55"/>
      <c r="O37" s="55"/>
      <c r="P37" s="55"/>
      <c r="Q37" s="55"/>
      <c r="R37" s="55"/>
      <c r="S37" s="55"/>
      <c r="T37" s="55"/>
      <c r="U37" s="55"/>
      <c r="V37" s="55"/>
      <c r="W37" s="55"/>
      <c r="X37" s="55"/>
      <c r="Y37" s="55"/>
      <c r="Z37" s="55"/>
      <c r="AA37" s="55"/>
      <c r="AB37" s="55"/>
      <c r="AC37" s="55"/>
      <c r="AD37" s="56"/>
      <c r="AE37" s="55"/>
    </row>
    <row r="38" spans="1:31">
      <c r="C38" s="55" t="s">
        <v>273</v>
      </c>
      <c r="D38" s="55" t="s">
        <v>198</v>
      </c>
      <c r="E38" s="55" t="s">
        <v>67</v>
      </c>
      <c r="F38" s="55"/>
      <c r="G38" s="55">
        <v>1</v>
      </c>
      <c r="H38" s="55">
        <v>1</v>
      </c>
      <c r="I38" s="55">
        <v>1</v>
      </c>
      <c r="J38" s="55">
        <v>1</v>
      </c>
      <c r="K38" s="55"/>
      <c r="L38" s="55"/>
      <c r="M38" s="55"/>
      <c r="N38" s="55">
        <v>0.9</v>
      </c>
      <c r="O38" s="55"/>
      <c r="P38" s="55"/>
      <c r="Q38" s="55">
        <f>2900/1000</f>
        <v>2.9</v>
      </c>
      <c r="R38" s="55">
        <f>Q38*0.8</f>
        <v>2.3199999999999998</v>
      </c>
      <c r="S38" s="55">
        <f>R38*0.8</f>
        <v>1.8559999999999999</v>
      </c>
      <c r="T38" s="55">
        <f>S38*0.8</f>
        <v>1.4847999999999999</v>
      </c>
      <c r="U38" s="55">
        <f>90/1000</f>
        <v>0.09</v>
      </c>
      <c r="V38" s="55">
        <f>90/1000</f>
        <v>0.09</v>
      </c>
      <c r="W38" s="55">
        <f>90/1000</f>
        <v>0.09</v>
      </c>
      <c r="X38" s="55">
        <f>90/1000</f>
        <v>0.09</v>
      </c>
      <c r="Y38" s="55">
        <v>0.1</v>
      </c>
      <c r="Z38" s="55">
        <f>Y38*0.8</f>
        <v>8.0000000000000016E-2</v>
      </c>
      <c r="AA38" s="55">
        <f>Z38*0.8</f>
        <v>6.4000000000000015E-2</v>
      </c>
      <c r="AB38" s="55">
        <f>AA38*0.8</f>
        <v>5.1200000000000016E-2</v>
      </c>
      <c r="AC38" s="55">
        <v>25</v>
      </c>
      <c r="AD38" s="56">
        <v>2100</v>
      </c>
      <c r="AE38" s="55">
        <v>1</v>
      </c>
    </row>
    <row r="39" spans="1:31">
      <c r="C39" s="55"/>
      <c r="D39" s="55"/>
      <c r="E39" s="55" t="s">
        <v>155</v>
      </c>
      <c r="F39" s="55"/>
      <c r="G39" s="55">
        <v>2.5000000000000001E-3</v>
      </c>
      <c r="H39" s="55">
        <f t="shared" ref="H39:J40" si="3">G39*0.8</f>
        <v>2E-3</v>
      </c>
      <c r="I39" s="55">
        <f t="shared" si="3"/>
        <v>1.6000000000000001E-3</v>
      </c>
      <c r="J39" s="55">
        <f t="shared" si="3"/>
        <v>1.2800000000000001E-3</v>
      </c>
      <c r="K39" s="55"/>
      <c r="L39" s="55"/>
      <c r="M39" s="55"/>
      <c r="N39" s="55"/>
      <c r="O39" s="55"/>
      <c r="P39" s="55"/>
      <c r="Q39" s="55"/>
      <c r="R39" s="55"/>
      <c r="S39" s="55"/>
      <c r="T39" s="55"/>
      <c r="U39" s="55"/>
      <c r="V39" s="55"/>
      <c r="W39" s="55"/>
      <c r="X39" s="55"/>
      <c r="Y39" s="55"/>
      <c r="Z39" s="55"/>
      <c r="AA39" s="55"/>
      <c r="AB39" s="55"/>
      <c r="AC39" s="55"/>
      <c r="AD39" s="55"/>
      <c r="AE39" s="55"/>
    </row>
    <row r="40" spans="1:31">
      <c r="C40" s="55"/>
      <c r="D40" s="55"/>
      <c r="E40" s="55" t="s">
        <v>199</v>
      </c>
      <c r="F40" s="55"/>
      <c r="G40" s="55">
        <v>1.15E-2</v>
      </c>
      <c r="H40" s="55">
        <f t="shared" si="3"/>
        <v>9.1999999999999998E-3</v>
      </c>
      <c r="I40" s="55">
        <f t="shared" si="3"/>
        <v>7.3600000000000002E-3</v>
      </c>
      <c r="J40" s="55">
        <f>I40*0.8</f>
        <v>5.8880000000000009E-3</v>
      </c>
      <c r="K40" s="55"/>
      <c r="L40" s="55"/>
      <c r="M40" s="55"/>
      <c r="N40" s="55"/>
      <c r="O40" s="55"/>
      <c r="P40" s="55"/>
      <c r="Q40" s="55"/>
      <c r="R40" s="55"/>
      <c r="S40" s="55"/>
      <c r="T40" s="55"/>
      <c r="U40" s="55"/>
      <c r="V40" s="55"/>
      <c r="W40" s="55"/>
      <c r="X40" s="55"/>
      <c r="Y40" s="55"/>
      <c r="Z40" s="55"/>
      <c r="AA40" s="55"/>
      <c r="AB40" s="55"/>
      <c r="AC40" s="55"/>
      <c r="AD40" s="55"/>
      <c r="AE40" s="55"/>
    </row>
    <row r="41" spans="1:31">
      <c r="C41" s="55"/>
      <c r="D41" s="55"/>
      <c r="E41" s="55"/>
      <c r="F41" s="55" t="s">
        <v>66</v>
      </c>
      <c r="G41" s="55"/>
      <c r="H41" s="55"/>
      <c r="I41" s="55"/>
      <c r="J41" s="55"/>
      <c r="K41" s="55">
        <v>1</v>
      </c>
      <c r="L41" s="55"/>
      <c r="M41" s="55"/>
      <c r="N41" s="55"/>
      <c r="O41" s="55"/>
      <c r="P41" s="55"/>
      <c r="Q41" s="55"/>
      <c r="R41" s="55"/>
      <c r="S41" s="55"/>
      <c r="T41" s="55"/>
      <c r="U41" s="55"/>
      <c r="V41" s="55"/>
      <c r="W41" s="55"/>
      <c r="X41" s="55"/>
      <c r="Y41" s="55"/>
      <c r="Z41" s="55"/>
      <c r="AA41" s="55"/>
      <c r="AB41" s="55"/>
      <c r="AC41" s="55"/>
      <c r="AD41" s="55"/>
      <c r="AE41" s="55"/>
    </row>
    <row r="42" spans="1:31">
      <c r="A42" s="40" t="s">
        <v>343</v>
      </c>
      <c r="C42" s="37" t="s">
        <v>169</v>
      </c>
      <c r="D42" s="50" t="str">
        <f>E72</f>
        <v>Methanation - Centralized Underground storage - bio and atm CO2</v>
      </c>
      <c r="E42" s="37" t="s">
        <v>327</v>
      </c>
      <c r="F42" s="37"/>
      <c r="G42" s="37">
        <v>54.839594187003023</v>
      </c>
      <c r="H42" s="37">
        <v>54.839594187003023</v>
      </c>
      <c r="I42" s="37">
        <v>54.839594187003023</v>
      </c>
      <c r="J42" s="37">
        <v>54.839594187003023</v>
      </c>
      <c r="K42" s="37"/>
      <c r="L42" s="37"/>
      <c r="M42" s="37"/>
      <c r="N42" s="37">
        <v>0.95</v>
      </c>
      <c r="O42" s="37"/>
      <c r="P42" s="37">
        <f>20/1000</f>
        <v>0.02</v>
      </c>
      <c r="Q42" s="37">
        <v>750</v>
      </c>
      <c r="R42" s="37">
        <v>600</v>
      </c>
      <c r="S42" s="37">
        <v>450</v>
      </c>
      <c r="T42" s="37">
        <v>250</v>
      </c>
      <c r="U42" s="37">
        <v>37.5</v>
      </c>
      <c r="V42" s="37">
        <v>30</v>
      </c>
      <c r="W42" s="37">
        <v>22.5</v>
      </c>
      <c r="X42" s="37">
        <v>12.5</v>
      </c>
      <c r="Y42" s="37"/>
      <c r="Z42" s="37" t="s">
        <v>96</v>
      </c>
      <c r="AA42" s="37" t="s">
        <v>96</v>
      </c>
      <c r="AB42" s="37" t="s">
        <v>96</v>
      </c>
      <c r="AC42" s="37">
        <v>25</v>
      </c>
      <c r="AD42" s="37">
        <v>2025</v>
      </c>
      <c r="AE42" s="37">
        <v>31.536000000000001</v>
      </c>
    </row>
    <row r="43" spans="1:31">
      <c r="C43" s="37"/>
      <c r="D43" s="37"/>
      <c r="E43" s="37" t="s">
        <v>154</v>
      </c>
      <c r="F43" s="37"/>
      <c r="G43" s="37">
        <v>1.3333333333333333</v>
      </c>
      <c r="H43" s="37">
        <v>1.2820512820512819</v>
      </c>
      <c r="I43" s="37">
        <v>1.2345679012345678</v>
      </c>
      <c r="J43" s="37">
        <v>1.2164419074207937</v>
      </c>
      <c r="K43" s="37"/>
      <c r="L43" s="37"/>
      <c r="M43" s="37"/>
      <c r="N43" s="37"/>
      <c r="O43" s="37"/>
      <c r="P43" s="37"/>
      <c r="Q43" s="37"/>
      <c r="R43" s="37"/>
      <c r="S43" s="37"/>
      <c r="T43" s="37"/>
      <c r="U43" s="37"/>
      <c r="V43" s="37"/>
      <c r="W43" s="37"/>
      <c r="X43" s="37"/>
      <c r="Y43" s="37"/>
      <c r="Z43" s="37"/>
      <c r="AA43" s="37"/>
      <c r="AB43" s="37"/>
      <c r="AC43" s="37"/>
      <c r="AD43" s="37"/>
      <c r="AE43" s="37"/>
    </row>
    <row r="44" spans="1:31">
      <c r="C44" s="37"/>
      <c r="D44" s="37"/>
      <c r="E44" s="37"/>
      <c r="F44" s="37" t="s">
        <v>172</v>
      </c>
      <c r="G44" s="37"/>
      <c r="H44" s="37"/>
      <c r="I44" s="37"/>
      <c r="J44" s="37"/>
      <c r="K44" s="37">
        <v>1</v>
      </c>
      <c r="L44" s="37">
        <v>1</v>
      </c>
      <c r="M44" s="37">
        <v>1</v>
      </c>
      <c r="N44" s="37"/>
      <c r="O44" s="37"/>
      <c r="P44" s="37"/>
      <c r="Q44" s="37"/>
      <c r="R44" s="37"/>
      <c r="S44" s="37"/>
      <c r="T44" s="37"/>
      <c r="U44" s="37"/>
      <c r="V44" s="37"/>
      <c r="W44" s="37"/>
      <c r="X44" s="37"/>
      <c r="Y44" s="37"/>
      <c r="Z44" s="37"/>
      <c r="AA44" s="37"/>
      <c r="AB44" s="37"/>
      <c r="AC44" s="37"/>
      <c r="AD44" s="37"/>
      <c r="AE44" s="37"/>
    </row>
    <row r="45" spans="1:31">
      <c r="C45" s="37"/>
      <c r="D45" s="37"/>
      <c r="E45" s="37"/>
      <c r="F45" s="37" t="s">
        <v>192</v>
      </c>
      <c r="G45" s="37"/>
      <c r="H45" s="37"/>
      <c r="I45" s="37"/>
      <c r="J45" s="37"/>
      <c r="K45" s="37">
        <v>0</v>
      </c>
      <c r="L45" s="37">
        <v>0</v>
      </c>
      <c r="M45" s="37">
        <v>1E-4</v>
      </c>
      <c r="N45" s="37"/>
      <c r="O45" s="37"/>
      <c r="P45" s="37"/>
      <c r="Q45" s="37"/>
      <c r="R45" s="37"/>
      <c r="S45" s="37"/>
      <c r="T45" s="37"/>
      <c r="U45" s="37"/>
      <c r="V45" s="37"/>
      <c r="W45" s="37"/>
      <c r="X45" s="37"/>
      <c r="Y45" s="37"/>
      <c r="Z45" s="37"/>
      <c r="AA45" s="37"/>
      <c r="AB45" s="37"/>
      <c r="AC45" s="37"/>
      <c r="AD45" s="37"/>
      <c r="AE45" s="37"/>
    </row>
    <row r="46" spans="1:31">
      <c r="A46" s="40" t="s">
        <v>343</v>
      </c>
      <c r="C46" s="37" t="s">
        <v>170</v>
      </c>
      <c r="D46" s="50" t="str">
        <f>E73</f>
        <v>Methanation - Centralized Tank storage - bio and atm CO2</v>
      </c>
      <c r="E46" s="37" t="s">
        <v>327</v>
      </c>
      <c r="F46" s="37"/>
      <c r="G46" s="37">
        <v>54.839594187003023</v>
      </c>
      <c r="H46" s="37">
        <v>54.839594187003023</v>
      </c>
      <c r="I46" s="37">
        <v>54.839594187003023</v>
      </c>
      <c r="J46" s="37">
        <v>54.839594187003023</v>
      </c>
      <c r="K46" s="37"/>
      <c r="L46" s="37"/>
      <c r="M46" s="37"/>
      <c r="N46" s="37">
        <v>0.95</v>
      </c>
      <c r="O46" s="37"/>
      <c r="P46" s="37">
        <f>20/1000</f>
        <v>0.02</v>
      </c>
      <c r="Q46" s="37">
        <v>750</v>
      </c>
      <c r="R46" s="37">
        <v>600</v>
      </c>
      <c r="S46" s="37">
        <v>450</v>
      </c>
      <c r="T46" s="37">
        <v>250</v>
      </c>
      <c r="U46" s="37">
        <v>37.5</v>
      </c>
      <c r="V46" s="37">
        <v>30</v>
      </c>
      <c r="W46" s="37">
        <v>22.5</v>
      </c>
      <c r="X46" s="37">
        <v>12.5</v>
      </c>
      <c r="Y46" s="37"/>
      <c r="Z46" s="37" t="s">
        <v>96</v>
      </c>
      <c r="AA46" s="37" t="s">
        <v>96</v>
      </c>
      <c r="AB46" s="37" t="s">
        <v>96</v>
      </c>
      <c r="AC46" s="37">
        <v>25</v>
      </c>
      <c r="AD46" s="37">
        <v>2025</v>
      </c>
      <c r="AE46" s="37">
        <v>31.536000000000001</v>
      </c>
    </row>
    <row r="47" spans="1:31">
      <c r="C47" s="37"/>
      <c r="D47" s="37"/>
      <c r="E47" s="37" t="s">
        <v>114</v>
      </c>
      <c r="F47" s="37"/>
      <c r="G47" s="37">
        <v>1.3333333333333333</v>
      </c>
      <c r="H47" s="37">
        <v>1.2820512820512819</v>
      </c>
      <c r="I47" s="37">
        <v>1.2345679012345678</v>
      </c>
      <c r="J47" s="37">
        <v>1.2164419074207937</v>
      </c>
      <c r="K47" s="37"/>
      <c r="L47" s="37"/>
      <c r="M47" s="37"/>
      <c r="N47" s="37"/>
      <c r="O47" s="37"/>
      <c r="P47" s="37"/>
      <c r="Q47" s="37"/>
      <c r="R47" s="37"/>
      <c r="S47" s="37"/>
      <c r="T47" s="37"/>
      <c r="U47" s="37"/>
      <c r="V47" s="37"/>
      <c r="W47" s="37"/>
      <c r="X47" s="37"/>
      <c r="Y47" s="37"/>
      <c r="Z47" s="37"/>
      <c r="AA47" s="37"/>
      <c r="AB47" s="37"/>
      <c r="AC47" s="37"/>
      <c r="AD47" s="37"/>
      <c r="AE47" s="37"/>
    </row>
    <row r="48" spans="1:31">
      <c r="C48" s="37"/>
      <c r="D48" s="37"/>
      <c r="E48" s="37"/>
      <c r="F48" s="37" t="s">
        <v>172</v>
      </c>
      <c r="G48" s="37"/>
      <c r="H48" s="37"/>
      <c r="I48" s="37"/>
      <c r="J48" s="37"/>
      <c r="K48" s="37">
        <v>1</v>
      </c>
      <c r="L48" s="37">
        <v>1</v>
      </c>
      <c r="M48" s="37">
        <v>1</v>
      </c>
      <c r="N48" s="37"/>
      <c r="O48" s="37"/>
      <c r="P48" s="37"/>
      <c r="Q48" s="37"/>
      <c r="R48" s="37"/>
      <c r="S48" s="37"/>
      <c r="T48" s="37"/>
      <c r="U48" s="37"/>
      <c r="V48" s="37"/>
      <c r="W48" s="37"/>
      <c r="X48" s="37"/>
      <c r="Y48" s="37"/>
      <c r="Z48" s="37"/>
      <c r="AA48" s="37"/>
      <c r="AB48" s="37"/>
      <c r="AC48" s="37"/>
      <c r="AD48" s="37"/>
      <c r="AE48" s="37"/>
    </row>
    <row r="49" spans="1:31">
      <c r="C49" s="37"/>
      <c r="D49" s="37"/>
      <c r="E49" s="37"/>
      <c r="F49" s="37" t="s">
        <v>192</v>
      </c>
      <c r="G49" s="37"/>
      <c r="H49" s="37"/>
      <c r="I49" s="37"/>
      <c r="J49" s="37"/>
      <c r="K49" s="37">
        <v>0</v>
      </c>
      <c r="L49" s="37">
        <v>0</v>
      </c>
      <c r="M49" s="37">
        <v>1E-4</v>
      </c>
      <c r="N49" s="37"/>
      <c r="O49" s="37"/>
      <c r="P49" s="37"/>
      <c r="Q49" s="37"/>
      <c r="R49" s="37"/>
      <c r="S49" s="37"/>
      <c r="T49" s="37"/>
      <c r="U49" s="37"/>
      <c r="V49" s="37"/>
      <c r="W49" s="37"/>
      <c r="X49" s="37"/>
      <c r="Y49" s="37"/>
      <c r="Z49" s="37"/>
      <c r="AA49" s="37"/>
      <c r="AB49" s="37"/>
      <c r="AC49" s="37"/>
      <c r="AD49" s="37"/>
      <c r="AE49" s="37"/>
    </row>
    <row r="50" spans="1:31">
      <c r="A50" s="40" t="s">
        <v>342</v>
      </c>
      <c r="C50" s="38" t="s">
        <v>344</v>
      </c>
      <c r="D50" s="34" t="str">
        <f>E74</f>
        <v>Methanation - Centralized Underground storage - fossil CO2</v>
      </c>
      <c r="E50" s="34" t="s">
        <v>326</v>
      </c>
      <c r="F50" s="34"/>
      <c r="G50" s="34">
        <v>54.839594187003023</v>
      </c>
      <c r="H50" s="34">
        <v>54.839594187003023</v>
      </c>
      <c r="I50" s="34">
        <v>54.839594187003023</v>
      </c>
      <c r="J50" s="34">
        <v>54.839594187003023</v>
      </c>
      <c r="K50" s="34"/>
      <c r="L50" s="34"/>
      <c r="M50" s="34"/>
      <c r="N50" s="34">
        <v>0.95</v>
      </c>
      <c r="O50" s="34">
        <v>0.02</v>
      </c>
      <c r="P50" s="34"/>
      <c r="Q50" s="34">
        <v>750</v>
      </c>
      <c r="R50" s="34">
        <v>600</v>
      </c>
      <c r="S50" s="34">
        <v>450</v>
      </c>
      <c r="T50" s="34">
        <v>250</v>
      </c>
      <c r="U50" s="34">
        <v>37.5</v>
      </c>
      <c r="V50" s="34">
        <v>30</v>
      </c>
      <c r="W50" s="34">
        <v>22.5</v>
      </c>
      <c r="X50" s="34">
        <v>12.5</v>
      </c>
      <c r="Y50" s="34"/>
      <c r="Z50" s="34" t="s">
        <v>96</v>
      </c>
      <c r="AA50" s="34" t="s">
        <v>96</v>
      </c>
      <c r="AB50" s="34" t="s">
        <v>96</v>
      </c>
      <c r="AC50" s="34">
        <v>25</v>
      </c>
      <c r="AD50" s="34">
        <v>2025</v>
      </c>
      <c r="AE50" s="34">
        <v>31.536000000000001</v>
      </c>
    </row>
    <row r="51" spans="1:31">
      <c r="C51" s="34"/>
      <c r="D51" s="34"/>
      <c r="E51" s="34" t="s">
        <v>154</v>
      </c>
      <c r="F51" s="34"/>
      <c r="G51" s="34">
        <v>1.3333333333333333</v>
      </c>
      <c r="H51" s="34">
        <v>1.2820512820512819</v>
      </c>
      <c r="I51" s="34">
        <v>1.2345679012345678</v>
      </c>
      <c r="J51" s="34">
        <v>1.2164419074207937</v>
      </c>
      <c r="K51" s="34"/>
      <c r="L51" s="34"/>
      <c r="M51" s="34"/>
      <c r="N51" s="34"/>
      <c r="O51" s="34"/>
      <c r="P51" s="34"/>
      <c r="Q51" s="34"/>
      <c r="R51" s="34"/>
      <c r="S51" s="34"/>
      <c r="T51" s="34"/>
      <c r="U51" s="34"/>
      <c r="V51" s="34"/>
      <c r="W51" s="34"/>
      <c r="X51" s="34"/>
      <c r="Y51" s="34"/>
      <c r="Z51" s="34"/>
      <c r="AA51" s="34"/>
      <c r="AB51" s="34"/>
      <c r="AC51" s="34"/>
      <c r="AD51" s="34"/>
      <c r="AE51" s="34"/>
    </row>
    <row r="52" spans="1:31">
      <c r="C52" s="34"/>
      <c r="D52" s="34"/>
      <c r="E52" s="34"/>
      <c r="F52" s="38" t="s">
        <v>346</v>
      </c>
      <c r="G52" s="34"/>
      <c r="H52" s="34"/>
      <c r="I52" s="34"/>
      <c r="J52" s="34"/>
      <c r="K52" s="34">
        <v>1</v>
      </c>
      <c r="L52" s="34">
        <v>1</v>
      </c>
      <c r="M52" s="34">
        <v>1</v>
      </c>
      <c r="N52" s="34"/>
      <c r="O52" s="34"/>
      <c r="P52" s="34"/>
      <c r="Q52" s="34"/>
      <c r="R52" s="34"/>
      <c r="S52" s="34"/>
      <c r="T52" s="34"/>
      <c r="U52" s="34"/>
      <c r="V52" s="34"/>
      <c r="W52" s="34"/>
      <c r="X52" s="34"/>
      <c r="Y52" s="34"/>
      <c r="Z52" s="34"/>
      <c r="AA52" s="34"/>
      <c r="AB52" s="34"/>
      <c r="AC52" s="34"/>
      <c r="AD52" s="34"/>
      <c r="AE52" s="34"/>
    </row>
    <row r="53" spans="1:31">
      <c r="C53" s="34"/>
      <c r="D53" s="34"/>
      <c r="E53" s="34"/>
      <c r="F53" s="34" t="s">
        <v>192</v>
      </c>
      <c r="G53" s="34"/>
      <c r="H53" s="34"/>
      <c r="I53" s="34"/>
      <c r="J53" s="34"/>
      <c r="K53" s="34">
        <v>0</v>
      </c>
      <c r="L53" s="34">
        <v>0</v>
      </c>
      <c r="M53" s="34">
        <v>1E-4</v>
      </c>
      <c r="N53" s="34"/>
      <c r="O53" s="34"/>
      <c r="P53" s="34"/>
      <c r="Q53" s="34"/>
      <c r="R53" s="34"/>
      <c r="S53" s="34"/>
      <c r="T53" s="34"/>
      <c r="U53" s="34"/>
      <c r="V53" s="34"/>
      <c r="W53" s="34"/>
      <c r="X53" s="34"/>
      <c r="Y53" s="34"/>
      <c r="Z53" s="34"/>
      <c r="AA53" s="34"/>
      <c r="AB53" s="34"/>
      <c r="AC53" s="34"/>
      <c r="AD53" s="34"/>
      <c r="AE53" s="34"/>
    </row>
    <row r="54" spans="1:31">
      <c r="A54" s="40" t="s">
        <v>342</v>
      </c>
      <c r="C54" s="38" t="s">
        <v>345</v>
      </c>
      <c r="D54" s="34" t="str">
        <f>E75</f>
        <v>Methanation - Centralized Tank storage - fossil CO2</v>
      </c>
      <c r="E54" s="34" t="s">
        <v>326</v>
      </c>
      <c r="F54" s="34"/>
      <c r="G54" s="34">
        <v>54.839594187003023</v>
      </c>
      <c r="H54" s="34">
        <v>54.839594187003023</v>
      </c>
      <c r="I54" s="34">
        <v>54.839594187003023</v>
      </c>
      <c r="J54" s="34">
        <v>54.839594187003023</v>
      </c>
      <c r="K54" s="34"/>
      <c r="L54" s="34"/>
      <c r="M54" s="34"/>
      <c r="N54" s="34">
        <v>0.95</v>
      </c>
      <c r="O54" s="34">
        <v>0.02</v>
      </c>
      <c r="P54" s="34"/>
      <c r="Q54" s="34">
        <v>750</v>
      </c>
      <c r="R54" s="34">
        <v>600</v>
      </c>
      <c r="S54" s="34">
        <v>450</v>
      </c>
      <c r="T54" s="34">
        <v>250</v>
      </c>
      <c r="U54" s="34">
        <v>37.5</v>
      </c>
      <c r="V54" s="34">
        <v>30</v>
      </c>
      <c r="W54" s="34">
        <v>22.5</v>
      </c>
      <c r="X54" s="34">
        <v>12.5</v>
      </c>
      <c r="Y54" s="34"/>
      <c r="Z54" s="34" t="s">
        <v>96</v>
      </c>
      <c r="AA54" s="34" t="s">
        <v>96</v>
      </c>
      <c r="AB54" s="34" t="s">
        <v>96</v>
      </c>
      <c r="AC54" s="34">
        <v>25</v>
      </c>
      <c r="AD54" s="34">
        <v>2025</v>
      </c>
      <c r="AE54" s="34">
        <v>31.536000000000001</v>
      </c>
    </row>
    <row r="55" spans="1:31">
      <c r="C55" s="34"/>
      <c r="D55" s="34"/>
      <c r="E55" s="34" t="s">
        <v>114</v>
      </c>
      <c r="F55" s="34"/>
      <c r="G55" s="34">
        <v>1.3333333333333333</v>
      </c>
      <c r="H55" s="34">
        <v>1.2820512820512819</v>
      </c>
      <c r="I55" s="34">
        <v>1.2345679012345678</v>
      </c>
      <c r="J55" s="34">
        <v>1.2164419074207937</v>
      </c>
      <c r="K55" s="34"/>
      <c r="L55" s="34"/>
      <c r="M55" s="34"/>
      <c r="N55" s="34"/>
      <c r="O55" s="34"/>
      <c r="P55" s="34"/>
      <c r="Q55" s="34"/>
      <c r="R55" s="34"/>
      <c r="S55" s="34"/>
      <c r="T55" s="34"/>
      <c r="U55" s="34"/>
      <c r="V55" s="34"/>
      <c r="W55" s="34"/>
      <c r="X55" s="34"/>
      <c r="Y55" s="34"/>
      <c r="Z55" s="34"/>
      <c r="AA55" s="34"/>
      <c r="AB55" s="34"/>
      <c r="AC55" s="34"/>
      <c r="AD55" s="34"/>
      <c r="AE55" s="34"/>
    </row>
    <row r="56" spans="1:31">
      <c r="C56" s="34"/>
      <c r="D56" s="34"/>
      <c r="E56" s="34"/>
      <c r="F56" s="38" t="s">
        <v>346</v>
      </c>
      <c r="G56" s="34"/>
      <c r="H56" s="34"/>
      <c r="I56" s="34"/>
      <c r="J56" s="34"/>
      <c r="K56" s="34">
        <v>1</v>
      </c>
      <c r="L56" s="34">
        <v>1</v>
      </c>
      <c r="M56" s="34">
        <v>1</v>
      </c>
      <c r="N56" s="34"/>
      <c r="O56" s="34"/>
      <c r="P56" s="34"/>
      <c r="Q56" s="34"/>
      <c r="R56" s="34"/>
      <c r="S56" s="34"/>
      <c r="T56" s="34"/>
      <c r="U56" s="34"/>
      <c r="V56" s="34"/>
      <c r="W56" s="34"/>
      <c r="X56" s="34"/>
      <c r="Y56" s="34"/>
      <c r="Z56" s="34"/>
      <c r="AA56" s="34"/>
      <c r="AB56" s="34"/>
      <c r="AC56" s="34"/>
      <c r="AD56" s="34"/>
      <c r="AE56" s="34"/>
    </row>
    <row r="57" spans="1:31">
      <c r="C57" s="34"/>
      <c r="D57" s="34"/>
      <c r="E57" s="34"/>
      <c r="F57" s="34" t="s">
        <v>192</v>
      </c>
      <c r="G57" s="34"/>
      <c r="H57" s="34"/>
      <c r="I57" s="34"/>
      <c r="J57" s="34"/>
      <c r="K57" s="34">
        <v>0</v>
      </c>
      <c r="L57" s="34">
        <v>0</v>
      </c>
      <c r="M57" s="34">
        <v>1E-4</v>
      </c>
      <c r="N57" s="34"/>
      <c r="O57" s="34"/>
      <c r="P57" s="34"/>
      <c r="Q57" s="34"/>
      <c r="R57" s="34"/>
      <c r="S57" s="34"/>
      <c r="T57" s="34"/>
      <c r="U57" s="34"/>
      <c r="V57" s="34"/>
      <c r="W57" s="34"/>
      <c r="X57" s="34"/>
      <c r="Y57" s="34"/>
      <c r="Z57" s="34"/>
      <c r="AA57" s="34"/>
      <c r="AB57" s="34"/>
      <c r="AC57" s="34"/>
      <c r="AD57" s="34"/>
      <c r="AE57" s="34"/>
    </row>
    <row r="60" spans="1:31" ht="15">
      <c r="C60" s="11" t="s">
        <v>16</v>
      </c>
      <c r="D60" s="12"/>
      <c r="E60" s="12"/>
      <c r="F60" s="12"/>
      <c r="G60" s="12"/>
      <c r="H60" s="12"/>
      <c r="I60" s="12"/>
      <c r="J60" s="12"/>
    </row>
    <row r="61" spans="1:31" ht="15.75" thickBot="1">
      <c r="C61" s="13" t="s">
        <v>15</v>
      </c>
      <c r="D61" s="13" t="s">
        <v>0</v>
      </c>
      <c r="E61" s="13" t="s">
        <v>1</v>
      </c>
      <c r="F61" s="13" t="s">
        <v>17</v>
      </c>
      <c r="G61" s="13" t="s">
        <v>18</v>
      </c>
      <c r="H61" s="13" t="s">
        <v>19</v>
      </c>
      <c r="I61" s="13" t="s">
        <v>20</v>
      </c>
      <c r="J61" s="13" t="s">
        <v>21</v>
      </c>
    </row>
    <row r="62" spans="1:31" ht="38.25">
      <c r="C62" s="14" t="s">
        <v>30</v>
      </c>
      <c r="D62" s="14" t="s">
        <v>31</v>
      </c>
      <c r="E62" s="14" t="s">
        <v>32</v>
      </c>
      <c r="F62" s="14" t="s">
        <v>33</v>
      </c>
      <c r="G62" s="14" t="s">
        <v>34</v>
      </c>
      <c r="H62" s="14" t="s">
        <v>35</v>
      </c>
      <c r="I62" s="14" t="s">
        <v>36</v>
      </c>
      <c r="J62" s="14" t="s">
        <v>37</v>
      </c>
    </row>
    <row r="63" spans="1:31">
      <c r="A63" s="40" t="s">
        <v>343</v>
      </c>
      <c r="C63" s="50" t="s">
        <v>57</v>
      </c>
      <c r="D63" s="50" t="s">
        <v>63</v>
      </c>
      <c r="E63" s="51" t="s">
        <v>338</v>
      </c>
      <c r="F63" s="50" t="s">
        <v>58</v>
      </c>
      <c r="G63" s="50" t="s">
        <v>107</v>
      </c>
      <c r="H63" s="50" t="s">
        <v>74</v>
      </c>
      <c r="I63" s="50"/>
      <c r="J63" s="50"/>
    </row>
    <row r="64" spans="1:31">
      <c r="A64" s="40" t="s">
        <v>343</v>
      </c>
      <c r="C64" s="50" t="s">
        <v>57</v>
      </c>
      <c r="D64" s="50" t="s">
        <v>174</v>
      </c>
      <c r="E64" s="51" t="s">
        <v>337</v>
      </c>
      <c r="F64" s="50" t="s">
        <v>58</v>
      </c>
      <c r="G64" s="50" t="s">
        <v>107</v>
      </c>
      <c r="H64" s="50" t="s">
        <v>74</v>
      </c>
      <c r="I64" s="50"/>
      <c r="J64" s="50"/>
    </row>
    <row r="65" spans="1:15">
      <c r="A65" s="40" t="s">
        <v>343</v>
      </c>
      <c r="C65" s="50" t="s">
        <v>57</v>
      </c>
      <c r="D65" s="50" t="s">
        <v>175</v>
      </c>
      <c r="E65" s="51" t="s">
        <v>336</v>
      </c>
      <c r="F65" s="50" t="s">
        <v>58</v>
      </c>
      <c r="G65" s="50" t="s">
        <v>107</v>
      </c>
      <c r="H65" s="50" t="s">
        <v>74</v>
      </c>
      <c r="I65" s="50"/>
      <c r="J65" s="50"/>
    </row>
    <row r="66" spans="1:15">
      <c r="A66" s="40" t="s">
        <v>341</v>
      </c>
      <c r="C66" s="54" t="s">
        <v>57</v>
      </c>
      <c r="D66" s="54" t="s">
        <v>64</v>
      </c>
      <c r="E66" s="54" t="s">
        <v>59</v>
      </c>
      <c r="F66" s="54" t="s">
        <v>58</v>
      </c>
      <c r="G66" s="54" t="s">
        <v>107</v>
      </c>
      <c r="H66" s="54" t="s">
        <v>74</v>
      </c>
      <c r="I66" s="54"/>
      <c r="J66" s="54"/>
    </row>
    <row r="67" spans="1:15">
      <c r="A67" s="40" t="s">
        <v>342</v>
      </c>
      <c r="C67" s="36" t="s">
        <v>57</v>
      </c>
      <c r="D67" s="52" t="s">
        <v>330</v>
      </c>
      <c r="E67" s="52" t="s">
        <v>333</v>
      </c>
      <c r="F67" s="36" t="s">
        <v>58</v>
      </c>
      <c r="G67" s="36" t="s">
        <v>107</v>
      </c>
      <c r="H67" s="36" t="s">
        <v>74</v>
      </c>
      <c r="I67" s="36"/>
      <c r="J67" s="36"/>
    </row>
    <row r="68" spans="1:15">
      <c r="A68" s="40" t="s">
        <v>342</v>
      </c>
      <c r="C68" s="36" t="s">
        <v>57</v>
      </c>
      <c r="D68" s="52" t="s">
        <v>331</v>
      </c>
      <c r="E68" s="52" t="s">
        <v>334</v>
      </c>
      <c r="F68" s="36" t="s">
        <v>58</v>
      </c>
      <c r="G68" s="36" t="s">
        <v>107</v>
      </c>
      <c r="H68" s="36" t="s">
        <v>74</v>
      </c>
      <c r="I68" s="36"/>
      <c r="J68" s="36"/>
    </row>
    <row r="69" spans="1:15">
      <c r="A69" s="40" t="s">
        <v>342</v>
      </c>
      <c r="C69" s="36" t="s">
        <v>57</v>
      </c>
      <c r="D69" s="52" t="s">
        <v>332</v>
      </c>
      <c r="E69" s="52" t="s">
        <v>335</v>
      </c>
      <c r="F69" s="36" t="s">
        <v>58</v>
      </c>
      <c r="G69" s="36" t="s">
        <v>107</v>
      </c>
      <c r="H69" s="36" t="s">
        <v>74</v>
      </c>
      <c r="I69" s="36"/>
      <c r="J69" s="36"/>
    </row>
    <row r="70" spans="1:15">
      <c r="C70" s="53" t="s">
        <v>57</v>
      </c>
      <c r="D70" s="53" t="s">
        <v>272</v>
      </c>
      <c r="E70" s="53" t="s">
        <v>165</v>
      </c>
      <c r="F70" s="53" t="s">
        <v>166</v>
      </c>
      <c r="G70" s="53" t="s">
        <v>167</v>
      </c>
      <c r="H70" s="53" t="s">
        <v>74</v>
      </c>
      <c r="I70" s="53" t="str">
        <f>F37</f>
        <v>INDSCO2N</v>
      </c>
      <c r="J70" s="53"/>
    </row>
    <row r="71" spans="1:15">
      <c r="C71" s="53" t="s">
        <v>57</v>
      </c>
      <c r="D71" s="53" t="s">
        <v>273</v>
      </c>
      <c r="E71" s="53" t="s">
        <v>198</v>
      </c>
      <c r="F71" s="53" t="s">
        <v>166</v>
      </c>
      <c r="G71" s="53" t="s">
        <v>167</v>
      </c>
      <c r="H71" s="53" t="s">
        <v>74</v>
      </c>
      <c r="I71" s="53" t="str">
        <f>I70</f>
        <v>INDSCO2N</v>
      </c>
      <c r="J71" s="53"/>
    </row>
    <row r="72" spans="1:15">
      <c r="A72" s="40" t="s">
        <v>343</v>
      </c>
      <c r="C72" s="50" t="s">
        <v>57</v>
      </c>
      <c r="D72" s="50" t="s">
        <v>169</v>
      </c>
      <c r="E72" s="51" t="s">
        <v>349</v>
      </c>
      <c r="F72" s="50" t="s">
        <v>58</v>
      </c>
      <c r="G72" s="50" t="s">
        <v>107</v>
      </c>
      <c r="H72" s="50" t="s">
        <v>74</v>
      </c>
      <c r="I72" s="50" t="s">
        <v>172</v>
      </c>
      <c r="J72" s="50"/>
    </row>
    <row r="73" spans="1:15">
      <c r="A73" s="40" t="s">
        <v>343</v>
      </c>
      <c r="C73" s="50" t="s">
        <v>57</v>
      </c>
      <c r="D73" s="50" t="s">
        <v>170</v>
      </c>
      <c r="E73" s="51" t="s">
        <v>350</v>
      </c>
      <c r="F73" s="50" t="s">
        <v>58</v>
      </c>
      <c r="G73" s="50" t="s">
        <v>107</v>
      </c>
      <c r="H73" s="50" t="s">
        <v>74</v>
      </c>
      <c r="I73" s="50" t="s">
        <v>172</v>
      </c>
      <c r="J73" s="50"/>
    </row>
    <row r="74" spans="1:15">
      <c r="A74" s="40" t="s">
        <v>342</v>
      </c>
      <c r="C74" s="34" t="s">
        <v>57</v>
      </c>
      <c r="D74" s="38" t="s">
        <v>344</v>
      </c>
      <c r="E74" s="38" t="s">
        <v>347</v>
      </c>
      <c r="F74" s="34" t="s">
        <v>58</v>
      </c>
      <c r="G74" s="34" t="s">
        <v>107</v>
      </c>
      <c r="H74" s="34" t="s">
        <v>74</v>
      </c>
      <c r="I74" s="38" t="s">
        <v>346</v>
      </c>
      <c r="J74" s="34"/>
    </row>
    <row r="75" spans="1:15">
      <c r="A75" s="40" t="s">
        <v>342</v>
      </c>
      <c r="C75" s="34" t="s">
        <v>57</v>
      </c>
      <c r="D75" s="38" t="s">
        <v>345</v>
      </c>
      <c r="E75" s="38" t="s">
        <v>348</v>
      </c>
      <c r="F75" s="34" t="s">
        <v>58</v>
      </c>
      <c r="G75" s="34" t="s">
        <v>107</v>
      </c>
      <c r="H75" s="34" t="s">
        <v>74</v>
      </c>
      <c r="I75" s="38" t="s">
        <v>346</v>
      </c>
      <c r="J75" s="34"/>
    </row>
    <row r="78" spans="1:15">
      <c r="O78" t="s">
        <v>112</v>
      </c>
    </row>
    <row r="79" spans="1:15">
      <c r="D79" t="s">
        <v>49</v>
      </c>
      <c r="E79" t="s">
        <v>50</v>
      </c>
      <c r="F79">
        <f>12+2*16</f>
        <v>44</v>
      </c>
      <c r="G79" t="s">
        <v>52</v>
      </c>
      <c r="I79" t="s">
        <v>68</v>
      </c>
      <c r="O79">
        <v>2</v>
      </c>
    </row>
    <row r="80" spans="1:15">
      <c r="E80" t="s">
        <v>51</v>
      </c>
      <c r="F80">
        <v>12</v>
      </c>
      <c r="J80">
        <v>30</v>
      </c>
      <c r="K80" t="s">
        <v>69</v>
      </c>
      <c r="L80">
        <f>1/0.5</f>
        <v>2</v>
      </c>
    </row>
    <row r="81" spans="5:11">
      <c r="E81" t="s">
        <v>98</v>
      </c>
      <c r="F81">
        <f>F80/F79</f>
        <v>0.27272727272727271</v>
      </c>
      <c r="G81" t="s">
        <v>103</v>
      </c>
      <c r="J81">
        <f>J80*3.6</f>
        <v>108</v>
      </c>
      <c r="K81" t="s">
        <v>70</v>
      </c>
    </row>
    <row r="83" spans="5:11">
      <c r="E83" t="s">
        <v>99</v>
      </c>
      <c r="F83">
        <v>0.86</v>
      </c>
      <c r="G83" t="s">
        <v>102</v>
      </c>
      <c r="I83" t="s">
        <v>71</v>
      </c>
    </row>
    <row r="84" spans="5:11">
      <c r="J84">
        <v>25</v>
      </c>
      <c r="K84" t="s">
        <v>69</v>
      </c>
    </row>
    <row r="85" spans="5:11">
      <c r="E85" t="s">
        <v>100</v>
      </c>
      <c r="F85">
        <f>F83/F81</f>
        <v>3.1533333333333333</v>
      </c>
      <c r="G85" t="s">
        <v>101</v>
      </c>
    </row>
    <row r="86" spans="5:11">
      <c r="E86" t="s">
        <v>104</v>
      </c>
      <c r="F86">
        <f>43*73/1000</f>
        <v>3.1389999999999998</v>
      </c>
      <c r="G86" t="s">
        <v>105</v>
      </c>
      <c r="I86" t="s">
        <v>108</v>
      </c>
    </row>
    <row r="87" spans="5:11">
      <c r="I87" t="s">
        <v>110</v>
      </c>
      <c r="J87">
        <f>(L80*J80-J84)*L10/1000</f>
        <v>4.7297297297297302E-4</v>
      </c>
      <c r="K87" t="s">
        <v>62</v>
      </c>
    </row>
    <row r="88" spans="5:11">
      <c r="F88" t="s">
        <v>53</v>
      </c>
      <c r="I88" t="s">
        <v>109</v>
      </c>
      <c r="J88">
        <f>PMT(0.1,V9,-P9/W9,0,0)*L10/1000</f>
        <v>5.0103030987263853E-5</v>
      </c>
      <c r="K88" t="s">
        <v>62</v>
      </c>
    </row>
    <row r="89" spans="5:11">
      <c r="F89">
        <v>43</v>
      </c>
      <c r="G89" t="s">
        <v>106</v>
      </c>
    </row>
    <row r="90" spans="5:11">
      <c r="F90">
        <f>F89/F85</f>
        <v>13.636363636363637</v>
      </c>
      <c r="G90" t="s">
        <v>54</v>
      </c>
    </row>
    <row r="91" spans="5:11">
      <c r="F91">
        <f>F90</f>
        <v>13.636363636363637</v>
      </c>
      <c r="G91" t="s">
        <v>72</v>
      </c>
    </row>
    <row r="92" spans="5:11">
      <c r="F92">
        <f>F90</f>
        <v>13.636363636363637</v>
      </c>
      <c r="G92" t="s">
        <v>55</v>
      </c>
    </row>
    <row r="93" spans="5:11">
      <c r="F93">
        <f>F92/1000</f>
        <v>1.3636363636363637E-2</v>
      </c>
      <c r="G93" t="s">
        <v>56</v>
      </c>
    </row>
    <row r="94" spans="5:11">
      <c r="F94">
        <f>1/F93</f>
        <v>73.333333333333329</v>
      </c>
      <c r="G94" t="s">
        <v>111</v>
      </c>
    </row>
  </sheetData>
  <phoneticPr fontId="0"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AE50"/>
  <sheetViews>
    <sheetView zoomScale="70" zoomScaleNormal="70" workbookViewId="0">
      <selection activeCell="F15" sqref="F15"/>
    </sheetView>
  </sheetViews>
  <sheetFormatPr defaultColWidth="8.85546875" defaultRowHeight="12.75"/>
  <cols>
    <col min="1" max="1" width="13.7109375" style="1" customWidth="1"/>
    <col min="2" max="2" width="2.85546875" style="1" customWidth="1"/>
    <col min="3" max="3" width="29.5703125" style="1" customWidth="1"/>
    <col min="4" max="4" width="47.5703125" style="1" customWidth="1"/>
    <col min="5" max="5" width="26" style="1" customWidth="1"/>
    <col min="6" max="6" width="15.85546875" style="1" customWidth="1"/>
    <col min="7" max="7" width="18.42578125" style="1" customWidth="1"/>
    <col min="8" max="8" width="15.85546875" style="1" customWidth="1"/>
    <col min="9" max="9" width="13.42578125" style="1" bestFit="1" customWidth="1"/>
    <col min="10" max="10" width="12.140625" style="1" customWidth="1"/>
    <col min="11" max="12" width="13.140625" style="1" customWidth="1"/>
    <col min="13" max="14" width="15.5703125" style="1" customWidth="1"/>
    <col min="15" max="15" width="10.7109375" style="1" customWidth="1"/>
    <col min="16" max="16" width="14.28515625" style="1" customWidth="1"/>
    <col min="17" max="17" width="14.28515625" style="1" bestFit="1" customWidth="1"/>
    <col min="18" max="18" width="14.7109375" style="1" bestFit="1" customWidth="1"/>
    <col min="19" max="19" width="11.5703125" style="1" customWidth="1"/>
    <col min="20" max="20" width="13" style="1" customWidth="1"/>
    <col min="21" max="21" width="13.140625" style="1" bestFit="1" customWidth="1"/>
    <col min="22" max="24" width="8.85546875" style="1"/>
    <col min="25" max="25" width="18" style="1" customWidth="1"/>
    <col min="26" max="26" width="49" style="1" customWidth="1"/>
    <col min="27" max="27" width="16.5703125" style="1" customWidth="1"/>
    <col min="28" max="28" width="17.42578125" style="1" customWidth="1"/>
    <col min="29" max="29" width="8.85546875" style="1"/>
    <col min="30" max="30" width="23" style="1" customWidth="1"/>
    <col min="31" max="32" width="8.85546875" style="1"/>
    <col min="33" max="33" width="11.85546875" style="1" customWidth="1"/>
    <col min="34" max="16384" width="8.85546875" style="1"/>
  </cols>
  <sheetData>
    <row r="2" spans="1:31">
      <c r="C2" s="1" t="s">
        <v>47</v>
      </c>
    </row>
    <row r="4" spans="1:31">
      <c r="C4" s="8" t="s">
        <v>46</v>
      </c>
      <c r="AA4" s="1" t="s">
        <v>120</v>
      </c>
      <c r="AC4" s="1">
        <v>8000</v>
      </c>
      <c r="AD4" s="1" t="s">
        <v>121</v>
      </c>
    </row>
    <row r="5" spans="1:31">
      <c r="AA5" s="1" t="s">
        <v>122</v>
      </c>
      <c r="AC5" s="1">
        <v>441172</v>
      </c>
      <c r="AD5" s="1" t="s">
        <v>123</v>
      </c>
    </row>
    <row r="6" spans="1:31" ht="15">
      <c r="H6" s="2" t="s">
        <v>119</v>
      </c>
      <c r="AA6" s="1" t="s">
        <v>124</v>
      </c>
      <c r="AC6" s="1">
        <v>565.48173109949994</v>
      </c>
      <c r="AD6" s="1" t="s">
        <v>125</v>
      </c>
    </row>
    <row r="7" spans="1:31" ht="15.75" thickBot="1">
      <c r="C7" s="3" t="s">
        <v>0</v>
      </c>
      <c r="D7" s="3" t="s">
        <v>157</v>
      </c>
      <c r="E7" s="3" t="s">
        <v>3</v>
      </c>
      <c r="F7" s="3" t="s">
        <v>2</v>
      </c>
      <c r="G7" s="3" t="s">
        <v>22</v>
      </c>
      <c r="H7" s="3" t="s">
        <v>4</v>
      </c>
      <c r="I7" s="3" t="s">
        <v>14</v>
      </c>
      <c r="J7" s="3" t="s">
        <v>115</v>
      </c>
      <c r="K7" s="3" t="s">
        <v>116</v>
      </c>
      <c r="L7" s="3" t="s">
        <v>117</v>
      </c>
      <c r="M7" s="3" t="s">
        <v>385</v>
      </c>
      <c r="N7" s="3" t="s">
        <v>384</v>
      </c>
      <c r="O7" s="3" t="s">
        <v>81</v>
      </c>
      <c r="P7" s="3" t="s">
        <v>83</v>
      </c>
      <c r="Q7" s="3" t="s">
        <v>87</v>
      </c>
      <c r="R7" s="3" t="s">
        <v>91</v>
      </c>
      <c r="S7" s="3" t="s">
        <v>73</v>
      </c>
      <c r="T7" s="3" t="s">
        <v>94</v>
      </c>
      <c r="AA7" s="1" t="s">
        <v>126</v>
      </c>
    </row>
    <row r="8" spans="1:31" ht="25.5">
      <c r="C8" s="43" t="s">
        <v>38</v>
      </c>
      <c r="D8" s="43" t="s">
        <v>32</v>
      </c>
      <c r="E8" s="43" t="s">
        <v>39</v>
      </c>
      <c r="F8" s="43" t="s">
        <v>40</v>
      </c>
      <c r="G8" s="43" t="s">
        <v>41</v>
      </c>
      <c r="H8" s="43" t="s">
        <v>42</v>
      </c>
      <c r="I8" s="43" t="s">
        <v>44</v>
      </c>
      <c r="J8" s="43" t="s">
        <v>43</v>
      </c>
      <c r="K8" s="43"/>
      <c r="L8" s="43"/>
      <c r="M8" s="43"/>
      <c r="N8" s="43"/>
      <c r="O8" s="43"/>
      <c r="P8" s="43" t="s">
        <v>75</v>
      </c>
      <c r="Q8" s="43" t="s">
        <v>75</v>
      </c>
      <c r="R8" s="43" t="s">
        <v>69</v>
      </c>
      <c r="S8" s="43" t="s">
        <v>95</v>
      </c>
      <c r="T8" s="43"/>
      <c r="AA8" s="1" t="s">
        <v>127</v>
      </c>
      <c r="AC8" s="1">
        <v>11.954000000000001</v>
      </c>
      <c r="AD8" s="1" t="s">
        <v>128</v>
      </c>
      <c r="AE8" s="1" t="s">
        <v>129</v>
      </c>
    </row>
    <row r="9" spans="1:31" ht="19.899999999999999" customHeight="1">
      <c r="A9" s="1" t="s">
        <v>343</v>
      </c>
      <c r="C9" s="44" t="str">
        <f>D26</f>
        <v>S_CCUS_EMISMeOH</v>
      </c>
      <c r="D9" s="44" t="str">
        <f>E26</f>
        <v>Supply convert bio and atm CO2 emission to Methanol</v>
      </c>
      <c r="E9" s="44"/>
      <c r="F9" s="44" t="s">
        <v>113</v>
      </c>
      <c r="G9" s="44"/>
      <c r="H9" s="44" t="s">
        <v>300</v>
      </c>
      <c r="I9" s="44">
        <v>2025</v>
      </c>
      <c r="J9" s="44">
        <f>((AC5*1000*F43)/(8000*3600))/(AC8*AC5/8000)</f>
        <v>0.4577733162307363</v>
      </c>
      <c r="K9" s="44">
        <f>0.7*K11</f>
        <v>0.57254969255776722</v>
      </c>
      <c r="L9" s="44"/>
      <c r="M9" s="44"/>
      <c r="N9" s="44">
        <v>0.02</v>
      </c>
      <c r="O9" s="44">
        <v>0.9</v>
      </c>
      <c r="P9" s="44">
        <f>AC6*1000000/(AC5*1000*F43/(8000*3.6))</f>
        <v>1873.8589582940613</v>
      </c>
      <c r="Q9" s="44">
        <f>31070000/(AC5*1000*F43/(8000*3.6))</f>
        <v>102.95787579378437</v>
      </c>
      <c r="R9" s="44">
        <f>P9*(SUP_Diesel!U9/SUP_Diesel!P9)</f>
        <v>0.21753497263195487</v>
      </c>
      <c r="S9" s="44">
        <v>20</v>
      </c>
      <c r="T9" s="44">
        <v>31.536000000000001</v>
      </c>
    </row>
    <row r="10" spans="1:31" ht="19.899999999999999" customHeight="1">
      <c r="C10" s="44"/>
      <c r="D10" s="44"/>
      <c r="E10" s="44"/>
      <c r="F10" s="44" t="s">
        <v>327</v>
      </c>
      <c r="G10" s="44"/>
      <c r="H10" s="44" t="s">
        <v>201</v>
      </c>
      <c r="I10" s="44"/>
      <c r="J10" s="44"/>
      <c r="K10" s="44"/>
      <c r="L10" s="44">
        <f>1/F48</f>
        <v>1.4327272727272725E-2</v>
      </c>
      <c r="M10" s="44"/>
      <c r="N10" s="44"/>
      <c r="O10" s="44"/>
      <c r="P10" s="44"/>
      <c r="Q10" s="44"/>
      <c r="R10" s="44"/>
      <c r="S10" s="44"/>
      <c r="T10" s="44"/>
    </row>
    <row r="11" spans="1:31" ht="19.899999999999999" customHeight="1">
      <c r="A11" s="1" t="s">
        <v>343</v>
      </c>
      <c r="C11" s="44" t="str">
        <f>D27</f>
        <v>S_CCUS_EMISMeOH_H2</v>
      </c>
      <c r="D11" s="44" t="str">
        <f>E27</f>
        <v>Supply convert bio and atm CO2 emission to Methanol supplied by H2</v>
      </c>
      <c r="E11" s="44"/>
      <c r="F11" s="44" t="s">
        <v>154</v>
      </c>
      <c r="G11" s="44"/>
      <c r="H11" s="44" t="s">
        <v>300</v>
      </c>
      <c r="I11" s="44">
        <v>2025</v>
      </c>
      <c r="J11" s="44">
        <f>((AC5*1000*F43)/(8000*3600))/((AC13*1000*F50)/(8000*3600))</f>
        <v>0.81792813222538185</v>
      </c>
      <c r="K11" s="44">
        <f>J11</f>
        <v>0.81792813222538185</v>
      </c>
      <c r="L11" s="44"/>
      <c r="M11" s="44"/>
      <c r="N11" s="44">
        <v>0.02</v>
      </c>
      <c r="O11" s="44">
        <f>+O9</f>
        <v>0.9</v>
      </c>
      <c r="P11" s="44">
        <f>AC14*1000000/(441172.2*1000*F43/(8000*3.6))</f>
        <v>849.64233621294125</v>
      </c>
      <c r="Q11" s="44">
        <f>16380000/(AC5*1000*F43/(8000*3.6))</f>
        <v>54.279047489610164</v>
      </c>
      <c r="R11" s="44">
        <f>P11*(SUP_Diesel!U11/SUP_Diesel!P11)</f>
        <v>9.8634383093216677E-2</v>
      </c>
      <c r="S11" s="44">
        <v>20</v>
      </c>
      <c r="T11" s="44">
        <f>+T9</f>
        <v>31.536000000000001</v>
      </c>
      <c r="AA11" s="1" t="s">
        <v>127</v>
      </c>
      <c r="AC11" s="1">
        <v>0.17699999999999999</v>
      </c>
      <c r="AD11" s="1" t="s">
        <v>128</v>
      </c>
      <c r="AE11" s="1" t="s">
        <v>130</v>
      </c>
    </row>
    <row r="12" spans="1:31" ht="19.899999999999999" customHeight="1">
      <c r="C12" s="44"/>
      <c r="D12" s="44"/>
      <c r="E12" s="44"/>
      <c r="F12" s="44" t="s">
        <v>114</v>
      </c>
      <c r="G12" s="44"/>
      <c r="H12" s="44" t="s">
        <v>201</v>
      </c>
      <c r="I12" s="44"/>
      <c r="J12" s="44"/>
      <c r="K12" s="44"/>
      <c r="L12" s="44"/>
      <c r="M12" s="44"/>
      <c r="N12" s="44"/>
      <c r="O12" s="44"/>
      <c r="P12" s="44"/>
      <c r="Q12" s="44"/>
      <c r="R12" s="44"/>
      <c r="S12" s="44"/>
      <c r="T12" s="44"/>
    </row>
    <row r="13" spans="1:31" ht="19.899999999999999" customHeight="1">
      <c r="C13" s="44"/>
      <c r="D13" s="44"/>
      <c r="E13" s="44"/>
      <c r="F13" s="44" t="s">
        <v>327</v>
      </c>
      <c r="G13" s="44"/>
      <c r="H13" s="44"/>
      <c r="I13" s="44"/>
      <c r="J13" s="44"/>
      <c r="K13" s="44"/>
      <c r="L13" s="44">
        <f>L10</f>
        <v>1.4327272727272725E-2</v>
      </c>
      <c r="M13" s="44"/>
      <c r="N13" s="44"/>
      <c r="O13" s="44"/>
      <c r="P13" s="44"/>
      <c r="Q13" s="44"/>
      <c r="R13" s="44"/>
      <c r="S13" s="44"/>
      <c r="T13" s="44"/>
      <c r="AA13" s="1" t="s">
        <v>131</v>
      </c>
      <c r="AC13" s="1">
        <v>87816</v>
      </c>
      <c r="AD13" s="1" t="s">
        <v>123</v>
      </c>
    </row>
    <row r="14" spans="1:31">
      <c r="A14" s="1" t="s">
        <v>341</v>
      </c>
      <c r="C14" s="45" t="str">
        <f>D28</f>
        <v>S_CCUS_ATM_MeOH</v>
      </c>
      <c r="D14" s="45" t="str">
        <f>E28</f>
        <v>Supply convert Atmospheric CO2 to Methanol</v>
      </c>
      <c r="E14" s="45"/>
      <c r="F14" s="45" t="s">
        <v>113</v>
      </c>
      <c r="G14" s="45"/>
      <c r="H14" s="45" t="s">
        <v>300</v>
      </c>
      <c r="I14" s="45">
        <v>2030</v>
      </c>
      <c r="J14" s="45">
        <v>0.33300000000000002</v>
      </c>
      <c r="K14" s="45">
        <f>J14</f>
        <v>0.33300000000000002</v>
      </c>
      <c r="L14" s="45"/>
      <c r="M14" s="45"/>
      <c r="N14" s="45"/>
      <c r="O14" s="45">
        <f>O9</f>
        <v>0.9</v>
      </c>
      <c r="P14" s="45">
        <f>P9*4</f>
        <v>7495.4358331762451</v>
      </c>
      <c r="Q14" s="45">
        <f>Q9*4</f>
        <v>411.83150317513747</v>
      </c>
      <c r="R14" s="45">
        <f>P14*(SUP_Diesel!U15/SUP_Diesel!P15)</f>
        <v>0.87013989052781948</v>
      </c>
      <c r="S14" s="45">
        <f>S9</f>
        <v>20</v>
      </c>
      <c r="T14" s="45">
        <f>T9</f>
        <v>31.536000000000001</v>
      </c>
      <c r="AA14" s="1" t="s">
        <v>124</v>
      </c>
      <c r="AC14" s="1">
        <v>256.39999999999998</v>
      </c>
      <c r="AD14" s="1" t="s">
        <v>125</v>
      </c>
    </row>
    <row r="15" spans="1:31">
      <c r="C15" s="45"/>
      <c r="D15" s="45"/>
      <c r="E15" s="45"/>
      <c r="F15" s="45" t="s">
        <v>67</v>
      </c>
      <c r="G15" s="45"/>
      <c r="H15" s="45" t="s">
        <v>201</v>
      </c>
      <c r="I15" s="45"/>
      <c r="J15" s="45"/>
      <c r="K15" s="45"/>
      <c r="L15" s="45">
        <f>L13</f>
        <v>1.4327272727272725E-2</v>
      </c>
      <c r="M15" s="45"/>
      <c r="N15" s="45"/>
      <c r="O15" s="45"/>
      <c r="P15" s="45"/>
      <c r="Q15" s="45"/>
      <c r="R15" s="45"/>
      <c r="S15" s="45"/>
      <c r="T15" s="45"/>
    </row>
    <row r="16" spans="1:31">
      <c r="A16" s="1" t="s">
        <v>342</v>
      </c>
      <c r="C16" s="46" t="s">
        <v>351</v>
      </c>
      <c r="D16" s="46" t="s">
        <v>353</v>
      </c>
      <c r="E16" s="46"/>
      <c r="F16" s="46" t="s">
        <v>113</v>
      </c>
      <c r="G16" s="46"/>
      <c r="H16" s="46" t="s">
        <v>357</v>
      </c>
      <c r="I16" s="46">
        <v>2025</v>
      </c>
      <c r="J16" s="46">
        <v>0.4577733162307363</v>
      </c>
      <c r="K16" s="46">
        <v>0.57254969255776722</v>
      </c>
      <c r="L16" s="46"/>
      <c r="M16" s="46">
        <v>0.02</v>
      </c>
      <c r="N16" s="46"/>
      <c r="O16" s="46">
        <v>0.9</v>
      </c>
      <c r="P16" s="46">
        <v>1873.8589582940613</v>
      </c>
      <c r="Q16" s="46">
        <v>102.95787579378437</v>
      </c>
      <c r="R16" s="46">
        <v>0.21753497263195487</v>
      </c>
      <c r="S16" s="46">
        <v>20</v>
      </c>
      <c r="T16" s="46">
        <v>31.536000000000001</v>
      </c>
    </row>
    <row r="17" spans="1:27">
      <c r="C17" s="46"/>
      <c r="D17" s="46"/>
      <c r="E17" s="46"/>
      <c r="F17" s="46" t="s">
        <v>326</v>
      </c>
      <c r="G17" s="46"/>
      <c r="H17" s="46" t="s">
        <v>201</v>
      </c>
      <c r="I17" s="46"/>
      <c r="J17" s="46"/>
      <c r="K17" s="46"/>
      <c r="L17" s="46">
        <v>1.4327272727272725E-2</v>
      </c>
      <c r="M17" s="46"/>
      <c r="N17" s="46"/>
      <c r="O17" s="46"/>
      <c r="P17" s="46"/>
      <c r="Q17" s="46"/>
      <c r="R17" s="46"/>
      <c r="S17" s="46"/>
      <c r="T17" s="46"/>
    </row>
    <row r="18" spans="1:27">
      <c r="A18" s="1" t="s">
        <v>342</v>
      </c>
      <c r="C18" s="46" t="s">
        <v>352</v>
      </c>
      <c r="D18" s="46" t="s">
        <v>354</v>
      </c>
      <c r="E18" s="46"/>
      <c r="F18" s="46" t="s">
        <v>154</v>
      </c>
      <c r="G18" s="46"/>
      <c r="H18" s="46" t="s">
        <v>357</v>
      </c>
      <c r="I18" s="46">
        <v>2025</v>
      </c>
      <c r="J18" s="46">
        <v>0.81792813222538185</v>
      </c>
      <c r="K18" s="46">
        <v>0.81792813222538185</v>
      </c>
      <c r="L18" s="46"/>
      <c r="M18" s="46">
        <v>0.02</v>
      </c>
      <c r="N18" s="46"/>
      <c r="O18" s="46">
        <v>0.9</v>
      </c>
      <c r="P18" s="46">
        <v>849.64233621294125</v>
      </c>
      <c r="Q18" s="46">
        <v>54.279047489610164</v>
      </c>
      <c r="R18" s="46">
        <v>9.8634383093216677E-2</v>
      </c>
      <c r="S18" s="46">
        <v>20</v>
      </c>
      <c r="T18" s="46">
        <v>31.536000000000001</v>
      </c>
    </row>
    <row r="19" spans="1:27">
      <c r="C19" s="46"/>
      <c r="D19" s="46"/>
      <c r="E19" s="46"/>
      <c r="F19" s="46" t="s">
        <v>114</v>
      </c>
      <c r="G19" s="46"/>
      <c r="H19" s="46" t="s">
        <v>201</v>
      </c>
      <c r="I19" s="46"/>
      <c r="J19" s="46"/>
      <c r="K19" s="46"/>
      <c r="L19" s="46"/>
      <c r="M19" s="46"/>
      <c r="N19" s="46"/>
      <c r="O19" s="46"/>
      <c r="P19" s="46"/>
      <c r="Q19" s="46"/>
      <c r="R19" s="46"/>
      <c r="S19" s="46"/>
      <c r="T19" s="46"/>
    </row>
    <row r="20" spans="1:27">
      <c r="C20" s="46"/>
      <c r="D20" s="46"/>
      <c r="E20" s="46"/>
      <c r="F20" s="46" t="s">
        <v>326</v>
      </c>
      <c r="G20" s="46"/>
      <c r="H20" s="46"/>
      <c r="I20" s="46"/>
      <c r="J20" s="46"/>
      <c r="K20" s="46"/>
      <c r="L20" s="46">
        <v>1.4327272727272725E-2</v>
      </c>
      <c r="M20" s="46"/>
      <c r="N20" s="46"/>
      <c r="O20" s="46"/>
      <c r="P20" s="46"/>
      <c r="Q20" s="46"/>
      <c r="R20" s="46"/>
      <c r="S20" s="46"/>
      <c r="T20" s="46"/>
    </row>
    <row r="21" spans="1:27">
      <c r="C21" s="5"/>
      <c r="D21" s="5"/>
      <c r="E21" s="5"/>
      <c r="F21" s="5"/>
      <c r="G21" s="5"/>
      <c r="H21" s="5"/>
      <c r="I21" s="5"/>
      <c r="J21" s="5"/>
      <c r="K21" s="5"/>
      <c r="L21" s="5"/>
      <c r="M21" s="5"/>
      <c r="N21" s="5"/>
      <c r="O21" s="5"/>
      <c r="P21" s="5"/>
      <c r="Q21" s="5"/>
      <c r="R21" s="5"/>
      <c r="S21" s="5"/>
      <c r="T21" s="5"/>
    </row>
    <row r="22" spans="1:27">
      <c r="C22" s="5"/>
      <c r="D22" s="5"/>
      <c r="E22" s="5"/>
      <c r="F22" s="5"/>
      <c r="G22" s="5"/>
      <c r="H22" s="5"/>
      <c r="I22" s="5"/>
      <c r="J22" s="5"/>
      <c r="K22" s="5"/>
      <c r="L22" s="5"/>
      <c r="M22" s="5"/>
      <c r="N22" s="5"/>
      <c r="O22" s="5"/>
      <c r="P22" s="5"/>
      <c r="Q22" s="5"/>
      <c r="R22" s="5"/>
      <c r="S22" s="5"/>
      <c r="T22" s="5"/>
    </row>
    <row r="23" spans="1:27" ht="15">
      <c r="C23" s="11" t="s">
        <v>16</v>
      </c>
      <c r="D23" s="15"/>
      <c r="E23" s="15"/>
      <c r="F23" s="15"/>
      <c r="G23" s="15"/>
      <c r="H23" s="15"/>
      <c r="I23" s="15"/>
      <c r="J23" s="15"/>
      <c r="K23" s="5"/>
      <c r="L23" s="5"/>
      <c r="M23" s="5"/>
      <c r="N23" s="5"/>
      <c r="O23" s="5"/>
      <c r="P23" s="5"/>
      <c r="Q23" s="5"/>
      <c r="R23" s="5"/>
      <c r="S23" s="5"/>
      <c r="T23" s="5"/>
    </row>
    <row r="24" spans="1:27" ht="15.75" thickBot="1">
      <c r="C24" s="13" t="s">
        <v>15</v>
      </c>
      <c r="D24" s="13" t="s">
        <v>0</v>
      </c>
      <c r="E24" s="13" t="s">
        <v>1</v>
      </c>
      <c r="F24" s="13" t="s">
        <v>17</v>
      </c>
      <c r="G24" s="13" t="s">
        <v>18</v>
      </c>
      <c r="H24" s="13" t="s">
        <v>19</v>
      </c>
      <c r="I24" s="13" t="s">
        <v>20</v>
      </c>
      <c r="J24" s="13" t="s">
        <v>21</v>
      </c>
      <c r="K24" s="5"/>
      <c r="L24" s="5"/>
      <c r="M24" s="5"/>
      <c r="N24" s="5"/>
      <c r="O24" s="5"/>
      <c r="P24" s="5"/>
      <c r="Q24" s="5"/>
      <c r="R24" s="5"/>
      <c r="S24" s="5"/>
      <c r="T24" s="5"/>
    </row>
    <row r="25" spans="1:27" ht="38.25">
      <c r="C25" s="14" t="s">
        <v>30</v>
      </c>
      <c r="D25" s="14" t="s">
        <v>31</v>
      </c>
      <c r="E25" s="14" t="s">
        <v>32</v>
      </c>
      <c r="F25" s="14" t="s">
        <v>33</v>
      </c>
      <c r="G25" s="14" t="s">
        <v>34</v>
      </c>
      <c r="H25" s="14" t="s">
        <v>35</v>
      </c>
      <c r="I25" s="14" t="s">
        <v>36</v>
      </c>
      <c r="J25" s="14" t="s">
        <v>37</v>
      </c>
      <c r="K25" s="5"/>
      <c r="L25" s="5"/>
      <c r="M25" s="5"/>
      <c r="N25" s="5"/>
      <c r="O25" s="5"/>
      <c r="P25" s="5"/>
      <c r="Q25" s="5"/>
      <c r="R25" s="5"/>
      <c r="S25" s="5"/>
      <c r="T25" s="5"/>
    </row>
    <row r="26" spans="1:27">
      <c r="A26" s="1" t="s">
        <v>343</v>
      </c>
      <c r="C26" s="49" t="s">
        <v>57</v>
      </c>
      <c r="D26" s="49" t="s">
        <v>143</v>
      </c>
      <c r="E26" s="49" t="s">
        <v>355</v>
      </c>
      <c r="F26" s="49" t="s">
        <v>58</v>
      </c>
      <c r="G26" s="49" t="s">
        <v>107</v>
      </c>
      <c r="H26" s="49" t="s">
        <v>74</v>
      </c>
      <c r="I26" s="49"/>
      <c r="J26" s="49"/>
      <c r="K26" s="5"/>
      <c r="L26" s="5"/>
      <c r="M26" s="5"/>
      <c r="N26" s="5"/>
      <c r="O26" s="5"/>
      <c r="P26" s="5"/>
      <c r="Q26" s="5"/>
      <c r="R26" s="5"/>
      <c r="S26" s="5"/>
      <c r="T26" s="5"/>
    </row>
    <row r="27" spans="1:27">
      <c r="A27" s="1" t="s">
        <v>343</v>
      </c>
      <c r="C27" s="49" t="s">
        <v>57</v>
      </c>
      <c r="D27" s="49" t="s">
        <v>144</v>
      </c>
      <c r="E27" s="49" t="s">
        <v>356</v>
      </c>
      <c r="F27" s="49" t="s">
        <v>58</v>
      </c>
      <c r="G27" s="49" t="s">
        <v>107</v>
      </c>
      <c r="H27" s="49" t="s">
        <v>74</v>
      </c>
      <c r="I27" s="49"/>
      <c r="J27" s="49"/>
      <c r="K27" s="5"/>
      <c r="L27" s="5"/>
      <c r="M27" s="5"/>
      <c r="N27" s="5"/>
      <c r="O27" s="5"/>
      <c r="P27" s="5"/>
      <c r="Q27" s="5"/>
      <c r="R27" s="5"/>
      <c r="S27" s="5"/>
      <c r="T27" s="5"/>
    </row>
    <row r="28" spans="1:27">
      <c r="A28" s="1" t="s">
        <v>341</v>
      </c>
      <c r="C28" s="48" t="s">
        <v>57</v>
      </c>
      <c r="D28" s="48" t="s">
        <v>145</v>
      </c>
      <c r="E28" s="48" t="s">
        <v>146</v>
      </c>
      <c r="F28" s="48" t="s">
        <v>58</v>
      </c>
      <c r="G28" s="48" t="s">
        <v>107</v>
      </c>
      <c r="H28" s="48" t="s">
        <v>74</v>
      </c>
      <c r="I28" s="48"/>
      <c r="J28" s="48"/>
      <c r="AA28" s="1" t="s">
        <v>91</v>
      </c>
    </row>
    <row r="29" spans="1:27">
      <c r="A29" s="1" t="s">
        <v>342</v>
      </c>
      <c r="C29" s="47" t="s">
        <v>57</v>
      </c>
      <c r="D29" s="47" t="s">
        <v>351</v>
      </c>
      <c r="E29" s="47" t="str">
        <f>D16</f>
        <v>Supply convert fossil CO2 emission to Methanol</v>
      </c>
      <c r="F29" s="47" t="s">
        <v>58</v>
      </c>
      <c r="G29" s="47" t="s">
        <v>107</v>
      </c>
      <c r="H29" s="47" t="s">
        <v>74</v>
      </c>
      <c r="I29" s="47"/>
      <c r="J29" s="47"/>
      <c r="O29" s="1" t="s">
        <v>134</v>
      </c>
      <c r="T29" s="1" t="s">
        <v>132</v>
      </c>
      <c r="AA29" s="1" t="s">
        <v>75</v>
      </c>
    </row>
    <row r="30" spans="1:27">
      <c r="A30" s="1" t="s">
        <v>342</v>
      </c>
      <c r="C30" s="47" t="s">
        <v>57</v>
      </c>
      <c r="D30" s="47" t="s">
        <v>352</v>
      </c>
      <c r="E30" s="47" t="str">
        <f>D18</f>
        <v>Supply convert fossil CO2 emission to Methanol supplied by H2</v>
      </c>
      <c r="F30" s="47" t="s">
        <v>58</v>
      </c>
      <c r="G30" s="47" t="s">
        <v>107</v>
      </c>
      <c r="H30" s="47" t="s">
        <v>74</v>
      </c>
      <c r="I30" s="47"/>
      <c r="J30" s="47"/>
      <c r="O30" s="1" t="s">
        <v>135</v>
      </c>
      <c r="T30" s="1" t="s">
        <v>133</v>
      </c>
      <c r="AA30" s="1">
        <f>494310000/(AC5*1000*F43/(8000*3.6))</f>
        <v>1638.0144056525764</v>
      </c>
    </row>
    <row r="31" spans="1:27">
      <c r="C31" s="15"/>
      <c r="D31" s="15"/>
      <c r="E31" s="15"/>
      <c r="F31" s="15"/>
      <c r="G31" s="15"/>
      <c r="H31" s="15"/>
      <c r="I31" s="15"/>
      <c r="J31" s="15"/>
    </row>
    <row r="32" spans="1:27">
      <c r="C32" s="15"/>
      <c r="D32" s="15"/>
      <c r="E32" s="15"/>
      <c r="F32" s="15"/>
      <c r="G32" s="15"/>
      <c r="H32" s="15"/>
      <c r="I32" s="15"/>
      <c r="J32" s="15"/>
    </row>
    <row r="33" spans="4:27">
      <c r="D33" s="1" t="s">
        <v>49</v>
      </c>
      <c r="E33" s="1" t="s">
        <v>50</v>
      </c>
      <c r="F33" s="1">
        <f>12+2*16</f>
        <v>44</v>
      </c>
      <c r="G33" s="1" t="s">
        <v>52</v>
      </c>
      <c r="I33" s="1" t="s">
        <v>68</v>
      </c>
    </row>
    <row r="34" spans="4:27">
      <c r="E34" s="1" t="s">
        <v>51</v>
      </c>
      <c r="F34" s="1">
        <v>12</v>
      </c>
      <c r="J34" s="1">
        <v>30</v>
      </c>
      <c r="K34" s="1" t="s">
        <v>69</v>
      </c>
      <c r="L34" s="1">
        <f>1/0.5</f>
        <v>2</v>
      </c>
      <c r="P34" s="1">
        <f>P9/P11</f>
        <v>2.2054679697886739</v>
      </c>
      <c r="Q34" s="1" t="s">
        <v>136</v>
      </c>
      <c r="AA34" s="1">
        <f>308740000/(AC5*1000*F43/(8000*3.6))</f>
        <v>1023.0838291784031</v>
      </c>
    </row>
    <row r="35" spans="4:27">
      <c r="E35" s="1" t="s">
        <v>98</v>
      </c>
      <c r="F35" s="1">
        <f>F34/F33</f>
        <v>0.27272727272727271</v>
      </c>
      <c r="G35" s="1" t="s">
        <v>103</v>
      </c>
      <c r="J35" s="1">
        <f>J34*3.6</f>
        <v>108</v>
      </c>
      <c r="K35" s="1" t="s">
        <v>70</v>
      </c>
    </row>
    <row r="36" spans="4:27">
      <c r="AA36" s="1">
        <f>AA30*4</f>
        <v>6552.0576226103058</v>
      </c>
    </row>
    <row r="37" spans="4:27">
      <c r="E37" s="1" t="s">
        <v>137</v>
      </c>
      <c r="F37" s="1">
        <v>0.375</v>
      </c>
      <c r="G37" s="1" t="s">
        <v>138</v>
      </c>
      <c r="I37" s="1" t="s">
        <v>71</v>
      </c>
    </row>
    <row r="38" spans="4:27">
      <c r="J38" s="1">
        <v>25</v>
      </c>
      <c r="K38" s="1" t="s">
        <v>69</v>
      </c>
    </row>
    <row r="39" spans="4:27">
      <c r="E39" s="1" t="s">
        <v>100</v>
      </c>
      <c r="F39" s="1">
        <f>F37/F35</f>
        <v>1.375</v>
      </c>
      <c r="G39" s="1" t="s">
        <v>139</v>
      </c>
    </row>
    <row r="40" spans="4:27">
      <c r="I40" s="1" t="s">
        <v>108</v>
      </c>
    </row>
    <row r="41" spans="4:27">
      <c r="I41" s="1" t="s">
        <v>110</v>
      </c>
      <c r="J41" s="1">
        <f>(L34*J34-J38)*L10/1000</f>
        <v>5.0145454545454538E-4</v>
      </c>
      <c r="K41" s="1" t="s">
        <v>62</v>
      </c>
    </row>
    <row r="42" spans="4:27">
      <c r="F42" s="1" t="s">
        <v>140</v>
      </c>
      <c r="I42" s="1" t="s">
        <v>109</v>
      </c>
      <c r="J42" s="1">
        <f>PMT(0.1,S9,-P9/T9,0,0)*L10/1000</f>
        <v>9.9995954322275508E-5</v>
      </c>
      <c r="K42" s="1" t="s">
        <v>62</v>
      </c>
    </row>
    <row r="43" spans="4:27">
      <c r="F43" s="1">
        <v>19.7</v>
      </c>
      <c r="G43" s="1" t="s">
        <v>141</v>
      </c>
    </row>
    <row r="44" spans="4:27">
      <c r="F44" s="1">
        <f>F43/F39</f>
        <v>14.327272727272726</v>
      </c>
      <c r="G44" s="1" t="s">
        <v>54</v>
      </c>
    </row>
    <row r="45" spans="4:27">
      <c r="F45" s="1">
        <f>F44</f>
        <v>14.327272727272726</v>
      </c>
      <c r="G45" s="1" t="s">
        <v>72</v>
      </c>
    </row>
    <row r="46" spans="4:27">
      <c r="F46" s="1">
        <f>F44</f>
        <v>14.327272727272726</v>
      </c>
      <c r="G46" s="1" t="s">
        <v>55</v>
      </c>
    </row>
    <row r="47" spans="4:27">
      <c r="F47" s="1">
        <f>F46/1000</f>
        <v>1.4327272727272727E-2</v>
      </c>
      <c r="G47" s="1" t="s">
        <v>56</v>
      </c>
    </row>
    <row r="48" spans="4:27">
      <c r="F48" s="1">
        <f>1/F47</f>
        <v>69.796954314720821</v>
      </c>
      <c r="G48" s="1" t="s">
        <v>111</v>
      </c>
    </row>
    <row r="50" spans="6:7">
      <c r="F50" s="1">
        <v>121</v>
      </c>
      <c r="G50" s="1" t="s">
        <v>142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2:Z85"/>
  <sheetViews>
    <sheetView topLeftCell="A3" workbookViewId="0">
      <selection activeCell="L57" sqref="L57"/>
    </sheetView>
  </sheetViews>
  <sheetFormatPr defaultColWidth="8.85546875" defaultRowHeight="12"/>
  <cols>
    <col min="1" max="1" width="8.85546875" style="57"/>
    <col min="2" max="2" width="12.85546875" style="57" customWidth="1"/>
    <col min="3" max="3" width="28.85546875" style="57" customWidth="1"/>
    <col min="4" max="4" width="22.5703125" style="57" customWidth="1"/>
    <col min="5" max="5" width="10.7109375" style="57" bestFit="1" customWidth="1"/>
    <col min="6" max="6" width="8.85546875" style="57"/>
    <col min="7" max="7" width="10.42578125" style="57" bestFit="1" customWidth="1"/>
    <col min="8" max="8" width="12.7109375" style="57" customWidth="1"/>
    <col min="9" max="11" width="8.85546875" style="57"/>
    <col min="12" max="12" width="10.7109375" style="57" bestFit="1" customWidth="1"/>
    <col min="13" max="14" width="8.85546875" style="57"/>
    <col min="15" max="15" width="12.28515625" style="57" customWidth="1"/>
    <col min="16" max="23" width="8.85546875" style="57"/>
    <col min="24" max="24" width="10.42578125" style="57" bestFit="1" customWidth="1"/>
    <col min="25" max="16384" width="8.85546875" style="57"/>
  </cols>
  <sheetData>
    <row r="2" spans="1:17">
      <c r="E2" s="58" t="s">
        <v>151</v>
      </c>
    </row>
    <row r="3" spans="1:17" ht="12.75" thickBot="1">
      <c r="A3" s="59" t="s">
        <v>245</v>
      </c>
      <c r="B3" s="59" t="s">
        <v>0</v>
      </c>
      <c r="C3" s="59" t="s">
        <v>157</v>
      </c>
      <c r="D3" s="59" t="s">
        <v>2</v>
      </c>
      <c r="E3" s="59" t="s">
        <v>4</v>
      </c>
      <c r="F3" s="59" t="s">
        <v>14</v>
      </c>
      <c r="G3" s="60" t="s">
        <v>224</v>
      </c>
      <c r="H3" s="60" t="s">
        <v>225</v>
      </c>
      <c r="I3" s="59" t="s">
        <v>45</v>
      </c>
      <c r="J3" s="60" t="s">
        <v>85</v>
      </c>
      <c r="K3" s="60" t="s">
        <v>73</v>
      </c>
      <c r="L3" s="60" t="s">
        <v>81</v>
      </c>
      <c r="M3" s="59" t="s">
        <v>94</v>
      </c>
      <c r="N3" s="59" t="s">
        <v>89</v>
      </c>
      <c r="O3" s="59" t="s">
        <v>276</v>
      </c>
      <c r="P3" s="59" t="s">
        <v>304</v>
      </c>
      <c r="Q3" s="61"/>
    </row>
    <row r="4" spans="1:17">
      <c r="A4" s="62"/>
      <c r="B4" s="62" t="s">
        <v>322</v>
      </c>
      <c r="C4" s="62" t="s">
        <v>324</v>
      </c>
      <c r="D4" s="62" t="s">
        <v>305</v>
      </c>
      <c r="E4" s="62" t="s">
        <v>326</v>
      </c>
      <c r="F4" s="62">
        <v>2015</v>
      </c>
      <c r="G4" s="62"/>
      <c r="H4" s="62"/>
      <c r="I4" s="62">
        <v>1E-4</v>
      </c>
      <c r="J4" s="63"/>
      <c r="K4" s="63">
        <v>50</v>
      </c>
      <c r="L4" s="63"/>
      <c r="M4" s="63">
        <v>1</v>
      </c>
      <c r="N4" s="63"/>
      <c r="O4" s="63"/>
      <c r="P4" s="63">
        <v>1</v>
      </c>
    </row>
    <row r="5" spans="1:17">
      <c r="A5" s="62"/>
      <c r="B5" s="62" t="s">
        <v>323</v>
      </c>
      <c r="C5" s="62" t="s">
        <v>325</v>
      </c>
      <c r="D5" s="62" t="s">
        <v>173</v>
      </c>
      <c r="E5" s="62" t="s">
        <v>327</v>
      </c>
      <c r="F5" s="62">
        <v>2015</v>
      </c>
      <c r="G5" s="62"/>
      <c r="H5" s="62"/>
      <c r="I5" s="62">
        <v>1E-4</v>
      </c>
      <c r="J5" s="63"/>
      <c r="K5" s="63">
        <v>50</v>
      </c>
      <c r="L5" s="63"/>
      <c r="M5" s="63">
        <v>1</v>
      </c>
      <c r="N5" s="63"/>
      <c r="O5" s="63"/>
      <c r="P5" s="63">
        <v>1</v>
      </c>
    </row>
    <row r="6" spans="1:17">
      <c r="A6" s="64" t="s">
        <v>246</v>
      </c>
      <c r="B6" s="64" t="s">
        <v>204</v>
      </c>
      <c r="C6" s="64" t="s">
        <v>205</v>
      </c>
      <c r="D6" s="64" t="s">
        <v>67</v>
      </c>
      <c r="E6" s="64" t="s">
        <v>202</v>
      </c>
      <c r="F6" s="64">
        <v>2030</v>
      </c>
      <c r="G6" s="64">
        <v>1</v>
      </c>
      <c r="H6" s="64"/>
      <c r="I6" s="64"/>
      <c r="J6" s="64"/>
      <c r="K6" s="65">
        <v>1</v>
      </c>
      <c r="L6" s="65"/>
      <c r="M6" s="65">
        <v>1</v>
      </c>
      <c r="N6" s="65">
        <v>1</v>
      </c>
      <c r="O6" s="65">
        <v>0</v>
      </c>
      <c r="P6" s="65"/>
    </row>
    <row r="7" spans="1:17">
      <c r="A7" s="64"/>
      <c r="B7" s="64"/>
      <c r="C7" s="64"/>
      <c r="D7" s="64"/>
      <c r="E7" s="64" t="s">
        <v>303</v>
      </c>
      <c r="F7" s="64"/>
      <c r="G7" s="64"/>
      <c r="H7" s="64">
        <f>G6</f>
        <v>1</v>
      </c>
      <c r="I7" s="64"/>
      <c r="J7" s="64"/>
      <c r="K7" s="65"/>
      <c r="L7" s="65"/>
      <c r="M7" s="65"/>
      <c r="N7" s="65"/>
      <c r="O7" s="65"/>
      <c r="P7" s="65"/>
    </row>
    <row r="8" spans="1:17">
      <c r="A8" s="64"/>
      <c r="B8" s="64"/>
      <c r="C8" s="64"/>
      <c r="D8" s="64"/>
      <c r="E8" s="64" t="s">
        <v>392</v>
      </c>
      <c r="F8" s="64"/>
      <c r="G8" s="64"/>
      <c r="H8" s="64">
        <v>1</v>
      </c>
      <c r="I8" s="64"/>
      <c r="J8" s="64"/>
      <c r="K8" s="65"/>
      <c r="L8" s="65"/>
      <c r="M8" s="65"/>
      <c r="N8" s="65"/>
      <c r="O8" s="65"/>
      <c r="P8" s="65"/>
    </row>
    <row r="9" spans="1:17">
      <c r="A9" s="64" t="s">
        <v>246</v>
      </c>
      <c r="B9" s="64" t="s">
        <v>208</v>
      </c>
      <c r="C9" s="64" t="s">
        <v>209</v>
      </c>
      <c r="D9" s="64" t="s">
        <v>67</v>
      </c>
      <c r="E9" s="64" t="s">
        <v>202</v>
      </c>
      <c r="F9" s="64">
        <v>2030</v>
      </c>
      <c r="G9" s="64">
        <v>1</v>
      </c>
      <c r="H9" s="64"/>
      <c r="I9" s="64"/>
      <c r="J9" s="64"/>
      <c r="K9" s="65">
        <v>1</v>
      </c>
      <c r="L9" s="65"/>
      <c r="M9" s="65">
        <v>1</v>
      </c>
      <c r="N9" s="65">
        <v>1</v>
      </c>
      <c r="O9" s="65">
        <v>0</v>
      </c>
      <c r="P9" s="65"/>
    </row>
    <row r="10" spans="1:17">
      <c r="A10" s="64"/>
      <c r="B10" s="64"/>
      <c r="C10" s="64"/>
      <c r="D10" s="64"/>
      <c r="E10" s="64" t="s">
        <v>303</v>
      </c>
      <c r="F10" s="64"/>
      <c r="G10" s="64"/>
      <c r="H10" s="64">
        <f>G9</f>
        <v>1</v>
      </c>
      <c r="I10" s="64"/>
      <c r="J10" s="64"/>
      <c r="K10" s="65"/>
      <c r="L10" s="65"/>
      <c r="M10" s="65"/>
      <c r="N10" s="65"/>
      <c r="O10" s="65"/>
      <c r="P10" s="65"/>
    </row>
    <row r="11" spans="1:17">
      <c r="A11" s="64"/>
      <c r="B11" s="64"/>
      <c r="C11" s="64"/>
      <c r="D11" s="64"/>
      <c r="E11" s="64" t="s">
        <v>392</v>
      </c>
      <c r="F11" s="64"/>
      <c r="G11" s="64"/>
      <c r="H11" s="64">
        <v>1</v>
      </c>
      <c r="I11" s="64"/>
      <c r="J11" s="64"/>
      <c r="K11" s="65"/>
      <c r="L11" s="65"/>
      <c r="M11" s="65"/>
      <c r="N11" s="65"/>
      <c r="O11" s="65"/>
      <c r="P11" s="65"/>
    </row>
    <row r="12" spans="1:17">
      <c r="A12" s="64" t="s">
        <v>246</v>
      </c>
      <c r="B12" s="64" t="s">
        <v>207</v>
      </c>
      <c r="C12" s="64" t="s">
        <v>210</v>
      </c>
      <c r="D12" s="64" t="s">
        <v>67</v>
      </c>
      <c r="E12" s="64" t="s">
        <v>202</v>
      </c>
      <c r="F12" s="64">
        <v>2030</v>
      </c>
      <c r="G12" s="64">
        <v>1</v>
      </c>
      <c r="H12" s="64"/>
      <c r="I12" s="64"/>
      <c r="J12" s="64"/>
      <c r="K12" s="65">
        <v>1</v>
      </c>
      <c r="L12" s="65"/>
      <c r="M12" s="65">
        <v>1</v>
      </c>
      <c r="N12" s="65">
        <v>1</v>
      </c>
      <c r="O12" s="65">
        <v>0</v>
      </c>
      <c r="P12" s="65"/>
    </row>
    <row r="13" spans="1:17">
      <c r="A13" s="64"/>
      <c r="B13" s="64"/>
      <c r="C13" s="64"/>
      <c r="D13" s="64"/>
      <c r="E13" s="64" t="s">
        <v>303</v>
      </c>
      <c r="F13" s="64"/>
      <c r="G13" s="64"/>
      <c r="H13" s="64">
        <f>G12</f>
        <v>1</v>
      </c>
      <c r="I13" s="64"/>
      <c r="J13" s="64"/>
      <c r="K13" s="65"/>
      <c r="L13" s="65"/>
      <c r="M13" s="65"/>
      <c r="N13" s="65"/>
      <c r="O13" s="65"/>
      <c r="P13" s="65"/>
    </row>
    <row r="14" spans="1:17">
      <c r="A14" s="64"/>
      <c r="B14" s="64"/>
      <c r="C14" s="64"/>
      <c r="D14" s="64"/>
      <c r="E14" s="64" t="s">
        <v>392</v>
      </c>
      <c r="F14" s="64"/>
      <c r="G14" s="64"/>
      <c r="H14" s="64">
        <v>1</v>
      </c>
      <c r="I14" s="64"/>
      <c r="J14" s="64"/>
      <c r="K14" s="65"/>
      <c r="L14" s="65"/>
      <c r="M14" s="65"/>
      <c r="N14" s="65"/>
      <c r="O14" s="65"/>
      <c r="P14" s="65"/>
    </row>
    <row r="15" spans="1:17">
      <c r="A15" s="64" t="s">
        <v>246</v>
      </c>
      <c r="B15" s="64" t="s">
        <v>206</v>
      </c>
      <c r="C15" s="64" t="s">
        <v>211</v>
      </c>
      <c r="D15" s="64" t="s">
        <v>67</v>
      </c>
      <c r="E15" s="64" t="s">
        <v>202</v>
      </c>
      <c r="F15" s="64">
        <v>2030</v>
      </c>
      <c r="G15" s="64">
        <v>1</v>
      </c>
      <c r="H15" s="64"/>
      <c r="I15" s="64"/>
      <c r="J15" s="64"/>
      <c r="K15" s="65">
        <v>1</v>
      </c>
      <c r="L15" s="65"/>
      <c r="M15" s="65">
        <v>1</v>
      </c>
      <c r="N15" s="65">
        <v>1</v>
      </c>
      <c r="O15" s="65">
        <v>0</v>
      </c>
      <c r="P15" s="65"/>
    </row>
    <row r="16" spans="1:17">
      <c r="A16" s="64"/>
      <c r="B16" s="64"/>
      <c r="C16" s="64"/>
      <c r="D16" s="64"/>
      <c r="E16" s="64" t="s">
        <v>303</v>
      </c>
      <c r="F16" s="64"/>
      <c r="G16" s="64"/>
      <c r="H16" s="64">
        <f>G15</f>
        <v>1</v>
      </c>
      <c r="I16" s="64"/>
      <c r="J16" s="64"/>
      <c r="K16" s="65"/>
      <c r="L16" s="65"/>
      <c r="M16" s="65"/>
      <c r="N16" s="65"/>
      <c r="O16" s="65"/>
      <c r="P16" s="65"/>
    </row>
    <row r="17" spans="1:16">
      <c r="A17" s="64"/>
      <c r="B17" s="64"/>
      <c r="C17" s="64"/>
      <c r="D17" s="64"/>
      <c r="E17" s="64" t="s">
        <v>392</v>
      </c>
      <c r="F17" s="64"/>
      <c r="G17" s="64"/>
      <c r="H17" s="64">
        <v>1</v>
      </c>
      <c r="I17" s="64"/>
      <c r="J17" s="64"/>
      <c r="K17" s="65"/>
      <c r="L17" s="65"/>
      <c r="M17" s="65"/>
      <c r="N17" s="65"/>
      <c r="O17" s="65"/>
      <c r="P17" s="65"/>
    </row>
    <row r="18" spans="1:16">
      <c r="A18" s="64" t="s">
        <v>246</v>
      </c>
      <c r="B18" s="64" t="s">
        <v>390</v>
      </c>
      <c r="C18" s="64" t="str">
        <f>D45</f>
        <v>Removal by EW5 (CCU)</v>
      </c>
      <c r="D18" s="64" t="s">
        <v>327</v>
      </c>
      <c r="E18" s="64" t="s">
        <v>202</v>
      </c>
      <c r="F18" s="64">
        <v>2030</v>
      </c>
      <c r="G18" s="64">
        <v>1</v>
      </c>
      <c r="H18" s="64">
        <v>1</v>
      </c>
      <c r="I18" s="64"/>
      <c r="J18" s="64"/>
      <c r="K18" s="65">
        <v>1</v>
      </c>
      <c r="L18" s="65"/>
      <c r="M18" s="65">
        <v>1</v>
      </c>
      <c r="N18" s="65">
        <v>1</v>
      </c>
      <c r="O18" s="65">
        <v>0</v>
      </c>
      <c r="P18" s="65"/>
    </row>
    <row r="19" spans="1:16">
      <c r="A19" s="64" t="s">
        <v>246</v>
      </c>
      <c r="B19" s="64" t="s">
        <v>212</v>
      </c>
      <c r="C19" s="64" t="s">
        <v>215</v>
      </c>
      <c r="D19" s="64" t="s">
        <v>67</v>
      </c>
      <c r="E19" s="64" t="s">
        <v>218</v>
      </c>
      <c r="F19" s="66">
        <v>2030</v>
      </c>
      <c r="G19" s="64">
        <v>1</v>
      </c>
      <c r="H19" s="64"/>
      <c r="I19" s="64"/>
      <c r="J19" s="64"/>
      <c r="K19" s="65">
        <v>1</v>
      </c>
      <c r="L19" s="65"/>
      <c r="M19" s="65">
        <v>1</v>
      </c>
      <c r="N19" s="65">
        <v>1</v>
      </c>
      <c r="O19" s="65">
        <v>0</v>
      </c>
      <c r="P19" s="65"/>
    </row>
    <row r="20" spans="1:16">
      <c r="A20" s="64" t="s">
        <v>246</v>
      </c>
      <c r="B20" s="64" t="s">
        <v>213</v>
      </c>
      <c r="C20" s="64" t="s">
        <v>216</v>
      </c>
      <c r="D20" s="64" t="s">
        <v>67</v>
      </c>
      <c r="E20" s="64" t="s">
        <v>218</v>
      </c>
      <c r="F20" s="66">
        <v>2030</v>
      </c>
      <c r="G20" s="64">
        <v>1</v>
      </c>
      <c r="H20" s="64"/>
      <c r="I20" s="64"/>
      <c r="J20" s="64"/>
      <c r="K20" s="65">
        <v>1</v>
      </c>
      <c r="L20" s="65"/>
      <c r="M20" s="65">
        <v>1</v>
      </c>
      <c r="N20" s="65">
        <v>1</v>
      </c>
      <c r="O20" s="65">
        <v>0</v>
      </c>
      <c r="P20" s="65"/>
    </row>
    <row r="21" spans="1:16">
      <c r="A21" s="64" t="s">
        <v>246</v>
      </c>
      <c r="B21" s="64" t="s">
        <v>214</v>
      </c>
      <c r="C21" s="64" t="s">
        <v>217</v>
      </c>
      <c r="D21" s="64" t="s">
        <v>67</v>
      </c>
      <c r="E21" s="64" t="s">
        <v>218</v>
      </c>
      <c r="F21" s="66">
        <v>2030</v>
      </c>
      <c r="G21" s="64">
        <v>1</v>
      </c>
      <c r="H21" s="64"/>
      <c r="I21" s="64"/>
      <c r="J21" s="64"/>
      <c r="K21" s="65">
        <v>1</v>
      </c>
      <c r="L21" s="65"/>
      <c r="M21" s="65">
        <v>1</v>
      </c>
      <c r="N21" s="65">
        <v>1</v>
      </c>
      <c r="O21" s="65">
        <v>0</v>
      </c>
      <c r="P21" s="65"/>
    </row>
    <row r="22" spans="1:16">
      <c r="A22" s="64" t="s">
        <v>246</v>
      </c>
      <c r="B22" s="64" t="s">
        <v>307</v>
      </c>
      <c r="C22" s="64" t="s">
        <v>312</v>
      </c>
      <c r="D22" s="64" t="s">
        <v>67</v>
      </c>
      <c r="E22" s="64" t="s">
        <v>310</v>
      </c>
      <c r="F22" s="66">
        <v>2030</v>
      </c>
      <c r="G22" s="64">
        <v>1</v>
      </c>
      <c r="H22" s="64"/>
      <c r="I22" s="64"/>
      <c r="J22" s="64"/>
      <c r="K22" s="65">
        <v>1</v>
      </c>
      <c r="L22" s="65"/>
      <c r="M22" s="65">
        <v>1</v>
      </c>
      <c r="N22" s="65">
        <v>1</v>
      </c>
      <c r="O22" s="65">
        <v>0</v>
      </c>
      <c r="P22" s="65"/>
    </row>
    <row r="23" spans="1:16">
      <c r="A23" s="64" t="s">
        <v>246</v>
      </c>
      <c r="B23" s="64" t="s">
        <v>308</v>
      </c>
      <c r="C23" s="64" t="s">
        <v>313</v>
      </c>
      <c r="D23" s="64" t="s">
        <v>67</v>
      </c>
      <c r="E23" s="64" t="s">
        <v>310</v>
      </c>
      <c r="F23" s="66">
        <v>2030</v>
      </c>
      <c r="G23" s="64">
        <v>1</v>
      </c>
      <c r="H23" s="64"/>
      <c r="I23" s="64"/>
      <c r="J23" s="64"/>
      <c r="K23" s="65">
        <v>1</v>
      </c>
      <c r="L23" s="65"/>
      <c r="M23" s="65">
        <v>1</v>
      </c>
      <c r="N23" s="65">
        <v>1</v>
      </c>
      <c r="O23" s="65">
        <v>0</v>
      </c>
      <c r="P23" s="65"/>
    </row>
    <row r="24" spans="1:16">
      <c r="A24" s="64" t="s">
        <v>246</v>
      </c>
      <c r="B24" s="64" t="s">
        <v>309</v>
      </c>
      <c r="C24" s="64" t="s">
        <v>314</v>
      </c>
      <c r="D24" s="64" t="s">
        <v>67</v>
      </c>
      <c r="E24" s="64" t="s">
        <v>310</v>
      </c>
      <c r="F24" s="66">
        <v>2030</v>
      </c>
      <c r="G24" s="64">
        <v>1</v>
      </c>
      <c r="H24" s="64"/>
      <c r="I24" s="64"/>
      <c r="J24" s="64"/>
      <c r="K24" s="65">
        <v>1</v>
      </c>
      <c r="L24" s="65"/>
      <c r="M24" s="65">
        <v>1</v>
      </c>
      <c r="N24" s="65">
        <v>1</v>
      </c>
      <c r="O24" s="65">
        <v>0</v>
      </c>
      <c r="P24" s="65"/>
    </row>
    <row r="25" spans="1:16">
      <c r="A25" s="67" t="s">
        <v>246</v>
      </c>
      <c r="B25" s="67" t="s">
        <v>221</v>
      </c>
      <c r="C25" s="67" t="s">
        <v>316</v>
      </c>
      <c r="D25" s="67" t="s">
        <v>67</v>
      </c>
      <c r="E25" s="68" t="s">
        <v>222</v>
      </c>
      <c r="F25" s="68">
        <v>2025</v>
      </c>
      <c r="G25" s="68">
        <v>80</v>
      </c>
      <c r="H25" s="69">
        <f>110*0.5*12/44/1000/0.8</f>
        <v>1.8749999999999999E-2</v>
      </c>
      <c r="I25" s="68">
        <v>15.8548959918823</v>
      </c>
      <c r="J25" s="70">
        <f>I25*0.065</f>
        <v>1.0305682394723494</v>
      </c>
      <c r="K25" s="71">
        <v>20</v>
      </c>
      <c r="L25" s="71">
        <v>0.9</v>
      </c>
      <c r="M25" s="71">
        <v>1</v>
      </c>
      <c r="N25" s="71">
        <v>7</v>
      </c>
      <c r="O25" s="71">
        <v>0</v>
      </c>
      <c r="P25" s="71"/>
    </row>
    <row r="26" spans="1:16">
      <c r="A26" s="67"/>
      <c r="B26" s="67"/>
      <c r="C26" s="67"/>
      <c r="D26" s="72" t="s">
        <v>223</v>
      </c>
      <c r="E26" s="68" t="s">
        <v>226</v>
      </c>
      <c r="F26" s="68"/>
      <c r="G26" s="68">
        <v>1</v>
      </c>
      <c r="H26" s="69">
        <v>0.1</v>
      </c>
      <c r="I26" s="68"/>
      <c r="J26" s="68"/>
      <c r="K26" s="67"/>
      <c r="L26" s="67"/>
      <c r="M26" s="67"/>
      <c r="N26" s="67"/>
      <c r="O26" s="67"/>
      <c r="P26" s="67"/>
    </row>
    <row r="27" spans="1:16">
      <c r="A27" s="67"/>
      <c r="B27" s="67"/>
      <c r="C27" s="67"/>
      <c r="D27" s="67" t="s">
        <v>228</v>
      </c>
      <c r="E27" s="68" t="s">
        <v>303</v>
      </c>
      <c r="F27" s="68"/>
      <c r="G27" s="73">
        <f>391*3.6/1000/4.166/14</f>
        <v>2.4134147177834169E-2</v>
      </c>
      <c r="H27" s="68">
        <v>80</v>
      </c>
      <c r="I27" s="68"/>
      <c r="J27" s="68"/>
      <c r="K27" s="67"/>
      <c r="L27" s="67"/>
      <c r="M27" s="67"/>
      <c r="N27" s="67"/>
      <c r="O27" s="67"/>
      <c r="P27" s="67"/>
    </row>
    <row r="28" spans="1:16">
      <c r="A28" s="67"/>
      <c r="B28" s="67"/>
      <c r="C28" s="67"/>
      <c r="D28" s="67"/>
      <c r="E28" s="68" t="s">
        <v>392</v>
      </c>
      <c r="F28" s="68"/>
      <c r="G28" s="73"/>
      <c r="H28" s="68">
        <v>80</v>
      </c>
      <c r="I28" s="68"/>
      <c r="J28" s="68"/>
      <c r="K28" s="67"/>
      <c r="L28" s="67"/>
      <c r="M28" s="67"/>
      <c r="N28" s="67"/>
      <c r="O28" s="67"/>
      <c r="P28" s="67"/>
    </row>
    <row r="29" spans="1:16">
      <c r="A29" s="161" t="s">
        <v>246</v>
      </c>
      <c r="B29" s="161" t="s">
        <v>315</v>
      </c>
      <c r="C29" s="161" t="s">
        <v>317</v>
      </c>
      <c r="D29" s="161" t="s">
        <v>67</v>
      </c>
      <c r="E29" s="161" t="s">
        <v>222</v>
      </c>
      <c r="F29" s="161">
        <v>2025</v>
      </c>
      <c r="G29" s="169">
        <f>L72</f>
        <v>43.855421686746979</v>
      </c>
      <c r="H29" s="162">
        <f>L65</f>
        <v>1.5662650602409636E-2</v>
      </c>
      <c r="I29" s="168">
        <f>69.93*0.7677</f>
        <v>53.685261000000011</v>
      </c>
      <c r="J29" s="163">
        <f>3.96*0.7677</f>
        <v>3.040092</v>
      </c>
      <c r="K29" s="164">
        <v>20</v>
      </c>
      <c r="L29" s="164">
        <v>0.9</v>
      </c>
      <c r="M29" s="164">
        <v>1</v>
      </c>
      <c r="N29" s="164">
        <v>0</v>
      </c>
      <c r="O29" s="164"/>
      <c r="P29" s="164"/>
    </row>
    <row r="30" spans="1:16">
      <c r="A30" s="161"/>
      <c r="B30" s="161"/>
      <c r="C30" s="161"/>
      <c r="D30" s="161" t="s">
        <v>320</v>
      </c>
      <c r="E30" s="161" t="s">
        <v>226</v>
      </c>
      <c r="F30" s="161"/>
      <c r="G30" s="161">
        <v>1</v>
      </c>
      <c r="H30" s="165">
        <f>L77</f>
        <v>4.5783132530120479E-2</v>
      </c>
      <c r="I30" s="161"/>
      <c r="J30" s="161"/>
      <c r="K30" s="161"/>
      <c r="L30" s="161"/>
      <c r="M30" s="161"/>
      <c r="N30" s="161"/>
      <c r="O30" s="161"/>
      <c r="P30" s="161"/>
    </row>
    <row r="31" spans="1:16">
      <c r="A31" s="161"/>
      <c r="B31" s="161"/>
      <c r="C31" s="161"/>
      <c r="D31" s="161" t="s">
        <v>228</v>
      </c>
      <c r="E31" s="161" t="s">
        <v>303</v>
      </c>
      <c r="F31" s="161"/>
      <c r="G31" s="166">
        <f>3000*3.6/1000/1000/L61</f>
        <v>2.6024096385542168E-2</v>
      </c>
      <c r="H31" s="169">
        <f>G29</f>
        <v>43.855421686746979</v>
      </c>
      <c r="I31" s="161"/>
      <c r="J31" s="161"/>
      <c r="K31" s="161"/>
      <c r="L31" s="161"/>
      <c r="M31" s="161"/>
      <c r="N31" s="161"/>
      <c r="O31" s="161"/>
      <c r="P31" s="161"/>
    </row>
    <row r="32" spans="1:16">
      <c r="A32" s="161"/>
      <c r="B32" s="161"/>
      <c r="C32" s="161"/>
      <c r="D32" s="161"/>
      <c r="E32" s="161" t="s">
        <v>392</v>
      </c>
      <c r="F32" s="161"/>
      <c r="G32" s="167"/>
      <c r="H32" s="169">
        <f>H31</f>
        <v>43.855421686746979</v>
      </c>
      <c r="I32" s="161"/>
      <c r="J32" s="161"/>
      <c r="K32" s="161"/>
      <c r="L32" s="161"/>
      <c r="M32" s="161"/>
      <c r="N32" s="161"/>
      <c r="O32" s="161"/>
      <c r="P32" s="161"/>
    </row>
    <row r="33" spans="1:26">
      <c r="A33" s="67" t="s">
        <v>246</v>
      </c>
      <c r="B33" s="67" t="s">
        <v>283</v>
      </c>
      <c r="C33" s="67" t="s">
        <v>284</v>
      </c>
      <c r="D33" s="67" t="s">
        <v>228</v>
      </c>
      <c r="E33" s="68"/>
      <c r="F33" s="68">
        <v>2030</v>
      </c>
      <c r="G33" s="74">
        <v>1.9371060606060606E-3</v>
      </c>
      <c r="H33" s="68"/>
      <c r="I33" s="68"/>
      <c r="J33" s="68"/>
      <c r="K33" s="71">
        <v>1</v>
      </c>
      <c r="L33" s="67"/>
      <c r="M33" s="67"/>
      <c r="N33" s="67"/>
      <c r="O33" s="67"/>
      <c r="P33" s="67"/>
    </row>
    <row r="34" spans="1:26">
      <c r="A34" s="67"/>
      <c r="B34" s="67"/>
      <c r="C34" s="67"/>
      <c r="D34" s="67" t="s">
        <v>202</v>
      </c>
      <c r="E34" s="68"/>
      <c r="F34" s="68"/>
      <c r="G34" s="73"/>
      <c r="H34" s="68"/>
      <c r="I34" s="68"/>
      <c r="J34" s="68"/>
      <c r="K34" s="67"/>
      <c r="L34" s="67"/>
      <c r="M34" s="67"/>
      <c r="N34" s="67"/>
      <c r="O34" s="67"/>
      <c r="P34" s="67"/>
    </row>
    <row r="37" spans="1:26">
      <c r="B37" s="75" t="s">
        <v>16</v>
      </c>
      <c r="C37" s="76"/>
      <c r="D37" s="76"/>
      <c r="E37" s="76"/>
      <c r="F37" s="76"/>
      <c r="N37" s="77"/>
      <c r="O37" s="77"/>
      <c r="P37" s="77"/>
      <c r="Q37" s="77"/>
      <c r="R37" s="77"/>
      <c r="S37" s="77"/>
      <c r="T37" s="77"/>
      <c r="U37" s="77"/>
      <c r="V37" s="77"/>
      <c r="W37" s="77"/>
      <c r="X37" s="77"/>
      <c r="Y37" s="77"/>
      <c r="Z37" s="77"/>
    </row>
    <row r="38" spans="1:26" ht="12.75" thickBot="1">
      <c r="B38" s="78" t="s">
        <v>15</v>
      </c>
      <c r="C38" s="78" t="s">
        <v>0</v>
      </c>
      <c r="D38" s="78" t="s">
        <v>1</v>
      </c>
      <c r="E38" s="79" t="s">
        <v>17</v>
      </c>
      <c r="F38" s="79" t="s">
        <v>18</v>
      </c>
      <c r="G38" s="79" t="s">
        <v>19</v>
      </c>
      <c r="H38" s="78" t="s">
        <v>20</v>
      </c>
      <c r="I38" s="78" t="s">
        <v>21</v>
      </c>
      <c r="N38" s="81"/>
      <c r="O38" s="81"/>
      <c r="P38" s="81"/>
      <c r="Q38" s="81"/>
      <c r="R38" s="81"/>
      <c r="S38" s="81"/>
      <c r="T38" s="81"/>
      <c r="U38" s="81"/>
      <c r="V38" s="81"/>
      <c r="W38" s="77"/>
      <c r="X38" s="77"/>
      <c r="Y38" s="77"/>
      <c r="Z38" s="77"/>
    </row>
    <row r="39" spans="1:26">
      <c r="B39" s="76" t="s">
        <v>57</v>
      </c>
      <c r="C39" s="76" t="s">
        <v>322</v>
      </c>
      <c r="D39" s="76" t="s">
        <v>324</v>
      </c>
      <c r="E39" s="82" t="s">
        <v>78</v>
      </c>
      <c r="F39" s="82" t="s">
        <v>152</v>
      </c>
      <c r="H39" s="57" t="s">
        <v>326</v>
      </c>
      <c r="K39" s="57" t="s">
        <v>403</v>
      </c>
      <c r="L39" s="77"/>
      <c r="M39" s="81"/>
      <c r="N39" s="81"/>
      <c r="O39" s="81"/>
      <c r="P39" s="81"/>
      <c r="Q39" s="81"/>
      <c r="R39" s="81"/>
      <c r="S39" s="81"/>
      <c r="T39" s="81"/>
      <c r="U39" s="81"/>
      <c r="V39" s="81"/>
      <c r="W39" s="77"/>
      <c r="X39" s="77"/>
      <c r="Y39" s="77"/>
      <c r="Z39" s="77"/>
    </row>
    <row r="40" spans="1:26">
      <c r="B40" s="76" t="s">
        <v>57</v>
      </c>
      <c r="C40" s="76" t="s">
        <v>323</v>
      </c>
      <c r="D40" s="76" t="s">
        <v>325</v>
      </c>
      <c r="E40" s="82" t="s">
        <v>78</v>
      </c>
      <c r="F40" s="82" t="s">
        <v>152</v>
      </c>
      <c r="H40" s="57" t="s">
        <v>327</v>
      </c>
      <c r="K40" s="57" t="s">
        <v>397</v>
      </c>
      <c r="L40" s="77">
        <f>I29</f>
        <v>53.685261000000011</v>
      </c>
      <c r="M40" s="155" t="s">
        <v>398</v>
      </c>
      <c r="N40" s="81"/>
      <c r="O40" s="81"/>
      <c r="P40" s="81"/>
      <c r="Q40" s="81"/>
      <c r="R40" s="81"/>
      <c r="S40" s="81"/>
      <c r="T40" s="81"/>
      <c r="U40" s="81"/>
      <c r="V40" s="81"/>
      <c r="W40" s="77"/>
      <c r="X40" s="77"/>
      <c r="Y40" s="77"/>
      <c r="Z40" s="77"/>
    </row>
    <row r="41" spans="1:26">
      <c r="B41" s="76" t="s">
        <v>57</v>
      </c>
      <c r="C41" s="57" t="s">
        <v>204</v>
      </c>
      <c r="D41" s="57" t="s">
        <v>386</v>
      </c>
      <c r="E41" s="82" t="s">
        <v>78</v>
      </c>
      <c r="F41" s="82" t="s">
        <v>152</v>
      </c>
      <c r="H41" s="57" t="s">
        <v>202</v>
      </c>
      <c r="N41" s="83"/>
      <c r="O41" s="83"/>
      <c r="P41" s="83"/>
      <c r="Q41" s="83"/>
      <c r="R41" s="83"/>
      <c r="S41" s="83"/>
      <c r="T41" s="83"/>
      <c r="U41" s="83"/>
      <c r="V41" s="83"/>
      <c r="W41" s="77"/>
      <c r="X41" s="77"/>
      <c r="Y41" s="77"/>
      <c r="Z41" s="77"/>
    </row>
    <row r="42" spans="1:26">
      <c r="B42" s="76" t="s">
        <v>57</v>
      </c>
      <c r="C42" s="57" t="s">
        <v>208</v>
      </c>
      <c r="D42" s="57" t="s">
        <v>389</v>
      </c>
      <c r="E42" s="82" t="s">
        <v>78</v>
      </c>
      <c r="F42" s="82" t="s">
        <v>152</v>
      </c>
      <c r="H42" s="57" t="s">
        <v>202</v>
      </c>
      <c r="K42" s="57" t="s">
        <v>399</v>
      </c>
      <c r="L42" s="77">
        <f>J29</f>
        <v>3.040092</v>
      </c>
      <c r="M42" s="155" t="s">
        <v>398</v>
      </c>
      <c r="N42" s="85"/>
      <c r="O42" s="85"/>
      <c r="P42" s="85"/>
      <c r="Q42" s="85"/>
      <c r="R42" s="85"/>
      <c r="S42" s="85"/>
      <c r="T42" s="85"/>
      <c r="U42" s="86"/>
      <c r="V42" s="85"/>
      <c r="W42" s="77"/>
      <c r="X42" s="77"/>
      <c r="Y42" s="77"/>
      <c r="Z42" s="77"/>
    </row>
    <row r="43" spans="1:26">
      <c r="B43" s="76" t="s">
        <v>57</v>
      </c>
      <c r="C43" s="57" t="s">
        <v>207</v>
      </c>
      <c r="D43" s="57" t="s">
        <v>387</v>
      </c>
      <c r="E43" s="82" t="s">
        <v>78</v>
      </c>
      <c r="F43" s="82" t="s">
        <v>152</v>
      </c>
      <c r="H43" s="57" t="s">
        <v>202</v>
      </c>
      <c r="K43" s="57" t="s">
        <v>400</v>
      </c>
      <c r="L43" s="77">
        <f>N29</f>
        <v>0</v>
      </c>
      <c r="M43" s="155" t="s">
        <v>398</v>
      </c>
      <c r="N43" s="85"/>
      <c r="O43" s="85"/>
      <c r="P43" s="85"/>
      <c r="Q43" s="85"/>
      <c r="R43" s="85"/>
      <c r="S43" s="85"/>
      <c r="T43" s="85"/>
      <c r="U43" s="86"/>
      <c r="V43" s="85"/>
      <c r="W43" s="77"/>
      <c r="X43" s="77"/>
      <c r="Y43" s="77"/>
      <c r="Z43" s="77"/>
    </row>
    <row r="44" spans="1:26">
      <c r="B44" s="76" t="s">
        <v>57</v>
      </c>
      <c r="C44" s="57" t="s">
        <v>206</v>
      </c>
      <c r="D44" s="57" t="s">
        <v>388</v>
      </c>
      <c r="E44" s="82" t="s">
        <v>78</v>
      </c>
      <c r="F44" s="82" t="s">
        <v>152</v>
      </c>
      <c r="H44" s="57" t="s">
        <v>202</v>
      </c>
      <c r="K44" s="57" t="s">
        <v>401</v>
      </c>
      <c r="L44" s="156">
        <v>1</v>
      </c>
      <c r="M44" s="85" t="s">
        <v>402</v>
      </c>
      <c r="N44" s="85"/>
      <c r="O44" s="85"/>
      <c r="P44" s="85"/>
      <c r="Q44" s="85"/>
      <c r="R44" s="85"/>
      <c r="S44" s="85"/>
      <c r="T44" s="85"/>
      <c r="U44" s="86"/>
      <c r="V44" s="85"/>
      <c r="W44" s="77"/>
      <c r="X44" s="77"/>
      <c r="Y44" s="77"/>
      <c r="Z44" s="77"/>
    </row>
    <row r="45" spans="1:26">
      <c r="B45" s="76" t="s">
        <v>57</v>
      </c>
      <c r="C45" s="57" t="s">
        <v>390</v>
      </c>
      <c r="D45" s="57" t="s">
        <v>391</v>
      </c>
      <c r="E45" s="82" t="s">
        <v>78</v>
      </c>
      <c r="F45" s="82" t="s">
        <v>152</v>
      </c>
      <c r="H45" s="57" t="s">
        <v>202</v>
      </c>
      <c r="K45" s="57" t="s">
        <v>404</v>
      </c>
      <c r="L45" s="156">
        <v>1.8749999999999999E-2</v>
      </c>
      <c r="M45" s="85" t="s">
        <v>405</v>
      </c>
      <c r="N45" s="85"/>
      <c r="O45" s="85"/>
      <c r="P45" s="85"/>
      <c r="Q45" s="85"/>
      <c r="R45" s="85"/>
      <c r="S45" s="85"/>
      <c r="T45" s="85"/>
      <c r="U45" s="86"/>
      <c r="V45" s="85"/>
      <c r="W45" s="77"/>
      <c r="X45" s="77"/>
      <c r="Y45" s="77"/>
      <c r="Z45" s="77"/>
    </row>
    <row r="46" spans="1:26">
      <c r="B46" s="76" t="s">
        <v>57</v>
      </c>
      <c r="C46" s="57" t="s">
        <v>307</v>
      </c>
      <c r="D46" s="57" t="str">
        <f>C22</f>
        <v>Carbon sequestration in organic soils by SOC1</v>
      </c>
      <c r="E46" s="82" t="s">
        <v>78</v>
      </c>
      <c r="F46" s="82" t="s">
        <v>152</v>
      </c>
      <c r="H46" s="57" t="s">
        <v>310</v>
      </c>
      <c r="L46" s="157">
        <f>(L40+L42+L43)/L45</f>
        <v>3025.3521600000008</v>
      </c>
      <c r="M46" s="85" t="s">
        <v>406</v>
      </c>
      <c r="N46" s="85"/>
      <c r="O46" s="85"/>
      <c r="P46" s="85"/>
      <c r="Q46" s="85"/>
      <c r="R46" s="85"/>
      <c r="S46" s="85"/>
      <c r="T46" s="85"/>
      <c r="U46" s="86"/>
      <c r="V46" s="85"/>
      <c r="W46" s="77"/>
      <c r="X46" s="77"/>
      <c r="Y46" s="77"/>
      <c r="Z46" s="77"/>
    </row>
    <row r="47" spans="1:26">
      <c r="B47" s="76" t="s">
        <v>57</v>
      </c>
      <c r="C47" s="57" t="s">
        <v>308</v>
      </c>
      <c r="D47" s="57" t="str">
        <f t="shared" ref="D47:D48" si="0">C23</f>
        <v>Carbon sequestration in organic soils by SOC2</v>
      </c>
      <c r="E47" s="82" t="s">
        <v>78</v>
      </c>
      <c r="F47" s="82" t="s">
        <v>152</v>
      </c>
      <c r="H47" s="57" t="s">
        <v>310</v>
      </c>
      <c r="L47" s="156">
        <f>L40/L45</f>
        <v>2863.2139200000006</v>
      </c>
      <c r="M47" s="85"/>
      <c r="N47" s="85"/>
      <c r="O47" s="85"/>
      <c r="P47" s="85"/>
      <c r="Q47" s="85"/>
      <c r="R47" s="85"/>
      <c r="S47" s="85"/>
      <c r="T47" s="85"/>
      <c r="U47" s="86"/>
      <c r="V47" s="85"/>
      <c r="W47" s="77"/>
      <c r="X47" s="77"/>
      <c r="Y47" s="77"/>
      <c r="Z47" s="77"/>
    </row>
    <row r="48" spans="1:26">
      <c r="B48" s="76" t="s">
        <v>57</v>
      </c>
      <c r="C48" s="57" t="s">
        <v>309</v>
      </c>
      <c r="D48" s="57" t="str">
        <f t="shared" si="0"/>
        <v>Carbon sequestration in organic soils by SOC3</v>
      </c>
      <c r="E48" s="82" t="s">
        <v>78</v>
      </c>
      <c r="F48" s="82" t="s">
        <v>152</v>
      </c>
      <c r="H48" s="57" t="s">
        <v>310</v>
      </c>
      <c r="L48" s="156"/>
      <c r="M48" s="85"/>
      <c r="N48" s="85"/>
      <c r="O48" s="85"/>
      <c r="P48" s="85"/>
      <c r="Q48" s="85"/>
      <c r="R48" s="85"/>
      <c r="S48" s="85"/>
      <c r="T48" s="85"/>
      <c r="U48" s="86"/>
      <c r="V48" s="85"/>
      <c r="W48" s="77"/>
      <c r="X48" s="77"/>
      <c r="Y48" s="77"/>
      <c r="Z48" s="77"/>
    </row>
    <row r="49" spans="2:26">
      <c r="B49" s="76" t="s">
        <v>57</v>
      </c>
      <c r="C49" s="57" t="s">
        <v>221</v>
      </c>
      <c r="D49" s="57" t="str">
        <f>C25</f>
        <v>Removal by PYCCS land and calorien neutral biochar</v>
      </c>
      <c r="E49" s="82" t="s">
        <v>58</v>
      </c>
      <c r="F49" s="82" t="s">
        <v>275</v>
      </c>
      <c r="H49" s="57" t="s">
        <v>223</v>
      </c>
      <c r="K49" s="57" t="s">
        <v>407</v>
      </c>
      <c r="L49" s="84"/>
      <c r="M49" s="85"/>
      <c r="N49" s="85"/>
      <c r="O49" s="85"/>
      <c r="P49" s="85"/>
      <c r="Q49" s="85"/>
      <c r="R49" s="85"/>
      <c r="S49" s="85"/>
      <c r="T49" s="85"/>
      <c r="U49" s="86"/>
      <c r="V49" s="85"/>
      <c r="W49" s="77"/>
      <c r="X49" s="77"/>
      <c r="Y49" s="77"/>
      <c r="Z49" s="77"/>
    </row>
    <row r="50" spans="2:26">
      <c r="B50" s="57" t="s">
        <v>57</v>
      </c>
      <c r="C50" s="57" t="s">
        <v>315</v>
      </c>
      <c r="D50" s="57" t="str">
        <f>C29</f>
        <v>Removal by PYCCS regular biochar</v>
      </c>
      <c r="E50" s="61" t="s">
        <v>58</v>
      </c>
      <c r="F50" s="61" t="s">
        <v>275</v>
      </c>
      <c r="H50" s="57" t="s">
        <v>320</v>
      </c>
      <c r="K50" s="57" t="s">
        <v>404</v>
      </c>
      <c r="L50" s="57">
        <f>6500/1000/1000</f>
        <v>6.4999999999999997E-3</v>
      </c>
      <c r="M50" s="57" t="s">
        <v>405</v>
      </c>
      <c r="N50" s="85"/>
      <c r="O50" s="85"/>
      <c r="P50" s="85"/>
      <c r="Q50" s="85"/>
      <c r="R50" s="85"/>
      <c r="S50" s="85"/>
      <c r="T50" s="85"/>
      <c r="U50" s="86"/>
      <c r="V50" s="85"/>
      <c r="W50" s="77"/>
      <c r="X50" s="77"/>
      <c r="Y50" s="77"/>
      <c r="Z50" s="77"/>
    </row>
    <row r="51" spans="2:26">
      <c r="B51" s="76" t="s">
        <v>57</v>
      </c>
      <c r="C51" s="57" t="s">
        <v>283</v>
      </c>
      <c r="D51" s="57" t="s">
        <v>284</v>
      </c>
      <c r="E51" s="82" t="s">
        <v>78</v>
      </c>
      <c r="F51" s="82" t="s">
        <v>152</v>
      </c>
      <c r="G51" s="57" t="s">
        <v>249</v>
      </c>
      <c r="H51" s="57" t="s">
        <v>202</v>
      </c>
      <c r="K51" s="57" t="s">
        <v>397</v>
      </c>
      <c r="L51" s="57">
        <v>28.95</v>
      </c>
      <c r="M51" s="85" t="s">
        <v>408</v>
      </c>
      <c r="N51" s="85"/>
      <c r="O51" s="85"/>
      <c r="P51" s="85"/>
      <c r="Q51" s="85"/>
      <c r="R51" s="85"/>
      <c r="S51" s="85"/>
      <c r="T51" s="85"/>
      <c r="U51" s="86"/>
      <c r="V51" s="85"/>
      <c r="W51" s="77"/>
      <c r="X51" s="77"/>
      <c r="Y51" s="77"/>
      <c r="Z51" s="77"/>
    </row>
    <row r="52" spans="2:26">
      <c r="B52" s="76" t="s">
        <v>57</v>
      </c>
      <c r="C52" s="57" t="s">
        <v>212</v>
      </c>
      <c r="D52" s="57" t="s">
        <v>215</v>
      </c>
      <c r="E52" s="82" t="s">
        <v>78</v>
      </c>
      <c r="F52" s="82" t="s">
        <v>152</v>
      </c>
      <c r="H52" s="57" t="s">
        <v>218</v>
      </c>
      <c r="L52" s="156">
        <f>L51/L50</f>
        <v>4453.8461538461543</v>
      </c>
      <c r="M52" s="85" t="s">
        <v>409</v>
      </c>
      <c r="N52" s="85"/>
      <c r="O52" s="85"/>
      <c r="P52" s="85"/>
      <c r="Q52" s="85"/>
      <c r="R52" s="85"/>
      <c r="S52" s="85"/>
      <c r="T52" s="85"/>
      <c r="U52" s="86"/>
      <c r="V52" s="85"/>
      <c r="W52" s="77"/>
      <c r="X52" s="77"/>
      <c r="Y52" s="77"/>
      <c r="Z52" s="77"/>
    </row>
    <row r="53" spans="2:26">
      <c r="B53" s="76" t="s">
        <v>57</v>
      </c>
      <c r="C53" s="57" t="s">
        <v>213</v>
      </c>
      <c r="D53" s="57" t="s">
        <v>216</v>
      </c>
      <c r="E53" s="82" t="s">
        <v>78</v>
      </c>
      <c r="F53" s="82" t="s">
        <v>152</v>
      </c>
      <c r="H53" s="57" t="s">
        <v>218</v>
      </c>
      <c r="K53" s="57" t="s">
        <v>410</v>
      </c>
      <c r="L53" s="156">
        <f>5.32</f>
        <v>5.32</v>
      </c>
      <c r="M53" s="85" t="s">
        <v>411</v>
      </c>
      <c r="N53" s="85"/>
      <c r="O53" s="85"/>
      <c r="P53" s="85"/>
      <c r="Q53" s="85"/>
      <c r="R53" s="85"/>
      <c r="S53" s="85"/>
      <c r="T53" s="85"/>
      <c r="U53" s="86"/>
      <c r="V53" s="85"/>
      <c r="W53" s="77"/>
      <c r="X53" s="77"/>
      <c r="Y53" s="77"/>
      <c r="Z53" s="77"/>
    </row>
    <row r="54" spans="2:26" ht="12.75">
      <c r="B54" s="76" t="s">
        <v>57</v>
      </c>
      <c r="C54" s="57" t="s">
        <v>214</v>
      </c>
      <c r="D54" s="57" t="s">
        <v>217</v>
      </c>
      <c r="E54" s="82" t="s">
        <v>78</v>
      </c>
      <c r="F54" s="82" t="s">
        <v>152</v>
      </c>
      <c r="H54" s="57" t="s">
        <v>218</v>
      </c>
      <c r="L54" s="158"/>
      <c r="M54" s="85"/>
      <c r="N54" s="85"/>
      <c r="O54" s="85"/>
      <c r="P54" s="85"/>
      <c r="Q54" s="85"/>
      <c r="R54" s="85"/>
      <c r="S54" s="85"/>
      <c r="T54" s="85"/>
      <c r="U54" s="86"/>
      <c r="V54" s="85"/>
      <c r="W54" s="77"/>
      <c r="X54" s="77"/>
      <c r="Y54" s="77"/>
      <c r="Z54" s="77"/>
    </row>
    <row r="55" spans="2:26">
      <c r="L55" s="84"/>
      <c r="M55" s="85"/>
      <c r="N55" s="85"/>
      <c r="O55" s="85"/>
      <c r="P55" s="85"/>
      <c r="Q55" s="85"/>
      <c r="R55" s="85"/>
      <c r="S55" s="85"/>
      <c r="T55" s="85"/>
      <c r="U55" s="86"/>
      <c r="V55" s="85"/>
      <c r="W55" s="77"/>
      <c r="X55" s="77"/>
      <c r="Y55" s="77"/>
      <c r="Z55" s="77"/>
    </row>
    <row r="56" spans="2:26">
      <c r="L56" s="84"/>
      <c r="M56" s="85"/>
      <c r="N56" s="85"/>
      <c r="O56" s="85"/>
      <c r="P56" s="85"/>
      <c r="Q56" s="85"/>
      <c r="R56" s="85"/>
      <c r="S56" s="85"/>
      <c r="T56" s="85"/>
      <c r="U56" s="86"/>
      <c r="V56" s="85"/>
      <c r="W56" s="77"/>
      <c r="X56" s="77"/>
      <c r="Y56" s="77"/>
      <c r="Z56" s="77"/>
    </row>
    <row r="57" spans="2:26">
      <c r="B57" s="75" t="s">
        <v>6</v>
      </c>
      <c r="C57" s="76"/>
      <c r="D57" s="76"/>
      <c r="E57" s="82"/>
      <c r="L57" s="84"/>
      <c r="M57" s="85"/>
      <c r="N57" s="85"/>
      <c r="O57" s="85"/>
      <c r="P57" s="85"/>
      <c r="Q57" s="85"/>
      <c r="R57" s="85"/>
      <c r="S57" s="85"/>
      <c r="T57" s="85"/>
      <c r="U57" s="86"/>
      <c r="V57" s="85"/>
      <c r="W57" s="77"/>
      <c r="X57" s="77"/>
      <c r="Y57" s="77"/>
      <c r="Z57" s="77"/>
    </row>
    <row r="58" spans="2:26" ht="12.75" thickBot="1">
      <c r="B58" s="78" t="s">
        <v>15</v>
      </c>
      <c r="C58" s="78" t="s">
        <v>5</v>
      </c>
      <c r="D58" s="78" t="s">
        <v>8</v>
      </c>
      <c r="E58" s="79" t="s">
        <v>9</v>
      </c>
      <c r="F58" s="59" t="s">
        <v>10</v>
      </c>
      <c r="G58" s="60" t="s">
        <v>11</v>
      </c>
      <c r="H58" s="59" t="s">
        <v>12</v>
      </c>
      <c r="I58" s="59" t="s">
        <v>13</v>
      </c>
      <c r="L58" s="84"/>
      <c r="M58" s="85"/>
      <c r="N58" s="85"/>
      <c r="O58" s="85"/>
      <c r="P58" s="85"/>
      <c r="Q58" s="85"/>
      <c r="R58" s="85"/>
      <c r="S58" s="85"/>
      <c r="T58" s="85"/>
      <c r="U58" s="86"/>
      <c r="V58" s="85"/>
      <c r="W58" s="77"/>
      <c r="X58" s="86"/>
      <c r="Y58" s="77"/>
      <c r="Z58" s="77"/>
    </row>
    <row r="59" spans="2:26">
      <c r="B59" s="76" t="s">
        <v>153</v>
      </c>
      <c r="C59" s="76" t="s">
        <v>326</v>
      </c>
      <c r="D59" s="76" t="s">
        <v>328</v>
      </c>
      <c r="E59" s="82" t="s">
        <v>78</v>
      </c>
      <c r="L59" s="57">
        <v>8.3000000000000007</v>
      </c>
      <c r="M59" s="57" t="s">
        <v>419</v>
      </c>
      <c r="N59" s="85"/>
      <c r="O59" s="85"/>
      <c r="P59" s="85"/>
      <c r="Q59" s="85"/>
      <c r="R59" s="85"/>
      <c r="S59" s="85"/>
      <c r="T59" s="85"/>
      <c r="U59" s="86"/>
      <c r="V59" s="85"/>
      <c r="W59" s="77"/>
      <c r="X59" s="77"/>
      <c r="Y59" s="77"/>
      <c r="Z59" s="77"/>
    </row>
    <row r="60" spans="2:26">
      <c r="B60" s="76" t="s">
        <v>153</v>
      </c>
      <c r="C60" s="76" t="s">
        <v>327</v>
      </c>
      <c r="D60" s="76" t="s">
        <v>329</v>
      </c>
      <c r="E60" s="82" t="s">
        <v>78</v>
      </c>
      <c r="L60" s="77">
        <v>50000</v>
      </c>
      <c r="M60" s="77" t="s">
        <v>412</v>
      </c>
      <c r="N60" s="85"/>
      <c r="O60" s="85"/>
      <c r="P60" s="85"/>
      <c r="Q60" s="85"/>
      <c r="R60" s="85"/>
      <c r="S60" s="85"/>
      <c r="T60" s="85"/>
      <c r="U60" s="86"/>
      <c r="V60" s="85"/>
      <c r="W60" s="77"/>
      <c r="X60" s="86"/>
      <c r="Y60" s="77"/>
      <c r="Z60" s="77"/>
    </row>
    <row r="61" spans="2:26">
      <c r="B61" s="57" t="s">
        <v>76</v>
      </c>
      <c r="C61" s="57" t="s">
        <v>202</v>
      </c>
      <c r="D61" s="76" t="s">
        <v>203</v>
      </c>
      <c r="E61" s="82" t="s">
        <v>78</v>
      </c>
      <c r="F61" s="61" t="s">
        <v>79</v>
      </c>
      <c r="L61" s="77">
        <f>L60*L59/1000/1000</f>
        <v>0.41500000000000004</v>
      </c>
      <c r="M61" s="80" t="s">
        <v>418</v>
      </c>
      <c r="N61" s="77"/>
      <c r="O61" s="77"/>
      <c r="P61" s="77"/>
      <c r="Q61" s="77"/>
      <c r="R61" s="77"/>
      <c r="S61" s="77"/>
      <c r="T61" s="77"/>
      <c r="U61" s="77"/>
      <c r="V61" s="77"/>
      <c r="W61" s="77"/>
      <c r="X61" s="77"/>
      <c r="Y61" s="77"/>
      <c r="Z61" s="77"/>
    </row>
    <row r="62" spans="2:26">
      <c r="B62" s="57" t="s">
        <v>76</v>
      </c>
      <c r="C62" s="57" t="s">
        <v>218</v>
      </c>
      <c r="D62" s="76" t="s">
        <v>219</v>
      </c>
      <c r="E62" s="82" t="s">
        <v>78</v>
      </c>
      <c r="F62" s="61" t="s">
        <v>220</v>
      </c>
      <c r="K62" s="57" t="s">
        <v>413</v>
      </c>
      <c r="L62" s="77">
        <f>6500/1000/1000</f>
        <v>6.4999999999999997E-3</v>
      </c>
      <c r="M62" s="77" t="s">
        <v>415</v>
      </c>
      <c r="N62" s="77"/>
      <c r="O62" s="77"/>
      <c r="P62" s="77"/>
      <c r="Q62" s="77"/>
      <c r="R62" s="77"/>
      <c r="S62" s="77"/>
      <c r="T62" s="77"/>
      <c r="U62" s="77"/>
      <c r="V62" s="77"/>
      <c r="W62" s="77"/>
      <c r="X62" s="77"/>
      <c r="Y62" s="77"/>
      <c r="Z62" s="77"/>
    </row>
    <row r="63" spans="2:26">
      <c r="B63" s="57" t="s">
        <v>76</v>
      </c>
      <c r="C63" s="64" t="s">
        <v>310</v>
      </c>
      <c r="D63" s="76" t="s">
        <v>311</v>
      </c>
      <c r="E63" s="82" t="s">
        <v>78</v>
      </c>
      <c r="F63" s="61" t="s">
        <v>220</v>
      </c>
      <c r="L63" s="159">
        <f>L61/L62</f>
        <v>63.846153846153854</v>
      </c>
      <c r="M63" s="85" t="s">
        <v>416</v>
      </c>
      <c r="N63" s="85"/>
      <c r="O63" s="85"/>
      <c r="P63" s="85"/>
      <c r="Q63" s="85"/>
      <c r="R63" s="85"/>
      <c r="S63" s="85"/>
      <c r="T63" s="85"/>
      <c r="U63" s="86"/>
      <c r="V63" s="85"/>
      <c r="W63" s="77"/>
      <c r="X63" s="77"/>
      <c r="Y63" s="77"/>
      <c r="Z63" s="77"/>
    </row>
    <row r="64" spans="2:26">
      <c r="B64" s="57" t="s">
        <v>76</v>
      </c>
      <c r="C64" s="57" t="s">
        <v>222</v>
      </c>
      <c r="D64" s="57" t="s">
        <v>229</v>
      </c>
      <c r="E64" s="61" t="s">
        <v>227</v>
      </c>
      <c r="F64" s="61" t="s">
        <v>220</v>
      </c>
      <c r="L64" s="156"/>
      <c r="M64" s="85"/>
      <c r="N64" s="85"/>
      <c r="O64" s="85"/>
      <c r="P64" s="85"/>
      <c r="Q64" s="85"/>
      <c r="R64" s="85"/>
      <c r="S64" s="85"/>
      <c r="T64" s="85"/>
      <c r="U64" s="86"/>
      <c r="V64" s="85"/>
      <c r="W64" s="77"/>
      <c r="X64" s="77"/>
      <c r="Y64" s="77"/>
      <c r="Z64" s="77"/>
    </row>
    <row r="65" spans="2:26">
      <c r="B65" s="57" t="s">
        <v>61</v>
      </c>
      <c r="C65" s="57" t="s">
        <v>223</v>
      </c>
      <c r="D65" s="57" t="s">
        <v>230</v>
      </c>
      <c r="E65" s="61" t="s">
        <v>58</v>
      </c>
      <c r="F65" s="61" t="s">
        <v>220</v>
      </c>
      <c r="L65" s="160">
        <f>L62/L61</f>
        <v>1.5662650602409636E-2</v>
      </c>
      <c r="M65" s="85" t="s">
        <v>417</v>
      </c>
      <c r="N65" s="85"/>
      <c r="O65" s="85"/>
      <c r="P65" s="85"/>
      <c r="Q65" s="85"/>
      <c r="R65" s="85"/>
      <c r="S65" s="85"/>
      <c r="T65" s="85"/>
      <c r="U65" s="86"/>
      <c r="V65" s="85"/>
      <c r="W65" s="77"/>
      <c r="X65" s="77"/>
      <c r="Y65" s="77"/>
      <c r="Z65" s="77"/>
    </row>
    <row r="66" spans="2:26">
      <c r="B66" s="57" t="s">
        <v>76</v>
      </c>
      <c r="C66" s="57" t="s">
        <v>277</v>
      </c>
      <c r="D66" s="76" t="s">
        <v>278</v>
      </c>
      <c r="E66" s="82" t="s">
        <v>78</v>
      </c>
      <c r="F66" s="61" t="s">
        <v>220</v>
      </c>
      <c r="L66" s="84"/>
      <c r="M66" s="85"/>
      <c r="N66" s="85"/>
      <c r="O66" s="85"/>
      <c r="P66" s="85"/>
      <c r="Q66" s="85"/>
      <c r="R66" s="85"/>
      <c r="S66" s="85"/>
      <c r="T66" s="85"/>
      <c r="U66" s="86"/>
      <c r="V66" s="85"/>
      <c r="W66" s="77"/>
      <c r="X66" s="77"/>
      <c r="Y66" s="77"/>
      <c r="Z66" s="77"/>
    </row>
    <row r="67" spans="2:26">
      <c r="B67" s="57" t="s">
        <v>76</v>
      </c>
      <c r="C67" s="57" t="s">
        <v>279</v>
      </c>
      <c r="D67" s="76" t="s">
        <v>280</v>
      </c>
      <c r="E67" s="82" t="s">
        <v>78</v>
      </c>
      <c r="F67" s="61" t="s">
        <v>220</v>
      </c>
      <c r="K67" s="57" t="s">
        <v>420</v>
      </c>
      <c r="L67" s="84"/>
      <c r="M67" s="85"/>
      <c r="N67" s="85"/>
      <c r="O67" s="85"/>
      <c r="P67" s="85"/>
      <c r="Q67" s="85"/>
      <c r="R67" s="85"/>
      <c r="S67" s="85"/>
      <c r="T67" s="85"/>
      <c r="U67" s="86"/>
      <c r="V67" s="85"/>
      <c r="W67" s="77"/>
      <c r="X67" s="87"/>
      <c r="Y67" s="77"/>
      <c r="Z67" s="77"/>
    </row>
    <row r="68" spans="2:26">
      <c r="B68" s="88" t="s">
        <v>76</v>
      </c>
      <c r="C68" s="88" t="s">
        <v>301</v>
      </c>
      <c r="D68" s="88" t="s">
        <v>302</v>
      </c>
      <c r="E68" s="89" t="s">
        <v>78</v>
      </c>
      <c r="F68" s="90" t="s">
        <v>220</v>
      </c>
      <c r="G68" s="88"/>
      <c r="H68" s="88"/>
      <c r="I68" s="88"/>
      <c r="L68" s="77">
        <v>1</v>
      </c>
      <c r="M68" s="77" t="s">
        <v>414</v>
      </c>
      <c r="N68" s="77"/>
      <c r="O68" s="77"/>
      <c r="P68" s="77"/>
      <c r="Q68" s="77"/>
      <c r="R68" s="77"/>
      <c r="S68" s="77"/>
      <c r="T68" s="77"/>
      <c r="U68" s="77"/>
      <c r="V68" s="77"/>
      <c r="W68" s="77"/>
      <c r="X68" s="91"/>
      <c r="Y68" s="77"/>
      <c r="Z68" s="77"/>
    </row>
    <row r="69" spans="2:26">
      <c r="L69" s="77">
        <v>2.8</v>
      </c>
      <c r="M69" s="77" t="s">
        <v>421</v>
      </c>
      <c r="N69" s="77"/>
      <c r="O69" s="77"/>
      <c r="P69" s="77"/>
      <c r="Q69" s="77"/>
      <c r="R69" s="77"/>
      <c r="S69" s="77"/>
      <c r="T69" s="77"/>
      <c r="U69" s="77"/>
      <c r="V69" s="77"/>
      <c r="W69" s="77"/>
      <c r="X69" s="77"/>
      <c r="Y69" s="77"/>
      <c r="Z69" s="77"/>
    </row>
    <row r="70" spans="2:26">
      <c r="L70" s="156">
        <f>L69*6500</f>
        <v>18200</v>
      </c>
      <c r="M70" s="85" t="s">
        <v>422</v>
      </c>
      <c r="N70" s="85"/>
      <c r="O70" s="85"/>
      <c r="P70" s="85"/>
      <c r="Q70" s="85"/>
      <c r="R70" s="85"/>
      <c r="S70" s="85"/>
      <c r="T70" s="85"/>
      <c r="U70" s="86"/>
      <c r="V70" s="85"/>
      <c r="W70" s="77"/>
      <c r="X70" s="92"/>
      <c r="Y70" s="77"/>
      <c r="Z70" s="77"/>
    </row>
    <row r="71" spans="2:26">
      <c r="L71" s="156">
        <f>L70/1000</f>
        <v>18.2</v>
      </c>
      <c r="M71" s="85" t="s">
        <v>423</v>
      </c>
      <c r="N71" s="85"/>
      <c r="O71" s="85"/>
      <c r="P71" s="85"/>
      <c r="Q71" s="85"/>
      <c r="R71" s="85"/>
      <c r="S71" s="85"/>
      <c r="T71" s="85"/>
      <c r="U71" s="86"/>
      <c r="V71" s="85"/>
      <c r="W71" s="77"/>
      <c r="X71" s="87"/>
      <c r="Y71" s="77"/>
      <c r="Z71" s="77"/>
    </row>
    <row r="72" spans="2:26">
      <c r="L72" s="156">
        <f>L71/L61</f>
        <v>43.855421686746979</v>
      </c>
      <c r="M72" s="85"/>
      <c r="N72" s="85"/>
      <c r="O72" s="85"/>
      <c r="P72" s="85"/>
      <c r="Q72" s="85"/>
      <c r="R72" s="85"/>
      <c r="S72" s="85"/>
      <c r="T72" s="85"/>
      <c r="U72" s="86"/>
      <c r="V72" s="85"/>
      <c r="W72" s="77"/>
      <c r="X72" s="77"/>
      <c r="Y72" s="77"/>
      <c r="Z72" s="77"/>
    </row>
    <row r="73" spans="2:26">
      <c r="M73" s="85"/>
      <c r="N73" s="85"/>
      <c r="O73" s="85"/>
      <c r="P73" s="85"/>
      <c r="Q73" s="85"/>
      <c r="R73" s="85"/>
      <c r="S73" s="85"/>
      <c r="T73" s="85"/>
      <c r="U73" s="86"/>
      <c r="V73" s="85"/>
      <c r="W73" s="77"/>
      <c r="X73" s="77"/>
      <c r="Y73" s="77"/>
      <c r="Z73" s="77"/>
    </row>
    <row r="74" spans="2:26">
      <c r="L74" s="57">
        <v>2.5600000000000001E-2</v>
      </c>
      <c r="M74" s="85" t="s">
        <v>424</v>
      </c>
      <c r="N74" s="85"/>
      <c r="O74" s="85"/>
      <c r="P74" s="85"/>
      <c r="Q74" s="85"/>
      <c r="R74" s="85"/>
      <c r="S74" s="85"/>
      <c r="T74" s="85"/>
      <c r="U74" s="86"/>
      <c r="V74" s="85"/>
      <c r="W74" s="77"/>
      <c r="X74" s="77"/>
      <c r="Y74" s="77"/>
      <c r="Z74" s="77"/>
    </row>
    <row r="75" spans="2:26">
      <c r="L75" s="156">
        <v>1.9E-2</v>
      </c>
      <c r="M75" s="85" t="s">
        <v>425</v>
      </c>
      <c r="N75" s="85"/>
      <c r="O75" s="85"/>
      <c r="P75" s="85"/>
      <c r="Q75" s="85"/>
      <c r="R75" s="85"/>
      <c r="S75" s="85"/>
      <c r="T75" s="85"/>
      <c r="U75" s="86"/>
      <c r="V75" s="85"/>
      <c r="W75" s="77"/>
      <c r="X75" s="77"/>
      <c r="Y75" s="77"/>
      <c r="Z75" s="77"/>
    </row>
    <row r="76" spans="2:26">
      <c r="L76" s="84"/>
      <c r="M76" s="85"/>
      <c r="N76" s="85"/>
      <c r="O76" s="85"/>
      <c r="P76" s="85"/>
      <c r="Q76" s="85"/>
      <c r="R76" s="85"/>
      <c r="S76" s="85"/>
      <c r="T76" s="85"/>
      <c r="U76" s="86"/>
      <c r="V76" s="85"/>
      <c r="W76" s="77"/>
      <c r="X76" s="77"/>
      <c r="Y76" s="77"/>
      <c r="Z76" s="77"/>
    </row>
    <row r="77" spans="2:26">
      <c r="L77" s="156">
        <f>L75/L61</f>
        <v>4.5783132530120479E-2</v>
      </c>
      <c r="M77" s="85" t="s">
        <v>425</v>
      </c>
      <c r="N77" s="85"/>
      <c r="O77" s="85"/>
      <c r="P77" s="85"/>
      <c r="Q77" s="85"/>
      <c r="R77" s="85"/>
      <c r="S77" s="85"/>
      <c r="T77" s="85"/>
      <c r="U77" s="86"/>
      <c r="V77" s="85"/>
      <c r="W77" s="77"/>
      <c r="X77" s="77"/>
      <c r="Y77" s="77"/>
      <c r="Z77" s="77"/>
    </row>
    <row r="78" spans="2:26">
      <c r="L78" s="84"/>
      <c r="M78" s="85"/>
      <c r="N78" s="85"/>
      <c r="O78" s="85"/>
      <c r="P78" s="85"/>
      <c r="Q78" s="85"/>
      <c r="R78" s="85"/>
      <c r="S78" s="85"/>
      <c r="T78" s="85"/>
      <c r="U78" s="86"/>
      <c r="V78" s="85"/>
      <c r="W78" s="77"/>
      <c r="X78" s="77"/>
      <c r="Y78" s="77"/>
      <c r="Z78" s="77"/>
    </row>
    <row r="79" spans="2:26">
      <c r="L79" s="84"/>
      <c r="M79" s="85"/>
      <c r="N79" s="85"/>
      <c r="O79" s="85"/>
      <c r="P79" s="85"/>
      <c r="Q79" s="85"/>
      <c r="R79" s="85"/>
      <c r="S79" s="85"/>
      <c r="T79" s="85"/>
      <c r="U79" s="86"/>
      <c r="V79" s="85"/>
      <c r="W79" s="77"/>
      <c r="X79" s="77"/>
      <c r="Y79" s="77"/>
      <c r="Z79" s="77"/>
    </row>
    <row r="80" spans="2:26">
      <c r="L80" s="84"/>
      <c r="M80" s="85"/>
      <c r="N80" s="85"/>
      <c r="O80" s="85"/>
      <c r="P80" s="85"/>
      <c r="Q80" s="85"/>
      <c r="R80" s="85"/>
      <c r="S80" s="85"/>
      <c r="T80" s="85"/>
      <c r="U80" s="86"/>
      <c r="V80" s="85"/>
      <c r="W80" s="77"/>
      <c r="X80" s="77"/>
      <c r="Y80" s="77"/>
      <c r="Z80" s="77"/>
    </row>
    <row r="81" spans="12:26">
      <c r="L81" s="84"/>
      <c r="M81" s="85"/>
      <c r="N81" s="85"/>
      <c r="O81" s="85"/>
      <c r="P81" s="85"/>
      <c r="Q81" s="85"/>
      <c r="R81" s="85"/>
      <c r="S81" s="85"/>
      <c r="T81" s="85"/>
      <c r="U81" s="86"/>
      <c r="V81" s="85"/>
      <c r="W81" s="77"/>
      <c r="X81" s="77"/>
      <c r="Y81" s="77"/>
      <c r="Z81" s="77"/>
    </row>
    <row r="82" spans="12:26">
      <c r="L82" s="84"/>
      <c r="M82" s="85"/>
      <c r="N82" s="85"/>
      <c r="O82" s="85"/>
      <c r="P82" s="85"/>
      <c r="Q82" s="85"/>
      <c r="R82" s="85"/>
      <c r="S82" s="85"/>
      <c r="T82" s="85"/>
      <c r="U82" s="86"/>
      <c r="V82" s="85"/>
      <c r="W82" s="77"/>
      <c r="X82" s="77"/>
      <c r="Y82" s="77"/>
      <c r="Z82" s="77"/>
    </row>
    <row r="83" spans="12:26">
      <c r="L83" s="84"/>
      <c r="M83" s="85"/>
      <c r="N83" s="85"/>
      <c r="O83" s="85"/>
      <c r="P83" s="85"/>
      <c r="Q83" s="85"/>
      <c r="R83" s="85"/>
      <c r="S83" s="85"/>
      <c r="T83" s="85"/>
      <c r="U83" s="86"/>
      <c r="V83" s="85"/>
      <c r="W83" s="77"/>
      <c r="X83" s="77"/>
      <c r="Y83" s="77"/>
      <c r="Z83" s="77"/>
    </row>
    <row r="84" spans="12:26">
      <c r="L84" s="84"/>
      <c r="M84" s="85"/>
      <c r="N84" s="85"/>
      <c r="O84" s="85"/>
      <c r="P84" s="85"/>
      <c r="Q84" s="85"/>
      <c r="R84" s="85"/>
      <c r="S84" s="85"/>
      <c r="T84" s="85"/>
      <c r="U84" s="86"/>
      <c r="V84" s="85"/>
      <c r="W84" s="77"/>
      <c r="X84" s="77"/>
      <c r="Y84" s="77"/>
      <c r="Z84" s="77"/>
    </row>
    <row r="85" spans="12:26">
      <c r="L85" s="84"/>
      <c r="M85" s="85"/>
      <c r="N85" s="85"/>
      <c r="O85" s="85"/>
      <c r="P85" s="85"/>
      <c r="Q85" s="85"/>
      <c r="R85" s="85"/>
      <c r="S85" s="85"/>
      <c r="T85" s="85"/>
      <c r="U85" s="86"/>
      <c r="V85" s="85"/>
      <c r="W85" s="77"/>
      <c r="X85" s="77"/>
      <c r="Y85" s="77"/>
      <c r="Z85" s="77"/>
    </row>
  </sheetData>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3:Q11"/>
  <sheetViews>
    <sheetView workbookViewId="0">
      <selection activeCell="C19" sqref="C19"/>
    </sheetView>
  </sheetViews>
  <sheetFormatPr defaultRowHeight="12.75"/>
  <cols>
    <col min="1" max="1" width="12.7109375" bestFit="1" customWidth="1"/>
    <col min="2" max="2" width="24.140625" bestFit="1" customWidth="1"/>
    <col min="3" max="3" width="23.85546875" bestFit="1" customWidth="1"/>
    <col min="4" max="6" width="14.28515625" bestFit="1" customWidth="1"/>
    <col min="7" max="11" width="12" bestFit="1" customWidth="1"/>
    <col min="12" max="14" width="13.140625" bestFit="1" customWidth="1"/>
    <col min="15" max="15" width="5.85546875" bestFit="1" customWidth="1"/>
    <col min="16" max="16" width="5" bestFit="1" customWidth="1"/>
    <col min="17" max="17" width="8.140625" bestFit="1" customWidth="1"/>
  </cols>
  <sheetData>
    <row r="3" spans="1:17">
      <c r="A3" t="s">
        <v>0</v>
      </c>
      <c r="B3" t="s">
        <v>81</v>
      </c>
      <c r="C3" t="s">
        <v>45</v>
      </c>
      <c r="D3" t="s">
        <v>82</v>
      </c>
      <c r="E3" t="s">
        <v>83</v>
      </c>
      <c r="F3" t="s">
        <v>84</v>
      </c>
      <c r="G3" t="s">
        <v>85</v>
      </c>
      <c r="H3" t="s">
        <v>86</v>
      </c>
      <c r="I3" t="s">
        <v>87</v>
      </c>
      <c r="J3" t="s">
        <v>88</v>
      </c>
      <c r="K3" t="s">
        <v>89</v>
      </c>
      <c r="L3" t="s">
        <v>90</v>
      </c>
      <c r="M3" t="s">
        <v>91</v>
      </c>
      <c r="N3" t="s">
        <v>92</v>
      </c>
      <c r="O3" t="s">
        <v>73</v>
      </c>
      <c r="P3" t="s">
        <v>93</v>
      </c>
      <c r="Q3" t="s">
        <v>94</v>
      </c>
    </row>
    <row r="4" spans="1:17">
      <c r="A4" t="s">
        <v>150</v>
      </c>
      <c r="C4" t="s">
        <v>75</v>
      </c>
      <c r="D4" t="s">
        <v>75</v>
      </c>
      <c r="E4" t="s">
        <v>75</v>
      </c>
      <c r="F4" t="s">
        <v>75</v>
      </c>
      <c r="G4" t="s">
        <v>75</v>
      </c>
      <c r="H4" t="s">
        <v>75</v>
      </c>
      <c r="I4" t="s">
        <v>75</v>
      </c>
      <c r="J4" t="s">
        <v>75</v>
      </c>
      <c r="K4" t="s">
        <v>69</v>
      </c>
      <c r="L4" t="s">
        <v>69</v>
      </c>
      <c r="M4" t="s">
        <v>69</v>
      </c>
      <c r="N4" t="s">
        <v>69</v>
      </c>
      <c r="O4" t="s">
        <v>95</v>
      </c>
    </row>
    <row r="5" spans="1:17">
      <c r="A5" t="s">
        <v>97</v>
      </c>
      <c r="B5">
        <v>0.9</v>
      </c>
      <c r="C5">
        <v>1779.0495612563179</v>
      </c>
      <c r="D5">
        <v>497.71842849097476</v>
      </c>
      <c r="E5">
        <v>497.71842849097476</v>
      </c>
      <c r="F5">
        <v>444.9</v>
      </c>
      <c r="G5">
        <v>89.922769342960294</v>
      </c>
      <c r="H5">
        <v>89.922769342960294</v>
      </c>
      <c r="I5">
        <v>89.922769342960294</v>
      </c>
      <c r="J5">
        <v>10.386216519855596</v>
      </c>
      <c r="K5">
        <v>5.7779783393501802E-2</v>
      </c>
      <c r="L5" t="s">
        <v>96</v>
      </c>
      <c r="M5">
        <v>5.7779783393501802E-2</v>
      </c>
      <c r="O5">
        <v>20</v>
      </c>
      <c r="P5">
        <v>2015</v>
      </c>
      <c r="Q5">
        <v>31.536000000000001</v>
      </c>
    </row>
    <row r="11" spans="1:17" ht="13.5" thickBo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X102"/>
  <sheetViews>
    <sheetView tabSelected="1" topLeftCell="A3" zoomScale="85" zoomScaleNormal="85" workbookViewId="0">
      <selection activeCell="N65" sqref="N65"/>
    </sheetView>
  </sheetViews>
  <sheetFormatPr defaultColWidth="8.85546875" defaultRowHeight="12.75"/>
  <cols>
    <col min="1" max="1" width="8.85546875" style="1"/>
    <col min="2" max="2" width="2.85546875" style="1" customWidth="1"/>
    <col min="3" max="3" width="29.5703125" style="1" customWidth="1"/>
    <col min="4" max="4" width="47.5703125" style="1" bestFit="1" customWidth="1"/>
    <col min="5" max="5" width="35.42578125" style="1" customWidth="1"/>
    <col min="6" max="7" width="13.85546875" style="1" customWidth="1"/>
    <col min="8" max="8" width="13.5703125" style="1" customWidth="1"/>
    <col min="9" max="9" width="13.42578125" style="1" bestFit="1" customWidth="1"/>
    <col min="10" max="10" width="14.85546875" style="1" bestFit="1" customWidth="1"/>
    <col min="11" max="12" width="13.140625" style="1" customWidth="1"/>
    <col min="13" max="13" width="19.7109375" style="1" customWidth="1"/>
    <col min="14" max="18" width="17.28515625" style="1" customWidth="1"/>
    <col min="19" max="19" width="14.140625" style="1" customWidth="1"/>
    <col min="20" max="20" width="8.5703125" style="1" customWidth="1"/>
    <col min="21" max="21" width="8" style="1" customWidth="1"/>
    <col min="22" max="22" width="9.28515625" style="1" bestFit="1" customWidth="1"/>
    <col min="23" max="16384" width="8.85546875" style="1"/>
  </cols>
  <sheetData>
    <row r="2" spans="1:19">
      <c r="C2" s="1" t="s">
        <v>47</v>
      </c>
    </row>
    <row r="6" spans="1:19" ht="15">
      <c r="C6" s="8" t="s">
        <v>46</v>
      </c>
      <c r="H6" s="2" t="s">
        <v>119</v>
      </c>
    </row>
    <row r="7" spans="1:19" ht="15.75" thickBot="1">
      <c r="C7" s="3" t="s">
        <v>0</v>
      </c>
      <c r="D7" s="3" t="s">
        <v>157</v>
      </c>
      <c r="E7" s="3" t="s">
        <v>3</v>
      </c>
      <c r="F7" s="3" t="s">
        <v>2</v>
      </c>
      <c r="G7" s="3" t="s">
        <v>22</v>
      </c>
      <c r="H7" s="3" t="s">
        <v>4</v>
      </c>
      <c r="I7" s="3" t="s">
        <v>14</v>
      </c>
      <c r="J7" s="3" t="s">
        <v>115</v>
      </c>
      <c r="K7" s="3" t="s">
        <v>116</v>
      </c>
      <c r="L7" s="3" t="s">
        <v>117</v>
      </c>
      <c r="M7" s="3" t="s">
        <v>385</v>
      </c>
      <c r="N7" s="3" t="s">
        <v>384</v>
      </c>
      <c r="O7" s="3" t="s">
        <v>81</v>
      </c>
      <c r="P7" s="3" t="s">
        <v>91</v>
      </c>
      <c r="Q7" s="3" t="s">
        <v>92</v>
      </c>
      <c r="R7" s="3" t="s">
        <v>73</v>
      </c>
      <c r="S7" s="3" t="s">
        <v>94</v>
      </c>
    </row>
    <row r="8" spans="1:19" ht="38.25">
      <c r="C8" s="4" t="s">
        <v>38</v>
      </c>
      <c r="D8" s="4" t="s">
        <v>32</v>
      </c>
      <c r="E8" s="4" t="s">
        <v>39</v>
      </c>
      <c r="F8" s="4" t="s">
        <v>40</v>
      </c>
      <c r="G8" s="4" t="s">
        <v>41</v>
      </c>
      <c r="H8" s="4" t="s">
        <v>42</v>
      </c>
      <c r="I8" s="4" t="s">
        <v>44</v>
      </c>
      <c r="J8" s="4" t="s">
        <v>43</v>
      </c>
      <c r="K8" s="4"/>
      <c r="L8" s="4"/>
      <c r="M8" s="4"/>
      <c r="N8" s="4"/>
      <c r="O8" s="4"/>
      <c r="P8" s="4" t="s">
        <v>69</v>
      </c>
      <c r="Q8" s="4" t="s">
        <v>69</v>
      </c>
      <c r="R8" s="4" t="s">
        <v>95</v>
      </c>
      <c r="S8" s="4"/>
    </row>
    <row r="9" spans="1:19" ht="19.899999999999999" customHeight="1">
      <c r="A9" s="1" t="s">
        <v>362</v>
      </c>
      <c r="C9" s="41" t="str">
        <f>D59</f>
        <v>S_CCUS_EMIS_LowAF</v>
      </c>
      <c r="D9" s="41" t="str">
        <f>E59</f>
        <v>Supply convert bio and atm CO2 emission to Diesel</v>
      </c>
      <c r="E9" s="41"/>
      <c r="F9" s="41" t="s">
        <v>113</v>
      </c>
      <c r="G9" s="41"/>
      <c r="H9" s="41" t="s">
        <v>298</v>
      </c>
      <c r="I9" s="41">
        <v>2025</v>
      </c>
      <c r="J9" s="41">
        <f>0.55*J11</f>
        <v>0.42900000000000005</v>
      </c>
      <c r="K9" s="41">
        <f>0.7*K11</f>
        <v>0.54599999999999993</v>
      </c>
      <c r="L9" s="41"/>
      <c r="M9" s="41"/>
      <c r="N9" s="41">
        <v>0.02</v>
      </c>
      <c r="O9" s="41">
        <v>0.25</v>
      </c>
      <c r="P9" s="41">
        <f>'Data electrolyser'!M5*$O$78</f>
        <v>0.1155595667870036</v>
      </c>
      <c r="Q9" s="41">
        <f>P9</f>
        <v>0.1155595667870036</v>
      </c>
      <c r="R9" s="41">
        <v>20</v>
      </c>
      <c r="S9" s="41">
        <v>31.536000000000001</v>
      </c>
    </row>
    <row r="10" spans="1:19" ht="19.899999999999999" customHeight="1">
      <c r="C10" s="41" t="str">
        <f>C9</f>
        <v>S_CCUS_EMIS_LowAF</v>
      </c>
      <c r="D10" s="41"/>
      <c r="E10" s="41"/>
      <c r="F10" s="41" t="s">
        <v>327</v>
      </c>
      <c r="G10" s="41"/>
      <c r="H10" s="41" t="s">
        <v>299</v>
      </c>
      <c r="I10" s="41"/>
      <c r="J10" s="41"/>
      <c r="K10" s="41"/>
      <c r="L10" s="41">
        <f>1/74</f>
        <v>1.3513513513513514E-2</v>
      </c>
      <c r="M10" s="41"/>
      <c r="N10" s="41"/>
      <c r="O10" s="41"/>
      <c r="P10" s="41"/>
      <c r="Q10" s="41"/>
      <c r="R10" s="41"/>
      <c r="S10" s="41"/>
    </row>
    <row r="11" spans="1:19">
      <c r="A11" s="1" t="s">
        <v>362</v>
      </c>
      <c r="C11" s="41" t="str">
        <f>D60</f>
        <v>S_CCUS_EMIS_H2T_LowAF</v>
      </c>
      <c r="D11" s="41" t="str">
        <f>E60</f>
        <v>Bio and atm CO2 Hydrogenation to Diesel with centralized tank</v>
      </c>
      <c r="E11" s="41"/>
      <c r="F11" s="41" t="s">
        <v>114</v>
      </c>
      <c r="G11" s="41"/>
      <c r="H11" s="41" t="s">
        <v>298</v>
      </c>
      <c r="I11" s="41">
        <v>2025</v>
      </c>
      <c r="J11" s="41">
        <v>0.78</v>
      </c>
      <c r="K11" s="41">
        <f>J11</f>
        <v>0.78</v>
      </c>
      <c r="L11" s="41"/>
      <c r="M11" s="41"/>
      <c r="N11" s="41">
        <v>0.02</v>
      </c>
      <c r="O11" s="41">
        <v>0.25</v>
      </c>
      <c r="P11" s="41">
        <f>P9-'Data electrolyser'!M5</f>
        <v>5.7779783393501802E-2</v>
      </c>
      <c r="Q11" s="41">
        <f>P11</f>
        <v>5.7779783393501802E-2</v>
      </c>
      <c r="R11" s="41">
        <v>20</v>
      </c>
      <c r="S11" s="41">
        <v>31.536000000000001</v>
      </c>
    </row>
    <row r="12" spans="1:19">
      <c r="C12" s="41" t="str">
        <f>C11</f>
        <v>S_CCUS_EMIS_H2T_LowAF</v>
      </c>
      <c r="D12" s="41"/>
      <c r="E12" s="41"/>
      <c r="F12" s="41" t="s">
        <v>327</v>
      </c>
      <c r="G12" s="41"/>
      <c r="H12" s="41" t="s">
        <v>299</v>
      </c>
      <c r="I12" s="41"/>
      <c r="J12" s="41"/>
      <c r="K12" s="41"/>
      <c r="L12" s="41">
        <f>L10</f>
        <v>1.3513513513513514E-2</v>
      </c>
      <c r="M12" s="41"/>
      <c r="N12" s="41"/>
      <c r="O12" s="41"/>
      <c r="P12" s="41"/>
      <c r="Q12" s="41"/>
      <c r="R12" s="41"/>
      <c r="S12" s="41"/>
    </row>
    <row r="13" spans="1:19">
      <c r="A13" s="1" t="s">
        <v>362</v>
      </c>
      <c r="C13" s="41" t="str">
        <f>D61</f>
        <v>S_CCUS_EMIS_H2U_LowAF</v>
      </c>
      <c r="D13" s="41" t="str">
        <f>E61</f>
        <v>Bio and atm CO2 Hydrogenation to Diesel with underground storage</v>
      </c>
      <c r="E13" s="41"/>
      <c r="F13" s="41" t="s">
        <v>154</v>
      </c>
      <c r="G13" s="41"/>
      <c r="H13" s="41" t="s">
        <v>298</v>
      </c>
      <c r="I13" s="41">
        <v>2025</v>
      </c>
      <c r="J13" s="41">
        <v>0.78</v>
      </c>
      <c r="K13" s="41">
        <f>J13</f>
        <v>0.78</v>
      </c>
      <c r="L13" s="41"/>
      <c r="M13" s="41"/>
      <c r="N13" s="41">
        <v>0.02</v>
      </c>
      <c r="O13" s="41">
        <v>0.25</v>
      </c>
      <c r="P13" s="41">
        <f>P11</f>
        <v>5.7779783393501802E-2</v>
      </c>
      <c r="Q13" s="41">
        <f>Q11</f>
        <v>5.7779783393501802E-2</v>
      </c>
      <c r="R13" s="41">
        <v>20</v>
      </c>
      <c r="S13" s="41">
        <v>31.536000000000001</v>
      </c>
    </row>
    <row r="14" spans="1:19">
      <c r="C14" s="41" t="str">
        <f>C13</f>
        <v>S_CCUS_EMIS_H2U_LowAF</v>
      </c>
      <c r="D14" s="41"/>
      <c r="E14" s="41"/>
      <c r="F14" s="41" t="s">
        <v>327</v>
      </c>
      <c r="G14" s="41"/>
      <c r="H14" s="41" t="s">
        <v>299</v>
      </c>
      <c r="I14" s="41"/>
      <c r="J14" s="41"/>
      <c r="K14" s="41"/>
      <c r="L14" s="41">
        <f>L12</f>
        <v>1.3513513513513514E-2</v>
      </c>
      <c r="M14" s="41"/>
      <c r="N14" s="41"/>
      <c r="O14" s="41"/>
      <c r="P14" s="41"/>
      <c r="Q14" s="41"/>
      <c r="R14" s="41"/>
      <c r="S14" s="41"/>
    </row>
    <row r="15" spans="1:19">
      <c r="A15" s="1" t="s">
        <v>341</v>
      </c>
      <c r="C15" s="94" t="str">
        <f>D62</f>
        <v>S_CCUS_ATM_LowAF</v>
      </c>
      <c r="D15" s="94" t="str">
        <f>E62</f>
        <v>Supply convert Atmospheric CO2 to Diesel</v>
      </c>
      <c r="E15" s="94"/>
      <c r="F15" s="94" t="s">
        <v>113</v>
      </c>
      <c r="G15" s="94"/>
      <c r="H15" s="94" t="s">
        <v>298</v>
      </c>
      <c r="I15" s="94">
        <v>2030</v>
      </c>
      <c r="J15" s="94">
        <v>0.33300000000000002</v>
      </c>
      <c r="K15" s="94"/>
      <c r="L15" s="94"/>
      <c r="M15" s="94"/>
      <c r="N15" s="94"/>
      <c r="O15" s="94">
        <f>O9</f>
        <v>0.25</v>
      </c>
      <c r="P15" s="94">
        <f>P9*4</f>
        <v>0.46223826714801441</v>
      </c>
      <c r="Q15" s="94">
        <f>Q9*4</f>
        <v>0.46223826714801441</v>
      </c>
      <c r="R15" s="94">
        <f>R9</f>
        <v>20</v>
      </c>
      <c r="S15" s="94">
        <f>S9</f>
        <v>31.536000000000001</v>
      </c>
    </row>
    <row r="16" spans="1:19">
      <c r="C16" s="94" t="str">
        <f>C15</f>
        <v>S_CCUS_ATM_LowAF</v>
      </c>
      <c r="D16" s="94"/>
      <c r="E16" s="94"/>
      <c r="F16" s="94" t="s">
        <v>67</v>
      </c>
      <c r="G16" s="94"/>
      <c r="H16" s="94" t="s">
        <v>299</v>
      </c>
      <c r="I16" s="94"/>
      <c r="J16" s="94"/>
      <c r="K16" s="94"/>
      <c r="L16" s="94">
        <f>L12</f>
        <v>1.3513513513513514E-2</v>
      </c>
      <c r="M16" s="94"/>
      <c r="N16" s="94"/>
      <c r="O16" s="94"/>
      <c r="P16" s="94"/>
      <c r="Q16" s="94"/>
      <c r="R16" s="94"/>
      <c r="S16" s="94"/>
    </row>
    <row r="17" spans="1:24">
      <c r="A17" s="1" t="s">
        <v>361</v>
      </c>
      <c r="C17" s="93" t="s">
        <v>358</v>
      </c>
      <c r="D17" s="93" t="s">
        <v>65</v>
      </c>
      <c r="E17" s="93"/>
      <c r="F17" s="93" t="s">
        <v>113</v>
      </c>
      <c r="G17" s="93"/>
      <c r="H17" s="93" t="s">
        <v>339</v>
      </c>
      <c r="I17" s="93">
        <v>2025</v>
      </c>
      <c r="J17" s="93">
        <v>0.42900000000000005</v>
      </c>
      <c r="K17" s="93">
        <v>0.54599999999999993</v>
      </c>
      <c r="L17" s="93"/>
      <c r="M17" s="93">
        <v>0.02</v>
      </c>
      <c r="N17" s="93"/>
      <c r="O17" s="93">
        <v>0.25</v>
      </c>
      <c r="P17" s="93">
        <v>0.1155595667870036</v>
      </c>
      <c r="Q17" s="93">
        <v>0.1155595667870036</v>
      </c>
      <c r="R17" s="93">
        <v>20</v>
      </c>
      <c r="S17" s="93">
        <v>31.536000000000001</v>
      </c>
    </row>
    <row r="18" spans="1:24">
      <c r="C18" s="93" t="str">
        <f>C17</f>
        <v>S_CCUS_EMIS_FOS_LowAF</v>
      </c>
      <c r="D18" s="93"/>
      <c r="E18" s="93"/>
      <c r="F18" s="93" t="s">
        <v>326</v>
      </c>
      <c r="G18" s="93"/>
      <c r="H18" s="93" t="s">
        <v>340</v>
      </c>
      <c r="I18" s="93"/>
      <c r="J18" s="93"/>
      <c r="K18" s="93"/>
      <c r="L18" s="93">
        <v>1.3513513513513514E-2</v>
      </c>
      <c r="M18" s="93"/>
      <c r="N18" s="93"/>
      <c r="O18" s="93"/>
      <c r="P18" s="93"/>
      <c r="Q18" s="93"/>
      <c r="R18" s="93"/>
      <c r="S18" s="93"/>
    </row>
    <row r="19" spans="1:24">
      <c r="A19" s="1" t="s">
        <v>361</v>
      </c>
      <c r="C19" s="93" t="s">
        <v>359</v>
      </c>
      <c r="D19" s="93" t="s">
        <v>176</v>
      </c>
      <c r="E19" s="93"/>
      <c r="F19" s="93" t="s">
        <v>114</v>
      </c>
      <c r="G19" s="93"/>
      <c r="H19" s="93" t="s">
        <v>339</v>
      </c>
      <c r="I19" s="93">
        <v>2025</v>
      </c>
      <c r="J19" s="93">
        <v>0.78</v>
      </c>
      <c r="K19" s="93">
        <v>0.78</v>
      </c>
      <c r="L19" s="93"/>
      <c r="M19" s="93">
        <v>0.02</v>
      </c>
      <c r="N19" s="93"/>
      <c r="O19" s="93">
        <v>0.25</v>
      </c>
      <c r="P19" s="93">
        <v>5.7779783393501802E-2</v>
      </c>
      <c r="Q19" s="93">
        <v>5.7779783393501802E-2</v>
      </c>
      <c r="R19" s="93">
        <v>20</v>
      </c>
      <c r="S19" s="93">
        <v>31.536000000000001</v>
      </c>
    </row>
    <row r="20" spans="1:24">
      <c r="C20" s="93" t="str">
        <f>C19</f>
        <v>S_CCUS_EMIS_FOS_H2T_LowAF</v>
      </c>
      <c r="D20" s="93"/>
      <c r="E20" s="93"/>
      <c r="F20" s="93" t="s">
        <v>326</v>
      </c>
      <c r="G20" s="93"/>
      <c r="H20" s="93" t="s">
        <v>340</v>
      </c>
      <c r="I20" s="93"/>
      <c r="J20" s="93"/>
      <c r="K20" s="93"/>
      <c r="L20" s="93">
        <v>1.3513513513513514E-2</v>
      </c>
      <c r="M20" s="93"/>
      <c r="N20" s="93"/>
      <c r="O20" s="93"/>
      <c r="P20" s="93"/>
      <c r="Q20" s="93"/>
      <c r="R20" s="93"/>
      <c r="S20" s="93"/>
    </row>
    <row r="21" spans="1:24">
      <c r="A21" s="1" t="s">
        <v>361</v>
      </c>
      <c r="C21" s="93" t="s">
        <v>360</v>
      </c>
      <c r="D21" s="93" t="s">
        <v>177</v>
      </c>
      <c r="E21" s="93"/>
      <c r="F21" s="93" t="s">
        <v>154</v>
      </c>
      <c r="G21" s="93"/>
      <c r="H21" s="93" t="s">
        <v>339</v>
      </c>
      <c r="I21" s="93">
        <v>2025</v>
      </c>
      <c r="J21" s="93">
        <v>0.78</v>
      </c>
      <c r="K21" s="93">
        <v>0.78</v>
      </c>
      <c r="L21" s="93"/>
      <c r="M21" s="93">
        <v>0.02</v>
      </c>
      <c r="N21" s="93"/>
      <c r="O21" s="93">
        <v>0.25</v>
      </c>
      <c r="P21" s="93">
        <v>5.7779783393501802E-2</v>
      </c>
      <c r="Q21" s="93">
        <v>5.7779783393501802E-2</v>
      </c>
      <c r="R21" s="93">
        <v>20</v>
      </c>
      <c r="S21" s="93">
        <v>31.536000000000001</v>
      </c>
    </row>
    <row r="22" spans="1:24">
      <c r="C22" s="93" t="str">
        <f>C21</f>
        <v>S_CCUS_EMIS_FOS_H2U_LowAF</v>
      </c>
      <c r="D22" s="93"/>
      <c r="E22" s="93"/>
      <c r="F22" s="93" t="s">
        <v>326</v>
      </c>
      <c r="G22" s="93"/>
      <c r="H22" s="93" t="s">
        <v>340</v>
      </c>
      <c r="I22" s="93"/>
      <c r="J22" s="93"/>
      <c r="K22" s="93"/>
      <c r="L22" s="93">
        <v>1.3513513513513514E-2</v>
      </c>
      <c r="M22" s="93"/>
      <c r="N22" s="93"/>
      <c r="O22" s="93"/>
      <c r="P22" s="93"/>
      <c r="Q22" s="93"/>
      <c r="R22" s="93"/>
      <c r="S22" s="93"/>
    </row>
    <row r="25" spans="1:24" ht="15">
      <c r="F25" s="2" t="s">
        <v>119</v>
      </c>
    </row>
    <row r="26" spans="1:24" ht="15.75" thickBot="1">
      <c r="C26" s="3" t="s">
        <v>0</v>
      </c>
      <c r="D26" s="3" t="s">
        <v>157</v>
      </c>
      <c r="E26" s="3" t="s">
        <v>2</v>
      </c>
      <c r="F26" s="3" t="s">
        <v>4</v>
      </c>
      <c r="G26" s="3" t="s">
        <v>158</v>
      </c>
      <c r="H26" s="3" t="s">
        <v>159</v>
      </c>
      <c r="I26" s="3" t="s">
        <v>160</v>
      </c>
      <c r="J26" s="3" t="s">
        <v>161</v>
      </c>
      <c r="K26" s="3" t="s">
        <v>162</v>
      </c>
      <c r="L26" s="3" t="s">
        <v>189</v>
      </c>
      <c r="M26" s="3" t="s">
        <v>190</v>
      </c>
      <c r="N26" s="3" t="s">
        <v>81</v>
      </c>
      <c r="O26" s="3" t="s">
        <v>385</v>
      </c>
      <c r="P26" s="3" t="s">
        <v>384</v>
      </c>
      <c r="Q26" s="3" t="s">
        <v>89</v>
      </c>
      <c r="R26" s="3" t="s">
        <v>90</v>
      </c>
      <c r="S26" s="3" t="s">
        <v>92</v>
      </c>
      <c r="T26" s="3" t="s">
        <v>164</v>
      </c>
      <c r="U26" s="3" t="s">
        <v>73</v>
      </c>
      <c r="V26" s="3" t="s">
        <v>93</v>
      </c>
      <c r="W26" s="3" t="s">
        <v>94</v>
      </c>
      <c r="X26" s="3" t="s">
        <v>282</v>
      </c>
    </row>
    <row r="27" spans="1:24" ht="25.5">
      <c r="C27" s="4" t="s">
        <v>150</v>
      </c>
      <c r="D27" s="4" t="s">
        <v>32</v>
      </c>
      <c r="E27" s="4" t="s">
        <v>40</v>
      </c>
      <c r="F27" s="4" t="s">
        <v>42</v>
      </c>
      <c r="G27" s="4"/>
      <c r="H27" s="4"/>
      <c r="I27" s="4"/>
      <c r="J27" s="4"/>
      <c r="K27" s="4"/>
      <c r="L27" s="4"/>
      <c r="M27" s="4"/>
      <c r="N27" s="4"/>
      <c r="O27" s="4"/>
      <c r="P27" s="4"/>
      <c r="Q27" s="4" t="s">
        <v>168</v>
      </c>
      <c r="R27" s="4" t="s">
        <v>168</v>
      </c>
      <c r="S27" s="4" t="s">
        <v>168</v>
      </c>
      <c r="T27" s="4" t="s">
        <v>168</v>
      </c>
      <c r="U27" s="4" t="s">
        <v>95</v>
      </c>
      <c r="V27" s="4"/>
      <c r="W27" s="4"/>
      <c r="X27" s="4"/>
    </row>
    <row r="28" spans="1:24">
      <c r="C28" s="16" t="str">
        <f>D66</f>
        <v>SNK_DAC_LowAF</v>
      </c>
      <c r="D28" s="16" t="str">
        <f>E66</f>
        <v>Direct Air Capture - Chemical Absorption</v>
      </c>
      <c r="E28" s="16" t="s">
        <v>67</v>
      </c>
      <c r="F28" s="16"/>
      <c r="G28" s="16">
        <v>1</v>
      </c>
      <c r="H28" s="16">
        <v>1</v>
      </c>
      <c r="I28" s="16">
        <v>1</v>
      </c>
      <c r="J28" s="16">
        <v>1</v>
      </c>
      <c r="K28" s="16"/>
      <c r="L28" s="16"/>
      <c r="M28" s="16"/>
      <c r="N28" s="17">
        <v>0.25</v>
      </c>
      <c r="O28" s="16"/>
      <c r="P28" s="16"/>
      <c r="Q28" s="16">
        <v>0.1</v>
      </c>
      <c r="R28" s="16">
        <f>Q28*0.8</f>
        <v>8.0000000000000016E-2</v>
      </c>
      <c r="S28" s="16">
        <f>R28*0.8</f>
        <v>6.4000000000000015E-2</v>
      </c>
      <c r="T28" s="16">
        <f>S28*0.8</f>
        <v>5.1200000000000016E-2</v>
      </c>
      <c r="U28" s="16">
        <v>20</v>
      </c>
      <c r="V28" s="16">
        <v>2025</v>
      </c>
      <c r="W28" s="16">
        <v>1</v>
      </c>
      <c r="X28" s="16">
        <v>1</v>
      </c>
    </row>
    <row r="29" spans="1:24">
      <c r="C29" s="16" t="str">
        <f>C28</f>
        <v>SNK_DAC_LowAF</v>
      </c>
      <c r="D29" s="16"/>
      <c r="E29" s="16" t="s">
        <v>155</v>
      </c>
      <c r="F29" s="16"/>
      <c r="G29" s="16">
        <v>2.5000000000000001E-3</v>
      </c>
      <c r="H29" s="16">
        <v>2E-3</v>
      </c>
      <c r="I29" s="16">
        <v>1.6000000000000001E-3</v>
      </c>
      <c r="J29" s="16">
        <v>1.2800000000000001E-3</v>
      </c>
      <c r="K29" s="16"/>
      <c r="L29" s="16"/>
      <c r="M29" s="16"/>
      <c r="N29" s="17"/>
      <c r="O29" s="16"/>
      <c r="P29" s="16"/>
      <c r="Q29" s="16"/>
      <c r="R29" s="16"/>
      <c r="S29" s="16"/>
      <c r="T29" s="16"/>
      <c r="U29" s="16"/>
      <c r="V29" s="16"/>
      <c r="W29" s="16"/>
      <c r="X29" s="16"/>
    </row>
    <row r="30" spans="1:24">
      <c r="C30" s="16" t="str">
        <f t="shared" ref="C30:C31" si="0">C29</f>
        <v>SNK_DAC_LowAF</v>
      </c>
      <c r="D30" s="16"/>
      <c r="E30" s="16" t="s">
        <v>192</v>
      </c>
      <c r="F30" s="16"/>
      <c r="G30" s="16">
        <v>1.15E-2</v>
      </c>
      <c r="H30" s="16">
        <v>9.1999999999999998E-3</v>
      </c>
      <c r="I30" s="16">
        <v>7.3600000000000002E-3</v>
      </c>
      <c r="J30" s="16">
        <v>5.8880000000000009E-3</v>
      </c>
      <c r="K30" s="16"/>
      <c r="L30" s="16"/>
      <c r="M30" s="16"/>
      <c r="N30" s="17"/>
      <c r="O30" s="16"/>
      <c r="P30" s="16"/>
      <c r="Q30" s="16"/>
      <c r="R30" s="16"/>
      <c r="S30" s="16"/>
      <c r="T30" s="16"/>
      <c r="U30" s="16"/>
      <c r="V30" s="16"/>
      <c r="W30" s="16"/>
      <c r="X30" s="16"/>
    </row>
    <row r="31" spans="1:24">
      <c r="C31" s="16" t="str">
        <f t="shared" si="0"/>
        <v>SNK_DAC_LowAF</v>
      </c>
      <c r="D31" s="16"/>
      <c r="E31" s="16"/>
      <c r="F31" s="16" t="s">
        <v>66</v>
      </c>
      <c r="G31" s="16"/>
      <c r="H31" s="16"/>
      <c r="I31" s="16"/>
      <c r="J31" s="16"/>
      <c r="K31" s="16">
        <v>1</v>
      </c>
      <c r="L31" s="16"/>
      <c r="M31" s="16"/>
      <c r="N31" s="17"/>
      <c r="O31" s="16"/>
      <c r="P31" s="16"/>
      <c r="Q31" s="16"/>
      <c r="R31" s="16"/>
      <c r="S31" s="16"/>
      <c r="T31" s="16"/>
      <c r="U31" s="16"/>
      <c r="V31" s="16"/>
      <c r="W31" s="16"/>
      <c r="X31" s="16"/>
    </row>
    <row r="32" spans="1:24">
      <c r="C32" s="16" t="str">
        <f>D67</f>
        <v>SNK_DAC_GAS_LowAF</v>
      </c>
      <c r="D32" s="16" t="str">
        <f>E67</f>
        <v>Direct Air Capture - Chemical Absorption</v>
      </c>
      <c r="E32" s="16" t="s">
        <v>67</v>
      </c>
      <c r="F32" s="16"/>
      <c r="G32" s="16">
        <v>1</v>
      </c>
      <c r="H32" s="16">
        <v>1</v>
      </c>
      <c r="I32" s="16">
        <v>1</v>
      </c>
      <c r="J32" s="16">
        <v>1</v>
      </c>
      <c r="K32" s="16"/>
      <c r="L32" s="16"/>
      <c r="M32" s="16"/>
      <c r="N32" s="17">
        <v>0.25</v>
      </c>
      <c r="O32" s="16"/>
      <c r="P32" s="16"/>
      <c r="Q32" s="16">
        <v>0.1</v>
      </c>
      <c r="R32" s="16">
        <f>Q32*0.8</f>
        <v>8.0000000000000016E-2</v>
      </c>
      <c r="S32" s="16">
        <f>R32*0.8</f>
        <v>6.4000000000000015E-2</v>
      </c>
      <c r="T32" s="16">
        <f>S32*0.8</f>
        <v>5.1200000000000016E-2</v>
      </c>
      <c r="U32" s="16">
        <v>20</v>
      </c>
      <c r="V32" s="153">
        <v>2070</v>
      </c>
      <c r="W32" s="16">
        <v>1</v>
      </c>
      <c r="X32" s="96">
        <v>0.97340445187992619</v>
      </c>
    </row>
    <row r="33" spans="3:24">
      <c r="C33" s="16" t="str">
        <f>C32</f>
        <v>SNK_DAC_GAS_LowAF</v>
      </c>
      <c r="D33" s="16"/>
      <c r="E33" s="16" t="s">
        <v>155</v>
      </c>
      <c r="F33" s="16"/>
      <c r="G33" s="16">
        <v>2.5000000000000001E-3</v>
      </c>
      <c r="H33" s="16">
        <v>2E-3</v>
      </c>
      <c r="I33" s="16">
        <v>1.6000000000000001E-3</v>
      </c>
      <c r="J33" s="16">
        <v>1.2800000000000001E-3</v>
      </c>
      <c r="K33" s="16"/>
      <c r="L33" s="16"/>
      <c r="M33" s="16"/>
      <c r="N33" s="17"/>
      <c r="O33" s="16"/>
      <c r="P33" s="16"/>
      <c r="Q33" s="16"/>
      <c r="R33" s="16"/>
      <c r="S33" s="16"/>
      <c r="T33" s="16"/>
      <c r="U33" s="16"/>
      <c r="V33" s="16"/>
      <c r="W33" s="16"/>
      <c r="X33" s="16"/>
    </row>
    <row r="34" spans="3:24">
      <c r="C34" s="16" t="str">
        <f t="shared" ref="C34:C35" si="1">C33</f>
        <v>SNK_DAC_GAS_LowAF</v>
      </c>
      <c r="D34" s="16"/>
      <c r="E34" s="16" t="s">
        <v>199</v>
      </c>
      <c r="F34" s="16"/>
      <c r="G34" s="16">
        <v>1.15E-2</v>
      </c>
      <c r="H34" s="16">
        <v>9.1999999999999998E-3</v>
      </c>
      <c r="I34" s="16">
        <v>7.3600000000000002E-3</v>
      </c>
      <c r="J34" s="16">
        <v>5.8880000000000009E-3</v>
      </c>
      <c r="K34" s="16"/>
      <c r="L34" s="16"/>
      <c r="M34" s="16"/>
      <c r="N34" s="17"/>
      <c r="O34" s="16"/>
      <c r="P34" s="16"/>
      <c r="Q34" s="16"/>
      <c r="R34" s="16"/>
      <c r="S34" s="16"/>
      <c r="T34" s="16"/>
      <c r="U34" s="16"/>
      <c r="V34" s="16"/>
      <c r="W34" s="16"/>
      <c r="X34" s="16"/>
    </row>
    <row r="35" spans="3:24">
      <c r="C35" s="16" t="str">
        <f t="shared" si="1"/>
        <v>SNK_DAC_GAS_LowAF</v>
      </c>
      <c r="D35" s="16"/>
      <c r="E35" s="16"/>
      <c r="F35" s="16" t="s">
        <v>66</v>
      </c>
      <c r="G35" s="16"/>
      <c r="H35" s="16"/>
      <c r="I35" s="16"/>
      <c r="J35" s="16"/>
      <c r="K35" s="16">
        <v>1</v>
      </c>
      <c r="L35" s="16"/>
      <c r="M35" s="16"/>
      <c r="N35" s="17"/>
      <c r="O35" s="16"/>
      <c r="P35" s="16"/>
      <c r="Q35" s="16"/>
      <c r="R35" s="16"/>
      <c r="S35" s="16"/>
      <c r="T35" s="16"/>
      <c r="U35" s="16"/>
      <c r="V35" s="16"/>
      <c r="W35" s="16"/>
      <c r="X35" s="16"/>
    </row>
    <row r="36" spans="3:24">
      <c r="C36" s="95" t="str">
        <f>D68</f>
        <v>SNK_DAC_ELC_LowAF</v>
      </c>
      <c r="D36" s="16" t="str">
        <f>E68</f>
        <v>Direct Air Capture - Chem. Absorption - ELC</v>
      </c>
      <c r="E36" s="16" t="s">
        <v>67</v>
      </c>
      <c r="F36" s="16"/>
      <c r="G36" s="16">
        <v>1</v>
      </c>
      <c r="H36" s="16">
        <v>1</v>
      </c>
      <c r="I36" s="16">
        <v>1</v>
      </c>
      <c r="J36" s="16">
        <v>1</v>
      </c>
      <c r="K36" s="16"/>
      <c r="L36" s="16"/>
      <c r="M36" s="16"/>
      <c r="N36" s="17">
        <v>0.25</v>
      </c>
      <c r="O36" s="16"/>
      <c r="P36" s="16"/>
      <c r="Q36" s="16">
        <v>0.1</v>
      </c>
      <c r="R36" s="16">
        <f>Q36*0.8</f>
        <v>8.0000000000000016E-2</v>
      </c>
      <c r="S36" s="16">
        <f>R36*0.8</f>
        <v>6.4000000000000015E-2</v>
      </c>
      <c r="T36" s="16">
        <f>S36*0.8</f>
        <v>5.1200000000000016E-2</v>
      </c>
      <c r="U36" s="16">
        <v>20</v>
      </c>
      <c r="V36" s="16">
        <v>2030</v>
      </c>
      <c r="W36" s="16">
        <v>1</v>
      </c>
      <c r="X36" s="16">
        <v>1</v>
      </c>
    </row>
    <row r="37" spans="3:24">
      <c r="C37" s="16" t="str">
        <f t="shared" ref="C37:C38" si="2">C36</f>
        <v>SNK_DAC_ELC_LowAF</v>
      </c>
      <c r="D37" s="16"/>
      <c r="E37" s="16" t="s">
        <v>155</v>
      </c>
      <c r="F37" s="16"/>
      <c r="G37" s="16">
        <v>6.0530400000000009E-3</v>
      </c>
      <c r="H37" s="16">
        <v>6.0530400000000009E-3</v>
      </c>
      <c r="I37" s="16">
        <v>5.7571076641145368E-3</v>
      </c>
      <c r="J37" s="16">
        <v>5.3280000000000003E-3</v>
      </c>
      <c r="K37" s="16"/>
      <c r="L37" s="16"/>
      <c r="M37" s="16"/>
      <c r="N37" s="17"/>
      <c r="O37" s="16"/>
      <c r="P37" s="16"/>
      <c r="Q37" s="16"/>
      <c r="R37" s="16"/>
      <c r="S37" s="16"/>
      <c r="T37" s="16"/>
      <c r="U37" s="16"/>
      <c r="V37" s="16"/>
      <c r="W37" s="16"/>
      <c r="X37" s="16"/>
    </row>
    <row r="38" spans="3:24">
      <c r="C38" s="16" t="str">
        <f t="shared" si="2"/>
        <v>SNK_DAC_ELC_LowAF</v>
      </c>
      <c r="D38" s="16"/>
      <c r="E38" s="16"/>
      <c r="F38" s="16" t="s">
        <v>66</v>
      </c>
      <c r="G38" s="16"/>
      <c r="H38" s="16"/>
      <c r="I38" s="16"/>
      <c r="J38" s="16"/>
      <c r="K38" s="16">
        <v>1</v>
      </c>
      <c r="L38" s="16"/>
      <c r="M38" s="16"/>
      <c r="N38" s="17"/>
      <c r="O38" s="16"/>
      <c r="P38" s="16"/>
      <c r="Q38" s="16"/>
      <c r="R38" s="16"/>
      <c r="S38" s="16"/>
      <c r="T38" s="16"/>
      <c r="U38" s="16"/>
      <c r="V38" s="16"/>
      <c r="W38" s="16"/>
      <c r="X38" s="16"/>
    </row>
    <row r="39" spans="3:24">
      <c r="C39" s="41" t="str">
        <f>D69</f>
        <v>S_CCUS_P2GU_LowAF</v>
      </c>
      <c r="D39" s="41" t="str">
        <f>E69</f>
        <v>Methanation - Centralized Underground storage - bio and atm CO2</v>
      </c>
      <c r="E39" s="41" t="s">
        <v>327</v>
      </c>
      <c r="F39" s="41"/>
      <c r="G39" s="41">
        <v>54.839594187003023</v>
      </c>
      <c r="H39" s="41">
        <v>54.839594187003023</v>
      </c>
      <c r="I39" s="41">
        <v>54.839594187003023</v>
      </c>
      <c r="J39" s="41">
        <v>54.839594187003023</v>
      </c>
      <c r="K39" s="41"/>
      <c r="L39" s="41"/>
      <c r="M39" s="41"/>
      <c r="N39" s="97">
        <v>0.25</v>
      </c>
      <c r="O39" s="41"/>
      <c r="P39" s="41">
        <v>0.02</v>
      </c>
      <c r="Q39" s="41"/>
      <c r="R39" s="41" t="s">
        <v>96</v>
      </c>
      <c r="S39" s="41" t="s">
        <v>96</v>
      </c>
      <c r="T39" s="41" t="s">
        <v>96</v>
      </c>
      <c r="U39" s="41">
        <v>25</v>
      </c>
      <c r="V39" s="41">
        <v>2025</v>
      </c>
      <c r="W39" s="41">
        <v>31.536000000000001</v>
      </c>
      <c r="X39" s="41"/>
    </row>
    <row r="40" spans="3:24">
      <c r="C40" s="41" t="str">
        <f t="shared" ref="C40:C54" si="3">C39</f>
        <v>S_CCUS_P2GU_LowAF</v>
      </c>
      <c r="D40" s="41"/>
      <c r="E40" s="41" t="s">
        <v>154</v>
      </c>
      <c r="F40" s="41"/>
      <c r="G40" s="41">
        <v>1.3333333333333333</v>
      </c>
      <c r="H40" s="41">
        <v>1.2820512820512819</v>
      </c>
      <c r="I40" s="41">
        <v>1.2345679012345678</v>
      </c>
      <c r="J40" s="41">
        <v>1.2164419074207937</v>
      </c>
      <c r="K40" s="41"/>
      <c r="L40" s="41"/>
      <c r="M40" s="41"/>
      <c r="N40" s="97"/>
      <c r="O40" s="41"/>
      <c r="P40" s="41"/>
      <c r="Q40" s="41"/>
      <c r="R40" s="41"/>
      <c r="S40" s="41"/>
      <c r="T40" s="41"/>
      <c r="U40" s="41"/>
      <c r="V40" s="41"/>
      <c r="W40" s="41"/>
      <c r="X40" s="41"/>
    </row>
    <row r="41" spans="3:24">
      <c r="C41" s="41" t="str">
        <f t="shared" si="3"/>
        <v>S_CCUS_P2GU_LowAF</v>
      </c>
      <c r="D41" s="41"/>
      <c r="E41" s="41"/>
      <c r="F41" s="41" t="s">
        <v>172</v>
      </c>
      <c r="G41" s="41"/>
      <c r="H41" s="41"/>
      <c r="I41" s="41"/>
      <c r="J41" s="41"/>
      <c r="K41" s="41">
        <v>1</v>
      </c>
      <c r="L41" s="41">
        <v>1</v>
      </c>
      <c r="M41" s="41">
        <v>1</v>
      </c>
      <c r="N41" s="97"/>
      <c r="O41" s="41"/>
      <c r="P41" s="41"/>
      <c r="Q41" s="41"/>
      <c r="R41" s="41"/>
      <c r="S41" s="41"/>
      <c r="T41" s="41"/>
      <c r="U41" s="41"/>
      <c r="V41" s="41"/>
      <c r="W41" s="41"/>
      <c r="X41" s="41"/>
    </row>
    <row r="42" spans="3:24">
      <c r="C42" s="41" t="str">
        <f t="shared" si="3"/>
        <v>S_CCUS_P2GU_LowAF</v>
      </c>
      <c r="D42" s="41"/>
      <c r="E42" s="41"/>
      <c r="F42" s="41" t="s">
        <v>192</v>
      </c>
      <c r="G42" s="41"/>
      <c r="H42" s="41"/>
      <c r="I42" s="41"/>
      <c r="J42" s="41"/>
      <c r="K42" s="41">
        <v>0</v>
      </c>
      <c r="L42" s="41">
        <v>0</v>
      </c>
      <c r="M42" s="41">
        <v>1E-4</v>
      </c>
      <c r="N42" s="97"/>
      <c r="O42" s="41"/>
      <c r="P42" s="41"/>
      <c r="Q42" s="41"/>
      <c r="R42" s="41"/>
      <c r="S42" s="41"/>
      <c r="T42" s="41"/>
      <c r="U42" s="41"/>
      <c r="V42" s="41"/>
      <c r="W42" s="41"/>
      <c r="X42" s="41"/>
    </row>
    <row r="43" spans="3:24">
      <c r="C43" s="44" t="str">
        <f>D70</f>
        <v>S_CCUS_P2GT_LowAF</v>
      </c>
      <c r="D43" s="44" t="str">
        <f>E70</f>
        <v>Methanation - Centralized Tank storage - bio and atm CO2</v>
      </c>
      <c r="E43" s="44" t="s">
        <v>327</v>
      </c>
      <c r="F43" s="44"/>
      <c r="G43" s="44">
        <v>54.839594187003023</v>
      </c>
      <c r="H43" s="44">
        <v>54.839594187003023</v>
      </c>
      <c r="I43" s="44">
        <v>54.839594187003023</v>
      </c>
      <c r="J43" s="44">
        <v>54.839594187003023</v>
      </c>
      <c r="K43" s="44"/>
      <c r="L43" s="44"/>
      <c r="M43" s="44"/>
      <c r="N43" s="98">
        <v>0.25</v>
      </c>
      <c r="O43" s="44"/>
      <c r="P43" s="44">
        <v>0.02</v>
      </c>
      <c r="Q43" s="44"/>
      <c r="R43" s="44" t="s">
        <v>96</v>
      </c>
      <c r="S43" s="44" t="s">
        <v>96</v>
      </c>
      <c r="T43" s="44" t="s">
        <v>96</v>
      </c>
      <c r="U43" s="44">
        <v>25</v>
      </c>
      <c r="V43" s="41">
        <v>2025</v>
      </c>
      <c r="W43" s="44">
        <v>31.536000000000001</v>
      </c>
      <c r="X43" s="41"/>
    </row>
    <row r="44" spans="3:24">
      <c r="C44" s="41" t="str">
        <f t="shared" si="3"/>
        <v>S_CCUS_P2GT_LowAF</v>
      </c>
      <c r="D44" s="44"/>
      <c r="E44" s="44" t="s">
        <v>114</v>
      </c>
      <c r="F44" s="44"/>
      <c r="G44" s="44">
        <v>1.3333333333333333</v>
      </c>
      <c r="H44" s="44">
        <v>1.2820512820512819</v>
      </c>
      <c r="I44" s="44">
        <v>1.2345679012345678</v>
      </c>
      <c r="J44" s="44">
        <v>1.2164419074207937</v>
      </c>
      <c r="K44" s="44"/>
      <c r="L44" s="44"/>
      <c r="M44" s="44"/>
      <c r="N44" s="98"/>
      <c r="O44" s="44"/>
      <c r="P44" s="44"/>
      <c r="Q44" s="44"/>
      <c r="R44" s="44"/>
      <c r="S44" s="44"/>
      <c r="T44" s="44"/>
      <c r="U44" s="44"/>
      <c r="V44" s="44"/>
      <c r="W44" s="44"/>
      <c r="X44" s="41"/>
    </row>
    <row r="45" spans="3:24">
      <c r="C45" s="41" t="str">
        <f t="shared" si="3"/>
        <v>S_CCUS_P2GT_LowAF</v>
      </c>
      <c r="D45" s="44"/>
      <c r="E45" s="44"/>
      <c r="F45" s="44" t="s">
        <v>172</v>
      </c>
      <c r="G45" s="44"/>
      <c r="H45" s="44"/>
      <c r="I45" s="44"/>
      <c r="J45" s="44"/>
      <c r="K45" s="44">
        <v>1</v>
      </c>
      <c r="L45" s="44">
        <v>1</v>
      </c>
      <c r="M45" s="44">
        <v>1</v>
      </c>
      <c r="N45" s="98"/>
      <c r="O45" s="44"/>
      <c r="P45" s="44"/>
      <c r="Q45" s="44"/>
      <c r="R45" s="44"/>
      <c r="S45" s="44"/>
      <c r="T45" s="44"/>
      <c r="U45" s="44"/>
      <c r="V45" s="44"/>
      <c r="W45" s="44"/>
      <c r="X45" s="41"/>
    </row>
    <row r="46" spans="3:24">
      <c r="C46" s="41" t="str">
        <f t="shared" si="3"/>
        <v>S_CCUS_P2GT_LowAF</v>
      </c>
      <c r="D46" s="42"/>
      <c r="E46" s="42"/>
      <c r="F46" s="42" t="s">
        <v>192</v>
      </c>
      <c r="G46" s="42"/>
      <c r="H46" s="42"/>
      <c r="I46" s="42"/>
      <c r="J46" s="42"/>
      <c r="K46" s="42">
        <v>0</v>
      </c>
      <c r="L46" s="42">
        <v>0</v>
      </c>
      <c r="M46" s="42">
        <v>1E-4</v>
      </c>
      <c r="N46" s="99"/>
      <c r="O46" s="42"/>
      <c r="P46" s="42"/>
      <c r="Q46" s="42"/>
      <c r="R46" s="42"/>
      <c r="S46" s="42"/>
      <c r="T46" s="42"/>
      <c r="U46" s="42"/>
      <c r="V46" s="42"/>
      <c r="W46" s="42"/>
      <c r="X46" s="41"/>
    </row>
    <row r="47" spans="3:24">
      <c r="C47" s="46" t="s">
        <v>363</v>
      </c>
      <c r="D47" s="46" t="str">
        <f>E71</f>
        <v>Methanation - Centralized Underground storage - fossil CO2</v>
      </c>
      <c r="E47" s="46" t="s">
        <v>326</v>
      </c>
      <c r="F47" s="46"/>
      <c r="G47" s="46">
        <v>54.839594187003023</v>
      </c>
      <c r="H47" s="46">
        <v>54.839594187003023</v>
      </c>
      <c r="I47" s="46">
        <v>54.839594187003023</v>
      </c>
      <c r="J47" s="46">
        <v>54.839594187003023</v>
      </c>
      <c r="K47" s="46"/>
      <c r="L47" s="46"/>
      <c r="M47" s="46"/>
      <c r="N47" s="100">
        <v>0.25</v>
      </c>
      <c r="O47" s="46">
        <v>0.02</v>
      </c>
      <c r="P47" s="46"/>
      <c r="Q47" s="46"/>
      <c r="R47" s="46" t="s">
        <v>96</v>
      </c>
      <c r="S47" s="46" t="s">
        <v>96</v>
      </c>
      <c r="T47" s="46" t="s">
        <v>96</v>
      </c>
      <c r="U47" s="46">
        <v>25</v>
      </c>
      <c r="V47" s="46">
        <v>2025</v>
      </c>
      <c r="W47" s="46">
        <v>31.536000000000001</v>
      </c>
      <c r="X47" s="93"/>
    </row>
    <row r="48" spans="3:24">
      <c r="C48" s="46" t="str">
        <f t="shared" si="3"/>
        <v>S_CCUS_P2GU_FOS_LowAF</v>
      </c>
      <c r="D48" s="46"/>
      <c r="E48" s="46" t="s">
        <v>154</v>
      </c>
      <c r="F48" s="46"/>
      <c r="G48" s="46">
        <v>1.3333333333333333</v>
      </c>
      <c r="H48" s="46">
        <v>1.2820512820512819</v>
      </c>
      <c r="I48" s="46">
        <v>1.2345679012345678</v>
      </c>
      <c r="J48" s="46">
        <v>1.2164419074207937</v>
      </c>
      <c r="K48" s="46"/>
      <c r="L48" s="46"/>
      <c r="M48" s="46"/>
      <c r="N48" s="100"/>
      <c r="O48" s="46"/>
      <c r="P48" s="46"/>
      <c r="Q48" s="46"/>
      <c r="R48" s="46"/>
      <c r="S48" s="46"/>
      <c r="T48" s="46"/>
      <c r="U48" s="46"/>
      <c r="V48" s="46"/>
      <c r="W48" s="46"/>
      <c r="X48" s="93"/>
    </row>
    <row r="49" spans="1:24">
      <c r="C49" s="46" t="str">
        <f t="shared" si="3"/>
        <v>S_CCUS_P2GU_FOS_LowAF</v>
      </c>
      <c r="D49" s="46"/>
      <c r="E49" s="46"/>
      <c r="F49" s="46" t="s">
        <v>346</v>
      </c>
      <c r="G49" s="46"/>
      <c r="H49" s="46"/>
      <c r="I49" s="46"/>
      <c r="J49" s="46"/>
      <c r="K49" s="46">
        <v>1</v>
      </c>
      <c r="L49" s="46">
        <v>1</v>
      </c>
      <c r="M49" s="46">
        <v>1</v>
      </c>
      <c r="N49" s="100"/>
      <c r="O49" s="46"/>
      <c r="P49" s="46"/>
      <c r="Q49" s="46"/>
      <c r="R49" s="46"/>
      <c r="S49" s="46"/>
      <c r="T49" s="46"/>
      <c r="U49" s="46"/>
      <c r="V49" s="46"/>
      <c r="W49" s="46"/>
      <c r="X49" s="93"/>
    </row>
    <row r="50" spans="1:24">
      <c r="C50" s="46" t="str">
        <f t="shared" si="3"/>
        <v>S_CCUS_P2GU_FOS_LowAF</v>
      </c>
      <c r="D50" s="46"/>
      <c r="E50" s="46"/>
      <c r="F50" s="46" t="s">
        <v>192</v>
      </c>
      <c r="G50" s="46"/>
      <c r="H50" s="46"/>
      <c r="I50" s="46"/>
      <c r="J50" s="46"/>
      <c r="K50" s="46">
        <v>0</v>
      </c>
      <c r="L50" s="46">
        <v>0</v>
      </c>
      <c r="M50" s="46">
        <v>1E-4</v>
      </c>
      <c r="N50" s="100"/>
      <c r="O50" s="46"/>
      <c r="P50" s="46"/>
      <c r="Q50" s="46"/>
      <c r="R50" s="46"/>
      <c r="S50" s="46"/>
      <c r="T50" s="46"/>
      <c r="U50" s="46"/>
      <c r="V50" s="46"/>
      <c r="W50" s="46"/>
      <c r="X50" s="93"/>
    </row>
    <row r="51" spans="1:24">
      <c r="C51" s="46" t="s">
        <v>364</v>
      </c>
      <c r="D51" s="46" t="str">
        <f>E72</f>
        <v>Methanation - Centralized Tank storage - fossil CO2</v>
      </c>
      <c r="E51" s="46" t="s">
        <v>326</v>
      </c>
      <c r="F51" s="46"/>
      <c r="G51" s="46">
        <v>54.839594187003023</v>
      </c>
      <c r="H51" s="46">
        <v>54.839594187003023</v>
      </c>
      <c r="I51" s="46">
        <v>54.839594187003023</v>
      </c>
      <c r="J51" s="46">
        <v>54.839594187003023</v>
      </c>
      <c r="K51" s="46"/>
      <c r="L51" s="46"/>
      <c r="M51" s="46"/>
      <c r="N51" s="100">
        <v>0.25</v>
      </c>
      <c r="O51" s="46">
        <v>0.02</v>
      </c>
      <c r="P51" s="46"/>
      <c r="Q51" s="46"/>
      <c r="R51" s="46" t="s">
        <v>96</v>
      </c>
      <c r="S51" s="46" t="s">
        <v>96</v>
      </c>
      <c r="T51" s="46" t="s">
        <v>96</v>
      </c>
      <c r="U51" s="46">
        <v>25</v>
      </c>
      <c r="V51" s="46">
        <v>2025</v>
      </c>
      <c r="W51" s="46">
        <v>31.536000000000001</v>
      </c>
      <c r="X51" s="93"/>
    </row>
    <row r="52" spans="1:24">
      <c r="C52" s="46" t="str">
        <f t="shared" si="3"/>
        <v>S_CCUS_P2GT_FOS_LowAF</v>
      </c>
      <c r="D52" s="46"/>
      <c r="E52" s="46" t="s">
        <v>114</v>
      </c>
      <c r="F52" s="46"/>
      <c r="G52" s="46">
        <v>1.3333333333333333</v>
      </c>
      <c r="H52" s="46">
        <v>1.2820512820512819</v>
      </c>
      <c r="I52" s="46">
        <v>1.2345679012345678</v>
      </c>
      <c r="J52" s="46">
        <v>1.2164419074207937</v>
      </c>
      <c r="K52" s="46"/>
      <c r="L52" s="46"/>
      <c r="M52" s="46"/>
      <c r="N52" s="100"/>
      <c r="O52" s="46"/>
      <c r="P52" s="46"/>
      <c r="Q52" s="46"/>
      <c r="R52" s="46"/>
      <c r="S52" s="46"/>
      <c r="T52" s="46"/>
      <c r="U52" s="46"/>
      <c r="V52" s="46"/>
      <c r="W52" s="46"/>
      <c r="X52" s="93"/>
    </row>
    <row r="53" spans="1:24">
      <c r="C53" s="46" t="str">
        <f t="shared" si="3"/>
        <v>S_CCUS_P2GT_FOS_LowAF</v>
      </c>
      <c r="D53" s="46"/>
      <c r="E53" s="46"/>
      <c r="F53" s="46" t="s">
        <v>346</v>
      </c>
      <c r="G53" s="46"/>
      <c r="H53" s="46"/>
      <c r="I53" s="46"/>
      <c r="J53" s="46"/>
      <c r="K53" s="46">
        <v>1</v>
      </c>
      <c r="L53" s="46">
        <v>1</v>
      </c>
      <c r="M53" s="46">
        <v>1</v>
      </c>
      <c r="N53" s="100"/>
      <c r="O53" s="46"/>
      <c r="P53" s="46"/>
      <c r="Q53" s="46"/>
      <c r="R53" s="46"/>
      <c r="S53" s="46"/>
      <c r="T53" s="46"/>
      <c r="U53" s="46"/>
      <c r="V53" s="46"/>
      <c r="W53" s="46"/>
      <c r="X53" s="93"/>
    </row>
    <row r="54" spans="1:24">
      <c r="C54" s="46" t="str">
        <f t="shared" si="3"/>
        <v>S_CCUS_P2GT_FOS_LowAF</v>
      </c>
      <c r="D54" s="93"/>
      <c r="E54" s="93"/>
      <c r="F54" s="93" t="s">
        <v>192</v>
      </c>
      <c r="G54" s="93"/>
      <c r="H54" s="93"/>
      <c r="I54" s="93"/>
      <c r="J54" s="93"/>
      <c r="K54" s="93">
        <v>0</v>
      </c>
      <c r="L54" s="93">
        <v>0</v>
      </c>
      <c r="M54" s="93">
        <v>1E-4</v>
      </c>
      <c r="N54" s="93"/>
      <c r="O54" s="93"/>
      <c r="P54" s="93"/>
      <c r="Q54" s="93"/>
      <c r="R54" s="93"/>
      <c r="S54" s="93"/>
      <c r="T54" s="93"/>
      <c r="U54" s="93"/>
      <c r="V54" s="93"/>
      <c r="W54" s="93"/>
      <c r="X54" s="93"/>
    </row>
    <row r="56" spans="1:24" ht="15">
      <c r="C56" s="11" t="s">
        <v>16</v>
      </c>
      <c r="D56" s="15"/>
      <c r="E56" s="15"/>
      <c r="F56" s="15"/>
      <c r="G56" s="15"/>
      <c r="H56" s="15"/>
      <c r="I56" s="15"/>
      <c r="J56" s="15"/>
    </row>
    <row r="57" spans="1:24" ht="15.75" thickBot="1">
      <c r="C57" s="13" t="s">
        <v>15</v>
      </c>
      <c r="D57" s="13" t="s">
        <v>0</v>
      </c>
      <c r="E57" s="13" t="s">
        <v>157</v>
      </c>
      <c r="F57" s="13" t="s">
        <v>17</v>
      </c>
      <c r="G57" s="13" t="s">
        <v>18</v>
      </c>
      <c r="H57" s="13" t="s">
        <v>19</v>
      </c>
      <c r="I57" s="13" t="s">
        <v>20</v>
      </c>
      <c r="J57" s="13" t="s">
        <v>21</v>
      </c>
    </row>
    <row r="58" spans="1:24" ht="38.25">
      <c r="C58" s="14" t="s">
        <v>30</v>
      </c>
      <c r="D58" s="14" t="s">
        <v>31</v>
      </c>
      <c r="E58" s="14" t="s">
        <v>32</v>
      </c>
      <c r="F58" s="14" t="s">
        <v>33</v>
      </c>
      <c r="G58" s="14" t="s">
        <v>34</v>
      </c>
      <c r="H58" s="14" t="s">
        <v>35</v>
      </c>
      <c r="I58" s="14" t="s">
        <v>36</v>
      </c>
      <c r="J58" s="14" t="s">
        <v>37</v>
      </c>
    </row>
    <row r="59" spans="1:24">
      <c r="A59" s="1" t="s">
        <v>362</v>
      </c>
      <c r="C59" s="49" t="s">
        <v>57</v>
      </c>
      <c r="D59" s="49" t="s">
        <v>178</v>
      </c>
      <c r="E59" s="49" t="s">
        <v>338</v>
      </c>
      <c r="F59" s="49" t="s">
        <v>58</v>
      </c>
      <c r="G59" s="49" t="s">
        <v>107</v>
      </c>
      <c r="H59" s="49" t="s">
        <v>74</v>
      </c>
      <c r="I59" s="49"/>
      <c r="J59" s="49"/>
    </row>
    <row r="60" spans="1:24">
      <c r="A60" s="1" t="s">
        <v>362</v>
      </c>
      <c r="C60" s="49" t="s">
        <v>57</v>
      </c>
      <c r="D60" s="49" t="s">
        <v>179</v>
      </c>
      <c r="E60" s="49" t="s">
        <v>337</v>
      </c>
      <c r="F60" s="49" t="s">
        <v>58</v>
      </c>
      <c r="G60" s="49" t="s">
        <v>107</v>
      </c>
      <c r="H60" s="49" t="s">
        <v>74</v>
      </c>
      <c r="I60" s="49"/>
      <c r="J60" s="49"/>
    </row>
    <row r="61" spans="1:24">
      <c r="A61" s="1" t="s">
        <v>362</v>
      </c>
      <c r="C61" s="49" t="s">
        <v>57</v>
      </c>
      <c r="D61" s="49" t="s">
        <v>180</v>
      </c>
      <c r="E61" s="49" t="s">
        <v>336</v>
      </c>
      <c r="F61" s="49" t="s">
        <v>58</v>
      </c>
      <c r="G61" s="49" t="s">
        <v>107</v>
      </c>
      <c r="H61" s="49" t="s">
        <v>74</v>
      </c>
      <c r="I61" s="49"/>
      <c r="J61" s="49"/>
    </row>
    <row r="62" spans="1:24">
      <c r="A62" s="1" t="s">
        <v>341</v>
      </c>
      <c r="C62" s="48" t="s">
        <v>57</v>
      </c>
      <c r="D62" s="48" t="s">
        <v>181</v>
      </c>
      <c r="E62" s="48" t="s">
        <v>59</v>
      </c>
      <c r="F62" s="48" t="s">
        <v>58</v>
      </c>
      <c r="G62" s="48" t="s">
        <v>107</v>
      </c>
      <c r="H62" s="48" t="s">
        <v>74</v>
      </c>
      <c r="I62" s="48"/>
      <c r="J62" s="48"/>
    </row>
    <row r="63" spans="1:24">
      <c r="A63" s="1" t="s">
        <v>361</v>
      </c>
      <c r="C63" s="47" t="s">
        <v>57</v>
      </c>
      <c r="D63" s="47" t="s">
        <v>358</v>
      </c>
      <c r="E63" s="47" t="s">
        <v>333</v>
      </c>
      <c r="F63" s="47" t="s">
        <v>58</v>
      </c>
      <c r="G63" s="47" t="s">
        <v>107</v>
      </c>
      <c r="H63" s="47" t="s">
        <v>74</v>
      </c>
      <c r="I63" s="47"/>
      <c r="J63" s="47"/>
    </row>
    <row r="64" spans="1:24">
      <c r="A64" s="1" t="s">
        <v>361</v>
      </c>
      <c r="C64" s="47" t="s">
        <v>57</v>
      </c>
      <c r="D64" s="47" t="s">
        <v>359</v>
      </c>
      <c r="E64" s="47" t="s">
        <v>334</v>
      </c>
      <c r="F64" s="47" t="s">
        <v>58</v>
      </c>
      <c r="G64" s="47" t="s">
        <v>107</v>
      </c>
      <c r="H64" s="47" t="s">
        <v>74</v>
      </c>
      <c r="I64" s="47"/>
      <c r="J64" s="47"/>
    </row>
    <row r="65" spans="1:15">
      <c r="A65" s="1" t="s">
        <v>361</v>
      </c>
      <c r="C65" s="47" t="s">
        <v>57</v>
      </c>
      <c r="D65" s="47" t="s">
        <v>360</v>
      </c>
      <c r="E65" s="47" t="s">
        <v>335</v>
      </c>
      <c r="F65" s="47" t="s">
        <v>58</v>
      </c>
      <c r="G65" s="47" t="s">
        <v>107</v>
      </c>
      <c r="H65" s="47" t="s">
        <v>74</v>
      </c>
      <c r="I65" s="47"/>
      <c r="J65" s="47"/>
    </row>
    <row r="66" spans="1:15">
      <c r="A66" s="1" t="s">
        <v>341</v>
      </c>
      <c r="C66" s="95" t="s">
        <v>57</v>
      </c>
      <c r="D66" s="95" t="s">
        <v>182</v>
      </c>
      <c r="E66" s="95" t="s">
        <v>165</v>
      </c>
      <c r="F66" s="95" t="s">
        <v>166</v>
      </c>
      <c r="G66" s="95" t="s">
        <v>167</v>
      </c>
      <c r="H66" s="95" t="s">
        <v>74</v>
      </c>
      <c r="I66" s="95" t="str">
        <f>F31</f>
        <v>INDSCO2N</v>
      </c>
      <c r="J66" s="95"/>
    </row>
    <row r="67" spans="1:15">
      <c r="A67" s="1" t="s">
        <v>341</v>
      </c>
      <c r="C67" s="95" t="s">
        <v>57</v>
      </c>
      <c r="D67" s="95" t="s">
        <v>200</v>
      </c>
      <c r="E67" s="95" t="s">
        <v>165</v>
      </c>
      <c r="F67" s="95" t="s">
        <v>166</v>
      </c>
      <c r="G67" s="95" t="s">
        <v>167</v>
      </c>
      <c r="H67" s="95" t="s">
        <v>74</v>
      </c>
      <c r="I67" s="95" t="str">
        <f>I66</f>
        <v>INDSCO2N</v>
      </c>
      <c r="J67" s="95"/>
    </row>
    <row r="68" spans="1:15">
      <c r="A68" s="1" t="s">
        <v>341</v>
      </c>
      <c r="C68" s="95" t="s">
        <v>57</v>
      </c>
      <c r="D68" s="95" t="s">
        <v>271</v>
      </c>
      <c r="E68" s="16" t="s">
        <v>248</v>
      </c>
      <c r="F68" s="95" t="s">
        <v>166</v>
      </c>
      <c r="G68" s="95" t="s">
        <v>167</v>
      </c>
      <c r="H68" s="95" t="s">
        <v>74</v>
      </c>
      <c r="I68" s="95" t="str">
        <f>I67</f>
        <v>INDSCO2N</v>
      </c>
      <c r="J68" s="16"/>
    </row>
    <row r="69" spans="1:15">
      <c r="A69" s="1" t="s">
        <v>362</v>
      </c>
      <c r="C69" s="49" t="s">
        <v>57</v>
      </c>
      <c r="D69" s="49" t="s">
        <v>183</v>
      </c>
      <c r="E69" s="49" t="s">
        <v>349</v>
      </c>
      <c r="F69" s="49" t="s">
        <v>58</v>
      </c>
      <c r="G69" s="49" t="s">
        <v>107</v>
      </c>
      <c r="H69" s="49" t="s">
        <v>74</v>
      </c>
      <c r="I69" s="49" t="s">
        <v>172</v>
      </c>
      <c r="J69" s="49"/>
    </row>
    <row r="70" spans="1:15">
      <c r="A70" s="1" t="s">
        <v>362</v>
      </c>
      <c r="C70" s="101" t="s">
        <v>57</v>
      </c>
      <c r="D70" s="101" t="s">
        <v>184</v>
      </c>
      <c r="E70" s="101" t="s">
        <v>350</v>
      </c>
      <c r="F70" s="101" t="s">
        <v>58</v>
      </c>
      <c r="G70" s="101" t="s">
        <v>107</v>
      </c>
      <c r="H70" s="101" t="s">
        <v>74</v>
      </c>
      <c r="I70" s="101" t="s">
        <v>172</v>
      </c>
      <c r="J70" s="101"/>
    </row>
    <row r="71" spans="1:15">
      <c r="A71" s="1" t="s">
        <v>361</v>
      </c>
      <c r="C71" s="46" t="s">
        <v>57</v>
      </c>
      <c r="D71" s="46" t="s">
        <v>363</v>
      </c>
      <c r="E71" s="46" t="s">
        <v>347</v>
      </c>
      <c r="F71" s="46" t="s">
        <v>58</v>
      </c>
      <c r="G71" s="46" t="s">
        <v>107</v>
      </c>
      <c r="H71" s="46" t="s">
        <v>74</v>
      </c>
      <c r="I71" s="46" t="s">
        <v>346</v>
      </c>
      <c r="J71" s="46"/>
    </row>
    <row r="72" spans="1:15">
      <c r="A72" s="1" t="s">
        <v>361</v>
      </c>
      <c r="C72" s="46" t="s">
        <v>57</v>
      </c>
      <c r="D72" s="46" t="s">
        <v>364</v>
      </c>
      <c r="E72" s="46" t="s">
        <v>348</v>
      </c>
      <c r="F72" s="46" t="s">
        <v>58</v>
      </c>
      <c r="G72" s="46" t="s">
        <v>107</v>
      </c>
      <c r="H72" s="46" t="s">
        <v>74</v>
      </c>
      <c r="I72" s="46" t="s">
        <v>346</v>
      </c>
      <c r="J72" s="46"/>
    </row>
    <row r="77" spans="1:15">
      <c r="O77" s="1" t="s">
        <v>112</v>
      </c>
    </row>
    <row r="78" spans="1:15">
      <c r="D78" s="1" t="s">
        <v>49</v>
      </c>
      <c r="E78" s="1" t="s">
        <v>50</v>
      </c>
      <c r="F78" s="7">
        <f>12+2*16</f>
        <v>44</v>
      </c>
      <c r="G78" s="1" t="s">
        <v>52</v>
      </c>
      <c r="I78" s="1" t="s">
        <v>68</v>
      </c>
      <c r="O78" s="1">
        <v>2</v>
      </c>
    </row>
    <row r="79" spans="1:15">
      <c r="E79" s="1" t="s">
        <v>51</v>
      </c>
      <c r="F79" s="7">
        <v>12</v>
      </c>
      <c r="J79" s="1">
        <v>30</v>
      </c>
      <c r="K79" s="1" t="s">
        <v>69</v>
      </c>
      <c r="L79" s="1">
        <f>1/0.5</f>
        <v>2</v>
      </c>
    </row>
    <row r="80" spans="1:15">
      <c r="E80" s="1" t="s">
        <v>98</v>
      </c>
      <c r="F80" s="7">
        <f>F79/F78</f>
        <v>0.27272727272727271</v>
      </c>
      <c r="G80" s="1" t="s">
        <v>103</v>
      </c>
      <c r="J80" s="1">
        <f>J79*3.6</f>
        <v>108</v>
      </c>
      <c r="K80" s="1" t="s">
        <v>70</v>
      </c>
    </row>
    <row r="81" spans="3:11">
      <c r="F81" s="7"/>
    </row>
    <row r="82" spans="3:11">
      <c r="E82" s="1" t="s">
        <v>99</v>
      </c>
      <c r="F82" s="7">
        <v>0.86</v>
      </c>
      <c r="G82" s="1" t="s">
        <v>102</v>
      </c>
      <c r="I82" s="1" t="s">
        <v>71</v>
      </c>
    </row>
    <row r="83" spans="3:11">
      <c r="F83" s="7"/>
      <c r="J83" s="1">
        <v>25</v>
      </c>
      <c r="K83" s="1" t="s">
        <v>69</v>
      </c>
    </row>
    <row r="84" spans="3:11">
      <c r="E84" s="1" t="s">
        <v>100</v>
      </c>
      <c r="F84" s="7">
        <f>F82/F80</f>
        <v>3.1533333333333333</v>
      </c>
      <c r="G84" s="1" t="s">
        <v>101</v>
      </c>
    </row>
    <row r="85" spans="3:11">
      <c r="E85" s="1" t="s">
        <v>104</v>
      </c>
      <c r="F85" s="7">
        <f>43*73/1000</f>
        <v>3.1389999999999998</v>
      </c>
      <c r="G85" s="1" t="s">
        <v>105</v>
      </c>
      <c r="I85" s="1" t="s">
        <v>108</v>
      </c>
    </row>
    <row r="86" spans="3:11">
      <c r="I86" s="1" t="s">
        <v>110</v>
      </c>
      <c r="J86" s="1">
        <f>(L79*J79-J83)*L10/1000</f>
        <v>4.7297297297297302E-4</v>
      </c>
      <c r="K86" s="1" t="s">
        <v>62</v>
      </c>
    </row>
    <row r="87" spans="3:11">
      <c r="F87" s="1" t="s">
        <v>53</v>
      </c>
      <c r="I87" s="1" t="s">
        <v>109</v>
      </c>
      <c r="J87" s="1" t="e">
        <f>PMT(0.1,R9,-#REF!/S9,0,0)*L10/1000</f>
        <v>#REF!</v>
      </c>
      <c r="K87" s="1" t="s">
        <v>62</v>
      </c>
    </row>
    <row r="88" spans="3:11">
      <c r="F88" s="1">
        <v>43</v>
      </c>
      <c r="G88" s="1" t="s">
        <v>106</v>
      </c>
    </row>
    <row r="89" spans="3:11">
      <c r="F89" s="1">
        <f>F88/F84</f>
        <v>13.636363636363637</v>
      </c>
      <c r="G89" s="1" t="s">
        <v>54</v>
      </c>
    </row>
    <row r="90" spans="3:11">
      <c r="F90" s="1">
        <f>F89</f>
        <v>13.636363636363637</v>
      </c>
      <c r="G90" s="1" t="s">
        <v>72</v>
      </c>
    </row>
    <row r="91" spans="3:11">
      <c r="F91" s="1">
        <f>F89</f>
        <v>13.636363636363637</v>
      </c>
      <c r="G91" s="1" t="s">
        <v>55</v>
      </c>
    </row>
    <row r="92" spans="3:11">
      <c r="F92" s="1">
        <f>F91/1000</f>
        <v>1.3636363636363637E-2</v>
      </c>
      <c r="G92" s="1" t="s">
        <v>56</v>
      </c>
    </row>
    <row r="93" spans="3:11">
      <c r="F93" s="1">
        <f>1/F92</f>
        <v>73.333333333333329</v>
      </c>
      <c r="G93" s="1" t="s">
        <v>111</v>
      </c>
    </row>
    <row r="94" spans="3:11" ht="15">
      <c r="C94" s="2" t="s">
        <v>171</v>
      </c>
    </row>
    <row r="95" spans="3:11" ht="15.75" thickBot="1">
      <c r="C95" s="3" t="s">
        <v>7</v>
      </c>
      <c r="D95" s="3" t="s">
        <v>5</v>
      </c>
      <c r="E95" s="3" t="s">
        <v>8</v>
      </c>
      <c r="F95" s="3" t="s">
        <v>9</v>
      </c>
      <c r="G95" s="3" t="s">
        <v>10</v>
      </c>
      <c r="H95" s="3" t="s">
        <v>11</v>
      </c>
      <c r="I95" s="3" t="s">
        <v>12</v>
      </c>
      <c r="J95" s="3" t="s">
        <v>13</v>
      </c>
    </row>
    <row r="96" spans="3:11" ht="25.5">
      <c r="C96" s="4" t="s">
        <v>23</v>
      </c>
      <c r="D96" s="4" t="s">
        <v>24</v>
      </c>
      <c r="E96" s="4" t="s">
        <v>25</v>
      </c>
      <c r="F96" s="4" t="s">
        <v>9</v>
      </c>
      <c r="G96" s="4" t="s">
        <v>26</v>
      </c>
      <c r="H96" s="4" t="s">
        <v>27</v>
      </c>
      <c r="I96" s="4" t="s">
        <v>28</v>
      </c>
      <c r="J96" s="4" t="s">
        <v>29</v>
      </c>
    </row>
    <row r="97" spans="3:10">
      <c r="C97" s="1" t="s">
        <v>61</v>
      </c>
      <c r="D97" s="1" t="str">
        <f>H9</f>
        <v>P2LKER</v>
      </c>
      <c r="E97" s="1" t="s">
        <v>149</v>
      </c>
      <c r="F97" s="1" t="s">
        <v>58</v>
      </c>
    </row>
    <row r="98" spans="3:10">
      <c r="C98" s="1" t="s">
        <v>61</v>
      </c>
      <c r="D98" s="1" t="str">
        <f>H10</f>
        <v>P2LDST</v>
      </c>
      <c r="E98" s="1" t="s">
        <v>60</v>
      </c>
      <c r="F98" s="1" t="s">
        <v>58</v>
      </c>
    </row>
    <row r="99" spans="3:10">
      <c r="C99" s="1" t="s">
        <v>76</v>
      </c>
      <c r="D99" s="1" t="s">
        <v>48</v>
      </c>
      <c r="E99" s="1" t="s">
        <v>77</v>
      </c>
      <c r="F99" s="1" t="s">
        <v>78</v>
      </c>
      <c r="G99" s="1" t="s">
        <v>79</v>
      </c>
    </row>
    <row r="100" spans="3:10">
      <c r="C100" s="1" t="s">
        <v>76</v>
      </c>
      <c r="D100" s="1" t="s">
        <v>66</v>
      </c>
      <c r="E100" s="1" t="s">
        <v>80</v>
      </c>
      <c r="F100" s="1" t="s">
        <v>78</v>
      </c>
      <c r="G100" s="1" t="s">
        <v>79</v>
      </c>
    </row>
    <row r="101" spans="3:10">
      <c r="C101" s="5" t="s">
        <v>61</v>
      </c>
      <c r="D101" s="5" t="str">
        <f>F11</f>
        <v>SYNH2CT</v>
      </c>
      <c r="E101" s="5" t="s">
        <v>118</v>
      </c>
      <c r="F101" s="5" t="s">
        <v>58</v>
      </c>
      <c r="G101" s="5"/>
      <c r="H101" s="5" t="s">
        <v>74</v>
      </c>
      <c r="I101" s="5"/>
      <c r="J101" s="5"/>
    </row>
    <row r="102" spans="3:10">
      <c r="C102" s="6" t="s">
        <v>61</v>
      </c>
      <c r="D102" s="6" t="s">
        <v>147</v>
      </c>
      <c r="E102" s="6" t="s">
        <v>148</v>
      </c>
      <c r="F102" s="6"/>
      <c r="G102" s="6"/>
      <c r="H102" s="6"/>
      <c r="I102" s="6"/>
      <c r="J102" s="6"/>
    </row>
  </sheetData>
  <pageMargins left="0.75" right="0.75" top="1" bottom="1" header="0.5" footer="0.5"/>
  <pageSetup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C58"/>
  <sheetViews>
    <sheetView zoomScale="70" zoomScaleNormal="70" workbookViewId="0">
      <selection activeCell="F13" sqref="F13"/>
    </sheetView>
  </sheetViews>
  <sheetFormatPr defaultColWidth="8.85546875" defaultRowHeight="12.75"/>
  <cols>
    <col min="1" max="1" width="8.85546875" style="1"/>
    <col min="2" max="2" width="2.85546875" style="1" customWidth="1"/>
    <col min="3" max="3" width="37" style="1" customWidth="1"/>
    <col min="4" max="4" width="41.42578125" style="1" customWidth="1"/>
    <col min="5" max="5" width="26" style="1" customWidth="1"/>
    <col min="6" max="6" width="15.85546875" style="1" customWidth="1"/>
    <col min="7" max="7" width="18.42578125" style="1" customWidth="1"/>
    <col min="8" max="8" width="15.85546875" style="1" customWidth="1"/>
    <col min="9" max="9" width="13.42578125" style="1" bestFit="1" customWidth="1"/>
    <col min="10" max="10" width="12.140625" style="1" customWidth="1"/>
    <col min="11" max="12" width="13.140625" style="1" customWidth="1"/>
    <col min="13" max="13" width="17.7109375" style="1" customWidth="1"/>
    <col min="14" max="14" width="15.85546875" style="1" customWidth="1"/>
    <col min="15" max="15" width="14.28515625" style="1" customWidth="1"/>
    <col min="16" max="16" width="14.28515625" style="1" bestFit="1" customWidth="1"/>
    <col min="17" max="17" width="14.7109375" style="1" bestFit="1" customWidth="1"/>
    <col min="18" max="18" width="11.5703125" style="1" customWidth="1"/>
    <col min="19" max="19" width="13" style="1" customWidth="1"/>
    <col min="20" max="20" width="13.140625" style="1" bestFit="1" customWidth="1"/>
    <col min="21" max="23" width="8.85546875" style="1"/>
    <col min="24" max="24" width="18" style="1" customWidth="1"/>
    <col min="25" max="25" width="49" style="1" customWidth="1"/>
    <col min="26" max="26" width="16.5703125" style="1" customWidth="1"/>
    <col min="27" max="27" width="17.42578125" style="1" customWidth="1"/>
    <col min="28" max="28" width="8.85546875" style="1"/>
    <col min="29" max="29" width="23" style="1" customWidth="1"/>
    <col min="30" max="31" width="8.85546875" style="1"/>
    <col min="32" max="32" width="11.85546875" style="1" customWidth="1"/>
    <col min="33" max="16384" width="8.85546875" style="1"/>
  </cols>
  <sheetData>
    <row r="2" spans="1:29">
      <c r="C2" s="1" t="s">
        <v>47</v>
      </c>
    </row>
    <row r="4" spans="1:29">
      <c r="C4" s="1" t="s">
        <v>46</v>
      </c>
      <c r="Z4" s="1" t="s">
        <v>120</v>
      </c>
      <c r="AB4" s="1">
        <v>8000</v>
      </c>
      <c r="AC4" s="1" t="s">
        <v>121</v>
      </c>
    </row>
    <row r="5" spans="1:29">
      <c r="Z5" s="1" t="s">
        <v>122</v>
      </c>
      <c r="AB5" s="1">
        <v>441172</v>
      </c>
      <c r="AC5" s="1" t="s">
        <v>123</v>
      </c>
    </row>
    <row r="6" spans="1:29" ht="15">
      <c r="H6" s="2" t="s">
        <v>119</v>
      </c>
      <c r="Z6" s="1" t="s">
        <v>124</v>
      </c>
      <c r="AB6" s="1">
        <v>565.48173109949994</v>
      </c>
      <c r="AC6" s="1" t="s">
        <v>125</v>
      </c>
    </row>
    <row r="7" spans="1:29" ht="15.75" thickBot="1">
      <c r="C7" s="3" t="s">
        <v>0</v>
      </c>
      <c r="D7" s="3" t="s">
        <v>157</v>
      </c>
      <c r="E7" s="3" t="s">
        <v>3</v>
      </c>
      <c r="F7" s="3" t="s">
        <v>2</v>
      </c>
      <c r="G7" s="3" t="s">
        <v>22</v>
      </c>
      <c r="H7" s="3" t="s">
        <v>4</v>
      </c>
      <c r="I7" s="3" t="s">
        <v>14</v>
      </c>
      <c r="J7" s="3" t="s">
        <v>115</v>
      </c>
      <c r="K7" s="3" t="s">
        <v>116</v>
      </c>
      <c r="L7" s="3" t="s">
        <v>117</v>
      </c>
      <c r="M7" s="3" t="s">
        <v>385</v>
      </c>
      <c r="N7" s="3" t="s">
        <v>384</v>
      </c>
      <c r="O7" s="3" t="s">
        <v>81</v>
      </c>
      <c r="P7" s="3" t="s">
        <v>91</v>
      </c>
      <c r="Q7" s="3" t="s">
        <v>73</v>
      </c>
      <c r="R7" s="3" t="s">
        <v>94</v>
      </c>
      <c r="X7" s="1" t="s">
        <v>126</v>
      </c>
    </row>
    <row r="8" spans="1:29" ht="25.5">
      <c r="C8" s="4" t="s">
        <v>38</v>
      </c>
      <c r="D8" s="4" t="s">
        <v>32</v>
      </c>
      <c r="E8" s="4" t="s">
        <v>39</v>
      </c>
      <c r="F8" s="4" t="s">
        <v>40</v>
      </c>
      <c r="G8" s="4" t="s">
        <v>41</v>
      </c>
      <c r="H8" s="4" t="s">
        <v>42</v>
      </c>
      <c r="I8" s="4" t="s">
        <v>44</v>
      </c>
      <c r="J8" s="4" t="s">
        <v>43</v>
      </c>
      <c r="K8" s="4"/>
      <c r="L8" s="4"/>
      <c r="M8" s="4"/>
      <c r="N8" s="4"/>
      <c r="O8" s="4"/>
      <c r="P8" s="4" t="s">
        <v>69</v>
      </c>
      <c r="Q8" s="4" t="s">
        <v>95</v>
      </c>
      <c r="R8" s="4"/>
      <c r="X8" s="1" t="s">
        <v>127</v>
      </c>
      <c r="Z8" s="1">
        <v>11.954000000000001</v>
      </c>
      <c r="AA8" s="1" t="s">
        <v>128</v>
      </c>
      <c r="AB8" s="1" t="s">
        <v>129</v>
      </c>
    </row>
    <row r="9" spans="1:29" ht="19.899999999999999" customHeight="1">
      <c r="A9" s="40" t="s">
        <v>343</v>
      </c>
      <c r="C9" s="41" t="str">
        <f>D27</f>
        <v>S_CCUS_EMISMeOH_LowAF</v>
      </c>
      <c r="D9" s="41" t="str">
        <f>E27</f>
        <v>Supply convert bio and atm CO2 emission to Methanol LowAF</v>
      </c>
      <c r="E9" s="41"/>
      <c r="F9" s="41" t="s">
        <v>113</v>
      </c>
      <c r="G9" s="41"/>
      <c r="H9" s="41" t="s">
        <v>300</v>
      </c>
      <c r="I9" s="41">
        <v>2030</v>
      </c>
      <c r="J9" s="102">
        <f>((AB5*1000*F51)/(8000*3600))/(Z8*AB5/8000)</f>
        <v>0.4577733162307363</v>
      </c>
      <c r="K9" s="102">
        <f>0.7*K11</f>
        <v>0.57254969255776722</v>
      </c>
      <c r="L9" s="102"/>
      <c r="M9" s="41"/>
      <c r="N9" s="41">
        <v>0.02</v>
      </c>
      <c r="O9" s="41">
        <v>0.25</v>
      </c>
      <c r="P9" s="41">
        <f>SUP_Gasoline!R9</f>
        <v>0.21753497263195487</v>
      </c>
      <c r="Q9" s="41">
        <v>20</v>
      </c>
      <c r="R9" s="41">
        <v>31.536000000000001</v>
      </c>
    </row>
    <row r="10" spans="1:29" ht="19.899999999999999" customHeight="1">
      <c r="C10" s="41"/>
      <c r="D10" s="41"/>
      <c r="E10" s="41"/>
      <c r="F10" s="41" t="s">
        <v>327</v>
      </c>
      <c r="G10" s="41"/>
      <c r="H10" s="41" t="s">
        <v>201</v>
      </c>
      <c r="I10" s="41"/>
      <c r="J10" s="102"/>
      <c r="K10" s="102"/>
      <c r="L10" s="102">
        <f>1/F56</f>
        <v>1.4327272727272725E-2</v>
      </c>
      <c r="M10" s="41"/>
      <c r="N10" s="41"/>
      <c r="O10" s="41"/>
      <c r="P10" s="41"/>
      <c r="Q10" s="41"/>
      <c r="R10" s="41"/>
    </row>
    <row r="11" spans="1:29" ht="19.899999999999999" customHeight="1">
      <c r="A11" s="40" t="s">
        <v>343</v>
      </c>
      <c r="C11" s="41" t="str">
        <f>D28</f>
        <v>S_CCUS_EMISMeOH_H2_LowAF</v>
      </c>
      <c r="D11" s="41" t="str">
        <f>E28</f>
        <v>Supply convert bio and atm CO2 emission to Methanol supplied by H2 LowAF</v>
      </c>
      <c r="E11" s="41"/>
      <c r="F11" s="41" t="s">
        <v>154</v>
      </c>
      <c r="G11" s="41"/>
      <c r="H11" s="41" t="s">
        <v>300</v>
      </c>
      <c r="I11" s="41">
        <v>2030</v>
      </c>
      <c r="J11" s="102">
        <f>((AB5*1000*F51)/(8000*3600))/((Z13*1000*F58)/(8000*3600))</f>
        <v>0.81792813222538185</v>
      </c>
      <c r="K11" s="102">
        <f>J11</f>
        <v>0.81792813222538185</v>
      </c>
      <c r="L11" s="102"/>
      <c r="M11" s="41"/>
      <c r="N11" s="41">
        <v>0.02</v>
      </c>
      <c r="O11" s="41">
        <f>+O9</f>
        <v>0.25</v>
      </c>
      <c r="P11" s="41">
        <f>SUP_Gasoline!R11</f>
        <v>9.8634383093216677E-2</v>
      </c>
      <c r="Q11" s="41">
        <v>20</v>
      </c>
      <c r="R11" s="41">
        <f>+R9</f>
        <v>31.536000000000001</v>
      </c>
      <c r="X11" s="1" t="s">
        <v>127</v>
      </c>
      <c r="Z11" s="1">
        <v>0.17699999999999999</v>
      </c>
      <c r="AA11" s="1" t="s">
        <v>128</v>
      </c>
      <c r="AB11" s="1" t="s">
        <v>130</v>
      </c>
    </row>
    <row r="12" spans="1:29" ht="19.899999999999999" customHeight="1">
      <c r="C12" s="41"/>
      <c r="D12" s="41"/>
      <c r="E12" s="41"/>
      <c r="F12" s="41" t="s">
        <v>114</v>
      </c>
      <c r="G12" s="41"/>
      <c r="H12" s="41" t="s">
        <v>201</v>
      </c>
      <c r="I12" s="41"/>
      <c r="J12" s="102"/>
      <c r="K12" s="102"/>
      <c r="L12" s="102"/>
      <c r="M12" s="41"/>
      <c r="N12" s="41"/>
      <c r="O12" s="41"/>
      <c r="P12" s="41"/>
      <c r="Q12" s="41"/>
      <c r="R12" s="41"/>
    </row>
    <row r="13" spans="1:29" ht="19.899999999999999" customHeight="1">
      <c r="C13" s="41"/>
      <c r="D13" s="41"/>
      <c r="E13" s="41"/>
      <c r="F13" s="41" t="s">
        <v>327</v>
      </c>
      <c r="G13" s="41"/>
      <c r="H13" s="41"/>
      <c r="I13" s="41"/>
      <c r="J13" s="102"/>
      <c r="K13" s="102"/>
      <c r="L13" s="102">
        <f>L10</f>
        <v>1.4327272727272725E-2</v>
      </c>
      <c r="M13" s="41"/>
      <c r="N13" s="41"/>
      <c r="O13" s="41"/>
      <c r="P13" s="41"/>
      <c r="Q13" s="41"/>
      <c r="R13" s="41"/>
      <c r="X13" s="1" t="s">
        <v>131</v>
      </c>
      <c r="Z13" s="1">
        <v>87816</v>
      </c>
      <c r="AA13" s="1" t="s">
        <v>123</v>
      </c>
    </row>
    <row r="14" spans="1:29">
      <c r="A14" s="1" t="s">
        <v>341</v>
      </c>
      <c r="C14" s="94" t="str">
        <f>D29</f>
        <v>S_CCUS_ATM_MeOH_LowAF</v>
      </c>
      <c r="D14" s="94" t="str">
        <f>E29</f>
        <v>Supply convert Atmospheric CO2 to Methanol LowAF</v>
      </c>
      <c r="E14" s="94"/>
      <c r="F14" s="94" t="s">
        <v>113</v>
      </c>
      <c r="G14" s="94"/>
      <c r="H14" s="94" t="s">
        <v>300</v>
      </c>
      <c r="I14" s="94">
        <v>2030</v>
      </c>
      <c r="J14" s="103">
        <v>0.33300000000000002</v>
      </c>
      <c r="K14" s="103">
        <f>J14</f>
        <v>0.33300000000000002</v>
      </c>
      <c r="L14" s="103"/>
      <c r="M14" s="94"/>
      <c r="N14" s="94"/>
      <c r="O14" s="94">
        <f>O9</f>
        <v>0.25</v>
      </c>
      <c r="P14" s="94">
        <f>SUP_Gasoline!R14</f>
        <v>0.87013989052781948</v>
      </c>
      <c r="Q14" s="94">
        <f>Q9</f>
        <v>20</v>
      </c>
      <c r="R14" s="94">
        <f>R9</f>
        <v>31.536000000000001</v>
      </c>
      <c r="X14" s="1" t="s">
        <v>124</v>
      </c>
      <c r="Z14" s="1">
        <v>256.39999999999998</v>
      </c>
      <c r="AA14" s="1" t="s">
        <v>125</v>
      </c>
    </row>
    <row r="15" spans="1:29">
      <c r="C15" s="104"/>
      <c r="D15" s="104"/>
      <c r="E15" s="104"/>
      <c r="F15" s="104" t="s">
        <v>67</v>
      </c>
      <c r="G15" s="104"/>
      <c r="H15" s="104" t="s">
        <v>201</v>
      </c>
      <c r="I15" s="104"/>
      <c r="J15" s="105"/>
      <c r="K15" s="105"/>
      <c r="L15" s="105">
        <f>L13</f>
        <v>1.4327272727272725E-2</v>
      </c>
      <c r="M15" s="104"/>
      <c r="N15" s="104"/>
      <c r="O15" s="104"/>
      <c r="P15" s="104"/>
      <c r="Q15" s="104"/>
      <c r="R15" s="104"/>
    </row>
    <row r="16" spans="1:29">
      <c r="A16" s="40" t="s">
        <v>342</v>
      </c>
      <c r="C16" s="46" t="str">
        <f>D30</f>
        <v>S_CCUS_EMISMeOH_FOS_LowAF</v>
      </c>
      <c r="D16" s="46" t="str">
        <f>E30</f>
        <v>Supply convert fossil CO2 emission to Methanol LowAF</v>
      </c>
      <c r="E16" s="46"/>
      <c r="F16" s="46" t="s">
        <v>113</v>
      </c>
      <c r="G16" s="46"/>
      <c r="H16" s="46" t="s">
        <v>357</v>
      </c>
      <c r="I16" s="46">
        <v>2030</v>
      </c>
      <c r="J16" s="46">
        <v>0.4577733162307363</v>
      </c>
      <c r="K16" s="46">
        <v>0.57254969255776722</v>
      </c>
      <c r="L16" s="46"/>
      <c r="M16" s="46">
        <v>0.02</v>
      </c>
      <c r="N16" s="46"/>
      <c r="O16" s="46">
        <v>0.25</v>
      </c>
      <c r="P16" s="46">
        <v>0.21753497263195487</v>
      </c>
      <c r="Q16" s="46">
        <v>20</v>
      </c>
      <c r="R16" s="46">
        <v>31.536000000000001</v>
      </c>
      <c r="X16" s="1" t="s">
        <v>91</v>
      </c>
    </row>
    <row r="17" spans="1:18">
      <c r="C17" s="46"/>
      <c r="D17" s="46"/>
      <c r="E17" s="46"/>
      <c r="F17" s="46" t="s">
        <v>326</v>
      </c>
      <c r="G17" s="46"/>
      <c r="H17" s="46" t="s">
        <v>201</v>
      </c>
      <c r="I17" s="46"/>
      <c r="J17" s="46"/>
      <c r="K17" s="46"/>
      <c r="L17" s="46">
        <v>1.4327272727272725E-2</v>
      </c>
      <c r="M17" s="46"/>
      <c r="N17" s="46"/>
      <c r="O17" s="46"/>
      <c r="P17" s="46"/>
      <c r="Q17" s="46"/>
      <c r="R17" s="46"/>
    </row>
    <row r="18" spans="1:18">
      <c r="A18" s="40" t="s">
        <v>342</v>
      </c>
      <c r="C18" s="46" t="str">
        <f>D31</f>
        <v>S_CCUS_EMISMeOH_FOS_H2_LowAF</v>
      </c>
      <c r="D18" s="46" t="str">
        <f>E31</f>
        <v>Supply convert fossil CO2 emission to Methanol supplied by H2 LowAF</v>
      </c>
      <c r="E18" s="46"/>
      <c r="F18" s="46" t="s">
        <v>154</v>
      </c>
      <c r="G18" s="46"/>
      <c r="H18" s="46" t="s">
        <v>357</v>
      </c>
      <c r="I18" s="46">
        <v>2030</v>
      </c>
      <c r="J18" s="46">
        <v>0.81792813222538185</v>
      </c>
      <c r="K18" s="46">
        <v>0.81792813222538185</v>
      </c>
      <c r="L18" s="46"/>
      <c r="M18" s="46">
        <v>0.02</v>
      </c>
      <c r="N18" s="46"/>
      <c r="O18" s="46">
        <v>0.25</v>
      </c>
      <c r="P18" s="46">
        <v>9.8634383093216677E-2</v>
      </c>
      <c r="Q18" s="46">
        <v>20</v>
      </c>
      <c r="R18" s="46">
        <v>31.536000000000001</v>
      </c>
    </row>
    <row r="19" spans="1:18">
      <c r="C19" s="46"/>
      <c r="D19" s="46"/>
      <c r="E19" s="46"/>
      <c r="F19" s="46" t="s">
        <v>114</v>
      </c>
      <c r="G19" s="46"/>
      <c r="H19" s="46" t="s">
        <v>201</v>
      </c>
      <c r="I19" s="46"/>
      <c r="J19" s="46"/>
      <c r="K19" s="46"/>
      <c r="L19" s="46"/>
      <c r="M19" s="46"/>
      <c r="N19" s="46"/>
      <c r="O19" s="46"/>
      <c r="P19" s="46"/>
      <c r="Q19" s="46"/>
      <c r="R19" s="46"/>
    </row>
    <row r="20" spans="1:18">
      <c r="C20" s="46"/>
      <c r="D20" s="46"/>
      <c r="E20" s="46"/>
      <c r="F20" s="46" t="s">
        <v>326</v>
      </c>
      <c r="G20" s="46"/>
      <c r="H20" s="46"/>
      <c r="I20" s="46"/>
      <c r="J20" s="46"/>
      <c r="K20" s="46"/>
      <c r="L20" s="46">
        <v>1.4327272727272725E-2</v>
      </c>
      <c r="M20" s="46"/>
      <c r="N20" s="46"/>
      <c r="O20" s="46"/>
      <c r="P20" s="46"/>
      <c r="Q20" s="46"/>
      <c r="R20" s="46"/>
    </row>
    <row r="24" spans="1:18" ht="15">
      <c r="C24" s="11" t="s">
        <v>16</v>
      </c>
      <c r="D24" s="15"/>
      <c r="E24" s="15"/>
      <c r="F24" s="15"/>
      <c r="G24" s="15"/>
      <c r="H24" s="15"/>
      <c r="I24" s="15"/>
      <c r="J24" s="15"/>
    </row>
    <row r="25" spans="1:18" ht="15.75" thickBot="1">
      <c r="C25" s="13" t="s">
        <v>15</v>
      </c>
      <c r="D25" s="13" t="s">
        <v>0</v>
      </c>
      <c r="E25" s="13" t="s">
        <v>1</v>
      </c>
      <c r="F25" s="13" t="s">
        <v>17</v>
      </c>
      <c r="G25" s="13" t="s">
        <v>18</v>
      </c>
      <c r="H25" s="13" t="s">
        <v>19</v>
      </c>
      <c r="I25" s="13" t="s">
        <v>20</v>
      </c>
      <c r="J25" s="13" t="s">
        <v>21</v>
      </c>
    </row>
    <row r="26" spans="1:18" ht="38.25">
      <c r="C26" s="14" t="s">
        <v>30</v>
      </c>
      <c r="D26" s="14" t="s">
        <v>31</v>
      </c>
      <c r="E26" s="14" t="s">
        <v>32</v>
      </c>
      <c r="F26" s="14" t="s">
        <v>33</v>
      </c>
      <c r="G26" s="14" t="s">
        <v>34</v>
      </c>
      <c r="H26" s="14" t="s">
        <v>35</v>
      </c>
      <c r="I26" s="14" t="s">
        <v>36</v>
      </c>
      <c r="J26" s="14" t="s">
        <v>37</v>
      </c>
    </row>
    <row r="27" spans="1:18">
      <c r="A27" s="40" t="s">
        <v>343</v>
      </c>
      <c r="C27" s="49" t="s">
        <v>57</v>
      </c>
      <c r="D27" s="49" t="s">
        <v>185</v>
      </c>
      <c r="E27" s="49" t="s">
        <v>369</v>
      </c>
      <c r="F27" s="49" t="s">
        <v>58</v>
      </c>
      <c r="G27" s="49" t="s">
        <v>107</v>
      </c>
      <c r="H27" s="49" t="s">
        <v>74</v>
      </c>
      <c r="I27" s="49"/>
      <c r="J27" s="49"/>
    </row>
    <row r="28" spans="1:18">
      <c r="A28" s="40" t="s">
        <v>343</v>
      </c>
      <c r="C28" s="49" t="s">
        <v>57</v>
      </c>
      <c r="D28" s="49" t="s">
        <v>186</v>
      </c>
      <c r="E28" s="49" t="s">
        <v>370</v>
      </c>
      <c r="F28" s="49" t="s">
        <v>58</v>
      </c>
      <c r="G28" s="49" t="s">
        <v>107</v>
      </c>
      <c r="H28" s="49" t="s">
        <v>74</v>
      </c>
      <c r="I28" s="49"/>
      <c r="J28" s="49"/>
    </row>
    <row r="29" spans="1:18">
      <c r="A29" s="1" t="s">
        <v>341</v>
      </c>
      <c r="C29" s="106" t="s">
        <v>57</v>
      </c>
      <c r="D29" s="106" t="s">
        <v>187</v>
      </c>
      <c r="E29" s="106" t="s">
        <v>188</v>
      </c>
      <c r="F29" s="106" t="s">
        <v>58</v>
      </c>
      <c r="G29" s="106" t="s">
        <v>107</v>
      </c>
      <c r="H29" s="106" t="s">
        <v>74</v>
      </c>
      <c r="I29" s="106"/>
      <c r="J29" s="106"/>
    </row>
    <row r="30" spans="1:18">
      <c r="A30" s="40" t="s">
        <v>342</v>
      </c>
      <c r="C30" s="46" t="s">
        <v>57</v>
      </c>
      <c r="D30" s="46" t="s">
        <v>365</v>
      </c>
      <c r="E30" s="46" t="s">
        <v>368</v>
      </c>
      <c r="F30" s="46" t="s">
        <v>58</v>
      </c>
      <c r="G30" s="46" t="s">
        <v>107</v>
      </c>
      <c r="H30" s="46" t="s">
        <v>74</v>
      </c>
      <c r="I30" s="46"/>
      <c r="J30" s="46"/>
    </row>
    <row r="31" spans="1:18">
      <c r="A31" s="40" t="s">
        <v>342</v>
      </c>
      <c r="C31" s="46" t="s">
        <v>57</v>
      </c>
      <c r="D31" s="46" t="s">
        <v>366</v>
      </c>
      <c r="E31" s="46" t="s">
        <v>367</v>
      </c>
      <c r="F31" s="46" t="s">
        <v>58</v>
      </c>
      <c r="G31" s="46" t="s">
        <v>107</v>
      </c>
      <c r="H31" s="46" t="s">
        <v>74</v>
      </c>
      <c r="I31" s="46"/>
      <c r="J31" s="46"/>
    </row>
    <row r="39" spans="4:26">
      <c r="N39" s="1" t="s">
        <v>134</v>
      </c>
      <c r="Q39" s="1" t="s">
        <v>132</v>
      </c>
      <c r="X39" s="1" t="s">
        <v>75</v>
      </c>
    </row>
    <row r="40" spans="4:26">
      <c r="N40" s="1" t="s">
        <v>135</v>
      </c>
      <c r="Q40" s="1" t="s">
        <v>133</v>
      </c>
      <c r="X40" s="1">
        <f>494310000/(AB5*1000*F51/(8000*3.6))</f>
        <v>1638.0144056525764</v>
      </c>
    </row>
    <row r="41" spans="4:26">
      <c r="D41" s="1" t="s">
        <v>49</v>
      </c>
      <c r="E41" s="1" t="s">
        <v>50</v>
      </c>
      <c r="F41" s="9">
        <f>12+2*16</f>
        <v>44</v>
      </c>
      <c r="G41" s="1" t="s">
        <v>52</v>
      </c>
      <c r="I41" s="1" t="s">
        <v>68</v>
      </c>
    </row>
    <row r="42" spans="4:26">
      <c r="E42" s="1" t="s">
        <v>51</v>
      </c>
      <c r="F42" s="9">
        <v>12</v>
      </c>
      <c r="J42" s="1">
        <v>30</v>
      </c>
      <c r="K42" s="1" t="s">
        <v>69</v>
      </c>
      <c r="L42" s="1">
        <f>1/0.5</f>
        <v>2</v>
      </c>
      <c r="X42" s="1">
        <f>308740000/(AB5*1000*F51/(8000*3.6))</f>
        <v>1023.0838291784031</v>
      </c>
    </row>
    <row r="43" spans="4:26">
      <c r="E43" s="1" t="s">
        <v>98</v>
      </c>
      <c r="F43" s="9">
        <f>F42/F41</f>
        <v>0.27272727272727271</v>
      </c>
      <c r="G43" s="1" t="s">
        <v>103</v>
      </c>
      <c r="J43" s="1">
        <f>J42*3.6</f>
        <v>108</v>
      </c>
      <c r="K43" s="1" t="s">
        <v>70</v>
      </c>
    </row>
    <row r="44" spans="4:26">
      <c r="F44" s="9"/>
      <c r="Z44" s="1">
        <f>X40*4</f>
        <v>6552.0576226103058</v>
      </c>
    </row>
    <row r="45" spans="4:26">
      <c r="E45" s="1" t="s">
        <v>137</v>
      </c>
      <c r="F45" s="9">
        <v>0.375</v>
      </c>
      <c r="G45" s="1" t="s">
        <v>138</v>
      </c>
      <c r="I45" s="1" t="s">
        <v>71</v>
      </c>
    </row>
    <row r="46" spans="4:26">
      <c r="F46" s="9"/>
      <c r="J46" s="1">
        <v>25</v>
      </c>
      <c r="K46" s="1" t="s">
        <v>69</v>
      </c>
    </row>
    <row r="47" spans="4:26">
      <c r="E47" s="1" t="s">
        <v>100</v>
      </c>
      <c r="F47" s="9">
        <f>F45/F43</f>
        <v>1.375</v>
      </c>
      <c r="G47" s="1" t="s">
        <v>139</v>
      </c>
    </row>
    <row r="48" spans="4:26">
      <c r="I48" s="1" t="s">
        <v>108</v>
      </c>
    </row>
    <row r="49" spans="6:11">
      <c r="I49" s="1" t="s">
        <v>110</v>
      </c>
      <c r="J49" s="1">
        <f>(L42*J42-J46)*L10/1000</f>
        <v>5.0145454545454538E-4</v>
      </c>
      <c r="K49" s="1" t="s">
        <v>62</v>
      </c>
    </row>
    <row r="50" spans="6:11">
      <c r="F50" s="1" t="s">
        <v>140</v>
      </c>
      <c r="I50" s="1" t="s">
        <v>109</v>
      </c>
      <c r="J50" s="1">
        <f>PMT(0.1,Q9,-SUP_Gasoline!P9/R9,0,0)*L10/1000</f>
        <v>9.9995954322275508E-5</v>
      </c>
      <c r="K50" s="1" t="s">
        <v>62</v>
      </c>
    </row>
    <row r="51" spans="6:11">
      <c r="F51" s="1">
        <v>19.7</v>
      </c>
      <c r="G51" s="1" t="s">
        <v>141</v>
      </c>
    </row>
    <row r="52" spans="6:11">
      <c r="F52" s="1">
        <f>F51/F47</f>
        <v>14.327272727272726</v>
      </c>
      <c r="G52" s="1" t="s">
        <v>54</v>
      </c>
    </row>
    <row r="53" spans="6:11">
      <c r="F53" s="1">
        <f>F52</f>
        <v>14.327272727272726</v>
      </c>
      <c r="G53" s="1" t="s">
        <v>72</v>
      </c>
    </row>
    <row r="54" spans="6:11">
      <c r="F54" s="1">
        <f>F52</f>
        <v>14.327272727272726</v>
      </c>
      <c r="G54" s="1" t="s">
        <v>55</v>
      </c>
    </row>
    <row r="55" spans="6:11">
      <c r="F55" s="1">
        <f>F54/1000</f>
        <v>1.4327272727272727E-2</v>
      </c>
      <c r="G55" s="1" t="s">
        <v>56</v>
      </c>
    </row>
    <row r="56" spans="6:11">
      <c r="F56" s="1">
        <f>1/F55</f>
        <v>69.796954314720821</v>
      </c>
      <c r="G56" s="1" t="s">
        <v>111</v>
      </c>
    </row>
    <row r="58" spans="6:11">
      <c r="F58" s="1">
        <v>121</v>
      </c>
      <c r="G58" s="1" t="s">
        <v>142</v>
      </c>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95"/>
  <sheetViews>
    <sheetView topLeftCell="A3" zoomScale="80" zoomScaleNormal="80" workbookViewId="0">
      <selection activeCell="P40" sqref="P40"/>
    </sheetView>
  </sheetViews>
  <sheetFormatPr defaultRowHeight="12.75"/>
  <cols>
    <col min="2" max="2" width="7.42578125" customWidth="1"/>
    <col min="3" max="3" width="18.28515625" customWidth="1"/>
    <col min="4" max="4" width="39.7109375" customWidth="1"/>
    <col min="5" max="5" width="14" customWidth="1"/>
    <col min="6" max="6" width="16.5703125" customWidth="1"/>
    <col min="7" max="7" width="14.28515625" customWidth="1"/>
    <col min="8" max="8" width="12.42578125" customWidth="1"/>
    <col min="17" max="17" width="8.5703125" customWidth="1"/>
    <col min="18" max="18" width="8.140625" customWidth="1"/>
    <col min="19" max="19" width="10.140625" customWidth="1"/>
    <col min="20" max="20" width="15.42578125" customWidth="1"/>
    <col min="21" max="21" width="6.28515625" customWidth="1"/>
  </cols>
  <sheetData>
    <row r="1" spans="2:43">
      <c r="X1" t="s">
        <v>318</v>
      </c>
    </row>
    <row r="5" spans="2:43">
      <c r="B5" s="140"/>
      <c r="C5" s="140"/>
      <c r="D5" s="140"/>
      <c r="E5" s="140"/>
      <c r="F5" s="140"/>
      <c r="G5" s="140"/>
      <c r="H5" s="141" t="s">
        <v>151</v>
      </c>
      <c r="I5" s="140"/>
      <c r="J5" s="140"/>
      <c r="K5" s="140"/>
      <c r="L5" s="140"/>
      <c r="M5" s="140"/>
      <c r="N5" s="140"/>
      <c r="O5" s="140"/>
      <c r="P5" s="140"/>
      <c r="Q5" s="140"/>
      <c r="R5" s="140"/>
      <c r="S5" s="140"/>
      <c r="T5" s="140"/>
      <c r="U5" s="140"/>
      <c r="V5" s="140"/>
      <c r="Z5" t="s">
        <v>393</v>
      </c>
      <c r="AJ5" s="21" t="s">
        <v>250</v>
      </c>
    </row>
    <row r="6" spans="2:43" ht="13.5" thickBot="1">
      <c r="B6" s="142" t="s">
        <v>245</v>
      </c>
      <c r="C6" s="142" t="s">
        <v>0</v>
      </c>
      <c r="D6" s="142" t="s">
        <v>157</v>
      </c>
      <c r="E6" s="142" t="s">
        <v>2</v>
      </c>
      <c r="F6" s="142" t="s">
        <v>4</v>
      </c>
      <c r="G6" s="142" t="s">
        <v>232</v>
      </c>
      <c r="H6" s="142" t="s">
        <v>233</v>
      </c>
      <c r="I6" s="143">
        <v>2010</v>
      </c>
      <c r="J6" s="143">
        <v>2020</v>
      </c>
      <c r="K6" s="143">
        <v>2030</v>
      </c>
      <c r="L6" s="143">
        <v>2040</v>
      </c>
      <c r="M6" s="143">
        <v>2050</v>
      </c>
      <c r="N6" s="143" t="s">
        <v>158</v>
      </c>
      <c r="O6" s="143" t="s">
        <v>162</v>
      </c>
      <c r="P6" s="143" t="s">
        <v>81</v>
      </c>
      <c r="Q6" s="143" t="s">
        <v>94</v>
      </c>
      <c r="R6" s="143" t="s">
        <v>73</v>
      </c>
      <c r="S6" s="143" t="s">
        <v>89</v>
      </c>
      <c r="T6" s="142" t="s">
        <v>247</v>
      </c>
      <c r="U6" s="144" t="s">
        <v>294</v>
      </c>
      <c r="V6" s="144" t="s">
        <v>14</v>
      </c>
      <c r="Z6" t="s">
        <v>0</v>
      </c>
      <c r="AA6" t="s">
        <v>233</v>
      </c>
      <c r="AB6">
        <v>2010</v>
      </c>
      <c r="AC6">
        <v>2020</v>
      </c>
      <c r="AD6">
        <v>2030</v>
      </c>
      <c r="AE6">
        <v>2040</v>
      </c>
      <c r="AF6">
        <v>2050</v>
      </c>
    </row>
    <row r="7" spans="2:43" ht="47.25" customHeight="1" thickBot="1">
      <c r="B7" s="145"/>
      <c r="C7" s="145" t="s">
        <v>150</v>
      </c>
      <c r="D7" s="145" t="s">
        <v>32</v>
      </c>
      <c r="E7" s="145" t="s">
        <v>40</v>
      </c>
      <c r="F7" s="145" t="s">
        <v>42</v>
      </c>
      <c r="G7" s="145" t="s">
        <v>234</v>
      </c>
      <c r="H7" s="145" t="s">
        <v>233</v>
      </c>
      <c r="I7" s="146" t="s">
        <v>235</v>
      </c>
      <c r="J7" s="146" t="s">
        <v>235</v>
      </c>
      <c r="K7" s="146" t="s">
        <v>235</v>
      </c>
      <c r="L7" s="146" t="s">
        <v>235</v>
      </c>
      <c r="M7" s="146" t="s">
        <v>235</v>
      </c>
      <c r="N7" s="146" t="s">
        <v>158</v>
      </c>
      <c r="O7" s="146"/>
      <c r="P7" s="146" t="s">
        <v>236</v>
      </c>
      <c r="Q7" s="146" t="s">
        <v>237</v>
      </c>
      <c r="R7" s="146" t="s">
        <v>238</v>
      </c>
      <c r="S7" s="146"/>
      <c r="T7" s="146" t="s">
        <v>239</v>
      </c>
      <c r="U7" s="146"/>
      <c r="V7" s="146" t="s">
        <v>281</v>
      </c>
      <c r="Z7" t="s">
        <v>150</v>
      </c>
      <c r="AA7" t="s">
        <v>233</v>
      </c>
      <c r="AB7" t="s">
        <v>235</v>
      </c>
      <c r="AC7" t="s">
        <v>235</v>
      </c>
      <c r="AD7" t="s">
        <v>235</v>
      </c>
      <c r="AE7" t="s">
        <v>235</v>
      </c>
      <c r="AF7" t="s">
        <v>235</v>
      </c>
      <c r="AJ7" s="22" t="s">
        <v>251</v>
      </c>
      <c r="AK7" s="22" t="s">
        <v>252</v>
      </c>
      <c r="AL7" s="22" t="s">
        <v>253</v>
      </c>
      <c r="AM7" s="22" t="s">
        <v>254</v>
      </c>
      <c r="AN7" s="22" t="s">
        <v>255</v>
      </c>
      <c r="AO7" s="22" t="s">
        <v>256</v>
      </c>
      <c r="AP7" s="22" t="s">
        <v>257</v>
      </c>
      <c r="AQ7" s="22"/>
    </row>
    <row r="8" spans="2:43" ht="17.45" customHeight="1">
      <c r="B8" s="147" t="s">
        <v>274</v>
      </c>
      <c r="C8" s="147" t="s">
        <v>156</v>
      </c>
      <c r="D8" s="147" t="s">
        <v>165</v>
      </c>
      <c r="E8" s="147" t="s">
        <v>67</v>
      </c>
      <c r="F8" s="147"/>
      <c r="G8" s="147"/>
      <c r="H8" s="147" t="s">
        <v>45</v>
      </c>
      <c r="I8" s="148">
        <v>1.6338771509091128</v>
      </c>
      <c r="J8" s="148">
        <v>1.6338771509091128</v>
      </c>
      <c r="K8" s="148">
        <v>1.6338771509091128</v>
      </c>
      <c r="L8" s="148">
        <v>1.3336522740143653</v>
      </c>
      <c r="M8" s="148">
        <v>1.2124111581948773</v>
      </c>
      <c r="N8" s="148">
        <v>1</v>
      </c>
      <c r="O8" s="148"/>
      <c r="P8" s="148">
        <v>0.82</v>
      </c>
      <c r="Q8" s="148">
        <v>1</v>
      </c>
      <c r="R8" s="148">
        <v>20</v>
      </c>
      <c r="S8" s="148"/>
      <c r="T8" s="148"/>
      <c r="U8" s="148"/>
      <c r="V8" s="148">
        <v>2030</v>
      </c>
      <c r="Z8" t="s">
        <v>156</v>
      </c>
      <c r="AA8" t="s">
        <v>45</v>
      </c>
      <c r="AB8">
        <v>1.6338771509091128</v>
      </c>
      <c r="AC8">
        <v>1.6338771509091128</v>
      </c>
      <c r="AD8">
        <v>1.6338771509091128</v>
      </c>
      <c r="AE8">
        <v>1.3336522740143653</v>
      </c>
      <c r="AF8">
        <v>1.2124111581948773</v>
      </c>
      <c r="AJ8" s="139"/>
      <c r="AK8" s="139"/>
      <c r="AL8" s="139"/>
      <c r="AM8" s="139"/>
      <c r="AN8" s="139"/>
      <c r="AO8" s="139"/>
      <c r="AP8" s="139"/>
      <c r="AQ8" s="139"/>
    </row>
    <row r="9" spans="2:43" ht="17.45" customHeight="1">
      <c r="B9" s="147"/>
      <c r="C9" s="147"/>
      <c r="D9" s="147"/>
      <c r="E9" s="147" t="s">
        <v>155</v>
      </c>
      <c r="F9" s="147"/>
      <c r="G9" s="147"/>
      <c r="H9" s="147" t="s">
        <v>224</v>
      </c>
      <c r="I9" s="148">
        <v>2.5000000000000001E-3</v>
      </c>
      <c r="J9" s="148">
        <v>2E-3</v>
      </c>
      <c r="K9" s="148">
        <v>1.6000000000000001E-3</v>
      </c>
      <c r="L9" s="148"/>
      <c r="M9" s="148">
        <v>1.2800000000000001E-3</v>
      </c>
      <c r="N9" s="148"/>
      <c r="O9" s="148"/>
      <c r="P9" s="148"/>
      <c r="Q9" s="148"/>
      <c r="R9" s="148"/>
      <c r="S9" s="148"/>
      <c r="T9" s="148"/>
      <c r="U9" s="148"/>
      <c r="V9" s="148"/>
      <c r="AA9" t="s">
        <v>224</v>
      </c>
      <c r="AB9">
        <v>2.5000000000000001E-3</v>
      </c>
      <c r="AC9">
        <v>2E-3</v>
      </c>
      <c r="AD9">
        <v>1.6000000000000001E-3</v>
      </c>
      <c r="AF9">
        <v>1.2800000000000001E-3</v>
      </c>
      <c r="AJ9" s="139"/>
      <c r="AK9" s="139"/>
      <c r="AL9" s="139"/>
      <c r="AM9" s="139"/>
      <c r="AN9" s="139"/>
      <c r="AO9" s="139"/>
      <c r="AP9" s="139"/>
      <c r="AQ9" s="139"/>
    </row>
    <row r="10" spans="2:43" ht="17.45" customHeight="1">
      <c r="B10" s="147"/>
      <c r="C10" s="147"/>
      <c r="D10" s="147"/>
      <c r="E10" s="147" t="s">
        <v>192</v>
      </c>
      <c r="F10" s="147" t="s">
        <v>279</v>
      </c>
      <c r="G10" s="147" t="s">
        <v>66</v>
      </c>
      <c r="H10" s="147" t="s">
        <v>224</v>
      </c>
      <c r="I10" s="148">
        <v>1.15E-2</v>
      </c>
      <c r="J10" s="148">
        <v>9.1999999999999998E-3</v>
      </c>
      <c r="K10" s="148">
        <v>7.3600000000000002E-3</v>
      </c>
      <c r="L10" s="148"/>
      <c r="M10" s="148">
        <v>5.8899999999999994E-3</v>
      </c>
      <c r="N10" s="148"/>
      <c r="O10" s="148"/>
      <c r="P10" s="148"/>
      <c r="Q10" s="148"/>
      <c r="R10" s="148"/>
      <c r="S10" s="148"/>
      <c r="T10" s="148">
        <v>1</v>
      </c>
      <c r="U10" s="148"/>
      <c r="V10" s="148"/>
      <c r="AA10" t="s">
        <v>224</v>
      </c>
      <c r="AB10">
        <v>1.15E-2</v>
      </c>
      <c r="AC10">
        <v>9.1999999999999998E-3</v>
      </c>
      <c r="AD10">
        <v>7.3600000000000002E-3</v>
      </c>
      <c r="AF10">
        <v>5.8899999999999994E-3</v>
      </c>
      <c r="AJ10" s="139"/>
      <c r="AK10" s="139"/>
      <c r="AL10" s="139"/>
      <c r="AM10" s="139"/>
      <c r="AN10" s="139"/>
      <c r="AO10" s="139"/>
      <c r="AP10" s="139"/>
      <c r="AQ10" s="139"/>
    </row>
    <row r="11" spans="2:43" ht="17.45" customHeight="1">
      <c r="B11" s="147" t="s">
        <v>274</v>
      </c>
      <c r="C11" s="147"/>
      <c r="D11" s="147"/>
      <c r="E11" s="147"/>
      <c r="F11" s="147" t="s">
        <v>66</v>
      </c>
      <c r="G11" s="147"/>
      <c r="H11" s="147" t="s">
        <v>85</v>
      </c>
      <c r="I11" s="148">
        <v>6.5355086036364515E-2</v>
      </c>
      <c r="J11" s="148">
        <v>6.5355086036364515E-2</v>
      </c>
      <c r="K11" s="148">
        <v>6.5355086036364515E-2</v>
      </c>
      <c r="L11" s="148"/>
      <c r="M11" s="148">
        <v>4.8496446327795095E-2</v>
      </c>
      <c r="N11" s="148"/>
      <c r="O11" s="148"/>
      <c r="P11" s="148"/>
      <c r="Q11" s="148"/>
      <c r="R11" s="148"/>
      <c r="S11" s="148"/>
      <c r="T11" s="148"/>
      <c r="U11" s="148"/>
      <c r="V11" s="148"/>
      <c r="AA11" t="s">
        <v>85</v>
      </c>
      <c r="AB11">
        <v>6.5355086036364515E-2</v>
      </c>
      <c r="AC11">
        <v>6.5355086036364515E-2</v>
      </c>
      <c r="AD11">
        <v>6.5355086036364515E-2</v>
      </c>
      <c r="AF11">
        <v>4.8496446327795095E-2</v>
      </c>
      <c r="AJ11" s="139"/>
      <c r="AK11" s="139"/>
      <c r="AL11" s="139"/>
      <c r="AM11" s="139"/>
      <c r="AN11" s="139"/>
      <c r="AO11" s="139"/>
      <c r="AP11" s="139"/>
      <c r="AQ11" s="139"/>
    </row>
    <row r="12" spans="2:43" ht="17.45" customHeight="1">
      <c r="B12" s="147" t="s">
        <v>274</v>
      </c>
      <c r="C12" s="147"/>
      <c r="D12" s="147"/>
      <c r="E12" s="147"/>
      <c r="F12" s="147"/>
      <c r="G12" s="147"/>
      <c r="H12" s="147" t="s">
        <v>89</v>
      </c>
      <c r="I12" s="148">
        <v>2.3E-2</v>
      </c>
      <c r="J12" s="148">
        <v>2.3E-2</v>
      </c>
      <c r="K12" s="148">
        <v>2.3E-2</v>
      </c>
      <c r="L12" s="148"/>
      <c r="M12" s="148">
        <v>2.3E-2</v>
      </c>
      <c r="N12" s="148"/>
      <c r="O12" s="148"/>
      <c r="P12" s="148"/>
      <c r="Q12" s="148"/>
      <c r="R12" s="148"/>
      <c r="S12" s="148"/>
      <c r="T12" s="148"/>
      <c r="U12" s="148"/>
      <c r="V12" s="148"/>
      <c r="AA12" t="s">
        <v>89</v>
      </c>
      <c r="AB12">
        <v>2.3E-2</v>
      </c>
      <c r="AC12">
        <v>2.3E-2</v>
      </c>
      <c r="AD12">
        <v>2.3E-2</v>
      </c>
      <c r="AF12">
        <v>2.3E-2</v>
      </c>
      <c r="AJ12" s="139"/>
      <c r="AK12" s="139"/>
      <c r="AL12" s="139"/>
      <c r="AM12" s="139"/>
      <c r="AN12" s="139"/>
      <c r="AO12" s="139"/>
      <c r="AP12" s="139"/>
      <c r="AQ12" s="139"/>
    </row>
    <row r="13" spans="2:43" ht="17.45" customHeight="1">
      <c r="B13" s="147" t="s">
        <v>246</v>
      </c>
      <c r="C13" s="147" t="s">
        <v>197</v>
      </c>
      <c r="D13" s="147" t="s">
        <v>240</v>
      </c>
      <c r="E13" s="147" t="s">
        <v>67</v>
      </c>
      <c r="F13" s="147"/>
      <c r="G13" s="147"/>
      <c r="H13" s="147" t="s">
        <v>45</v>
      </c>
      <c r="I13" s="148">
        <v>1.8154190565656809</v>
      </c>
      <c r="J13" s="148">
        <v>1.8154190565656809</v>
      </c>
      <c r="K13" s="148">
        <v>1.8154190565656809</v>
      </c>
      <c r="L13" s="148">
        <v>1.4818358600159613</v>
      </c>
      <c r="M13" s="148">
        <v>1.3471235091054192</v>
      </c>
      <c r="N13" s="148">
        <v>1</v>
      </c>
      <c r="O13" s="148"/>
      <c r="P13" s="148">
        <v>0.82</v>
      </c>
      <c r="Q13" s="148">
        <v>1</v>
      </c>
      <c r="R13" s="148">
        <v>20</v>
      </c>
      <c r="S13" s="148"/>
      <c r="T13" s="148"/>
      <c r="U13" s="148"/>
      <c r="V13" s="148">
        <v>2070</v>
      </c>
      <c r="Z13" t="s">
        <v>197</v>
      </c>
      <c r="AA13" t="s">
        <v>45</v>
      </c>
      <c r="AB13">
        <v>1.8154190565656809</v>
      </c>
      <c r="AC13">
        <v>1.8154190565656809</v>
      </c>
      <c r="AD13">
        <v>1.8154190565656809</v>
      </c>
      <c r="AE13">
        <v>1.4818358600159613</v>
      </c>
      <c r="AF13">
        <v>1.3471235091054192</v>
      </c>
      <c r="AJ13" s="139"/>
      <c r="AK13" s="139"/>
      <c r="AL13" s="139"/>
      <c r="AM13" s="139"/>
      <c r="AN13" s="139"/>
      <c r="AO13" s="139"/>
      <c r="AP13" s="139"/>
      <c r="AQ13" s="139"/>
    </row>
    <row r="14" spans="2:43" ht="17.45" customHeight="1">
      <c r="B14" s="147"/>
      <c r="C14" s="147"/>
      <c r="D14" s="147"/>
      <c r="E14" s="147" t="s">
        <v>155</v>
      </c>
      <c r="F14" s="147" t="s">
        <v>279</v>
      </c>
      <c r="G14" s="147" t="s">
        <v>66</v>
      </c>
      <c r="H14" s="147" t="s">
        <v>224</v>
      </c>
      <c r="I14" s="148">
        <v>2.5000000000000001E-3</v>
      </c>
      <c r="J14" s="148">
        <v>2.5000000000000001E-3</v>
      </c>
      <c r="K14" s="148">
        <v>1.9764000000000001E-3</v>
      </c>
      <c r="L14" s="148"/>
      <c r="M14" s="148">
        <v>1.3176000000000002E-3</v>
      </c>
      <c r="N14" s="148"/>
      <c r="O14" s="148"/>
      <c r="P14" s="148"/>
      <c r="Q14" s="148"/>
      <c r="R14" s="148"/>
      <c r="S14" s="148"/>
      <c r="T14" s="148">
        <v>0.97340445187992619</v>
      </c>
      <c r="U14" s="148"/>
      <c r="V14" s="148"/>
      <c r="AA14" t="s">
        <v>224</v>
      </c>
      <c r="AB14">
        <v>2.5000000000000001E-3</v>
      </c>
      <c r="AC14">
        <v>2.5000000000000001E-3</v>
      </c>
      <c r="AD14">
        <v>1.9764000000000001E-3</v>
      </c>
      <c r="AF14">
        <v>1.3176000000000002E-3</v>
      </c>
      <c r="AJ14" s="139"/>
      <c r="AK14" s="139"/>
      <c r="AL14" s="139"/>
      <c r="AM14" s="139"/>
      <c r="AN14" s="139"/>
      <c r="AO14" s="139"/>
      <c r="AP14" s="139"/>
      <c r="AQ14" s="139"/>
    </row>
    <row r="15" spans="2:43" ht="17.45" customHeight="1">
      <c r="B15" s="147"/>
      <c r="C15" s="147"/>
      <c r="D15" s="147"/>
      <c r="E15" s="147" t="s">
        <v>199</v>
      </c>
      <c r="F15" s="147" t="s">
        <v>241</v>
      </c>
      <c r="G15" s="147" t="s">
        <v>199</v>
      </c>
      <c r="H15" s="147" t="s">
        <v>224</v>
      </c>
      <c r="I15" s="148">
        <v>5.2500000000000003E-3</v>
      </c>
      <c r="J15" s="148">
        <v>5.2500000000000003E-3</v>
      </c>
      <c r="K15" s="148">
        <v>4.993328184945303E-3</v>
      </c>
      <c r="L15" s="148"/>
      <c r="M15" s="148">
        <v>4.7492050214417436E-3</v>
      </c>
      <c r="N15" s="148"/>
      <c r="O15" s="148"/>
      <c r="P15" s="148"/>
      <c r="Q15" s="148"/>
      <c r="R15" s="148"/>
      <c r="S15" s="148"/>
      <c r="T15" s="148">
        <v>5.6000000000000005</v>
      </c>
      <c r="U15" s="148"/>
      <c r="V15" s="148"/>
      <c r="AA15" t="s">
        <v>224</v>
      </c>
      <c r="AB15">
        <v>5.2500000000000003E-3</v>
      </c>
      <c r="AC15">
        <v>5.2500000000000003E-3</v>
      </c>
      <c r="AD15">
        <v>4.993328184945303E-3</v>
      </c>
      <c r="AF15">
        <v>4.7492050214417436E-3</v>
      </c>
      <c r="AJ15" s="139"/>
      <c r="AK15" s="139"/>
      <c r="AL15" s="139"/>
      <c r="AM15" s="139"/>
      <c r="AN15" s="139"/>
      <c r="AO15" s="139"/>
      <c r="AP15" s="139"/>
      <c r="AQ15" s="139"/>
    </row>
    <row r="16" spans="2:43" ht="17.45" customHeight="1">
      <c r="B16" s="147" t="s">
        <v>246</v>
      </c>
      <c r="C16" s="147"/>
      <c r="D16" s="147"/>
      <c r="E16" s="147"/>
      <c r="F16" s="147" t="s">
        <v>66</v>
      </c>
      <c r="G16" s="147"/>
      <c r="H16" s="147" t="s">
        <v>85</v>
      </c>
      <c r="I16" s="148"/>
      <c r="J16" s="148">
        <v>7.2616762262627241E-2</v>
      </c>
      <c r="K16" s="148">
        <v>7.2616762262627241E-2</v>
      </c>
      <c r="L16" s="148"/>
      <c r="M16" s="148">
        <v>5.3884940364216767E-2</v>
      </c>
      <c r="N16" s="148"/>
      <c r="O16" s="148"/>
      <c r="P16" s="148"/>
      <c r="Q16" s="148"/>
      <c r="R16" s="148"/>
      <c r="S16" s="148"/>
      <c r="T16" s="148"/>
      <c r="U16" s="148"/>
      <c r="V16" s="148"/>
      <c r="AA16" t="s">
        <v>85</v>
      </c>
      <c r="AC16">
        <v>7.2616762262627241E-2</v>
      </c>
      <c r="AD16">
        <v>7.2616762262627241E-2</v>
      </c>
      <c r="AF16">
        <v>5.3884940364216767E-2</v>
      </c>
      <c r="AJ16" s="139"/>
      <c r="AK16" s="139"/>
      <c r="AL16" s="139"/>
      <c r="AM16" s="139"/>
      <c r="AN16" s="139"/>
      <c r="AO16" s="139"/>
      <c r="AP16" s="139"/>
      <c r="AQ16" s="139"/>
    </row>
    <row r="17" spans="2:43" ht="17.45" customHeight="1">
      <c r="B17" s="147"/>
      <c r="C17" s="147"/>
      <c r="D17" s="147"/>
      <c r="E17" s="147"/>
      <c r="F17" s="147" t="s">
        <v>306</v>
      </c>
      <c r="G17" s="147"/>
      <c r="H17" s="147"/>
      <c r="I17" s="148"/>
      <c r="J17" s="148"/>
      <c r="K17" s="148"/>
      <c r="L17" s="148"/>
      <c r="M17" s="148"/>
      <c r="N17" s="148"/>
      <c r="O17" s="148"/>
      <c r="P17" s="148"/>
      <c r="Q17" s="148"/>
      <c r="R17" s="148"/>
      <c r="S17" s="148"/>
      <c r="T17" s="148">
        <v>5.6000000000000005</v>
      </c>
      <c r="U17" s="148"/>
      <c r="V17" s="148"/>
      <c r="AJ17" s="139"/>
      <c r="AK17" s="139"/>
      <c r="AL17" s="139"/>
      <c r="AM17" s="139"/>
      <c r="AN17" s="139"/>
      <c r="AO17" s="139"/>
      <c r="AP17" s="139"/>
      <c r="AQ17" s="139"/>
    </row>
    <row r="18" spans="2:43" ht="17.45" customHeight="1">
      <c r="B18" s="147" t="s">
        <v>246</v>
      </c>
      <c r="C18" s="147"/>
      <c r="D18" s="147"/>
      <c r="E18" s="147"/>
      <c r="F18" s="147"/>
      <c r="G18" s="147"/>
      <c r="H18" s="147" t="s">
        <v>89</v>
      </c>
      <c r="I18" s="148">
        <v>2.5999999999999999E-2</v>
      </c>
      <c r="J18" s="148">
        <v>2.5999999999999999E-2</v>
      </c>
      <c r="K18" s="148">
        <v>2.5999999999999999E-2</v>
      </c>
      <c r="L18" s="148"/>
      <c r="M18" s="148">
        <v>2.5999999999999999E-2</v>
      </c>
      <c r="N18" s="148"/>
      <c r="O18" s="148"/>
      <c r="P18" s="148"/>
      <c r="Q18" s="148"/>
      <c r="R18" s="148"/>
      <c r="S18" s="148"/>
      <c r="T18" s="148"/>
      <c r="U18" s="148"/>
      <c r="V18" s="148"/>
      <c r="AA18" t="s">
        <v>89</v>
      </c>
      <c r="AB18">
        <v>2.5999999999999999E-2</v>
      </c>
      <c r="AC18">
        <v>2.5999999999999999E-2</v>
      </c>
      <c r="AD18">
        <v>2.5999999999999999E-2</v>
      </c>
      <c r="AF18">
        <v>2.5999999999999999E-2</v>
      </c>
      <c r="AJ18" s="139"/>
      <c r="AK18" s="139"/>
      <c r="AL18" s="139"/>
      <c r="AM18" s="139"/>
      <c r="AN18" s="139"/>
      <c r="AO18" s="139"/>
      <c r="AP18" s="139"/>
      <c r="AQ18" s="139"/>
    </row>
    <row r="19" spans="2:43" ht="17.45" customHeight="1">
      <c r="B19" s="147" t="s">
        <v>246</v>
      </c>
      <c r="C19" s="147" t="s">
        <v>231</v>
      </c>
      <c r="D19" s="147" t="s">
        <v>248</v>
      </c>
      <c r="E19" s="147" t="s">
        <v>67</v>
      </c>
      <c r="F19" s="147"/>
      <c r="G19" s="147"/>
      <c r="H19" s="147" t="s">
        <v>45</v>
      </c>
      <c r="I19" s="148">
        <v>1.900123350503802</v>
      </c>
      <c r="J19" s="148">
        <v>1.900123350503802</v>
      </c>
      <c r="K19" s="148">
        <v>1.900123350503802</v>
      </c>
      <c r="L19" s="148">
        <v>1.5509757425135533</v>
      </c>
      <c r="M19" s="148">
        <v>1.4099779477395937</v>
      </c>
      <c r="N19" s="148">
        <v>1</v>
      </c>
      <c r="O19" s="148"/>
      <c r="P19" s="148">
        <v>0.82</v>
      </c>
      <c r="Q19" s="148">
        <v>1</v>
      </c>
      <c r="R19" s="148">
        <v>20</v>
      </c>
      <c r="S19" s="148"/>
      <c r="T19" s="148"/>
      <c r="U19" s="148"/>
      <c r="V19" s="148">
        <v>2030</v>
      </c>
      <c r="Z19" t="s">
        <v>231</v>
      </c>
      <c r="AA19" t="s">
        <v>45</v>
      </c>
      <c r="AB19">
        <v>1.900123350503802</v>
      </c>
      <c r="AC19">
        <v>1.900123350503802</v>
      </c>
      <c r="AD19">
        <v>1.900123350503802</v>
      </c>
      <c r="AE19">
        <v>1.5509757425135533</v>
      </c>
      <c r="AF19">
        <v>1.4099779477395937</v>
      </c>
      <c r="AJ19" s="139"/>
      <c r="AK19" s="139"/>
      <c r="AL19" s="139"/>
      <c r="AM19" s="139"/>
      <c r="AN19" s="139"/>
      <c r="AO19" s="139"/>
      <c r="AP19" s="139"/>
      <c r="AQ19" s="139"/>
    </row>
    <row r="20" spans="2:43" ht="17.45" customHeight="1">
      <c r="B20" s="147"/>
      <c r="C20" s="147"/>
      <c r="D20" s="147"/>
      <c r="E20" s="147" t="s">
        <v>155</v>
      </c>
      <c r="F20" s="147" t="s">
        <v>279</v>
      </c>
      <c r="G20" s="147" t="s">
        <v>66</v>
      </c>
      <c r="H20" s="147" t="s">
        <v>224</v>
      </c>
      <c r="I20" s="148"/>
      <c r="J20" s="148">
        <v>6.0530400000000009E-3</v>
      </c>
      <c r="K20" s="148">
        <v>5.7571076641145368E-3</v>
      </c>
      <c r="L20" s="148"/>
      <c r="M20" s="148">
        <v>5.3280000000000003E-3</v>
      </c>
      <c r="N20" s="148"/>
      <c r="O20" s="148"/>
      <c r="P20" s="148"/>
      <c r="Q20" s="148"/>
      <c r="R20" s="148"/>
      <c r="S20" s="148"/>
      <c r="T20" s="148">
        <v>1</v>
      </c>
      <c r="U20" s="148"/>
      <c r="V20" s="148"/>
      <c r="AA20" t="s">
        <v>224</v>
      </c>
      <c r="AC20">
        <v>6.0530400000000009E-3</v>
      </c>
      <c r="AD20">
        <v>5.7571076641145368E-3</v>
      </c>
      <c r="AF20">
        <v>5.3280000000000003E-3</v>
      </c>
      <c r="AJ20" s="139"/>
      <c r="AK20" s="139"/>
      <c r="AL20" s="139"/>
      <c r="AM20" s="139"/>
      <c r="AN20" s="139"/>
      <c r="AO20" s="139"/>
      <c r="AP20" s="139"/>
      <c r="AQ20" s="139"/>
    </row>
    <row r="21" spans="2:43" ht="17.45" customHeight="1">
      <c r="B21" s="147" t="s">
        <v>246</v>
      </c>
      <c r="C21" s="147"/>
      <c r="D21" s="147"/>
      <c r="E21" s="147"/>
      <c r="F21" s="147" t="s">
        <v>66</v>
      </c>
      <c r="G21" s="147"/>
      <c r="H21" s="147" t="s">
        <v>85</v>
      </c>
      <c r="I21" s="148"/>
      <c r="J21" s="148">
        <v>7.2204687319144478E-2</v>
      </c>
      <c r="K21" s="148">
        <v>7.2204687319144478E-2</v>
      </c>
      <c r="L21" s="148"/>
      <c r="M21" s="148">
        <v>5.3579162014104557E-2</v>
      </c>
      <c r="N21" s="148"/>
      <c r="O21" s="148"/>
      <c r="P21" s="148"/>
      <c r="Q21" s="148"/>
      <c r="R21" s="148"/>
      <c r="S21" s="148"/>
      <c r="T21" s="148"/>
      <c r="U21" s="148"/>
      <c r="V21" s="148"/>
      <c r="AA21" t="s">
        <v>85</v>
      </c>
      <c r="AC21">
        <v>7.2204687319144478E-2</v>
      </c>
      <c r="AD21">
        <v>7.2204687319144478E-2</v>
      </c>
      <c r="AF21">
        <v>5.3579162014104557E-2</v>
      </c>
      <c r="AJ21" s="139"/>
      <c r="AK21" s="139"/>
      <c r="AL21" s="139"/>
      <c r="AM21" s="139"/>
      <c r="AN21" s="139"/>
      <c r="AO21" s="139"/>
      <c r="AP21" s="139"/>
      <c r="AQ21" s="139"/>
    </row>
    <row r="22" spans="2:43" ht="17.45" customHeight="1">
      <c r="B22" s="147" t="s">
        <v>246</v>
      </c>
      <c r="C22" s="147"/>
      <c r="D22" s="147"/>
      <c r="E22" s="147"/>
      <c r="F22" s="147"/>
      <c r="G22" s="147"/>
      <c r="H22" s="147" t="s">
        <v>89</v>
      </c>
      <c r="I22" s="148">
        <v>0.01</v>
      </c>
      <c r="J22" s="148">
        <v>0.01</v>
      </c>
      <c r="K22" s="148">
        <v>0.01</v>
      </c>
      <c r="L22" s="148"/>
      <c r="M22" s="148">
        <v>0.01</v>
      </c>
      <c r="N22" s="148"/>
      <c r="O22" s="148"/>
      <c r="P22" s="148"/>
      <c r="Q22" s="148"/>
      <c r="R22" s="148"/>
      <c r="S22" s="148"/>
      <c r="T22" s="148"/>
      <c r="U22" s="148"/>
      <c r="V22" s="148"/>
      <c r="AA22" t="s">
        <v>89</v>
      </c>
      <c r="AB22">
        <v>0.01</v>
      </c>
      <c r="AC22">
        <v>0.01</v>
      </c>
      <c r="AD22">
        <v>0.01</v>
      </c>
      <c r="AF22">
        <v>0.01</v>
      </c>
      <c r="AJ22" s="139"/>
      <c r="AK22" s="139"/>
      <c r="AL22" s="139"/>
      <c r="AM22" s="139"/>
      <c r="AN22" s="139"/>
      <c r="AO22" s="139"/>
      <c r="AP22" s="139"/>
      <c r="AQ22" s="139"/>
    </row>
    <row r="23" spans="2:43" ht="17.45" customHeight="1">
      <c r="B23" s="147" t="s">
        <v>394</v>
      </c>
      <c r="C23" s="147" t="s">
        <v>395</v>
      </c>
      <c r="D23" s="147" t="s">
        <v>396</v>
      </c>
      <c r="E23" s="147" t="s">
        <v>67</v>
      </c>
      <c r="F23" s="147"/>
      <c r="G23" s="147"/>
      <c r="H23" s="147" t="s">
        <v>45</v>
      </c>
      <c r="I23" s="148"/>
      <c r="J23" s="148"/>
      <c r="K23" s="148">
        <v>0.73</v>
      </c>
      <c r="L23" s="148">
        <f>K23</f>
        <v>0.73</v>
      </c>
      <c r="M23" s="148">
        <f>L23</f>
        <v>0.73</v>
      </c>
      <c r="N23" s="148">
        <v>1</v>
      </c>
      <c r="O23" s="148"/>
      <c r="P23" s="148">
        <v>0.82</v>
      </c>
      <c r="Q23" s="148">
        <v>1</v>
      </c>
      <c r="R23" s="148">
        <v>20</v>
      </c>
      <c r="S23" s="148"/>
      <c r="T23" s="148"/>
      <c r="U23" s="148"/>
      <c r="V23" s="148">
        <v>2030</v>
      </c>
      <c r="AJ23" s="139"/>
      <c r="AK23" s="139"/>
      <c r="AL23" s="139"/>
      <c r="AM23" s="139"/>
      <c r="AN23" s="139"/>
      <c r="AO23" s="139"/>
      <c r="AP23" s="139"/>
      <c r="AQ23" s="139"/>
    </row>
    <row r="24" spans="2:43" ht="17.45" customHeight="1">
      <c r="B24" s="147"/>
      <c r="C24" s="147"/>
      <c r="D24" s="147"/>
      <c r="E24" s="147" t="s">
        <v>155</v>
      </c>
      <c r="F24" s="147" t="s">
        <v>279</v>
      </c>
      <c r="G24" s="147" t="s">
        <v>66</v>
      </c>
      <c r="H24" s="147" t="s">
        <v>224</v>
      </c>
      <c r="I24" s="148"/>
      <c r="J24" s="148"/>
      <c r="K24" s="148">
        <v>8.9999999999999998E-4</v>
      </c>
      <c r="L24" s="148">
        <f>K24</f>
        <v>8.9999999999999998E-4</v>
      </c>
      <c r="M24" s="148">
        <f>L24</f>
        <v>8.9999999999999998E-4</v>
      </c>
      <c r="N24" s="148"/>
      <c r="O24" s="148"/>
      <c r="P24" s="148"/>
      <c r="Q24" s="148"/>
      <c r="R24" s="148"/>
      <c r="S24" s="148"/>
      <c r="T24" s="148">
        <v>1</v>
      </c>
      <c r="U24" s="148"/>
      <c r="V24" s="148"/>
      <c r="AJ24" s="139"/>
      <c r="AK24" s="139"/>
      <c r="AL24" s="139"/>
      <c r="AM24" s="139"/>
      <c r="AN24" s="139"/>
      <c r="AO24" s="139"/>
      <c r="AP24" s="139"/>
      <c r="AQ24" s="139"/>
    </row>
    <row r="25" spans="2:43" ht="17.45" customHeight="1">
      <c r="B25" s="147"/>
      <c r="C25" s="147"/>
      <c r="D25" s="147"/>
      <c r="E25" s="147" t="s">
        <v>192</v>
      </c>
      <c r="F25" s="147" t="s">
        <v>66</v>
      </c>
      <c r="G25" s="147"/>
      <c r="H25" s="147" t="s">
        <v>224</v>
      </c>
      <c r="I25" s="148"/>
      <c r="J25" s="148"/>
      <c r="K25" s="148">
        <v>6.3E-3</v>
      </c>
      <c r="L25" s="148">
        <v>6.3E-3</v>
      </c>
      <c r="M25" s="148">
        <v>6.3E-3</v>
      </c>
      <c r="N25" s="148"/>
      <c r="O25" s="148"/>
      <c r="P25" s="148"/>
      <c r="Q25" s="148"/>
      <c r="R25" s="148"/>
      <c r="S25" s="148"/>
      <c r="T25" s="148"/>
      <c r="U25" s="148"/>
      <c r="V25" s="148"/>
      <c r="AJ25" s="139"/>
      <c r="AK25" s="139"/>
      <c r="AL25" s="139"/>
      <c r="AM25" s="139"/>
      <c r="AN25" s="139"/>
      <c r="AO25" s="139"/>
      <c r="AP25" s="139"/>
      <c r="AQ25" s="139"/>
    </row>
    <row r="26" spans="2:43" ht="17.45" customHeight="1">
      <c r="B26" s="147" t="s">
        <v>394</v>
      </c>
      <c r="C26" s="147"/>
      <c r="D26" s="147"/>
      <c r="E26" s="147"/>
      <c r="F26" s="147"/>
      <c r="G26" s="147"/>
      <c r="H26" s="147" t="s">
        <v>85</v>
      </c>
      <c r="I26" s="148"/>
      <c r="J26" s="148"/>
      <c r="K26" s="148">
        <f>0.04*K23</f>
        <v>2.92E-2</v>
      </c>
      <c r="L26" s="148">
        <f t="shared" ref="L26:M26" si="0">0.04*L23</f>
        <v>2.92E-2</v>
      </c>
      <c r="M26" s="148">
        <f t="shared" si="0"/>
        <v>2.92E-2</v>
      </c>
      <c r="N26" s="148"/>
      <c r="O26" s="148"/>
      <c r="P26" s="148"/>
      <c r="Q26" s="148"/>
      <c r="R26" s="148"/>
      <c r="S26" s="148"/>
      <c r="T26" s="148"/>
      <c r="U26" s="148"/>
      <c r="V26" s="148"/>
      <c r="AJ26" s="139"/>
      <c r="AK26" s="139"/>
      <c r="AL26" s="139"/>
      <c r="AM26" s="139"/>
      <c r="AN26" s="139"/>
      <c r="AO26" s="139"/>
      <c r="AP26" s="139"/>
      <c r="AQ26" s="139"/>
    </row>
    <row r="27" spans="2:43">
      <c r="B27" s="114" t="s">
        <v>285</v>
      </c>
      <c r="C27" s="149" t="s">
        <v>292</v>
      </c>
      <c r="D27" s="149" t="s">
        <v>375</v>
      </c>
      <c r="E27" s="149" t="s">
        <v>327</v>
      </c>
      <c r="F27" s="149"/>
      <c r="G27" s="149"/>
      <c r="H27" s="149" t="s">
        <v>45</v>
      </c>
      <c r="I27" s="149"/>
      <c r="J27" s="150">
        <v>790</v>
      </c>
      <c r="K27" s="150">
        <v>700</v>
      </c>
      <c r="L27" s="150"/>
      <c r="M27" s="150">
        <v>540</v>
      </c>
      <c r="N27" s="150">
        <v>56.1</v>
      </c>
      <c r="O27" s="149"/>
      <c r="P27" s="150">
        <v>0.9</v>
      </c>
      <c r="Q27" s="150">
        <v>31.536000000000001</v>
      </c>
      <c r="R27" s="150">
        <v>30</v>
      </c>
      <c r="S27" s="151">
        <v>9.722222222222221E-2</v>
      </c>
      <c r="T27" s="149"/>
      <c r="U27" s="149">
        <f>15/1000</f>
        <v>1.4999999999999999E-2</v>
      </c>
      <c r="V27" s="152">
        <v>2030</v>
      </c>
    </row>
    <row r="28" spans="2:43">
      <c r="B28" s="114" t="s">
        <v>285</v>
      </c>
      <c r="C28" s="37"/>
      <c r="D28" s="37"/>
      <c r="E28" s="37" t="s">
        <v>113</v>
      </c>
      <c r="F28" s="37" t="s">
        <v>192</v>
      </c>
      <c r="G28" s="37"/>
      <c r="H28" s="37" t="s">
        <v>85</v>
      </c>
      <c r="I28" s="37"/>
      <c r="J28" s="116">
        <v>23.7</v>
      </c>
      <c r="K28" s="116">
        <v>21</v>
      </c>
      <c r="L28" s="116"/>
      <c r="M28" s="116">
        <v>16.2</v>
      </c>
      <c r="N28" s="116">
        <v>2.29E-2</v>
      </c>
      <c r="O28" s="119">
        <v>9.7985697034993602E-2</v>
      </c>
      <c r="P28" s="116"/>
      <c r="Q28" s="116"/>
      <c r="R28" s="116"/>
      <c r="S28" s="116"/>
      <c r="T28" s="37"/>
      <c r="U28" s="37"/>
      <c r="V28" s="37"/>
    </row>
    <row r="29" spans="2:43">
      <c r="B29" s="114"/>
      <c r="C29" s="37"/>
      <c r="D29" s="37"/>
      <c r="E29" s="37" t="s">
        <v>114</v>
      </c>
      <c r="F29" s="37" t="s">
        <v>172</v>
      </c>
      <c r="G29" s="37"/>
      <c r="H29" s="37" t="s">
        <v>224</v>
      </c>
      <c r="I29" s="37"/>
      <c r="J29" s="116">
        <v>1.198</v>
      </c>
      <c r="K29" s="119">
        <v>1.1850847484529745</v>
      </c>
      <c r="L29" s="119"/>
      <c r="M29" s="119">
        <v>1.1730713940699873</v>
      </c>
      <c r="N29" s="116"/>
      <c r="O29" s="37"/>
      <c r="P29" s="116"/>
      <c r="Q29" s="116"/>
      <c r="R29" s="116"/>
      <c r="S29" s="116"/>
      <c r="T29" s="37"/>
      <c r="U29" s="37"/>
      <c r="V29" s="37"/>
      <c r="AJ29" s="23"/>
      <c r="AK29" s="24"/>
    </row>
    <row r="30" spans="2:43">
      <c r="B30" s="114" t="s">
        <v>285</v>
      </c>
      <c r="C30" s="37" t="s">
        <v>287</v>
      </c>
      <c r="D30" s="115" t="s">
        <v>376</v>
      </c>
      <c r="E30" s="115" t="s">
        <v>327</v>
      </c>
      <c r="F30" s="37"/>
      <c r="G30" s="37"/>
      <c r="H30" s="37" t="s">
        <v>45</v>
      </c>
      <c r="I30" s="37"/>
      <c r="J30" s="116">
        <v>790</v>
      </c>
      <c r="K30" s="116">
        <v>700</v>
      </c>
      <c r="L30" s="116"/>
      <c r="M30" s="116">
        <v>540</v>
      </c>
      <c r="N30" s="120">
        <v>70.125</v>
      </c>
      <c r="O30" s="37"/>
      <c r="P30" s="116">
        <v>0.9</v>
      </c>
      <c r="Q30" s="116">
        <v>31.536000000000001</v>
      </c>
      <c r="R30" s="116">
        <v>30</v>
      </c>
      <c r="S30" s="117">
        <v>0.44166666666666665</v>
      </c>
      <c r="T30" s="37"/>
      <c r="U30" s="37">
        <f>15/1000</f>
        <v>1.4999999999999999E-2</v>
      </c>
      <c r="V30" s="118">
        <v>2030</v>
      </c>
      <c r="AK30" s="24"/>
    </row>
    <row r="31" spans="2:43">
      <c r="B31" s="114" t="s">
        <v>285</v>
      </c>
      <c r="C31" s="37"/>
      <c r="D31" s="37"/>
      <c r="E31" s="37" t="s">
        <v>113</v>
      </c>
      <c r="F31" s="37" t="s">
        <v>192</v>
      </c>
      <c r="G31" s="37"/>
      <c r="H31" s="37" t="s">
        <v>85</v>
      </c>
      <c r="I31" s="37"/>
      <c r="J31" s="116">
        <v>23.7</v>
      </c>
      <c r="K31" s="116">
        <v>21</v>
      </c>
      <c r="L31" s="116"/>
      <c r="M31" s="116">
        <v>16.2</v>
      </c>
      <c r="N31" s="116">
        <v>4.9500000000000002E-2</v>
      </c>
      <c r="O31" s="119">
        <v>9.6862033591384233E-2</v>
      </c>
      <c r="P31" s="116"/>
      <c r="Q31" s="116"/>
      <c r="R31" s="116"/>
      <c r="S31" s="116"/>
      <c r="T31" s="37"/>
      <c r="U31" s="37"/>
      <c r="V31" s="37"/>
    </row>
    <row r="32" spans="2:43">
      <c r="B32" s="114"/>
      <c r="C32" s="37"/>
      <c r="D32" s="37"/>
      <c r="E32" s="37" t="s">
        <v>114</v>
      </c>
      <c r="F32" s="37" t="s">
        <v>286</v>
      </c>
      <c r="G32" s="37"/>
      <c r="H32" s="37" t="s">
        <v>224</v>
      </c>
      <c r="I32" s="37"/>
      <c r="J32" s="116">
        <v>1.161</v>
      </c>
      <c r="K32" s="119">
        <v>1.1523664579866844</v>
      </c>
      <c r="L32" s="119"/>
      <c r="M32" s="119">
        <v>1.1442240671827684</v>
      </c>
      <c r="N32" s="116"/>
      <c r="O32" s="37"/>
      <c r="P32" s="116"/>
      <c r="Q32" s="116"/>
      <c r="R32" s="116"/>
      <c r="S32" s="116"/>
      <c r="T32" s="37"/>
      <c r="U32" s="37"/>
      <c r="V32" s="37"/>
    </row>
    <row r="33" spans="2:41">
      <c r="B33" s="121" t="s">
        <v>285</v>
      </c>
      <c r="C33" s="122" t="s">
        <v>288</v>
      </c>
      <c r="D33" s="138" t="s">
        <v>382</v>
      </c>
      <c r="E33" s="122" t="s">
        <v>113</v>
      </c>
      <c r="F33" s="122" t="s">
        <v>300</v>
      </c>
      <c r="G33" s="122"/>
      <c r="H33" s="122" t="s">
        <v>45</v>
      </c>
      <c r="I33" s="122"/>
      <c r="J33" s="123">
        <v>307</v>
      </c>
      <c r="K33" s="123">
        <v>269</v>
      </c>
      <c r="L33" s="123"/>
      <c r="M33" s="123">
        <v>200</v>
      </c>
      <c r="N33" s="122">
        <v>1.6400000000000001E-2</v>
      </c>
      <c r="O33" s="122"/>
      <c r="P33" s="123">
        <v>0.9</v>
      </c>
      <c r="Q33" s="123">
        <v>31.536000000000001</v>
      </c>
      <c r="R33" s="123">
        <v>30</v>
      </c>
      <c r="S33" s="123">
        <v>0.375</v>
      </c>
      <c r="T33" s="122"/>
      <c r="U33" s="122"/>
      <c r="V33" s="124">
        <v>2030</v>
      </c>
      <c r="AK33" s="25">
        <v>319</v>
      </c>
      <c r="AL33" s="25" t="s">
        <v>258</v>
      </c>
    </row>
    <row r="34" spans="2:41">
      <c r="B34" s="121" t="s">
        <v>285</v>
      </c>
      <c r="C34" s="122"/>
      <c r="D34" s="122"/>
      <c r="E34" s="122" t="s">
        <v>114</v>
      </c>
      <c r="F34" s="122" t="s">
        <v>192</v>
      </c>
      <c r="G34" s="122"/>
      <c r="H34" s="122" t="s">
        <v>85</v>
      </c>
      <c r="I34" s="122"/>
      <c r="J34" s="125">
        <v>13.815</v>
      </c>
      <c r="K34" s="125">
        <v>12.105</v>
      </c>
      <c r="L34" s="125"/>
      <c r="M34" s="125">
        <v>9</v>
      </c>
      <c r="N34" s="122">
        <v>3.5999999999999999E-3</v>
      </c>
      <c r="O34" s="126">
        <v>3.6396228794157492E-2</v>
      </c>
      <c r="P34" s="123"/>
      <c r="Q34" s="123"/>
      <c r="R34" s="123"/>
      <c r="S34" s="123"/>
      <c r="T34" s="122"/>
      <c r="U34" s="122"/>
      <c r="V34" s="122"/>
      <c r="AK34" s="25">
        <v>145</v>
      </c>
      <c r="AL34" s="25" t="s">
        <v>259</v>
      </c>
    </row>
    <row r="35" spans="2:41">
      <c r="B35" s="121"/>
      <c r="C35" s="122"/>
      <c r="D35" s="122"/>
      <c r="E35" s="122" t="s">
        <v>286</v>
      </c>
      <c r="F35" s="122"/>
      <c r="G35" s="122"/>
      <c r="H35" s="122" t="s">
        <v>224</v>
      </c>
      <c r="I35" s="122"/>
      <c r="J35" s="123">
        <v>1.0562</v>
      </c>
      <c r="K35" s="126">
        <v>1.05446890696028</v>
      </c>
      <c r="L35" s="126"/>
      <c r="M35" s="126">
        <v>1.052792457588315</v>
      </c>
      <c r="N35" s="122"/>
      <c r="O35" s="122"/>
      <c r="P35" s="123"/>
      <c r="Q35" s="123"/>
      <c r="R35" s="123"/>
      <c r="S35" s="123"/>
      <c r="T35" s="122"/>
      <c r="U35" s="122"/>
      <c r="V35" s="122"/>
      <c r="AK35" s="26">
        <f>AK34/AK33*1000</f>
        <v>454.5454545454545</v>
      </c>
      <c r="AL35" s="25" t="s">
        <v>75</v>
      </c>
    </row>
    <row r="36" spans="2:41">
      <c r="B36" s="121" t="s">
        <v>285</v>
      </c>
      <c r="C36" s="122" t="s">
        <v>289</v>
      </c>
      <c r="D36" s="138" t="s">
        <v>383</v>
      </c>
      <c r="E36" s="122" t="s">
        <v>113</v>
      </c>
      <c r="F36" s="122" t="s">
        <v>298</v>
      </c>
      <c r="G36" s="122"/>
      <c r="H36" s="122" t="s">
        <v>45</v>
      </c>
      <c r="I36" s="122"/>
      <c r="J36" s="123">
        <v>307</v>
      </c>
      <c r="K36" s="123">
        <v>269</v>
      </c>
      <c r="L36" s="123"/>
      <c r="M36" s="123">
        <v>200</v>
      </c>
      <c r="N36" s="122">
        <v>1.6299999999999999E-2</v>
      </c>
      <c r="O36" s="122"/>
      <c r="P36" s="123">
        <v>0.9</v>
      </c>
      <c r="Q36" s="123">
        <v>31.536000000000001</v>
      </c>
      <c r="R36" s="123">
        <v>30</v>
      </c>
      <c r="S36" s="123">
        <v>0.375</v>
      </c>
      <c r="T36" s="122"/>
      <c r="U36" s="122"/>
      <c r="V36" s="124">
        <v>2030</v>
      </c>
      <c r="AK36" s="25">
        <f>AK35/3.6/8.76</f>
        <v>14.413541810802082</v>
      </c>
      <c r="AL36" s="25" t="s">
        <v>69</v>
      </c>
    </row>
    <row r="37" spans="2:41">
      <c r="B37" s="121" t="s">
        <v>285</v>
      </c>
      <c r="C37" s="122"/>
      <c r="D37" s="122"/>
      <c r="E37" s="122" t="s">
        <v>114</v>
      </c>
      <c r="F37" s="122" t="s">
        <v>192</v>
      </c>
      <c r="G37" s="122"/>
      <c r="H37" s="122" t="s">
        <v>85</v>
      </c>
      <c r="I37" s="122"/>
      <c r="J37" s="125">
        <v>13.815</v>
      </c>
      <c r="K37" s="125">
        <v>12.105</v>
      </c>
      <c r="L37" s="125"/>
      <c r="M37" s="125">
        <v>9</v>
      </c>
      <c r="N37" s="122">
        <v>2.4E-2</v>
      </c>
      <c r="O37" s="126">
        <v>4.2793929117299734E-2</v>
      </c>
      <c r="P37" s="123"/>
      <c r="Q37" s="123"/>
      <c r="R37" s="123"/>
      <c r="S37" s="123"/>
      <c r="T37" s="122"/>
      <c r="U37" s="122"/>
      <c r="V37" s="122"/>
      <c r="AK37" s="25"/>
      <c r="AL37" s="25"/>
    </row>
    <row r="38" spans="2:41">
      <c r="B38" s="121"/>
      <c r="C38" s="122"/>
      <c r="D38" s="122"/>
      <c r="E38" s="122" t="s">
        <v>286</v>
      </c>
      <c r="F38" s="122"/>
      <c r="G38" s="122"/>
      <c r="H38" s="122" t="s">
        <v>224</v>
      </c>
      <c r="I38" s="122"/>
      <c r="J38" s="123">
        <v>1.0482</v>
      </c>
      <c r="K38" s="126">
        <v>1.0467207429584235</v>
      </c>
      <c r="L38" s="126"/>
      <c r="M38" s="126">
        <v>1.0452878582345995</v>
      </c>
      <c r="N38" s="122"/>
      <c r="O38" s="122"/>
      <c r="P38" s="123"/>
      <c r="Q38" s="123"/>
      <c r="R38" s="123"/>
      <c r="S38" s="123"/>
      <c r="T38" s="122"/>
      <c r="U38" s="122"/>
      <c r="V38" s="122"/>
    </row>
    <row r="39" spans="2:41">
      <c r="B39" s="121" t="s">
        <v>285</v>
      </c>
      <c r="C39" s="127" t="s">
        <v>295</v>
      </c>
      <c r="D39" s="127" t="s">
        <v>296</v>
      </c>
      <c r="E39" s="127"/>
      <c r="F39" s="127" t="s">
        <v>226</v>
      </c>
      <c r="G39" s="122"/>
      <c r="H39" s="127" t="s">
        <v>45</v>
      </c>
      <c r="I39" s="122"/>
      <c r="J39" s="128">
        <v>2500</v>
      </c>
      <c r="K39" s="128">
        <v>1600</v>
      </c>
      <c r="L39" s="128"/>
      <c r="M39" s="128">
        <v>1500</v>
      </c>
      <c r="N39" s="128"/>
      <c r="O39" s="127"/>
      <c r="P39" s="123">
        <v>0.9</v>
      </c>
      <c r="Q39" s="128">
        <v>31.536000000000001</v>
      </c>
      <c r="R39" s="128">
        <v>30</v>
      </c>
      <c r="S39" s="129">
        <v>0.45833333333333337</v>
      </c>
      <c r="T39" s="122"/>
      <c r="U39" s="122"/>
      <c r="V39" s="124">
        <v>2030</v>
      </c>
      <c r="AJ39" t="s">
        <v>260</v>
      </c>
      <c r="AK39" s="10">
        <v>2020</v>
      </c>
      <c r="AL39" s="10">
        <v>2025</v>
      </c>
      <c r="AM39" s="10">
        <v>2030</v>
      </c>
      <c r="AN39" s="10">
        <v>2040</v>
      </c>
      <c r="AO39" s="10">
        <v>2050</v>
      </c>
    </row>
    <row r="40" spans="2:41">
      <c r="B40" s="121" t="s">
        <v>285</v>
      </c>
      <c r="C40" s="127"/>
      <c r="D40" s="127"/>
      <c r="E40" s="127" t="s">
        <v>113</v>
      </c>
      <c r="F40" s="127" t="s">
        <v>192</v>
      </c>
      <c r="G40" s="122"/>
      <c r="H40" s="127" t="s">
        <v>85</v>
      </c>
      <c r="I40" s="122"/>
      <c r="J40" s="130">
        <v>40.200000000000003</v>
      </c>
      <c r="K40" s="130">
        <v>26.2</v>
      </c>
      <c r="L40" s="130"/>
      <c r="M40" s="130">
        <v>24.1</v>
      </c>
      <c r="N40" s="129">
        <v>6.1266666666666664E-2</v>
      </c>
      <c r="O40" s="129">
        <f>((M41+N40)-1)* 0.57</f>
        <v>0.2489660165061898</v>
      </c>
      <c r="P40" s="128"/>
      <c r="Q40" s="128"/>
      <c r="R40" s="128"/>
      <c r="S40" s="128"/>
      <c r="T40" s="122"/>
      <c r="U40" s="122"/>
      <c r="V40" s="122"/>
      <c r="AJ40" t="s">
        <v>261</v>
      </c>
      <c r="AK40">
        <v>2.5</v>
      </c>
      <c r="AL40">
        <v>2.5</v>
      </c>
      <c r="AM40">
        <v>2</v>
      </c>
      <c r="AN40">
        <v>1.5</v>
      </c>
      <c r="AO40">
        <v>1.5</v>
      </c>
    </row>
    <row r="41" spans="2:41">
      <c r="B41" s="127"/>
      <c r="C41" s="127"/>
      <c r="D41" s="127"/>
      <c r="E41" s="127" t="s">
        <v>321</v>
      </c>
      <c r="F41" s="127" t="s">
        <v>241</v>
      </c>
      <c r="G41" s="127" t="s">
        <v>297</v>
      </c>
      <c r="H41" s="127" t="s">
        <v>224</v>
      </c>
      <c r="I41" s="122"/>
      <c r="J41" s="129">
        <v>1.5384615384615385</v>
      </c>
      <c r="K41" s="129">
        <f>1/0.69</f>
        <v>1.4492753623188408</v>
      </c>
      <c r="L41" s="129"/>
      <c r="M41" s="129">
        <f>1/0.727</f>
        <v>1.3755158184319121</v>
      </c>
      <c r="N41" s="128"/>
      <c r="O41" s="131"/>
      <c r="P41" s="128"/>
      <c r="Q41" s="128"/>
      <c r="R41" s="128"/>
      <c r="S41" s="128"/>
      <c r="T41" s="132">
        <f>-1</f>
        <v>-1</v>
      </c>
      <c r="U41" s="122"/>
      <c r="V41" s="122"/>
      <c r="AJ41" t="s">
        <v>262</v>
      </c>
      <c r="AK41">
        <v>0.35</v>
      </c>
      <c r="AL41">
        <v>0.35</v>
      </c>
      <c r="AM41">
        <v>0.32</v>
      </c>
      <c r="AN41">
        <v>0.3</v>
      </c>
      <c r="AO41">
        <v>0.28000000000000003</v>
      </c>
    </row>
    <row r="42" spans="2:41">
      <c r="B42" s="122"/>
      <c r="C42" s="122"/>
      <c r="D42" s="122"/>
      <c r="E42" s="122"/>
      <c r="F42" s="127" t="s">
        <v>297</v>
      </c>
      <c r="G42" s="127"/>
      <c r="H42" s="128" t="s">
        <v>225</v>
      </c>
      <c r="I42" s="128"/>
      <c r="J42" s="131">
        <f>(J41*110-56)*0.92</f>
        <v>104.1723076923077</v>
      </c>
      <c r="K42" s="131">
        <f>(K41*110-56)*0.92</f>
        <v>95.146666666666704</v>
      </c>
      <c r="L42" s="131"/>
      <c r="M42" s="131">
        <f>(M41*110-56)*0.92</f>
        <v>87.682200825309508</v>
      </c>
      <c r="N42" s="128"/>
      <c r="O42" s="131"/>
      <c r="P42" s="128"/>
      <c r="Q42" s="128"/>
      <c r="R42" s="128"/>
      <c r="S42" s="128"/>
      <c r="T42" s="133"/>
      <c r="U42" s="122"/>
      <c r="V42" s="122"/>
      <c r="AJ42" s="28" t="s">
        <v>270</v>
      </c>
      <c r="AK42" s="29">
        <v>7</v>
      </c>
      <c r="AL42" s="29">
        <v>7</v>
      </c>
      <c r="AM42" s="29">
        <v>6</v>
      </c>
      <c r="AN42" s="29">
        <v>5</v>
      </c>
      <c r="AO42" s="30">
        <v>4</v>
      </c>
    </row>
    <row r="43" spans="2:41">
      <c r="B43" s="34" t="s">
        <v>285</v>
      </c>
      <c r="C43" s="38" t="s">
        <v>371</v>
      </c>
      <c r="D43" s="38" t="s">
        <v>373</v>
      </c>
      <c r="E43" s="38" t="s">
        <v>326</v>
      </c>
      <c r="F43" s="109"/>
      <c r="G43" s="109"/>
      <c r="H43" s="110" t="s">
        <v>45</v>
      </c>
      <c r="I43" s="110"/>
      <c r="J43" s="111">
        <v>790</v>
      </c>
      <c r="K43" s="111">
        <v>700</v>
      </c>
      <c r="L43" s="111"/>
      <c r="M43" s="111">
        <v>540</v>
      </c>
      <c r="N43" s="110">
        <v>56.1</v>
      </c>
      <c r="O43" s="111"/>
      <c r="P43" s="110">
        <v>0.9</v>
      </c>
      <c r="Q43" s="110">
        <v>31.536000000000001</v>
      </c>
      <c r="R43" s="110">
        <v>30</v>
      </c>
      <c r="S43" s="110">
        <v>9.722222222222221E-2</v>
      </c>
      <c r="T43" s="112"/>
      <c r="U43" s="34">
        <v>1.4999999999999999E-2</v>
      </c>
      <c r="V43" s="34">
        <v>2030</v>
      </c>
      <c r="AJ43" s="107"/>
      <c r="AK43" s="108"/>
      <c r="AL43" s="108"/>
      <c r="AM43" s="108"/>
      <c r="AN43" s="108"/>
      <c r="AO43" s="108"/>
    </row>
    <row r="44" spans="2:41">
      <c r="B44" s="34" t="s">
        <v>285</v>
      </c>
      <c r="C44" s="34"/>
      <c r="D44" s="34"/>
      <c r="E44" s="34" t="s">
        <v>113</v>
      </c>
      <c r="F44" s="109" t="s">
        <v>192</v>
      </c>
      <c r="G44" s="109"/>
      <c r="H44" s="110" t="s">
        <v>85</v>
      </c>
      <c r="I44" s="110"/>
      <c r="J44" s="111">
        <v>23.7</v>
      </c>
      <c r="K44" s="111">
        <v>21</v>
      </c>
      <c r="L44" s="111"/>
      <c r="M44" s="111">
        <v>16.2</v>
      </c>
      <c r="N44" s="110">
        <v>2.29E-2</v>
      </c>
      <c r="O44" s="111">
        <v>9.7985697034993602E-2</v>
      </c>
      <c r="P44" s="110"/>
      <c r="Q44" s="110"/>
      <c r="R44" s="110"/>
      <c r="S44" s="110"/>
      <c r="T44" s="112"/>
      <c r="U44" s="34"/>
      <c r="V44" s="34"/>
      <c r="AJ44" s="107"/>
      <c r="AK44" s="108"/>
      <c r="AL44" s="108"/>
      <c r="AM44" s="108"/>
      <c r="AN44" s="108"/>
      <c r="AO44" s="108"/>
    </row>
    <row r="45" spans="2:41">
      <c r="B45" s="34"/>
      <c r="C45" s="34"/>
      <c r="D45" s="34"/>
      <c r="E45" s="34" t="s">
        <v>114</v>
      </c>
      <c r="F45" s="109" t="s">
        <v>346</v>
      </c>
      <c r="G45" s="109"/>
      <c r="H45" s="110" t="s">
        <v>224</v>
      </c>
      <c r="I45" s="110"/>
      <c r="J45" s="111">
        <v>1.198</v>
      </c>
      <c r="K45" s="111">
        <v>1.1850847484529745</v>
      </c>
      <c r="L45" s="111"/>
      <c r="M45" s="111">
        <v>1.1730713940699873</v>
      </c>
      <c r="N45" s="110"/>
      <c r="O45" s="111"/>
      <c r="P45" s="110"/>
      <c r="Q45" s="110"/>
      <c r="R45" s="110"/>
      <c r="S45" s="110"/>
      <c r="T45" s="112"/>
      <c r="U45" s="34"/>
      <c r="V45" s="34"/>
      <c r="AJ45" s="107"/>
      <c r="AK45" s="108"/>
      <c r="AL45" s="108"/>
      <c r="AM45" s="108"/>
      <c r="AN45" s="108"/>
      <c r="AO45" s="108"/>
    </row>
    <row r="46" spans="2:41">
      <c r="B46" s="34" t="s">
        <v>285</v>
      </c>
      <c r="C46" s="38" t="s">
        <v>372</v>
      </c>
      <c r="D46" s="38" t="s">
        <v>374</v>
      </c>
      <c r="E46" s="38" t="s">
        <v>326</v>
      </c>
      <c r="F46" s="109"/>
      <c r="G46" s="109"/>
      <c r="H46" s="110" t="s">
        <v>45</v>
      </c>
      <c r="I46" s="110"/>
      <c r="J46" s="111">
        <v>790</v>
      </c>
      <c r="K46" s="111">
        <v>700</v>
      </c>
      <c r="L46" s="111"/>
      <c r="M46" s="111">
        <v>540</v>
      </c>
      <c r="N46" s="110">
        <v>70.125</v>
      </c>
      <c r="O46" s="111"/>
      <c r="P46" s="110">
        <v>0.9</v>
      </c>
      <c r="Q46" s="110">
        <v>31.536000000000001</v>
      </c>
      <c r="R46" s="110">
        <v>30</v>
      </c>
      <c r="S46" s="110">
        <v>0.44166666666666665</v>
      </c>
      <c r="T46" s="112"/>
      <c r="U46" s="34">
        <v>1.4999999999999999E-2</v>
      </c>
      <c r="V46" s="34">
        <v>2030</v>
      </c>
      <c r="AJ46" s="107"/>
      <c r="AK46" s="108"/>
      <c r="AL46" s="108"/>
      <c r="AM46" s="108"/>
      <c r="AN46" s="108"/>
      <c r="AO46" s="108"/>
    </row>
    <row r="47" spans="2:41">
      <c r="B47" s="34" t="s">
        <v>285</v>
      </c>
      <c r="C47" s="34"/>
      <c r="D47" s="34"/>
      <c r="E47" s="34" t="s">
        <v>113</v>
      </c>
      <c r="F47" s="109" t="s">
        <v>192</v>
      </c>
      <c r="G47" s="109"/>
      <c r="H47" s="110" t="s">
        <v>85</v>
      </c>
      <c r="I47" s="110"/>
      <c r="J47" s="111">
        <v>23.7</v>
      </c>
      <c r="K47" s="111">
        <v>21</v>
      </c>
      <c r="L47" s="111"/>
      <c r="M47" s="111">
        <v>16.2</v>
      </c>
      <c r="N47" s="110">
        <v>4.9500000000000002E-2</v>
      </c>
      <c r="O47" s="111">
        <v>9.6862033591384233E-2</v>
      </c>
      <c r="P47" s="110"/>
      <c r="Q47" s="110"/>
      <c r="R47" s="110"/>
      <c r="S47" s="110"/>
      <c r="T47" s="112"/>
      <c r="U47" s="34"/>
      <c r="V47" s="34"/>
      <c r="AJ47" s="107"/>
      <c r="AK47" s="108"/>
      <c r="AL47" s="108"/>
      <c r="AM47" s="108"/>
      <c r="AN47" s="108"/>
      <c r="AO47" s="108"/>
    </row>
    <row r="48" spans="2:41">
      <c r="B48" s="34"/>
      <c r="C48" s="34"/>
      <c r="D48" s="34"/>
      <c r="E48" s="34" t="s">
        <v>114</v>
      </c>
      <c r="F48" s="109" t="s">
        <v>377</v>
      </c>
      <c r="G48" s="109"/>
      <c r="H48" s="110" t="s">
        <v>224</v>
      </c>
      <c r="I48" s="110"/>
      <c r="J48" s="111">
        <v>1.161</v>
      </c>
      <c r="K48" s="111">
        <v>1.1523664579866844</v>
      </c>
      <c r="L48" s="111"/>
      <c r="M48" s="111">
        <v>1.1442240671827684</v>
      </c>
      <c r="N48" s="110"/>
      <c r="O48" s="111"/>
      <c r="P48" s="110"/>
      <c r="Q48" s="110"/>
      <c r="R48" s="110"/>
      <c r="S48" s="110"/>
      <c r="T48" s="112"/>
      <c r="U48" s="34"/>
      <c r="V48" s="34"/>
      <c r="AJ48" s="107"/>
      <c r="AK48" s="108"/>
      <c r="AL48" s="108"/>
      <c r="AM48" s="108"/>
      <c r="AN48" s="108"/>
      <c r="AO48" s="108"/>
    </row>
    <row r="49" spans="1:41">
      <c r="B49" s="34" t="s">
        <v>285</v>
      </c>
      <c r="C49" s="38" t="s">
        <v>378</v>
      </c>
      <c r="D49" s="38" t="s">
        <v>380</v>
      </c>
      <c r="E49" s="34" t="s">
        <v>113</v>
      </c>
      <c r="F49" s="109" t="s">
        <v>357</v>
      </c>
      <c r="G49" s="109"/>
      <c r="H49" s="110" t="s">
        <v>45</v>
      </c>
      <c r="I49" s="110"/>
      <c r="J49" s="111">
        <v>307</v>
      </c>
      <c r="K49" s="111">
        <v>269</v>
      </c>
      <c r="L49" s="111"/>
      <c r="M49" s="111">
        <v>200</v>
      </c>
      <c r="N49" s="110">
        <v>1.6400000000000001E-2</v>
      </c>
      <c r="O49" s="111"/>
      <c r="P49" s="110">
        <v>0.9</v>
      </c>
      <c r="Q49" s="110">
        <v>31.536000000000001</v>
      </c>
      <c r="R49" s="110">
        <v>30</v>
      </c>
      <c r="S49" s="110">
        <v>0.375</v>
      </c>
      <c r="T49" s="112"/>
      <c r="U49" s="34"/>
      <c r="V49" s="34">
        <v>2030</v>
      </c>
      <c r="AJ49" s="107"/>
      <c r="AK49" s="108"/>
      <c r="AL49" s="108"/>
      <c r="AM49" s="108"/>
      <c r="AN49" s="108"/>
      <c r="AO49" s="108"/>
    </row>
    <row r="50" spans="1:41">
      <c r="B50" s="34" t="s">
        <v>285</v>
      </c>
      <c r="C50" s="34"/>
      <c r="D50" s="34"/>
      <c r="E50" s="34" t="s">
        <v>114</v>
      </c>
      <c r="F50" s="109" t="s">
        <v>192</v>
      </c>
      <c r="G50" s="109"/>
      <c r="H50" s="110" t="s">
        <v>85</v>
      </c>
      <c r="I50" s="110"/>
      <c r="J50" s="111">
        <v>13.815</v>
      </c>
      <c r="K50" s="111">
        <v>12.105</v>
      </c>
      <c r="L50" s="111"/>
      <c r="M50" s="111">
        <v>9</v>
      </c>
      <c r="N50" s="110">
        <v>3.5999999999999999E-3</v>
      </c>
      <c r="O50" s="111">
        <v>3.6396228794157492E-2</v>
      </c>
      <c r="P50" s="110"/>
      <c r="Q50" s="110"/>
      <c r="R50" s="110"/>
      <c r="S50" s="110"/>
      <c r="T50" s="112"/>
      <c r="U50" s="34"/>
      <c r="V50" s="34"/>
      <c r="AJ50" s="107"/>
      <c r="AK50" s="108"/>
      <c r="AL50" s="108"/>
      <c r="AM50" s="108"/>
      <c r="AN50" s="108"/>
      <c r="AO50" s="108"/>
    </row>
    <row r="51" spans="1:41">
      <c r="B51" s="34"/>
      <c r="C51" s="34"/>
      <c r="D51" s="34"/>
      <c r="E51" s="34" t="s">
        <v>377</v>
      </c>
      <c r="F51" s="109"/>
      <c r="G51" s="109"/>
      <c r="H51" s="110" t="s">
        <v>224</v>
      </c>
      <c r="I51" s="110"/>
      <c r="J51" s="111">
        <v>1.0562</v>
      </c>
      <c r="K51" s="111">
        <v>1.05446890696028</v>
      </c>
      <c r="L51" s="111"/>
      <c r="M51" s="111">
        <v>1.052792457588315</v>
      </c>
      <c r="N51" s="110"/>
      <c r="O51" s="111"/>
      <c r="P51" s="110"/>
      <c r="Q51" s="110"/>
      <c r="R51" s="110"/>
      <c r="S51" s="110"/>
      <c r="T51" s="112"/>
      <c r="U51" s="34"/>
      <c r="V51" s="34"/>
      <c r="AJ51" s="107"/>
      <c r="AK51" s="108"/>
      <c r="AL51" s="108"/>
      <c r="AM51" s="108"/>
      <c r="AN51" s="108"/>
      <c r="AO51" s="108"/>
    </row>
    <row r="52" spans="1:41">
      <c r="B52" s="34" t="s">
        <v>285</v>
      </c>
      <c r="C52" s="38" t="s">
        <v>379</v>
      </c>
      <c r="D52" s="38" t="s">
        <v>381</v>
      </c>
      <c r="E52" s="34" t="s">
        <v>113</v>
      </c>
      <c r="F52" s="109" t="s">
        <v>339</v>
      </c>
      <c r="G52" s="109"/>
      <c r="H52" s="110" t="s">
        <v>45</v>
      </c>
      <c r="I52" s="110"/>
      <c r="J52" s="111">
        <v>307</v>
      </c>
      <c r="K52" s="111">
        <v>269</v>
      </c>
      <c r="L52" s="111"/>
      <c r="M52" s="111">
        <v>200</v>
      </c>
      <c r="N52" s="110">
        <v>1.6299999999999999E-2</v>
      </c>
      <c r="O52" s="111"/>
      <c r="P52" s="110">
        <v>0.9</v>
      </c>
      <c r="Q52" s="110">
        <v>31.536000000000001</v>
      </c>
      <c r="R52" s="110">
        <v>30</v>
      </c>
      <c r="S52" s="110">
        <v>0.375</v>
      </c>
      <c r="T52" s="112"/>
      <c r="U52" s="34"/>
      <c r="V52" s="34">
        <v>2030</v>
      </c>
      <c r="AJ52" s="107"/>
      <c r="AK52" s="108"/>
      <c r="AL52" s="108"/>
      <c r="AM52" s="108"/>
      <c r="AN52" s="108"/>
      <c r="AO52" s="108"/>
    </row>
    <row r="53" spans="1:41">
      <c r="B53" s="34" t="s">
        <v>285</v>
      </c>
      <c r="C53" s="34"/>
      <c r="D53" s="34"/>
      <c r="E53" s="34" t="s">
        <v>114</v>
      </c>
      <c r="F53" s="109" t="s">
        <v>192</v>
      </c>
      <c r="G53" s="109"/>
      <c r="H53" s="110" t="s">
        <v>85</v>
      </c>
      <c r="I53" s="110"/>
      <c r="J53" s="111">
        <v>13.815</v>
      </c>
      <c r="K53" s="111">
        <v>12.105</v>
      </c>
      <c r="L53" s="111"/>
      <c r="M53" s="111">
        <v>9</v>
      </c>
      <c r="N53" s="110">
        <v>2.4E-2</v>
      </c>
      <c r="O53" s="111">
        <v>4.2793929117299734E-2</v>
      </c>
      <c r="P53" s="110"/>
      <c r="Q53" s="110"/>
      <c r="R53" s="110"/>
      <c r="S53" s="110"/>
      <c r="T53" s="112"/>
      <c r="U53" s="34"/>
      <c r="V53" s="34"/>
      <c r="AJ53" s="107"/>
      <c r="AK53" s="108"/>
      <c r="AL53" s="108"/>
      <c r="AM53" s="108"/>
      <c r="AN53" s="108"/>
      <c r="AO53" s="108"/>
    </row>
    <row r="54" spans="1:41">
      <c r="B54" s="34"/>
      <c r="C54" s="34"/>
      <c r="D54" s="34"/>
      <c r="E54" s="34" t="s">
        <v>377</v>
      </c>
      <c r="F54" s="109"/>
      <c r="G54" s="109"/>
      <c r="H54" s="110" t="s">
        <v>224</v>
      </c>
      <c r="I54" s="110"/>
      <c r="J54" s="111">
        <v>1.0482</v>
      </c>
      <c r="K54" s="111">
        <v>1.0467207429584235</v>
      </c>
      <c r="L54" s="111"/>
      <c r="M54" s="111">
        <v>1.0452878582345995</v>
      </c>
      <c r="N54" s="110"/>
      <c r="O54" s="111"/>
      <c r="P54" s="110"/>
      <c r="Q54" s="110"/>
      <c r="R54" s="110"/>
      <c r="S54" s="110"/>
      <c r="T54" s="112"/>
      <c r="U54" s="34"/>
      <c r="V54" s="34"/>
      <c r="AJ54" s="107"/>
      <c r="AK54" s="108"/>
      <c r="AL54" s="108"/>
      <c r="AM54" s="108"/>
      <c r="AN54" s="108"/>
      <c r="AO54" s="108"/>
    </row>
    <row r="55" spans="1:41">
      <c r="B55" s="34"/>
      <c r="C55" s="34"/>
      <c r="D55" s="34"/>
      <c r="E55" s="34"/>
      <c r="F55" s="109"/>
      <c r="G55" s="109"/>
      <c r="H55" s="110"/>
      <c r="I55" s="110"/>
      <c r="J55" s="111"/>
      <c r="K55" s="111"/>
      <c r="L55" s="111"/>
      <c r="M55" s="111"/>
      <c r="N55" s="110"/>
      <c r="O55" s="111"/>
      <c r="P55" s="110"/>
      <c r="Q55" s="110"/>
      <c r="R55" s="110"/>
      <c r="S55" s="110"/>
      <c r="T55" s="112"/>
      <c r="U55" s="34"/>
      <c r="V55" s="34"/>
      <c r="AJ55" s="107"/>
      <c r="AK55" s="108"/>
      <c r="AL55" s="108"/>
      <c r="AM55" s="108"/>
      <c r="AN55" s="108"/>
      <c r="AO55" s="108"/>
    </row>
    <row r="56" spans="1:41">
      <c r="B56" s="34"/>
      <c r="C56" s="34"/>
      <c r="D56" s="34"/>
      <c r="E56" s="34"/>
      <c r="F56" s="109"/>
      <c r="G56" s="109"/>
      <c r="H56" s="110"/>
      <c r="I56" s="110"/>
      <c r="J56" s="111"/>
      <c r="K56" s="111"/>
      <c r="L56" s="111"/>
      <c r="M56" s="111"/>
      <c r="N56" s="110"/>
      <c r="O56" s="111"/>
      <c r="P56" s="110"/>
      <c r="Q56" s="110"/>
      <c r="R56" s="110"/>
      <c r="S56" s="110"/>
      <c r="T56" s="112"/>
      <c r="U56" s="34"/>
      <c r="V56" s="34"/>
      <c r="AJ56" s="107"/>
      <c r="AK56" s="108"/>
      <c r="AL56" s="108"/>
      <c r="AM56" s="108"/>
      <c r="AN56" s="108"/>
      <c r="AO56" s="108"/>
    </row>
    <row r="57" spans="1:41">
      <c r="A57" s="39"/>
      <c r="B57" s="39"/>
      <c r="C57" s="39"/>
      <c r="D57" s="39"/>
      <c r="E57" s="39"/>
      <c r="F57" s="134"/>
      <c r="G57" s="134"/>
      <c r="H57" s="135"/>
      <c r="I57" s="135"/>
      <c r="J57" s="136"/>
      <c r="K57" s="136"/>
      <c r="L57" s="136"/>
      <c r="M57" s="136"/>
      <c r="N57" s="135"/>
      <c r="O57" s="136"/>
      <c r="P57" s="135"/>
      <c r="Q57" s="135"/>
      <c r="R57" s="135"/>
      <c r="S57" s="135"/>
      <c r="T57" s="137"/>
      <c r="U57" s="39"/>
      <c r="V57" s="39"/>
      <c r="AJ57" s="107"/>
      <c r="AK57" s="108"/>
      <c r="AL57" s="108"/>
      <c r="AM57" s="108"/>
      <c r="AN57" s="108"/>
      <c r="AO57" s="108"/>
    </row>
    <row r="60" spans="1:41">
      <c r="AJ60" s="27" t="s">
        <v>263</v>
      </c>
      <c r="AK60" s="27"/>
      <c r="AL60" s="27"/>
      <c r="AM60" s="27"/>
      <c r="AN60" s="27"/>
      <c r="AO60" s="27"/>
    </row>
    <row r="61" spans="1:41">
      <c r="AJ61" s="27" t="s">
        <v>264</v>
      </c>
      <c r="AK61" s="27" t="s">
        <v>265</v>
      </c>
      <c r="AL61" s="27">
        <v>2015</v>
      </c>
      <c r="AM61" s="27">
        <v>2020</v>
      </c>
      <c r="AN61" s="27">
        <v>2030</v>
      </c>
      <c r="AO61" s="27">
        <v>2050</v>
      </c>
    </row>
    <row r="62" spans="1:41">
      <c r="AJ62" s="27" t="s">
        <v>266</v>
      </c>
      <c r="AK62" s="27" t="s">
        <v>72</v>
      </c>
      <c r="AL62" s="27">
        <v>2.5</v>
      </c>
      <c r="AM62" s="27">
        <v>2</v>
      </c>
      <c r="AN62" s="27">
        <v>1.6</v>
      </c>
      <c r="AO62" s="27">
        <v>1.28</v>
      </c>
    </row>
    <row r="63" spans="1:41">
      <c r="AJ63" s="27" t="s">
        <v>267</v>
      </c>
      <c r="AK63" s="27" t="s">
        <v>72</v>
      </c>
      <c r="AL63" s="27">
        <v>11.5</v>
      </c>
      <c r="AM63" s="27">
        <v>9.1999999999999993</v>
      </c>
      <c r="AN63" s="27">
        <v>7.36</v>
      </c>
      <c r="AO63" s="27">
        <v>5.89</v>
      </c>
    </row>
    <row r="64" spans="1:41">
      <c r="AJ64" s="27" t="s">
        <v>268</v>
      </c>
      <c r="AK64" s="27" t="s">
        <v>269</v>
      </c>
      <c r="AL64" s="27">
        <v>600</v>
      </c>
      <c r="AM64" s="27">
        <v>480</v>
      </c>
      <c r="AN64" s="27">
        <v>384</v>
      </c>
      <c r="AO64" s="27">
        <v>307.2</v>
      </c>
    </row>
    <row r="80" spans="2:9" ht="15">
      <c r="B80" s="19" t="s">
        <v>16</v>
      </c>
      <c r="C80" s="20"/>
      <c r="D80" s="20"/>
      <c r="E80" s="20"/>
      <c r="F80" s="20"/>
      <c r="G80" s="20"/>
      <c r="H80" s="20"/>
      <c r="I80" s="20"/>
    </row>
    <row r="81" spans="2:9" ht="15.75" thickBot="1">
      <c r="B81" s="13" t="s">
        <v>15</v>
      </c>
      <c r="C81" s="13" t="s">
        <v>0</v>
      </c>
      <c r="D81" s="13" t="s">
        <v>1</v>
      </c>
      <c r="E81" s="13" t="s">
        <v>17</v>
      </c>
      <c r="F81" s="13" t="s">
        <v>18</v>
      </c>
      <c r="G81" s="13" t="s">
        <v>19</v>
      </c>
      <c r="H81" s="13" t="s">
        <v>20</v>
      </c>
      <c r="I81" s="13" t="s">
        <v>21</v>
      </c>
    </row>
    <row r="82" spans="2:9" ht="25.5">
      <c r="B82" s="14" t="s">
        <v>242</v>
      </c>
      <c r="C82" s="14" t="s">
        <v>31</v>
      </c>
      <c r="D82" s="14" t="s">
        <v>32</v>
      </c>
      <c r="E82" s="14" t="s">
        <v>33</v>
      </c>
      <c r="F82" s="14" t="s">
        <v>34</v>
      </c>
      <c r="G82" s="14" t="s">
        <v>243</v>
      </c>
      <c r="H82" s="14" t="s">
        <v>244</v>
      </c>
      <c r="I82" s="14" t="s">
        <v>37</v>
      </c>
    </row>
    <row r="83" spans="2:9">
      <c r="B83" s="20" t="s">
        <v>57</v>
      </c>
      <c r="C83" s="20" t="s">
        <v>156</v>
      </c>
      <c r="D83" s="20" t="s">
        <v>165</v>
      </c>
      <c r="E83" s="20" t="s">
        <v>166</v>
      </c>
      <c r="F83" s="20" t="s">
        <v>167</v>
      </c>
      <c r="G83" s="20" t="s">
        <v>249</v>
      </c>
      <c r="H83" s="20" t="s">
        <v>66</v>
      </c>
      <c r="I83" s="20"/>
    </row>
    <row r="84" spans="2:9">
      <c r="B84" s="20" t="s">
        <v>57</v>
      </c>
      <c r="C84" s="20" t="s">
        <v>197</v>
      </c>
      <c r="D84" s="20" t="s">
        <v>240</v>
      </c>
      <c r="E84" s="20" t="s">
        <v>166</v>
      </c>
      <c r="F84" s="20" t="s">
        <v>167</v>
      </c>
      <c r="G84" s="20" t="s">
        <v>249</v>
      </c>
      <c r="H84" s="20" t="s">
        <v>66</v>
      </c>
      <c r="I84" s="20"/>
    </row>
    <row r="85" spans="2:9">
      <c r="B85" s="20" t="s">
        <v>57</v>
      </c>
      <c r="C85" s="18" t="s">
        <v>231</v>
      </c>
      <c r="D85" s="18" t="s">
        <v>248</v>
      </c>
      <c r="E85" s="20" t="s">
        <v>166</v>
      </c>
      <c r="F85" s="20" t="s">
        <v>167</v>
      </c>
      <c r="G85" s="20" t="s">
        <v>249</v>
      </c>
      <c r="H85" s="20" t="s">
        <v>66</v>
      </c>
      <c r="I85" s="20"/>
    </row>
    <row r="86" spans="2:9">
      <c r="B86" s="31" t="s">
        <v>57</v>
      </c>
      <c r="C86" s="31" t="s">
        <v>292</v>
      </c>
      <c r="D86" s="31" t="str">
        <f>D27</f>
        <v>Methanation, bio and atm CO2</v>
      </c>
      <c r="E86" s="31" t="s">
        <v>58</v>
      </c>
      <c r="F86" s="31" t="s">
        <v>107</v>
      </c>
      <c r="G86" s="31" t="s">
        <v>249</v>
      </c>
      <c r="H86" s="31" t="s">
        <v>172</v>
      </c>
      <c r="I86" s="31"/>
    </row>
    <row r="87" spans="2:9">
      <c r="B87" s="31" t="s">
        <v>57</v>
      </c>
      <c r="C87" s="31" t="s">
        <v>287</v>
      </c>
      <c r="D87" s="31" t="str">
        <f>D30</f>
        <v>Methanol  Synthesis, bio and atm CO2</v>
      </c>
      <c r="E87" s="31" t="s">
        <v>58</v>
      </c>
      <c r="F87" s="31" t="s">
        <v>107</v>
      </c>
      <c r="G87" s="31" t="s">
        <v>249</v>
      </c>
      <c r="H87" s="31" t="s">
        <v>286</v>
      </c>
      <c r="I87" s="31"/>
    </row>
    <row r="88" spans="2:9">
      <c r="B88" s="31" t="s">
        <v>57</v>
      </c>
      <c r="C88" s="31" t="s">
        <v>288</v>
      </c>
      <c r="D88" s="31" t="s">
        <v>291</v>
      </c>
      <c r="E88" s="31" t="s">
        <v>58</v>
      </c>
      <c r="F88" s="31" t="s">
        <v>107</v>
      </c>
      <c r="G88" s="31" t="s">
        <v>293</v>
      </c>
      <c r="H88" s="113" t="s">
        <v>300</v>
      </c>
      <c r="I88" s="31"/>
    </row>
    <row r="89" spans="2:9">
      <c r="B89" s="31" t="s">
        <v>57</v>
      </c>
      <c r="C89" s="31" t="s">
        <v>289</v>
      </c>
      <c r="D89" s="31" t="s">
        <v>290</v>
      </c>
      <c r="E89" s="31" t="s">
        <v>58</v>
      </c>
      <c r="F89" s="31" t="s">
        <v>107</v>
      </c>
      <c r="G89" s="31" t="s">
        <v>293</v>
      </c>
      <c r="H89" s="113" t="s">
        <v>298</v>
      </c>
      <c r="I89" s="31"/>
    </row>
    <row r="90" spans="2:9">
      <c r="B90" s="31" t="s">
        <v>57</v>
      </c>
      <c r="C90" s="32" t="s">
        <v>295</v>
      </c>
      <c r="D90" s="32" t="s">
        <v>296</v>
      </c>
      <c r="E90" s="31" t="s">
        <v>58</v>
      </c>
      <c r="F90" s="31" t="s">
        <v>107</v>
      </c>
      <c r="G90" s="31" t="s">
        <v>249</v>
      </c>
      <c r="H90" s="32" t="s">
        <v>226</v>
      </c>
      <c r="I90" s="31"/>
    </row>
    <row r="91" spans="2:9">
      <c r="B91" s="34" t="s">
        <v>57</v>
      </c>
      <c r="C91" s="34" t="str">
        <f>C43</f>
        <v>S+SYNGAS_FOS</v>
      </c>
      <c r="D91" s="34" t="str">
        <f>D43</f>
        <v>Methanation, fossil CO2</v>
      </c>
      <c r="E91" s="34" t="s">
        <v>58</v>
      </c>
      <c r="F91" s="34" t="s">
        <v>107</v>
      </c>
      <c r="G91" s="34" t="s">
        <v>249</v>
      </c>
      <c r="H91" s="34" t="str">
        <f>F45</f>
        <v>GASP2G_FOS</v>
      </c>
      <c r="I91" s="34"/>
    </row>
    <row r="92" spans="2:9">
      <c r="B92" s="34" t="s">
        <v>57</v>
      </c>
      <c r="C92" s="34" t="str">
        <f>C46</f>
        <v>S+SYNMET_FOS</v>
      </c>
      <c r="D92" s="34" t="str">
        <f>D46</f>
        <v>Methanol  Synthesis, fossil CO2</v>
      </c>
      <c r="E92" s="34" t="s">
        <v>58</v>
      </c>
      <c r="F92" s="34" t="s">
        <v>107</v>
      </c>
      <c r="G92" s="34" t="s">
        <v>249</v>
      </c>
      <c r="H92" s="38" t="s">
        <v>377</v>
      </c>
      <c r="I92" s="34"/>
    </row>
    <row r="93" spans="2:9">
      <c r="B93" s="34" t="s">
        <v>57</v>
      </c>
      <c r="C93" s="34" t="str">
        <f>C49</f>
        <v>S+SYNGSL_FOS</v>
      </c>
      <c r="D93" s="34" t="str">
        <f>D49</f>
        <v>E-gasoline Synthesis from fossil CO2</v>
      </c>
      <c r="E93" s="34" t="s">
        <v>58</v>
      </c>
      <c r="F93" s="34" t="s">
        <v>107</v>
      </c>
      <c r="G93" s="34" t="s">
        <v>293</v>
      </c>
      <c r="H93" s="38" t="s">
        <v>357</v>
      </c>
      <c r="I93" s="34"/>
    </row>
    <row r="94" spans="2:9">
      <c r="B94" s="34" t="s">
        <v>57</v>
      </c>
      <c r="C94" s="34" t="str">
        <f>C52</f>
        <v>S+SYNJET_FOS</v>
      </c>
      <c r="D94" s="34" t="str">
        <f>D52</f>
        <v>E-JET Synthesis from fossil CO2</v>
      </c>
      <c r="E94" s="34" t="s">
        <v>58</v>
      </c>
      <c r="F94" s="34" t="s">
        <v>107</v>
      </c>
      <c r="G94" s="34" t="s">
        <v>293</v>
      </c>
      <c r="H94" s="38" t="s">
        <v>339</v>
      </c>
      <c r="I94" s="34"/>
    </row>
    <row r="95" spans="2:9">
      <c r="B95" s="20" t="s">
        <v>57</v>
      </c>
      <c r="C95" s="154" t="s">
        <v>395</v>
      </c>
      <c r="D95" s="20" t="str">
        <f>D23</f>
        <v>Direct Air Capture - Solid Sorbent</v>
      </c>
      <c r="E95" s="20" t="s">
        <v>166</v>
      </c>
      <c r="F95" s="20" t="s">
        <v>167</v>
      </c>
      <c r="G95" s="20" t="s">
        <v>249</v>
      </c>
      <c r="H95" s="20" t="s">
        <v>66</v>
      </c>
    </row>
  </sheetData>
  <pageMargins left="0.7" right="0.7" top="0.75" bottom="0.75" header="0.3" footer="0.3"/>
  <pageSetup paperSize="9" orientation="portrait" horizontalDpi="30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SUP_Diesel</vt:lpstr>
      <vt:lpstr>SUP_Gasoline</vt:lpstr>
      <vt:lpstr>SUP_CCU</vt:lpstr>
      <vt:lpstr>Data electrolyser</vt:lpstr>
      <vt:lpstr>SUP_Diesel_LowAF</vt:lpstr>
      <vt:lpstr>SUP_Gasoline_LowAF</vt:lpstr>
      <vt:lpstr>DACNEW</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Johanna Markkanen</cp:lastModifiedBy>
  <dcterms:created xsi:type="dcterms:W3CDTF">2005-06-03T09:41:13Z</dcterms:created>
  <dcterms:modified xsi:type="dcterms:W3CDTF">2026-01-07T13:28:50Z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876366615295410</vt:r8>
  </property>
</Properties>
</file>