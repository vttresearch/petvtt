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bRES_TMPL\"/>
    </mc:Choice>
  </mc:AlternateContent>
  <xr:revisionPtr revIDLastSave="0" documentId="13_ncr:1_{9E9ADE5E-6810-465B-A20B-BE4FDF8EA698}" xr6:coauthVersionLast="47" xr6:coauthVersionMax="47" xr10:uidLastSave="{00000000-0000-0000-0000-000000000000}"/>
  <bookViews>
    <workbookView xWindow="-108" yWindow="-108" windowWidth="30936" windowHeight="16896" tabRatio="646" activeTab="1" xr2:uid="{00000000-000D-0000-FFFF-FFFF00000000}"/>
  </bookViews>
  <sheets>
    <sheet name="SUP_Fdstk" sheetId="13" r:id="rId1"/>
    <sheet name="SUP_GasStorage" sheetId="17" r:id="rId2"/>
    <sheet name="TRA_Biofuel" sheetId="19" r:id="rId3"/>
    <sheet name="Storage Data" sheetId="18" r:id="rId4"/>
    <sheet name="SUP" sheetId="15" r:id="rId5"/>
    <sheet name="SUP_Feedin-Subs" sheetId="21" r:id="rId6"/>
    <sheet name="IND_CCS" sheetId="22" r:id="rId7"/>
  </sheets>
  <externalReferences>
    <externalReference r:id="rId8"/>
    <externalReference r:id="rId9"/>
    <externalReference r:id="rId10"/>
    <externalReference r:id="rId11"/>
  </externalReferences>
  <definedNames>
    <definedName name="_.DMD.">#REF!</definedName>
    <definedName name="Cars_12" localSheetId="0">'[1]TechRep-Doc'!#REF!</definedName>
    <definedName name="Cars_12">'[1]TechRep-Doc'!#REF!</definedName>
    <definedName name="ddddd" localSheetId="0">[2]AGR_Fuels!$A$2</definedName>
    <definedName name="ddddd">[2]AGR_Fuels!$A$2</definedName>
    <definedName name="DISCRATE" localSheetId="0">'[1]TechRep-Doc'!#REF!</definedName>
    <definedName name="DISCRATE">'[1]TechRep-Doc'!#REF!</definedName>
    <definedName name="FID_1" localSheetId="0">[3]AGR_Fuels!$A$2</definedName>
    <definedName name="FID_1">[3]AGR_Fuels!$A$2</definedName>
    <definedName name="GROWTH" localSheetId="0">'[1]TechRep-Doc'!#REF!</definedName>
    <definedName name="GROWTH">'[1]TechRep-Doc'!#REF!</definedName>
    <definedName name="GROWTH_TID" localSheetId="0">'[1]TechRep-Doc'!#REF!</definedName>
    <definedName name="GROWTH_TID">'[1]TechRep-Doc'!#REF!</definedName>
    <definedName name="INVCOST" localSheetId="0">'[1]TechRep-Doc'!#REF!</definedName>
    <definedName name="INVCOST">'[1]TechRep-Doc'!#REF!</definedName>
    <definedName name="LIFE" localSheetId="0">'[1]TechRep-Doc'!#REF!</definedName>
    <definedName name="LIFE">'[1]TechRep-Doc'!#REF!</definedName>
    <definedName name="NAs_CCAR" localSheetId="0">'[1]TechRep-Doc'!#REF!</definedName>
    <definedName name="NAs_CCAR">'[1]TechRep-Doc'!#REF!</definedName>
    <definedName name="SETS" localSheetId="0">'[1]TechRep-Doc'!#REF!</definedName>
    <definedName name="SETS">'[1]TechRep-Doc'!#REF!</definedName>
    <definedName name="TRTGAB005" localSheetId="0">'[1]TechRep-Doc'!#REF!</definedName>
    <definedName name="TRTGAB005">'[1]TechRep-Doc'!#REF!</definedName>
    <definedName name="TRTGAC005" localSheetId="0">'[1]TechRep-Doc'!#REF!</definedName>
    <definedName name="TRTGAC005">'[1]TechRep-Doc'!#REF!</definedName>
    <definedName name="Trucks_15" localSheetId="0">'[1]TechRep-Doc'!#REF!</definedName>
    <definedName name="Trucks_15">'[1]TechRep-Doc'!#REF!</definedName>
    <definedName name="TSUB_COST" localSheetId="0">'[1]TechRep-Doc'!#REF!</definedName>
    <definedName name="TSUB_COST">'[1]TechRep-Doc'!#REF!</definedName>
    <definedName name="x" localSheetId="0">[1]AGR_Fuels!$A$2</definedName>
    <definedName name="x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8" i="17" l="1"/>
  <c r="D107" i="17"/>
  <c r="F51" i="17"/>
  <c r="G51" i="17"/>
  <c r="F50" i="17"/>
  <c r="G50" i="17" s="1"/>
  <c r="F49" i="17"/>
  <c r="G49" i="17"/>
  <c r="F48" i="17"/>
  <c r="G48" i="17" s="1"/>
  <c r="F47" i="17"/>
  <c r="G47" i="17"/>
  <c r="F46" i="17"/>
  <c r="G46" i="17" s="1"/>
  <c r="F45" i="17"/>
  <c r="G45" i="17"/>
  <c r="F44" i="17"/>
  <c r="G44" i="17" s="1"/>
  <c r="F43" i="17"/>
  <c r="G43" i="17"/>
  <c r="F42" i="17"/>
  <c r="G42" i="17"/>
  <c r="F41" i="17"/>
  <c r="G41" i="17"/>
  <c r="F40" i="17"/>
  <c r="G40" i="17"/>
  <c r="F39" i="17"/>
  <c r="G39" i="17"/>
  <c r="F38" i="17"/>
  <c r="G38" i="17" s="1"/>
  <c r="F37" i="17"/>
  <c r="G37" i="17"/>
  <c r="F36" i="17"/>
  <c r="G36" i="17" s="1"/>
  <c r="F35" i="17"/>
  <c r="G35" i="17"/>
  <c r="F34" i="17"/>
  <c r="G34" i="17" s="1"/>
  <c r="F33" i="17"/>
  <c r="G33" i="17"/>
  <c r="F32" i="17"/>
  <c r="G32" i="17" s="1"/>
  <c r="F31" i="17"/>
  <c r="G31" i="17"/>
  <c r="F30" i="17"/>
  <c r="G30" i="17" s="1"/>
  <c r="F29" i="17"/>
  <c r="G29" i="17"/>
  <c r="F28" i="17"/>
  <c r="G28" i="17" s="1"/>
  <c r="F27" i="17"/>
  <c r="G27" i="17"/>
  <c r="F26" i="17"/>
  <c r="G26" i="17"/>
  <c r="F25" i="17"/>
  <c r="G25" i="17"/>
  <c r="F24" i="17"/>
  <c r="G24" i="17"/>
  <c r="F23" i="17"/>
  <c r="G23" i="17" s="1"/>
  <c r="F22" i="17"/>
  <c r="G22" i="17"/>
  <c r="B10" i="19"/>
  <c r="C19" i="19"/>
  <c r="C9" i="19"/>
  <c r="C18" i="19"/>
  <c r="C17" i="19"/>
  <c r="C16" i="19"/>
  <c r="C8" i="19"/>
  <c r="C7" i="19"/>
  <c r="C6" i="19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R17" i="17"/>
  <c r="Q17" i="17"/>
  <c r="P17" i="17"/>
  <c r="O17" i="17"/>
  <c r="N17" i="17"/>
  <c r="M17" i="17"/>
  <c r="L17" i="17"/>
  <c r="K17" i="17"/>
  <c r="J17" i="17"/>
  <c r="I17" i="17"/>
  <c r="R16" i="17"/>
  <c r="Q16" i="17"/>
  <c r="P16" i="17"/>
  <c r="O16" i="17"/>
  <c r="N16" i="17"/>
  <c r="M16" i="17"/>
  <c r="L16" i="17"/>
  <c r="K16" i="17"/>
  <c r="J16" i="17"/>
  <c r="I16" i="17"/>
  <c r="R15" i="17"/>
  <c r="Q15" i="17"/>
  <c r="P15" i="17"/>
  <c r="O15" i="17"/>
  <c r="N15" i="17"/>
  <c r="M15" i="17"/>
  <c r="L15" i="17"/>
  <c r="K15" i="17"/>
  <c r="J15" i="17"/>
  <c r="I15" i="17"/>
  <c r="R14" i="17"/>
  <c r="Q14" i="17"/>
  <c r="P14" i="17"/>
  <c r="O14" i="17"/>
  <c r="N14" i="17"/>
  <c r="M14" i="17"/>
  <c r="L14" i="17"/>
  <c r="K14" i="17"/>
  <c r="J14" i="17"/>
  <c r="I14" i="17"/>
  <c r="R13" i="17"/>
  <c r="Q13" i="17"/>
  <c r="P13" i="17"/>
  <c r="O13" i="17"/>
  <c r="N13" i="17"/>
  <c r="M13" i="17"/>
  <c r="L13" i="17"/>
  <c r="K13" i="17"/>
  <c r="J13" i="17"/>
  <c r="I13" i="17"/>
  <c r="R12" i="17"/>
  <c r="Q12" i="17"/>
  <c r="P12" i="17"/>
  <c r="O12" i="17"/>
  <c r="N12" i="17"/>
  <c r="M12" i="17"/>
  <c r="L12" i="17"/>
  <c r="K12" i="17"/>
  <c r="J12" i="17"/>
  <c r="I12" i="17"/>
  <c r="R11" i="17"/>
  <c r="Q11" i="17"/>
  <c r="P11" i="17"/>
  <c r="O11" i="17"/>
  <c r="N11" i="17"/>
  <c r="M11" i="17"/>
  <c r="L11" i="17"/>
  <c r="K11" i="17"/>
  <c r="J11" i="17"/>
  <c r="I11" i="17"/>
  <c r="R10" i="17"/>
  <c r="Q10" i="17"/>
  <c r="P10" i="17"/>
  <c r="O10" i="17"/>
  <c r="N10" i="17"/>
  <c r="M10" i="17"/>
  <c r="L10" i="17"/>
  <c r="K10" i="17"/>
  <c r="J10" i="17"/>
  <c r="I10" i="17"/>
  <c r="R9" i="17"/>
  <c r="Q9" i="17"/>
  <c r="P9" i="17"/>
  <c r="O9" i="17"/>
  <c r="N9" i="17"/>
  <c r="M9" i="17"/>
  <c r="L9" i="17"/>
  <c r="K9" i="17"/>
  <c r="J9" i="17"/>
  <c r="I9" i="17"/>
  <c r="R8" i="17"/>
  <c r="Q8" i="17"/>
  <c r="P8" i="17"/>
  <c r="O8" i="17"/>
  <c r="N8" i="17"/>
  <c r="M8" i="17"/>
  <c r="L8" i="17"/>
  <c r="K8" i="17"/>
  <c r="J8" i="17"/>
  <c r="I8" i="17"/>
  <c r="R7" i="17"/>
  <c r="Q7" i="17"/>
  <c r="P7" i="17"/>
  <c r="O7" i="17"/>
  <c r="N7" i="17"/>
  <c r="M7" i="17"/>
  <c r="L7" i="17"/>
  <c r="K7" i="17"/>
  <c r="J7" i="17"/>
  <c r="I7" i="17"/>
  <c r="R6" i="17"/>
  <c r="Q6" i="17"/>
  <c r="P6" i="17"/>
  <c r="O6" i="17"/>
  <c r="N6" i="17"/>
  <c r="M6" i="17"/>
  <c r="L6" i="17"/>
  <c r="K6" i="17"/>
  <c r="J6" i="17"/>
  <c r="I6" i="17"/>
  <c r="H17" i="17"/>
  <c r="H16" i="17"/>
  <c r="H15" i="17"/>
  <c r="H14" i="17"/>
  <c r="H13" i="17"/>
  <c r="H12" i="17"/>
  <c r="H11" i="17"/>
  <c r="H10" i="17"/>
  <c r="H9" i="17"/>
  <c r="H8" i="17"/>
  <c r="H7" i="17"/>
  <c r="R5" i="17"/>
  <c r="Q5" i="17"/>
  <c r="P5" i="17"/>
  <c r="O5" i="17"/>
  <c r="N5" i="17"/>
  <c r="M5" i="17"/>
  <c r="L5" i="17"/>
  <c r="K5" i="17"/>
  <c r="J5" i="17"/>
  <c r="I5" i="17"/>
  <c r="H6" i="17"/>
  <c r="F7" i="17"/>
  <c r="F8" i="17"/>
  <c r="F9" i="17"/>
  <c r="F10" i="17"/>
  <c r="F11" i="17"/>
  <c r="F12" i="17"/>
  <c r="F13" i="17"/>
  <c r="F14" i="17"/>
  <c r="F15" i="17"/>
  <c r="F16" i="17"/>
  <c r="F17" i="17"/>
  <c r="F6" i="17"/>
  <c r="A11" i="13"/>
  <c r="G20" i="15"/>
  <c r="G1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8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needed anymore
Feb 14 2011
</t>
        </r>
      </text>
    </comment>
    <comment ref="H9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needed anymore
Feb 14 2011
</t>
        </r>
      </text>
    </comment>
    <comment ref="H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needed anymore
Feb 14 2011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10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1,500/t CO2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Amit</author>
  </authors>
  <commentList>
    <comment ref="F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use for SUPHTH and REFHTH; their producers are disadvantaged
</t>
        </r>
      </text>
    </comment>
    <comment ref="B7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3/8/2012
This is the only reliable way of tracking transport emissions with blended fuels. </t>
        </r>
      </text>
    </comment>
    <comment ref="B33" authorId="1" shapeId="0" xr:uid="{00000000-0006-0000-0400-000003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3/8/2012
This is the only reliable way of tracking transport emissions with blended fuels.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4A8476D4-DF27-4DA2-9AD8-08FACE4562E9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24-12-2020
this was an approx treatment of ind/ups CCS. Now done via SCO2 commodities
</t>
        </r>
      </text>
    </comment>
  </commentList>
</comments>
</file>

<file path=xl/sharedStrings.xml><?xml version="1.0" encoding="utf-8"?>
<sst xmlns="http://schemas.openxmlformats.org/spreadsheetml/2006/main" count="1202" uniqueCount="380">
  <si>
    <t>Sets</t>
  </si>
  <si>
    <t>TechName</t>
  </si>
  <si>
    <t>TechDesc</t>
  </si>
  <si>
    <t>Comm-IN</t>
  </si>
  <si>
    <t>Comm-OUT</t>
  </si>
  <si>
    <t>~FI_Process</t>
  </si>
  <si>
    <t>Tact</t>
  </si>
  <si>
    <t>Tcap</t>
  </si>
  <si>
    <t>Tslvl</t>
  </si>
  <si>
    <t>PrimaryCG</t>
  </si>
  <si>
    <t>Vintage</t>
  </si>
  <si>
    <t>PJ</t>
  </si>
  <si>
    <t>~FI_T</t>
  </si>
  <si>
    <t>COMOIL</t>
  </si>
  <si>
    <t>COMLPG</t>
  </si>
  <si>
    <t>EFF</t>
  </si>
  <si>
    <t>DUMAFSCOM</t>
  </si>
  <si>
    <t>Dummy Process to make AFS Feasible</t>
  </si>
  <si>
    <t>Pja</t>
  </si>
  <si>
    <t>ACTCOST</t>
  </si>
  <si>
    <t>RSDLPG</t>
  </si>
  <si>
    <t>RSDOIL</t>
  </si>
  <si>
    <t>DUMAFSRSD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</si>
  <si>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</si>
  <si>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</si>
  <si>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</si>
  <si>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</si>
  <si>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</si>
  <si>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</si>
  <si>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</si>
  <si>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</si>
  <si>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</si>
  <si>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GENOILCONVERTOR</t>
  </si>
  <si>
    <t>OILCRD</t>
  </si>
  <si>
    <t>OILOTH</t>
  </si>
  <si>
    <t>OILNEU</t>
  </si>
  <si>
    <t>PRE</t>
  </si>
  <si>
    <t>Converting CRD to OTH and NEU</t>
  </si>
  <si>
    <t>Reason</t>
  </si>
  <si>
    <t>dummy imports due to OILOTH/NEU as they are mainly produced by the refinery that is usually very tight.</t>
  </si>
  <si>
    <t>ENV</t>
  </si>
  <si>
    <t>OILRFG</t>
  </si>
  <si>
    <t>~COMAGG_R1C2</t>
  </si>
  <si>
    <t>TOTCO2</t>
  </si>
  <si>
    <t>RSDCO2N</t>
  </si>
  <si>
    <t>COMCO2N</t>
  </si>
  <si>
    <t>AGRCO2N</t>
  </si>
  <si>
    <t>ETSCO2</t>
  </si>
  <si>
    <t>kt</t>
  </si>
  <si>
    <t>NETSCO2</t>
  </si>
  <si>
    <t>INDCO2P</t>
  </si>
  <si>
    <t>SUPCO2P</t>
  </si>
  <si>
    <t>ELCCO2P</t>
  </si>
  <si>
    <t>mEuro</t>
  </si>
  <si>
    <t>EXP</t>
  </si>
  <si>
    <t>COST</t>
  </si>
  <si>
    <t>START</t>
  </si>
  <si>
    <t>CONSERVATION</t>
  </si>
  <si>
    <t>Dummy Process to account for Conservation</t>
  </si>
  <si>
    <t>INDGAS</t>
  </si>
  <si>
    <t>DUMMYDEMAND</t>
  </si>
  <si>
    <t>Dummy Process to Increase final energy consumption</t>
  </si>
  <si>
    <t>DEM</t>
  </si>
  <si>
    <t>DUMDEM</t>
  </si>
  <si>
    <t>Dummy Demand</t>
  </si>
  <si>
    <t>Penalty_RenELCQuota</t>
  </si>
  <si>
    <t>Penalty for not meeting the Renewable ELC production target under Quota system</t>
  </si>
  <si>
    <t>Penalty_REQ</t>
  </si>
  <si>
    <t>ELCCO2I</t>
  </si>
  <si>
    <t>SUP2INDHTH</t>
  </si>
  <si>
    <t>Mapping SUP and REF HTH to INDHTH</t>
  </si>
  <si>
    <t>REFHTH</t>
  </si>
  <si>
    <t>SUPHTH</t>
  </si>
  <si>
    <t>INDHTH</t>
  </si>
  <si>
    <t>IMP</t>
  </si>
  <si>
    <t>IMPINDGASY</t>
  </si>
  <si>
    <t>Supply of Gas for IND in IS</t>
  </si>
  <si>
    <t>PJ-a</t>
  </si>
  <si>
    <t>GENCOALCONVERTOR</t>
  </si>
  <si>
    <t>Converting HAR to LIG and BRO</t>
  </si>
  <si>
    <t>COAHAR trade includes all types of coal trade</t>
  </si>
  <si>
    <t>COAHAR</t>
  </si>
  <si>
    <t>COALIG</t>
  </si>
  <si>
    <t>COABRO</t>
  </si>
  <si>
    <t>GASLNG</t>
  </si>
  <si>
    <t>Liquified Natural Gas</t>
  </si>
  <si>
    <t>LNG Storage Capacities</t>
  </si>
  <si>
    <t>COM_CODE_in</t>
  </si>
  <si>
    <t>COMMODITY_in</t>
  </si>
  <si>
    <t>COMMODITY_out</t>
  </si>
  <si>
    <t>COM_CODE_out</t>
  </si>
  <si>
    <t>PROCESS_CODE</t>
  </si>
  <si>
    <t>PLANT_COUNTRY</t>
  </si>
  <si>
    <t>PLANT_NAME</t>
  </si>
  <si>
    <t>CAP_UNIT</t>
  </si>
  <si>
    <t>CAPACITY (year - 2005)</t>
  </si>
  <si>
    <t>PROD_LIFETIME</t>
  </si>
  <si>
    <t>CONSTR_TIME_yr</t>
  </si>
  <si>
    <t>CAP_Inv</t>
  </si>
  <si>
    <t>Availability factor</t>
  </si>
  <si>
    <t>LNG</t>
  </si>
  <si>
    <t>LNGSBE</t>
  </si>
  <si>
    <t>LNGSTOR_BE</t>
  </si>
  <si>
    <t>Belgium</t>
  </si>
  <si>
    <t>LNGSFR-A</t>
  </si>
  <si>
    <t>LNGSTOR_FR-A</t>
  </si>
  <si>
    <t>France</t>
  </si>
  <si>
    <t>France-Atlantic</t>
  </si>
  <si>
    <t>LNGSFR-M</t>
  </si>
  <si>
    <t>LNGSTOR_FR-M</t>
  </si>
  <si>
    <t>Ffrance</t>
  </si>
  <si>
    <t>France- Mediterranean</t>
  </si>
  <si>
    <t>LNGSIT-W</t>
  </si>
  <si>
    <t>LNGSTOR_IT-W</t>
  </si>
  <si>
    <t>Italy</t>
  </si>
  <si>
    <t>Italy-West</t>
  </si>
  <si>
    <t>LNGSIT-E</t>
  </si>
  <si>
    <t>LNGSTOR_IT-E</t>
  </si>
  <si>
    <t>Italy-East</t>
  </si>
  <si>
    <t>LNGSGR</t>
  </si>
  <si>
    <t>LNGSTOR_GR</t>
  </si>
  <si>
    <t>Greece</t>
  </si>
  <si>
    <t>LNGS-PT</t>
  </si>
  <si>
    <t>LNGSTOR_PT</t>
  </si>
  <si>
    <t>Portugal</t>
  </si>
  <si>
    <t>LNGSES-M</t>
  </si>
  <si>
    <t>LNGSTOR_ES-M</t>
  </si>
  <si>
    <t>Spain</t>
  </si>
  <si>
    <t>Spain-Mediterranean</t>
  </si>
  <si>
    <t>LNGSES-A</t>
  </si>
  <si>
    <t>LNGSTOR_ES-A</t>
  </si>
  <si>
    <t>Spain-Atlantic</t>
  </si>
  <si>
    <t>LNGSUK-W</t>
  </si>
  <si>
    <t>LNGSTOR_UK-W</t>
  </si>
  <si>
    <t>United Kingdom</t>
  </si>
  <si>
    <t>United Kingdom-West</t>
  </si>
  <si>
    <t>LNGSUK-E</t>
  </si>
  <si>
    <t>LNGSTOR_UK-E</t>
  </si>
  <si>
    <t>United Kingdom-East</t>
  </si>
  <si>
    <t>LNGSNL</t>
  </si>
  <si>
    <t>LNGSTOR_NL</t>
  </si>
  <si>
    <t>Netherlands</t>
  </si>
  <si>
    <t>Dry gas storage</t>
  </si>
  <si>
    <t>FLOW_UNIT</t>
  </si>
  <si>
    <t>STORE_CAPACITY (year - 2005)</t>
  </si>
  <si>
    <t>STORE_CAPACITY (year - 2007)</t>
  </si>
  <si>
    <t>STORE_CAPACITY (year - 2009)</t>
  </si>
  <si>
    <t>DELIV_CAPACITY (year - 2005)</t>
  </si>
  <si>
    <t>DELIV_CAPACITY (year - 2006)</t>
  </si>
  <si>
    <t>DELIV_CAPACITY (year - 2009)</t>
  </si>
  <si>
    <t>GASNAT</t>
  </si>
  <si>
    <t>Natural gas</t>
  </si>
  <si>
    <t>NGSTOR_AT</t>
  </si>
  <si>
    <t>Austria</t>
  </si>
  <si>
    <t>NGSTOR_BE</t>
  </si>
  <si>
    <t>NGSTOR_BG</t>
  </si>
  <si>
    <t>Bulgaria</t>
  </si>
  <si>
    <t>NGSTOR_CH</t>
  </si>
  <si>
    <t>Switzerland</t>
  </si>
  <si>
    <t>NGSTOR_CY</t>
  </si>
  <si>
    <t>Cyprus</t>
  </si>
  <si>
    <t>NGSTOR_CZ</t>
  </si>
  <si>
    <t>Czech Rep.</t>
  </si>
  <si>
    <t>NGSTOR_DE</t>
  </si>
  <si>
    <t>Germany</t>
  </si>
  <si>
    <t>NGSTOR_DK</t>
  </si>
  <si>
    <t>Denmark</t>
  </si>
  <si>
    <t>NGSTOR_EE</t>
  </si>
  <si>
    <t>Estonia</t>
  </si>
  <si>
    <t>NGSTOR_ES</t>
  </si>
  <si>
    <t>NGSTOR_FI</t>
  </si>
  <si>
    <t>Finland</t>
  </si>
  <si>
    <t>NGSTOR_FR</t>
  </si>
  <si>
    <t>NGSTOR_GR</t>
  </si>
  <si>
    <t>NGSTOR_HU</t>
  </si>
  <si>
    <t>Hungary</t>
  </si>
  <si>
    <t>NGSTOR_IE</t>
  </si>
  <si>
    <t>Ireland</t>
  </si>
  <si>
    <t>NGSTOR_IS</t>
  </si>
  <si>
    <t>Iceland</t>
  </si>
  <si>
    <t>NGSTOR_IT</t>
  </si>
  <si>
    <t>NGSTOR_LT</t>
  </si>
  <si>
    <t>Lithuania</t>
  </si>
  <si>
    <t>NGSTOR_LU</t>
  </si>
  <si>
    <t>Luxembourg</t>
  </si>
  <si>
    <t>NGSTOR_LV</t>
  </si>
  <si>
    <t>Latvia</t>
  </si>
  <si>
    <t>NGSTOR_MT</t>
  </si>
  <si>
    <t>Malta</t>
  </si>
  <si>
    <t>NGSTOR_NL</t>
  </si>
  <si>
    <t>NGSTOR_NO</t>
  </si>
  <si>
    <t>Norway</t>
  </si>
  <si>
    <t>NGSTOR_PL</t>
  </si>
  <si>
    <t>Poland</t>
  </si>
  <si>
    <t>NGSTOR_PT</t>
  </si>
  <si>
    <t>NGSTOR_RO</t>
  </si>
  <si>
    <t>Romania</t>
  </si>
  <si>
    <t>NGSTOR_SE</t>
  </si>
  <si>
    <t>Sweden</t>
  </si>
  <si>
    <t>NGSTOR_SI</t>
  </si>
  <si>
    <t>Slovenia</t>
  </si>
  <si>
    <t>NGSTOR_SK</t>
  </si>
  <si>
    <t>Slovakia</t>
  </si>
  <si>
    <t>NGSTOR_UK</t>
  </si>
  <si>
    <t>NCAP</t>
  </si>
  <si>
    <t>BY_SubRES - FI_T</t>
  </si>
  <si>
    <t>Comm-Out</t>
  </si>
  <si>
    <t>Stock</t>
  </si>
  <si>
    <t>LIFE</t>
  </si>
  <si>
    <t>INVCOST</t>
  </si>
  <si>
    <t>LNGSTOR_A-FR</t>
  </si>
  <si>
    <t>LNGSTOR_M-FR</t>
  </si>
  <si>
    <t>LNGSTOR_M-ES</t>
  </si>
  <si>
    <t>LNGSTOR_A-ES</t>
  </si>
  <si>
    <t>LNGSTOR_W-UK</t>
  </si>
  <si>
    <t>LNGSTOR_E-UK</t>
  </si>
  <si>
    <t>S_EFF</t>
  </si>
  <si>
    <t>~FI_T: NCAP_BND~FX</t>
  </si>
  <si>
    <t>Stock~2050</t>
  </si>
  <si>
    <t>NGASTOR-AT</t>
  </si>
  <si>
    <t>NGASTOR-BE</t>
  </si>
  <si>
    <t>NGASTOR-BG</t>
  </si>
  <si>
    <t>NGASTOR-CH</t>
  </si>
  <si>
    <t>NGASTOR-CY</t>
  </si>
  <si>
    <t>NGASTOR-CZ</t>
  </si>
  <si>
    <t>NGASTOR-DE</t>
  </si>
  <si>
    <t>NGASTOR-DK</t>
  </si>
  <si>
    <t>NGASTOR-EE</t>
  </si>
  <si>
    <t>NGASTOR-ES</t>
  </si>
  <si>
    <t>NGASTOR-FI</t>
  </si>
  <si>
    <t>NGASTOR-FR</t>
  </si>
  <si>
    <t>NGASTOR-GR</t>
  </si>
  <si>
    <t>NGASTOR-HU</t>
  </si>
  <si>
    <t>NGASTOR-IE</t>
  </si>
  <si>
    <t>NGASTOR-IS</t>
  </si>
  <si>
    <t>NGASTOR-IT</t>
  </si>
  <si>
    <t>NGASTOR-LT</t>
  </si>
  <si>
    <t>NGASTOR-LU</t>
  </si>
  <si>
    <t>NGASTOR-LV</t>
  </si>
  <si>
    <t>NGASTOR-MT</t>
  </si>
  <si>
    <t>NGASTOR-NL</t>
  </si>
  <si>
    <t>NGASTOR-NO</t>
  </si>
  <si>
    <t>NGASTOR-PL</t>
  </si>
  <si>
    <t>NGASTOR-PT</t>
  </si>
  <si>
    <t>NGASTOR-RO</t>
  </si>
  <si>
    <t>NGASTOR-SE</t>
  </si>
  <si>
    <t>NGASTOR-SI</t>
  </si>
  <si>
    <t>NGASTOR-SK</t>
  </si>
  <si>
    <t>NGASTOR-UK</t>
  </si>
  <si>
    <t>BY_SubRES - Process</t>
  </si>
  <si>
    <t>LNGSTOR-BE</t>
  </si>
  <si>
    <t>LNGSTOR-GR</t>
  </si>
  <si>
    <t>LNGSTOR-PT</t>
  </si>
  <si>
    <t>LNGSTOR-NL</t>
  </si>
  <si>
    <t>LNGSTOR_W-IT</t>
  </si>
  <si>
    <t>LNGSTOR_E-IT</t>
  </si>
  <si>
    <t>SEASON</t>
  </si>
  <si>
    <t>LNG Storage</t>
  </si>
  <si>
    <t>Dry Gas Storage</t>
  </si>
  <si>
    <t>~FI_T:</t>
  </si>
  <si>
    <t>OILFDS</t>
  </si>
  <si>
    <t>Dummy electricity renewable, biofuel first and second generation import to satisfy the biofuel target</t>
  </si>
  <si>
    <t>\I:</t>
  </si>
  <si>
    <t>DUMBioFuelConstr</t>
  </si>
  <si>
    <t>Dummy commodity to model biofuel constraint</t>
  </si>
  <si>
    <t>DUMELCR</t>
  </si>
  <si>
    <t>DUMBIO1</t>
  </si>
  <si>
    <t>DUMBIO2</t>
  </si>
  <si>
    <t>Dummy Technology for ELC Renewable TRA road</t>
  </si>
  <si>
    <t>DUMELCNR</t>
  </si>
  <si>
    <t>Dummy Technology for ELC Renewable TRA non-road</t>
  </si>
  <si>
    <t>EXPENVZ</t>
  </si>
  <si>
    <t>ACT_COST</t>
  </si>
  <si>
    <t>Dummy Technology for Bio fuel second generation TRA sector</t>
  </si>
  <si>
    <t>Dummy Technology for Bio fuel first generation TRA sector</t>
  </si>
  <si>
    <t>Dummy Export of constrained emissions (IS/NO/CH+BE)</t>
  </si>
  <si>
    <t>PRE,STGTSS</t>
  </si>
  <si>
    <t>*</t>
  </si>
  <si>
    <t>FeedInTariffGeo</t>
  </si>
  <si>
    <t>SUBS-REN_FeedInGeo</t>
  </si>
  <si>
    <t>FeedInTariffSmHyd</t>
  </si>
  <si>
    <t>SUBS-REN_FeedInSmHyd</t>
  </si>
  <si>
    <t>FeedInTariffLaHyd</t>
  </si>
  <si>
    <t>SUBS-REN_FeedInLaHyd</t>
  </si>
  <si>
    <t>FeedInTariffPV</t>
  </si>
  <si>
    <t>SUBS-REN_FeedInPV</t>
  </si>
  <si>
    <t>FeedInTariffSolTh</t>
  </si>
  <si>
    <t>SUBS-REN_FeedInSolTh</t>
  </si>
  <si>
    <t>FeedInTariffWaste</t>
  </si>
  <si>
    <t>SUBS-REN_FeedInWaste</t>
  </si>
  <si>
    <t>FeedInTariffBiom</t>
  </si>
  <si>
    <t>SUBS-REN_FeedInBiom</t>
  </si>
  <si>
    <t>FeedInTariffBiog</t>
  </si>
  <si>
    <t>SUBS-REN_FeedInBiog</t>
  </si>
  <si>
    <t>FeedInTariffOce</t>
  </si>
  <si>
    <t>SUBS-REN_FeedInOce</t>
  </si>
  <si>
    <t>Accounting for Feed-in Tariffs for REN ELC</t>
  </si>
  <si>
    <t>RENInvSubsidyGeo</t>
  </si>
  <si>
    <t>SUBS-REN_INVGeo</t>
  </si>
  <si>
    <t>RENInvSubsidyWind</t>
  </si>
  <si>
    <t>SUBS-REN_INVWind</t>
  </si>
  <si>
    <t>RENInvSubsidySmHyd</t>
  </si>
  <si>
    <t>SUBS-REN_INVSmHyd</t>
  </si>
  <si>
    <t>RENInvSubsidyLaHyd</t>
  </si>
  <si>
    <t>SUBS-REN_INVLaHyd</t>
  </si>
  <si>
    <t>RENInvSubsidyPV</t>
  </si>
  <si>
    <t>SUBS-REN_INVPV</t>
  </si>
  <si>
    <t>RENInvSubsidySolTh</t>
  </si>
  <si>
    <t>SUBS-REN_INVSolTh</t>
  </si>
  <si>
    <t>RENInvSubsidyWaste</t>
  </si>
  <si>
    <t>SUBS-REN_INVWaste</t>
  </si>
  <si>
    <t>RENInvSubsidyBiom</t>
  </si>
  <si>
    <t>SUBS-REN_INVBiom</t>
  </si>
  <si>
    <t>RENInvSubsidyBiog</t>
  </si>
  <si>
    <t>SUBS-REN_INVBiog</t>
  </si>
  <si>
    <t>RENInvSubsidyOce</t>
  </si>
  <si>
    <t>SUBS-REN_INVOce</t>
  </si>
  <si>
    <t>SUBS-REN_FeedInWindO</t>
  </si>
  <si>
    <t>SUBS-REN_FeedInWindN</t>
  </si>
  <si>
    <t>FeedInTariffWindO</t>
  </si>
  <si>
    <t>FeedInTariffWindN</t>
  </si>
  <si>
    <t>FeedInTariffBiomCHP</t>
  </si>
  <si>
    <t>FeedInTariffBiogCHP</t>
  </si>
  <si>
    <t>SUBS-REN_FeedInBiomCHP</t>
  </si>
  <si>
    <t>SUBS-REN_FeedInBiogCHP</t>
  </si>
  <si>
    <t>SE_TRACO2N</t>
  </si>
  <si>
    <t>INDUPSCO2Cap</t>
  </si>
  <si>
    <t>CO2 capture from large industrial and upstream installations</t>
  </si>
  <si>
    <t>ktpa</t>
  </si>
  <si>
    <t>Attribute</t>
  </si>
  <si>
    <t>this process will be linked to the deserving emissions from IND and UPS via a UC in Base_Extra</t>
  </si>
  <si>
    <t>FIXOM</t>
  </si>
  <si>
    <t>SNKCO2N</t>
  </si>
  <si>
    <t>INDSCO2P</t>
  </si>
  <si>
    <t>CO2WOT</t>
  </si>
  <si>
    <t>MovedToSysSettings</t>
  </si>
  <si>
    <t>NGASTOSTOR</t>
  </si>
  <si>
    <t>GAS2ST</t>
  </si>
  <si>
    <t>NGASFRSTOR</t>
  </si>
  <si>
    <t>Dry Gas to Storage</t>
  </si>
  <si>
    <t>Dry Gas from Storage</t>
  </si>
  <si>
    <t>INDCO2N</t>
  </si>
  <si>
    <t>ELCCO2N</t>
  </si>
  <si>
    <t>SUPCO2N</t>
  </si>
  <si>
    <t>INDFINSOLID</t>
  </si>
  <si>
    <t>Industry Final Solid Fuels</t>
  </si>
  <si>
    <t>INDFINOIL</t>
  </si>
  <si>
    <t>Industry Final Petroleum Fuels</t>
  </si>
  <si>
    <t>INDFINGAS</t>
  </si>
  <si>
    <t>Industry Final Gas Fuels</t>
  </si>
  <si>
    <t>TRAFINOIL</t>
  </si>
  <si>
    <t>Transport Final OIL Fuels</t>
  </si>
  <si>
    <t>RSDFINOIL</t>
  </si>
  <si>
    <t>Residential Final Petroleum Fuels</t>
  </si>
  <si>
    <t>COMFINOIL</t>
  </si>
  <si>
    <t>Commercial Final Petroleum Fuels</t>
  </si>
  <si>
    <t>INDCOA</t>
  </si>
  <si>
    <t>INDCOB</t>
  </si>
  <si>
    <t>INDCOK</t>
  </si>
  <si>
    <t>INDCOL</t>
  </si>
  <si>
    <t>INDHFO</t>
  </si>
  <si>
    <t>INDBFG</t>
  </si>
  <si>
    <t>INDLFO</t>
  </si>
  <si>
    <t>INDBFT</t>
  </si>
  <si>
    <t>TRADST</t>
  </si>
  <si>
    <t>INDLPG</t>
  </si>
  <si>
    <t>INDCOG</t>
  </si>
  <si>
    <t>TRAHFO</t>
  </si>
  <si>
    <t>INDNAP</t>
  </si>
  <si>
    <t>INDCOP</t>
  </si>
  <si>
    <t>TRAJTK</t>
  </si>
  <si>
    <t>INDRFG</t>
  </si>
  <si>
    <t>TRALPG</t>
  </si>
  <si>
    <t>INDIIS</t>
  </si>
  <si>
    <t>TRAGSLE85</t>
  </si>
  <si>
    <t>TRAGSLSP95</t>
  </si>
  <si>
    <t>TRAGSLSP95E10</t>
  </si>
  <si>
    <t>HFO goes to inland navigation but also bunkers and that is to be excluded.</t>
  </si>
  <si>
    <t>DeACTFI_Process</t>
  </si>
  <si>
    <t>DeACTFI_T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</si>
</sst>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-* #,##0.00\ _€_-;\-* #,##0.00\ _€_-;_-* &quot;-&quot;??\ _€_-;_-@_-"/>
    <numFmt numFmtId="167" formatCode="_-&quot;€&quot;\ * #,##0.00_-;\-&quot;€&quot;\ * #,##0.00_-;_-&quot;€&quot;\ * &quot;-&quot;??_-;_-@_-"/>
    <numFmt numFmtId="168" formatCode="0.0"/>
    <numFmt numFmtId="169" formatCode="0.0%"/>
    <numFmt numFmtId="170" formatCode="_-&quot;$&quot;* #,##0.00_-;\-&quot;$&quot;* #,##0.00_-;_-&quot;$&quot;* &quot;-&quot;??_-;_-@_-"/>
    <numFmt numFmtId="171" formatCode="_([$€-2]* #,##0.00_);_([$€-2]* \(#,##0.00\);_([$€-2]* &quot;-&quot;??_)"/>
    <numFmt numFmtId="172" formatCode="General_)"/>
    <numFmt numFmtId="173" formatCode="\Te\x\t"/>
  </numFmts>
  <fonts count="39">
    <font>
      <sz val="10"/>
      <name val="Arial"/>
    </font>
    <font>
      <sz val="10"/>
      <name val="Arial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indexed="12"/>
      <name val="Arial"/>
      <family val="2"/>
    </font>
    <font>
      <sz val="10"/>
      <name val="Courier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color indexed="8"/>
      <name val="Calibri"/>
      <family val="2"/>
    </font>
    <font>
      <sz val="8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620">
    <xf numFmtId="0" fontId="0" fillId="0" borderId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166" fontId="12" fillId="0" borderId="0" applyFont="0" applyFill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164" fontId="29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35" fillId="0" borderId="0"/>
    <xf numFmtId="169" fontId="29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2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29" fillId="0" borderId="0">
      <alignment vertical="center"/>
    </xf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" fillId="0" borderId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2" fillId="0" borderId="0" xfId="0" quotePrefix="1" applyFont="1" applyFill="1" applyAlignment="1">
      <alignment horizontal="left"/>
    </xf>
    <xf numFmtId="0" fontId="4" fillId="0" borderId="0" xfId="1193" applyFont="1" applyFill="1"/>
    <xf numFmtId="0" fontId="4" fillId="0" borderId="0" xfId="0" applyFont="1" applyFill="1"/>
    <xf numFmtId="0" fontId="0" fillId="0" borderId="0" xfId="0" applyFill="1"/>
    <xf numFmtId="0" fontId="4" fillId="18" borderId="10" xfId="1193" applyFont="1" applyFill="1" applyBorder="1" applyAlignment="1">
      <alignment horizontal="left"/>
    </xf>
    <xf numFmtId="0" fontId="4" fillId="18" borderId="10" xfId="1193" applyFont="1" applyFill="1" applyBorder="1" applyAlignment="1">
      <alignment horizontal="left" wrapText="1"/>
    </xf>
    <xf numFmtId="0" fontId="0" fillId="19" borderId="0" xfId="0" applyFill="1"/>
    <xf numFmtId="0" fontId="0" fillId="20" borderId="0" xfId="0" applyFill="1"/>
    <xf numFmtId="0" fontId="0" fillId="0" borderId="0" xfId="0" applyAlignment="1">
      <alignment horizontal="center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1193" applyFont="1" applyFill="1" applyAlignment="1">
      <alignment vertical="center"/>
    </xf>
    <xf numFmtId="0" fontId="0" fillId="0" borderId="11" xfId="0" applyFill="1" applyBorder="1"/>
    <xf numFmtId="0" fontId="4" fillId="20" borderId="0" xfId="0" applyFont="1" applyFill="1"/>
    <xf numFmtId="0" fontId="4" fillId="18" borderId="0" xfId="1193" applyFont="1" applyFill="1" applyBorder="1" applyAlignment="1">
      <alignment horizontal="left" wrapText="1"/>
    </xf>
    <xf numFmtId="0" fontId="5" fillId="18" borderId="10" xfId="0" applyFont="1" applyFill="1" applyBorder="1"/>
    <xf numFmtId="0" fontId="5" fillId="18" borderId="10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1" fontId="4" fillId="18" borderId="0" xfId="0" applyNumberFormat="1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4" fillId="18" borderId="12" xfId="0" applyFont="1" applyFill="1" applyBorder="1" applyAlignment="1">
      <alignment horizontal="left" vertical="center" wrapText="1"/>
    </xf>
    <xf numFmtId="0" fontId="3" fillId="21" borderId="12" xfId="0" applyFont="1" applyFill="1" applyBorder="1" applyAlignment="1">
      <alignment horizontal="center" vertical="center" wrapText="1"/>
    </xf>
    <xf numFmtId="1" fontId="4" fillId="18" borderId="13" xfId="0" applyNumberFormat="1" applyFont="1" applyFill="1" applyBorder="1" applyAlignment="1">
      <alignment horizontal="left"/>
    </xf>
    <xf numFmtId="0" fontId="10" fillId="0" borderId="0" xfId="0" applyFont="1"/>
    <xf numFmtId="0" fontId="0" fillId="0" borderId="11" xfId="0" applyBorder="1"/>
    <xf numFmtId="0" fontId="11" fillId="0" borderId="0" xfId="0" applyFont="1"/>
    <xf numFmtId="0" fontId="0" fillId="0" borderId="14" xfId="0" applyBorder="1"/>
    <xf numFmtId="0" fontId="11" fillId="0" borderId="14" xfId="0" applyFont="1" applyBorder="1"/>
    <xf numFmtId="168" fontId="0" fillId="0" borderId="0" xfId="0" applyNumberFormat="1"/>
    <xf numFmtId="0" fontId="0" fillId="0" borderId="15" xfId="0" applyBorder="1"/>
    <xf numFmtId="168" fontId="0" fillId="0" borderId="15" xfId="0" applyNumberFormat="1" applyBorder="1"/>
    <xf numFmtId="0" fontId="0" fillId="0" borderId="0" xfId="0" applyBorder="1"/>
    <xf numFmtId="0" fontId="3" fillId="0" borderId="0" xfId="829" applyFont="1"/>
    <xf numFmtId="0" fontId="35" fillId="0" borderId="0" xfId="829"/>
    <xf numFmtId="0" fontId="2" fillId="0" borderId="0" xfId="829" applyFont="1"/>
    <xf numFmtId="0" fontId="4" fillId="0" borderId="0" xfId="829" applyFont="1" applyFill="1" applyAlignment="1">
      <alignment wrapText="1"/>
    </xf>
    <xf numFmtId="0" fontId="4" fillId="18" borderId="12" xfId="829" applyFont="1" applyFill="1" applyBorder="1" applyAlignment="1">
      <alignment horizontal="center" vertical="center" wrapText="1"/>
    </xf>
    <xf numFmtId="0" fontId="4" fillId="22" borderId="10" xfId="829" applyFont="1" applyFill="1" applyBorder="1" applyAlignment="1">
      <alignment vertical="center"/>
    </xf>
    <xf numFmtId="0" fontId="4" fillId="22" borderId="10" xfId="829" applyFont="1" applyFill="1" applyBorder="1" applyAlignment="1">
      <alignment horizontal="center" vertical="center" wrapText="1"/>
    </xf>
    <xf numFmtId="0" fontId="35" fillId="0" borderId="0" xfId="829" applyAlignment="1">
      <alignment horizontal="center"/>
    </xf>
    <xf numFmtId="2" fontId="35" fillId="0" borderId="0" xfId="829" applyNumberFormat="1"/>
    <xf numFmtId="0" fontId="35" fillId="0" borderId="0" xfId="829" applyBorder="1"/>
    <xf numFmtId="0" fontId="4" fillId="0" borderId="0" xfId="0" applyFont="1" applyAlignment="1">
      <alignment horizontal="center"/>
    </xf>
    <xf numFmtId="49" fontId="4" fillId="0" borderId="0" xfId="0" applyNumberFormat="1" applyFont="1"/>
    <xf numFmtId="0" fontId="34" fillId="0" borderId="0" xfId="0" applyFont="1"/>
    <xf numFmtId="173" fontId="2" fillId="0" borderId="0" xfId="0" applyNumberFormat="1" applyFont="1"/>
    <xf numFmtId="173" fontId="0" fillId="0" borderId="0" xfId="0" applyNumberFormat="1"/>
    <xf numFmtId="173" fontId="3" fillId="18" borderId="16" xfId="0" applyNumberFormat="1" applyFont="1" applyFill="1" applyBorder="1"/>
    <xf numFmtId="173" fontId="3" fillId="18" borderId="11" xfId="0" applyNumberFormat="1" applyFont="1" applyFill="1" applyBorder="1"/>
    <xf numFmtId="173" fontId="3" fillId="18" borderId="17" xfId="0" applyNumberFormat="1" applyFont="1" applyFill="1" applyBorder="1"/>
    <xf numFmtId="173" fontId="0" fillId="19" borderId="0" xfId="0" applyNumberFormat="1" applyFill="1"/>
    <xf numFmtId="173" fontId="4" fillId="0" borderId="0" xfId="0" applyNumberFormat="1" applyFont="1"/>
    <xf numFmtId="173" fontId="2" fillId="0" borderId="0" xfId="0" applyNumberFormat="1" applyFont="1" applyFill="1" applyAlignment="1">
      <alignment horizontal="left"/>
    </xf>
    <xf numFmtId="173" fontId="6" fillId="0" borderId="0" xfId="0" applyNumberFormat="1" applyFont="1"/>
    <xf numFmtId="173" fontId="5" fillId="18" borderId="10" xfId="0" applyNumberFormat="1" applyFont="1" applyFill="1" applyBorder="1"/>
    <xf numFmtId="173" fontId="5" fillId="18" borderId="10" xfId="0" applyNumberFormat="1" applyFont="1" applyFill="1" applyBorder="1" applyAlignment="1">
      <alignment horizontal="center"/>
    </xf>
    <xf numFmtId="173" fontId="2" fillId="0" borderId="0" xfId="829" applyNumberFormat="1" applyFont="1"/>
    <xf numFmtId="173" fontId="35" fillId="0" borderId="0" xfId="829" applyNumberFormat="1"/>
    <xf numFmtId="173" fontId="3" fillId="18" borderId="16" xfId="829" applyNumberFormat="1" applyFont="1" applyFill="1" applyBorder="1"/>
    <xf numFmtId="173" fontId="3" fillId="18" borderId="11" xfId="829" applyNumberFormat="1" applyFont="1" applyFill="1" applyBorder="1"/>
    <xf numFmtId="173" fontId="3" fillId="18" borderId="17" xfId="829" applyNumberFormat="1" applyFont="1" applyFill="1" applyBorder="1"/>
    <xf numFmtId="173" fontId="4" fillId="0" borderId="0" xfId="0" applyNumberFormat="1" applyFont="1" applyAlignment="1">
      <alignment horizontal="center"/>
    </xf>
    <xf numFmtId="0" fontId="36" fillId="23" borderId="10" xfId="0" applyFont="1" applyFill="1" applyBorder="1" applyAlignment="1">
      <alignment vertical="center"/>
    </xf>
    <xf numFmtId="0" fontId="0" fillId="0" borderId="18" xfId="0" applyBorder="1"/>
    <xf numFmtId="0" fontId="0" fillId="0" borderId="13" xfId="0" applyBorder="1"/>
    <xf numFmtId="0" fontId="0" fillId="0" borderId="19" xfId="0" applyBorder="1"/>
    <xf numFmtId="0" fontId="36" fillId="23" borderId="20" xfId="0" applyFont="1" applyFill="1" applyBorder="1" applyAlignment="1">
      <alignment vertical="center"/>
    </xf>
    <xf numFmtId="0" fontId="36" fillId="23" borderId="21" xfId="0" applyFont="1" applyFill="1" applyBorder="1" applyAlignment="1">
      <alignment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</cellXfs>
  <cellStyles count="1620">
    <cellStyle name="20% - Accent1 2 10" xfId="1" xr:uid="{00000000-0005-0000-0000-000000000000}"/>
    <cellStyle name="20% - Accent1 2 11" xfId="2" xr:uid="{00000000-0005-0000-0000-000001000000}"/>
    <cellStyle name="20% - Accent1 2 12" xfId="3" xr:uid="{00000000-0005-0000-0000-000002000000}"/>
    <cellStyle name="20% - Accent1 2 13" xfId="4" xr:uid="{00000000-0005-0000-0000-000003000000}"/>
    <cellStyle name="20% - Accent1 2 14" xfId="5" xr:uid="{00000000-0005-0000-0000-000004000000}"/>
    <cellStyle name="20% - Accent1 2 15" xfId="6" xr:uid="{00000000-0005-0000-0000-000005000000}"/>
    <cellStyle name="20% - Accent1 2 2" xfId="7" xr:uid="{00000000-0005-0000-0000-000006000000}"/>
    <cellStyle name="20% - Accent1 2 3" xfId="8" xr:uid="{00000000-0005-0000-0000-000007000000}"/>
    <cellStyle name="20% - Accent1 2 4" xfId="9" xr:uid="{00000000-0005-0000-0000-000008000000}"/>
    <cellStyle name="20% - Accent1 2 5" xfId="10" xr:uid="{00000000-0005-0000-0000-000009000000}"/>
    <cellStyle name="20% - Accent1 2 6" xfId="11" xr:uid="{00000000-0005-0000-0000-00000A000000}"/>
    <cellStyle name="20% - Accent1 2 7" xfId="12" xr:uid="{00000000-0005-0000-0000-00000B000000}"/>
    <cellStyle name="20% - Accent1 2 8" xfId="13" xr:uid="{00000000-0005-0000-0000-00000C000000}"/>
    <cellStyle name="20% - Accent1 2 9" xfId="14" xr:uid="{00000000-0005-0000-0000-00000D000000}"/>
    <cellStyle name="20% - Accent1 3" xfId="15" xr:uid="{00000000-0005-0000-0000-00000E000000}"/>
    <cellStyle name="20% - Accent1 4" xfId="16" xr:uid="{00000000-0005-0000-0000-00000F000000}"/>
    <cellStyle name="20% - Accent1 5" xfId="17" xr:uid="{00000000-0005-0000-0000-000010000000}"/>
    <cellStyle name="20% - Accent1 6" xfId="18" xr:uid="{00000000-0005-0000-0000-000011000000}"/>
    <cellStyle name="20% - Accent1 7" xfId="19" xr:uid="{00000000-0005-0000-0000-000012000000}"/>
    <cellStyle name="20% - Accent1 8" xfId="20" xr:uid="{00000000-0005-0000-0000-000013000000}"/>
    <cellStyle name="20% - Accent2 2 10" xfId="21" xr:uid="{00000000-0005-0000-0000-000014000000}"/>
    <cellStyle name="20% - Accent2 2 11" xfId="22" xr:uid="{00000000-0005-0000-0000-000015000000}"/>
    <cellStyle name="20% - Accent2 2 12" xfId="23" xr:uid="{00000000-0005-0000-0000-000016000000}"/>
    <cellStyle name="20% - Accent2 2 13" xfId="24" xr:uid="{00000000-0005-0000-0000-000017000000}"/>
    <cellStyle name="20% - Accent2 2 14" xfId="25" xr:uid="{00000000-0005-0000-0000-000018000000}"/>
    <cellStyle name="20% - Accent2 2 15" xfId="26" xr:uid="{00000000-0005-0000-0000-000019000000}"/>
    <cellStyle name="20% - Accent2 2 2" xfId="27" xr:uid="{00000000-0005-0000-0000-00001A000000}"/>
    <cellStyle name="20% - Accent2 2 3" xfId="28" xr:uid="{00000000-0005-0000-0000-00001B000000}"/>
    <cellStyle name="20% - Accent2 2 4" xfId="29" xr:uid="{00000000-0005-0000-0000-00001C000000}"/>
    <cellStyle name="20% - Accent2 2 5" xfId="30" xr:uid="{00000000-0005-0000-0000-00001D000000}"/>
    <cellStyle name="20% - Accent2 2 6" xfId="31" xr:uid="{00000000-0005-0000-0000-00001E000000}"/>
    <cellStyle name="20% - Accent2 2 7" xfId="32" xr:uid="{00000000-0005-0000-0000-00001F000000}"/>
    <cellStyle name="20% - Accent2 2 8" xfId="33" xr:uid="{00000000-0005-0000-0000-000020000000}"/>
    <cellStyle name="20% - Accent2 2 9" xfId="34" xr:uid="{00000000-0005-0000-0000-000021000000}"/>
    <cellStyle name="20% - Accent2 3" xfId="35" xr:uid="{00000000-0005-0000-0000-000022000000}"/>
    <cellStyle name="20% - Accent2 4" xfId="36" xr:uid="{00000000-0005-0000-0000-000023000000}"/>
    <cellStyle name="20% - Accent2 5" xfId="37" xr:uid="{00000000-0005-0000-0000-000024000000}"/>
    <cellStyle name="20% - Accent2 6" xfId="38" xr:uid="{00000000-0005-0000-0000-000025000000}"/>
    <cellStyle name="20% - Accent2 7" xfId="39" xr:uid="{00000000-0005-0000-0000-000026000000}"/>
    <cellStyle name="20% - Accent2 8" xfId="40" xr:uid="{00000000-0005-0000-0000-000027000000}"/>
    <cellStyle name="20% - Accent3 2 10" xfId="41" xr:uid="{00000000-0005-0000-0000-000028000000}"/>
    <cellStyle name="20% - Accent3 2 11" xfId="42" xr:uid="{00000000-0005-0000-0000-000029000000}"/>
    <cellStyle name="20% - Accent3 2 12" xfId="43" xr:uid="{00000000-0005-0000-0000-00002A000000}"/>
    <cellStyle name="20% - Accent3 2 13" xfId="44" xr:uid="{00000000-0005-0000-0000-00002B000000}"/>
    <cellStyle name="20% - Accent3 2 14" xfId="45" xr:uid="{00000000-0005-0000-0000-00002C000000}"/>
    <cellStyle name="20% - Accent3 2 15" xfId="46" xr:uid="{00000000-0005-0000-0000-00002D000000}"/>
    <cellStyle name="20% - Accent3 2 2" xfId="47" xr:uid="{00000000-0005-0000-0000-00002E000000}"/>
    <cellStyle name="20% - Accent3 2 3" xfId="48" xr:uid="{00000000-0005-0000-0000-00002F000000}"/>
    <cellStyle name="20% - Accent3 2 4" xfId="49" xr:uid="{00000000-0005-0000-0000-000030000000}"/>
    <cellStyle name="20% - Accent3 2 5" xfId="50" xr:uid="{00000000-0005-0000-0000-000031000000}"/>
    <cellStyle name="20% - Accent3 2 6" xfId="51" xr:uid="{00000000-0005-0000-0000-000032000000}"/>
    <cellStyle name="20% - Accent3 2 7" xfId="52" xr:uid="{00000000-0005-0000-0000-000033000000}"/>
    <cellStyle name="20% - Accent3 2 8" xfId="53" xr:uid="{00000000-0005-0000-0000-000034000000}"/>
    <cellStyle name="20% - Accent3 2 9" xfId="54" xr:uid="{00000000-0005-0000-0000-000035000000}"/>
    <cellStyle name="20% - Accent3 3" xfId="55" xr:uid="{00000000-0005-0000-0000-000036000000}"/>
    <cellStyle name="20% - Accent3 4" xfId="56" xr:uid="{00000000-0005-0000-0000-000037000000}"/>
    <cellStyle name="20% - Accent3 5" xfId="57" xr:uid="{00000000-0005-0000-0000-000038000000}"/>
    <cellStyle name="20% - Accent3 6" xfId="58" xr:uid="{00000000-0005-0000-0000-000039000000}"/>
    <cellStyle name="20% - Accent3 7" xfId="59" xr:uid="{00000000-0005-0000-0000-00003A000000}"/>
    <cellStyle name="20% - Accent3 8" xfId="60" xr:uid="{00000000-0005-0000-0000-00003B000000}"/>
    <cellStyle name="20% - Accent4 2 10" xfId="61" xr:uid="{00000000-0005-0000-0000-00003C000000}"/>
    <cellStyle name="20% - Accent4 2 11" xfId="62" xr:uid="{00000000-0005-0000-0000-00003D000000}"/>
    <cellStyle name="20% - Accent4 2 12" xfId="63" xr:uid="{00000000-0005-0000-0000-00003E000000}"/>
    <cellStyle name="20% - Accent4 2 13" xfId="64" xr:uid="{00000000-0005-0000-0000-00003F000000}"/>
    <cellStyle name="20% - Accent4 2 14" xfId="65" xr:uid="{00000000-0005-0000-0000-000040000000}"/>
    <cellStyle name="20% - Accent4 2 15" xfId="66" xr:uid="{00000000-0005-0000-0000-000041000000}"/>
    <cellStyle name="20% - Accent4 2 2" xfId="67" xr:uid="{00000000-0005-0000-0000-000042000000}"/>
    <cellStyle name="20% - Accent4 2 3" xfId="68" xr:uid="{00000000-0005-0000-0000-000043000000}"/>
    <cellStyle name="20% - Accent4 2 4" xfId="69" xr:uid="{00000000-0005-0000-0000-000044000000}"/>
    <cellStyle name="20% - Accent4 2 5" xfId="70" xr:uid="{00000000-0005-0000-0000-000045000000}"/>
    <cellStyle name="20% - Accent4 2 6" xfId="71" xr:uid="{00000000-0005-0000-0000-000046000000}"/>
    <cellStyle name="20% - Accent4 2 7" xfId="72" xr:uid="{00000000-0005-0000-0000-000047000000}"/>
    <cellStyle name="20% - Accent4 2 8" xfId="73" xr:uid="{00000000-0005-0000-0000-000048000000}"/>
    <cellStyle name="20% - Accent4 2 9" xfId="74" xr:uid="{00000000-0005-0000-0000-000049000000}"/>
    <cellStyle name="20% - Accent4 3" xfId="75" xr:uid="{00000000-0005-0000-0000-00004A000000}"/>
    <cellStyle name="20% - Accent4 4" xfId="76" xr:uid="{00000000-0005-0000-0000-00004B000000}"/>
    <cellStyle name="20% - Accent4 5" xfId="77" xr:uid="{00000000-0005-0000-0000-00004C000000}"/>
    <cellStyle name="20% - Accent4 6" xfId="78" xr:uid="{00000000-0005-0000-0000-00004D000000}"/>
    <cellStyle name="20% - Accent4 7" xfId="79" xr:uid="{00000000-0005-0000-0000-00004E000000}"/>
    <cellStyle name="20% - Accent4 8" xfId="80" xr:uid="{00000000-0005-0000-0000-00004F000000}"/>
    <cellStyle name="20% - Accent5 2 10" xfId="81" xr:uid="{00000000-0005-0000-0000-000050000000}"/>
    <cellStyle name="20% - Accent5 2 11" xfId="82" xr:uid="{00000000-0005-0000-0000-000051000000}"/>
    <cellStyle name="20% - Accent5 2 12" xfId="83" xr:uid="{00000000-0005-0000-0000-000052000000}"/>
    <cellStyle name="20% - Accent5 2 13" xfId="84" xr:uid="{00000000-0005-0000-0000-000053000000}"/>
    <cellStyle name="20% - Accent5 2 14" xfId="85" xr:uid="{00000000-0005-0000-0000-000054000000}"/>
    <cellStyle name="20% - Accent5 2 15" xfId="86" xr:uid="{00000000-0005-0000-0000-000055000000}"/>
    <cellStyle name="20% - Accent5 2 2" xfId="87" xr:uid="{00000000-0005-0000-0000-000056000000}"/>
    <cellStyle name="20% - Accent5 2 3" xfId="88" xr:uid="{00000000-0005-0000-0000-000057000000}"/>
    <cellStyle name="20% - Accent5 2 4" xfId="89" xr:uid="{00000000-0005-0000-0000-000058000000}"/>
    <cellStyle name="20% - Accent5 2 5" xfId="90" xr:uid="{00000000-0005-0000-0000-000059000000}"/>
    <cellStyle name="20% - Accent5 2 6" xfId="91" xr:uid="{00000000-0005-0000-0000-00005A000000}"/>
    <cellStyle name="20% - Accent5 2 7" xfId="92" xr:uid="{00000000-0005-0000-0000-00005B000000}"/>
    <cellStyle name="20% - Accent5 2 8" xfId="93" xr:uid="{00000000-0005-0000-0000-00005C000000}"/>
    <cellStyle name="20% - Accent5 2 9" xfId="94" xr:uid="{00000000-0005-0000-0000-00005D000000}"/>
    <cellStyle name="20% - Accent5 3" xfId="95" xr:uid="{00000000-0005-0000-0000-00005E000000}"/>
    <cellStyle name="20% - Accent5 4" xfId="96" xr:uid="{00000000-0005-0000-0000-00005F000000}"/>
    <cellStyle name="20% - Accent5 5" xfId="97" xr:uid="{00000000-0005-0000-0000-000060000000}"/>
    <cellStyle name="20% - Accent5 6" xfId="98" xr:uid="{00000000-0005-0000-0000-000061000000}"/>
    <cellStyle name="20% - Accent5 7" xfId="99" xr:uid="{00000000-0005-0000-0000-000062000000}"/>
    <cellStyle name="20% - Accent5 8" xfId="100" xr:uid="{00000000-0005-0000-0000-000063000000}"/>
    <cellStyle name="20% - Accent6 2 10" xfId="101" xr:uid="{00000000-0005-0000-0000-000064000000}"/>
    <cellStyle name="20% - Accent6 2 11" xfId="102" xr:uid="{00000000-0005-0000-0000-000065000000}"/>
    <cellStyle name="20% - Accent6 2 12" xfId="103" xr:uid="{00000000-0005-0000-0000-000066000000}"/>
    <cellStyle name="20% - Accent6 2 13" xfId="104" xr:uid="{00000000-0005-0000-0000-000067000000}"/>
    <cellStyle name="20% - Accent6 2 14" xfId="105" xr:uid="{00000000-0005-0000-0000-000068000000}"/>
    <cellStyle name="20% - Accent6 2 15" xfId="106" xr:uid="{00000000-0005-0000-0000-000069000000}"/>
    <cellStyle name="20% - Accent6 2 2" xfId="107" xr:uid="{00000000-0005-0000-0000-00006A000000}"/>
    <cellStyle name="20% - Accent6 2 3" xfId="108" xr:uid="{00000000-0005-0000-0000-00006B000000}"/>
    <cellStyle name="20% - Accent6 2 4" xfId="109" xr:uid="{00000000-0005-0000-0000-00006C000000}"/>
    <cellStyle name="20% - Accent6 2 5" xfId="110" xr:uid="{00000000-0005-0000-0000-00006D000000}"/>
    <cellStyle name="20% - Accent6 2 6" xfId="111" xr:uid="{00000000-0005-0000-0000-00006E000000}"/>
    <cellStyle name="20% - Accent6 2 7" xfId="112" xr:uid="{00000000-0005-0000-0000-00006F000000}"/>
    <cellStyle name="20% - Accent6 2 8" xfId="113" xr:uid="{00000000-0005-0000-0000-000070000000}"/>
    <cellStyle name="20% - Accent6 2 9" xfId="114" xr:uid="{00000000-0005-0000-0000-000071000000}"/>
    <cellStyle name="20% - Accent6 3" xfId="115" xr:uid="{00000000-0005-0000-0000-000072000000}"/>
    <cellStyle name="20% - Accent6 4" xfId="116" xr:uid="{00000000-0005-0000-0000-000073000000}"/>
    <cellStyle name="20% - Accent6 5" xfId="117" xr:uid="{00000000-0005-0000-0000-000074000000}"/>
    <cellStyle name="20% - Accent6 6" xfId="118" xr:uid="{00000000-0005-0000-0000-000075000000}"/>
    <cellStyle name="20% - Accent6 7" xfId="119" xr:uid="{00000000-0005-0000-0000-000076000000}"/>
    <cellStyle name="20% - Accent6 8" xfId="120" xr:uid="{00000000-0005-0000-0000-000077000000}"/>
    <cellStyle name="40% - Accent1 2 10" xfId="121" xr:uid="{00000000-0005-0000-0000-000078000000}"/>
    <cellStyle name="40% - Accent1 2 11" xfId="122" xr:uid="{00000000-0005-0000-0000-000079000000}"/>
    <cellStyle name="40% - Accent1 2 12" xfId="123" xr:uid="{00000000-0005-0000-0000-00007A000000}"/>
    <cellStyle name="40% - Accent1 2 13" xfId="124" xr:uid="{00000000-0005-0000-0000-00007B000000}"/>
    <cellStyle name="40% - Accent1 2 14" xfId="125" xr:uid="{00000000-0005-0000-0000-00007C000000}"/>
    <cellStyle name="40% - Accent1 2 15" xfId="126" xr:uid="{00000000-0005-0000-0000-00007D000000}"/>
    <cellStyle name="40% - Accent1 2 2" xfId="127" xr:uid="{00000000-0005-0000-0000-00007E000000}"/>
    <cellStyle name="40% - Accent1 2 3" xfId="128" xr:uid="{00000000-0005-0000-0000-00007F000000}"/>
    <cellStyle name="40% - Accent1 2 4" xfId="129" xr:uid="{00000000-0005-0000-0000-000080000000}"/>
    <cellStyle name="40% - Accent1 2 5" xfId="130" xr:uid="{00000000-0005-0000-0000-000081000000}"/>
    <cellStyle name="40% - Accent1 2 6" xfId="131" xr:uid="{00000000-0005-0000-0000-000082000000}"/>
    <cellStyle name="40% - Accent1 2 7" xfId="132" xr:uid="{00000000-0005-0000-0000-000083000000}"/>
    <cellStyle name="40% - Accent1 2 8" xfId="133" xr:uid="{00000000-0005-0000-0000-000084000000}"/>
    <cellStyle name="40% - Accent1 2 9" xfId="134" xr:uid="{00000000-0005-0000-0000-000085000000}"/>
    <cellStyle name="40% - Accent1 3" xfId="135" xr:uid="{00000000-0005-0000-0000-000086000000}"/>
    <cellStyle name="40% - Accent1 4" xfId="136" xr:uid="{00000000-0005-0000-0000-000087000000}"/>
    <cellStyle name="40% - Accent1 5" xfId="137" xr:uid="{00000000-0005-0000-0000-000088000000}"/>
    <cellStyle name="40% - Accent1 6" xfId="138" xr:uid="{00000000-0005-0000-0000-000089000000}"/>
    <cellStyle name="40% - Accent1 7" xfId="139" xr:uid="{00000000-0005-0000-0000-00008A000000}"/>
    <cellStyle name="40% - Accent1 8" xfId="140" xr:uid="{00000000-0005-0000-0000-00008B000000}"/>
    <cellStyle name="40% - Accent2 2 10" xfId="141" xr:uid="{00000000-0005-0000-0000-00008C000000}"/>
    <cellStyle name="40% - Accent2 2 11" xfId="142" xr:uid="{00000000-0005-0000-0000-00008D000000}"/>
    <cellStyle name="40% - Accent2 2 12" xfId="143" xr:uid="{00000000-0005-0000-0000-00008E000000}"/>
    <cellStyle name="40% - Accent2 2 13" xfId="144" xr:uid="{00000000-0005-0000-0000-00008F000000}"/>
    <cellStyle name="40% - Accent2 2 14" xfId="145" xr:uid="{00000000-0005-0000-0000-000090000000}"/>
    <cellStyle name="40% - Accent2 2 15" xfId="146" xr:uid="{00000000-0005-0000-0000-000091000000}"/>
    <cellStyle name="40% - Accent2 2 2" xfId="147" xr:uid="{00000000-0005-0000-0000-000092000000}"/>
    <cellStyle name="40% - Accent2 2 3" xfId="148" xr:uid="{00000000-0005-0000-0000-000093000000}"/>
    <cellStyle name="40% - Accent2 2 4" xfId="149" xr:uid="{00000000-0005-0000-0000-000094000000}"/>
    <cellStyle name="40% - Accent2 2 5" xfId="150" xr:uid="{00000000-0005-0000-0000-000095000000}"/>
    <cellStyle name="40% - Accent2 2 6" xfId="151" xr:uid="{00000000-0005-0000-0000-000096000000}"/>
    <cellStyle name="40% - Accent2 2 7" xfId="152" xr:uid="{00000000-0005-0000-0000-000097000000}"/>
    <cellStyle name="40% - Accent2 2 8" xfId="153" xr:uid="{00000000-0005-0000-0000-000098000000}"/>
    <cellStyle name="40% - Accent2 2 9" xfId="154" xr:uid="{00000000-0005-0000-0000-000099000000}"/>
    <cellStyle name="40% - Accent2 3" xfId="155" xr:uid="{00000000-0005-0000-0000-00009A000000}"/>
    <cellStyle name="40% - Accent2 4" xfId="156" xr:uid="{00000000-0005-0000-0000-00009B000000}"/>
    <cellStyle name="40% - Accent2 5" xfId="157" xr:uid="{00000000-0005-0000-0000-00009C000000}"/>
    <cellStyle name="40% - Accent2 6" xfId="158" xr:uid="{00000000-0005-0000-0000-00009D000000}"/>
    <cellStyle name="40% - Accent2 7" xfId="159" xr:uid="{00000000-0005-0000-0000-00009E000000}"/>
    <cellStyle name="40% - Accent2 8" xfId="160" xr:uid="{00000000-0005-0000-0000-00009F000000}"/>
    <cellStyle name="40% - Accent3 2 10" xfId="161" xr:uid="{00000000-0005-0000-0000-0000A0000000}"/>
    <cellStyle name="40% - Accent3 2 11" xfId="162" xr:uid="{00000000-0005-0000-0000-0000A1000000}"/>
    <cellStyle name="40% - Accent3 2 12" xfId="163" xr:uid="{00000000-0005-0000-0000-0000A2000000}"/>
    <cellStyle name="40% - Accent3 2 13" xfId="164" xr:uid="{00000000-0005-0000-0000-0000A3000000}"/>
    <cellStyle name="40% - Accent3 2 14" xfId="165" xr:uid="{00000000-0005-0000-0000-0000A4000000}"/>
    <cellStyle name="40% - Accent3 2 15" xfId="166" xr:uid="{00000000-0005-0000-0000-0000A5000000}"/>
    <cellStyle name="40% - Accent3 2 2" xfId="167" xr:uid="{00000000-0005-0000-0000-0000A6000000}"/>
    <cellStyle name="40% - Accent3 2 3" xfId="168" xr:uid="{00000000-0005-0000-0000-0000A7000000}"/>
    <cellStyle name="40% - Accent3 2 4" xfId="169" xr:uid="{00000000-0005-0000-0000-0000A8000000}"/>
    <cellStyle name="40% - Accent3 2 5" xfId="170" xr:uid="{00000000-0005-0000-0000-0000A9000000}"/>
    <cellStyle name="40% - Accent3 2 6" xfId="171" xr:uid="{00000000-0005-0000-0000-0000AA000000}"/>
    <cellStyle name="40% - Accent3 2 7" xfId="172" xr:uid="{00000000-0005-0000-0000-0000AB000000}"/>
    <cellStyle name="40% - Accent3 2 8" xfId="173" xr:uid="{00000000-0005-0000-0000-0000AC000000}"/>
    <cellStyle name="40% - Accent3 2 9" xfId="174" xr:uid="{00000000-0005-0000-0000-0000AD000000}"/>
    <cellStyle name="40% - Accent3 3" xfId="175" xr:uid="{00000000-0005-0000-0000-0000AE000000}"/>
    <cellStyle name="40% - Accent3 4" xfId="176" xr:uid="{00000000-0005-0000-0000-0000AF000000}"/>
    <cellStyle name="40% - Accent3 5" xfId="177" xr:uid="{00000000-0005-0000-0000-0000B0000000}"/>
    <cellStyle name="40% - Accent3 6" xfId="178" xr:uid="{00000000-0005-0000-0000-0000B1000000}"/>
    <cellStyle name="40% - Accent3 7" xfId="179" xr:uid="{00000000-0005-0000-0000-0000B2000000}"/>
    <cellStyle name="40% - Accent3 8" xfId="180" xr:uid="{00000000-0005-0000-0000-0000B3000000}"/>
    <cellStyle name="40% - Accent4 2 10" xfId="181" xr:uid="{00000000-0005-0000-0000-0000B4000000}"/>
    <cellStyle name="40% - Accent4 2 11" xfId="182" xr:uid="{00000000-0005-0000-0000-0000B5000000}"/>
    <cellStyle name="40% - Accent4 2 12" xfId="183" xr:uid="{00000000-0005-0000-0000-0000B6000000}"/>
    <cellStyle name="40% - Accent4 2 13" xfId="184" xr:uid="{00000000-0005-0000-0000-0000B7000000}"/>
    <cellStyle name="40% - Accent4 2 14" xfId="185" xr:uid="{00000000-0005-0000-0000-0000B8000000}"/>
    <cellStyle name="40% - Accent4 2 15" xfId="186" xr:uid="{00000000-0005-0000-0000-0000B9000000}"/>
    <cellStyle name="40% - Accent4 2 2" xfId="187" xr:uid="{00000000-0005-0000-0000-0000BA000000}"/>
    <cellStyle name="40% - Accent4 2 3" xfId="188" xr:uid="{00000000-0005-0000-0000-0000BB000000}"/>
    <cellStyle name="40% - Accent4 2 4" xfId="189" xr:uid="{00000000-0005-0000-0000-0000BC000000}"/>
    <cellStyle name="40% - Accent4 2 5" xfId="190" xr:uid="{00000000-0005-0000-0000-0000BD000000}"/>
    <cellStyle name="40% - Accent4 2 6" xfId="191" xr:uid="{00000000-0005-0000-0000-0000BE000000}"/>
    <cellStyle name="40% - Accent4 2 7" xfId="192" xr:uid="{00000000-0005-0000-0000-0000BF000000}"/>
    <cellStyle name="40% - Accent4 2 8" xfId="193" xr:uid="{00000000-0005-0000-0000-0000C0000000}"/>
    <cellStyle name="40% - Accent4 2 9" xfId="194" xr:uid="{00000000-0005-0000-0000-0000C1000000}"/>
    <cellStyle name="40% - Accent4 3" xfId="195" xr:uid="{00000000-0005-0000-0000-0000C2000000}"/>
    <cellStyle name="40% - Accent4 4" xfId="196" xr:uid="{00000000-0005-0000-0000-0000C3000000}"/>
    <cellStyle name="40% - Accent4 5" xfId="197" xr:uid="{00000000-0005-0000-0000-0000C4000000}"/>
    <cellStyle name="40% - Accent4 6" xfId="198" xr:uid="{00000000-0005-0000-0000-0000C5000000}"/>
    <cellStyle name="40% - Accent4 7" xfId="199" xr:uid="{00000000-0005-0000-0000-0000C6000000}"/>
    <cellStyle name="40% - Accent4 8" xfId="200" xr:uid="{00000000-0005-0000-0000-0000C7000000}"/>
    <cellStyle name="40% - Accent5 2 10" xfId="201" xr:uid="{00000000-0005-0000-0000-0000C8000000}"/>
    <cellStyle name="40% - Accent5 2 11" xfId="202" xr:uid="{00000000-0005-0000-0000-0000C9000000}"/>
    <cellStyle name="40% - Accent5 2 12" xfId="203" xr:uid="{00000000-0005-0000-0000-0000CA000000}"/>
    <cellStyle name="40% - Accent5 2 13" xfId="204" xr:uid="{00000000-0005-0000-0000-0000CB000000}"/>
    <cellStyle name="40% - Accent5 2 14" xfId="205" xr:uid="{00000000-0005-0000-0000-0000CC000000}"/>
    <cellStyle name="40% - Accent5 2 15" xfId="206" xr:uid="{00000000-0005-0000-0000-0000CD000000}"/>
    <cellStyle name="40% - Accent5 2 2" xfId="207" xr:uid="{00000000-0005-0000-0000-0000CE000000}"/>
    <cellStyle name="40% - Accent5 2 3" xfId="208" xr:uid="{00000000-0005-0000-0000-0000CF000000}"/>
    <cellStyle name="40% - Accent5 2 4" xfId="209" xr:uid="{00000000-0005-0000-0000-0000D0000000}"/>
    <cellStyle name="40% - Accent5 2 5" xfId="210" xr:uid="{00000000-0005-0000-0000-0000D1000000}"/>
    <cellStyle name="40% - Accent5 2 6" xfId="211" xr:uid="{00000000-0005-0000-0000-0000D2000000}"/>
    <cellStyle name="40% - Accent5 2 7" xfId="212" xr:uid="{00000000-0005-0000-0000-0000D3000000}"/>
    <cellStyle name="40% - Accent5 2 8" xfId="213" xr:uid="{00000000-0005-0000-0000-0000D4000000}"/>
    <cellStyle name="40% - Accent5 2 9" xfId="214" xr:uid="{00000000-0005-0000-0000-0000D5000000}"/>
    <cellStyle name="40% - Accent5 3" xfId="215" xr:uid="{00000000-0005-0000-0000-0000D6000000}"/>
    <cellStyle name="40% - Accent5 4" xfId="216" xr:uid="{00000000-0005-0000-0000-0000D7000000}"/>
    <cellStyle name="40% - Accent5 5" xfId="217" xr:uid="{00000000-0005-0000-0000-0000D8000000}"/>
    <cellStyle name="40% - Accent5 6" xfId="218" xr:uid="{00000000-0005-0000-0000-0000D9000000}"/>
    <cellStyle name="40% - Accent5 7" xfId="219" xr:uid="{00000000-0005-0000-0000-0000DA000000}"/>
    <cellStyle name="40% - Accent5 8" xfId="220" xr:uid="{00000000-0005-0000-0000-0000DB000000}"/>
    <cellStyle name="40% - Accent6 2 10" xfId="221" xr:uid="{00000000-0005-0000-0000-0000DC000000}"/>
    <cellStyle name="40% - Accent6 2 11" xfId="222" xr:uid="{00000000-0005-0000-0000-0000DD000000}"/>
    <cellStyle name="40% - Accent6 2 12" xfId="223" xr:uid="{00000000-0005-0000-0000-0000DE000000}"/>
    <cellStyle name="40% - Accent6 2 13" xfId="224" xr:uid="{00000000-0005-0000-0000-0000DF000000}"/>
    <cellStyle name="40% - Accent6 2 14" xfId="225" xr:uid="{00000000-0005-0000-0000-0000E0000000}"/>
    <cellStyle name="40% - Accent6 2 15" xfId="226" xr:uid="{00000000-0005-0000-0000-0000E1000000}"/>
    <cellStyle name="40% - Accent6 2 2" xfId="227" xr:uid="{00000000-0005-0000-0000-0000E2000000}"/>
    <cellStyle name="40% - Accent6 2 3" xfId="228" xr:uid="{00000000-0005-0000-0000-0000E3000000}"/>
    <cellStyle name="40% - Accent6 2 4" xfId="229" xr:uid="{00000000-0005-0000-0000-0000E4000000}"/>
    <cellStyle name="40% - Accent6 2 5" xfId="230" xr:uid="{00000000-0005-0000-0000-0000E5000000}"/>
    <cellStyle name="40% - Accent6 2 6" xfId="231" xr:uid="{00000000-0005-0000-0000-0000E6000000}"/>
    <cellStyle name="40% - Accent6 2 7" xfId="232" xr:uid="{00000000-0005-0000-0000-0000E7000000}"/>
    <cellStyle name="40% - Accent6 2 8" xfId="233" xr:uid="{00000000-0005-0000-0000-0000E8000000}"/>
    <cellStyle name="40% - Accent6 2 9" xfId="234" xr:uid="{00000000-0005-0000-0000-0000E9000000}"/>
    <cellStyle name="40% - Accent6 3" xfId="235" xr:uid="{00000000-0005-0000-0000-0000EA000000}"/>
    <cellStyle name="40% - Accent6 4" xfId="236" xr:uid="{00000000-0005-0000-0000-0000EB000000}"/>
    <cellStyle name="40% - Accent6 5" xfId="237" xr:uid="{00000000-0005-0000-0000-0000EC000000}"/>
    <cellStyle name="40% - Accent6 6" xfId="238" xr:uid="{00000000-0005-0000-0000-0000ED000000}"/>
    <cellStyle name="40% - Accent6 7" xfId="239" xr:uid="{00000000-0005-0000-0000-0000EE000000}"/>
    <cellStyle name="40% - Accent6 8" xfId="240" xr:uid="{00000000-0005-0000-0000-0000EF000000}"/>
    <cellStyle name="60% - Accent1 2 10" xfId="241" xr:uid="{00000000-0005-0000-0000-0000F0000000}"/>
    <cellStyle name="60% - Accent1 2 2" xfId="242" xr:uid="{00000000-0005-0000-0000-0000F1000000}"/>
    <cellStyle name="60% - Accent1 2 3" xfId="243" xr:uid="{00000000-0005-0000-0000-0000F2000000}"/>
    <cellStyle name="60% - Accent1 2 4" xfId="244" xr:uid="{00000000-0005-0000-0000-0000F3000000}"/>
    <cellStyle name="60% - Accent1 2 5" xfId="245" xr:uid="{00000000-0005-0000-0000-0000F4000000}"/>
    <cellStyle name="60% - Accent1 2 6" xfId="246" xr:uid="{00000000-0005-0000-0000-0000F5000000}"/>
    <cellStyle name="60% - Accent1 2 7" xfId="247" xr:uid="{00000000-0005-0000-0000-0000F6000000}"/>
    <cellStyle name="60% - Accent1 2 8" xfId="248" xr:uid="{00000000-0005-0000-0000-0000F7000000}"/>
    <cellStyle name="60% - Accent1 2 9" xfId="249" xr:uid="{00000000-0005-0000-0000-0000F8000000}"/>
    <cellStyle name="60% - Accent1 3" xfId="250" xr:uid="{00000000-0005-0000-0000-0000F9000000}"/>
    <cellStyle name="60% - Accent2 2 10" xfId="251" xr:uid="{00000000-0005-0000-0000-0000FA000000}"/>
    <cellStyle name="60% - Accent2 2 2" xfId="252" xr:uid="{00000000-0005-0000-0000-0000FB000000}"/>
    <cellStyle name="60% - Accent2 2 3" xfId="253" xr:uid="{00000000-0005-0000-0000-0000FC000000}"/>
    <cellStyle name="60% - Accent2 2 4" xfId="254" xr:uid="{00000000-0005-0000-0000-0000FD000000}"/>
    <cellStyle name="60% - Accent2 2 5" xfId="255" xr:uid="{00000000-0005-0000-0000-0000FE000000}"/>
    <cellStyle name="60% - Accent2 2 6" xfId="256" xr:uid="{00000000-0005-0000-0000-0000FF000000}"/>
    <cellStyle name="60% - Accent2 2 7" xfId="257" xr:uid="{00000000-0005-0000-0000-000000010000}"/>
    <cellStyle name="60% - Accent2 2 8" xfId="258" xr:uid="{00000000-0005-0000-0000-000001010000}"/>
    <cellStyle name="60% - Accent2 2 9" xfId="259" xr:uid="{00000000-0005-0000-0000-000002010000}"/>
    <cellStyle name="60% - Accent2 3" xfId="260" xr:uid="{00000000-0005-0000-0000-000003010000}"/>
    <cellStyle name="60% - Accent3 2 10" xfId="261" xr:uid="{00000000-0005-0000-0000-000004010000}"/>
    <cellStyle name="60% - Accent3 2 2" xfId="262" xr:uid="{00000000-0005-0000-0000-000005010000}"/>
    <cellStyle name="60% - Accent3 2 3" xfId="263" xr:uid="{00000000-0005-0000-0000-000006010000}"/>
    <cellStyle name="60% - Accent3 2 4" xfId="264" xr:uid="{00000000-0005-0000-0000-000007010000}"/>
    <cellStyle name="60% - Accent3 2 5" xfId="265" xr:uid="{00000000-0005-0000-0000-000008010000}"/>
    <cellStyle name="60% - Accent3 2 6" xfId="266" xr:uid="{00000000-0005-0000-0000-000009010000}"/>
    <cellStyle name="60% - Accent3 2 7" xfId="267" xr:uid="{00000000-0005-0000-0000-00000A010000}"/>
    <cellStyle name="60% - Accent3 2 8" xfId="268" xr:uid="{00000000-0005-0000-0000-00000B010000}"/>
    <cellStyle name="60% - Accent3 2 9" xfId="269" xr:uid="{00000000-0005-0000-0000-00000C010000}"/>
    <cellStyle name="60% - Accent3 3" xfId="270" xr:uid="{00000000-0005-0000-0000-00000D010000}"/>
    <cellStyle name="60% - Accent4 2 10" xfId="271" xr:uid="{00000000-0005-0000-0000-00000E010000}"/>
    <cellStyle name="60% - Accent4 2 2" xfId="272" xr:uid="{00000000-0005-0000-0000-00000F010000}"/>
    <cellStyle name="60% - Accent4 2 3" xfId="273" xr:uid="{00000000-0005-0000-0000-000010010000}"/>
    <cellStyle name="60% - Accent4 2 4" xfId="274" xr:uid="{00000000-0005-0000-0000-000011010000}"/>
    <cellStyle name="60% - Accent4 2 5" xfId="275" xr:uid="{00000000-0005-0000-0000-000012010000}"/>
    <cellStyle name="60% - Accent4 2 6" xfId="276" xr:uid="{00000000-0005-0000-0000-000013010000}"/>
    <cellStyle name="60% - Accent4 2 7" xfId="277" xr:uid="{00000000-0005-0000-0000-000014010000}"/>
    <cellStyle name="60% - Accent4 2 8" xfId="278" xr:uid="{00000000-0005-0000-0000-000015010000}"/>
    <cellStyle name="60% - Accent4 2 9" xfId="279" xr:uid="{00000000-0005-0000-0000-000016010000}"/>
    <cellStyle name="60% - Accent4 3" xfId="280" xr:uid="{00000000-0005-0000-0000-000017010000}"/>
    <cellStyle name="60% - Accent5 2 10" xfId="281" xr:uid="{00000000-0005-0000-0000-000018010000}"/>
    <cellStyle name="60% - Accent5 2 2" xfId="282" xr:uid="{00000000-0005-0000-0000-000019010000}"/>
    <cellStyle name="60% - Accent5 2 3" xfId="283" xr:uid="{00000000-0005-0000-0000-00001A010000}"/>
    <cellStyle name="60% - Accent5 2 4" xfId="284" xr:uid="{00000000-0005-0000-0000-00001B010000}"/>
    <cellStyle name="60% - Accent5 2 5" xfId="285" xr:uid="{00000000-0005-0000-0000-00001C010000}"/>
    <cellStyle name="60% - Accent5 2 6" xfId="286" xr:uid="{00000000-0005-0000-0000-00001D010000}"/>
    <cellStyle name="60% - Accent5 2 7" xfId="287" xr:uid="{00000000-0005-0000-0000-00001E010000}"/>
    <cellStyle name="60% - Accent5 2 8" xfId="288" xr:uid="{00000000-0005-0000-0000-00001F010000}"/>
    <cellStyle name="60% - Accent5 2 9" xfId="289" xr:uid="{00000000-0005-0000-0000-000020010000}"/>
    <cellStyle name="60% - Accent5 3" xfId="290" xr:uid="{00000000-0005-0000-0000-000021010000}"/>
    <cellStyle name="60% - Accent6 2 10" xfId="291" xr:uid="{00000000-0005-0000-0000-000022010000}"/>
    <cellStyle name="60% - Accent6 2 2" xfId="292" xr:uid="{00000000-0005-0000-0000-000023010000}"/>
    <cellStyle name="60% - Accent6 2 3" xfId="293" xr:uid="{00000000-0005-0000-0000-000024010000}"/>
    <cellStyle name="60% - Accent6 2 4" xfId="294" xr:uid="{00000000-0005-0000-0000-000025010000}"/>
    <cellStyle name="60% - Accent6 2 5" xfId="295" xr:uid="{00000000-0005-0000-0000-000026010000}"/>
    <cellStyle name="60% - Accent6 2 6" xfId="296" xr:uid="{00000000-0005-0000-0000-000027010000}"/>
    <cellStyle name="60% - Accent6 2 7" xfId="297" xr:uid="{00000000-0005-0000-0000-000028010000}"/>
    <cellStyle name="60% - Accent6 2 8" xfId="298" xr:uid="{00000000-0005-0000-0000-000029010000}"/>
    <cellStyle name="60% - Accent6 2 9" xfId="299" xr:uid="{00000000-0005-0000-0000-00002A010000}"/>
    <cellStyle name="60% - Accent6 3" xfId="300" xr:uid="{00000000-0005-0000-0000-00002B010000}"/>
    <cellStyle name="Accent1 2 10" xfId="301" xr:uid="{00000000-0005-0000-0000-00002C010000}"/>
    <cellStyle name="Accent1 2 2" xfId="302" xr:uid="{00000000-0005-0000-0000-00002D010000}"/>
    <cellStyle name="Accent1 2 3" xfId="303" xr:uid="{00000000-0005-0000-0000-00002E010000}"/>
    <cellStyle name="Accent1 2 4" xfId="304" xr:uid="{00000000-0005-0000-0000-00002F010000}"/>
    <cellStyle name="Accent1 2 5" xfId="305" xr:uid="{00000000-0005-0000-0000-000030010000}"/>
    <cellStyle name="Accent1 2 6" xfId="306" xr:uid="{00000000-0005-0000-0000-000031010000}"/>
    <cellStyle name="Accent1 2 7" xfId="307" xr:uid="{00000000-0005-0000-0000-000032010000}"/>
    <cellStyle name="Accent1 2 8" xfId="308" xr:uid="{00000000-0005-0000-0000-000033010000}"/>
    <cellStyle name="Accent1 2 9" xfId="309" xr:uid="{00000000-0005-0000-0000-000034010000}"/>
    <cellStyle name="Accent1 3" xfId="310" xr:uid="{00000000-0005-0000-0000-000035010000}"/>
    <cellStyle name="Accent2 2 10" xfId="311" xr:uid="{00000000-0005-0000-0000-000036010000}"/>
    <cellStyle name="Accent2 2 2" xfId="312" xr:uid="{00000000-0005-0000-0000-000037010000}"/>
    <cellStyle name="Accent2 2 3" xfId="313" xr:uid="{00000000-0005-0000-0000-000038010000}"/>
    <cellStyle name="Accent2 2 4" xfId="314" xr:uid="{00000000-0005-0000-0000-000039010000}"/>
    <cellStyle name="Accent2 2 5" xfId="315" xr:uid="{00000000-0005-0000-0000-00003A010000}"/>
    <cellStyle name="Accent2 2 6" xfId="316" xr:uid="{00000000-0005-0000-0000-00003B010000}"/>
    <cellStyle name="Accent2 2 7" xfId="317" xr:uid="{00000000-0005-0000-0000-00003C010000}"/>
    <cellStyle name="Accent2 2 8" xfId="318" xr:uid="{00000000-0005-0000-0000-00003D010000}"/>
    <cellStyle name="Accent2 2 9" xfId="319" xr:uid="{00000000-0005-0000-0000-00003E010000}"/>
    <cellStyle name="Accent2 3" xfId="320" xr:uid="{00000000-0005-0000-0000-00003F010000}"/>
    <cellStyle name="Accent3 2 10" xfId="321" xr:uid="{00000000-0005-0000-0000-000040010000}"/>
    <cellStyle name="Accent3 2 2" xfId="322" xr:uid="{00000000-0005-0000-0000-000041010000}"/>
    <cellStyle name="Accent3 2 3" xfId="323" xr:uid="{00000000-0005-0000-0000-000042010000}"/>
    <cellStyle name="Accent3 2 4" xfId="324" xr:uid="{00000000-0005-0000-0000-000043010000}"/>
    <cellStyle name="Accent3 2 5" xfId="325" xr:uid="{00000000-0005-0000-0000-000044010000}"/>
    <cellStyle name="Accent3 2 6" xfId="326" xr:uid="{00000000-0005-0000-0000-000045010000}"/>
    <cellStyle name="Accent3 2 7" xfId="327" xr:uid="{00000000-0005-0000-0000-000046010000}"/>
    <cellStyle name="Accent3 2 8" xfId="328" xr:uid="{00000000-0005-0000-0000-000047010000}"/>
    <cellStyle name="Accent3 2 9" xfId="329" xr:uid="{00000000-0005-0000-0000-000048010000}"/>
    <cellStyle name="Accent3 3" xfId="330" xr:uid="{00000000-0005-0000-0000-000049010000}"/>
    <cellStyle name="Accent4 2 10" xfId="331" xr:uid="{00000000-0005-0000-0000-00004A010000}"/>
    <cellStyle name="Accent4 2 2" xfId="332" xr:uid="{00000000-0005-0000-0000-00004B010000}"/>
    <cellStyle name="Accent4 2 3" xfId="333" xr:uid="{00000000-0005-0000-0000-00004C010000}"/>
    <cellStyle name="Accent4 2 4" xfId="334" xr:uid="{00000000-0005-0000-0000-00004D010000}"/>
    <cellStyle name="Accent4 2 5" xfId="335" xr:uid="{00000000-0005-0000-0000-00004E010000}"/>
    <cellStyle name="Accent4 2 6" xfId="336" xr:uid="{00000000-0005-0000-0000-00004F010000}"/>
    <cellStyle name="Accent4 2 7" xfId="337" xr:uid="{00000000-0005-0000-0000-000050010000}"/>
    <cellStyle name="Accent4 2 8" xfId="338" xr:uid="{00000000-0005-0000-0000-000051010000}"/>
    <cellStyle name="Accent4 2 9" xfId="339" xr:uid="{00000000-0005-0000-0000-000052010000}"/>
    <cellStyle name="Accent4 3" xfId="340" xr:uid="{00000000-0005-0000-0000-000053010000}"/>
    <cellStyle name="Accent5 2 10" xfId="341" xr:uid="{00000000-0005-0000-0000-000054010000}"/>
    <cellStyle name="Accent5 2 2" xfId="342" xr:uid="{00000000-0005-0000-0000-000055010000}"/>
    <cellStyle name="Accent5 2 3" xfId="343" xr:uid="{00000000-0005-0000-0000-000056010000}"/>
    <cellStyle name="Accent5 2 4" xfId="344" xr:uid="{00000000-0005-0000-0000-000057010000}"/>
    <cellStyle name="Accent5 2 5" xfId="345" xr:uid="{00000000-0005-0000-0000-000058010000}"/>
    <cellStyle name="Accent5 2 6" xfId="346" xr:uid="{00000000-0005-0000-0000-000059010000}"/>
    <cellStyle name="Accent5 2 7" xfId="347" xr:uid="{00000000-0005-0000-0000-00005A010000}"/>
    <cellStyle name="Accent5 2 8" xfId="348" xr:uid="{00000000-0005-0000-0000-00005B010000}"/>
    <cellStyle name="Accent5 2 9" xfId="349" xr:uid="{00000000-0005-0000-0000-00005C010000}"/>
    <cellStyle name="Accent5 3" xfId="350" xr:uid="{00000000-0005-0000-0000-00005D010000}"/>
    <cellStyle name="Accent6 2 10" xfId="351" xr:uid="{00000000-0005-0000-0000-00005E010000}"/>
    <cellStyle name="Accent6 2 2" xfId="352" xr:uid="{00000000-0005-0000-0000-00005F010000}"/>
    <cellStyle name="Accent6 2 3" xfId="353" xr:uid="{00000000-0005-0000-0000-000060010000}"/>
    <cellStyle name="Accent6 2 4" xfId="354" xr:uid="{00000000-0005-0000-0000-000061010000}"/>
    <cellStyle name="Accent6 2 5" xfId="355" xr:uid="{00000000-0005-0000-0000-000062010000}"/>
    <cellStyle name="Accent6 2 6" xfId="356" xr:uid="{00000000-0005-0000-0000-000063010000}"/>
    <cellStyle name="Accent6 2 7" xfId="357" xr:uid="{00000000-0005-0000-0000-000064010000}"/>
    <cellStyle name="Accent6 2 8" xfId="358" xr:uid="{00000000-0005-0000-0000-000065010000}"/>
    <cellStyle name="Accent6 2 9" xfId="359" xr:uid="{00000000-0005-0000-0000-000066010000}"/>
    <cellStyle name="Accent6 3" xfId="360" xr:uid="{00000000-0005-0000-0000-000067010000}"/>
    <cellStyle name="Bad 2 10" xfId="361" xr:uid="{00000000-0005-0000-0000-000068010000}"/>
    <cellStyle name="Bad 2 2" xfId="362" xr:uid="{00000000-0005-0000-0000-000069010000}"/>
    <cellStyle name="Bad 2 3" xfId="363" xr:uid="{00000000-0005-0000-0000-00006A010000}"/>
    <cellStyle name="Bad 2 4" xfId="364" xr:uid="{00000000-0005-0000-0000-00006B010000}"/>
    <cellStyle name="Bad 2 5" xfId="365" xr:uid="{00000000-0005-0000-0000-00006C010000}"/>
    <cellStyle name="Bad 2 6" xfId="366" xr:uid="{00000000-0005-0000-0000-00006D010000}"/>
    <cellStyle name="Bad 2 7" xfId="367" xr:uid="{00000000-0005-0000-0000-00006E010000}"/>
    <cellStyle name="Bad 2 8" xfId="368" xr:uid="{00000000-0005-0000-0000-00006F010000}"/>
    <cellStyle name="Bad 2 9" xfId="369" xr:uid="{00000000-0005-0000-0000-000070010000}"/>
    <cellStyle name="Bad 3" xfId="370" xr:uid="{00000000-0005-0000-0000-000071010000}"/>
    <cellStyle name="Calculation 2 10" xfId="371" xr:uid="{00000000-0005-0000-0000-000072010000}"/>
    <cellStyle name="Calculation 2 2" xfId="372" xr:uid="{00000000-0005-0000-0000-000073010000}"/>
    <cellStyle name="Calculation 2 3" xfId="373" xr:uid="{00000000-0005-0000-0000-000074010000}"/>
    <cellStyle name="Calculation 2 4" xfId="374" xr:uid="{00000000-0005-0000-0000-000075010000}"/>
    <cellStyle name="Calculation 2 5" xfId="375" xr:uid="{00000000-0005-0000-0000-000076010000}"/>
    <cellStyle name="Calculation 2 6" xfId="376" xr:uid="{00000000-0005-0000-0000-000077010000}"/>
    <cellStyle name="Calculation 2 7" xfId="377" xr:uid="{00000000-0005-0000-0000-000078010000}"/>
    <cellStyle name="Calculation 2 8" xfId="378" xr:uid="{00000000-0005-0000-0000-000079010000}"/>
    <cellStyle name="Calculation 2 9" xfId="379" xr:uid="{00000000-0005-0000-0000-00007A010000}"/>
    <cellStyle name="Calculation 3" xfId="380" xr:uid="{00000000-0005-0000-0000-00007B010000}"/>
    <cellStyle name="Check Cell 2 10" xfId="381" xr:uid="{00000000-0005-0000-0000-00007C010000}"/>
    <cellStyle name="Check Cell 2 2" xfId="382" xr:uid="{00000000-0005-0000-0000-00007D010000}"/>
    <cellStyle name="Check Cell 2 3" xfId="383" xr:uid="{00000000-0005-0000-0000-00007E010000}"/>
    <cellStyle name="Check Cell 2 4" xfId="384" xr:uid="{00000000-0005-0000-0000-00007F010000}"/>
    <cellStyle name="Check Cell 2 5" xfId="385" xr:uid="{00000000-0005-0000-0000-000080010000}"/>
    <cellStyle name="Check Cell 2 6" xfId="386" xr:uid="{00000000-0005-0000-0000-000081010000}"/>
    <cellStyle name="Check Cell 2 7" xfId="387" xr:uid="{00000000-0005-0000-0000-000082010000}"/>
    <cellStyle name="Check Cell 2 8" xfId="388" xr:uid="{00000000-0005-0000-0000-000083010000}"/>
    <cellStyle name="Check Cell 2 9" xfId="389" xr:uid="{00000000-0005-0000-0000-000084010000}"/>
    <cellStyle name="Check Cell 3" xfId="390" xr:uid="{00000000-0005-0000-0000-000085010000}"/>
    <cellStyle name="Comma [0] 2 10" xfId="391" xr:uid="{00000000-0005-0000-0000-000086010000}"/>
    <cellStyle name="Comma [0] 2 2" xfId="392" xr:uid="{00000000-0005-0000-0000-000087010000}"/>
    <cellStyle name="Comma [0] 2 3" xfId="393" xr:uid="{00000000-0005-0000-0000-000088010000}"/>
    <cellStyle name="Comma [0] 2 4" xfId="394" xr:uid="{00000000-0005-0000-0000-000089010000}"/>
    <cellStyle name="Comma [0] 2 5" xfId="395" xr:uid="{00000000-0005-0000-0000-00008A010000}"/>
    <cellStyle name="Comma [0] 2 6" xfId="396" xr:uid="{00000000-0005-0000-0000-00008B010000}"/>
    <cellStyle name="Comma [0] 2 7" xfId="397" xr:uid="{00000000-0005-0000-0000-00008C010000}"/>
    <cellStyle name="Comma [0] 2 8" xfId="398" xr:uid="{00000000-0005-0000-0000-00008D010000}"/>
    <cellStyle name="Comma [0] 2 9" xfId="399" xr:uid="{00000000-0005-0000-0000-00008E010000}"/>
    <cellStyle name="Comma 10 2" xfId="400" xr:uid="{00000000-0005-0000-0000-00008F010000}"/>
    <cellStyle name="Comma 10 2 10" xfId="401" xr:uid="{00000000-0005-0000-0000-000090010000}"/>
    <cellStyle name="Comma 10 2 11" xfId="402" xr:uid="{00000000-0005-0000-0000-000091010000}"/>
    <cellStyle name="Comma 10 2 12" xfId="403" xr:uid="{00000000-0005-0000-0000-000092010000}"/>
    <cellStyle name="Comma 10 2 13" xfId="404" xr:uid="{00000000-0005-0000-0000-000093010000}"/>
    <cellStyle name="Comma 10 2 14" xfId="405" xr:uid="{00000000-0005-0000-0000-000094010000}"/>
    <cellStyle name="Comma 10 2 15" xfId="406" xr:uid="{00000000-0005-0000-0000-000095010000}"/>
    <cellStyle name="Comma 10 2 16" xfId="407" xr:uid="{00000000-0005-0000-0000-000096010000}"/>
    <cellStyle name="Comma 10 2 17" xfId="408" xr:uid="{00000000-0005-0000-0000-000097010000}"/>
    <cellStyle name="Comma 10 2 2" xfId="409" xr:uid="{00000000-0005-0000-0000-000098010000}"/>
    <cellStyle name="Comma 10 2 3" xfId="410" xr:uid="{00000000-0005-0000-0000-000099010000}"/>
    <cellStyle name="Comma 10 2 4" xfId="411" xr:uid="{00000000-0005-0000-0000-00009A010000}"/>
    <cellStyle name="Comma 10 2 5" xfId="412" xr:uid="{00000000-0005-0000-0000-00009B010000}"/>
    <cellStyle name="Comma 10 2 6" xfId="413" xr:uid="{00000000-0005-0000-0000-00009C010000}"/>
    <cellStyle name="Comma 10 2 7" xfId="414" xr:uid="{00000000-0005-0000-0000-00009D010000}"/>
    <cellStyle name="Comma 10 2 8" xfId="415" xr:uid="{00000000-0005-0000-0000-00009E010000}"/>
    <cellStyle name="Comma 10 2 9" xfId="416" xr:uid="{00000000-0005-0000-0000-00009F010000}"/>
    <cellStyle name="Comma 10 3" xfId="417" xr:uid="{00000000-0005-0000-0000-0000A0010000}"/>
    <cellStyle name="Comma 10 3 10" xfId="418" xr:uid="{00000000-0005-0000-0000-0000A1010000}"/>
    <cellStyle name="Comma 10 3 11" xfId="419" xr:uid="{00000000-0005-0000-0000-0000A2010000}"/>
    <cellStyle name="Comma 10 3 12" xfId="420" xr:uid="{00000000-0005-0000-0000-0000A3010000}"/>
    <cellStyle name="Comma 10 3 13" xfId="421" xr:uid="{00000000-0005-0000-0000-0000A4010000}"/>
    <cellStyle name="Comma 10 3 14" xfId="422" xr:uid="{00000000-0005-0000-0000-0000A5010000}"/>
    <cellStyle name="Comma 10 3 15" xfId="423" xr:uid="{00000000-0005-0000-0000-0000A6010000}"/>
    <cellStyle name="Comma 10 3 16" xfId="424" xr:uid="{00000000-0005-0000-0000-0000A7010000}"/>
    <cellStyle name="Comma 10 3 17" xfId="425" xr:uid="{00000000-0005-0000-0000-0000A8010000}"/>
    <cellStyle name="Comma 10 3 2" xfId="426" xr:uid="{00000000-0005-0000-0000-0000A9010000}"/>
    <cellStyle name="Comma 10 3 3" xfId="427" xr:uid="{00000000-0005-0000-0000-0000AA010000}"/>
    <cellStyle name="Comma 10 3 4" xfId="428" xr:uid="{00000000-0005-0000-0000-0000AB010000}"/>
    <cellStyle name="Comma 10 3 5" xfId="429" xr:uid="{00000000-0005-0000-0000-0000AC010000}"/>
    <cellStyle name="Comma 10 3 6" xfId="430" xr:uid="{00000000-0005-0000-0000-0000AD010000}"/>
    <cellStyle name="Comma 10 3 7" xfId="431" xr:uid="{00000000-0005-0000-0000-0000AE010000}"/>
    <cellStyle name="Comma 10 3 8" xfId="432" xr:uid="{00000000-0005-0000-0000-0000AF010000}"/>
    <cellStyle name="Comma 10 3 9" xfId="433" xr:uid="{00000000-0005-0000-0000-0000B0010000}"/>
    <cellStyle name="Comma 10 4" xfId="434" xr:uid="{00000000-0005-0000-0000-0000B1010000}"/>
    <cellStyle name="Comma 10 4 10" xfId="435" xr:uid="{00000000-0005-0000-0000-0000B2010000}"/>
    <cellStyle name="Comma 10 4 11" xfId="436" xr:uid="{00000000-0005-0000-0000-0000B3010000}"/>
    <cellStyle name="Comma 10 4 12" xfId="437" xr:uid="{00000000-0005-0000-0000-0000B4010000}"/>
    <cellStyle name="Comma 10 4 13" xfId="438" xr:uid="{00000000-0005-0000-0000-0000B5010000}"/>
    <cellStyle name="Comma 10 4 14" xfId="439" xr:uid="{00000000-0005-0000-0000-0000B6010000}"/>
    <cellStyle name="Comma 10 4 15" xfId="440" xr:uid="{00000000-0005-0000-0000-0000B7010000}"/>
    <cellStyle name="Comma 10 4 16" xfId="441" xr:uid="{00000000-0005-0000-0000-0000B8010000}"/>
    <cellStyle name="Comma 10 4 17" xfId="442" xr:uid="{00000000-0005-0000-0000-0000B9010000}"/>
    <cellStyle name="Comma 10 4 2" xfId="443" xr:uid="{00000000-0005-0000-0000-0000BA010000}"/>
    <cellStyle name="Comma 10 4 3" xfId="444" xr:uid="{00000000-0005-0000-0000-0000BB010000}"/>
    <cellStyle name="Comma 10 4 4" xfId="445" xr:uid="{00000000-0005-0000-0000-0000BC010000}"/>
    <cellStyle name="Comma 10 4 5" xfId="446" xr:uid="{00000000-0005-0000-0000-0000BD010000}"/>
    <cellStyle name="Comma 10 4 6" xfId="447" xr:uid="{00000000-0005-0000-0000-0000BE010000}"/>
    <cellStyle name="Comma 10 4 7" xfId="448" xr:uid="{00000000-0005-0000-0000-0000BF010000}"/>
    <cellStyle name="Comma 10 4 8" xfId="449" xr:uid="{00000000-0005-0000-0000-0000C0010000}"/>
    <cellStyle name="Comma 10 4 9" xfId="450" xr:uid="{00000000-0005-0000-0000-0000C1010000}"/>
    <cellStyle name="Comma 10 5" xfId="451" xr:uid="{00000000-0005-0000-0000-0000C2010000}"/>
    <cellStyle name="Comma 10 5 10" xfId="452" xr:uid="{00000000-0005-0000-0000-0000C3010000}"/>
    <cellStyle name="Comma 10 5 11" xfId="453" xr:uid="{00000000-0005-0000-0000-0000C4010000}"/>
    <cellStyle name="Comma 10 5 12" xfId="454" xr:uid="{00000000-0005-0000-0000-0000C5010000}"/>
    <cellStyle name="Comma 10 5 13" xfId="455" xr:uid="{00000000-0005-0000-0000-0000C6010000}"/>
    <cellStyle name="Comma 10 5 14" xfId="456" xr:uid="{00000000-0005-0000-0000-0000C7010000}"/>
    <cellStyle name="Comma 10 5 15" xfId="457" xr:uid="{00000000-0005-0000-0000-0000C8010000}"/>
    <cellStyle name="Comma 10 5 16" xfId="458" xr:uid="{00000000-0005-0000-0000-0000C9010000}"/>
    <cellStyle name="Comma 10 5 17" xfId="459" xr:uid="{00000000-0005-0000-0000-0000CA010000}"/>
    <cellStyle name="Comma 10 5 2" xfId="460" xr:uid="{00000000-0005-0000-0000-0000CB010000}"/>
    <cellStyle name="Comma 10 5 3" xfId="461" xr:uid="{00000000-0005-0000-0000-0000CC010000}"/>
    <cellStyle name="Comma 10 5 4" xfId="462" xr:uid="{00000000-0005-0000-0000-0000CD010000}"/>
    <cellStyle name="Comma 10 5 5" xfId="463" xr:uid="{00000000-0005-0000-0000-0000CE010000}"/>
    <cellStyle name="Comma 10 5 6" xfId="464" xr:uid="{00000000-0005-0000-0000-0000CF010000}"/>
    <cellStyle name="Comma 10 5 7" xfId="465" xr:uid="{00000000-0005-0000-0000-0000D0010000}"/>
    <cellStyle name="Comma 10 5 8" xfId="466" xr:uid="{00000000-0005-0000-0000-0000D1010000}"/>
    <cellStyle name="Comma 10 5 9" xfId="467" xr:uid="{00000000-0005-0000-0000-0000D2010000}"/>
    <cellStyle name="Comma 10 6" xfId="468" xr:uid="{00000000-0005-0000-0000-0000D3010000}"/>
    <cellStyle name="Comma 10 6 10" xfId="469" xr:uid="{00000000-0005-0000-0000-0000D4010000}"/>
    <cellStyle name="Comma 10 6 11" xfId="470" xr:uid="{00000000-0005-0000-0000-0000D5010000}"/>
    <cellStyle name="Comma 10 6 12" xfId="471" xr:uid="{00000000-0005-0000-0000-0000D6010000}"/>
    <cellStyle name="Comma 10 6 13" xfId="472" xr:uid="{00000000-0005-0000-0000-0000D7010000}"/>
    <cellStyle name="Comma 10 6 14" xfId="473" xr:uid="{00000000-0005-0000-0000-0000D8010000}"/>
    <cellStyle name="Comma 10 6 15" xfId="474" xr:uid="{00000000-0005-0000-0000-0000D9010000}"/>
    <cellStyle name="Comma 10 6 16" xfId="475" xr:uid="{00000000-0005-0000-0000-0000DA010000}"/>
    <cellStyle name="Comma 10 6 17" xfId="476" xr:uid="{00000000-0005-0000-0000-0000DB010000}"/>
    <cellStyle name="Comma 10 6 2" xfId="477" xr:uid="{00000000-0005-0000-0000-0000DC010000}"/>
    <cellStyle name="Comma 10 6 3" xfId="478" xr:uid="{00000000-0005-0000-0000-0000DD010000}"/>
    <cellStyle name="Comma 10 6 4" xfId="479" xr:uid="{00000000-0005-0000-0000-0000DE010000}"/>
    <cellStyle name="Comma 10 6 5" xfId="480" xr:uid="{00000000-0005-0000-0000-0000DF010000}"/>
    <cellStyle name="Comma 10 6 6" xfId="481" xr:uid="{00000000-0005-0000-0000-0000E0010000}"/>
    <cellStyle name="Comma 10 6 7" xfId="482" xr:uid="{00000000-0005-0000-0000-0000E1010000}"/>
    <cellStyle name="Comma 10 6 8" xfId="483" xr:uid="{00000000-0005-0000-0000-0000E2010000}"/>
    <cellStyle name="Comma 10 6 9" xfId="484" xr:uid="{00000000-0005-0000-0000-0000E3010000}"/>
    <cellStyle name="Comma 10 7" xfId="485" xr:uid="{00000000-0005-0000-0000-0000E4010000}"/>
    <cellStyle name="Comma 10 7 10" xfId="486" xr:uid="{00000000-0005-0000-0000-0000E5010000}"/>
    <cellStyle name="Comma 10 7 11" xfId="487" xr:uid="{00000000-0005-0000-0000-0000E6010000}"/>
    <cellStyle name="Comma 10 7 12" xfId="488" xr:uid="{00000000-0005-0000-0000-0000E7010000}"/>
    <cellStyle name="Comma 10 7 13" xfId="489" xr:uid="{00000000-0005-0000-0000-0000E8010000}"/>
    <cellStyle name="Comma 10 7 14" xfId="490" xr:uid="{00000000-0005-0000-0000-0000E9010000}"/>
    <cellStyle name="Comma 10 7 15" xfId="491" xr:uid="{00000000-0005-0000-0000-0000EA010000}"/>
    <cellStyle name="Comma 10 7 16" xfId="492" xr:uid="{00000000-0005-0000-0000-0000EB010000}"/>
    <cellStyle name="Comma 10 7 17" xfId="493" xr:uid="{00000000-0005-0000-0000-0000EC010000}"/>
    <cellStyle name="Comma 10 7 2" xfId="494" xr:uid="{00000000-0005-0000-0000-0000ED010000}"/>
    <cellStyle name="Comma 10 7 3" xfId="495" xr:uid="{00000000-0005-0000-0000-0000EE010000}"/>
    <cellStyle name="Comma 10 7 4" xfId="496" xr:uid="{00000000-0005-0000-0000-0000EF010000}"/>
    <cellStyle name="Comma 10 7 5" xfId="497" xr:uid="{00000000-0005-0000-0000-0000F0010000}"/>
    <cellStyle name="Comma 10 7 6" xfId="498" xr:uid="{00000000-0005-0000-0000-0000F1010000}"/>
    <cellStyle name="Comma 10 7 7" xfId="499" xr:uid="{00000000-0005-0000-0000-0000F2010000}"/>
    <cellStyle name="Comma 10 7 8" xfId="500" xr:uid="{00000000-0005-0000-0000-0000F3010000}"/>
    <cellStyle name="Comma 10 7 9" xfId="501" xr:uid="{00000000-0005-0000-0000-0000F4010000}"/>
    <cellStyle name="Comma 10 8" xfId="502" xr:uid="{00000000-0005-0000-0000-0000F5010000}"/>
    <cellStyle name="Comma 10 8 10" xfId="503" xr:uid="{00000000-0005-0000-0000-0000F6010000}"/>
    <cellStyle name="Comma 10 8 11" xfId="504" xr:uid="{00000000-0005-0000-0000-0000F7010000}"/>
    <cellStyle name="Comma 10 8 12" xfId="505" xr:uid="{00000000-0005-0000-0000-0000F8010000}"/>
    <cellStyle name="Comma 10 8 13" xfId="506" xr:uid="{00000000-0005-0000-0000-0000F9010000}"/>
    <cellStyle name="Comma 10 8 14" xfId="507" xr:uid="{00000000-0005-0000-0000-0000FA010000}"/>
    <cellStyle name="Comma 10 8 15" xfId="508" xr:uid="{00000000-0005-0000-0000-0000FB010000}"/>
    <cellStyle name="Comma 10 8 16" xfId="509" xr:uid="{00000000-0005-0000-0000-0000FC010000}"/>
    <cellStyle name="Comma 10 8 17" xfId="510" xr:uid="{00000000-0005-0000-0000-0000FD010000}"/>
    <cellStyle name="Comma 10 8 2" xfId="511" xr:uid="{00000000-0005-0000-0000-0000FE010000}"/>
    <cellStyle name="Comma 10 8 3" xfId="512" xr:uid="{00000000-0005-0000-0000-0000FF010000}"/>
    <cellStyle name="Comma 10 8 4" xfId="513" xr:uid="{00000000-0005-0000-0000-000000020000}"/>
    <cellStyle name="Comma 10 8 5" xfId="514" xr:uid="{00000000-0005-0000-0000-000001020000}"/>
    <cellStyle name="Comma 10 8 6" xfId="515" xr:uid="{00000000-0005-0000-0000-000002020000}"/>
    <cellStyle name="Comma 10 8 7" xfId="516" xr:uid="{00000000-0005-0000-0000-000003020000}"/>
    <cellStyle name="Comma 10 8 8" xfId="517" xr:uid="{00000000-0005-0000-0000-000004020000}"/>
    <cellStyle name="Comma 10 8 9" xfId="518" xr:uid="{00000000-0005-0000-0000-000005020000}"/>
    <cellStyle name="Comma 2 10" xfId="519" xr:uid="{00000000-0005-0000-0000-000006020000}"/>
    <cellStyle name="Comma 2 11" xfId="520" xr:uid="{00000000-0005-0000-0000-000007020000}"/>
    <cellStyle name="Comma 2 12" xfId="521" xr:uid="{00000000-0005-0000-0000-000008020000}"/>
    <cellStyle name="Comma 2 13" xfId="522" xr:uid="{00000000-0005-0000-0000-000009020000}"/>
    <cellStyle name="Comma 2 14" xfId="523" xr:uid="{00000000-0005-0000-0000-00000A020000}"/>
    <cellStyle name="Comma 2 15" xfId="524" xr:uid="{00000000-0005-0000-0000-00000B020000}"/>
    <cellStyle name="Comma 2 16" xfId="525" xr:uid="{00000000-0005-0000-0000-00000C020000}"/>
    <cellStyle name="Comma 2 2" xfId="526" xr:uid="{00000000-0005-0000-0000-00000D020000}"/>
    <cellStyle name="Comma 2 3" xfId="527" xr:uid="{00000000-0005-0000-0000-00000E020000}"/>
    <cellStyle name="Comma 2 4" xfId="528" xr:uid="{00000000-0005-0000-0000-00000F020000}"/>
    <cellStyle name="Comma 2 5" xfId="529" xr:uid="{00000000-0005-0000-0000-000010020000}"/>
    <cellStyle name="Comma 2 6" xfId="530" xr:uid="{00000000-0005-0000-0000-000011020000}"/>
    <cellStyle name="Comma 2 7" xfId="531" xr:uid="{00000000-0005-0000-0000-000012020000}"/>
    <cellStyle name="Comma 2 8" xfId="532" xr:uid="{00000000-0005-0000-0000-000013020000}"/>
    <cellStyle name="Comma 2 9" xfId="533" xr:uid="{00000000-0005-0000-0000-000014020000}"/>
    <cellStyle name="Comma 3" xfId="534" xr:uid="{00000000-0005-0000-0000-000015020000}"/>
    <cellStyle name="Comma 3 2" xfId="535" xr:uid="{00000000-0005-0000-0000-000016020000}"/>
    <cellStyle name="Comma 3 3" xfId="536" xr:uid="{00000000-0005-0000-0000-000017020000}"/>
    <cellStyle name="Comma 3 4" xfId="537" xr:uid="{00000000-0005-0000-0000-000018020000}"/>
    <cellStyle name="Comma 3 5" xfId="538" xr:uid="{00000000-0005-0000-0000-000019020000}"/>
    <cellStyle name="Comma 3 6" xfId="539" xr:uid="{00000000-0005-0000-0000-00001A020000}"/>
    <cellStyle name="Comma 3 7" xfId="540" xr:uid="{00000000-0005-0000-0000-00001B020000}"/>
    <cellStyle name="Comma 3 8" xfId="541" xr:uid="{00000000-0005-0000-0000-00001C020000}"/>
    <cellStyle name="Comma 4" xfId="542" xr:uid="{00000000-0005-0000-0000-00001D020000}"/>
    <cellStyle name="Comma 4 2" xfId="543" xr:uid="{00000000-0005-0000-0000-00001E020000}"/>
    <cellStyle name="Comma 4 3" xfId="544" xr:uid="{00000000-0005-0000-0000-00001F020000}"/>
    <cellStyle name="Comma 4 4" xfId="545" xr:uid="{00000000-0005-0000-0000-000020020000}"/>
    <cellStyle name="Comma 4 5" xfId="546" xr:uid="{00000000-0005-0000-0000-000021020000}"/>
    <cellStyle name="Comma 4 6" xfId="547" xr:uid="{00000000-0005-0000-0000-000022020000}"/>
    <cellStyle name="Comma 4 7" xfId="548" xr:uid="{00000000-0005-0000-0000-000023020000}"/>
    <cellStyle name="Comma 4 8" xfId="549" xr:uid="{00000000-0005-0000-0000-000024020000}"/>
    <cellStyle name="Comma 5" xfId="550" xr:uid="{00000000-0005-0000-0000-000025020000}"/>
    <cellStyle name="Comma 5 2" xfId="551" xr:uid="{00000000-0005-0000-0000-000026020000}"/>
    <cellStyle name="Comma 5 3" xfId="552" xr:uid="{00000000-0005-0000-0000-000027020000}"/>
    <cellStyle name="Comma 5 4" xfId="553" xr:uid="{00000000-0005-0000-0000-000028020000}"/>
    <cellStyle name="Comma 5 5" xfId="554" xr:uid="{00000000-0005-0000-0000-000029020000}"/>
    <cellStyle name="Comma 5 6" xfId="555" xr:uid="{00000000-0005-0000-0000-00002A020000}"/>
    <cellStyle name="Comma 5 7" xfId="556" xr:uid="{00000000-0005-0000-0000-00002B020000}"/>
    <cellStyle name="Comma 5 8" xfId="557" xr:uid="{00000000-0005-0000-0000-00002C020000}"/>
    <cellStyle name="Comma 6" xfId="558" xr:uid="{00000000-0005-0000-0000-00002D020000}"/>
    <cellStyle name="Comma 6 2" xfId="559" xr:uid="{00000000-0005-0000-0000-00002E020000}"/>
    <cellStyle name="Comma 6 3" xfId="560" xr:uid="{00000000-0005-0000-0000-00002F020000}"/>
    <cellStyle name="Comma 6 4" xfId="561" xr:uid="{00000000-0005-0000-0000-000030020000}"/>
    <cellStyle name="Comma 6 5" xfId="562" xr:uid="{00000000-0005-0000-0000-000031020000}"/>
    <cellStyle name="Comma 6 6" xfId="563" xr:uid="{00000000-0005-0000-0000-000032020000}"/>
    <cellStyle name="Comma 6 7" xfId="564" xr:uid="{00000000-0005-0000-0000-000033020000}"/>
    <cellStyle name="Comma 6 8" xfId="565" xr:uid="{00000000-0005-0000-0000-000034020000}"/>
    <cellStyle name="Comma 7" xfId="566" xr:uid="{00000000-0005-0000-0000-000035020000}"/>
    <cellStyle name="Comma 7 10" xfId="567" xr:uid="{00000000-0005-0000-0000-000036020000}"/>
    <cellStyle name="Comma 7 11" xfId="568" xr:uid="{00000000-0005-0000-0000-000037020000}"/>
    <cellStyle name="Comma 7 12" xfId="569" xr:uid="{00000000-0005-0000-0000-000038020000}"/>
    <cellStyle name="Comma 7 13" xfId="570" xr:uid="{00000000-0005-0000-0000-000039020000}"/>
    <cellStyle name="Comma 7 14" xfId="571" xr:uid="{00000000-0005-0000-0000-00003A020000}"/>
    <cellStyle name="Comma 7 15" xfId="572" xr:uid="{00000000-0005-0000-0000-00003B020000}"/>
    <cellStyle name="Comma 7 16" xfId="573" xr:uid="{00000000-0005-0000-0000-00003C020000}"/>
    <cellStyle name="Comma 7 17" xfId="574" xr:uid="{00000000-0005-0000-0000-00003D020000}"/>
    <cellStyle name="Comma 7 18" xfId="575" xr:uid="{00000000-0005-0000-0000-00003E020000}"/>
    <cellStyle name="Comma 7 19" xfId="576" xr:uid="{00000000-0005-0000-0000-00003F020000}"/>
    <cellStyle name="Comma 7 2" xfId="577" xr:uid="{00000000-0005-0000-0000-000040020000}"/>
    <cellStyle name="Comma 7 20" xfId="578" xr:uid="{00000000-0005-0000-0000-000041020000}"/>
    <cellStyle name="Comma 7 21" xfId="579" xr:uid="{00000000-0005-0000-0000-000042020000}"/>
    <cellStyle name="Comma 7 3" xfId="580" xr:uid="{00000000-0005-0000-0000-000043020000}"/>
    <cellStyle name="Comma 7 3 10" xfId="581" xr:uid="{00000000-0005-0000-0000-000044020000}"/>
    <cellStyle name="Comma 7 3 11" xfId="582" xr:uid="{00000000-0005-0000-0000-000045020000}"/>
    <cellStyle name="Comma 7 3 12" xfId="583" xr:uid="{00000000-0005-0000-0000-000046020000}"/>
    <cellStyle name="Comma 7 3 13" xfId="584" xr:uid="{00000000-0005-0000-0000-000047020000}"/>
    <cellStyle name="Comma 7 3 14" xfId="585" xr:uid="{00000000-0005-0000-0000-000048020000}"/>
    <cellStyle name="Comma 7 3 15" xfId="586" xr:uid="{00000000-0005-0000-0000-000049020000}"/>
    <cellStyle name="Comma 7 3 2" xfId="587" xr:uid="{00000000-0005-0000-0000-00004A020000}"/>
    <cellStyle name="Comma 7 3 3" xfId="588" xr:uid="{00000000-0005-0000-0000-00004B020000}"/>
    <cellStyle name="Comma 7 3 4" xfId="589" xr:uid="{00000000-0005-0000-0000-00004C020000}"/>
    <cellStyle name="Comma 7 3 5" xfId="590" xr:uid="{00000000-0005-0000-0000-00004D020000}"/>
    <cellStyle name="Comma 7 3 6" xfId="591" xr:uid="{00000000-0005-0000-0000-00004E020000}"/>
    <cellStyle name="Comma 7 3 7" xfId="592" xr:uid="{00000000-0005-0000-0000-00004F020000}"/>
    <cellStyle name="Comma 7 3 8" xfId="593" xr:uid="{00000000-0005-0000-0000-000050020000}"/>
    <cellStyle name="Comma 7 3 9" xfId="594" xr:uid="{00000000-0005-0000-0000-000051020000}"/>
    <cellStyle name="Comma 7 4" xfId="595" xr:uid="{00000000-0005-0000-0000-000052020000}"/>
    <cellStyle name="Comma 7 5" xfId="596" xr:uid="{00000000-0005-0000-0000-000053020000}"/>
    <cellStyle name="Comma 7 6" xfId="597" xr:uid="{00000000-0005-0000-0000-000054020000}"/>
    <cellStyle name="Comma 7 7" xfId="598" xr:uid="{00000000-0005-0000-0000-000055020000}"/>
    <cellStyle name="Comma 7 8" xfId="599" xr:uid="{00000000-0005-0000-0000-000056020000}"/>
    <cellStyle name="Comma 7 9" xfId="600" xr:uid="{00000000-0005-0000-0000-000057020000}"/>
    <cellStyle name="Comma 8" xfId="601" xr:uid="{00000000-0005-0000-0000-000058020000}"/>
    <cellStyle name="Comma 8 2" xfId="602" xr:uid="{00000000-0005-0000-0000-000059020000}"/>
    <cellStyle name="Comma 8 3" xfId="603" xr:uid="{00000000-0005-0000-0000-00005A020000}"/>
    <cellStyle name="Comma 8 4" xfId="604" xr:uid="{00000000-0005-0000-0000-00005B020000}"/>
    <cellStyle name="Comma 8 5" xfId="605" xr:uid="{00000000-0005-0000-0000-00005C020000}"/>
    <cellStyle name="Comma 8 6" xfId="606" xr:uid="{00000000-0005-0000-0000-00005D020000}"/>
    <cellStyle name="Comma 8 7" xfId="607" xr:uid="{00000000-0005-0000-0000-00005E020000}"/>
    <cellStyle name="Comma 8 8" xfId="608" xr:uid="{00000000-0005-0000-0000-00005F020000}"/>
    <cellStyle name="Comma 9 2" xfId="609" xr:uid="{00000000-0005-0000-0000-000060020000}"/>
    <cellStyle name="Comma 9 3" xfId="610" xr:uid="{00000000-0005-0000-0000-000061020000}"/>
    <cellStyle name="Comma 9 4" xfId="611" xr:uid="{00000000-0005-0000-0000-000062020000}"/>
    <cellStyle name="Comma 9 5" xfId="612" xr:uid="{00000000-0005-0000-0000-000063020000}"/>
    <cellStyle name="Comma 9 6" xfId="613" xr:uid="{00000000-0005-0000-0000-000064020000}"/>
    <cellStyle name="Comma 9 7" xfId="614" xr:uid="{00000000-0005-0000-0000-000065020000}"/>
    <cellStyle name="Comma 9 8" xfId="615" xr:uid="{00000000-0005-0000-0000-000066020000}"/>
    <cellStyle name="Comma 9 9" xfId="616" xr:uid="{00000000-0005-0000-0000-000067020000}"/>
    <cellStyle name="Currency 2 2" xfId="617" xr:uid="{00000000-0005-0000-0000-000068020000}"/>
    <cellStyle name="Euro" xfId="618" xr:uid="{00000000-0005-0000-0000-000069020000}"/>
    <cellStyle name="Euro 2" xfId="619" xr:uid="{00000000-0005-0000-0000-00006A020000}"/>
    <cellStyle name="Euro 2 2" xfId="620" xr:uid="{00000000-0005-0000-0000-00006B020000}"/>
    <cellStyle name="Euro 2 2 2" xfId="621" xr:uid="{00000000-0005-0000-0000-00006C020000}"/>
    <cellStyle name="Explanatory Text 2 10" xfId="622" xr:uid="{00000000-0005-0000-0000-00006D020000}"/>
    <cellStyle name="Explanatory Text 2 2" xfId="623" xr:uid="{00000000-0005-0000-0000-00006E020000}"/>
    <cellStyle name="Explanatory Text 2 3" xfId="624" xr:uid="{00000000-0005-0000-0000-00006F020000}"/>
    <cellStyle name="Explanatory Text 2 4" xfId="625" xr:uid="{00000000-0005-0000-0000-000070020000}"/>
    <cellStyle name="Explanatory Text 2 5" xfId="626" xr:uid="{00000000-0005-0000-0000-000071020000}"/>
    <cellStyle name="Explanatory Text 2 6" xfId="627" xr:uid="{00000000-0005-0000-0000-000072020000}"/>
    <cellStyle name="Explanatory Text 2 7" xfId="628" xr:uid="{00000000-0005-0000-0000-000073020000}"/>
    <cellStyle name="Explanatory Text 2 8" xfId="629" xr:uid="{00000000-0005-0000-0000-000074020000}"/>
    <cellStyle name="Explanatory Text 2 9" xfId="630" xr:uid="{00000000-0005-0000-0000-000075020000}"/>
    <cellStyle name="Explanatory Text 3" xfId="631" xr:uid="{00000000-0005-0000-0000-000076020000}"/>
    <cellStyle name="Good 2 10" xfId="632" xr:uid="{00000000-0005-0000-0000-000077020000}"/>
    <cellStyle name="Good 2 2" xfId="633" xr:uid="{00000000-0005-0000-0000-000078020000}"/>
    <cellStyle name="Good 2 3" xfId="634" xr:uid="{00000000-0005-0000-0000-000079020000}"/>
    <cellStyle name="Good 2 4" xfId="635" xr:uid="{00000000-0005-0000-0000-00007A020000}"/>
    <cellStyle name="Good 2 5" xfId="636" xr:uid="{00000000-0005-0000-0000-00007B020000}"/>
    <cellStyle name="Good 2 6" xfId="637" xr:uid="{00000000-0005-0000-0000-00007C020000}"/>
    <cellStyle name="Good 2 7" xfId="638" xr:uid="{00000000-0005-0000-0000-00007D020000}"/>
    <cellStyle name="Good 2 8" xfId="639" xr:uid="{00000000-0005-0000-0000-00007E020000}"/>
    <cellStyle name="Good 2 9" xfId="640" xr:uid="{00000000-0005-0000-0000-00007F020000}"/>
    <cellStyle name="Good 3" xfId="641" xr:uid="{00000000-0005-0000-0000-000080020000}"/>
    <cellStyle name="Heading 1 2 10" xfId="642" xr:uid="{00000000-0005-0000-0000-000081020000}"/>
    <cellStyle name="Heading 1 2 2" xfId="643" xr:uid="{00000000-0005-0000-0000-000082020000}"/>
    <cellStyle name="Heading 1 2 3" xfId="644" xr:uid="{00000000-0005-0000-0000-000083020000}"/>
    <cellStyle name="Heading 1 2 4" xfId="645" xr:uid="{00000000-0005-0000-0000-000084020000}"/>
    <cellStyle name="Heading 1 2 5" xfId="646" xr:uid="{00000000-0005-0000-0000-000085020000}"/>
    <cellStyle name="Heading 1 2 6" xfId="647" xr:uid="{00000000-0005-0000-0000-000086020000}"/>
    <cellStyle name="Heading 1 2 7" xfId="648" xr:uid="{00000000-0005-0000-0000-000087020000}"/>
    <cellStyle name="Heading 1 2 8" xfId="649" xr:uid="{00000000-0005-0000-0000-000088020000}"/>
    <cellStyle name="Heading 1 2 9" xfId="650" xr:uid="{00000000-0005-0000-0000-000089020000}"/>
    <cellStyle name="Heading 1 3" xfId="651" xr:uid="{00000000-0005-0000-0000-00008A020000}"/>
    <cellStyle name="Heading 2 2 10" xfId="652" xr:uid="{00000000-0005-0000-0000-00008B020000}"/>
    <cellStyle name="Heading 2 2 2" xfId="653" xr:uid="{00000000-0005-0000-0000-00008C020000}"/>
    <cellStyle name="Heading 2 2 3" xfId="654" xr:uid="{00000000-0005-0000-0000-00008D020000}"/>
    <cellStyle name="Heading 2 2 4" xfId="655" xr:uid="{00000000-0005-0000-0000-00008E020000}"/>
    <cellStyle name="Heading 2 2 5" xfId="656" xr:uid="{00000000-0005-0000-0000-00008F020000}"/>
    <cellStyle name="Heading 2 2 6" xfId="657" xr:uid="{00000000-0005-0000-0000-000090020000}"/>
    <cellStyle name="Heading 2 2 7" xfId="658" xr:uid="{00000000-0005-0000-0000-000091020000}"/>
    <cellStyle name="Heading 2 2 8" xfId="659" xr:uid="{00000000-0005-0000-0000-000092020000}"/>
    <cellStyle name="Heading 2 2 9" xfId="660" xr:uid="{00000000-0005-0000-0000-000093020000}"/>
    <cellStyle name="Heading 2 3" xfId="661" xr:uid="{00000000-0005-0000-0000-000094020000}"/>
    <cellStyle name="Heading 3 2 10" xfId="662" xr:uid="{00000000-0005-0000-0000-000095020000}"/>
    <cellStyle name="Heading 3 2 2" xfId="663" xr:uid="{00000000-0005-0000-0000-000096020000}"/>
    <cellStyle name="Heading 3 2 3" xfId="664" xr:uid="{00000000-0005-0000-0000-000097020000}"/>
    <cellStyle name="Heading 3 2 4" xfId="665" xr:uid="{00000000-0005-0000-0000-000098020000}"/>
    <cellStyle name="Heading 3 2 5" xfId="666" xr:uid="{00000000-0005-0000-0000-000099020000}"/>
    <cellStyle name="Heading 3 2 6" xfId="667" xr:uid="{00000000-0005-0000-0000-00009A020000}"/>
    <cellStyle name="Heading 3 2 7" xfId="668" xr:uid="{00000000-0005-0000-0000-00009B020000}"/>
    <cellStyle name="Heading 3 2 8" xfId="669" xr:uid="{00000000-0005-0000-0000-00009C020000}"/>
    <cellStyle name="Heading 3 2 9" xfId="670" xr:uid="{00000000-0005-0000-0000-00009D020000}"/>
    <cellStyle name="Heading 3 3" xfId="671" xr:uid="{00000000-0005-0000-0000-00009E020000}"/>
    <cellStyle name="Heading 4 2 10" xfId="672" xr:uid="{00000000-0005-0000-0000-00009F020000}"/>
    <cellStyle name="Heading 4 2 2" xfId="673" xr:uid="{00000000-0005-0000-0000-0000A0020000}"/>
    <cellStyle name="Heading 4 2 3" xfId="674" xr:uid="{00000000-0005-0000-0000-0000A1020000}"/>
    <cellStyle name="Heading 4 2 4" xfId="675" xr:uid="{00000000-0005-0000-0000-0000A2020000}"/>
    <cellStyle name="Heading 4 2 5" xfId="676" xr:uid="{00000000-0005-0000-0000-0000A3020000}"/>
    <cellStyle name="Heading 4 2 6" xfId="677" xr:uid="{00000000-0005-0000-0000-0000A4020000}"/>
    <cellStyle name="Heading 4 2 7" xfId="678" xr:uid="{00000000-0005-0000-0000-0000A5020000}"/>
    <cellStyle name="Heading 4 2 8" xfId="679" xr:uid="{00000000-0005-0000-0000-0000A6020000}"/>
    <cellStyle name="Heading 4 2 9" xfId="680" xr:uid="{00000000-0005-0000-0000-0000A7020000}"/>
    <cellStyle name="Heading 4 3" xfId="681" xr:uid="{00000000-0005-0000-0000-0000A8020000}"/>
    <cellStyle name="Input 2 10" xfId="682" xr:uid="{00000000-0005-0000-0000-0000A9020000}"/>
    <cellStyle name="Input 2 2" xfId="683" xr:uid="{00000000-0005-0000-0000-0000AA020000}"/>
    <cellStyle name="Input 2 3" xfId="684" xr:uid="{00000000-0005-0000-0000-0000AB020000}"/>
    <cellStyle name="Input 2 4" xfId="685" xr:uid="{00000000-0005-0000-0000-0000AC020000}"/>
    <cellStyle name="Input 2 5" xfId="686" xr:uid="{00000000-0005-0000-0000-0000AD020000}"/>
    <cellStyle name="Input 2 6" xfId="687" xr:uid="{00000000-0005-0000-0000-0000AE020000}"/>
    <cellStyle name="Input 2 7" xfId="688" xr:uid="{00000000-0005-0000-0000-0000AF020000}"/>
    <cellStyle name="Input 2 8" xfId="689" xr:uid="{00000000-0005-0000-0000-0000B0020000}"/>
    <cellStyle name="Input 2 9" xfId="690" xr:uid="{00000000-0005-0000-0000-0000B1020000}"/>
    <cellStyle name="Input 3" xfId="691" xr:uid="{00000000-0005-0000-0000-0000B2020000}"/>
    <cellStyle name="Linked Cell 2 10" xfId="692" xr:uid="{00000000-0005-0000-0000-0000B3020000}"/>
    <cellStyle name="Linked Cell 2 2" xfId="693" xr:uid="{00000000-0005-0000-0000-0000B4020000}"/>
    <cellStyle name="Linked Cell 2 3" xfId="694" xr:uid="{00000000-0005-0000-0000-0000B5020000}"/>
    <cellStyle name="Linked Cell 2 4" xfId="695" xr:uid="{00000000-0005-0000-0000-0000B6020000}"/>
    <cellStyle name="Linked Cell 2 5" xfId="696" xr:uid="{00000000-0005-0000-0000-0000B7020000}"/>
    <cellStyle name="Linked Cell 2 6" xfId="697" xr:uid="{00000000-0005-0000-0000-0000B8020000}"/>
    <cellStyle name="Linked Cell 2 7" xfId="698" xr:uid="{00000000-0005-0000-0000-0000B9020000}"/>
    <cellStyle name="Linked Cell 2 8" xfId="699" xr:uid="{00000000-0005-0000-0000-0000BA020000}"/>
    <cellStyle name="Linked Cell 2 9" xfId="700" xr:uid="{00000000-0005-0000-0000-0000BB020000}"/>
    <cellStyle name="Linked Cell 3" xfId="701" xr:uid="{00000000-0005-0000-0000-0000BC020000}"/>
    <cellStyle name="Migliaia_Oil&amp;Gas IFE ARC POLITO" xfId="702" xr:uid="{00000000-0005-0000-0000-0000BD020000}"/>
    <cellStyle name="Neutral 2 10" xfId="703" xr:uid="{00000000-0005-0000-0000-0000BE020000}"/>
    <cellStyle name="Neutral 2 2" xfId="704" xr:uid="{00000000-0005-0000-0000-0000BF020000}"/>
    <cellStyle name="Neutral 2 3" xfId="705" xr:uid="{00000000-0005-0000-0000-0000C0020000}"/>
    <cellStyle name="Neutral 2 4" xfId="706" xr:uid="{00000000-0005-0000-0000-0000C1020000}"/>
    <cellStyle name="Neutral 2 5" xfId="707" xr:uid="{00000000-0005-0000-0000-0000C2020000}"/>
    <cellStyle name="Neutral 2 6" xfId="708" xr:uid="{00000000-0005-0000-0000-0000C3020000}"/>
    <cellStyle name="Neutral 2 7" xfId="709" xr:uid="{00000000-0005-0000-0000-0000C4020000}"/>
    <cellStyle name="Neutral 2 8" xfId="710" xr:uid="{00000000-0005-0000-0000-0000C5020000}"/>
    <cellStyle name="Neutral 2 9" xfId="711" xr:uid="{00000000-0005-0000-0000-0000C6020000}"/>
    <cellStyle name="Neutral 3" xfId="712" xr:uid="{00000000-0005-0000-0000-0000C7020000}"/>
    <cellStyle name="Normal" xfId="0" builtinId="0"/>
    <cellStyle name="Normal 10" xfId="713" xr:uid="{00000000-0005-0000-0000-0000C9020000}"/>
    <cellStyle name="Normal 10 2" xfId="714" xr:uid="{00000000-0005-0000-0000-0000CA020000}"/>
    <cellStyle name="Normal 10 3" xfId="715" xr:uid="{00000000-0005-0000-0000-0000CB020000}"/>
    <cellStyle name="Normal 10 4" xfId="716" xr:uid="{00000000-0005-0000-0000-0000CC020000}"/>
    <cellStyle name="Normal 10 5" xfId="717" xr:uid="{00000000-0005-0000-0000-0000CD020000}"/>
    <cellStyle name="Normal 10 6" xfId="718" xr:uid="{00000000-0005-0000-0000-0000CE020000}"/>
    <cellStyle name="Normal 10 7" xfId="719" xr:uid="{00000000-0005-0000-0000-0000CF020000}"/>
    <cellStyle name="Normal 10 8" xfId="720" xr:uid="{00000000-0005-0000-0000-0000D0020000}"/>
    <cellStyle name="Normal 11" xfId="721" xr:uid="{00000000-0005-0000-0000-0000D1020000}"/>
    <cellStyle name="Normal 11 2" xfId="722" xr:uid="{00000000-0005-0000-0000-0000D2020000}"/>
    <cellStyle name="Normal 11 3" xfId="723" xr:uid="{00000000-0005-0000-0000-0000D3020000}"/>
    <cellStyle name="Normal 11 4" xfId="724" xr:uid="{00000000-0005-0000-0000-0000D4020000}"/>
    <cellStyle name="Normal 11 5" xfId="725" xr:uid="{00000000-0005-0000-0000-0000D5020000}"/>
    <cellStyle name="Normal 11 6" xfId="726" xr:uid="{00000000-0005-0000-0000-0000D6020000}"/>
    <cellStyle name="Normal 11 7" xfId="727" xr:uid="{00000000-0005-0000-0000-0000D7020000}"/>
    <cellStyle name="Normal 11 8" xfId="728" xr:uid="{00000000-0005-0000-0000-0000D8020000}"/>
    <cellStyle name="Normal 12" xfId="729" xr:uid="{00000000-0005-0000-0000-0000D9020000}"/>
    <cellStyle name="Normal 12 2" xfId="730" xr:uid="{00000000-0005-0000-0000-0000DA020000}"/>
    <cellStyle name="Normal 12 3" xfId="731" xr:uid="{00000000-0005-0000-0000-0000DB020000}"/>
    <cellStyle name="Normal 12 4" xfId="732" xr:uid="{00000000-0005-0000-0000-0000DC020000}"/>
    <cellStyle name="Normal 12 5" xfId="733" xr:uid="{00000000-0005-0000-0000-0000DD020000}"/>
    <cellStyle name="Normal 12 6" xfId="734" xr:uid="{00000000-0005-0000-0000-0000DE020000}"/>
    <cellStyle name="Normal 12 7" xfId="735" xr:uid="{00000000-0005-0000-0000-0000DF020000}"/>
    <cellStyle name="Normal 12 8" xfId="736" xr:uid="{00000000-0005-0000-0000-0000E0020000}"/>
    <cellStyle name="Normal 13" xfId="737" xr:uid="{00000000-0005-0000-0000-0000E1020000}"/>
    <cellStyle name="Normal 13 10" xfId="738" xr:uid="{00000000-0005-0000-0000-0000E2020000}"/>
    <cellStyle name="Normal 13 11" xfId="739" xr:uid="{00000000-0005-0000-0000-0000E3020000}"/>
    <cellStyle name="Normal 13 12" xfId="740" xr:uid="{00000000-0005-0000-0000-0000E4020000}"/>
    <cellStyle name="Normal 13 13" xfId="741" xr:uid="{00000000-0005-0000-0000-0000E5020000}"/>
    <cellStyle name="Normal 13 14" xfId="742" xr:uid="{00000000-0005-0000-0000-0000E6020000}"/>
    <cellStyle name="Normal 13 15" xfId="743" xr:uid="{00000000-0005-0000-0000-0000E7020000}"/>
    <cellStyle name="Normal 13 16" xfId="744" xr:uid="{00000000-0005-0000-0000-0000E8020000}"/>
    <cellStyle name="Normal 13 17" xfId="745" xr:uid="{00000000-0005-0000-0000-0000E9020000}"/>
    <cellStyle name="Normal 13 18" xfId="746" xr:uid="{00000000-0005-0000-0000-0000EA020000}"/>
    <cellStyle name="Normal 13 19" xfId="747" xr:uid="{00000000-0005-0000-0000-0000EB020000}"/>
    <cellStyle name="Normal 13 2" xfId="748" xr:uid="{00000000-0005-0000-0000-0000EC020000}"/>
    <cellStyle name="Normal 13 2 2" xfId="749" xr:uid="{00000000-0005-0000-0000-0000ED020000}"/>
    <cellStyle name="Normal 13 2 3" xfId="750" xr:uid="{00000000-0005-0000-0000-0000EE020000}"/>
    <cellStyle name="Normal 13 2 4" xfId="751" xr:uid="{00000000-0005-0000-0000-0000EF020000}"/>
    <cellStyle name="Normal 13 2 5" xfId="752" xr:uid="{00000000-0005-0000-0000-0000F0020000}"/>
    <cellStyle name="Normal 13 2 6" xfId="753" xr:uid="{00000000-0005-0000-0000-0000F1020000}"/>
    <cellStyle name="Normal 13 2 7" xfId="754" xr:uid="{00000000-0005-0000-0000-0000F2020000}"/>
    <cellStyle name="Normal 13 2 8" xfId="755" xr:uid="{00000000-0005-0000-0000-0000F3020000}"/>
    <cellStyle name="Normal 13 20" xfId="756" xr:uid="{00000000-0005-0000-0000-0000F4020000}"/>
    <cellStyle name="Normal 13 21" xfId="757" xr:uid="{00000000-0005-0000-0000-0000F5020000}"/>
    <cellStyle name="Normal 13 22" xfId="758" xr:uid="{00000000-0005-0000-0000-0000F6020000}"/>
    <cellStyle name="Normal 13 23" xfId="759" xr:uid="{00000000-0005-0000-0000-0000F7020000}"/>
    <cellStyle name="Normal 13 24" xfId="760" xr:uid="{00000000-0005-0000-0000-0000F8020000}"/>
    <cellStyle name="Normal 13 25" xfId="761" xr:uid="{00000000-0005-0000-0000-0000F9020000}"/>
    <cellStyle name="Normal 13 26" xfId="762" xr:uid="{00000000-0005-0000-0000-0000FA020000}"/>
    <cellStyle name="Normal 13 27" xfId="763" xr:uid="{00000000-0005-0000-0000-0000FB020000}"/>
    <cellStyle name="Normal 13 28" xfId="764" xr:uid="{00000000-0005-0000-0000-0000FC020000}"/>
    <cellStyle name="Normal 13 29" xfId="765" xr:uid="{00000000-0005-0000-0000-0000FD020000}"/>
    <cellStyle name="Normal 13 3" xfId="766" xr:uid="{00000000-0005-0000-0000-0000FE020000}"/>
    <cellStyle name="Normal 13 30" xfId="767" xr:uid="{00000000-0005-0000-0000-0000FF020000}"/>
    <cellStyle name="Normal 13 31" xfId="768" xr:uid="{00000000-0005-0000-0000-000000030000}"/>
    <cellStyle name="Normal 13 32" xfId="769" xr:uid="{00000000-0005-0000-0000-000001030000}"/>
    <cellStyle name="Normal 13 33" xfId="770" xr:uid="{00000000-0005-0000-0000-000002030000}"/>
    <cellStyle name="Normal 13 34" xfId="771" xr:uid="{00000000-0005-0000-0000-000003030000}"/>
    <cellStyle name="Normal 13 35" xfId="772" xr:uid="{00000000-0005-0000-0000-000004030000}"/>
    <cellStyle name="Normal 13 36" xfId="773" xr:uid="{00000000-0005-0000-0000-000005030000}"/>
    <cellStyle name="Normal 13 37" xfId="774" xr:uid="{00000000-0005-0000-0000-000006030000}"/>
    <cellStyle name="Normal 13 38" xfId="775" xr:uid="{00000000-0005-0000-0000-000007030000}"/>
    <cellStyle name="Normal 13 4" xfId="776" xr:uid="{00000000-0005-0000-0000-000008030000}"/>
    <cellStyle name="Normal 13 5" xfId="777" xr:uid="{00000000-0005-0000-0000-000009030000}"/>
    <cellStyle name="Normal 13 6" xfId="778" xr:uid="{00000000-0005-0000-0000-00000A030000}"/>
    <cellStyle name="Normal 13 7" xfId="779" xr:uid="{00000000-0005-0000-0000-00000B030000}"/>
    <cellStyle name="Normal 13 8" xfId="780" xr:uid="{00000000-0005-0000-0000-00000C030000}"/>
    <cellStyle name="Normal 13 9" xfId="781" xr:uid="{00000000-0005-0000-0000-00000D030000}"/>
    <cellStyle name="Normal 14" xfId="782" xr:uid="{00000000-0005-0000-0000-00000E030000}"/>
    <cellStyle name="Normal 14 10" xfId="783" xr:uid="{00000000-0005-0000-0000-00000F030000}"/>
    <cellStyle name="Normal 14 11" xfId="784" xr:uid="{00000000-0005-0000-0000-000010030000}"/>
    <cellStyle name="Normal 14 12" xfId="785" xr:uid="{00000000-0005-0000-0000-000011030000}"/>
    <cellStyle name="Normal 14 13" xfId="786" xr:uid="{00000000-0005-0000-0000-000012030000}"/>
    <cellStyle name="Normal 14 14" xfId="787" xr:uid="{00000000-0005-0000-0000-000013030000}"/>
    <cellStyle name="Normal 14 15" xfId="788" xr:uid="{00000000-0005-0000-0000-000014030000}"/>
    <cellStyle name="Normal 14 2" xfId="789" xr:uid="{00000000-0005-0000-0000-000015030000}"/>
    <cellStyle name="Normal 14 2 2" xfId="790" xr:uid="{00000000-0005-0000-0000-000016030000}"/>
    <cellStyle name="Normal 14 2 3" xfId="791" xr:uid="{00000000-0005-0000-0000-000017030000}"/>
    <cellStyle name="Normal 14 2 4" xfId="792" xr:uid="{00000000-0005-0000-0000-000018030000}"/>
    <cellStyle name="Normal 14 2 5" xfId="793" xr:uid="{00000000-0005-0000-0000-000019030000}"/>
    <cellStyle name="Normal 14 2 6" xfId="794" xr:uid="{00000000-0005-0000-0000-00001A030000}"/>
    <cellStyle name="Normal 14 2 7" xfId="795" xr:uid="{00000000-0005-0000-0000-00001B030000}"/>
    <cellStyle name="Normal 14 3" xfId="796" xr:uid="{00000000-0005-0000-0000-00001C030000}"/>
    <cellStyle name="Normal 14 4" xfId="797" xr:uid="{00000000-0005-0000-0000-00001D030000}"/>
    <cellStyle name="Normal 14 5" xfId="798" xr:uid="{00000000-0005-0000-0000-00001E030000}"/>
    <cellStyle name="Normal 14 6" xfId="799" xr:uid="{00000000-0005-0000-0000-00001F030000}"/>
    <cellStyle name="Normal 14 7" xfId="800" xr:uid="{00000000-0005-0000-0000-000020030000}"/>
    <cellStyle name="Normal 14 8" xfId="801" xr:uid="{00000000-0005-0000-0000-000021030000}"/>
    <cellStyle name="Normal 14 9" xfId="802" xr:uid="{00000000-0005-0000-0000-000022030000}"/>
    <cellStyle name="Normal 15" xfId="803" xr:uid="{00000000-0005-0000-0000-000023030000}"/>
    <cellStyle name="Normal 15 2" xfId="804" xr:uid="{00000000-0005-0000-0000-000024030000}"/>
    <cellStyle name="Normal 15 3" xfId="805" xr:uid="{00000000-0005-0000-0000-000025030000}"/>
    <cellStyle name="Normal 15 4" xfId="806" xr:uid="{00000000-0005-0000-0000-000026030000}"/>
    <cellStyle name="Normal 15 5" xfId="807" xr:uid="{00000000-0005-0000-0000-000027030000}"/>
    <cellStyle name="Normal 15 6" xfId="808" xr:uid="{00000000-0005-0000-0000-000028030000}"/>
    <cellStyle name="Normal 16" xfId="809" xr:uid="{00000000-0005-0000-0000-000029030000}"/>
    <cellStyle name="Normal 16 2" xfId="810" xr:uid="{00000000-0005-0000-0000-00002A030000}"/>
    <cellStyle name="Normal 16 3" xfId="811" xr:uid="{00000000-0005-0000-0000-00002B030000}"/>
    <cellStyle name="Normal 16 4" xfId="812" xr:uid="{00000000-0005-0000-0000-00002C030000}"/>
    <cellStyle name="Normal 16 5" xfId="813" xr:uid="{00000000-0005-0000-0000-00002D030000}"/>
    <cellStyle name="Normal 16 6" xfId="814" xr:uid="{00000000-0005-0000-0000-00002E030000}"/>
    <cellStyle name="Normal 17" xfId="815" xr:uid="{00000000-0005-0000-0000-00002F030000}"/>
    <cellStyle name="Normal 17 10" xfId="816" xr:uid="{00000000-0005-0000-0000-000030030000}"/>
    <cellStyle name="Normal 17 11" xfId="817" xr:uid="{00000000-0005-0000-0000-000031030000}"/>
    <cellStyle name="Normal 17 12" xfId="818" xr:uid="{00000000-0005-0000-0000-000032030000}"/>
    <cellStyle name="Normal 17 13" xfId="819" xr:uid="{00000000-0005-0000-0000-000033030000}"/>
    <cellStyle name="Normal 17 2" xfId="820" xr:uid="{00000000-0005-0000-0000-000034030000}"/>
    <cellStyle name="Normal 17 3" xfId="821" xr:uid="{00000000-0005-0000-0000-000035030000}"/>
    <cellStyle name="Normal 17 4" xfId="822" xr:uid="{00000000-0005-0000-0000-000036030000}"/>
    <cellStyle name="Normal 17 5" xfId="823" xr:uid="{00000000-0005-0000-0000-000037030000}"/>
    <cellStyle name="Normal 17 6" xfId="824" xr:uid="{00000000-0005-0000-0000-000038030000}"/>
    <cellStyle name="Normal 17 7" xfId="825" xr:uid="{00000000-0005-0000-0000-000039030000}"/>
    <cellStyle name="Normal 17 8" xfId="826" xr:uid="{00000000-0005-0000-0000-00003A030000}"/>
    <cellStyle name="Normal 17 9" xfId="827" xr:uid="{00000000-0005-0000-0000-00003B030000}"/>
    <cellStyle name="Normal 18" xfId="828" xr:uid="{00000000-0005-0000-0000-00003C030000}"/>
    <cellStyle name="Normal 2" xfId="829" xr:uid="{00000000-0005-0000-0000-00003D030000}"/>
    <cellStyle name="Normal 2 10" xfId="830" xr:uid="{00000000-0005-0000-0000-00003E030000}"/>
    <cellStyle name="Normal 2 11" xfId="831" xr:uid="{00000000-0005-0000-0000-00003F030000}"/>
    <cellStyle name="Normal 2 12" xfId="832" xr:uid="{00000000-0005-0000-0000-000040030000}"/>
    <cellStyle name="Normal 2 13" xfId="833" xr:uid="{00000000-0005-0000-0000-000041030000}"/>
    <cellStyle name="Normal 2 14" xfId="834" xr:uid="{00000000-0005-0000-0000-000042030000}"/>
    <cellStyle name="Normal 2 15" xfId="835" xr:uid="{00000000-0005-0000-0000-000043030000}"/>
    <cellStyle name="Normal 2 16" xfId="836" xr:uid="{00000000-0005-0000-0000-000044030000}"/>
    <cellStyle name="Normal 2 17" xfId="837" xr:uid="{00000000-0005-0000-0000-000045030000}"/>
    <cellStyle name="Normal 2 2" xfId="838" xr:uid="{00000000-0005-0000-0000-000046030000}"/>
    <cellStyle name="Normal 2 2 10" xfId="839" xr:uid="{00000000-0005-0000-0000-000047030000}"/>
    <cellStyle name="Normal 2 2 11" xfId="840" xr:uid="{00000000-0005-0000-0000-000048030000}"/>
    <cellStyle name="Normal 2 2 12" xfId="841" xr:uid="{00000000-0005-0000-0000-000049030000}"/>
    <cellStyle name="Normal 2 2 13" xfId="842" xr:uid="{00000000-0005-0000-0000-00004A030000}"/>
    <cellStyle name="Normal 2 2 2" xfId="843" xr:uid="{00000000-0005-0000-0000-00004B030000}"/>
    <cellStyle name="Normal 2 2 3" xfId="844" xr:uid="{00000000-0005-0000-0000-00004C030000}"/>
    <cellStyle name="Normal 2 2 4" xfId="845" xr:uid="{00000000-0005-0000-0000-00004D030000}"/>
    <cellStyle name="Normal 2 2 5" xfId="846" xr:uid="{00000000-0005-0000-0000-00004E030000}"/>
    <cellStyle name="Normal 2 2 6" xfId="847" xr:uid="{00000000-0005-0000-0000-00004F030000}"/>
    <cellStyle name="Normal 2 2 7" xfId="848" xr:uid="{00000000-0005-0000-0000-000050030000}"/>
    <cellStyle name="Normal 2 2 8" xfId="849" xr:uid="{00000000-0005-0000-0000-000051030000}"/>
    <cellStyle name="Normal 2 2 9" xfId="850" xr:uid="{00000000-0005-0000-0000-000052030000}"/>
    <cellStyle name="Normal 2 3" xfId="851" xr:uid="{00000000-0005-0000-0000-000053030000}"/>
    <cellStyle name="Normal 2 3 10" xfId="852" xr:uid="{00000000-0005-0000-0000-000054030000}"/>
    <cellStyle name="Normal 2 3 11" xfId="853" xr:uid="{00000000-0005-0000-0000-000055030000}"/>
    <cellStyle name="Normal 2 3 12" xfId="854" xr:uid="{00000000-0005-0000-0000-000056030000}"/>
    <cellStyle name="Normal 2 3 13" xfId="855" xr:uid="{00000000-0005-0000-0000-000057030000}"/>
    <cellStyle name="Normal 2 3 2" xfId="856" xr:uid="{00000000-0005-0000-0000-000058030000}"/>
    <cellStyle name="Normal 2 3 3" xfId="857" xr:uid="{00000000-0005-0000-0000-000059030000}"/>
    <cellStyle name="Normal 2 3 4" xfId="858" xr:uid="{00000000-0005-0000-0000-00005A030000}"/>
    <cellStyle name="Normal 2 3 5" xfId="859" xr:uid="{00000000-0005-0000-0000-00005B030000}"/>
    <cellStyle name="Normal 2 3 6" xfId="860" xr:uid="{00000000-0005-0000-0000-00005C030000}"/>
    <cellStyle name="Normal 2 3 7" xfId="861" xr:uid="{00000000-0005-0000-0000-00005D030000}"/>
    <cellStyle name="Normal 2 3 8" xfId="862" xr:uid="{00000000-0005-0000-0000-00005E030000}"/>
    <cellStyle name="Normal 2 3 9" xfId="863" xr:uid="{00000000-0005-0000-0000-00005F030000}"/>
    <cellStyle name="Normal 2 4" xfId="864" xr:uid="{00000000-0005-0000-0000-000060030000}"/>
    <cellStyle name="Normal 2 4 10" xfId="865" xr:uid="{00000000-0005-0000-0000-000061030000}"/>
    <cellStyle name="Normal 2 4 11" xfId="866" xr:uid="{00000000-0005-0000-0000-000062030000}"/>
    <cellStyle name="Normal 2 4 12" xfId="867" xr:uid="{00000000-0005-0000-0000-000063030000}"/>
    <cellStyle name="Normal 2 4 13" xfId="868" xr:uid="{00000000-0005-0000-0000-000064030000}"/>
    <cellStyle name="Normal 2 4 2" xfId="869" xr:uid="{00000000-0005-0000-0000-000065030000}"/>
    <cellStyle name="Normal 2 4 3" xfId="870" xr:uid="{00000000-0005-0000-0000-000066030000}"/>
    <cellStyle name="Normal 2 4 4" xfId="871" xr:uid="{00000000-0005-0000-0000-000067030000}"/>
    <cellStyle name="Normal 2 4 5" xfId="872" xr:uid="{00000000-0005-0000-0000-000068030000}"/>
    <cellStyle name="Normal 2 4 6" xfId="873" xr:uid="{00000000-0005-0000-0000-000069030000}"/>
    <cellStyle name="Normal 2 4 7" xfId="874" xr:uid="{00000000-0005-0000-0000-00006A030000}"/>
    <cellStyle name="Normal 2 4 8" xfId="875" xr:uid="{00000000-0005-0000-0000-00006B030000}"/>
    <cellStyle name="Normal 2 4 9" xfId="876" xr:uid="{00000000-0005-0000-0000-00006C030000}"/>
    <cellStyle name="Normal 2 5" xfId="877" xr:uid="{00000000-0005-0000-0000-00006D030000}"/>
    <cellStyle name="Normal 2 6" xfId="878" xr:uid="{00000000-0005-0000-0000-00006E030000}"/>
    <cellStyle name="Normal 2 7" xfId="879" xr:uid="{00000000-0005-0000-0000-00006F030000}"/>
    <cellStyle name="Normal 2 8" xfId="880" xr:uid="{00000000-0005-0000-0000-000070030000}"/>
    <cellStyle name="Normal 2 9" xfId="881" xr:uid="{00000000-0005-0000-0000-000071030000}"/>
    <cellStyle name="Normal 20" xfId="882" xr:uid="{00000000-0005-0000-0000-000072030000}"/>
    <cellStyle name="Normal 21" xfId="883" xr:uid="{00000000-0005-0000-0000-000073030000}"/>
    <cellStyle name="Normal 26" xfId="884" xr:uid="{00000000-0005-0000-0000-000074030000}"/>
    <cellStyle name="Normal 3" xfId="885" xr:uid="{00000000-0005-0000-0000-000075030000}"/>
    <cellStyle name="Normal 3 10" xfId="886" xr:uid="{00000000-0005-0000-0000-000076030000}"/>
    <cellStyle name="Normal 3 11" xfId="887" xr:uid="{00000000-0005-0000-0000-000077030000}"/>
    <cellStyle name="Normal 3 12" xfId="888" xr:uid="{00000000-0005-0000-0000-000078030000}"/>
    <cellStyle name="Normal 3 2" xfId="889" xr:uid="{00000000-0005-0000-0000-000079030000}"/>
    <cellStyle name="Normal 3 2 2" xfId="890" xr:uid="{00000000-0005-0000-0000-00007A030000}"/>
    <cellStyle name="Normal 3 2 3" xfId="891" xr:uid="{00000000-0005-0000-0000-00007B030000}"/>
    <cellStyle name="Normal 3 2 4" xfId="892" xr:uid="{00000000-0005-0000-0000-00007C030000}"/>
    <cellStyle name="Normal 3 2 5" xfId="893" xr:uid="{00000000-0005-0000-0000-00007D030000}"/>
    <cellStyle name="Normal 3 2 6" xfId="894" xr:uid="{00000000-0005-0000-0000-00007E030000}"/>
    <cellStyle name="Normal 3 2 7" xfId="895" xr:uid="{00000000-0005-0000-0000-00007F030000}"/>
    <cellStyle name="Normal 3 2 8" xfId="896" xr:uid="{00000000-0005-0000-0000-000080030000}"/>
    <cellStyle name="Normal 3 3" xfId="897" xr:uid="{00000000-0005-0000-0000-000081030000}"/>
    <cellStyle name="Normal 3 3 2" xfId="898" xr:uid="{00000000-0005-0000-0000-000082030000}"/>
    <cellStyle name="Normal 3 3 3" xfId="899" xr:uid="{00000000-0005-0000-0000-000083030000}"/>
    <cellStyle name="Normal 3 3 4" xfId="900" xr:uid="{00000000-0005-0000-0000-000084030000}"/>
    <cellStyle name="Normal 3 3 5" xfId="901" xr:uid="{00000000-0005-0000-0000-000085030000}"/>
    <cellStyle name="Normal 3 3 6" xfId="902" xr:uid="{00000000-0005-0000-0000-000086030000}"/>
    <cellStyle name="Normal 3 3 7" xfId="903" xr:uid="{00000000-0005-0000-0000-000087030000}"/>
    <cellStyle name="Normal 3 3 8" xfId="904" xr:uid="{00000000-0005-0000-0000-000088030000}"/>
    <cellStyle name="Normal 3 4" xfId="905" xr:uid="{00000000-0005-0000-0000-000089030000}"/>
    <cellStyle name="Normal 3 4 2" xfId="906" xr:uid="{00000000-0005-0000-0000-00008A030000}"/>
    <cellStyle name="Normal 3 4 3" xfId="907" xr:uid="{00000000-0005-0000-0000-00008B030000}"/>
    <cellStyle name="Normal 3 4 4" xfId="908" xr:uid="{00000000-0005-0000-0000-00008C030000}"/>
    <cellStyle name="Normal 3 4 5" xfId="909" xr:uid="{00000000-0005-0000-0000-00008D030000}"/>
    <cellStyle name="Normal 3 4 6" xfId="910" xr:uid="{00000000-0005-0000-0000-00008E030000}"/>
    <cellStyle name="Normal 3 4 7" xfId="911" xr:uid="{00000000-0005-0000-0000-00008F030000}"/>
    <cellStyle name="Normal 3 4 8" xfId="912" xr:uid="{00000000-0005-0000-0000-000090030000}"/>
    <cellStyle name="Normal 3 5" xfId="913" xr:uid="{00000000-0005-0000-0000-000091030000}"/>
    <cellStyle name="Normal 3 5 2" xfId="914" xr:uid="{00000000-0005-0000-0000-000092030000}"/>
    <cellStyle name="Normal 3 5 3" xfId="915" xr:uid="{00000000-0005-0000-0000-000093030000}"/>
    <cellStyle name="Normal 3 5 4" xfId="916" xr:uid="{00000000-0005-0000-0000-000094030000}"/>
    <cellStyle name="Normal 3 5 5" xfId="917" xr:uid="{00000000-0005-0000-0000-000095030000}"/>
    <cellStyle name="Normal 3 5 6" xfId="918" xr:uid="{00000000-0005-0000-0000-000096030000}"/>
    <cellStyle name="Normal 3 5 7" xfId="919" xr:uid="{00000000-0005-0000-0000-000097030000}"/>
    <cellStyle name="Normal 3 5 8" xfId="920" xr:uid="{00000000-0005-0000-0000-000098030000}"/>
    <cellStyle name="Normal 3 6" xfId="921" xr:uid="{00000000-0005-0000-0000-000099030000}"/>
    <cellStyle name="Normal 3 7" xfId="922" xr:uid="{00000000-0005-0000-0000-00009A030000}"/>
    <cellStyle name="Normal 3 8" xfId="923" xr:uid="{00000000-0005-0000-0000-00009B030000}"/>
    <cellStyle name="Normal 3 9" xfId="924" xr:uid="{00000000-0005-0000-0000-00009C030000}"/>
    <cellStyle name="Normal 4" xfId="925" xr:uid="{00000000-0005-0000-0000-00009D030000}"/>
    <cellStyle name="Normal 4 10" xfId="926" xr:uid="{00000000-0005-0000-0000-00009E030000}"/>
    <cellStyle name="Normal 4 11" xfId="927" xr:uid="{00000000-0005-0000-0000-00009F030000}"/>
    <cellStyle name="Normal 4 12" xfId="928" xr:uid="{00000000-0005-0000-0000-0000A0030000}"/>
    <cellStyle name="Normal 4 2" xfId="929" xr:uid="{00000000-0005-0000-0000-0000A1030000}"/>
    <cellStyle name="Normal 4 2 2" xfId="930" xr:uid="{00000000-0005-0000-0000-0000A2030000}"/>
    <cellStyle name="Normal 4 2 2 10" xfId="931" xr:uid="{00000000-0005-0000-0000-0000A3030000}"/>
    <cellStyle name="Normal 4 2 2 11" xfId="932" xr:uid="{00000000-0005-0000-0000-0000A4030000}"/>
    <cellStyle name="Normal 4 2 2 12" xfId="933" xr:uid="{00000000-0005-0000-0000-0000A5030000}"/>
    <cellStyle name="Normal 4 2 2 13" xfId="934" xr:uid="{00000000-0005-0000-0000-0000A6030000}"/>
    <cellStyle name="Normal 4 2 2 2" xfId="935" xr:uid="{00000000-0005-0000-0000-0000A7030000}"/>
    <cellStyle name="Normal 4 2 2 2 10" xfId="936" xr:uid="{00000000-0005-0000-0000-0000A8030000}"/>
    <cellStyle name="Normal 4 2 2 2 11" xfId="937" xr:uid="{00000000-0005-0000-0000-0000A9030000}"/>
    <cellStyle name="Normal 4 2 2 2 12" xfId="938" xr:uid="{00000000-0005-0000-0000-0000AA030000}"/>
    <cellStyle name="Normal 4 2 2 2 13" xfId="939" xr:uid="{00000000-0005-0000-0000-0000AB030000}"/>
    <cellStyle name="Normal 4 2 2 2 2" xfId="940" xr:uid="{00000000-0005-0000-0000-0000AC030000}"/>
    <cellStyle name="Normal 4 2 2 2 3" xfId="941" xr:uid="{00000000-0005-0000-0000-0000AD030000}"/>
    <cellStyle name="Normal 4 2 2 2 4" xfId="942" xr:uid="{00000000-0005-0000-0000-0000AE030000}"/>
    <cellStyle name="Normal 4 2 2 2 5" xfId="943" xr:uid="{00000000-0005-0000-0000-0000AF030000}"/>
    <cellStyle name="Normal 4 2 2 2 6" xfId="944" xr:uid="{00000000-0005-0000-0000-0000B0030000}"/>
    <cellStyle name="Normal 4 2 2 2 7" xfId="945" xr:uid="{00000000-0005-0000-0000-0000B1030000}"/>
    <cellStyle name="Normal 4 2 2 2 8" xfId="946" xr:uid="{00000000-0005-0000-0000-0000B2030000}"/>
    <cellStyle name="Normal 4 2 2 2 9" xfId="947" xr:uid="{00000000-0005-0000-0000-0000B3030000}"/>
    <cellStyle name="Normal 4 2 2 3" xfId="948" xr:uid="{00000000-0005-0000-0000-0000B4030000}"/>
    <cellStyle name="Normal 4 2 2 4" xfId="949" xr:uid="{00000000-0005-0000-0000-0000B5030000}"/>
    <cellStyle name="Normal 4 2 2 5" xfId="950" xr:uid="{00000000-0005-0000-0000-0000B6030000}"/>
    <cellStyle name="Normal 4 2 2 6" xfId="951" xr:uid="{00000000-0005-0000-0000-0000B7030000}"/>
    <cellStyle name="Normal 4 2 2 7" xfId="952" xr:uid="{00000000-0005-0000-0000-0000B8030000}"/>
    <cellStyle name="Normal 4 2 2 8" xfId="953" xr:uid="{00000000-0005-0000-0000-0000B9030000}"/>
    <cellStyle name="Normal 4 2 2 9" xfId="954" xr:uid="{00000000-0005-0000-0000-0000BA030000}"/>
    <cellStyle name="Normal 4 2 3" xfId="955" xr:uid="{00000000-0005-0000-0000-0000BB030000}"/>
    <cellStyle name="Normal 4 2 4" xfId="956" xr:uid="{00000000-0005-0000-0000-0000BC030000}"/>
    <cellStyle name="Normal 4 2 5" xfId="957" xr:uid="{00000000-0005-0000-0000-0000BD030000}"/>
    <cellStyle name="Normal 4 2 6" xfId="958" xr:uid="{00000000-0005-0000-0000-0000BE030000}"/>
    <cellStyle name="Normal 4 2 7" xfId="959" xr:uid="{00000000-0005-0000-0000-0000BF030000}"/>
    <cellStyle name="Normal 4 2 8" xfId="960" xr:uid="{00000000-0005-0000-0000-0000C0030000}"/>
    <cellStyle name="Normal 4 3" xfId="961" xr:uid="{00000000-0005-0000-0000-0000C1030000}"/>
    <cellStyle name="Normal 4 3 2" xfId="962" xr:uid="{00000000-0005-0000-0000-0000C2030000}"/>
    <cellStyle name="Normal 4 3 3" xfId="963" xr:uid="{00000000-0005-0000-0000-0000C3030000}"/>
    <cellStyle name="Normal 4 3 4" xfId="964" xr:uid="{00000000-0005-0000-0000-0000C4030000}"/>
    <cellStyle name="Normal 4 3 5" xfId="965" xr:uid="{00000000-0005-0000-0000-0000C5030000}"/>
    <cellStyle name="Normal 4 3 6" xfId="966" xr:uid="{00000000-0005-0000-0000-0000C6030000}"/>
    <cellStyle name="Normal 4 3 7" xfId="967" xr:uid="{00000000-0005-0000-0000-0000C7030000}"/>
    <cellStyle name="Normal 4 3 8" xfId="968" xr:uid="{00000000-0005-0000-0000-0000C8030000}"/>
    <cellStyle name="Normal 4 4" xfId="969" xr:uid="{00000000-0005-0000-0000-0000C9030000}"/>
    <cellStyle name="Normal 4 4 2" xfId="970" xr:uid="{00000000-0005-0000-0000-0000CA030000}"/>
    <cellStyle name="Normal 4 4 3" xfId="971" xr:uid="{00000000-0005-0000-0000-0000CB030000}"/>
    <cellStyle name="Normal 4 4 4" xfId="972" xr:uid="{00000000-0005-0000-0000-0000CC030000}"/>
    <cellStyle name="Normal 4 4 5" xfId="973" xr:uid="{00000000-0005-0000-0000-0000CD030000}"/>
    <cellStyle name="Normal 4 4 6" xfId="974" xr:uid="{00000000-0005-0000-0000-0000CE030000}"/>
    <cellStyle name="Normal 4 4 7" xfId="975" xr:uid="{00000000-0005-0000-0000-0000CF030000}"/>
    <cellStyle name="Normal 4 4 8" xfId="976" xr:uid="{00000000-0005-0000-0000-0000D0030000}"/>
    <cellStyle name="Normal 4 5" xfId="977" xr:uid="{00000000-0005-0000-0000-0000D1030000}"/>
    <cellStyle name="Normal 4 5 2" xfId="978" xr:uid="{00000000-0005-0000-0000-0000D2030000}"/>
    <cellStyle name="Normal 4 5 3" xfId="979" xr:uid="{00000000-0005-0000-0000-0000D3030000}"/>
    <cellStyle name="Normal 4 5 4" xfId="980" xr:uid="{00000000-0005-0000-0000-0000D4030000}"/>
    <cellStyle name="Normal 4 5 5" xfId="981" xr:uid="{00000000-0005-0000-0000-0000D5030000}"/>
    <cellStyle name="Normal 4 5 6" xfId="982" xr:uid="{00000000-0005-0000-0000-0000D6030000}"/>
    <cellStyle name="Normal 4 5 7" xfId="983" xr:uid="{00000000-0005-0000-0000-0000D7030000}"/>
    <cellStyle name="Normal 4 5 8" xfId="984" xr:uid="{00000000-0005-0000-0000-0000D8030000}"/>
    <cellStyle name="Normal 4 6" xfId="985" xr:uid="{00000000-0005-0000-0000-0000D9030000}"/>
    <cellStyle name="Normal 4 7" xfId="986" xr:uid="{00000000-0005-0000-0000-0000DA030000}"/>
    <cellStyle name="Normal 4 8" xfId="987" xr:uid="{00000000-0005-0000-0000-0000DB030000}"/>
    <cellStyle name="Normal 4 9" xfId="988" xr:uid="{00000000-0005-0000-0000-0000DC030000}"/>
    <cellStyle name="Normal 5" xfId="989" xr:uid="{00000000-0005-0000-0000-0000DD030000}"/>
    <cellStyle name="Normal 5 10" xfId="990" xr:uid="{00000000-0005-0000-0000-0000DE030000}"/>
    <cellStyle name="Normal 5 11" xfId="991" xr:uid="{00000000-0005-0000-0000-0000DF030000}"/>
    <cellStyle name="Normal 5 12" xfId="992" xr:uid="{00000000-0005-0000-0000-0000E0030000}"/>
    <cellStyle name="Normal 5 2" xfId="993" xr:uid="{00000000-0005-0000-0000-0000E1030000}"/>
    <cellStyle name="Normal 5 2 2" xfId="994" xr:uid="{00000000-0005-0000-0000-0000E2030000}"/>
    <cellStyle name="Normal 5 2 2 10" xfId="995" xr:uid="{00000000-0005-0000-0000-0000E3030000}"/>
    <cellStyle name="Normal 5 2 2 11" xfId="996" xr:uid="{00000000-0005-0000-0000-0000E4030000}"/>
    <cellStyle name="Normal 5 2 2 12" xfId="997" xr:uid="{00000000-0005-0000-0000-0000E5030000}"/>
    <cellStyle name="Normal 5 2 2 13" xfId="998" xr:uid="{00000000-0005-0000-0000-0000E6030000}"/>
    <cellStyle name="Normal 5 2 2 2" xfId="999" xr:uid="{00000000-0005-0000-0000-0000E7030000}"/>
    <cellStyle name="Normal 5 2 2 2 10" xfId="1000" xr:uid="{00000000-0005-0000-0000-0000E8030000}"/>
    <cellStyle name="Normal 5 2 2 2 11" xfId="1001" xr:uid="{00000000-0005-0000-0000-0000E9030000}"/>
    <cellStyle name="Normal 5 2 2 2 12" xfId="1002" xr:uid="{00000000-0005-0000-0000-0000EA030000}"/>
    <cellStyle name="Normal 5 2 2 2 13" xfId="1003" xr:uid="{00000000-0005-0000-0000-0000EB030000}"/>
    <cellStyle name="Normal 5 2 2 2 2" xfId="1004" xr:uid="{00000000-0005-0000-0000-0000EC030000}"/>
    <cellStyle name="Normal 5 2 2 2 3" xfId="1005" xr:uid="{00000000-0005-0000-0000-0000ED030000}"/>
    <cellStyle name="Normal 5 2 2 2 4" xfId="1006" xr:uid="{00000000-0005-0000-0000-0000EE030000}"/>
    <cellStyle name="Normal 5 2 2 2 5" xfId="1007" xr:uid="{00000000-0005-0000-0000-0000EF030000}"/>
    <cellStyle name="Normal 5 2 2 2 6" xfId="1008" xr:uid="{00000000-0005-0000-0000-0000F0030000}"/>
    <cellStyle name="Normal 5 2 2 2 7" xfId="1009" xr:uid="{00000000-0005-0000-0000-0000F1030000}"/>
    <cellStyle name="Normal 5 2 2 2 8" xfId="1010" xr:uid="{00000000-0005-0000-0000-0000F2030000}"/>
    <cellStyle name="Normal 5 2 2 2 9" xfId="1011" xr:uid="{00000000-0005-0000-0000-0000F3030000}"/>
    <cellStyle name="Normal 5 2 2 3" xfId="1012" xr:uid="{00000000-0005-0000-0000-0000F4030000}"/>
    <cellStyle name="Normal 5 2 2 4" xfId="1013" xr:uid="{00000000-0005-0000-0000-0000F5030000}"/>
    <cellStyle name="Normal 5 2 2 5" xfId="1014" xr:uid="{00000000-0005-0000-0000-0000F6030000}"/>
    <cellStyle name="Normal 5 2 2 6" xfId="1015" xr:uid="{00000000-0005-0000-0000-0000F7030000}"/>
    <cellStyle name="Normal 5 2 2 7" xfId="1016" xr:uid="{00000000-0005-0000-0000-0000F8030000}"/>
    <cellStyle name="Normal 5 2 2 8" xfId="1017" xr:uid="{00000000-0005-0000-0000-0000F9030000}"/>
    <cellStyle name="Normal 5 2 2 9" xfId="1018" xr:uid="{00000000-0005-0000-0000-0000FA030000}"/>
    <cellStyle name="Normal 5 2 3" xfId="1019" xr:uid="{00000000-0005-0000-0000-0000FB030000}"/>
    <cellStyle name="Normal 5 2 4" xfId="1020" xr:uid="{00000000-0005-0000-0000-0000FC030000}"/>
    <cellStyle name="Normal 5 2 5" xfId="1021" xr:uid="{00000000-0005-0000-0000-0000FD030000}"/>
    <cellStyle name="Normal 5 2 6" xfId="1022" xr:uid="{00000000-0005-0000-0000-0000FE030000}"/>
    <cellStyle name="Normal 5 2 7" xfId="1023" xr:uid="{00000000-0005-0000-0000-0000FF030000}"/>
    <cellStyle name="Normal 5 2 8" xfId="1024" xr:uid="{00000000-0005-0000-0000-000000040000}"/>
    <cellStyle name="Normal 5 3" xfId="1025" xr:uid="{00000000-0005-0000-0000-000001040000}"/>
    <cellStyle name="Normal 5 3 2" xfId="1026" xr:uid="{00000000-0005-0000-0000-000002040000}"/>
    <cellStyle name="Normal 5 3 3" xfId="1027" xr:uid="{00000000-0005-0000-0000-000003040000}"/>
    <cellStyle name="Normal 5 3 4" xfId="1028" xr:uid="{00000000-0005-0000-0000-000004040000}"/>
    <cellStyle name="Normal 5 3 5" xfId="1029" xr:uid="{00000000-0005-0000-0000-000005040000}"/>
    <cellStyle name="Normal 5 3 6" xfId="1030" xr:uid="{00000000-0005-0000-0000-000006040000}"/>
    <cellStyle name="Normal 5 3 7" xfId="1031" xr:uid="{00000000-0005-0000-0000-000007040000}"/>
    <cellStyle name="Normal 5 3 8" xfId="1032" xr:uid="{00000000-0005-0000-0000-000008040000}"/>
    <cellStyle name="Normal 5 4" xfId="1033" xr:uid="{00000000-0005-0000-0000-000009040000}"/>
    <cellStyle name="Normal 5 4 2" xfId="1034" xr:uid="{00000000-0005-0000-0000-00000A040000}"/>
    <cellStyle name="Normal 5 4 3" xfId="1035" xr:uid="{00000000-0005-0000-0000-00000B040000}"/>
    <cellStyle name="Normal 5 4 4" xfId="1036" xr:uid="{00000000-0005-0000-0000-00000C040000}"/>
    <cellStyle name="Normal 5 4 5" xfId="1037" xr:uid="{00000000-0005-0000-0000-00000D040000}"/>
    <cellStyle name="Normal 5 4 6" xfId="1038" xr:uid="{00000000-0005-0000-0000-00000E040000}"/>
    <cellStyle name="Normal 5 4 7" xfId="1039" xr:uid="{00000000-0005-0000-0000-00000F040000}"/>
    <cellStyle name="Normal 5 4 8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5 3" xfId="1043" xr:uid="{00000000-0005-0000-0000-000013040000}"/>
    <cellStyle name="Normal 5 5 4" xfId="1044" xr:uid="{00000000-0005-0000-0000-000014040000}"/>
    <cellStyle name="Normal 5 5 5" xfId="1045" xr:uid="{00000000-0005-0000-0000-000015040000}"/>
    <cellStyle name="Normal 5 5 6" xfId="1046" xr:uid="{00000000-0005-0000-0000-000016040000}"/>
    <cellStyle name="Normal 5 5 7" xfId="1047" xr:uid="{00000000-0005-0000-0000-000017040000}"/>
    <cellStyle name="Normal 5 5 8" xfId="1048" xr:uid="{00000000-0005-0000-0000-000018040000}"/>
    <cellStyle name="Normal 5 6" xfId="1049" xr:uid="{00000000-0005-0000-0000-000019040000}"/>
    <cellStyle name="Normal 5 7" xfId="1050" xr:uid="{00000000-0005-0000-0000-00001A040000}"/>
    <cellStyle name="Normal 5 8" xfId="1051" xr:uid="{00000000-0005-0000-0000-00001B040000}"/>
    <cellStyle name="Normal 5 9" xfId="1052" xr:uid="{00000000-0005-0000-0000-00001C040000}"/>
    <cellStyle name="Normal 6" xfId="1053" xr:uid="{00000000-0005-0000-0000-00001D040000}"/>
    <cellStyle name="Normal 6 10" xfId="1054" xr:uid="{00000000-0005-0000-0000-00001E040000}"/>
    <cellStyle name="Normal 6 11" xfId="1055" xr:uid="{00000000-0005-0000-0000-00001F040000}"/>
    <cellStyle name="Normal 6 12" xfId="1056" xr:uid="{00000000-0005-0000-0000-000020040000}"/>
    <cellStyle name="Normal 6 2" xfId="1057" xr:uid="{00000000-0005-0000-0000-000021040000}"/>
    <cellStyle name="Normal 6 2 2" xfId="1058" xr:uid="{00000000-0005-0000-0000-000022040000}"/>
    <cellStyle name="Normal 6 2 2 10" xfId="1059" xr:uid="{00000000-0005-0000-0000-000023040000}"/>
    <cellStyle name="Normal 6 2 2 11" xfId="1060" xr:uid="{00000000-0005-0000-0000-000024040000}"/>
    <cellStyle name="Normal 6 2 2 12" xfId="1061" xr:uid="{00000000-0005-0000-0000-000025040000}"/>
    <cellStyle name="Normal 6 2 2 13" xfId="1062" xr:uid="{00000000-0005-0000-0000-000026040000}"/>
    <cellStyle name="Normal 6 2 2 2" xfId="1063" xr:uid="{00000000-0005-0000-0000-000027040000}"/>
    <cellStyle name="Normal 6 2 2 3" xfId="1064" xr:uid="{00000000-0005-0000-0000-000028040000}"/>
    <cellStyle name="Normal 6 2 2 4" xfId="1065" xr:uid="{00000000-0005-0000-0000-000029040000}"/>
    <cellStyle name="Normal 6 2 2 5" xfId="1066" xr:uid="{00000000-0005-0000-0000-00002A040000}"/>
    <cellStyle name="Normal 6 2 2 6" xfId="1067" xr:uid="{00000000-0005-0000-0000-00002B040000}"/>
    <cellStyle name="Normal 6 2 2 7" xfId="1068" xr:uid="{00000000-0005-0000-0000-00002C040000}"/>
    <cellStyle name="Normal 6 2 2 8" xfId="1069" xr:uid="{00000000-0005-0000-0000-00002D040000}"/>
    <cellStyle name="Normal 6 2 2 9" xfId="1070" xr:uid="{00000000-0005-0000-0000-00002E040000}"/>
    <cellStyle name="Normal 6 2 3" xfId="1071" xr:uid="{00000000-0005-0000-0000-00002F040000}"/>
    <cellStyle name="Normal 6 2 4" xfId="1072" xr:uid="{00000000-0005-0000-0000-000030040000}"/>
    <cellStyle name="Normal 6 2 5" xfId="1073" xr:uid="{00000000-0005-0000-0000-000031040000}"/>
    <cellStyle name="Normal 6 2 6" xfId="1074" xr:uid="{00000000-0005-0000-0000-000032040000}"/>
    <cellStyle name="Normal 6 2 7" xfId="1075" xr:uid="{00000000-0005-0000-0000-000033040000}"/>
    <cellStyle name="Normal 6 2 8" xfId="1076" xr:uid="{00000000-0005-0000-0000-000034040000}"/>
    <cellStyle name="Normal 6 3" xfId="1077" xr:uid="{00000000-0005-0000-0000-000035040000}"/>
    <cellStyle name="Normal 6 3 2" xfId="1078" xr:uid="{00000000-0005-0000-0000-000036040000}"/>
    <cellStyle name="Normal 6 3 3" xfId="1079" xr:uid="{00000000-0005-0000-0000-000037040000}"/>
    <cellStyle name="Normal 6 3 4" xfId="1080" xr:uid="{00000000-0005-0000-0000-000038040000}"/>
    <cellStyle name="Normal 6 3 5" xfId="1081" xr:uid="{00000000-0005-0000-0000-000039040000}"/>
    <cellStyle name="Normal 6 3 6" xfId="1082" xr:uid="{00000000-0005-0000-0000-00003A040000}"/>
    <cellStyle name="Normal 6 3 7" xfId="1083" xr:uid="{00000000-0005-0000-0000-00003B040000}"/>
    <cellStyle name="Normal 6 3 8" xfId="1084" xr:uid="{00000000-0005-0000-0000-00003C040000}"/>
    <cellStyle name="Normal 6 4" xfId="1085" xr:uid="{00000000-0005-0000-0000-00003D040000}"/>
    <cellStyle name="Normal 6 4 2" xfId="1086" xr:uid="{00000000-0005-0000-0000-00003E040000}"/>
    <cellStyle name="Normal 6 4 3" xfId="1087" xr:uid="{00000000-0005-0000-0000-00003F040000}"/>
    <cellStyle name="Normal 6 4 4" xfId="1088" xr:uid="{00000000-0005-0000-0000-000040040000}"/>
    <cellStyle name="Normal 6 4 5" xfId="1089" xr:uid="{00000000-0005-0000-0000-000041040000}"/>
    <cellStyle name="Normal 6 4 6" xfId="1090" xr:uid="{00000000-0005-0000-0000-000042040000}"/>
    <cellStyle name="Normal 6 4 7" xfId="1091" xr:uid="{00000000-0005-0000-0000-000043040000}"/>
    <cellStyle name="Normal 6 4 8" xfId="1092" xr:uid="{00000000-0005-0000-0000-000044040000}"/>
    <cellStyle name="Normal 6 5" xfId="1093" xr:uid="{00000000-0005-0000-0000-000045040000}"/>
    <cellStyle name="Normal 6 5 2" xfId="1094" xr:uid="{00000000-0005-0000-0000-000046040000}"/>
    <cellStyle name="Normal 6 5 3" xfId="1095" xr:uid="{00000000-0005-0000-0000-000047040000}"/>
    <cellStyle name="Normal 6 5 4" xfId="1096" xr:uid="{00000000-0005-0000-0000-000048040000}"/>
    <cellStyle name="Normal 6 5 5" xfId="1097" xr:uid="{00000000-0005-0000-0000-000049040000}"/>
    <cellStyle name="Normal 6 5 6" xfId="1098" xr:uid="{00000000-0005-0000-0000-00004A040000}"/>
    <cellStyle name="Normal 6 5 7" xfId="1099" xr:uid="{00000000-0005-0000-0000-00004B040000}"/>
    <cellStyle name="Normal 6 5 8" xfId="1100" xr:uid="{00000000-0005-0000-0000-00004C040000}"/>
    <cellStyle name="Normal 6 6" xfId="1101" xr:uid="{00000000-0005-0000-0000-00004D040000}"/>
    <cellStyle name="Normal 6 7" xfId="1102" xr:uid="{00000000-0005-0000-0000-00004E040000}"/>
    <cellStyle name="Normal 6 8" xfId="1103" xr:uid="{00000000-0005-0000-0000-00004F040000}"/>
    <cellStyle name="Normal 6 9" xfId="1104" xr:uid="{00000000-0005-0000-0000-000050040000}"/>
    <cellStyle name="Normal 7" xfId="1105" xr:uid="{00000000-0005-0000-0000-000051040000}"/>
    <cellStyle name="Normal 7 10" xfId="1106" xr:uid="{00000000-0005-0000-0000-000052040000}"/>
    <cellStyle name="Normal 7 11" xfId="1107" xr:uid="{00000000-0005-0000-0000-000053040000}"/>
    <cellStyle name="Normal 7 12" xfId="1108" xr:uid="{00000000-0005-0000-0000-000054040000}"/>
    <cellStyle name="Normal 7 2" xfId="1109" xr:uid="{00000000-0005-0000-0000-000055040000}"/>
    <cellStyle name="Normal 7 2 2" xfId="1110" xr:uid="{00000000-0005-0000-0000-000056040000}"/>
    <cellStyle name="Normal 7 2 3" xfId="1111" xr:uid="{00000000-0005-0000-0000-000057040000}"/>
    <cellStyle name="Normal 7 2 4" xfId="1112" xr:uid="{00000000-0005-0000-0000-000058040000}"/>
    <cellStyle name="Normal 7 2 5" xfId="1113" xr:uid="{00000000-0005-0000-0000-000059040000}"/>
    <cellStyle name="Normal 7 2 6" xfId="1114" xr:uid="{00000000-0005-0000-0000-00005A040000}"/>
    <cellStyle name="Normal 7 2 7" xfId="1115" xr:uid="{00000000-0005-0000-0000-00005B040000}"/>
    <cellStyle name="Normal 7 2 8" xfId="1116" xr:uid="{00000000-0005-0000-0000-00005C040000}"/>
    <cellStyle name="Normal 7 3" xfId="1117" xr:uid="{00000000-0005-0000-0000-00005D040000}"/>
    <cellStyle name="Normal 7 3 2" xfId="1118" xr:uid="{00000000-0005-0000-0000-00005E040000}"/>
    <cellStyle name="Normal 7 3 3" xfId="1119" xr:uid="{00000000-0005-0000-0000-00005F040000}"/>
    <cellStyle name="Normal 7 3 4" xfId="1120" xr:uid="{00000000-0005-0000-0000-000060040000}"/>
    <cellStyle name="Normal 7 3 5" xfId="1121" xr:uid="{00000000-0005-0000-0000-000061040000}"/>
    <cellStyle name="Normal 7 3 6" xfId="1122" xr:uid="{00000000-0005-0000-0000-000062040000}"/>
    <cellStyle name="Normal 7 3 7" xfId="1123" xr:uid="{00000000-0005-0000-0000-000063040000}"/>
    <cellStyle name="Normal 7 3 8" xfId="1124" xr:uid="{00000000-0005-0000-0000-000064040000}"/>
    <cellStyle name="Normal 7 4" xfId="1125" xr:uid="{00000000-0005-0000-0000-000065040000}"/>
    <cellStyle name="Normal 7 4 2" xfId="1126" xr:uid="{00000000-0005-0000-0000-000066040000}"/>
    <cellStyle name="Normal 7 4 3" xfId="1127" xr:uid="{00000000-0005-0000-0000-000067040000}"/>
    <cellStyle name="Normal 7 4 4" xfId="1128" xr:uid="{00000000-0005-0000-0000-000068040000}"/>
    <cellStyle name="Normal 7 4 5" xfId="1129" xr:uid="{00000000-0005-0000-0000-000069040000}"/>
    <cellStyle name="Normal 7 4 6" xfId="1130" xr:uid="{00000000-0005-0000-0000-00006A040000}"/>
    <cellStyle name="Normal 7 4 7" xfId="1131" xr:uid="{00000000-0005-0000-0000-00006B040000}"/>
    <cellStyle name="Normal 7 4 8" xfId="1132" xr:uid="{00000000-0005-0000-0000-00006C040000}"/>
    <cellStyle name="Normal 7 5" xfId="1133" xr:uid="{00000000-0005-0000-0000-00006D040000}"/>
    <cellStyle name="Normal 7 5 2" xfId="1134" xr:uid="{00000000-0005-0000-0000-00006E040000}"/>
    <cellStyle name="Normal 7 5 3" xfId="1135" xr:uid="{00000000-0005-0000-0000-00006F040000}"/>
    <cellStyle name="Normal 7 5 4" xfId="1136" xr:uid="{00000000-0005-0000-0000-000070040000}"/>
    <cellStyle name="Normal 7 5 5" xfId="1137" xr:uid="{00000000-0005-0000-0000-000071040000}"/>
    <cellStyle name="Normal 7 5 6" xfId="1138" xr:uid="{00000000-0005-0000-0000-000072040000}"/>
    <cellStyle name="Normal 7 5 7" xfId="1139" xr:uid="{00000000-0005-0000-0000-000073040000}"/>
    <cellStyle name="Normal 7 5 8" xfId="1140" xr:uid="{00000000-0005-0000-0000-000074040000}"/>
    <cellStyle name="Normal 7 6" xfId="1141" xr:uid="{00000000-0005-0000-0000-000075040000}"/>
    <cellStyle name="Normal 7 7" xfId="1142" xr:uid="{00000000-0005-0000-0000-000076040000}"/>
    <cellStyle name="Normal 7 8" xfId="1143" xr:uid="{00000000-0005-0000-0000-000077040000}"/>
    <cellStyle name="Normal 7 9" xfId="1144" xr:uid="{00000000-0005-0000-0000-000078040000}"/>
    <cellStyle name="Normal 8" xfId="1145" xr:uid="{00000000-0005-0000-0000-000079040000}"/>
    <cellStyle name="Normal 8 10" xfId="1146" xr:uid="{00000000-0005-0000-0000-00007A040000}"/>
    <cellStyle name="Normal 8 11" xfId="1147" xr:uid="{00000000-0005-0000-0000-00007B040000}"/>
    <cellStyle name="Normal 8 12" xfId="1148" xr:uid="{00000000-0005-0000-0000-00007C040000}"/>
    <cellStyle name="Normal 8 2" xfId="1149" xr:uid="{00000000-0005-0000-0000-00007D040000}"/>
    <cellStyle name="Normal 8 2 2" xfId="1150" xr:uid="{00000000-0005-0000-0000-00007E040000}"/>
    <cellStyle name="Normal 8 2 3" xfId="1151" xr:uid="{00000000-0005-0000-0000-00007F040000}"/>
    <cellStyle name="Normal 8 2 4" xfId="1152" xr:uid="{00000000-0005-0000-0000-000080040000}"/>
    <cellStyle name="Normal 8 2 5" xfId="1153" xr:uid="{00000000-0005-0000-0000-000081040000}"/>
    <cellStyle name="Normal 8 2 6" xfId="1154" xr:uid="{00000000-0005-0000-0000-000082040000}"/>
    <cellStyle name="Normal 8 2 7" xfId="1155" xr:uid="{00000000-0005-0000-0000-000083040000}"/>
    <cellStyle name="Normal 8 2 8" xfId="1156" xr:uid="{00000000-0005-0000-0000-000084040000}"/>
    <cellStyle name="Normal 8 3" xfId="1157" xr:uid="{00000000-0005-0000-0000-000085040000}"/>
    <cellStyle name="Normal 8 3 2" xfId="1158" xr:uid="{00000000-0005-0000-0000-000086040000}"/>
    <cellStyle name="Normal 8 3 3" xfId="1159" xr:uid="{00000000-0005-0000-0000-000087040000}"/>
    <cellStyle name="Normal 8 3 4" xfId="1160" xr:uid="{00000000-0005-0000-0000-000088040000}"/>
    <cellStyle name="Normal 8 3 5" xfId="1161" xr:uid="{00000000-0005-0000-0000-000089040000}"/>
    <cellStyle name="Normal 8 3 6" xfId="1162" xr:uid="{00000000-0005-0000-0000-00008A040000}"/>
    <cellStyle name="Normal 8 3 7" xfId="1163" xr:uid="{00000000-0005-0000-0000-00008B040000}"/>
    <cellStyle name="Normal 8 3 8" xfId="1164" xr:uid="{00000000-0005-0000-0000-00008C040000}"/>
    <cellStyle name="Normal 8 4" xfId="1165" xr:uid="{00000000-0005-0000-0000-00008D040000}"/>
    <cellStyle name="Normal 8 4 2" xfId="1166" xr:uid="{00000000-0005-0000-0000-00008E040000}"/>
    <cellStyle name="Normal 8 4 3" xfId="1167" xr:uid="{00000000-0005-0000-0000-00008F040000}"/>
    <cellStyle name="Normal 8 4 4" xfId="1168" xr:uid="{00000000-0005-0000-0000-000090040000}"/>
    <cellStyle name="Normal 8 4 5" xfId="1169" xr:uid="{00000000-0005-0000-0000-000091040000}"/>
    <cellStyle name="Normal 8 4 6" xfId="1170" xr:uid="{00000000-0005-0000-0000-000092040000}"/>
    <cellStyle name="Normal 8 4 7" xfId="1171" xr:uid="{00000000-0005-0000-0000-000093040000}"/>
    <cellStyle name="Normal 8 4 8" xfId="1172" xr:uid="{00000000-0005-0000-0000-000094040000}"/>
    <cellStyle name="Normal 8 5" xfId="1173" xr:uid="{00000000-0005-0000-0000-000095040000}"/>
    <cellStyle name="Normal 8 5 2" xfId="1174" xr:uid="{00000000-0005-0000-0000-000096040000}"/>
    <cellStyle name="Normal 8 5 3" xfId="1175" xr:uid="{00000000-0005-0000-0000-000097040000}"/>
    <cellStyle name="Normal 8 5 4" xfId="1176" xr:uid="{00000000-0005-0000-0000-000098040000}"/>
    <cellStyle name="Normal 8 5 5" xfId="1177" xr:uid="{00000000-0005-0000-0000-000099040000}"/>
    <cellStyle name="Normal 8 5 6" xfId="1178" xr:uid="{00000000-0005-0000-0000-00009A040000}"/>
    <cellStyle name="Normal 8 5 7" xfId="1179" xr:uid="{00000000-0005-0000-0000-00009B040000}"/>
    <cellStyle name="Normal 8 5 8" xfId="1180" xr:uid="{00000000-0005-0000-0000-00009C040000}"/>
    <cellStyle name="Normal 8 6" xfId="1181" xr:uid="{00000000-0005-0000-0000-00009D040000}"/>
    <cellStyle name="Normal 8 7" xfId="1182" xr:uid="{00000000-0005-0000-0000-00009E040000}"/>
    <cellStyle name="Normal 8 8" xfId="1183" xr:uid="{00000000-0005-0000-0000-00009F040000}"/>
    <cellStyle name="Normal 8 9" xfId="1184" xr:uid="{00000000-0005-0000-0000-0000A0040000}"/>
    <cellStyle name="Normal 9" xfId="1185" xr:uid="{00000000-0005-0000-0000-0000A1040000}"/>
    <cellStyle name="Normal 9 2" xfId="1186" xr:uid="{00000000-0005-0000-0000-0000A2040000}"/>
    <cellStyle name="Normal 9 3" xfId="1187" xr:uid="{00000000-0005-0000-0000-0000A3040000}"/>
    <cellStyle name="Normal 9 4" xfId="1188" xr:uid="{00000000-0005-0000-0000-0000A4040000}"/>
    <cellStyle name="Normal 9 5" xfId="1189" xr:uid="{00000000-0005-0000-0000-0000A5040000}"/>
    <cellStyle name="Normal 9 6" xfId="1190" xr:uid="{00000000-0005-0000-0000-0000A6040000}"/>
    <cellStyle name="Normal 9 7" xfId="1191" xr:uid="{00000000-0005-0000-0000-0000A7040000}"/>
    <cellStyle name="Normal 9 8" xfId="1192" xr:uid="{00000000-0005-0000-0000-0000A8040000}"/>
    <cellStyle name="Normal_SUBRES_B-NTech-BE" xfId="1193" xr:uid="{00000000-0005-0000-0000-0000A9040000}"/>
    <cellStyle name="Normale_B2020" xfId="1194" xr:uid="{00000000-0005-0000-0000-0000AA040000}"/>
    <cellStyle name="Note 2 10" xfId="1195" xr:uid="{00000000-0005-0000-0000-0000AB040000}"/>
    <cellStyle name="Note 2 11" xfId="1196" xr:uid="{00000000-0005-0000-0000-0000AC040000}"/>
    <cellStyle name="Note 2 12" xfId="1197" xr:uid="{00000000-0005-0000-0000-0000AD040000}"/>
    <cellStyle name="Note 2 13" xfId="1198" xr:uid="{00000000-0005-0000-0000-0000AE040000}"/>
    <cellStyle name="Note 2 14" xfId="1199" xr:uid="{00000000-0005-0000-0000-0000AF040000}"/>
    <cellStyle name="Note 2 15" xfId="1200" xr:uid="{00000000-0005-0000-0000-0000B0040000}"/>
    <cellStyle name="Note 2 2" xfId="1201" xr:uid="{00000000-0005-0000-0000-0000B1040000}"/>
    <cellStyle name="Note 2 3" xfId="1202" xr:uid="{00000000-0005-0000-0000-0000B2040000}"/>
    <cellStyle name="Note 2 4" xfId="1203" xr:uid="{00000000-0005-0000-0000-0000B3040000}"/>
    <cellStyle name="Note 2 5" xfId="1204" xr:uid="{00000000-0005-0000-0000-0000B4040000}"/>
    <cellStyle name="Note 2 6" xfId="1205" xr:uid="{00000000-0005-0000-0000-0000B5040000}"/>
    <cellStyle name="Note 2 7" xfId="1206" xr:uid="{00000000-0005-0000-0000-0000B6040000}"/>
    <cellStyle name="Note 2 8" xfId="1207" xr:uid="{00000000-0005-0000-0000-0000B7040000}"/>
    <cellStyle name="Note 2 9" xfId="1208" xr:uid="{00000000-0005-0000-0000-0000B8040000}"/>
    <cellStyle name="Note 3" xfId="1209" xr:uid="{00000000-0005-0000-0000-0000B9040000}"/>
    <cellStyle name="Note 4" xfId="1210" xr:uid="{00000000-0005-0000-0000-0000BA040000}"/>
    <cellStyle name="Note 5" xfId="1211" xr:uid="{00000000-0005-0000-0000-0000BB040000}"/>
    <cellStyle name="Note 6" xfId="1212" xr:uid="{00000000-0005-0000-0000-0000BC040000}"/>
    <cellStyle name="Note 7" xfId="1213" xr:uid="{00000000-0005-0000-0000-0000BD040000}"/>
    <cellStyle name="Note 8" xfId="1214" xr:uid="{00000000-0005-0000-0000-0000BE040000}"/>
    <cellStyle name="Output 2 10" xfId="1215" xr:uid="{00000000-0005-0000-0000-0000BF040000}"/>
    <cellStyle name="Output 2 2" xfId="1216" xr:uid="{00000000-0005-0000-0000-0000C0040000}"/>
    <cellStyle name="Output 2 3" xfId="1217" xr:uid="{00000000-0005-0000-0000-0000C1040000}"/>
    <cellStyle name="Output 2 4" xfId="1218" xr:uid="{00000000-0005-0000-0000-0000C2040000}"/>
    <cellStyle name="Output 2 5" xfId="1219" xr:uid="{00000000-0005-0000-0000-0000C3040000}"/>
    <cellStyle name="Output 2 6" xfId="1220" xr:uid="{00000000-0005-0000-0000-0000C4040000}"/>
    <cellStyle name="Output 2 7" xfId="1221" xr:uid="{00000000-0005-0000-0000-0000C5040000}"/>
    <cellStyle name="Output 2 8" xfId="1222" xr:uid="{00000000-0005-0000-0000-0000C6040000}"/>
    <cellStyle name="Output 2 9" xfId="1223" xr:uid="{00000000-0005-0000-0000-0000C7040000}"/>
    <cellStyle name="Output 3" xfId="1224" xr:uid="{00000000-0005-0000-0000-0000C8040000}"/>
    <cellStyle name="Percent 10" xfId="1225" xr:uid="{00000000-0005-0000-0000-0000C9040000}"/>
    <cellStyle name="Percent 10 2" xfId="1226" xr:uid="{00000000-0005-0000-0000-0000CA040000}"/>
    <cellStyle name="Percent 10 3" xfId="1227" xr:uid="{00000000-0005-0000-0000-0000CB040000}"/>
    <cellStyle name="Percent 10 4" xfId="1228" xr:uid="{00000000-0005-0000-0000-0000CC040000}"/>
    <cellStyle name="Percent 10 5" xfId="1229" xr:uid="{00000000-0005-0000-0000-0000CD040000}"/>
    <cellStyle name="Percent 10 6" xfId="1230" xr:uid="{00000000-0005-0000-0000-0000CE040000}"/>
    <cellStyle name="Percent 10 7" xfId="1231" xr:uid="{00000000-0005-0000-0000-0000CF040000}"/>
    <cellStyle name="Percent 10 8" xfId="1232" xr:uid="{00000000-0005-0000-0000-0000D0040000}"/>
    <cellStyle name="Percent 11" xfId="1233" xr:uid="{00000000-0005-0000-0000-0000D1040000}"/>
    <cellStyle name="Percent 11 2" xfId="1234" xr:uid="{00000000-0005-0000-0000-0000D2040000}"/>
    <cellStyle name="Percent 11 3" xfId="1235" xr:uid="{00000000-0005-0000-0000-0000D3040000}"/>
    <cellStyle name="Percent 11 4" xfId="1236" xr:uid="{00000000-0005-0000-0000-0000D4040000}"/>
    <cellStyle name="Percent 11 5" xfId="1237" xr:uid="{00000000-0005-0000-0000-0000D5040000}"/>
    <cellStyle name="Percent 11 6" xfId="1238" xr:uid="{00000000-0005-0000-0000-0000D6040000}"/>
    <cellStyle name="Percent 11 7" xfId="1239" xr:uid="{00000000-0005-0000-0000-0000D7040000}"/>
    <cellStyle name="Percent 11 8" xfId="1240" xr:uid="{00000000-0005-0000-0000-0000D8040000}"/>
    <cellStyle name="Percent 12" xfId="1241" xr:uid="{00000000-0005-0000-0000-0000D9040000}"/>
    <cellStyle name="Percent 12 2" xfId="1242" xr:uid="{00000000-0005-0000-0000-0000DA040000}"/>
    <cellStyle name="Percent 12 3" xfId="1243" xr:uid="{00000000-0005-0000-0000-0000DB040000}"/>
    <cellStyle name="Percent 12 4" xfId="1244" xr:uid="{00000000-0005-0000-0000-0000DC040000}"/>
    <cellStyle name="Percent 12 5" xfId="1245" xr:uid="{00000000-0005-0000-0000-0000DD040000}"/>
    <cellStyle name="Percent 12 6" xfId="1246" xr:uid="{00000000-0005-0000-0000-0000DE040000}"/>
    <cellStyle name="Percent 12 7" xfId="1247" xr:uid="{00000000-0005-0000-0000-0000DF040000}"/>
    <cellStyle name="Percent 12 8" xfId="1248" xr:uid="{00000000-0005-0000-0000-0000E0040000}"/>
    <cellStyle name="Percent 13" xfId="1249" xr:uid="{00000000-0005-0000-0000-0000E1040000}"/>
    <cellStyle name="Percent 13 2" xfId="1250" xr:uid="{00000000-0005-0000-0000-0000E2040000}"/>
    <cellStyle name="Percent 13 3" xfId="1251" xr:uid="{00000000-0005-0000-0000-0000E3040000}"/>
    <cellStyle name="Percent 13 4" xfId="1252" xr:uid="{00000000-0005-0000-0000-0000E4040000}"/>
    <cellStyle name="Percent 13 5" xfId="1253" xr:uid="{00000000-0005-0000-0000-0000E5040000}"/>
    <cellStyle name="Percent 13 6" xfId="1254" xr:uid="{00000000-0005-0000-0000-0000E6040000}"/>
    <cellStyle name="Percent 13 7" xfId="1255" xr:uid="{00000000-0005-0000-0000-0000E7040000}"/>
    <cellStyle name="Percent 13 8" xfId="1256" xr:uid="{00000000-0005-0000-0000-0000E8040000}"/>
    <cellStyle name="Percent 14" xfId="1257" xr:uid="{00000000-0005-0000-0000-0000E9040000}"/>
    <cellStyle name="Percent 14 2" xfId="1258" xr:uid="{00000000-0005-0000-0000-0000EA040000}"/>
    <cellStyle name="Percent 14 3" xfId="1259" xr:uid="{00000000-0005-0000-0000-0000EB040000}"/>
    <cellStyle name="Percent 14 4" xfId="1260" xr:uid="{00000000-0005-0000-0000-0000EC040000}"/>
    <cellStyle name="Percent 14 5" xfId="1261" xr:uid="{00000000-0005-0000-0000-0000ED040000}"/>
    <cellStyle name="Percent 14 6" xfId="1262" xr:uid="{00000000-0005-0000-0000-0000EE040000}"/>
    <cellStyle name="Percent 14 7" xfId="1263" xr:uid="{00000000-0005-0000-0000-0000EF040000}"/>
    <cellStyle name="Percent 14 8" xfId="1264" xr:uid="{00000000-0005-0000-0000-0000F0040000}"/>
    <cellStyle name="Percent 15" xfId="1265" xr:uid="{00000000-0005-0000-0000-0000F1040000}"/>
    <cellStyle name="Percent 15 10" xfId="1266" xr:uid="{00000000-0005-0000-0000-0000F2040000}"/>
    <cellStyle name="Percent 15 11" xfId="1267" xr:uid="{00000000-0005-0000-0000-0000F3040000}"/>
    <cellStyle name="Percent 15 12" xfId="1268" xr:uid="{00000000-0005-0000-0000-0000F4040000}"/>
    <cellStyle name="Percent 15 13" xfId="1269" xr:uid="{00000000-0005-0000-0000-0000F5040000}"/>
    <cellStyle name="Percent 15 14" xfId="1270" xr:uid="{00000000-0005-0000-0000-0000F6040000}"/>
    <cellStyle name="Percent 15 2" xfId="1271" xr:uid="{00000000-0005-0000-0000-0000F7040000}"/>
    <cellStyle name="Percent 15 2 2" xfId="1272" xr:uid="{00000000-0005-0000-0000-0000F8040000}"/>
    <cellStyle name="Percent 15 2 3" xfId="1273" xr:uid="{00000000-0005-0000-0000-0000F9040000}"/>
    <cellStyle name="Percent 15 2 4" xfId="1274" xr:uid="{00000000-0005-0000-0000-0000FA040000}"/>
    <cellStyle name="Percent 15 2 5" xfId="1275" xr:uid="{00000000-0005-0000-0000-0000FB040000}"/>
    <cellStyle name="Percent 15 2 6" xfId="1276" xr:uid="{00000000-0005-0000-0000-0000FC040000}"/>
    <cellStyle name="Percent 15 2 7" xfId="1277" xr:uid="{00000000-0005-0000-0000-0000FD040000}"/>
    <cellStyle name="Percent 15 3" xfId="1278" xr:uid="{00000000-0005-0000-0000-0000FE040000}"/>
    <cellStyle name="Percent 15 4" xfId="1279" xr:uid="{00000000-0005-0000-0000-0000FF040000}"/>
    <cellStyle name="Percent 15 5" xfId="1280" xr:uid="{00000000-0005-0000-0000-000000050000}"/>
    <cellStyle name="Percent 15 6" xfId="1281" xr:uid="{00000000-0005-0000-0000-000001050000}"/>
    <cellStyle name="Percent 15 7" xfId="1282" xr:uid="{00000000-0005-0000-0000-000002050000}"/>
    <cellStyle name="Percent 15 8" xfId="1283" xr:uid="{00000000-0005-0000-0000-000003050000}"/>
    <cellStyle name="Percent 15 9" xfId="1284" xr:uid="{00000000-0005-0000-0000-000004050000}"/>
    <cellStyle name="Percent 16 2" xfId="1285" xr:uid="{00000000-0005-0000-0000-000005050000}"/>
    <cellStyle name="Percent 16 3" xfId="1286" xr:uid="{00000000-0005-0000-0000-000006050000}"/>
    <cellStyle name="Percent 16 3 10" xfId="1287" xr:uid="{00000000-0005-0000-0000-000007050000}"/>
    <cellStyle name="Percent 16 3 11" xfId="1288" xr:uid="{00000000-0005-0000-0000-000008050000}"/>
    <cellStyle name="Percent 16 3 12" xfId="1289" xr:uid="{00000000-0005-0000-0000-000009050000}"/>
    <cellStyle name="Percent 16 3 13" xfId="1290" xr:uid="{00000000-0005-0000-0000-00000A050000}"/>
    <cellStyle name="Percent 16 3 14" xfId="1291" xr:uid="{00000000-0005-0000-0000-00000B050000}"/>
    <cellStyle name="Percent 16 3 15" xfId="1292" xr:uid="{00000000-0005-0000-0000-00000C050000}"/>
    <cellStyle name="Percent 16 3 16" xfId="1293" xr:uid="{00000000-0005-0000-0000-00000D050000}"/>
    <cellStyle name="Percent 16 3 17" xfId="1294" xr:uid="{00000000-0005-0000-0000-00000E050000}"/>
    <cellStyle name="Percent 16 3 2" xfId="1295" xr:uid="{00000000-0005-0000-0000-00000F050000}"/>
    <cellStyle name="Percent 16 3 3" xfId="1296" xr:uid="{00000000-0005-0000-0000-000010050000}"/>
    <cellStyle name="Percent 16 3 4" xfId="1297" xr:uid="{00000000-0005-0000-0000-000011050000}"/>
    <cellStyle name="Percent 16 3 5" xfId="1298" xr:uid="{00000000-0005-0000-0000-000012050000}"/>
    <cellStyle name="Percent 16 3 6" xfId="1299" xr:uid="{00000000-0005-0000-0000-000013050000}"/>
    <cellStyle name="Percent 16 3 7" xfId="1300" xr:uid="{00000000-0005-0000-0000-000014050000}"/>
    <cellStyle name="Percent 16 3 8" xfId="1301" xr:uid="{00000000-0005-0000-0000-000015050000}"/>
    <cellStyle name="Percent 16 3 9" xfId="1302" xr:uid="{00000000-0005-0000-0000-000016050000}"/>
    <cellStyle name="Percent 16 4" xfId="1303" xr:uid="{00000000-0005-0000-0000-000017050000}"/>
    <cellStyle name="Percent 16 4 10" xfId="1304" xr:uid="{00000000-0005-0000-0000-000018050000}"/>
    <cellStyle name="Percent 16 4 11" xfId="1305" xr:uid="{00000000-0005-0000-0000-000019050000}"/>
    <cellStyle name="Percent 16 4 12" xfId="1306" xr:uid="{00000000-0005-0000-0000-00001A050000}"/>
    <cellStyle name="Percent 16 4 13" xfId="1307" xr:uid="{00000000-0005-0000-0000-00001B050000}"/>
    <cellStyle name="Percent 16 4 14" xfId="1308" xr:uid="{00000000-0005-0000-0000-00001C050000}"/>
    <cellStyle name="Percent 16 4 15" xfId="1309" xr:uid="{00000000-0005-0000-0000-00001D050000}"/>
    <cellStyle name="Percent 16 4 16" xfId="1310" xr:uid="{00000000-0005-0000-0000-00001E050000}"/>
    <cellStyle name="Percent 16 4 17" xfId="1311" xr:uid="{00000000-0005-0000-0000-00001F050000}"/>
    <cellStyle name="Percent 16 4 2" xfId="1312" xr:uid="{00000000-0005-0000-0000-000020050000}"/>
    <cellStyle name="Percent 16 4 3" xfId="1313" xr:uid="{00000000-0005-0000-0000-000021050000}"/>
    <cellStyle name="Percent 16 4 4" xfId="1314" xr:uid="{00000000-0005-0000-0000-000022050000}"/>
    <cellStyle name="Percent 16 4 5" xfId="1315" xr:uid="{00000000-0005-0000-0000-000023050000}"/>
    <cellStyle name="Percent 16 4 6" xfId="1316" xr:uid="{00000000-0005-0000-0000-000024050000}"/>
    <cellStyle name="Percent 16 4 7" xfId="1317" xr:uid="{00000000-0005-0000-0000-000025050000}"/>
    <cellStyle name="Percent 16 4 8" xfId="1318" xr:uid="{00000000-0005-0000-0000-000026050000}"/>
    <cellStyle name="Percent 16 4 9" xfId="1319" xr:uid="{00000000-0005-0000-0000-000027050000}"/>
    <cellStyle name="Percent 16 5" xfId="1320" xr:uid="{00000000-0005-0000-0000-000028050000}"/>
    <cellStyle name="Percent 16 5 10" xfId="1321" xr:uid="{00000000-0005-0000-0000-000029050000}"/>
    <cellStyle name="Percent 16 5 11" xfId="1322" xr:uid="{00000000-0005-0000-0000-00002A050000}"/>
    <cellStyle name="Percent 16 5 12" xfId="1323" xr:uid="{00000000-0005-0000-0000-00002B050000}"/>
    <cellStyle name="Percent 16 5 13" xfId="1324" xr:uid="{00000000-0005-0000-0000-00002C050000}"/>
    <cellStyle name="Percent 16 5 14" xfId="1325" xr:uid="{00000000-0005-0000-0000-00002D050000}"/>
    <cellStyle name="Percent 16 5 15" xfId="1326" xr:uid="{00000000-0005-0000-0000-00002E050000}"/>
    <cellStyle name="Percent 16 5 16" xfId="1327" xr:uid="{00000000-0005-0000-0000-00002F050000}"/>
    <cellStyle name="Percent 16 5 17" xfId="1328" xr:uid="{00000000-0005-0000-0000-000030050000}"/>
    <cellStyle name="Percent 16 5 2" xfId="1329" xr:uid="{00000000-0005-0000-0000-000031050000}"/>
    <cellStyle name="Percent 16 5 3" xfId="1330" xr:uid="{00000000-0005-0000-0000-000032050000}"/>
    <cellStyle name="Percent 16 5 4" xfId="1331" xr:uid="{00000000-0005-0000-0000-000033050000}"/>
    <cellStyle name="Percent 16 5 5" xfId="1332" xr:uid="{00000000-0005-0000-0000-000034050000}"/>
    <cellStyle name="Percent 16 5 6" xfId="1333" xr:uid="{00000000-0005-0000-0000-000035050000}"/>
    <cellStyle name="Percent 16 5 7" xfId="1334" xr:uid="{00000000-0005-0000-0000-000036050000}"/>
    <cellStyle name="Percent 16 5 8" xfId="1335" xr:uid="{00000000-0005-0000-0000-000037050000}"/>
    <cellStyle name="Percent 16 5 9" xfId="1336" xr:uid="{00000000-0005-0000-0000-000038050000}"/>
    <cellStyle name="Percent 16 6" xfId="1337" xr:uid="{00000000-0005-0000-0000-000039050000}"/>
    <cellStyle name="Percent 16 6 10" xfId="1338" xr:uid="{00000000-0005-0000-0000-00003A050000}"/>
    <cellStyle name="Percent 16 6 11" xfId="1339" xr:uid="{00000000-0005-0000-0000-00003B050000}"/>
    <cellStyle name="Percent 16 6 12" xfId="1340" xr:uid="{00000000-0005-0000-0000-00003C050000}"/>
    <cellStyle name="Percent 16 6 13" xfId="1341" xr:uid="{00000000-0005-0000-0000-00003D050000}"/>
    <cellStyle name="Percent 16 6 14" xfId="1342" xr:uid="{00000000-0005-0000-0000-00003E050000}"/>
    <cellStyle name="Percent 16 6 15" xfId="1343" xr:uid="{00000000-0005-0000-0000-00003F050000}"/>
    <cellStyle name="Percent 16 6 16" xfId="1344" xr:uid="{00000000-0005-0000-0000-000040050000}"/>
    <cellStyle name="Percent 16 6 17" xfId="1345" xr:uid="{00000000-0005-0000-0000-000041050000}"/>
    <cellStyle name="Percent 16 6 2" xfId="1346" xr:uid="{00000000-0005-0000-0000-000042050000}"/>
    <cellStyle name="Percent 16 6 3" xfId="1347" xr:uid="{00000000-0005-0000-0000-000043050000}"/>
    <cellStyle name="Percent 16 6 4" xfId="1348" xr:uid="{00000000-0005-0000-0000-000044050000}"/>
    <cellStyle name="Percent 16 6 5" xfId="1349" xr:uid="{00000000-0005-0000-0000-000045050000}"/>
    <cellStyle name="Percent 16 6 6" xfId="1350" xr:uid="{00000000-0005-0000-0000-000046050000}"/>
    <cellStyle name="Percent 16 6 7" xfId="1351" xr:uid="{00000000-0005-0000-0000-000047050000}"/>
    <cellStyle name="Percent 16 6 8" xfId="1352" xr:uid="{00000000-0005-0000-0000-000048050000}"/>
    <cellStyle name="Percent 16 6 9" xfId="1353" xr:uid="{00000000-0005-0000-0000-000049050000}"/>
    <cellStyle name="Percent 16 7" xfId="1354" xr:uid="{00000000-0005-0000-0000-00004A050000}"/>
    <cellStyle name="Percent 16 7 10" xfId="1355" xr:uid="{00000000-0005-0000-0000-00004B050000}"/>
    <cellStyle name="Percent 16 7 11" xfId="1356" xr:uid="{00000000-0005-0000-0000-00004C050000}"/>
    <cellStyle name="Percent 16 7 12" xfId="1357" xr:uid="{00000000-0005-0000-0000-00004D050000}"/>
    <cellStyle name="Percent 16 7 13" xfId="1358" xr:uid="{00000000-0005-0000-0000-00004E050000}"/>
    <cellStyle name="Percent 16 7 14" xfId="1359" xr:uid="{00000000-0005-0000-0000-00004F050000}"/>
    <cellStyle name="Percent 16 7 15" xfId="1360" xr:uid="{00000000-0005-0000-0000-000050050000}"/>
    <cellStyle name="Percent 16 7 16" xfId="1361" xr:uid="{00000000-0005-0000-0000-000051050000}"/>
    <cellStyle name="Percent 16 7 17" xfId="1362" xr:uid="{00000000-0005-0000-0000-000052050000}"/>
    <cellStyle name="Percent 16 7 2" xfId="1363" xr:uid="{00000000-0005-0000-0000-000053050000}"/>
    <cellStyle name="Percent 16 7 3" xfId="1364" xr:uid="{00000000-0005-0000-0000-000054050000}"/>
    <cellStyle name="Percent 16 7 4" xfId="1365" xr:uid="{00000000-0005-0000-0000-000055050000}"/>
    <cellStyle name="Percent 16 7 5" xfId="1366" xr:uid="{00000000-0005-0000-0000-000056050000}"/>
    <cellStyle name="Percent 16 7 6" xfId="1367" xr:uid="{00000000-0005-0000-0000-000057050000}"/>
    <cellStyle name="Percent 16 7 7" xfId="1368" xr:uid="{00000000-0005-0000-0000-000058050000}"/>
    <cellStyle name="Percent 16 7 8" xfId="1369" xr:uid="{00000000-0005-0000-0000-000059050000}"/>
    <cellStyle name="Percent 16 7 9" xfId="1370" xr:uid="{00000000-0005-0000-0000-00005A050000}"/>
    <cellStyle name="Percent 16 8" xfId="1371" xr:uid="{00000000-0005-0000-0000-00005B050000}"/>
    <cellStyle name="Percent 16 8 10" xfId="1372" xr:uid="{00000000-0005-0000-0000-00005C050000}"/>
    <cellStyle name="Percent 16 8 11" xfId="1373" xr:uid="{00000000-0005-0000-0000-00005D050000}"/>
    <cellStyle name="Percent 16 8 12" xfId="1374" xr:uid="{00000000-0005-0000-0000-00005E050000}"/>
    <cellStyle name="Percent 16 8 13" xfId="1375" xr:uid="{00000000-0005-0000-0000-00005F050000}"/>
    <cellStyle name="Percent 16 8 14" xfId="1376" xr:uid="{00000000-0005-0000-0000-000060050000}"/>
    <cellStyle name="Percent 16 8 15" xfId="1377" xr:uid="{00000000-0005-0000-0000-000061050000}"/>
    <cellStyle name="Percent 16 8 16" xfId="1378" xr:uid="{00000000-0005-0000-0000-000062050000}"/>
    <cellStyle name="Percent 16 8 17" xfId="1379" xr:uid="{00000000-0005-0000-0000-000063050000}"/>
    <cellStyle name="Percent 16 8 2" xfId="1380" xr:uid="{00000000-0005-0000-0000-000064050000}"/>
    <cellStyle name="Percent 16 8 3" xfId="1381" xr:uid="{00000000-0005-0000-0000-000065050000}"/>
    <cellStyle name="Percent 16 8 4" xfId="1382" xr:uid="{00000000-0005-0000-0000-000066050000}"/>
    <cellStyle name="Percent 16 8 5" xfId="1383" xr:uid="{00000000-0005-0000-0000-000067050000}"/>
    <cellStyle name="Percent 16 8 6" xfId="1384" xr:uid="{00000000-0005-0000-0000-000068050000}"/>
    <cellStyle name="Percent 16 8 7" xfId="1385" xr:uid="{00000000-0005-0000-0000-000069050000}"/>
    <cellStyle name="Percent 16 8 8" xfId="1386" xr:uid="{00000000-0005-0000-0000-00006A050000}"/>
    <cellStyle name="Percent 16 8 9" xfId="1387" xr:uid="{00000000-0005-0000-0000-00006B050000}"/>
    <cellStyle name="Percent 16 9" xfId="1388" xr:uid="{00000000-0005-0000-0000-00006C050000}"/>
    <cellStyle name="Percent 16 9 10" xfId="1389" xr:uid="{00000000-0005-0000-0000-00006D050000}"/>
    <cellStyle name="Percent 16 9 11" xfId="1390" xr:uid="{00000000-0005-0000-0000-00006E050000}"/>
    <cellStyle name="Percent 16 9 12" xfId="1391" xr:uid="{00000000-0005-0000-0000-00006F050000}"/>
    <cellStyle name="Percent 16 9 13" xfId="1392" xr:uid="{00000000-0005-0000-0000-000070050000}"/>
    <cellStyle name="Percent 16 9 14" xfId="1393" xr:uid="{00000000-0005-0000-0000-000071050000}"/>
    <cellStyle name="Percent 16 9 15" xfId="1394" xr:uid="{00000000-0005-0000-0000-000072050000}"/>
    <cellStyle name="Percent 16 9 16" xfId="1395" xr:uid="{00000000-0005-0000-0000-000073050000}"/>
    <cellStyle name="Percent 16 9 17" xfId="1396" xr:uid="{00000000-0005-0000-0000-000074050000}"/>
    <cellStyle name="Percent 16 9 2" xfId="1397" xr:uid="{00000000-0005-0000-0000-000075050000}"/>
    <cellStyle name="Percent 16 9 3" xfId="1398" xr:uid="{00000000-0005-0000-0000-000076050000}"/>
    <cellStyle name="Percent 16 9 4" xfId="1399" xr:uid="{00000000-0005-0000-0000-000077050000}"/>
    <cellStyle name="Percent 16 9 5" xfId="1400" xr:uid="{00000000-0005-0000-0000-000078050000}"/>
    <cellStyle name="Percent 16 9 6" xfId="1401" xr:uid="{00000000-0005-0000-0000-000079050000}"/>
    <cellStyle name="Percent 16 9 7" xfId="1402" xr:uid="{00000000-0005-0000-0000-00007A050000}"/>
    <cellStyle name="Percent 16 9 8" xfId="1403" xr:uid="{00000000-0005-0000-0000-00007B050000}"/>
    <cellStyle name="Percent 16 9 9" xfId="1404" xr:uid="{00000000-0005-0000-0000-00007C050000}"/>
    <cellStyle name="Percent 17" xfId="1405" xr:uid="{00000000-0005-0000-0000-00007D050000}"/>
    <cellStyle name="Percent 2 10" xfId="1406" xr:uid="{00000000-0005-0000-0000-00007E050000}"/>
    <cellStyle name="Percent 2 10 2" xfId="1407" xr:uid="{00000000-0005-0000-0000-00007F050000}"/>
    <cellStyle name="Percent 2 10 3" xfId="1408" xr:uid="{00000000-0005-0000-0000-000080050000}"/>
    <cellStyle name="Percent 2 10 4" xfId="1409" xr:uid="{00000000-0005-0000-0000-000081050000}"/>
    <cellStyle name="Percent 2 10 5" xfId="1410" xr:uid="{00000000-0005-0000-0000-000082050000}"/>
    <cellStyle name="Percent 2 10 6" xfId="1411" xr:uid="{00000000-0005-0000-0000-000083050000}"/>
    <cellStyle name="Percent 2 10 7" xfId="1412" xr:uid="{00000000-0005-0000-0000-000084050000}"/>
    <cellStyle name="Percent 2 10 8" xfId="1413" xr:uid="{00000000-0005-0000-0000-000085050000}"/>
    <cellStyle name="Percent 2 11" xfId="1414" xr:uid="{00000000-0005-0000-0000-000086050000}"/>
    <cellStyle name="Percent 2 11 2" xfId="1415" xr:uid="{00000000-0005-0000-0000-000087050000}"/>
    <cellStyle name="Percent 2 11 3" xfId="1416" xr:uid="{00000000-0005-0000-0000-000088050000}"/>
    <cellStyle name="Percent 2 11 4" xfId="1417" xr:uid="{00000000-0005-0000-0000-000089050000}"/>
    <cellStyle name="Percent 2 11 5" xfId="1418" xr:uid="{00000000-0005-0000-0000-00008A050000}"/>
    <cellStyle name="Percent 2 11 6" xfId="1419" xr:uid="{00000000-0005-0000-0000-00008B050000}"/>
    <cellStyle name="Percent 2 11 7" xfId="1420" xr:uid="{00000000-0005-0000-0000-00008C050000}"/>
    <cellStyle name="Percent 2 11 8" xfId="1421" xr:uid="{00000000-0005-0000-0000-00008D050000}"/>
    <cellStyle name="Percent 2 12" xfId="1422" xr:uid="{00000000-0005-0000-0000-00008E050000}"/>
    <cellStyle name="Percent 2 13" xfId="1423" xr:uid="{00000000-0005-0000-0000-00008F050000}"/>
    <cellStyle name="Percent 2 14" xfId="1424" xr:uid="{00000000-0005-0000-0000-000090050000}"/>
    <cellStyle name="Percent 2 15" xfId="1425" xr:uid="{00000000-0005-0000-0000-000091050000}"/>
    <cellStyle name="Percent 2 16" xfId="1426" xr:uid="{00000000-0005-0000-0000-000092050000}"/>
    <cellStyle name="Percent 2 17" xfId="1427" xr:uid="{00000000-0005-0000-0000-000093050000}"/>
    <cellStyle name="Percent 2 18" xfId="1428" xr:uid="{00000000-0005-0000-0000-000094050000}"/>
    <cellStyle name="Percent 2 2" xfId="1429" xr:uid="{00000000-0005-0000-0000-000095050000}"/>
    <cellStyle name="Percent 2 2 2" xfId="1430" xr:uid="{00000000-0005-0000-0000-000096050000}"/>
    <cellStyle name="Percent 2 2 3" xfId="1431" xr:uid="{00000000-0005-0000-0000-000097050000}"/>
    <cellStyle name="Percent 2 2 4" xfId="1432" xr:uid="{00000000-0005-0000-0000-000098050000}"/>
    <cellStyle name="Percent 2 2 5" xfId="1433" xr:uid="{00000000-0005-0000-0000-000099050000}"/>
    <cellStyle name="Percent 2 2 6" xfId="1434" xr:uid="{00000000-0005-0000-0000-00009A050000}"/>
    <cellStyle name="Percent 2 2 7" xfId="1435" xr:uid="{00000000-0005-0000-0000-00009B050000}"/>
    <cellStyle name="Percent 2 2 8" xfId="1436" xr:uid="{00000000-0005-0000-0000-00009C050000}"/>
    <cellStyle name="Percent 2 3" xfId="1437" xr:uid="{00000000-0005-0000-0000-00009D050000}"/>
    <cellStyle name="Percent 2 3 2" xfId="1438" xr:uid="{00000000-0005-0000-0000-00009E050000}"/>
    <cellStyle name="Percent 2 3 3" xfId="1439" xr:uid="{00000000-0005-0000-0000-00009F050000}"/>
    <cellStyle name="Percent 2 3 4" xfId="1440" xr:uid="{00000000-0005-0000-0000-0000A0050000}"/>
    <cellStyle name="Percent 2 3 5" xfId="1441" xr:uid="{00000000-0005-0000-0000-0000A1050000}"/>
    <cellStyle name="Percent 2 3 6" xfId="1442" xr:uid="{00000000-0005-0000-0000-0000A2050000}"/>
    <cellStyle name="Percent 2 3 7" xfId="1443" xr:uid="{00000000-0005-0000-0000-0000A3050000}"/>
    <cellStyle name="Percent 2 3 8" xfId="1444" xr:uid="{00000000-0005-0000-0000-0000A4050000}"/>
    <cellStyle name="Percent 2 4" xfId="1445" xr:uid="{00000000-0005-0000-0000-0000A5050000}"/>
    <cellStyle name="Percent 2 4 2" xfId="1446" xr:uid="{00000000-0005-0000-0000-0000A6050000}"/>
    <cellStyle name="Percent 2 4 3" xfId="1447" xr:uid="{00000000-0005-0000-0000-0000A7050000}"/>
    <cellStyle name="Percent 2 4 4" xfId="1448" xr:uid="{00000000-0005-0000-0000-0000A8050000}"/>
    <cellStyle name="Percent 2 4 5" xfId="1449" xr:uid="{00000000-0005-0000-0000-0000A9050000}"/>
    <cellStyle name="Percent 2 4 6" xfId="1450" xr:uid="{00000000-0005-0000-0000-0000AA050000}"/>
    <cellStyle name="Percent 2 4 7" xfId="1451" xr:uid="{00000000-0005-0000-0000-0000AB050000}"/>
    <cellStyle name="Percent 2 4 8" xfId="1452" xr:uid="{00000000-0005-0000-0000-0000AC050000}"/>
    <cellStyle name="Percent 2 5" xfId="1453" xr:uid="{00000000-0005-0000-0000-0000AD050000}"/>
    <cellStyle name="Percent 2 5 2" xfId="1454" xr:uid="{00000000-0005-0000-0000-0000AE050000}"/>
    <cellStyle name="Percent 2 5 3" xfId="1455" xr:uid="{00000000-0005-0000-0000-0000AF050000}"/>
    <cellStyle name="Percent 2 5 4" xfId="1456" xr:uid="{00000000-0005-0000-0000-0000B0050000}"/>
    <cellStyle name="Percent 2 5 5" xfId="1457" xr:uid="{00000000-0005-0000-0000-0000B1050000}"/>
    <cellStyle name="Percent 2 5 6" xfId="1458" xr:uid="{00000000-0005-0000-0000-0000B2050000}"/>
    <cellStyle name="Percent 2 5 7" xfId="1459" xr:uid="{00000000-0005-0000-0000-0000B3050000}"/>
    <cellStyle name="Percent 2 5 8" xfId="1460" xr:uid="{00000000-0005-0000-0000-0000B4050000}"/>
    <cellStyle name="Percent 2 6" xfId="1461" xr:uid="{00000000-0005-0000-0000-0000B5050000}"/>
    <cellStyle name="Percent 2 6 2" xfId="1462" xr:uid="{00000000-0005-0000-0000-0000B6050000}"/>
    <cellStyle name="Percent 2 6 3" xfId="1463" xr:uid="{00000000-0005-0000-0000-0000B7050000}"/>
    <cellStyle name="Percent 2 6 4" xfId="1464" xr:uid="{00000000-0005-0000-0000-0000B8050000}"/>
    <cellStyle name="Percent 2 6 5" xfId="1465" xr:uid="{00000000-0005-0000-0000-0000B9050000}"/>
    <cellStyle name="Percent 2 6 6" xfId="1466" xr:uid="{00000000-0005-0000-0000-0000BA050000}"/>
    <cellStyle name="Percent 2 6 7" xfId="1467" xr:uid="{00000000-0005-0000-0000-0000BB050000}"/>
    <cellStyle name="Percent 2 6 8" xfId="1468" xr:uid="{00000000-0005-0000-0000-0000BC050000}"/>
    <cellStyle name="Percent 2 7" xfId="1469" xr:uid="{00000000-0005-0000-0000-0000BD050000}"/>
    <cellStyle name="Percent 2 7 2" xfId="1470" xr:uid="{00000000-0005-0000-0000-0000BE050000}"/>
    <cellStyle name="Percent 2 7 3" xfId="1471" xr:uid="{00000000-0005-0000-0000-0000BF050000}"/>
    <cellStyle name="Percent 2 7 4" xfId="1472" xr:uid="{00000000-0005-0000-0000-0000C0050000}"/>
    <cellStyle name="Percent 2 7 5" xfId="1473" xr:uid="{00000000-0005-0000-0000-0000C1050000}"/>
    <cellStyle name="Percent 2 7 6" xfId="1474" xr:uid="{00000000-0005-0000-0000-0000C2050000}"/>
    <cellStyle name="Percent 2 7 7" xfId="1475" xr:uid="{00000000-0005-0000-0000-0000C3050000}"/>
    <cellStyle name="Percent 2 7 8" xfId="1476" xr:uid="{00000000-0005-0000-0000-0000C4050000}"/>
    <cellStyle name="Percent 2 8" xfId="1477" xr:uid="{00000000-0005-0000-0000-0000C5050000}"/>
    <cellStyle name="Percent 2 8 2" xfId="1478" xr:uid="{00000000-0005-0000-0000-0000C6050000}"/>
    <cellStyle name="Percent 2 8 3" xfId="1479" xr:uid="{00000000-0005-0000-0000-0000C7050000}"/>
    <cellStyle name="Percent 2 8 4" xfId="1480" xr:uid="{00000000-0005-0000-0000-0000C8050000}"/>
    <cellStyle name="Percent 2 8 5" xfId="1481" xr:uid="{00000000-0005-0000-0000-0000C9050000}"/>
    <cellStyle name="Percent 2 8 6" xfId="1482" xr:uid="{00000000-0005-0000-0000-0000CA050000}"/>
    <cellStyle name="Percent 2 8 7" xfId="1483" xr:uid="{00000000-0005-0000-0000-0000CB050000}"/>
    <cellStyle name="Percent 2 8 8" xfId="1484" xr:uid="{00000000-0005-0000-0000-0000CC050000}"/>
    <cellStyle name="Percent 2 9" xfId="1485" xr:uid="{00000000-0005-0000-0000-0000CD050000}"/>
    <cellStyle name="Percent 2 9 2" xfId="1486" xr:uid="{00000000-0005-0000-0000-0000CE050000}"/>
    <cellStyle name="Percent 2 9 3" xfId="1487" xr:uid="{00000000-0005-0000-0000-0000CF050000}"/>
    <cellStyle name="Percent 2 9 4" xfId="1488" xr:uid="{00000000-0005-0000-0000-0000D0050000}"/>
    <cellStyle name="Percent 2 9 5" xfId="1489" xr:uid="{00000000-0005-0000-0000-0000D1050000}"/>
    <cellStyle name="Percent 2 9 6" xfId="1490" xr:uid="{00000000-0005-0000-0000-0000D2050000}"/>
    <cellStyle name="Percent 2 9 7" xfId="1491" xr:uid="{00000000-0005-0000-0000-0000D3050000}"/>
    <cellStyle name="Percent 2 9 8" xfId="1492" xr:uid="{00000000-0005-0000-0000-0000D4050000}"/>
    <cellStyle name="Percent 3 2" xfId="1493" xr:uid="{00000000-0005-0000-0000-0000D5050000}"/>
    <cellStyle name="Percent 3 3" xfId="1494" xr:uid="{00000000-0005-0000-0000-0000D6050000}"/>
    <cellStyle name="Percent 3 4" xfId="1495" xr:uid="{00000000-0005-0000-0000-0000D7050000}"/>
    <cellStyle name="Percent 3 5" xfId="1496" xr:uid="{00000000-0005-0000-0000-0000D8050000}"/>
    <cellStyle name="Percent 3 6" xfId="1497" xr:uid="{00000000-0005-0000-0000-0000D9050000}"/>
    <cellStyle name="Percent 3 7" xfId="1498" xr:uid="{00000000-0005-0000-0000-0000DA050000}"/>
    <cellStyle name="Percent 3 8" xfId="1499" xr:uid="{00000000-0005-0000-0000-0000DB050000}"/>
    <cellStyle name="Percent 4" xfId="1500" xr:uid="{00000000-0005-0000-0000-0000DC050000}"/>
    <cellStyle name="Percent 4 10" xfId="1501" xr:uid="{00000000-0005-0000-0000-0000DD050000}"/>
    <cellStyle name="Percent 4 11" xfId="1502" xr:uid="{00000000-0005-0000-0000-0000DE050000}"/>
    <cellStyle name="Percent 4 12" xfId="1503" xr:uid="{00000000-0005-0000-0000-0000DF050000}"/>
    <cellStyle name="Percent 4 13" xfId="1504" xr:uid="{00000000-0005-0000-0000-0000E0050000}"/>
    <cellStyle name="Percent 4 2" xfId="1505" xr:uid="{00000000-0005-0000-0000-0000E1050000}"/>
    <cellStyle name="Percent 4 2 2" xfId="1506" xr:uid="{00000000-0005-0000-0000-0000E2050000}"/>
    <cellStyle name="Percent 4 2 3" xfId="1507" xr:uid="{00000000-0005-0000-0000-0000E3050000}"/>
    <cellStyle name="Percent 4 2 4" xfId="1508" xr:uid="{00000000-0005-0000-0000-0000E4050000}"/>
    <cellStyle name="Percent 4 2 5" xfId="1509" xr:uid="{00000000-0005-0000-0000-0000E5050000}"/>
    <cellStyle name="Percent 4 2 6" xfId="1510" xr:uid="{00000000-0005-0000-0000-0000E6050000}"/>
    <cellStyle name="Percent 4 2 7" xfId="1511" xr:uid="{00000000-0005-0000-0000-0000E7050000}"/>
    <cellStyle name="Percent 4 2 8" xfId="1512" xr:uid="{00000000-0005-0000-0000-0000E8050000}"/>
    <cellStyle name="Percent 4 3" xfId="1513" xr:uid="{00000000-0005-0000-0000-0000E9050000}"/>
    <cellStyle name="Percent 4 3 2" xfId="1514" xr:uid="{00000000-0005-0000-0000-0000EA050000}"/>
    <cellStyle name="Percent 4 3 3" xfId="1515" xr:uid="{00000000-0005-0000-0000-0000EB050000}"/>
    <cellStyle name="Percent 4 3 4" xfId="1516" xr:uid="{00000000-0005-0000-0000-0000EC050000}"/>
    <cellStyle name="Percent 4 3 5" xfId="1517" xr:uid="{00000000-0005-0000-0000-0000ED050000}"/>
    <cellStyle name="Percent 4 3 6" xfId="1518" xr:uid="{00000000-0005-0000-0000-0000EE050000}"/>
    <cellStyle name="Percent 4 3 7" xfId="1519" xr:uid="{00000000-0005-0000-0000-0000EF050000}"/>
    <cellStyle name="Percent 4 3 8" xfId="1520" xr:uid="{00000000-0005-0000-0000-0000F0050000}"/>
    <cellStyle name="Percent 4 4" xfId="1521" xr:uid="{00000000-0005-0000-0000-0000F1050000}"/>
    <cellStyle name="Percent 4 4 2" xfId="1522" xr:uid="{00000000-0005-0000-0000-0000F2050000}"/>
    <cellStyle name="Percent 4 4 3" xfId="1523" xr:uid="{00000000-0005-0000-0000-0000F3050000}"/>
    <cellStyle name="Percent 4 4 4" xfId="1524" xr:uid="{00000000-0005-0000-0000-0000F4050000}"/>
    <cellStyle name="Percent 4 4 5" xfId="1525" xr:uid="{00000000-0005-0000-0000-0000F5050000}"/>
    <cellStyle name="Percent 4 4 6" xfId="1526" xr:uid="{00000000-0005-0000-0000-0000F6050000}"/>
    <cellStyle name="Percent 4 4 7" xfId="1527" xr:uid="{00000000-0005-0000-0000-0000F7050000}"/>
    <cellStyle name="Percent 4 4 8" xfId="1528" xr:uid="{00000000-0005-0000-0000-0000F8050000}"/>
    <cellStyle name="Percent 4 5" xfId="1529" xr:uid="{00000000-0005-0000-0000-0000F9050000}"/>
    <cellStyle name="Percent 4 5 2" xfId="1530" xr:uid="{00000000-0005-0000-0000-0000FA050000}"/>
    <cellStyle name="Percent 4 5 3" xfId="1531" xr:uid="{00000000-0005-0000-0000-0000FB050000}"/>
    <cellStyle name="Percent 4 5 4" xfId="1532" xr:uid="{00000000-0005-0000-0000-0000FC050000}"/>
    <cellStyle name="Percent 4 5 5" xfId="1533" xr:uid="{00000000-0005-0000-0000-0000FD050000}"/>
    <cellStyle name="Percent 4 5 6" xfId="1534" xr:uid="{00000000-0005-0000-0000-0000FE050000}"/>
    <cellStyle name="Percent 4 5 7" xfId="1535" xr:uid="{00000000-0005-0000-0000-0000FF050000}"/>
    <cellStyle name="Percent 4 5 8" xfId="1536" xr:uid="{00000000-0005-0000-0000-000000060000}"/>
    <cellStyle name="Percent 4 6" xfId="1537" xr:uid="{00000000-0005-0000-0000-000001060000}"/>
    <cellStyle name="Percent 4 6 2" xfId="1538" xr:uid="{00000000-0005-0000-0000-000002060000}"/>
    <cellStyle name="Percent 4 6 3" xfId="1539" xr:uid="{00000000-0005-0000-0000-000003060000}"/>
    <cellStyle name="Percent 4 6 4" xfId="1540" xr:uid="{00000000-0005-0000-0000-000004060000}"/>
    <cellStyle name="Percent 4 6 5" xfId="1541" xr:uid="{00000000-0005-0000-0000-000005060000}"/>
    <cellStyle name="Percent 4 6 6" xfId="1542" xr:uid="{00000000-0005-0000-0000-000006060000}"/>
    <cellStyle name="Percent 4 6 7" xfId="1543" xr:uid="{00000000-0005-0000-0000-000007060000}"/>
    <cellStyle name="Percent 4 6 8" xfId="1544" xr:uid="{00000000-0005-0000-0000-000008060000}"/>
    <cellStyle name="Percent 4 7" xfId="1545" xr:uid="{00000000-0005-0000-0000-000009060000}"/>
    <cellStyle name="Percent 4 8" xfId="1546" xr:uid="{00000000-0005-0000-0000-00000A060000}"/>
    <cellStyle name="Percent 4 9" xfId="1547" xr:uid="{00000000-0005-0000-0000-00000B060000}"/>
    <cellStyle name="Percent 5" xfId="1548" xr:uid="{00000000-0005-0000-0000-00000C060000}"/>
    <cellStyle name="Percent 5 2" xfId="1549" xr:uid="{00000000-0005-0000-0000-00000D060000}"/>
    <cellStyle name="Percent 5 3" xfId="1550" xr:uid="{00000000-0005-0000-0000-00000E060000}"/>
    <cellStyle name="Percent 5 4" xfId="1551" xr:uid="{00000000-0005-0000-0000-00000F060000}"/>
    <cellStyle name="Percent 5 5" xfId="1552" xr:uid="{00000000-0005-0000-0000-000010060000}"/>
    <cellStyle name="Percent 5 6" xfId="1553" xr:uid="{00000000-0005-0000-0000-000011060000}"/>
    <cellStyle name="Percent 5 7" xfId="1554" xr:uid="{00000000-0005-0000-0000-000012060000}"/>
    <cellStyle name="Percent 5 8" xfId="1555" xr:uid="{00000000-0005-0000-0000-000013060000}"/>
    <cellStyle name="Percent 6" xfId="1556" xr:uid="{00000000-0005-0000-0000-000014060000}"/>
    <cellStyle name="Percent 6 2" xfId="1557" xr:uid="{00000000-0005-0000-0000-000015060000}"/>
    <cellStyle name="Percent 6 3" xfId="1558" xr:uid="{00000000-0005-0000-0000-000016060000}"/>
    <cellStyle name="Percent 6 4" xfId="1559" xr:uid="{00000000-0005-0000-0000-000017060000}"/>
    <cellStyle name="Percent 6 5" xfId="1560" xr:uid="{00000000-0005-0000-0000-000018060000}"/>
    <cellStyle name="Percent 6 6" xfId="1561" xr:uid="{00000000-0005-0000-0000-000019060000}"/>
    <cellStyle name="Percent 6 7" xfId="1562" xr:uid="{00000000-0005-0000-0000-00001A060000}"/>
    <cellStyle name="Percent 6 8" xfId="1563" xr:uid="{00000000-0005-0000-0000-00001B060000}"/>
    <cellStyle name="Percent 7" xfId="1564" xr:uid="{00000000-0005-0000-0000-00001C060000}"/>
    <cellStyle name="Percent 7 2" xfId="1565" xr:uid="{00000000-0005-0000-0000-00001D060000}"/>
    <cellStyle name="Percent 7 3" xfId="1566" xr:uid="{00000000-0005-0000-0000-00001E060000}"/>
    <cellStyle name="Percent 7 4" xfId="1567" xr:uid="{00000000-0005-0000-0000-00001F060000}"/>
    <cellStyle name="Percent 7 5" xfId="1568" xr:uid="{00000000-0005-0000-0000-000020060000}"/>
    <cellStyle name="Percent 7 6" xfId="1569" xr:uid="{00000000-0005-0000-0000-000021060000}"/>
    <cellStyle name="Percent 7 7" xfId="1570" xr:uid="{00000000-0005-0000-0000-000022060000}"/>
    <cellStyle name="Percent 7 8" xfId="1571" xr:uid="{00000000-0005-0000-0000-000023060000}"/>
    <cellStyle name="Percent 8" xfId="1572" xr:uid="{00000000-0005-0000-0000-000024060000}"/>
    <cellStyle name="Percent 8 2" xfId="1573" xr:uid="{00000000-0005-0000-0000-000025060000}"/>
    <cellStyle name="Percent 8 3" xfId="1574" xr:uid="{00000000-0005-0000-0000-000026060000}"/>
    <cellStyle name="Percent 8 4" xfId="1575" xr:uid="{00000000-0005-0000-0000-000027060000}"/>
    <cellStyle name="Percent 8 5" xfId="1576" xr:uid="{00000000-0005-0000-0000-000028060000}"/>
    <cellStyle name="Percent 8 6" xfId="1577" xr:uid="{00000000-0005-0000-0000-000029060000}"/>
    <cellStyle name="Percent 8 7" xfId="1578" xr:uid="{00000000-0005-0000-0000-00002A060000}"/>
    <cellStyle name="Percent 8 8" xfId="1579" xr:uid="{00000000-0005-0000-0000-00002B060000}"/>
    <cellStyle name="Percent 9" xfId="1580" xr:uid="{00000000-0005-0000-0000-00002C060000}"/>
    <cellStyle name="Percent 9 2" xfId="1581" xr:uid="{00000000-0005-0000-0000-00002D060000}"/>
    <cellStyle name="Percent 9 3" xfId="1582" xr:uid="{00000000-0005-0000-0000-00002E060000}"/>
    <cellStyle name="Percent 9 4" xfId="1583" xr:uid="{00000000-0005-0000-0000-00002F060000}"/>
    <cellStyle name="Percent 9 5" xfId="1584" xr:uid="{00000000-0005-0000-0000-000030060000}"/>
    <cellStyle name="Percent 9 6" xfId="1585" xr:uid="{00000000-0005-0000-0000-000031060000}"/>
    <cellStyle name="Percent 9 7" xfId="1586" xr:uid="{00000000-0005-0000-0000-000032060000}"/>
    <cellStyle name="Percent 9 8" xfId="1587" xr:uid="{00000000-0005-0000-0000-000033060000}"/>
    <cellStyle name="Standard_Sce_D_Extraction" xfId="1588" xr:uid="{00000000-0005-0000-0000-000034060000}"/>
    <cellStyle name="Title 2 10" xfId="1589" xr:uid="{00000000-0005-0000-0000-000035060000}"/>
    <cellStyle name="Title 2 2" xfId="1590" xr:uid="{00000000-0005-0000-0000-000036060000}"/>
    <cellStyle name="Title 2 3" xfId="1591" xr:uid="{00000000-0005-0000-0000-000037060000}"/>
    <cellStyle name="Title 2 4" xfId="1592" xr:uid="{00000000-0005-0000-0000-000038060000}"/>
    <cellStyle name="Title 2 5" xfId="1593" xr:uid="{00000000-0005-0000-0000-000039060000}"/>
    <cellStyle name="Title 2 6" xfId="1594" xr:uid="{00000000-0005-0000-0000-00003A060000}"/>
    <cellStyle name="Title 2 7" xfId="1595" xr:uid="{00000000-0005-0000-0000-00003B060000}"/>
    <cellStyle name="Title 2 8" xfId="1596" xr:uid="{00000000-0005-0000-0000-00003C060000}"/>
    <cellStyle name="Title 2 9" xfId="1597" xr:uid="{00000000-0005-0000-0000-00003D060000}"/>
    <cellStyle name="Title 3" xfId="1598" xr:uid="{00000000-0005-0000-0000-00003E060000}"/>
    <cellStyle name="Total 2 10" xfId="1599" xr:uid="{00000000-0005-0000-0000-00003F060000}"/>
    <cellStyle name="Total 2 2" xfId="1600" xr:uid="{00000000-0005-0000-0000-000040060000}"/>
    <cellStyle name="Total 2 3" xfId="1601" xr:uid="{00000000-0005-0000-0000-000041060000}"/>
    <cellStyle name="Total 2 4" xfId="1602" xr:uid="{00000000-0005-0000-0000-000042060000}"/>
    <cellStyle name="Total 2 5" xfId="1603" xr:uid="{00000000-0005-0000-0000-000043060000}"/>
    <cellStyle name="Total 2 6" xfId="1604" xr:uid="{00000000-0005-0000-0000-000044060000}"/>
    <cellStyle name="Total 2 7" xfId="1605" xr:uid="{00000000-0005-0000-0000-000045060000}"/>
    <cellStyle name="Total 2 8" xfId="1606" xr:uid="{00000000-0005-0000-0000-000046060000}"/>
    <cellStyle name="Total 2 9" xfId="1607" xr:uid="{00000000-0005-0000-0000-000047060000}"/>
    <cellStyle name="Total 3" xfId="1608" xr:uid="{00000000-0005-0000-0000-000048060000}"/>
    <cellStyle name="Warning Text 2 10" xfId="1609" xr:uid="{00000000-0005-0000-0000-000049060000}"/>
    <cellStyle name="Warning Text 2 2" xfId="1610" xr:uid="{00000000-0005-0000-0000-00004A060000}"/>
    <cellStyle name="Warning Text 2 3" xfId="1611" xr:uid="{00000000-0005-0000-0000-00004B060000}"/>
    <cellStyle name="Warning Text 2 4" xfId="1612" xr:uid="{00000000-0005-0000-0000-00004C060000}"/>
    <cellStyle name="Warning Text 2 5" xfId="1613" xr:uid="{00000000-0005-0000-0000-00004D060000}"/>
    <cellStyle name="Warning Text 2 6" xfId="1614" xr:uid="{00000000-0005-0000-0000-00004E060000}"/>
    <cellStyle name="Warning Text 2 7" xfId="1615" xr:uid="{00000000-0005-0000-0000-00004F060000}"/>
    <cellStyle name="Warning Text 2 8" xfId="1616" xr:uid="{00000000-0005-0000-0000-000050060000}"/>
    <cellStyle name="Warning Text 2 9" xfId="1617" xr:uid="{00000000-0005-0000-0000-000051060000}"/>
    <cellStyle name="Warning Text 3" xfId="1618" xr:uid="{00000000-0005-0000-0000-000052060000}"/>
    <cellStyle name="已访问的超链接" xfId="1619" xr:uid="{00000000-0005-0000-0000-0000530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SAGE\saic_technology\ResCOM\New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VEDA_Models\NEEDS_SE\SUBRES_TMPL\TMPL_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s\JET-EUREG_ALLSECTORS_Dec16\SubRES_TMPL\SUBRES_B-OtherTec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UP_Fdstk"/>
      <sheetName val="ELC"/>
      <sheetName val="SUP_GasStorage"/>
      <sheetName val="TRA_Biofuel"/>
      <sheetName val="Storage Data"/>
      <sheetName val="SUP"/>
      <sheetName val="SUP_Feedin-Subs"/>
      <sheetName val="IND_C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2">
          <cell r="L22">
            <v>164.97</v>
          </cell>
        </row>
        <row r="23">
          <cell r="L23">
            <v>26.675999999999998</v>
          </cell>
        </row>
        <row r="24">
          <cell r="L24">
            <v>13.65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120.003</v>
          </cell>
        </row>
        <row r="28">
          <cell r="L28">
            <v>764.21280000000002</v>
          </cell>
        </row>
        <row r="29">
          <cell r="L29">
            <v>39.039000000000001</v>
          </cell>
        </row>
        <row r="30">
          <cell r="L30">
            <v>0</v>
          </cell>
        </row>
        <row r="31">
          <cell r="L31">
            <v>161.46</v>
          </cell>
        </row>
        <row r="32">
          <cell r="L32">
            <v>0</v>
          </cell>
        </row>
        <row r="33">
          <cell r="L33">
            <v>477.94499999999999</v>
          </cell>
        </row>
        <row r="34">
          <cell r="L34">
            <v>0</v>
          </cell>
        </row>
        <row r="35">
          <cell r="L35">
            <v>145.08000000000001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559.06500000000005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198.042</v>
          </cell>
        </row>
        <row r="44">
          <cell r="L44">
            <v>0</v>
          </cell>
        </row>
        <row r="45">
          <cell r="L45">
            <v>61.424999999999997</v>
          </cell>
        </row>
        <row r="46">
          <cell r="L46">
            <v>5.85</v>
          </cell>
        </row>
        <row r="47">
          <cell r="L47">
            <v>105.066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107.25</v>
          </cell>
        </row>
        <row r="51">
          <cell r="L51">
            <v>168.10170000000002</v>
          </cell>
        </row>
      </sheetData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EU1608"/>
  <sheetViews>
    <sheetView zoomScale="75" workbookViewId="0">
      <selection activeCell="D16" sqref="D16"/>
    </sheetView>
  </sheetViews>
  <sheetFormatPr defaultRowHeight="13.2"/>
  <cols>
    <col min="1" max="1" width="17.88671875" customWidth="1"/>
    <col min="2" max="2" width="11.88671875" customWidth="1"/>
    <col min="3" max="3" width="12" bestFit="1" customWidth="1"/>
    <col min="4" max="4" width="11.44140625" bestFit="1" customWidth="1"/>
    <col min="5" max="5" width="10" bestFit="1" customWidth="1"/>
    <col min="6" max="6" width="12" bestFit="1" customWidth="1"/>
    <col min="7" max="7" width="11.6640625" style="10" customWidth="1"/>
    <col min="8" max="8" width="8.88671875" style="11" customWidth="1"/>
    <col min="9" max="9" width="19.6640625" style="9" bestFit="1" customWidth="1"/>
    <col min="10" max="10" width="34.88671875" bestFit="1" customWidth="1"/>
    <col min="15" max="15" width="8.6640625" customWidth="1"/>
    <col min="16" max="16" width="9" customWidth="1"/>
    <col min="35" max="35" width="8.88671875" style="11" customWidth="1"/>
  </cols>
  <sheetData>
    <row r="1" spans="1:151">
      <c r="G1"/>
    </row>
    <row r="2" spans="1:151">
      <c r="A2" s="1"/>
      <c r="C2" s="1" t="s">
        <v>12</v>
      </c>
      <c r="G2"/>
      <c r="H2" s="47" t="s">
        <v>5</v>
      </c>
      <c r="I2" s="48"/>
      <c r="J2" s="48"/>
      <c r="K2" s="48"/>
      <c r="L2" s="48"/>
      <c r="M2" s="48"/>
      <c r="N2" s="48"/>
      <c r="O2" s="48"/>
      <c r="Q2" s="18" t="s">
        <v>38</v>
      </c>
      <c r="AI2"/>
    </row>
    <row r="3" spans="1:151" s="2" customFormat="1" ht="13.8" thickBot="1">
      <c r="A3" s="5" t="s">
        <v>1</v>
      </c>
      <c r="B3" s="6" t="s">
        <v>3</v>
      </c>
      <c r="C3" s="6" t="s">
        <v>4</v>
      </c>
      <c r="D3" s="6" t="s">
        <v>15</v>
      </c>
      <c r="E3" s="15" t="s">
        <v>19</v>
      </c>
      <c r="F3"/>
      <c r="G3"/>
      <c r="H3" s="49" t="s">
        <v>0</v>
      </c>
      <c r="I3" s="50" t="s">
        <v>1</v>
      </c>
      <c r="J3" s="50" t="s">
        <v>2</v>
      </c>
      <c r="K3" s="50" t="s">
        <v>6</v>
      </c>
      <c r="L3" s="50" t="s">
        <v>7</v>
      </c>
      <c r="M3" s="50" t="s">
        <v>8</v>
      </c>
      <c r="N3" s="50" t="s">
        <v>9</v>
      </c>
      <c r="O3" s="51" t="s">
        <v>10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</row>
    <row r="4" spans="1:151">
      <c r="A4" t="s">
        <v>32</v>
      </c>
      <c r="B4" t="s">
        <v>33</v>
      </c>
      <c r="C4" t="s">
        <v>34</v>
      </c>
      <c r="D4">
        <v>1</v>
      </c>
      <c r="E4">
        <v>0.01</v>
      </c>
      <c r="G4"/>
      <c r="H4" s="52" t="s">
        <v>277</v>
      </c>
      <c r="I4" s="48" t="s">
        <v>16</v>
      </c>
      <c r="J4" s="48" t="s">
        <v>17</v>
      </c>
      <c r="K4" s="48" t="s">
        <v>11</v>
      </c>
      <c r="L4" s="48" t="s">
        <v>18</v>
      </c>
      <c r="M4" s="48"/>
      <c r="N4" s="48"/>
      <c r="O4" s="48"/>
      <c r="AI4"/>
    </row>
    <row r="5" spans="1:151">
      <c r="C5" t="s">
        <v>35</v>
      </c>
      <c r="G5"/>
      <c r="H5" s="52" t="s">
        <v>277</v>
      </c>
      <c r="I5" s="48" t="s">
        <v>22</v>
      </c>
      <c r="J5" s="48" t="s">
        <v>17</v>
      </c>
      <c r="K5" s="48" t="s">
        <v>11</v>
      </c>
      <c r="L5" s="48" t="s">
        <v>18</v>
      </c>
      <c r="M5" s="48"/>
      <c r="N5" s="48"/>
      <c r="O5" s="48"/>
      <c r="AI5"/>
    </row>
    <row r="6" spans="1:151">
      <c r="C6" t="s">
        <v>41</v>
      </c>
      <c r="G6"/>
      <c r="H6" s="48" t="s">
        <v>36</v>
      </c>
      <c r="I6" s="48" t="s">
        <v>32</v>
      </c>
      <c r="J6" s="48" t="s">
        <v>37</v>
      </c>
      <c r="K6" s="48" t="s">
        <v>11</v>
      </c>
      <c r="L6" s="48" t="s">
        <v>18</v>
      </c>
      <c r="M6" s="48"/>
      <c r="N6" s="48"/>
      <c r="O6" s="48"/>
      <c r="Q6" s="19" t="s">
        <v>39</v>
      </c>
      <c r="AI6"/>
    </row>
    <row r="7" spans="1:151">
      <c r="C7" t="s">
        <v>260</v>
      </c>
      <c r="G7"/>
      <c r="H7" s="48"/>
      <c r="I7" s="48" t="s">
        <v>78</v>
      </c>
      <c r="J7" s="48" t="s">
        <v>79</v>
      </c>
      <c r="K7" s="48" t="s">
        <v>11</v>
      </c>
      <c r="L7" s="48" t="s">
        <v>18</v>
      </c>
      <c r="M7" s="48"/>
      <c r="N7" s="48"/>
      <c r="O7" s="48"/>
      <c r="Q7" t="s">
        <v>80</v>
      </c>
      <c r="AI7"/>
    </row>
    <row r="8" spans="1:151">
      <c r="G8"/>
      <c r="H8" s="54" t="s">
        <v>277</v>
      </c>
      <c r="I8" s="53" t="s">
        <v>57</v>
      </c>
      <c r="J8" s="53" t="s">
        <v>58</v>
      </c>
      <c r="K8" s="48" t="s">
        <v>11</v>
      </c>
      <c r="L8" s="48" t="s">
        <v>18</v>
      </c>
      <c r="M8" s="48"/>
      <c r="N8" s="48"/>
      <c r="O8" s="48"/>
      <c r="AI8"/>
    </row>
    <row r="9" spans="1:151" s="7" customFormat="1">
      <c r="A9" s="1"/>
      <c r="B9"/>
      <c r="C9" s="1" t="s">
        <v>12</v>
      </c>
      <c r="D9"/>
      <c r="E9"/>
      <c r="F9"/>
      <c r="G9"/>
      <c r="H9" s="54" t="s">
        <v>277</v>
      </c>
      <c r="I9" s="53" t="s">
        <v>60</v>
      </c>
      <c r="J9" s="53" t="s">
        <v>61</v>
      </c>
      <c r="K9" s="48" t="s">
        <v>11</v>
      </c>
      <c r="L9" s="48" t="s">
        <v>18</v>
      </c>
      <c r="M9" s="48"/>
      <c r="N9" s="48"/>
      <c r="O9" s="48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</row>
    <row r="10" spans="1:151" s="7" customFormat="1" ht="13.8" thickBot="1">
      <c r="A10" s="5" t="s">
        <v>1</v>
      </c>
      <c r="B10" s="6" t="s">
        <v>3</v>
      </c>
      <c r="C10" s="6" t="s">
        <v>4</v>
      </c>
      <c r="D10" s="6" t="s">
        <v>15</v>
      </c>
      <c r="E10" s="15" t="s">
        <v>19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</row>
    <row r="11" spans="1:151" s="7" customFormat="1">
      <c r="A11" t="str">
        <f>I7</f>
        <v>GENCOALCONVERTOR</v>
      </c>
      <c r="B11" t="s">
        <v>81</v>
      </c>
      <c r="C11" t="s">
        <v>82</v>
      </c>
      <c r="D11">
        <v>1</v>
      </c>
      <c r="E11">
        <v>0.01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</row>
    <row r="12" spans="1:151">
      <c r="C12" t="s">
        <v>83</v>
      </c>
      <c r="G12"/>
      <c r="H12" s="21" t="s">
        <v>277</v>
      </c>
      <c r="I12"/>
      <c r="AI12"/>
    </row>
    <row r="13" spans="1:151" ht="13.8" thickBot="1">
      <c r="G13"/>
      <c r="H13" s="16" t="s">
        <v>23</v>
      </c>
      <c r="I13" s="16" t="s">
        <v>24</v>
      </c>
      <c r="J13" s="16" t="s">
        <v>25</v>
      </c>
      <c r="K13" s="16" t="s">
        <v>26</v>
      </c>
      <c r="L13" s="17" t="s">
        <v>27</v>
      </c>
      <c r="M13" s="17" t="s">
        <v>28</v>
      </c>
      <c r="N13" s="17" t="s">
        <v>29</v>
      </c>
      <c r="O13" s="17" t="s">
        <v>30</v>
      </c>
      <c r="AI13"/>
    </row>
    <row r="14" spans="1:151">
      <c r="G14"/>
      <c r="H14" s="19" t="s">
        <v>62</v>
      </c>
      <c r="I14" s="19" t="s">
        <v>63</v>
      </c>
      <c r="J14" s="19" t="s">
        <v>64</v>
      </c>
      <c r="K14" s="19" t="s">
        <v>11</v>
      </c>
      <c r="AI14"/>
    </row>
    <row r="15" spans="1:151" s="7" customForma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</row>
    <row r="16" spans="1:151" s="7" customForma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</row>
    <row r="17" spans="1:151" s="7" customForma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</row>
    <row r="18" spans="1:151" s="7" customForma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</row>
    <row r="19" spans="1:151" s="7" customForma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</row>
    <row r="20" spans="1:151" s="7" customForma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</row>
    <row r="21" spans="1:151" s="7" customForma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</row>
    <row r="22" spans="1:151">
      <c r="G22"/>
      <c r="H22"/>
      <c r="I22"/>
      <c r="AI22"/>
    </row>
    <row r="23" spans="1:151">
      <c r="G23"/>
      <c r="H23"/>
      <c r="I23"/>
      <c r="AI23"/>
    </row>
    <row r="24" spans="1:151">
      <c r="G24"/>
      <c r="H24"/>
      <c r="I24"/>
      <c r="AI24"/>
    </row>
    <row r="25" spans="1:151">
      <c r="G25"/>
      <c r="H25"/>
      <c r="I25"/>
      <c r="AI25"/>
    </row>
    <row r="26" spans="1:151">
      <c r="G26"/>
      <c r="H26"/>
      <c r="I26"/>
      <c r="AI26"/>
    </row>
    <row r="27" spans="1:151">
      <c r="G27"/>
      <c r="H27"/>
      <c r="I27"/>
      <c r="AI27"/>
    </row>
    <row r="28" spans="1:151">
      <c r="G28"/>
      <c r="H28"/>
      <c r="I28"/>
      <c r="AI28"/>
    </row>
    <row r="29" spans="1:151">
      <c r="G29"/>
      <c r="H29"/>
      <c r="I29"/>
      <c r="AI29"/>
    </row>
    <row r="30" spans="1:151">
      <c r="G30"/>
      <c r="H30"/>
      <c r="I30"/>
      <c r="AI30"/>
    </row>
    <row r="31" spans="1:151">
      <c r="G31"/>
      <c r="H31"/>
      <c r="I31"/>
      <c r="AI31"/>
    </row>
    <row r="32" spans="1:151">
      <c r="G32"/>
      <c r="H32"/>
      <c r="I32"/>
      <c r="AI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spans="1:151">
      <c r="G49"/>
      <c r="H49"/>
      <c r="I49"/>
      <c r="AI49"/>
    </row>
    <row r="50" spans="1:151">
      <c r="G50"/>
      <c r="H50"/>
      <c r="I50"/>
      <c r="AI50"/>
    </row>
    <row r="51" spans="1:151" s="2" customForma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</row>
    <row r="52" spans="1:151">
      <c r="G52"/>
      <c r="H52"/>
      <c r="I52"/>
      <c r="AI52"/>
    </row>
    <row r="53" spans="1:151">
      <c r="G53"/>
      <c r="H53"/>
      <c r="I53"/>
      <c r="AI53"/>
    </row>
    <row r="54" spans="1:151">
      <c r="G54"/>
      <c r="H54"/>
      <c r="I54"/>
      <c r="AI54"/>
    </row>
    <row r="55" spans="1:151">
      <c r="G55"/>
      <c r="H55"/>
      <c r="I55"/>
      <c r="AI55"/>
    </row>
    <row r="56" spans="1:151">
      <c r="G56"/>
      <c r="H56"/>
      <c r="I56"/>
      <c r="AI56"/>
    </row>
    <row r="57" spans="1:151">
      <c r="G57"/>
      <c r="H57"/>
      <c r="I57"/>
      <c r="AI57"/>
    </row>
    <row r="58" spans="1:151">
      <c r="G58"/>
      <c r="H58"/>
      <c r="I58"/>
      <c r="AI58"/>
    </row>
    <row r="59" spans="1:151">
      <c r="G59"/>
      <c r="H59"/>
      <c r="I59"/>
      <c r="AI59"/>
    </row>
    <row r="60" spans="1:151">
      <c r="G60"/>
      <c r="H60"/>
      <c r="I60"/>
      <c r="AI60"/>
    </row>
    <row r="61" spans="1:151">
      <c r="G61"/>
      <c r="H61"/>
      <c r="I61"/>
      <c r="AI61"/>
    </row>
    <row r="62" spans="1:151">
      <c r="G62"/>
      <c r="H62"/>
      <c r="I62"/>
      <c r="AI62"/>
    </row>
    <row r="63" spans="1:151">
      <c r="G63"/>
      <c r="H63"/>
      <c r="I63"/>
      <c r="AI63"/>
    </row>
    <row r="64" spans="1:151">
      <c r="G64"/>
      <c r="H64"/>
      <c r="I64"/>
      <c r="AI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spans="1:151">
      <c r="G129"/>
      <c r="H129"/>
      <c r="I129"/>
      <c r="AI129"/>
    </row>
    <row r="130" spans="1:151">
      <c r="G130"/>
      <c r="H130"/>
      <c r="I130"/>
      <c r="AI130"/>
    </row>
    <row r="131" spans="1:151">
      <c r="G131"/>
      <c r="H131"/>
      <c r="I131"/>
      <c r="AI131"/>
    </row>
    <row r="132" spans="1:151">
      <c r="G132"/>
      <c r="H132"/>
      <c r="I132"/>
      <c r="AI132"/>
    </row>
    <row r="133" spans="1:151">
      <c r="G133"/>
      <c r="H133"/>
      <c r="I133"/>
      <c r="AI133"/>
    </row>
    <row r="134" spans="1:151">
      <c r="G134"/>
      <c r="H134"/>
      <c r="I134"/>
      <c r="AI134"/>
    </row>
    <row r="135" spans="1:151">
      <c r="G135"/>
      <c r="H135"/>
      <c r="I135"/>
      <c r="AI135"/>
    </row>
    <row r="136" spans="1:151">
      <c r="G136"/>
      <c r="H136"/>
      <c r="I136"/>
      <c r="AI136"/>
    </row>
    <row r="137" spans="1:151">
      <c r="G137"/>
      <c r="H137"/>
      <c r="I137"/>
      <c r="AI137"/>
    </row>
    <row r="138" spans="1:151" s="2" customForma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</row>
    <row r="139" spans="1:151">
      <c r="G139"/>
      <c r="H139"/>
      <c r="I139"/>
      <c r="AI139"/>
    </row>
    <row r="140" spans="1:151">
      <c r="G140"/>
      <c r="H140"/>
      <c r="I140"/>
      <c r="AI140"/>
    </row>
    <row r="141" spans="1:151">
      <c r="G141"/>
      <c r="H141"/>
      <c r="I141"/>
      <c r="AI141"/>
    </row>
    <row r="142" spans="1:151">
      <c r="G142"/>
      <c r="H142"/>
      <c r="I142"/>
      <c r="AI142"/>
    </row>
    <row r="143" spans="1:151">
      <c r="G143"/>
      <c r="H143"/>
      <c r="I143"/>
      <c r="AI143"/>
    </row>
    <row r="144" spans="1:151">
      <c r="G144"/>
      <c r="H144"/>
      <c r="I144"/>
      <c r="AI144"/>
    </row>
    <row r="145" spans="1:151">
      <c r="G145"/>
      <c r="H145"/>
      <c r="I145"/>
      <c r="AI145"/>
    </row>
    <row r="146" spans="1:151">
      <c r="G146"/>
      <c r="H146"/>
      <c r="I146"/>
      <c r="AI146"/>
    </row>
    <row r="147" spans="1:151">
      <c r="G147"/>
      <c r="H147"/>
      <c r="I147"/>
      <c r="AI147"/>
    </row>
    <row r="148" spans="1:151" s="2" customForma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</row>
    <row r="149" spans="1:151">
      <c r="G149"/>
      <c r="H149"/>
      <c r="I149"/>
      <c r="AI149"/>
    </row>
    <row r="150" spans="1:151">
      <c r="G150"/>
      <c r="H150"/>
      <c r="I150"/>
      <c r="AI150"/>
    </row>
    <row r="151" spans="1:151">
      <c r="G151"/>
      <c r="H151"/>
      <c r="I151"/>
      <c r="AI151"/>
    </row>
    <row r="152" spans="1:151">
      <c r="G152"/>
      <c r="H152"/>
      <c r="I152"/>
      <c r="AI152"/>
    </row>
    <row r="153" spans="1:151">
      <c r="G153"/>
      <c r="H153"/>
      <c r="I153"/>
      <c r="AI153"/>
    </row>
    <row r="154" spans="1:151">
      <c r="G154"/>
      <c r="H154"/>
      <c r="I154"/>
      <c r="AI154"/>
    </row>
    <row r="155" spans="1:151">
      <c r="G155"/>
      <c r="H155"/>
      <c r="I155"/>
      <c r="AI155"/>
    </row>
    <row r="156" spans="1:151">
      <c r="G156"/>
      <c r="H156"/>
      <c r="I156"/>
      <c r="AI156"/>
    </row>
    <row r="157" spans="1:151">
      <c r="G157"/>
      <c r="H157"/>
      <c r="I157"/>
      <c r="AI157"/>
    </row>
    <row r="158" spans="1:151">
      <c r="G158"/>
      <c r="H158"/>
      <c r="I158"/>
      <c r="AI158"/>
    </row>
    <row r="159" spans="1:151">
      <c r="G159"/>
      <c r="H159"/>
      <c r="I159"/>
      <c r="AI159"/>
    </row>
    <row r="160" spans="1:151">
      <c r="G160"/>
      <c r="H160"/>
      <c r="I160"/>
      <c r="AI160"/>
    </row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spans="1:151">
      <c r="G177"/>
      <c r="H177"/>
      <c r="I177"/>
      <c r="AI177"/>
    </row>
    <row r="178" spans="1:151">
      <c r="G178"/>
      <c r="H178"/>
      <c r="I178"/>
      <c r="AI178"/>
    </row>
    <row r="179" spans="1:151">
      <c r="G179"/>
      <c r="H179"/>
      <c r="I179"/>
      <c r="AI179"/>
    </row>
    <row r="180" spans="1:151">
      <c r="G180"/>
      <c r="H180"/>
      <c r="I180"/>
      <c r="AI180"/>
    </row>
    <row r="181" spans="1:151">
      <c r="G181"/>
      <c r="H181"/>
      <c r="I181"/>
      <c r="AI181"/>
    </row>
    <row r="182" spans="1:151">
      <c r="G182"/>
      <c r="H182"/>
      <c r="I182"/>
      <c r="AI182"/>
    </row>
    <row r="183" spans="1:151">
      <c r="G183"/>
      <c r="H183"/>
      <c r="I183"/>
      <c r="AI183"/>
    </row>
    <row r="184" spans="1:151">
      <c r="G184"/>
      <c r="H184"/>
      <c r="I184"/>
      <c r="AI184"/>
    </row>
    <row r="185" spans="1:151" s="2" customForma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</row>
    <row r="186" spans="1:151" s="2" customFormat="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</row>
    <row r="187" spans="1:151">
      <c r="G187"/>
      <c r="H187"/>
      <c r="I187"/>
      <c r="AI187"/>
    </row>
    <row r="188" spans="1:151">
      <c r="G188"/>
      <c r="H188"/>
      <c r="I188"/>
      <c r="AI188"/>
    </row>
    <row r="189" spans="1:151">
      <c r="G189"/>
      <c r="H189"/>
      <c r="I189"/>
      <c r="AI189"/>
    </row>
    <row r="190" spans="1:151">
      <c r="G190"/>
      <c r="H190"/>
      <c r="I190"/>
      <c r="AI190"/>
    </row>
    <row r="191" spans="1:151">
      <c r="G191"/>
      <c r="H191"/>
      <c r="I191"/>
      <c r="AI191"/>
    </row>
    <row r="192" spans="1:151" s="8" customForma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</row>
    <row r="193" spans="1:151" s="8" customFormat="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</row>
    <row r="194" spans="1:151">
      <c r="G194"/>
      <c r="H194"/>
      <c r="I194"/>
      <c r="AI194"/>
    </row>
    <row r="195" spans="1:151">
      <c r="G195"/>
      <c r="H195"/>
      <c r="I195"/>
      <c r="AI195"/>
    </row>
    <row r="196" spans="1:151">
      <c r="G196"/>
      <c r="H196"/>
      <c r="I196"/>
      <c r="AI196"/>
    </row>
    <row r="197" spans="1:151">
      <c r="G197"/>
      <c r="H197"/>
      <c r="I197"/>
      <c r="AI197"/>
    </row>
    <row r="198" spans="1:151">
      <c r="G198"/>
      <c r="H198"/>
      <c r="I198"/>
      <c r="AI198"/>
    </row>
    <row r="199" spans="1:151">
      <c r="G199"/>
      <c r="H199"/>
      <c r="I199"/>
      <c r="AI199"/>
    </row>
    <row r="200" spans="1:151">
      <c r="G200"/>
      <c r="H200"/>
      <c r="I200"/>
      <c r="AI200"/>
    </row>
    <row r="201" spans="1:151">
      <c r="G201"/>
      <c r="H201"/>
      <c r="I201"/>
      <c r="AI201"/>
    </row>
    <row r="202" spans="1:151" s="7" customFormat="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</row>
    <row r="203" spans="1:151" s="7" customFormat="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</row>
    <row r="204" spans="1:151" s="7" customFormat="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</row>
    <row r="205" spans="1:151" s="7" customFormat="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</row>
    <row r="206" spans="1:151" s="7" customForma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</row>
    <row r="207" spans="1:151" s="7" customFormat="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</row>
    <row r="208" spans="1:151" s="8" customFormat="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</row>
    <row r="209" spans="1:151" s="8" customFormat="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</row>
    <row r="210" spans="1:151" s="8" customFormat="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</row>
    <row r="211" spans="1:151">
      <c r="G211"/>
      <c r="H211"/>
      <c r="I211"/>
      <c r="AI211"/>
    </row>
    <row r="212" spans="1:151">
      <c r="G212"/>
      <c r="H212"/>
      <c r="I212"/>
      <c r="AI212"/>
    </row>
    <row r="213" spans="1:151">
      <c r="G213"/>
      <c r="H213"/>
      <c r="I213"/>
      <c r="AI213"/>
    </row>
    <row r="214" spans="1:151">
      <c r="G214"/>
      <c r="H214"/>
      <c r="I214"/>
      <c r="AI214"/>
    </row>
    <row r="215" spans="1:151">
      <c r="G215"/>
      <c r="H215"/>
      <c r="I215"/>
      <c r="AI215"/>
    </row>
    <row r="216" spans="1:151" s="7" customFormat="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</row>
    <row r="217" spans="1:151" s="7" customFormat="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</row>
    <row r="218" spans="1:151">
      <c r="G218"/>
      <c r="H218"/>
      <c r="I218"/>
      <c r="AI218"/>
    </row>
    <row r="219" spans="1:151">
      <c r="G219"/>
      <c r="H219"/>
      <c r="I219"/>
      <c r="AI219"/>
    </row>
    <row r="220" spans="1:151" s="7" customForma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</row>
    <row r="221" spans="1:151" s="7" customFormat="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</row>
    <row r="222" spans="1:151">
      <c r="G222"/>
      <c r="H222"/>
      <c r="I222"/>
      <c r="AI222"/>
    </row>
    <row r="223" spans="1:151">
      <c r="G223"/>
      <c r="H223"/>
      <c r="I223"/>
      <c r="AI223"/>
    </row>
    <row r="224" spans="1:151" s="8" customFormat="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</row>
    <row r="225" spans="1:151">
      <c r="G225"/>
      <c r="H225"/>
      <c r="I225"/>
      <c r="AI225"/>
    </row>
    <row r="226" spans="1:151">
      <c r="G226"/>
      <c r="H226"/>
      <c r="I226"/>
      <c r="AI226"/>
    </row>
    <row r="227" spans="1:151">
      <c r="G227"/>
      <c r="H227"/>
      <c r="I227"/>
      <c r="AI227"/>
    </row>
    <row r="228" spans="1:151">
      <c r="G228"/>
      <c r="H228"/>
      <c r="I228"/>
      <c r="AI228"/>
    </row>
    <row r="229" spans="1:151">
      <c r="G229"/>
      <c r="H229"/>
      <c r="I229"/>
      <c r="AI229"/>
    </row>
    <row r="230" spans="1:151" s="7" customFormat="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</row>
    <row r="231" spans="1:151" s="7" customFormat="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</row>
    <row r="232" spans="1:151">
      <c r="G232"/>
      <c r="H232"/>
      <c r="I232"/>
      <c r="AI232"/>
    </row>
    <row r="233" spans="1:151">
      <c r="G233"/>
      <c r="H233"/>
      <c r="I233"/>
      <c r="AI233"/>
    </row>
    <row r="234" spans="1:151">
      <c r="G234"/>
      <c r="H234"/>
      <c r="I234"/>
      <c r="AI234"/>
    </row>
    <row r="235" spans="1:151">
      <c r="G235"/>
      <c r="H235"/>
      <c r="I235"/>
      <c r="AI235"/>
    </row>
    <row r="236" spans="1:151">
      <c r="G236"/>
      <c r="H236"/>
      <c r="I236"/>
      <c r="AI236"/>
    </row>
    <row r="237" spans="1:151">
      <c r="G237"/>
      <c r="H237"/>
      <c r="I237"/>
      <c r="AI237"/>
    </row>
    <row r="238" spans="1:151" s="2" customFormat="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</row>
    <row r="239" spans="1:151">
      <c r="G239"/>
      <c r="H239"/>
      <c r="I239"/>
      <c r="AI239"/>
    </row>
    <row r="240" spans="1:151">
      <c r="G240"/>
      <c r="H240"/>
      <c r="I240"/>
      <c r="AI240"/>
    </row>
    <row r="241" spans="1:151">
      <c r="G241"/>
      <c r="H241"/>
      <c r="I241"/>
      <c r="AI241"/>
    </row>
    <row r="242" spans="1:151">
      <c r="G242"/>
      <c r="H242"/>
      <c r="I242"/>
      <c r="AI242"/>
    </row>
    <row r="243" spans="1:151" s="8" customFormat="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</row>
    <row r="244" spans="1:151">
      <c r="G244"/>
      <c r="H244"/>
      <c r="I244"/>
      <c r="AI244"/>
    </row>
    <row r="245" spans="1:151">
      <c r="G245"/>
      <c r="H245"/>
      <c r="I245"/>
      <c r="AI245"/>
    </row>
    <row r="246" spans="1:151">
      <c r="G246"/>
      <c r="H246"/>
      <c r="I246"/>
      <c r="AI246"/>
    </row>
    <row r="247" spans="1:151">
      <c r="G247"/>
      <c r="H247"/>
      <c r="I247"/>
      <c r="AI247"/>
    </row>
    <row r="248" spans="1:151">
      <c r="G248"/>
      <c r="H248"/>
      <c r="I248"/>
      <c r="AI248"/>
    </row>
    <row r="249" spans="1:151">
      <c r="G249"/>
      <c r="H249"/>
      <c r="I249"/>
      <c r="AI249"/>
    </row>
    <row r="250" spans="1:151">
      <c r="G250"/>
      <c r="H250"/>
      <c r="I250"/>
      <c r="AI250"/>
    </row>
    <row r="251" spans="1:151">
      <c r="G251"/>
      <c r="H251"/>
      <c r="I251"/>
      <c r="AI251"/>
    </row>
    <row r="252" spans="1:151" s="7" customFormat="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</row>
    <row r="253" spans="1:151" s="7" customFormat="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</row>
    <row r="254" spans="1:151" s="7" customFormat="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</row>
    <row r="255" spans="1:151" s="7" customFormat="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</row>
    <row r="256" spans="1:151" s="7" customFormat="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</row>
    <row r="257" spans="1:151" s="7" customFormat="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</row>
    <row r="258" spans="1:151" s="8" customFormat="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</row>
    <row r="259" spans="1:151" s="8" customFormat="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</row>
    <row r="260" spans="1:151" s="8" customFormat="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</row>
    <row r="261" spans="1:151">
      <c r="G261"/>
      <c r="H261"/>
      <c r="I261"/>
      <c r="AI261"/>
    </row>
    <row r="262" spans="1:151">
      <c r="G262"/>
      <c r="H262"/>
      <c r="I262"/>
      <c r="AI262"/>
    </row>
    <row r="263" spans="1:151">
      <c r="G263"/>
      <c r="H263"/>
      <c r="I263"/>
      <c r="AI263"/>
    </row>
    <row r="264" spans="1:151">
      <c r="G264"/>
      <c r="H264"/>
      <c r="I264"/>
      <c r="AI264"/>
    </row>
    <row r="265" spans="1:151">
      <c r="G265"/>
      <c r="H265"/>
      <c r="I265"/>
      <c r="AI265"/>
    </row>
    <row r="266" spans="1:151" s="7" customFormat="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</row>
    <row r="267" spans="1:151" s="7" customFormat="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</row>
    <row r="268" spans="1:151">
      <c r="G268"/>
      <c r="H268"/>
      <c r="I268"/>
      <c r="AI268"/>
    </row>
    <row r="269" spans="1:151">
      <c r="G269"/>
      <c r="H269"/>
      <c r="I269"/>
      <c r="AI269"/>
    </row>
    <row r="270" spans="1:151" s="7" customFormat="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</row>
    <row r="271" spans="1:151" s="7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</row>
    <row r="272" spans="1:151">
      <c r="G272"/>
      <c r="H272"/>
      <c r="I272"/>
      <c r="AI272"/>
    </row>
    <row r="273" spans="1:151">
      <c r="G273"/>
      <c r="H273"/>
      <c r="I273"/>
      <c r="AI273"/>
    </row>
    <row r="274" spans="1:151">
      <c r="G274"/>
      <c r="H274"/>
      <c r="I274"/>
      <c r="AI274"/>
    </row>
    <row r="275" spans="1:151">
      <c r="G275"/>
      <c r="H275"/>
      <c r="I275"/>
      <c r="AI275"/>
    </row>
    <row r="276" spans="1:151">
      <c r="G276"/>
      <c r="H276"/>
      <c r="I276"/>
      <c r="AI276"/>
    </row>
    <row r="277" spans="1:151">
      <c r="G277"/>
      <c r="H277"/>
      <c r="I277"/>
      <c r="AI277"/>
    </row>
    <row r="278" spans="1:151">
      <c r="G278"/>
      <c r="H278"/>
      <c r="I278"/>
      <c r="AI278"/>
    </row>
    <row r="279" spans="1:151">
      <c r="G279"/>
      <c r="H279"/>
      <c r="I279"/>
      <c r="AI279"/>
    </row>
    <row r="280" spans="1:151" s="7" customFormat="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</row>
    <row r="281" spans="1:151" s="7" customFormat="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</row>
    <row r="282" spans="1:151">
      <c r="G282"/>
      <c r="H282"/>
      <c r="I282"/>
      <c r="AI282"/>
    </row>
    <row r="283" spans="1:151">
      <c r="G283"/>
      <c r="H283"/>
      <c r="I283"/>
      <c r="AI283"/>
    </row>
    <row r="284" spans="1:151">
      <c r="G284"/>
      <c r="H284"/>
      <c r="I284"/>
      <c r="AI284"/>
    </row>
    <row r="285" spans="1:151">
      <c r="G285"/>
      <c r="H285"/>
      <c r="I285"/>
      <c r="AI285"/>
    </row>
    <row r="286" spans="1:151">
      <c r="G286"/>
      <c r="H286"/>
      <c r="I286"/>
      <c r="AI286"/>
    </row>
    <row r="287" spans="1:151">
      <c r="G287"/>
      <c r="H287"/>
      <c r="I287"/>
      <c r="AI287"/>
    </row>
    <row r="288" spans="1:151" s="2" customFormat="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</row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spans="1:151">
      <c r="G305"/>
      <c r="H305"/>
      <c r="I305"/>
      <c r="AI305"/>
    </row>
    <row r="306" spans="1:151" s="7" customFormat="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</row>
    <row r="307" spans="1:151" s="7" customFormat="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</row>
    <row r="308" spans="1:151" s="7" customFormat="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</row>
    <row r="309" spans="1:151" s="7" customFormat="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</row>
    <row r="310" spans="1:151" s="7" customFormat="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</row>
    <row r="311" spans="1:151" s="7" customFormat="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</row>
    <row r="312" spans="1:151">
      <c r="G312"/>
      <c r="H312"/>
      <c r="I312"/>
      <c r="AI312"/>
    </row>
    <row r="313" spans="1:151">
      <c r="G313"/>
      <c r="H313"/>
      <c r="I313"/>
      <c r="AI313"/>
    </row>
    <row r="314" spans="1:151">
      <c r="G314"/>
      <c r="H314"/>
      <c r="I314"/>
      <c r="AI314"/>
    </row>
    <row r="315" spans="1:151">
      <c r="G315"/>
      <c r="H315"/>
      <c r="I315"/>
      <c r="AI315"/>
    </row>
    <row r="316" spans="1:151">
      <c r="G316"/>
      <c r="H316"/>
      <c r="I316"/>
      <c r="AI316"/>
    </row>
    <row r="317" spans="1:151">
      <c r="G317"/>
      <c r="H317"/>
      <c r="I317"/>
      <c r="AI317"/>
    </row>
    <row r="318" spans="1:151">
      <c r="G318"/>
      <c r="H318"/>
      <c r="I318"/>
      <c r="AI318"/>
    </row>
    <row r="319" spans="1:151">
      <c r="G319"/>
      <c r="H319"/>
      <c r="I319"/>
      <c r="AI319"/>
    </row>
    <row r="320" spans="1:151" s="7" customFormat="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</row>
    <row r="321" spans="1:151" s="7" customFormat="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</row>
    <row r="322" spans="1:151">
      <c r="G322"/>
      <c r="H322"/>
      <c r="I322"/>
      <c r="AI322"/>
    </row>
    <row r="323" spans="1:151">
      <c r="G323"/>
      <c r="H323"/>
      <c r="I323"/>
      <c r="AI323"/>
    </row>
    <row r="324" spans="1:151" s="7" customFormat="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</row>
    <row r="325" spans="1:151" s="7" customFormat="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</row>
    <row r="326" spans="1:151">
      <c r="G326"/>
      <c r="H326"/>
      <c r="I326"/>
      <c r="AI326"/>
    </row>
    <row r="327" spans="1:151">
      <c r="G327"/>
      <c r="H327"/>
      <c r="I327"/>
      <c r="AI327"/>
    </row>
    <row r="328" spans="1:151" s="8" customFormat="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</row>
    <row r="329" spans="1:151" s="8" customFormat="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</row>
    <row r="330" spans="1:151" s="8" customFormat="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</row>
    <row r="331" spans="1:151" s="8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</row>
    <row r="332" spans="1:151" s="8" customFormat="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</row>
    <row r="333" spans="1:151" s="8" customFormat="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</row>
    <row r="334" spans="1:151">
      <c r="G334"/>
      <c r="H334"/>
      <c r="I334"/>
      <c r="AI334"/>
    </row>
    <row r="335" spans="1:151">
      <c r="G335"/>
      <c r="H335"/>
      <c r="I335"/>
      <c r="AI335"/>
    </row>
    <row r="336" spans="1:151">
      <c r="G336"/>
      <c r="H336"/>
      <c r="I336"/>
      <c r="AI336"/>
    </row>
    <row r="337" spans="1:151">
      <c r="G337"/>
      <c r="H337"/>
      <c r="I337"/>
      <c r="AI337"/>
    </row>
    <row r="338" spans="1:151">
      <c r="G338"/>
      <c r="H338"/>
      <c r="I338"/>
      <c r="AI338"/>
    </row>
    <row r="339" spans="1:151">
      <c r="G339"/>
      <c r="H339"/>
      <c r="I339"/>
      <c r="AI339"/>
    </row>
    <row r="340" spans="1:151" s="7" customForma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</row>
    <row r="341" spans="1:151" s="7" customForma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</row>
    <row r="342" spans="1:151">
      <c r="G342"/>
      <c r="H342"/>
      <c r="I342"/>
      <c r="AI342"/>
    </row>
    <row r="343" spans="1:151">
      <c r="G343"/>
      <c r="H343"/>
      <c r="I343"/>
      <c r="AI343"/>
    </row>
    <row r="344" spans="1:151">
      <c r="G344"/>
      <c r="H344"/>
      <c r="I344"/>
      <c r="AI344"/>
    </row>
    <row r="345" spans="1:151">
      <c r="G345"/>
      <c r="H345"/>
      <c r="I345"/>
      <c r="AI345"/>
    </row>
    <row r="346" spans="1:151">
      <c r="G346"/>
      <c r="H346"/>
      <c r="I346"/>
      <c r="AI346"/>
    </row>
    <row r="347" spans="1:151">
      <c r="G347"/>
      <c r="H347"/>
      <c r="I347"/>
      <c r="AI347"/>
    </row>
    <row r="348" spans="1:151" s="2" customForma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</row>
    <row r="349" spans="1:151">
      <c r="G349"/>
      <c r="H349"/>
      <c r="I349"/>
      <c r="AI349"/>
    </row>
    <row r="350" spans="1:151">
      <c r="G350"/>
      <c r="H350"/>
      <c r="I350"/>
      <c r="AI350"/>
    </row>
    <row r="351" spans="1:151">
      <c r="G351"/>
      <c r="H351"/>
      <c r="I351"/>
      <c r="AI351"/>
    </row>
    <row r="352" spans="1:151">
      <c r="G352"/>
      <c r="H352"/>
      <c r="I352"/>
      <c r="AI352"/>
    </row>
    <row r="353" spans="1:151">
      <c r="G353"/>
      <c r="H353"/>
      <c r="I353"/>
      <c r="AI353"/>
    </row>
    <row r="354" spans="1:151">
      <c r="G354"/>
      <c r="H354"/>
      <c r="I354"/>
      <c r="AI354"/>
    </row>
    <row r="355" spans="1:151">
      <c r="G355"/>
      <c r="H355"/>
      <c r="I355"/>
      <c r="AI355"/>
    </row>
    <row r="356" spans="1:151">
      <c r="G356"/>
      <c r="H356"/>
      <c r="I356"/>
      <c r="AI356"/>
    </row>
    <row r="357" spans="1:151">
      <c r="G357"/>
      <c r="H357"/>
      <c r="I357"/>
      <c r="AI357"/>
    </row>
    <row r="358" spans="1:151">
      <c r="G358"/>
      <c r="H358"/>
      <c r="I358"/>
      <c r="AI358"/>
    </row>
    <row r="359" spans="1:151">
      <c r="G359"/>
      <c r="H359"/>
      <c r="I359"/>
      <c r="AI359"/>
    </row>
    <row r="360" spans="1:151">
      <c r="G360"/>
      <c r="H360"/>
      <c r="I360"/>
      <c r="AI360"/>
    </row>
    <row r="361" spans="1:151">
      <c r="G361"/>
      <c r="H361"/>
      <c r="I361"/>
      <c r="AI361"/>
    </row>
    <row r="362" spans="1:151">
      <c r="G362"/>
      <c r="H362"/>
      <c r="I362"/>
      <c r="AI362"/>
    </row>
    <row r="363" spans="1:151">
      <c r="G363"/>
      <c r="H363"/>
      <c r="I363"/>
      <c r="AI363"/>
    </row>
    <row r="364" spans="1:151" s="7" customForma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</row>
    <row r="365" spans="1:151" s="7" customForma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</row>
    <row r="366" spans="1:151" s="7" customForma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</row>
    <row r="367" spans="1:151" s="7" customForma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</row>
    <row r="368" spans="1:151" s="7" customForma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</row>
    <row r="369" spans="1:151" s="7" customForma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</row>
    <row r="370" spans="1:151">
      <c r="G370"/>
      <c r="H370"/>
      <c r="I370"/>
      <c r="AI370"/>
    </row>
    <row r="371" spans="1:151">
      <c r="G371"/>
      <c r="H371"/>
      <c r="I371"/>
      <c r="AI371"/>
    </row>
    <row r="372" spans="1:151">
      <c r="G372"/>
      <c r="H372"/>
      <c r="I372"/>
      <c r="AI372"/>
    </row>
    <row r="373" spans="1:151">
      <c r="G373"/>
      <c r="H373"/>
      <c r="I373"/>
      <c r="AI373"/>
    </row>
    <row r="374" spans="1:151">
      <c r="G374"/>
      <c r="H374"/>
      <c r="I374"/>
      <c r="AI374"/>
    </row>
    <row r="375" spans="1:151">
      <c r="G375"/>
      <c r="H375"/>
      <c r="I375"/>
      <c r="AI375"/>
    </row>
    <row r="376" spans="1:151">
      <c r="G376"/>
      <c r="H376"/>
      <c r="I376"/>
      <c r="AI376"/>
    </row>
    <row r="377" spans="1:151">
      <c r="G377"/>
      <c r="H377"/>
      <c r="I377"/>
      <c r="AI377"/>
    </row>
    <row r="378" spans="1:151" s="7" customForma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</row>
    <row r="379" spans="1:151" s="7" customForma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</row>
    <row r="380" spans="1:151">
      <c r="G380"/>
      <c r="H380"/>
      <c r="I380"/>
      <c r="AI380"/>
    </row>
    <row r="381" spans="1:151">
      <c r="G381"/>
      <c r="H381"/>
      <c r="I381"/>
      <c r="AI381"/>
    </row>
    <row r="382" spans="1:151" s="7" customForma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</row>
    <row r="383" spans="1:151" s="7" customForma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</row>
    <row r="384" spans="1:151">
      <c r="G384"/>
      <c r="H384"/>
      <c r="I384"/>
      <c r="AI384"/>
    </row>
    <row r="385" spans="1:151">
      <c r="G385"/>
      <c r="H385"/>
      <c r="I385"/>
      <c r="AI385"/>
    </row>
    <row r="386" spans="1:151" s="8" customForma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</row>
    <row r="387" spans="1:151" s="8" customForma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</row>
    <row r="388" spans="1:151" s="8" customForma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</row>
    <row r="389" spans="1:151" s="8" customForma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</row>
    <row r="390" spans="1:151" s="8" customForma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</row>
    <row r="391" spans="1:151" s="8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</row>
    <row r="392" spans="1:151">
      <c r="G392"/>
      <c r="H392"/>
      <c r="I392"/>
      <c r="AI392"/>
    </row>
    <row r="393" spans="1:151">
      <c r="G393"/>
      <c r="H393"/>
      <c r="I393"/>
      <c r="AI393"/>
    </row>
    <row r="394" spans="1:151">
      <c r="G394"/>
      <c r="H394"/>
      <c r="I394"/>
      <c r="AI394"/>
    </row>
    <row r="395" spans="1:151">
      <c r="G395"/>
      <c r="H395"/>
      <c r="I395"/>
      <c r="AI395"/>
    </row>
    <row r="396" spans="1:151">
      <c r="G396"/>
      <c r="H396"/>
      <c r="I396"/>
      <c r="AI396"/>
    </row>
    <row r="397" spans="1:151">
      <c r="G397"/>
      <c r="H397"/>
      <c r="I397"/>
      <c r="AI397"/>
    </row>
    <row r="398" spans="1:151" s="7" customForma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</row>
    <row r="399" spans="1:151" s="7" customForma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</row>
    <row r="400" spans="1:151">
      <c r="G400"/>
      <c r="H400"/>
      <c r="I400"/>
      <c r="AI400"/>
    </row>
    <row r="401" spans="1:151">
      <c r="G401"/>
      <c r="H401"/>
      <c r="I401"/>
      <c r="AI401"/>
    </row>
    <row r="402" spans="1:151">
      <c r="G402"/>
      <c r="H402"/>
      <c r="I402"/>
      <c r="AI402"/>
    </row>
    <row r="403" spans="1:151">
      <c r="G403"/>
      <c r="H403"/>
      <c r="I403"/>
      <c r="AI403"/>
    </row>
    <row r="404" spans="1:151">
      <c r="G404"/>
      <c r="H404"/>
      <c r="I404"/>
      <c r="AI404"/>
    </row>
    <row r="405" spans="1:151">
      <c r="G405"/>
      <c r="H405"/>
      <c r="I405"/>
      <c r="AI405"/>
    </row>
    <row r="406" spans="1:151" s="2" customForma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</row>
    <row r="407" spans="1:151">
      <c r="G407"/>
      <c r="H407"/>
      <c r="I407"/>
      <c r="AI407"/>
    </row>
    <row r="408" spans="1:151">
      <c r="G408"/>
      <c r="H408"/>
      <c r="I408"/>
      <c r="AI408"/>
    </row>
    <row r="409" spans="1:151">
      <c r="G409"/>
      <c r="H409"/>
      <c r="I409"/>
      <c r="AI409"/>
    </row>
    <row r="410" spans="1:151">
      <c r="G410"/>
      <c r="H410"/>
      <c r="I410"/>
      <c r="AI410"/>
    </row>
    <row r="411" spans="1:151">
      <c r="G411"/>
      <c r="H411"/>
      <c r="I411"/>
      <c r="AI411"/>
    </row>
    <row r="412" spans="1:151">
      <c r="G412"/>
      <c r="H412"/>
      <c r="I412"/>
      <c r="AI412"/>
    </row>
    <row r="413" spans="1:151">
      <c r="G413"/>
      <c r="H413"/>
      <c r="I413"/>
      <c r="AI413"/>
    </row>
    <row r="414" spans="1:151">
      <c r="G414"/>
      <c r="H414"/>
      <c r="I414"/>
      <c r="AI414"/>
    </row>
    <row r="415" spans="1:151">
      <c r="G415"/>
      <c r="H415"/>
      <c r="I415"/>
      <c r="AI415"/>
    </row>
    <row r="416" spans="1:151">
      <c r="G416"/>
      <c r="H416"/>
      <c r="I416"/>
      <c r="AI416"/>
    </row>
    <row r="417" spans="1:151">
      <c r="G417"/>
      <c r="H417"/>
      <c r="I417"/>
      <c r="AI417"/>
    </row>
    <row r="418" spans="1:151">
      <c r="G418"/>
      <c r="H418"/>
      <c r="I418"/>
      <c r="AI418"/>
    </row>
    <row r="419" spans="1:151">
      <c r="G419"/>
      <c r="H419"/>
      <c r="I419"/>
      <c r="AI419"/>
    </row>
    <row r="420" spans="1:151">
      <c r="G420"/>
      <c r="H420"/>
      <c r="I420"/>
      <c r="AI420"/>
    </row>
    <row r="421" spans="1:151">
      <c r="G421"/>
      <c r="H421"/>
      <c r="I421"/>
      <c r="AI421"/>
    </row>
    <row r="422" spans="1:151">
      <c r="G422"/>
      <c r="H422"/>
      <c r="I422"/>
      <c r="AI422"/>
    </row>
    <row r="423" spans="1:151">
      <c r="G423"/>
      <c r="H423"/>
      <c r="I423"/>
      <c r="AI423"/>
    </row>
    <row r="424" spans="1:151">
      <c r="G424"/>
      <c r="H424"/>
      <c r="I424"/>
      <c r="AI424"/>
    </row>
    <row r="425" spans="1:151" s="7" customForma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</row>
    <row r="426" spans="1:151" s="7" customForma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</row>
    <row r="427" spans="1:151" s="7" customForma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</row>
    <row r="428" spans="1:151" s="7" customForma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</row>
    <row r="429" spans="1:151" s="7" customForma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</row>
    <row r="430" spans="1:151" s="7" customForma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</row>
    <row r="431" spans="1:151">
      <c r="G431"/>
      <c r="H431"/>
      <c r="I431"/>
      <c r="AI431"/>
    </row>
    <row r="432" spans="1:151">
      <c r="G432"/>
      <c r="H432"/>
      <c r="I432"/>
      <c r="AI432"/>
    </row>
    <row r="433" spans="1:151">
      <c r="G433"/>
      <c r="H433"/>
      <c r="I433"/>
      <c r="AI433"/>
    </row>
    <row r="434" spans="1:151">
      <c r="G434"/>
      <c r="H434"/>
      <c r="I434"/>
      <c r="AI434"/>
    </row>
    <row r="435" spans="1:151">
      <c r="G435"/>
      <c r="H435"/>
      <c r="I435"/>
      <c r="AI435"/>
    </row>
    <row r="436" spans="1:151">
      <c r="G436"/>
      <c r="H436"/>
      <c r="I436"/>
      <c r="AI436"/>
    </row>
    <row r="437" spans="1:151">
      <c r="G437"/>
      <c r="H437"/>
      <c r="I437"/>
      <c r="AI437"/>
    </row>
    <row r="438" spans="1:151">
      <c r="G438"/>
      <c r="H438"/>
      <c r="I438"/>
      <c r="AI438"/>
    </row>
    <row r="439" spans="1:151" s="7" customForma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</row>
    <row r="440" spans="1:151" s="7" customForma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</row>
    <row r="441" spans="1:151">
      <c r="G441"/>
      <c r="H441"/>
      <c r="I441"/>
      <c r="AI441"/>
    </row>
    <row r="442" spans="1:151">
      <c r="G442"/>
      <c r="H442"/>
      <c r="I442"/>
      <c r="AI442"/>
    </row>
    <row r="443" spans="1:151" s="7" customForma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</row>
    <row r="444" spans="1:151" s="7" customForma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</row>
    <row r="445" spans="1:151">
      <c r="G445"/>
      <c r="H445"/>
      <c r="I445"/>
      <c r="AI445"/>
    </row>
    <row r="446" spans="1:151">
      <c r="G446"/>
      <c r="H446"/>
      <c r="I446"/>
      <c r="AI446"/>
    </row>
    <row r="447" spans="1:151" s="8" customForma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</row>
    <row r="448" spans="1:151" s="8" customForma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</row>
    <row r="449" spans="1:151" s="8" customForma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</row>
    <row r="450" spans="1:151" s="8" customForma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</row>
    <row r="451" spans="1:151" s="8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</row>
    <row r="452" spans="1:151" s="8" customForma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</row>
    <row r="453" spans="1:151">
      <c r="G453"/>
      <c r="H453"/>
      <c r="I453"/>
      <c r="AI453"/>
    </row>
    <row r="454" spans="1:151">
      <c r="G454"/>
      <c r="H454"/>
      <c r="I454"/>
      <c r="AI454"/>
    </row>
    <row r="455" spans="1:151">
      <c r="G455"/>
      <c r="H455"/>
      <c r="I455"/>
      <c r="AI455"/>
    </row>
    <row r="456" spans="1:151">
      <c r="G456"/>
      <c r="H456"/>
      <c r="I456"/>
      <c r="AI456"/>
    </row>
    <row r="457" spans="1:151">
      <c r="G457"/>
      <c r="H457"/>
      <c r="I457"/>
      <c r="AI457"/>
    </row>
    <row r="458" spans="1:151">
      <c r="G458"/>
      <c r="H458"/>
      <c r="I458"/>
      <c r="AI458"/>
    </row>
    <row r="459" spans="1:151" s="7" customForma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</row>
    <row r="460" spans="1:151" s="7" customForma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</row>
    <row r="461" spans="1:151">
      <c r="G461"/>
      <c r="H461"/>
      <c r="I461"/>
      <c r="AI461"/>
    </row>
    <row r="462" spans="1:151">
      <c r="G462"/>
      <c r="H462"/>
      <c r="I462"/>
      <c r="AI462"/>
    </row>
    <row r="463" spans="1:151">
      <c r="G463"/>
      <c r="H463"/>
      <c r="I463"/>
      <c r="AI463"/>
    </row>
    <row r="464" spans="1:151">
      <c r="G464"/>
      <c r="H464"/>
      <c r="I464"/>
      <c r="AI464"/>
    </row>
    <row r="465" spans="1:151">
      <c r="G465"/>
      <c r="H465"/>
      <c r="I465"/>
      <c r="AI465"/>
    </row>
    <row r="466" spans="1:151">
      <c r="G466"/>
      <c r="H466"/>
      <c r="I466"/>
      <c r="AI466"/>
    </row>
    <row r="467" spans="1:151" s="2" customForma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</row>
    <row r="468" spans="1:151">
      <c r="G468"/>
      <c r="H468"/>
      <c r="I468"/>
      <c r="AI468"/>
    </row>
    <row r="469" spans="1:151">
      <c r="G469"/>
      <c r="H469"/>
      <c r="I469"/>
      <c r="AI469"/>
    </row>
    <row r="470" spans="1:151">
      <c r="G470"/>
      <c r="H470"/>
      <c r="I470"/>
      <c r="AI470"/>
    </row>
    <row r="471" spans="1:151">
      <c r="G471"/>
      <c r="H471"/>
      <c r="I471"/>
      <c r="AI471"/>
    </row>
    <row r="472" spans="1:151">
      <c r="G472"/>
      <c r="H472"/>
      <c r="I472"/>
      <c r="AI472"/>
    </row>
    <row r="473" spans="1:151">
      <c r="G473"/>
      <c r="H473"/>
      <c r="I473"/>
      <c r="AI473"/>
    </row>
    <row r="474" spans="1:151">
      <c r="G474"/>
      <c r="H474"/>
      <c r="I474"/>
      <c r="AI474"/>
    </row>
    <row r="475" spans="1:151">
      <c r="G475"/>
      <c r="H475"/>
      <c r="I475"/>
      <c r="AI475"/>
    </row>
    <row r="476" spans="1:151">
      <c r="G476"/>
      <c r="H476"/>
      <c r="I476"/>
      <c r="AI476"/>
    </row>
    <row r="477" spans="1:151">
      <c r="G477"/>
      <c r="H477"/>
      <c r="I477"/>
      <c r="AI477"/>
    </row>
    <row r="478" spans="1:151">
      <c r="G478"/>
      <c r="H478"/>
      <c r="I478"/>
      <c r="AI478"/>
    </row>
    <row r="479" spans="1:151">
      <c r="G479"/>
      <c r="H479"/>
      <c r="I479"/>
      <c r="AI479"/>
    </row>
    <row r="480" spans="1:151">
      <c r="G480"/>
      <c r="H480"/>
      <c r="I480"/>
      <c r="AI480"/>
    </row>
    <row r="481" spans="1:151">
      <c r="G481"/>
      <c r="H481"/>
      <c r="I481"/>
      <c r="AI481"/>
    </row>
    <row r="482" spans="1:151">
      <c r="G482"/>
      <c r="H482"/>
      <c r="I482"/>
      <c r="AI482"/>
    </row>
    <row r="483" spans="1:151" s="7" customForma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</row>
    <row r="484" spans="1:151" s="7" customForma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</row>
    <row r="485" spans="1:151" s="7" customForma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</row>
    <row r="486" spans="1:151" s="7" customForma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</row>
    <row r="487" spans="1:151" s="7" customForma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</row>
    <row r="488" spans="1:151" s="7" customForma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</row>
    <row r="489" spans="1:151">
      <c r="G489"/>
      <c r="H489"/>
      <c r="I489"/>
      <c r="AI489"/>
    </row>
    <row r="490" spans="1:151">
      <c r="G490"/>
      <c r="H490"/>
      <c r="I490"/>
      <c r="AI490"/>
    </row>
    <row r="491" spans="1:151">
      <c r="G491"/>
      <c r="H491"/>
      <c r="I491"/>
      <c r="AI491"/>
    </row>
    <row r="492" spans="1:151">
      <c r="G492"/>
      <c r="H492"/>
      <c r="I492"/>
      <c r="AI492"/>
    </row>
    <row r="493" spans="1:151">
      <c r="G493"/>
      <c r="H493"/>
      <c r="I493"/>
      <c r="AI493"/>
    </row>
    <row r="494" spans="1:151">
      <c r="G494"/>
      <c r="H494"/>
      <c r="I494"/>
      <c r="AI494"/>
    </row>
    <row r="495" spans="1:151">
      <c r="G495"/>
      <c r="H495"/>
      <c r="I495"/>
      <c r="AI495"/>
    </row>
    <row r="496" spans="1:151">
      <c r="G496"/>
      <c r="H496"/>
      <c r="I496"/>
      <c r="AI496"/>
    </row>
    <row r="497" spans="1:151" s="7" customForma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</row>
    <row r="498" spans="1:151" s="7" customForma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</row>
    <row r="499" spans="1:151">
      <c r="G499"/>
      <c r="H499"/>
      <c r="I499"/>
      <c r="AI499"/>
    </row>
    <row r="500" spans="1:151">
      <c r="G500"/>
      <c r="H500"/>
      <c r="I500"/>
      <c r="AI500"/>
    </row>
    <row r="501" spans="1:151" s="7" customForma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</row>
    <row r="502" spans="1:151" s="7" customForma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</row>
    <row r="503" spans="1:151">
      <c r="G503"/>
      <c r="H503"/>
      <c r="I503"/>
      <c r="AI503"/>
    </row>
    <row r="504" spans="1:151">
      <c r="G504"/>
      <c r="H504"/>
      <c r="I504"/>
      <c r="AI504"/>
    </row>
    <row r="505" spans="1:151" s="8" customForma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</row>
    <row r="506" spans="1:151" s="8" customForma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</row>
    <row r="507" spans="1:151" s="8" customForma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</row>
    <row r="508" spans="1:151" s="8" customForma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</row>
    <row r="509" spans="1:151" s="8" customForma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</row>
    <row r="510" spans="1:151" s="8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</row>
    <row r="511" spans="1:151">
      <c r="G511"/>
      <c r="H511"/>
      <c r="I511"/>
      <c r="AI511"/>
    </row>
    <row r="512" spans="1:151">
      <c r="G512"/>
      <c r="H512"/>
      <c r="I512"/>
      <c r="AI512"/>
    </row>
    <row r="513" spans="1:151">
      <c r="G513"/>
      <c r="H513"/>
      <c r="I513"/>
      <c r="AI513"/>
    </row>
    <row r="514" spans="1:151">
      <c r="G514"/>
      <c r="H514"/>
      <c r="I514"/>
      <c r="AI514"/>
    </row>
    <row r="515" spans="1:151">
      <c r="G515"/>
      <c r="H515"/>
      <c r="I515"/>
      <c r="AI515"/>
    </row>
    <row r="516" spans="1:151">
      <c r="G516"/>
      <c r="H516"/>
      <c r="I516"/>
      <c r="AI516"/>
    </row>
    <row r="517" spans="1:151" s="7" customForma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</row>
    <row r="518" spans="1:151" s="7" customForma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</row>
    <row r="519" spans="1:151">
      <c r="G519"/>
      <c r="H519"/>
      <c r="I519"/>
      <c r="AI519"/>
    </row>
    <row r="520" spans="1:151">
      <c r="G520"/>
      <c r="H520"/>
      <c r="I520"/>
      <c r="AI520"/>
    </row>
    <row r="521" spans="1:151">
      <c r="G521"/>
      <c r="H521"/>
      <c r="I521"/>
      <c r="AI521"/>
    </row>
    <row r="522" spans="1:151">
      <c r="G522"/>
      <c r="H522"/>
      <c r="I522"/>
      <c r="AI522"/>
    </row>
    <row r="523" spans="1:151">
      <c r="G523"/>
      <c r="H523"/>
      <c r="I523"/>
      <c r="AI523"/>
    </row>
    <row r="524" spans="1:151">
      <c r="G524"/>
      <c r="H524"/>
      <c r="I524"/>
      <c r="AI524"/>
    </row>
    <row r="525" spans="1:151">
      <c r="G525"/>
      <c r="H525"/>
      <c r="I525"/>
      <c r="AI525"/>
    </row>
    <row r="526" spans="1:151">
      <c r="G526"/>
      <c r="H526"/>
      <c r="I526"/>
      <c r="AI526"/>
    </row>
    <row r="527" spans="1:151">
      <c r="G527"/>
      <c r="H527"/>
      <c r="I527"/>
      <c r="AI527"/>
    </row>
    <row r="528" spans="1:151" s="2" customForma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</row>
    <row r="529" spans="1:151" s="2" customForma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</row>
    <row r="530" spans="1:151">
      <c r="G530"/>
      <c r="H530"/>
      <c r="I530"/>
      <c r="AI530"/>
    </row>
    <row r="531" spans="1:151">
      <c r="G531"/>
      <c r="H531"/>
      <c r="I531"/>
      <c r="AI531"/>
    </row>
    <row r="532" spans="1:151">
      <c r="G532"/>
      <c r="H532"/>
      <c r="I532"/>
      <c r="AI532"/>
    </row>
    <row r="533" spans="1:151">
      <c r="G533"/>
      <c r="H533"/>
      <c r="I533"/>
      <c r="AI533"/>
    </row>
    <row r="534" spans="1:151">
      <c r="G534"/>
      <c r="H534"/>
      <c r="I534"/>
      <c r="AI534"/>
    </row>
    <row r="535" spans="1:151">
      <c r="G535"/>
      <c r="H535"/>
      <c r="I535"/>
      <c r="AI535"/>
    </row>
    <row r="536" spans="1:151">
      <c r="G536"/>
      <c r="H536"/>
      <c r="I536"/>
      <c r="AI536"/>
    </row>
    <row r="537" spans="1:151">
      <c r="G537"/>
      <c r="H537"/>
      <c r="I537"/>
      <c r="AI537"/>
    </row>
    <row r="538" spans="1:151">
      <c r="G538"/>
      <c r="H538"/>
      <c r="I538"/>
      <c r="AI538"/>
    </row>
    <row r="539" spans="1:151">
      <c r="G539"/>
      <c r="H539"/>
      <c r="I539"/>
      <c r="AI539"/>
    </row>
    <row r="540" spans="1:151">
      <c r="G540"/>
      <c r="H540"/>
      <c r="I540"/>
      <c r="AI540"/>
    </row>
    <row r="541" spans="1:151">
      <c r="G541"/>
      <c r="H541"/>
      <c r="I541"/>
      <c r="AI541"/>
    </row>
    <row r="542" spans="1:151">
      <c r="G542"/>
      <c r="H542"/>
      <c r="I542"/>
      <c r="AI542"/>
    </row>
    <row r="543" spans="1:151">
      <c r="G543"/>
      <c r="H543"/>
      <c r="I543"/>
      <c r="AI543"/>
    </row>
    <row r="544" spans="1:151">
      <c r="G544"/>
      <c r="H544"/>
      <c r="I544"/>
      <c r="AI544"/>
    </row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spans="1:151">
      <c r="G561"/>
      <c r="H561"/>
      <c r="I561"/>
      <c r="AI561"/>
    </row>
    <row r="562" spans="1:151">
      <c r="G562"/>
      <c r="H562"/>
      <c r="I562"/>
      <c r="AI562"/>
    </row>
    <row r="563" spans="1:151">
      <c r="G563"/>
      <c r="H563"/>
      <c r="I563"/>
      <c r="AI563"/>
    </row>
    <row r="564" spans="1:151">
      <c r="G564"/>
      <c r="H564"/>
      <c r="I564"/>
      <c r="AI564"/>
    </row>
    <row r="565" spans="1:151">
      <c r="G565"/>
      <c r="H565"/>
      <c r="I565"/>
      <c r="AI565"/>
    </row>
    <row r="566" spans="1:151">
      <c r="G566"/>
      <c r="H566"/>
      <c r="I566"/>
      <c r="AI566"/>
    </row>
    <row r="567" spans="1:151">
      <c r="G567"/>
      <c r="H567"/>
      <c r="I567"/>
      <c r="AI567"/>
    </row>
    <row r="568" spans="1:151">
      <c r="G568"/>
      <c r="H568"/>
      <c r="I568"/>
      <c r="AI568"/>
    </row>
    <row r="569" spans="1:151">
      <c r="G569"/>
      <c r="H569"/>
      <c r="I569"/>
      <c r="AI569"/>
    </row>
    <row r="570" spans="1:151">
      <c r="G570"/>
      <c r="H570"/>
      <c r="I570"/>
      <c r="AI570"/>
    </row>
    <row r="571" spans="1:151">
      <c r="G571"/>
      <c r="H571"/>
      <c r="I571"/>
      <c r="AI571"/>
    </row>
    <row r="572" spans="1:151">
      <c r="G572"/>
      <c r="H572"/>
      <c r="I572"/>
      <c r="AI572"/>
    </row>
    <row r="573" spans="1:151">
      <c r="G573"/>
      <c r="H573"/>
      <c r="I573"/>
      <c r="AI573"/>
    </row>
    <row r="574" spans="1:151" s="2" customForma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</row>
    <row r="575" spans="1:151">
      <c r="G575"/>
      <c r="H575"/>
      <c r="I575"/>
      <c r="AI575"/>
    </row>
    <row r="576" spans="1:151">
      <c r="G576"/>
      <c r="H576"/>
      <c r="I576"/>
      <c r="AI576"/>
    </row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spans="1:151">
      <c r="G609"/>
      <c r="H609"/>
      <c r="I609"/>
      <c r="AI609"/>
    </row>
    <row r="610" spans="1:151">
      <c r="G610"/>
      <c r="H610"/>
      <c r="I610"/>
      <c r="AI610"/>
    </row>
    <row r="611" spans="1:151">
      <c r="G611"/>
      <c r="H611"/>
      <c r="I611"/>
      <c r="AI611"/>
    </row>
    <row r="612" spans="1:151">
      <c r="G612"/>
      <c r="H612"/>
      <c r="I612"/>
      <c r="AI612"/>
    </row>
    <row r="613" spans="1:151">
      <c r="G613"/>
      <c r="H613"/>
      <c r="I613"/>
      <c r="AI613"/>
    </row>
    <row r="614" spans="1:151">
      <c r="G614"/>
      <c r="H614"/>
      <c r="I614"/>
      <c r="AI614"/>
    </row>
    <row r="615" spans="1:151">
      <c r="G615"/>
      <c r="H615"/>
      <c r="I615"/>
      <c r="AI615"/>
    </row>
    <row r="616" spans="1:151">
      <c r="G616"/>
      <c r="H616"/>
      <c r="I616"/>
      <c r="AI616"/>
    </row>
    <row r="617" spans="1:151" s="2" customForma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</row>
    <row r="618" spans="1:151">
      <c r="G618"/>
      <c r="H618"/>
      <c r="I618"/>
      <c r="AI618"/>
    </row>
    <row r="619" spans="1:151">
      <c r="G619"/>
      <c r="H619"/>
      <c r="I619"/>
      <c r="AI619"/>
    </row>
    <row r="620" spans="1:151">
      <c r="G620"/>
      <c r="H620"/>
      <c r="I620"/>
      <c r="AI620"/>
    </row>
    <row r="621" spans="1:151">
      <c r="G621"/>
      <c r="H621"/>
      <c r="I621"/>
      <c r="AI621"/>
    </row>
    <row r="622" spans="1:151">
      <c r="G622"/>
      <c r="H622"/>
      <c r="I622"/>
      <c r="AI622"/>
    </row>
    <row r="623" spans="1:151">
      <c r="G623"/>
      <c r="H623"/>
      <c r="I623"/>
      <c r="AI623"/>
    </row>
    <row r="624" spans="1:151">
      <c r="G624"/>
      <c r="H624"/>
      <c r="I624"/>
      <c r="AI624"/>
    </row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spans="1:151">
      <c r="G657"/>
      <c r="H657"/>
      <c r="I657"/>
      <c r="AI657"/>
    </row>
    <row r="658" spans="1:151">
      <c r="G658"/>
      <c r="H658"/>
      <c r="I658"/>
      <c r="AI658"/>
    </row>
    <row r="659" spans="1:151">
      <c r="G659"/>
      <c r="H659"/>
      <c r="I659"/>
      <c r="AI659"/>
    </row>
    <row r="660" spans="1:151">
      <c r="G660"/>
      <c r="H660"/>
      <c r="I660"/>
      <c r="AI660"/>
    </row>
    <row r="661" spans="1:151">
      <c r="G661"/>
      <c r="H661"/>
      <c r="I661"/>
      <c r="AI661"/>
    </row>
    <row r="662" spans="1:151" s="2" customFormat="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</row>
    <row r="663" spans="1:151">
      <c r="G663"/>
      <c r="H663"/>
      <c r="I663"/>
      <c r="AI663"/>
    </row>
    <row r="664" spans="1:151">
      <c r="G664"/>
      <c r="H664"/>
      <c r="I664"/>
      <c r="AI664"/>
    </row>
    <row r="665" spans="1:151">
      <c r="G665"/>
      <c r="H665"/>
      <c r="I665"/>
      <c r="AI665"/>
    </row>
    <row r="666" spans="1:151">
      <c r="G666"/>
      <c r="H666"/>
      <c r="I666"/>
      <c r="AI666"/>
    </row>
    <row r="667" spans="1:151">
      <c r="G667"/>
      <c r="H667"/>
      <c r="I667"/>
      <c r="AI667"/>
    </row>
    <row r="668" spans="1:151">
      <c r="G668"/>
      <c r="H668"/>
      <c r="I668"/>
      <c r="AI668"/>
    </row>
    <row r="669" spans="1:151">
      <c r="G669"/>
      <c r="H669"/>
      <c r="I669"/>
      <c r="AI669"/>
    </row>
    <row r="670" spans="1:151">
      <c r="G670"/>
      <c r="H670"/>
      <c r="I670"/>
      <c r="AI670"/>
    </row>
    <row r="671" spans="1:151">
      <c r="G671"/>
      <c r="H671"/>
      <c r="I671"/>
      <c r="AI671"/>
    </row>
    <row r="672" spans="1:151">
      <c r="G672"/>
      <c r="H672"/>
      <c r="I672"/>
      <c r="AI672"/>
    </row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spans="1:151" s="2" customFormat="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</row>
    <row r="706" spans="1:151">
      <c r="G706"/>
      <c r="H706"/>
      <c r="I706"/>
      <c r="AI706"/>
    </row>
    <row r="707" spans="1:151">
      <c r="G707"/>
      <c r="H707"/>
      <c r="I707"/>
      <c r="AI707"/>
    </row>
    <row r="708" spans="1:151">
      <c r="G708"/>
      <c r="H708"/>
      <c r="I708"/>
      <c r="AI708"/>
    </row>
    <row r="709" spans="1:151">
      <c r="G709"/>
      <c r="H709"/>
      <c r="I709"/>
      <c r="AI709"/>
    </row>
    <row r="710" spans="1:151">
      <c r="G710"/>
      <c r="H710"/>
      <c r="I710"/>
      <c r="AI710"/>
    </row>
    <row r="711" spans="1:151">
      <c r="G711"/>
      <c r="H711"/>
      <c r="I711"/>
      <c r="AI711"/>
    </row>
    <row r="712" spans="1:151">
      <c r="G712"/>
      <c r="H712"/>
      <c r="I712"/>
      <c r="AI712"/>
    </row>
    <row r="713" spans="1:151">
      <c r="G713"/>
      <c r="H713"/>
      <c r="I713"/>
      <c r="AI713"/>
    </row>
    <row r="714" spans="1:151">
      <c r="G714"/>
      <c r="H714"/>
      <c r="I714"/>
      <c r="AI714"/>
    </row>
    <row r="715" spans="1:151">
      <c r="G715"/>
      <c r="H715"/>
      <c r="I715"/>
      <c r="AI715"/>
    </row>
    <row r="716" spans="1:151">
      <c r="G716"/>
      <c r="H716"/>
      <c r="I716"/>
      <c r="AI716"/>
    </row>
    <row r="717" spans="1:151">
      <c r="G717"/>
      <c r="H717"/>
      <c r="I717"/>
      <c r="AI717"/>
    </row>
    <row r="718" spans="1:151">
      <c r="G718"/>
      <c r="H718"/>
      <c r="I718"/>
      <c r="AI718"/>
    </row>
    <row r="719" spans="1:151">
      <c r="G719"/>
      <c r="H719"/>
      <c r="I719"/>
      <c r="AI719"/>
    </row>
    <row r="720" spans="1:151">
      <c r="G720"/>
      <c r="H720"/>
      <c r="I720"/>
      <c r="AI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spans="1:151">
      <c r="G737"/>
      <c r="H737"/>
      <c r="I737"/>
      <c r="AI737"/>
    </row>
    <row r="738" spans="1:151">
      <c r="G738"/>
      <c r="H738"/>
      <c r="I738"/>
      <c r="AI738"/>
    </row>
    <row r="739" spans="1:151">
      <c r="G739"/>
      <c r="H739"/>
      <c r="I739"/>
      <c r="AI739"/>
    </row>
    <row r="740" spans="1:151">
      <c r="G740"/>
      <c r="H740"/>
      <c r="I740"/>
      <c r="AI740"/>
    </row>
    <row r="741" spans="1:151">
      <c r="G741"/>
      <c r="H741"/>
      <c r="I741"/>
      <c r="AI741"/>
    </row>
    <row r="742" spans="1:151">
      <c r="G742"/>
      <c r="H742"/>
      <c r="I742"/>
      <c r="AI742"/>
    </row>
    <row r="743" spans="1:151">
      <c r="G743"/>
      <c r="H743"/>
      <c r="I743"/>
      <c r="AI743"/>
    </row>
    <row r="744" spans="1:151">
      <c r="G744"/>
      <c r="H744"/>
      <c r="I744"/>
      <c r="AI744"/>
    </row>
    <row r="745" spans="1:151">
      <c r="G745"/>
      <c r="H745"/>
      <c r="I745"/>
      <c r="AI745"/>
    </row>
    <row r="746" spans="1:151">
      <c r="G746"/>
      <c r="H746"/>
      <c r="I746"/>
      <c r="AI746"/>
    </row>
    <row r="747" spans="1:151">
      <c r="G747"/>
      <c r="H747"/>
      <c r="I747"/>
      <c r="AI747"/>
    </row>
    <row r="748" spans="1:151">
      <c r="G748"/>
      <c r="H748"/>
      <c r="I748"/>
      <c r="AI748"/>
    </row>
    <row r="749" spans="1:151">
      <c r="G749"/>
      <c r="H749"/>
      <c r="I749"/>
      <c r="AI749"/>
    </row>
    <row r="750" spans="1:151" s="2" customFormat="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</row>
    <row r="751" spans="1:151">
      <c r="G751"/>
      <c r="H751"/>
      <c r="I751"/>
      <c r="AI751"/>
    </row>
    <row r="752" spans="1:151">
      <c r="G752"/>
      <c r="H752"/>
      <c r="I752"/>
      <c r="AI752"/>
    </row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spans="1:151">
      <c r="G785"/>
      <c r="H785"/>
      <c r="I785"/>
      <c r="AI785"/>
    </row>
    <row r="786" spans="1:151">
      <c r="G786"/>
      <c r="H786"/>
      <c r="I786"/>
      <c r="AI786"/>
    </row>
    <row r="787" spans="1:151">
      <c r="G787"/>
      <c r="H787"/>
      <c r="I787"/>
      <c r="AI787"/>
    </row>
    <row r="788" spans="1:151">
      <c r="G788"/>
      <c r="H788"/>
      <c r="I788"/>
      <c r="AI788"/>
    </row>
    <row r="789" spans="1:151">
      <c r="G789"/>
      <c r="H789"/>
      <c r="I789"/>
      <c r="AI789"/>
    </row>
    <row r="790" spans="1:151">
      <c r="G790"/>
      <c r="H790"/>
      <c r="I790"/>
      <c r="AI790"/>
    </row>
    <row r="791" spans="1:151">
      <c r="G791"/>
      <c r="H791"/>
      <c r="I791"/>
      <c r="AI791"/>
    </row>
    <row r="792" spans="1:151">
      <c r="G792"/>
      <c r="H792"/>
      <c r="I792"/>
      <c r="AI792"/>
    </row>
    <row r="793" spans="1:151">
      <c r="G793"/>
      <c r="H793"/>
      <c r="I793"/>
      <c r="AI793"/>
    </row>
    <row r="794" spans="1:151">
      <c r="G794"/>
      <c r="H794"/>
      <c r="I794"/>
      <c r="AI794"/>
    </row>
    <row r="795" spans="1:151" s="2" customFormat="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</row>
    <row r="796" spans="1:151" s="2" customFormat="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</row>
    <row r="797" spans="1:151">
      <c r="G797"/>
      <c r="H797"/>
      <c r="I797"/>
      <c r="AI797"/>
    </row>
    <row r="798" spans="1:151">
      <c r="G798"/>
      <c r="H798"/>
      <c r="I798"/>
      <c r="AI798"/>
    </row>
    <row r="799" spans="1:151">
      <c r="G799"/>
      <c r="H799"/>
      <c r="I799"/>
      <c r="AI799"/>
    </row>
    <row r="800" spans="1:151">
      <c r="G800"/>
      <c r="H800"/>
      <c r="I800"/>
      <c r="AI800"/>
    </row>
    <row r="801" spans="1:151">
      <c r="G801"/>
      <c r="H801"/>
      <c r="I801"/>
      <c r="AI801"/>
    </row>
    <row r="802" spans="1:151">
      <c r="G802"/>
      <c r="H802"/>
      <c r="I802"/>
      <c r="AI802"/>
    </row>
    <row r="803" spans="1:151">
      <c r="G803"/>
      <c r="H803"/>
      <c r="I803"/>
      <c r="AI803"/>
    </row>
    <row r="804" spans="1:151">
      <c r="G804"/>
      <c r="H804"/>
      <c r="I804"/>
      <c r="AI804"/>
    </row>
    <row r="805" spans="1:151">
      <c r="G805"/>
      <c r="H805"/>
      <c r="I805"/>
      <c r="AI805"/>
    </row>
    <row r="806" spans="1:151">
      <c r="G806"/>
      <c r="H806"/>
      <c r="I806"/>
      <c r="AI806"/>
    </row>
    <row r="807" spans="1:151">
      <c r="G807"/>
      <c r="H807"/>
      <c r="I807"/>
      <c r="AI807"/>
    </row>
    <row r="808" spans="1:151">
      <c r="G808"/>
      <c r="H808"/>
      <c r="I808"/>
      <c r="AI808"/>
    </row>
    <row r="809" spans="1:151">
      <c r="G809"/>
      <c r="H809"/>
      <c r="I809"/>
      <c r="AI809"/>
    </row>
    <row r="810" spans="1:151" s="2" customFormat="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</row>
    <row r="811" spans="1:151">
      <c r="G811"/>
      <c r="H811"/>
      <c r="I811"/>
      <c r="AI811"/>
    </row>
    <row r="812" spans="1:151">
      <c r="G812"/>
      <c r="H812"/>
      <c r="I812"/>
      <c r="AI812"/>
    </row>
    <row r="813" spans="1:151">
      <c r="G813"/>
      <c r="H813"/>
      <c r="I813"/>
      <c r="AI813"/>
    </row>
    <row r="814" spans="1:151">
      <c r="G814"/>
      <c r="H814"/>
      <c r="I814"/>
      <c r="AI814"/>
    </row>
    <row r="815" spans="1:151">
      <c r="G815"/>
      <c r="H815"/>
      <c r="I815"/>
      <c r="AI815"/>
    </row>
    <row r="816" spans="1:151">
      <c r="G816"/>
      <c r="H816"/>
      <c r="I816"/>
      <c r="AI816"/>
    </row>
    <row r="817" spans="1:151">
      <c r="G817"/>
      <c r="H817"/>
      <c r="I817"/>
      <c r="AI817"/>
    </row>
    <row r="818" spans="1:151">
      <c r="G818"/>
      <c r="H818"/>
      <c r="I818"/>
      <c r="AI818"/>
    </row>
    <row r="819" spans="1:151">
      <c r="G819"/>
      <c r="H819"/>
      <c r="I819"/>
      <c r="AI819"/>
    </row>
    <row r="820" spans="1:151">
      <c r="G820"/>
      <c r="H820"/>
      <c r="I820"/>
      <c r="AI820"/>
    </row>
    <row r="821" spans="1:151">
      <c r="G821"/>
      <c r="H821"/>
      <c r="I821"/>
      <c r="AI821"/>
    </row>
    <row r="822" spans="1:151">
      <c r="G822"/>
      <c r="H822"/>
      <c r="I822"/>
      <c r="AI822"/>
    </row>
    <row r="823" spans="1:151">
      <c r="G823"/>
      <c r="H823"/>
      <c r="I823"/>
      <c r="AI823"/>
    </row>
    <row r="824" spans="1:151" s="2" customFormat="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</row>
    <row r="825" spans="1:151">
      <c r="G825"/>
      <c r="H825"/>
      <c r="I825"/>
      <c r="AI825"/>
    </row>
    <row r="826" spans="1:151">
      <c r="G826"/>
      <c r="H826"/>
      <c r="I826"/>
      <c r="AI826"/>
    </row>
    <row r="827" spans="1:151">
      <c r="G827"/>
      <c r="H827"/>
      <c r="I827"/>
      <c r="AI827"/>
    </row>
    <row r="828" spans="1:151">
      <c r="G828"/>
      <c r="H828"/>
      <c r="I828"/>
      <c r="AI828"/>
    </row>
    <row r="829" spans="1:151">
      <c r="G829"/>
      <c r="H829"/>
      <c r="I829"/>
      <c r="AI829"/>
    </row>
    <row r="830" spans="1:151">
      <c r="G830"/>
      <c r="H830"/>
      <c r="I830"/>
      <c r="AI830"/>
    </row>
    <row r="831" spans="1:151" s="2" customFormat="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</row>
    <row r="832" spans="1:151">
      <c r="G832"/>
      <c r="H832"/>
      <c r="I832"/>
      <c r="AI832"/>
    </row>
    <row r="833" spans="1:151">
      <c r="G833"/>
      <c r="H833"/>
      <c r="I833"/>
      <c r="AI833"/>
    </row>
    <row r="834" spans="1:151">
      <c r="G834"/>
      <c r="H834"/>
      <c r="I834"/>
      <c r="AI834"/>
    </row>
    <row r="835" spans="1:151">
      <c r="G835"/>
      <c r="H835"/>
      <c r="I835"/>
      <c r="AI835"/>
    </row>
    <row r="836" spans="1:151">
      <c r="G836"/>
      <c r="H836"/>
      <c r="I836"/>
      <c r="AI836"/>
    </row>
    <row r="837" spans="1:151">
      <c r="G837"/>
      <c r="H837"/>
      <c r="I837"/>
      <c r="AI837"/>
    </row>
    <row r="838" spans="1:151" s="2" customFormat="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</row>
    <row r="839" spans="1:151">
      <c r="G839"/>
      <c r="H839"/>
      <c r="I839"/>
      <c r="AI839"/>
    </row>
    <row r="840" spans="1:151">
      <c r="G840"/>
      <c r="H840"/>
      <c r="I840"/>
      <c r="AI840"/>
    </row>
    <row r="841" spans="1:151">
      <c r="G841"/>
      <c r="H841"/>
      <c r="I841"/>
      <c r="AI841"/>
    </row>
    <row r="842" spans="1:151">
      <c r="G842"/>
      <c r="H842"/>
      <c r="I842"/>
      <c r="AI842"/>
    </row>
    <row r="843" spans="1:151">
      <c r="G843"/>
      <c r="H843"/>
      <c r="I843"/>
      <c r="AI843"/>
    </row>
    <row r="844" spans="1:151">
      <c r="G844"/>
      <c r="H844"/>
      <c r="I844"/>
      <c r="AI844"/>
    </row>
    <row r="845" spans="1:151" s="2" customFormat="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</row>
    <row r="846" spans="1:151">
      <c r="G846"/>
      <c r="H846"/>
      <c r="I846"/>
      <c r="AI846"/>
    </row>
    <row r="847" spans="1:151">
      <c r="G847"/>
      <c r="H847"/>
      <c r="I847"/>
      <c r="AI847"/>
    </row>
    <row r="848" spans="1:151">
      <c r="G848"/>
      <c r="H848"/>
      <c r="I848"/>
      <c r="AI848"/>
    </row>
    <row r="849" spans="1:151">
      <c r="G849"/>
      <c r="H849"/>
      <c r="I849"/>
      <c r="AI849"/>
    </row>
    <row r="850" spans="1:151">
      <c r="G850"/>
      <c r="H850"/>
      <c r="I850"/>
      <c r="AI850"/>
    </row>
    <row r="851" spans="1:151">
      <c r="G851"/>
      <c r="H851"/>
      <c r="I851"/>
      <c r="AI851"/>
    </row>
    <row r="852" spans="1:151">
      <c r="G852"/>
      <c r="H852"/>
      <c r="I852"/>
      <c r="AI852"/>
    </row>
    <row r="853" spans="1:151">
      <c r="G853"/>
      <c r="H853"/>
      <c r="I853"/>
      <c r="AI853"/>
    </row>
    <row r="854" spans="1:151" s="2" customFormat="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</row>
    <row r="855" spans="1:151" s="2" customFormat="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</row>
    <row r="856" spans="1:151" s="2" customFormat="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</row>
    <row r="857" spans="1:151">
      <c r="G857"/>
      <c r="H857"/>
      <c r="I857"/>
      <c r="AI857"/>
    </row>
    <row r="858" spans="1:151">
      <c r="G858"/>
      <c r="H858"/>
      <c r="I858"/>
      <c r="AI858"/>
    </row>
    <row r="859" spans="1:151">
      <c r="G859"/>
      <c r="H859"/>
      <c r="I859"/>
      <c r="AI859"/>
    </row>
    <row r="860" spans="1:151">
      <c r="G860"/>
      <c r="H860"/>
      <c r="I860"/>
      <c r="AI860"/>
    </row>
    <row r="861" spans="1:151">
      <c r="G861"/>
      <c r="H861"/>
      <c r="I861"/>
      <c r="AI861"/>
    </row>
    <row r="862" spans="1:151">
      <c r="G862"/>
      <c r="H862"/>
      <c r="I862"/>
      <c r="AI862"/>
    </row>
    <row r="863" spans="1:151">
      <c r="G863"/>
      <c r="H863"/>
      <c r="I863"/>
      <c r="AI863"/>
    </row>
    <row r="864" spans="1:151">
      <c r="G864"/>
      <c r="H864"/>
      <c r="I864"/>
      <c r="AI864"/>
    </row>
    <row r="865" spans="1:151">
      <c r="G865"/>
      <c r="H865"/>
      <c r="I865"/>
      <c r="AI865"/>
    </row>
    <row r="866" spans="1:151">
      <c r="G866"/>
      <c r="H866"/>
      <c r="I866"/>
      <c r="AI866"/>
    </row>
    <row r="867" spans="1:151" ht="15" customHeight="1">
      <c r="G867"/>
      <c r="H867"/>
      <c r="I867"/>
      <c r="AI867"/>
    </row>
    <row r="868" spans="1:151">
      <c r="G868"/>
      <c r="H868"/>
      <c r="I868"/>
      <c r="AI868"/>
    </row>
    <row r="869" spans="1:151">
      <c r="G869"/>
      <c r="H869"/>
      <c r="I869"/>
      <c r="AI869"/>
    </row>
    <row r="870" spans="1:151" s="2" customFormat="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</row>
    <row r="871" spans="1:151">
      <c r="G871"/>
      <c r="H871"/>
      <c r="I871"/>
      <c r="AI871"/>
    </row>
    <row r="872" spans="1:151">
      <c r="G872"/>
      <c r="H872"/>
      <c r="I872"/>
      <c r="AI872"/>
    </row>
    <row r="873" spans="1:151">
      <c r="G873"/>
      <c r="H873"/>
      <c r="I873"/>
      <c r="AI873"/>
    </row>
    <row r="874" spans="1:151" s="2" customFormat="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</row>
    <row r="875" spans="1:151">
      <c r="G875"/>
      <c r="H875"/>
      <c r="I875"/>
      <c r="AI875"/>
    </row>
    <row r="876" spans="1:151">
      <c r="G876"/>
      <c r="H876"/>
      <c r="I876"/>
      <c r="AI876"/>
    </row>
    <row r="877" spans="1:151">
      <c r="G877"/>
      <c r="H877"/>
      <c r="I877"/>
      <c r="AI877"/>
    </row>
    <row r="878" spans="1:151">
      <c r="G878"/>
      <c r="H878"/>
      <c r="I878"/>
      <c r="AI878"/>
    </row>
    <row r="879" spans="1:151" s="4" customFormat="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</row>
    <row r="880" spans="1:151" s="2" customFormat="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</row>
    <row r="881" spans="1:151" s="2" customFormat="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</row>
    <row r="882" spans="1:151" s="4" customFormat="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</row>
    <row r="883" spans="1:151" s="4" customFormat="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</row>
    <row r="884" spans="1:151" s="4" customFormat="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</row>
    <row r="885" spans="1:151" s="4" customFormat="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</row>
    <row r="886" spans="1:151" s="4" customFormat="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</row>
    <row r="887" spans="1:151" s="4" customFormat="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</row>
    <row r="888" spans="1:151" s="4" customFormat="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</row>
    <row r="889" spans="1:151" s="4" customFormat="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</row>
    <row r="890" spans="1:151" s="4" customFormat="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</row>
    <row r="891" spans="1:151" s="4" customFormat="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</row>
    <row r="892" spans="1:151" s="4" customFormat="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</row>
    <row r="893" spans="1:151" s="4" customFormat="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</row>
    <row r="894" spans="1:151" s="4" customFormat="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</row>
    <row r="895" spans="1:151" s="4" customFormat="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</row>
    <row r="896" spans="1:151" s="4" customFormat="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</row>
    <row r="897" spans="1:151" s="4" customFormat="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</row>
    <row r="898" spans="1:151" s="4" customFormat="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</row>
    <row r="899" spans="1:151" s="4" customFormat="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</row>
    <row r="900" spans="1:151" s="4" customFormat="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</row>
    <row r="901" spans="1:151" s="4" customFormat="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</row>
    <row r="902" spans="1:151" s="4" customFormat="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</row>
    <row r="903" spans="1:151" s="4" customFormat="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</row>
    <row r="904" spans="1:151" s="4" customFormat="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</row>
    <row r="905" spans="1:151" s="4" customFormat="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</row>
    <row r="906" spans="1:151" s="4" customFormat="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</row>
    <row r="907" spans="1:151" s="4" customFormat="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</row>
    <row r="908" spans="1:151" s="4" customFormat="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</row>
    <row r="909" spans="1:151" s="4" customFormat="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</row>
    <row r="910" spans="1:151" s="4" customFormat="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</row>
    <row r="911" spans="1:151" s="4" customFormat="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</row>
    <row r="912" spans="1:151" s="4" customFormat="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</row>
    <row r="913" spans="1:151" s="4" customFormat="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</row>
    <row r="914" spans="1:151" s="4" customFormat="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</row>
    <row r="915" spans="1:151" s="4" customFormat="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</row>
    <row r="916" spans="1:151" s="4" customFormat="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</row>
    <row r="917" spans="1:151" s="4" customFormat="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</row>
    <row r="918" spans="1:151" s="4" customFormat="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</row>
    <row r="919" spans="1:151" s="4" customFormat="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</row>
    <row r="920" spans="1:151" s="4" customFormat="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</row>
    <row r="921" spans="1:151" s="4" customFormat="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</row>
    <row r="922" spans="1:151" s="4" customFormat="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</row>
    <row r="923" spans="1:151" s="4" customFormat="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</row>
    <row r="924" spans="1:151" s="4" customFormat="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</row>
    <row r="925" spans="1:151" s="4" customFormat="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</row>
    <row r="926" spans="1:151" s="4" customFormat="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</row>
    <row r="927" spans="1:151" s="4" customFormat="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</row>
    <row r="928" spans="1:151" s="4" customFormat="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</row>
    <row r="929" spans="1:151" s="4" customFormat="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</row>
    <row r="930" spans="1:151" s="2" customFormat="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</row>
    <row r="931" spans="1:151" s="4" customFormat="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</row>
    <row r="932" spans="1:151" s="4" customFormat="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</row>
    <row r="933" spans="1:151" s="4" customFormat="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</row>
    <row r="934" spans="1:151" s="4" customFormat="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</row>
    <row r="935" spans="1:151" s="4" customFormat="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</row>
    <row r="936" spans="1:151" s="4" customFormat="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</row>
    <row r="937" spans="1:151" s="4" customFormat="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</row>
    <row r="938" spans="1:151" s="4" customFormat="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</row>
    <row r="939" spans="1:151" s="4" customFormat="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</row>
    <row r="940" spans="1:151" s="4" customFormat="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</row>
    <row r="941" spans="1:151" s="4" customFormat="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</row>
    <row r="942" spans="1:151" s="4" customFormat="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</row>
    <row r="943" spans="1:151" s="4" customFormat="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</row>
    <row r="944" spans="1:151" s="4" customFormat="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</row>
    <row r="945" spans="1:151" s="4" customFormat="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</row>
    <row r="946" spans="1:151" s="4" customFormat="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</row>
    <row r="947" spans="1:151" s="4" customFormat="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</row>
    <row r="948" spans="1:151" s="4" customFormat="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</row>
    <row r="949" spans="1:151" s="4" customFormat="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</row>
    <row r="950" spans="1:151" s="4" customFormat="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</row>
    <row r="951" spans="1:151" s="4" customFormat="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</row>
    <row r="952" spans="1:151" s="4" customFormat="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</row>
    <row r="953" spans="1:151" s="4" customFormat="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</row>
    <row r="954" spans="1:151" s="4" customFormat="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</row>
    <row r="955" spans="1:151" s="4" customFormat="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</row>
    <row r="956" spans="1:151" s="4" customFormat="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</row>
    <row r="957" spans="1:151">
      <c r="G957"/>
      <c r="H957"/>
      <c r="I957"/>
      <c r="AI957"/>
    </row>
    <row r="958" spans="1:151" s="4" customFormat="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</row>
    <row r="959" spans="1:151" s="4" customFormat="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</row>
    <row r="960" spans="1:151" s="4" customFormat="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</row>
    <row r="961" spans="1:151" s="12" customFormat="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</row>
    <row r="962" spans="1:151" s="2" customFormat="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</row>
    <row r="963" spans="1:151" s="13" customFormat="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</row>
    <row r="964" spans="1:151" s="3" customFormat="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</row>
    <row r="965" spans="1:151" s="3" customFormat="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</row>
    <row r="966" spans="1:151" s="3" customFormat="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</row>
    <row r="967" spans="1:151" s="3" customFormat="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</row>
    <row r="968" spans="1:151" s="3" customFormat="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</row>
    <row r="969" spans="1:151" s="3" customFormat="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</row>
    <row r="970" spans="1:151" s="3" customFormat="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</row>
    <row r="971" spans="1:151" s="3" customFormat="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</row>
    <row r="972" spans="1:151" s="3" customFormat="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</row>
    <row r="973" spans="1:151" s="3" customFormat="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</row>
    <row r="974" spans="1:151" s="3" customFormat="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</row>
    <row r="975" spans="1:151" s="3" customFormat="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</row>
    <row r="976" spans="1:151" s="3" customFormat="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</row>
    <row r="977" spans="1:151" s="3" customFormat="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</row>
    <row r="978" spans="1:151" s="3" customFormat="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</row>
    <row r="979" spans="1:151" s="3" customFormat="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</row>
    <row r="980" spans="1:151" s="3" customFormat="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</row>
    <row r="981" spans="1:151" s="3" customFormat="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</row>
    <row r="982" spans="1:151" s="3" customFormat="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</row>
    <row r="983" spans="1:151" s="3" customFormat="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</row>
    <row r="984" spans="1:151" s="3" customFormat="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</row>
    <row r="985" spans="1:151" s="3" customFormat="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</row>
    <row r="986" spans="1:151" s="3" customFormat="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</row>
    <row r="987" spans="1:151" s="3" customFormat="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</row>
    <row r="988" spans="1:151" s="3" customFormat="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</row>
    <row r="989" spans="1:151" s="3" customFormat="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</row>
    <row r="990" spans="1:151" s="3" customFormat="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</row>
    <row r="991" spans="1:151" s="3" customFormat="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</row>
    <row r="992" spans="1:151" s="3" customFormat="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</row>
    <row r="993" spans="1:151" s="3" customFormat="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</row>
    <row r="994" spans="1:151" s="3" customFormat="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</row>
    <row r="995" spans="1:151" s="3" customFormat="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</row>
    <row r="996" spans="1:151" s="3" customFormat="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</row>
    <row r="997" spans="1:151" s="3" customFormat="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</row>
    <row r="998" spans="1:151" s="3" customFormat="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</row>
    <row r="999" spans="1:151" s="3" customFormat="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</row>
    <row r="1000" spans="1:151" s="3" customFormat="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</row>
    <row r="1001" spans="1:151" s="3" customFormat="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</row>
    <row r="1002" spans="1:151" s="3" customFormat="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</row>
    <row r="1003" spans="1:151" s="2" customFormat="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</row>
    <row r="1004" spans="1:151" s="3" customFormat="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</row>
    <row r="1005" spans="1:151" s="3" customFormat="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</row>
    <row r="1006" spans="1:151" s="3" customFormat="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</row>
    <row r="1007" spans="1:151" s="3" customFormat="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</row>
    <row r="1008" spans="1:151" s="3" customFormat="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</row>
    <row r="1009" spans="1:151" s="3" customFormat="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</row>
    <row r="1010" spans="1:151" s="3" customFormat="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</row>
    <row r="1011" spans="1:151" s="3" customFormat="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</row>
    <row r="1012" spans="1:151" s="3" customFormat="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</row>
    <row r="1013" spans="1:151" s="3" customFormat="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</row>
    <row r="1014" spans="1:151" s="3" customFormat="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</row>
    <row r="1015" spans="1:151" s="3" customFormat="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</row>
    <row r="1016" spans="1:151" s="2" customFormat="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</row>
    <row r="1017" spans="1:151" s="2" customFormat="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</row>
    <row r="1018" spans="1:151" s="8" customFormat="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</row>
    <row r="1019" spans="1:151" s="8" customFormat="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</row>
    <row r="1020" spans="1:151" s="8" customFormat="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</row>
    <row r="1021" spans="1:151" s="8" customFormat="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</row>
    <row r="1022" spans="1:151" s="8" customFormat="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</row>
    <row r="1023" spans="1:151" s="8" customFormat="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</row>
    <row r="1024" spans="1:151" s="8" customFormat="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</row>
    <row r="1025" spans="1:151" s="8" customFormat="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</row>
    <row r="1026" spans="1:151" s="8" customFormat="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</row>
    <row r="1027" spans="1:151" s="8" customFormat="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</row>
    <row r="1028" spans="1:151" s="8" customFormat="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</row>
    <row r="1029" spans="1:151" s="8" customFormat="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</row>
    <row r="1030" spans="1:151" s="8" customFormat="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</row>
    <row r="1031" spans="1:151" s="8" customFormat="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</row>
    <row r="1032" spans="1:151" s="8" customFormat="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</row>
    <row r="1033" spans="1:151" s="8" customFormat="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</row>
    <row r="1034" spans="1:151" s="8" customFormat="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</row>
    <row r="1035" spans="1:151" s="8" customFormat="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</row>
    <row r="1036" spans="1:151" s="8" customFormat="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</row>
    <row r="1037" spans="1:151" s="8" customFormat="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</row>
    <row r="1038" spans="1:151" s="8" customFormat="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</row>
    <row r="1039" spans="1:151" s="8" customFormat="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</row>
    <row r="1040" spans="1:151" s="14" customFormat="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</row>
    <row r="1041" spans="1:151" s="14" customFormat="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</row>
    <row r="1042" spans="1:151" s="14" customFormat="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</row>
    <row r="1043" spans="1:151" s="14" customFormat="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</row>
    <row r="1044" spans="1:151" s="14" customFormat="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</row>
    <row r="1045" spans="1:151" s="14" customFormat="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</row>
    <row r="1046" spans="1:151" s="14" customFormat="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</row>
    <row r="1047" spans="1:151" s="14" customFormat="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</row>
    <row r="1048" spans="1:151" s="14" customFormat="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</row>
    <row r="1049" spans="1:151" s="14" customFormat="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</row>
    <row r="1050" spans="1:151" s="14" customFormat="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</row>
    <row r="1051" spans="1:151" s="14" customFormat="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</row>
    <row r="1052" spans="1:151" s="14" customFormat="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</row>
    <row r="1053" spans="1:151" s="14" customFormat="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</row>
    <row r="1054" spans="1:151" s="14" customFormat="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</row>
    <row r="1055" spans="1:151" s="14" customFormat="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</row>
    <row r="1056" spans="1:151" s="14" customFormat="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</row>
    <row r="1057" spans="1:151" s="14" customFormat="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</row>
    <row r="1058" spans="1:151" s="14" customFormat="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</row>
    <row r="1059" spans="1:151" s="14" customFormat="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</row>
    <row r="1060" spans="1:151" s="14" customFormat="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</row>
    <row r="1061" spans="1:151" s="14" customFormat="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</row>
    <row r="1062" spans="1:151" s="14" customFormat="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</row>
    <row r="1063" spans="1:151" s="14" customFormat="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</row>
    <row r="1064" spans="1:151" s="14" customFormat="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</row>
    <row r="1065" spans="1:151" s="14" customFormat="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</row>
    <row r="1066" spans="1:151" s="14" customFormat="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</row>
    <row r="1067" spans="1:151" s="14" customFormat="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</row>
    <row r="1068" spans="1:151" s="14" customFormat="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</row>
    <row r="1069" spans="1:151" s="14" customFormat="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</row>
    <row r="1070" spans="1:151" s="14" customFormat="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</row>
    <row r="1071" spans="1:151" s="14" customFormat="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</row>
    <row r="1072" spans="1:151" s="14" customFormat="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</row>
    <row r="1073" spans="1:151" s="14" customFormat="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</row>
    <row r="1074" spans="1:151" s="14" customFormat="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</row>
    <row r="1075" spans="1:151" s="14" customFormat="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</row>
    <row r="1076" spans="1:151" s="14" customFormat="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</row>
    <row r="1077" spans="1:151" s="14" customFormat="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</row>
    <row r="1078" spans="1:151" s="14" customFormat="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</row>
    <row r="1079" spans="1:151" s="14" customFormat="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</row>
    <row r="1080" spans="1:151" s="14" customFormat="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</row>
    <row r="1081" spans="1:151" s="14" customFormat="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</row>
    <row r="1082" spans="1:151">
      <c r="G1082"/>
      <c r="H1082"/>
      <c r="I1082"/>
      <c r="AI1082"/>
    </row>
    <row r="1083" spans="1:151">
      <c r="G1083"/>
      <c r="H1083"/>
      <c r="I1083"/>
      <c r="AI1083"/>
    </row>
    <row r="1084" spans="1:151">
      <c r="G1084"/>
      <c r="H1084"/>
      <c r="I1084"/>
      <c r="AI1084"/>
    </row>
    <row r="1085" spans="1:151">
      <c r="G1085"/>
      <c r="H1085"/>
      <c r="I1085"/>
      <c r="AI1085"/>
    </row>
    <row r="1086" spans="1:151">
      <c r="G1086"/>
      <c r="H1086"/>
      <c r="I1086"/>
      <c r="AI1086"/>
    </row>
    <row r="1087" spans="1:151">
      <c r="G1087"/>
      <c r="H1087"/>
      <c r="I1087"/>
      <c r="AI1087"/>
    </row>
    <row r="1088" spans="1:151">
      <c r="G1088"/>
      <c r="H1088"/>
      <c r="I1088"/>
      <c r="AI1088"/>
    </row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spans="7:35">
      <c r="G1569"/>
      <c r="H1569"/>
      <c r="I1569"/>
      <c r="AI1569"/>
    </row>
    <row r="1570" spans="7:35">
      <c r="G1570"/>
      <c r="H1570"/>
      <c r="I1570"/>
      <c r="AI1570"/>
    </row>
    <row r="1571" spans="7:35">
      <c r="G1571"/>
      <c r="H1571"/>
      <c r="I1571"/>
      <c r="AI1571"/>
    </row>
    <row r="1572" spans="7:35">
      <c r="H1572"/>
      <c r="I1572"/>
      <c r="AI1572"/>
    </row>
    <row r="1573" spans="7:35">
      <c r="H1573"/>
      <c r="I1573"/>
      <c r="AI1573"/>
    </row>
    <row r="1574" spans="7:35">
      <c r="H1574"/>
      <c r="I1574"/>
      <c r="AI1574"/>
    </row>
    <row r="1575" spans="7:35">
      <c r="H1575"/>
      <c r="I1575"/>
      <c r="AI1575"/>
    </row>
    <row r="1576" spans="7:35">
      <c r="H1576"/>
      <c r="I1576"/>
      <c r="AI1576"/>
    </row>
    <row r="1577" spans="7:35">
      <c r="H1577"/>
      <c r="I1577"/>
      <c r="AI1577"/>
    </row>
    <row r="1578" spans="7:35">
      <c r="H1578"/>
      <c r="I1578"/>
      <c r="AI1578"/>
    </row>
    <row r="1579" spans="7:35">
      <c r="H1579"/>
      <c r="I1579"/>
      <c r="AI1579"/>
    </row>
    <row r="1580" spans="7:35">
      <c r="H1580"/>
      <c r="I1580"/>
      <c r="AI1580"/>
    </row>
    <row r="1581" spans="7:35">
      <c r="H1581"/>
      <c r="I1581"/>
      <c r="AI1581"/>
    </row>
    <row r="1582" spans="7:35">
      <c r="H1582"/>
      <c r="I1582"/>
      <c r="AI1582"/>
    </row>
    <row r="1583" spans="7:35">
      <c r="H1583"/>
      <c r="I1583"/>
      <c r="AI1583"/>
    </row>
    <row r="1584" spans="7:35">
      <c r="H1584"/>
      <c r="I1584"/>
      <c r="AI1584"/>
    </row>
    <row r="1585" spans="8:35">
      <c r="H1585"/>
      <c r="I1585"/>
      <c r="AI1585"/>
    </row>
    <row r="1586" spans="8:35">
      <c r="H1586"/>
      <c r="I1586"/>
      <c r="AI1586"/>
    </row>
    <row r="1587" spans="8:35">
      <c r="H1587"/>
      <c r="I1587"/>
      <c r="AI1587"/>
    </row>
    <row r="1588" spans="8:35">
      <c r="H1588"/>
      <c r="I1588"/>
      <c r="AI1588"/>
    </row>
    <row r="1589" spans="8:35">
      <c r="H1589"/>
      <c r="I1589"/>
      <c r="AI1589"/>
    </row>
    <row r="1590" spans="8:35">
      <c r="H1590"/>
      <c r="I1590"/>
      <c r="AI1590"/>
    </row>
    <row r="1591" spans="8:35">
      <c r="H1591"/>
      <c r="I1591"/>
      <c r="AI1591"/>
    </row>
    <row r="1592" spans="8:35">
      <c r="H1592"/>
      <c r="I1592"/>
      <c r="AI1592"/>
    </row>
    <row r="1593" spans="8:35">
      <c r="H1593"/>
      <c r="I1593"/>
      <c r="AI1593"/>
    </row>
    <row r="1594" spans="8:35">
      <c r="H1594"/>
      <c r="I1594"/>
      <c r="AI1594"/>
    </row>
    <row r="1595" spans="8:35">
      <c r="H1595"/>
      <c r="I1595"/>
      <c r="AI1595"/>
    </row>
    <row r="1596" spans="8:35">
      <c r="H1596"/>
      <c r="I1596"/>
      <c r="AI1596"/>
    </row>
    <row r="1597" spans="8:35">
      <c r="H1597"/>
      <c r="I1597"/>
      <c r="AI1597"/>
    </row>
    <row r="1598" spans="8:35">
      <c r="H1598"/>
      <c r="I1598"/>
      <c r="AI1598"/>
    </row>
    <row r="1599" spans="8:35">
      <c r="H1599"/>
      <c r="I1599"/>
      <c r="AI1599"/>
    </row>
    <row r="1600" spans="8:35">
      <c r="H1600"/>
      <c r="I1600"/>
      <c r="AI1600"/>
    </row>
    <row r="1601" spans="8:35">
      <c r="H1601"/>
      <c r="I1601"/>
      <c r="AI1601"/>
    </row>
    <row r="1602" spans="8:35">
      <c r="H1602"/>
      <c r="I1602"/>
      <c r="AI1602"/>
    </row>
    <row r="1603" spans="8:35">
      <c r="H1603"/>
      <c r="I1603"/>
      <c r="AI1603"/>
    </row>
    <row r="1604" spans="8:35">
      <c r="H1604"/>
      <c r="I1604"/>
      <c r="AI1604"/>
    </row>
    <row r="1605" spans="8:35">
      <c r="H1605"/>
      <c r="I1605"/>
      <c r="AI1605"/>
    </row>
    <row r="1606" spans="8:35">
      <c r="H1606"/>
      <c r="I1606"/>
      <c r="AI1606"/>
    </row>
    <row r="1607" spans="8:35">
      <c r="H1607"/>
      <c r="I1607"/>
      <c r="AI1607"/>
    </row>
    <row r="1608" spans="8:35">
      <c r="H1608"/>
      <c r="I1608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108"/>
  <sheetViews>
    <sheetView tabSelected="1" workbookViewId="0">
      <selection activeCell="A57" sqref="A57"/>
    </sheetView>
  </sheetViews>
  <sheetFormatPr defaultRowHeight="13.2"/>
  <cols>
    <col min="2" max="2" width="15.88671875" bestFit="1" customWidth="1"/>
    <col min="4" max="4" width="9.44140625" customWidth="1"/>
  </cols>
  <sheetData>
    <row r="3" spans="1:18">
      <c r="A3" t="s">
        <v>205</v>
      </c>
    </row>
    <row r="4" spans="1:18">
      <c r="D4" t="s">
        <v>217</v>
      </c>
    </row>
    <row r="5" spans="1:18">
      <c r="B5" t="s">
        <v>1</v>
      </c>
      <c r="C5" t="s">
        <v>3</v>
      </c>
      <c r="D5" t="s">
        <v>206</v>
      </c>
      <c r="E5" t="s">
        <v>216</v>
      </c>
      <c r="F5" t="s">
        <v>207</v>
      </c>
      <c r="G5" t="s">
        <v>208</v>
      </c>
      <c r="H5" t="s">
        <v>209</v>
      </c>
      <c r="I5">
        <f>'Storage Data'!N3</f>
        <v>2006</v>
      </c>
      <c r="J5">
        <f>'Storage Data'!O3</f>
        <v>2007</v>
      </c>
      <c r="K5">
        <f>'Storage Data'!P3</f>
        <v>2009</v>
      </c>
      <c r="L5">
        <f>'Storage Data'!Q3</f>
        <v>2010</v>
      </c>
      <c r="M5">
        <f>'Storage Data'!R3</f>
        <v>2011</v>
      </c>
      <c r="N5">
        <f>'Storage Data'!S3</f>
        <v>2012</v>
      </c>
      <c r="O5">
        <f>'Storage Data'!T3</f>
        <v>2013</v>
      </c>
      <c r="P5">
        <f>'Storage Data'!U3</f>
        <v>2014</v>
      </c>
      <c r="Q5">
        <f>'Storage Data'!V3</f>
        <v>2015</v>
      </c>
      <c r="R5">
        <f>'Storage Data'!W3</f>
        <v>2016</v>
      </c>
    </row>
    <row r="6" spans="1:18">
      <c r="B6" t="s">
        <v>250</v>
      </c>
      <c r="C6" t="s">
        <v>84</v>
      </c>
      <c r="D6" t="s">
        <v>84</v>
      </c>
      <c r="E6">
        <v>0.98</v>
      </c>
      <c r="F6" s="30">
        <f>'Storage Data'!I4</f>
        <v>8.8919999999999995</v>
      </c>
      <c r="G6">
        <v>50</v>
      </c>
      <c r="H6">
        <f>'Storage Data'!L4</f>
        <v>8.6708782360956285</v>
      </c>
      <c r="I6" t="str">
        <f>IF('Storage Data'!N4="","",'Storage Data'!N4)</f>
        <v/>
      </c>
      <c r="J6" t="str">
        <f>IF('Storage Data'!O4="","",'Storage Data'!O4)</f>
        <v/>
      </c>
      <c r="K6" t="str">
        <f>IF('Storage Data'!P4="","",'Storage Data'!P4)</f>
        <v/>
      </c>
      <c r="L6" t="str">
        <f>IF('Storage Data'!Q4="","",'Storage Data'!Q4)</f>
        <v/>
      </c>
      <c r="M6" t="str">
        <f>IF('Storage Data'!R4="","",'Storage Data'!R4)</f>
        <v/>
      </c>
      <c r="N6" t="str">
        <f>IF('Storage Data'!S4="","",'Storage Data'!S4)</f>
        <v/>
      </c>
      <c r="O6" t="str">
        <f>IF('Storage Data'!T4="","",'Storage Data'!T4)</f>
        <v/>
      </c>
      <c r="P6" t="str">
        <f>IF('Storage Data'!U4="","",'Storage Data'!U4)</f>
        <v/>
      </c>
      <c r="Q6" t="str">
        <f>IF('Storage Data'!V4="","",'Storage Data'!V4)</f>
        <v/>
      </c>
      <c r="R6" t="str">
        <f>IF('Storage Data'!W4="","",'Storage Data'!W4)</f>
        <v/>
      </c>
    </row>
    <row r="7" spans="1:18">
      <c r="B7" t="s">
        <v>210</v>
      </c>
      <c r="C7" t="s">
        <v>84</v>
      </c>
      <c r="D7" t="s">
        <v>84</v>
      </c>
      <c r="E7">
        <v>0.98</v>
      </c>
      <c r="F7" s="30">
        <f>'Storage Data'!I5</f>
        <v>8.4239999999999995</v>
      </c>
      <c r="G7">
        <v>50</v>
      </c>
      <c r="H7">
        <f>'Storage Data'!L5</f>
        <v>8.6708782360956285</v>
      </c>
      <c r="I7" t="str">
        <f>IF('Storage Data'!N5="","",'Storage Data'!N5)</f>
        <v/>
      </c>
      <c r="J7" t="str">
        <f>IF('Storage Data'!O5="","",'Storage Data'!O5)</f>
        <v/>
      </c>
      <c r="K7" t="str">
        <f>IF('Storage Data'!P5="","",'Storage Data'!P5)</f>
        <v/>
      </c>
      <c r="L7" t="str">
        <f>IF('Storage Data'!Q5="","",'Storage Data'!Q5)</f>
        <v/>
      </c>
      <c r="M7" t="str">
        <f>IF('Storage Data'!R5="","",'Storage Data'!R5)</f>
        <v/>
      </c>
      <c r="N7" t="str">
        <f>IF('Storage Data'!S5="","",'Storage Data'!S5)</f>
        <v/>
      </c>
      <c r="O7" t="str">
        <f>IF('Storage Data'!T5="","",'Storage Data'!T5)</f>
        <v/>
      </c>
      <c r="P7" t="str">
        <f>IF('Storage Data'!U5="","",'Storage Data'!U5)</f>
        <v/>
      </c>
      <c r="Q7" t="str">
        <f>IF('Storage Data'!V5="","",'Storage Data'!V5)</f>
        <v/>
      </c>
      <c r="R7" t="str">
        <f>IF('Storage Data'!W5="","",'Storage Data'!W5)</f>
        <v/>
      </c>
    </row>
    <row r="8" spans="1:18">
      <c r="B8" t="s">
        <v>211</v>
      </c>
      <c r="C8" t="s">
        <v>84</v>
      </c>
      <c r="D8" t="s">
        <v>84</v>
      </c>
      <c r="E8">
        <v>0.98</v>
      </c>
      <c r="F8" s="30">
        <f>'Storage Data'!I6</f>
        <v>3.51</v>
      </c>
      <c r="G8">
        <v>50</v>
      </c>
      <c r="H8">
        <f>'Storage Data'!L6</f>
        <v>8.6708782360956285</v>
      </c>
      <c r="I8" t="str">
        <f>IF('Storage Data'!N6="","",'Storage Data'!N6)</f>
        <v/>
      </c>
      <c r="J8" t="str">
        <f>IF('Storage Data'!O6="","",'Storage Data'!O6)</f>
        <v/>
      </c>
      <c r="K8">
        <f>IF('Storage Data'!P6="","",'Storage Data'!P6)</f>
        <v>7.7219999999999995</v>
      </c>
      <c r="L8" t="str">
        <f>IF('Storage Data'!Q6="","",'Storage Data'!Q6)</f>
        <v/>
      </c>
      <c r="M8" t="str">
        <f>IF('Storage Data'!R6="","",'Storage Data'!R6)</f>
        <v/>
      </c>
      <c r="N8" t="str">
        <f>IF('Storage Data'!S6="","",'Storage Data'!S6)</f>
        <v/>
      </c>
      <c r="O8" t="str">
        <f>IF('Storage Data'!T6="","",'Storage Data'!T6)</f>
        <v/>
      </c>
      <c r="P8" t="str">
        <f>IF('Storage Data'!U6="","",'Storage Data'!U6)</f>
        <v/>
      </c>
      <c r="Q8" t="str">
        <f>IF('Storage Data'!V6="","",'Storage Data'!V6)</f>
        <v/>
      </c>
      <c r="R8" t="str">
        <f>IF('Storage Data'!W6="","",'Storage Data'!W6)</f>
        <v/>
      </c>
    </row>
    <row r="9" spans="1:18">
      <c r="B9" t="s">
        <v>254</v>
      </c>
      <c r="C9" t="s">
        <v>84</v>
      </c>
      <c r="D9" t="s">
        <v>84</v>
      </c>
      <c r="E9">
        <v>0.98</v>
      </c>
      <c r="F9" s="30">
        <f>'Storage Data'!I7</f>
        <v>2.34</v>
      </c>
      <c r="G9">
        <v>50</v>
      </c>
      <c r="H9">
        <f>'Storage Data'!L7</f>
        <v>8.6708782360956285</v>
      </c>
      <c r="I9" t="str">
        <f>IF('Storage Data'!N7="","",'Storage Data'!N7)</f>
        <v/>
      </c>
      <c r="J9" t="str">
        <f>IF('Storage Data'!O7="","",'Storage Data'!O7)</f>
        <v/>
      </c>
      <c r="K9" t="str">
        <f>IF('Storage Data'!P7="","",'Storage Data'!P7)</f>
        <v/>
      </c>
      <c r="L9" t="str">
        <f>IF('Storage Data'!Q7="","",'Storage Data'!Q7)</f>
        <v/>
      </c>
      <c r="M9">
        <f>IF('Storage Data'!R7="","",'Storage Data'!R7)</f>
        <v>3.2058</v>
      </c>
      <c r="N9" t="str">
        <f>IF('Storage Data'!S7="","",'Storage Data'!S7)</f>
        <v/>
      </c>
      <c r="O9" t="str">
        <f>IF('Storage Data'!T7="","",'Storage Data'!T7)</f>
        <v/>
      </c>
      <c r="P9">
        <f>IF('Storage Data'!U7="","",'Storage Data'!U7)</f>
        <v>0.93599999999999994</v>
      </c>
      <c r="Q9" t="str">
        <f>IF('Storage Data'!V7="","",'Storage Data'!V7)</f>
        <v/>
      </c>
      <c r="R9" t="str">
        <f>IF('Storage Data'!W7="","",'Storage Data'!W7)</f>
        <v/>
      </c>
    </row>
    <row r="10" spans="1:18">
      <c r="B10" t="s">
        <v>255</v>
      </c>
      <c r="C10" t="s">
        <v>84</v>
      </c>
      <c r="D10" t="s">
        <v>84</v>
      </c>
      <c r="E10">
        <v>0.98</v>
      </c>
      <c r="F10" s="30">
        <f>'Storage Data'!I8</f>
        <v>0</v>
      </c>
      <c r="G10">
        <v>50</v>
      </c>
      <c r="H10">
        <f>'Storage Data'!L8</f>
        <v>8.6708782360956285</v>
      </c>
      <c r="I10" t="str">
        <f>IF('Storage Data'!N8="","",'Storage Data'!N8)</f>
        <v/>
      </c>
      <c r="J10" t="str">
        <f>IF('Storage Data'!O8="","",'Storage Data'!O8)</f>
        <v/>
      </c>
      <c r="K10" t="str">
        <f>IF('Storage Data'!P8="","",'Storage Data'!P8)</f>
        <v/>
      </c>
      <c r="L10">
        <f>IF('Storage Data'!Q8="","",'Storage Data'!Q8)</f>
        <v>7.4879999999999995</v>
      </c>
      <c r="M10" t="str">
        <f>IF('Storage Data'!R8="","",'Storage Data'!R8)</f>
        <v/>
      </c>
      <c r="N10">
        <f>IF('Storage Data'!S8="","",'Storage Data'!S8)</f>
        <v>7.4880000000000013</v>
      </c>
      <c r="O10" t="str">
        <f>IF('Storage Data'!T8="","",'Storage Data'!T8)</f>
        <v/>
      </c>
      <c r="P10" t="str">
        <f>IF('Storage Data'!U8="","",'Storage Data'!U8)</f>
        <v/>
      </c>
      <c r="Q10" t="str">
        <f>IF('Storage Data'!V8="","",'Storage Data'!V8)</f>
        <v/>
      </c>
      <c r="R10" t="str">
        <f>IF('Storage Data'!W8="","",'Storage Data'!W8)</f>
        <v/>
      </c>
    </row>
    <row r="11" spans="1:18">
      <c r="B11" t="s">
        <v>251</v>
      </c>
      <c r="C11" t="s">
        <v>84</v>
      </c>
      <c r="D11" t="s">
        <v>84</v>
      </c>
      <c r="E11">
        <v>0.98</v>
      </c>
      <c r="F11" s="30">
        <f>'Storage Data'!I9</f>
        <v>3.0419999999999998</v>
      </c>
      <c r="G11">
        <v>50</v>
      </c>
      <c r="H11">
        <f>'Storage Data'!L9</f>
        <v>8.6708782360956285</v>
      </c>
      <c r="I11" t="str">
        <f>IF('Storage Data'!N9="","",'Storage Data'!N9)</f>
        <v/>
      </c>
      <c r="J11" t="str">
        <f>IF('Storage Data'!O9="","",'Storage Data'!O9)</f>
        <v/>
      </c>
      <c r="K11" t="str">
        <f>IF('Storage Data'!P9="","",'Storage Data'!P9)</f>
        <v/>
      </c>
      <c r="L11" t="str">
        <f>IF('Storage Data'!Q9="","",'Storage Data'!Q9)</f>
        <v/>
      </c>
      <c r="M11" t="str">
        <f>IF('Storage Data'!R9="","",'Storage Data'!R9)</f>
        <v/>
      </c>
      <c r="N11" t="str">
        <f>IF('Storage Data'!S9="","",'Storage Data'!S9)</f>
        <v/>
      </c>
      <c r="O11" t="str">
        <f>IF('Storage Data'!T9="","",'Storage Data'!T9)</f>
        <v/>
      </c>
      <c r="P11" t="str">
        <f>IF('Storage Data'!U9="","",'Storage Data'!U9)</f>
        <v/>
      </c>
      <c r="Q11" t="str">
        <f>IF('Storage Data'!V9="","",'Storage Data'!V9)</f>
        <v/>
      </c>
      <c r="R11" t="str">
        <f>IF('Storage Data'!W9="","",'Storage Data'!W9)</f>
        <v/>
      </c>
    </row>
    <row r="12" spans="1:18">
      <c r="B12" t="s">
        <v>252</v>
      </c>
      <c r="C12" t="s">
        <v>84</v>
      </c>
      <c r="D12" t="s">
        <v>84</v>
      </c>
      <c r="E12">
        <v>0.98</v>
      </c>
      <c r="F12" s="30">
        <f>'Storage Data'!I10</f>
        <v>5.6160000000000005</v>
      </c>
      <c r="G12">
        <v>50</v>
      </c>
      <c r="H12">
        <f>'Storage Data'!L10</f>
        <v>8.6708782360956285</v>
      </c>
      <c r="I12" t="str">
        <f>IF('Storage Data'!N10="","",'Storage Data'!N10)</f>
        <v/>
      </c>
      <c r="J12" t="str">
        <f>IF('Storage Data'!O10="","",'Storage Data'!O10)</f>
        <v/>
      </c>
      <c r="K12" t="str">
        <f>IF('Storage Data'!P10="","",'Storage Data'!P10)</f>
        <v/>
      </c>
      <c r="L12" t="str">
        <f>IF('Storage Data'!Q10="","",'Storage Data'!Q10)</f>
        <v/>
      </c>
      <c r="M12" t="str">
        <f>IF('Storage Data'!R10="","",'Storage Data'!R10)</f>
        <v/>
      </c>
      <c r="N12">
        <f>IF('Storage Data'!S10="","",'Storage Data'!S10)</f>
        <v>3.51</v>
      </c>
      <c r="O12" t="str">
        <f>IF('Storage Data'!T10="","",'Storage Data'!T10)</f>
        <v/>
      </c>
      <c r="P12" t="str">
        <f>IF('Storage Data'!U10="","",'Storage Data'!U10)</f>
        <v/>
      </c>
      <c r="Q12" t="str">
        <f>IF('Storage Data'!V10="","",'Storage Data'!V10)</f>
        <v/>
      </c>
      <c r="R12" t="str">
        <f>IF('Storage Data'!W10="","",'Storage Data'!W10)</f>
        <v/>
      </c>
    </row>
    <row r="13" spans="1:18">
      <c r="B13" t="s">
        <v>212</v>
      </c>
      <c r="C13" t="s">
        <v>84</v>
      </c>
      <c r="D13" t="s">
        <v>84</v>
      </c>
      <c r="E13">
        <v>0.98</v>
      </c>
      <c r="F13" s="30">
        <f>'Storage Data'!I11</f>
        <v>22.861799999999999</v>
      </c>
      <c r="G13">
        <v>50</v>
      </c>
      <c r="H13">
        <f>'Storage Data'!L11</f>
        <v>8.6708782360956285</v>
      </c>
      <c r="I13">
        <f>IF('Storage Data'!N11="","",'Storage Data'!N11)</f>
        <v>7.02</v>
      </c>
      <c r="J13" t="str">
        <f>IF('Storage Data'!O11="","",'Storage Data'!O11)</f>
        <v/>
      </c>
      <c r="K13">
        <f>IF('Storage Data'!P11="","",'Storage Data'!P11)</f>
        <v>3.2759999999999962</v>
      </c>
      <c r="L13" t="str">
        <f>IF('Storage Data'!Q11="","",'Storage Data'!Q11)</f>
        <v/>
      </c>
      <c r="M13" t="str">
        <f>IF('Storage Data'!R11="","",'Storage Data'!R11)</f>
        <v/>
      </c>
      <c r="N13" t="str">
        <f>IF('Storage Data'!S11="","",'Storage Data'!S11)</f>
        <v/>
      </c>
      <c r="O13" t="str">
        <f>IF('Storage Data'!T11="","",'Storage Data'!T11)</f>
        <v/>
      </c>
      <c r="P13">
        <f>IF('Storage Data'!U11="","",'Storage Data'!U11)</f>
        <v>14.110199999999992</v>
      </c>
      <c r="Q13" t="str">
        <f>IF('Storage Data'!V11="","",'Storage Data'!V11)</f>
        <v/>
      </c>
      <c r="R13" t="str">
        <f>IF('Storage Data'!W11="","",'Storage Data'!W11)</f>
        <v/>
      </c>
    </row>
    <row r="14" spans="1:18">
      <c r="B14" t="s">
        <v>213</v>
      </c>
      <c r="C14" t="s">
        <v>84</v>
      </c>
      <c r="D14" t="s">
        <v>84</v>
      </c>
      <c r="E14">
        <v>0.98</v>
      </c>
      <c r="F14" s="30">
        <f>'Storage Data'!I12</f>
        <v>17.783999999999999</v>
      </c>
      <c r="G14">
        <v>50</v>
      </c>
      <c r="H14">
        <f>'Storage Data'!L12</f>
        <v>8.6708782360956285</v>
      </c>
      <c r="I14" t="str">
        <f>IF('Storage Data'!N12="","",'Storage Data'!N12)</f>
        <v/>
      </c>
      <c r="J14">
        <f>IF('Storage Data'!O12="","",'Storage Data'!O12)</f>
        <v>7.02</v>
      </c>
      <c r="K14" t="str">
        <f>IF('Storage Data'!P12="","",'Storage Data'!P12)</f>
        <v/>
      </c>
      <c r="L14" t="str">
        <f>IF('Storage Data'!Q12="","",'Storage Data'!Q12)</f>
        <v/>
      </c>
      <c r="M14">
        <f>IF('Storage Data'!R12="","",'Storage Data'!R12)</f>
        <v>10.541700000000002</v>
      </c>
      <c r="N14">
        <f>IF('Storage Data'!S12="","",'Storage Data'!S12)</f>
        <v>3.51</v>
      </c>
      <c r="O14" t="str">
        <f>IF('Storage Data'!T12="","",'Storage Data'!T12)</f>
        <v/>
      </c>
      <c r="P14" t="str">
        <f>IF('Storage Data'!U12="","",'Storage Data'!U12)</f>
        <v/>
      </c>
      <c r="Q14">
        <f>IF('Storage Data'!V12="","",'Storage Data'!V12)</f>
        <v>21.048299999999998</v>
      </c>
      <c r="R14">
        <f>IF('Storage Data'!W12="","",'Storage Data'!W12)</f>
        <v>7.02</v>
      </c>
    </row>
    <row r="15" spans="1:18">
      <c r="B15" t="s">
        <v>214</v>
      </c>
      <c r="C15" t="s">
        <v>84</v>
      </c>
      <c r="D15" t="s">
        <v>84</v>
      </c>
      <c r="E15">
        <v>0.98</v>
      </c>
      <c r="F15" s="30">
        <f>'Storage Data'!I13</f>
        <v>0</v>
      </c>
      <c r="G15">
        <v>50</v>
      </c>
      <c r="H15">
        <f>'Storage Data'!L13</f>
        <v>8.6708782360956285</v>
      </c>
      <c r="I15" t="str">
        <f>IF('Storage Data'!N13="","",'Storage Data'!N13)</f>
        <v/>
      </c>
      <c r="J15" t="str">
        <f>IF('Storage Data'!O13="","",'Storage Data'!O13)</f>
        <v/>
      </c>
      <c r="K15">
        <f>IF('Storage Data'!P13="","",'Storage Data'!P13)</f>
        <v>30.770999999999997</v>
      </c>
      <c r="L15" t="str">
        <f>IF('Storage Data'!Q13="","",'Storage Data'!Q13)</f>
        <v/>
      </c>
      <c r="M15" t="str">
        <f>IF('Storage Data'!R13="","",'Storage Data'!R13)</f>
        <v/>
      </c>
      <c r="N15" t="str">
        <f>IF('Storage Data'!S13="","",'Storage Data'!S13)</f>
        <v/>
      </c>
      <c r="O15" t="str">
        <f>IF('Storage Data'!T13="","",'Storage Data'!T13)</f>
        <v/>
      </c>
      <c r="P15" t="str">
        <f>IF('Storage Data'!U13="","",'Storage Data'!U13)</f>
        <v/>
      </c>
      <c r="Q15" t="str">
        <f>IF('Storage Data'!V13="","",'Storage Data'!V13)</f>
        <v/>
      </c>
      <c r="R15" t="str">
        <f>IF('Storage Data'!W13="","",'Storage Data'!W13)</f>
        <v/>
      </c>
    </row>
    <row r="16" spans="1:18">
      <c r="B16" t="s">
        <v>215</v>
      </c>
      <c r="C16" t="s">
        <v>84</v>
      </c>
      <c r="D16" t="s">
        <v>84</v>
      </c>
      <c r="E16">
        <v>0.98</v>
      </c>
      <c r="F16" s="30">
        <f>'Storage Data'!I14</f>
        <v>18.72</v>
      </c>
      <c r="G16">
        <v>50</v>
      </c>
      <c r="H16">
        <f>'Storage Data'!L14</f>
        <v>8.6708782360956285</v>
      </c>
      <c r="I16" t="str">
        <f>IF('Storage Data'!N14="","",'Storage Data'!N14)</f>
        <v/>
      </c>
      <c r="J16" t="str">
        <f>IF('Storage Data'!O14="","",'Storage Data'!O14)</f>
        <v/>
      </c>
      <c r="K16" t="str">
        <f>IF('Storage Data'!P14="","",'Storage Data'!P14)</f>
        <v/>
      </c>
      <c r="L16">
        <f>IF('Storage Data'!Q14="","",'Storage Data'!Q14)</f>
        <v>4.68</v>
      </c>
      <c r="M16" t="str">
        <f>IF('Storage Data'!R14="","",'Storage Data'!R14)</f>
        <v/>
      </c>
      <c r="N16" t="str">
        <f>IF('Storage Data'!S14="","",'Storage Data'!S14)</f>
        <v/>
      </c>
      <c r="O16" t="str">
        <f>IF('Storage Data'!T14="","",'Storage Data'!T14)</f>
        <v/>
      </c>
      <c r="P16" t="str">
        <f>IF('Storage Data'!U14="","",'Storage Data'!U14)</f>
        <v/>
      </c>
      <c r="Q16" t="str">
        <f>IF('Storage Data'!V14="","",'Storage Data'!V14)</f>
        <v/>
      </c>
      <c r="R16" t="str">
        <f>IF('Storage Data'!W14="","",'Storage Data'!W14)</f>
        <v/>
      </c>
    </row>
    <row r="17" spans="2:18">
      <c r="B17" s="33" t="s">
        <v>253</v>
      </c>
      <c r="C17" t="s">
        <v>84</v>
      </c>
      <c r="D17" t="s">
        <v>84</v>
      </c>
      <c r="E17">
        <v>0.98</v>
      </c>
      <c r="F17" s="30">
        <f>'Storage Data'!I15</f>
        <v>0</v>
      </c>
      <c r="G17">
        <v>50</v>
      </c>
      <c r="H17">
        <f>'Storage Data'!L15</f>
        <v>8.6708782360956285</v>
      </c>
      <c r="I17" t="str">
        <f>IF('Storage Data'!N15="","",'Storage Data'!N15)</f>
        <v/>
      </c>
      <c r="J17" t="str">
        <f>IF('Storage Data'!O15="","",'Storage Data'!O15)</f>
        <v/>
      </c>
      <c r="K17" t="str">
        <f>IF('Storage Data'!P15="","",'Storage Data'!P15)</f>
        <v/>
      </c>
      <c r="L17" t="str">
        <f>IF('Storage Data'!Q15="","",'Storage Data'!Q15)</f>
        <v/>
      </c>
      <c r="M17">
        <f>IF('Storage Data'!R15="","",'Storage Data'!R15)</f>
        <v>12.635999999999999</v>
      </c>
      <c r="N17" t="str">
        <f>IF('Storage Data'!S15="","",'Storage Data'!S15)</f>
        <v/>
      </c>
      <c r="O17" t="str">
        <f>IF('Storage Data'!T15="","",'Storage Data'!T15)</f>
        <v/>
      </c>
      <c r="P17">
        <f>IF('Storage Data'!U15="","",'Storage Data'!U15)</f>
        <v>4.2119999999999997</v>
      </c>
      <c r="Q17" t="str">
        <f>IF('Storage Data'!V15="","",'Storage Data'!V15)</f>
        <v/>
      </c>
      <c r="R17" t="str">
        <f>IF('Storage Data'!W15="","",'Storage Data'!W15)</f>
        <v/>
      </c>
    </row>
    <row r="20" spans="2:18">
      <c r="D20" t="s">
        <v>259</v>
      </c>
    </row>
    <row r="21" spans="2:18">
      <c r="B21" t="s">
        <v>1</v>
      </c>
      <c r="C21" t="s">
        <v>3</v>
      </c>
      <c r="D21" t="s">
        <v>206</v>
      </c>
      <c r="E21" t="s">
        <v>216</v>
      </c>
      <c r="F21" t="s">
        <v>207</v>
      </c>
      <c r="G21" t="s">
        <v>218</v>
      </c>
      <c r="H21" t="s">
        <v>209</v>
      </c>
      <c r="I21" t="s">
        <v>208</v>
      </c>
    </row>
    <row r="22" spans="2:18">
      <c r="B22" t="s">
        <v>219</v>
      </c>
      <c r="C22" t="s">
        <v>337</v>
      </c>
      <c r="D22" t="s">
        <v>337</v>
      </c>
      <c r="E22">
        <v>0.98</v>
      </c>
      <c r="F22" s="30">
        <f>'[4]Storage Data'!L22</f>
        <v>164.97</v>
      </c>
      <c r="G22" s="30">
        <f>F22</f>
        <v>164.97</v>
      </c>
      <c r="H22">
        <v>50</v>
      </c>
      <c r="I22">
        <v>50</v>
      </c>
    </row>
    <row r="23" spans="2:18">
      <c r="B23" t="s">
        <v>220</v>
      </c>
      <c r="C23" t="s">
        <v>337</v>
      </c>
      <c r="D23" t="s">
        <v>337</v>
      </c>
      <c r="E23">
        <v>0.98</v>
      </c>
      <c r="F23" s="30">
        <f>'[4]Storage Data'!L23</f>
        <v>26.675999999999998</v>
      </c>
      <c r="G23" s="30">
        <f t="shared" ref="G23:G51" si="0">F23</f>
        <v>26.675999999999998</v>
      </c>
      <c r="H23">
        <v>50</v>
      </c>
      <c r="I23">
        <v>50</v>
      </c>
    </row>
    <row r="24" spans="2:18">
      <c r="B24" t="s">
        <v>221</v>
      </c>
      <c r="C24" t="s">
        <v>337</v>
      </c>
      <c r="D24" t="s">
        <v>337</v>
      </c>
      <c r="E24">
        <v>0.98</v>
      </c>
      <c r="F24" s="30">
        <f>'[4]Storage Data'!L24</f>
        <v>13.65</v>
      </c>
      <c r="G24" s="30">
        <f t="shared" si="0"/>
        <v>13.65</v>
      </c>
      <c r="H24">
        <v>50</v>
      </c>
      <c r="I24">
        <v>50</v>
      </c>
    </row>
    <row r="25" spans="2:18">
      <c r="B25" t="s">
        <v>222</v>
      </c>
      <c r="C25" t="s">
        <v>337</v>
      </c>
      <c r="D25" t="s">
        <v>337</v>
      </c>
      <c r="E25">
        <v>0.98</v>
      </c>
      <c r="F25" s="30">
        <f>'[4]Storage Data'!L25</f>
        <v>0</v>
      </c>
      <c r="G25" s="30">
        <f t="shared" si="0"/>
        <v>0</v>
      </c>
      <c r="H25">
        <v>50</v>
      </c>
      <c r="I25">
        <v>50</v>
      </c>
    </row>
    <row r="26" spans="2:18">
      <c r="B26" t="s">
        <v>223</v>
      </c>
      <c r="C26" t="s">
        <v>337</v>
      </c>
      <c r="D26" t="s">
        <v>337</v>
      </c>
      <c r="E26">
        <v>0.98</v>
      </c>
      <c r="F26" s="30">
        <f>'[4]Storage Data'!L26</f>
        <v>0</v>
      </c>
      <c r="G26" s="30">
        <f t="shared" si="0"/>
        <v>0</v>
      </c>
      <c r="H26">
        <v>50</v>
      </c>
      <c r="I26">
        <v>50</v>
      </c>
    </row>
    <row r="27" spans="2:18">
      <c r="B27" t="s">
        <v>224</v>
      </c>
      <c r="C27" t="s">
        <v>337</v>
      </c>
      <c r="D27" t="s">
        <v>337</v>
      </c>
      <c r="E27">
        <v>0.98</v>
      </c>
      <c r="F27" s="30">
        <f>'[4]Storage Data'!L27</f>
        <v>120.003</v>
      </c>
      <c r="G27" s="30">
        <f t="shared" si="0"/>
        <v>120.003</v>
      </c>
      <c r="H27">
        <v>50</v>
      </c>
      <c r="I27">
        <v>50</v>
      </c>
    </row>
    <row r="28" spans="2:18">
      <c r="B28" t="s">
        <v>225</v>
      </c>
      <c r="C28" t="s">
        <v>337</v>
      </c>
      <c r="D28" t="s">
        <v>337</v>
      </c>
      <c r="E28">
        <v>0.98</v>
      </c>
      <c r="F28" s="30">
        <f>'[4]Storage Data'!L28</f>
        <v>764.21280000000002</v>
      </c>
      <c r="G28" s="30">
        <f t="shared" si="0"/>
        <v>764.21280000000002</v>
      </c>
      <c r="H28">
        <v>50</v>
      </c>
      <c r="I28">
        <v>50</v>
      </c>
    </row>
    <row r="29" spans="2:18">
      <c r="B29" t="s">
        <v>226</v>
      </c>
      <c r="C29" t="s">
        <v>337</v>
      </c>
      <c r="D29" t="s">
        <v>337</v>
      </c>
      <c r="E29">
        <v>0.98</v>
      </c>
      <c r="F29" s="30">
        <f>'[4]Storage Data'!L29</f>
        <v>39.039000000000001</v>
      </c>
      <c r="G29" s="30">
        <f t="shared" si="0"/>
        <v>39.039000000000001</v>
      </c>
      <c r="H29">
        <v>50</v>
      </c>
      <c r="I29">
        <v>50</v>
      </c>
    </row>
    <row r="30" spans="2:18">
      <c r="B30" t="s">
        <v>227</v>
      </c>
      <c r="C30" t="s">
        <v>337</v>
      </c>
      <c r="D30" t="s">
        <v>337</v>
      </c>
      <c r="E30">
        <v>0.98</v>
      </c>
      <c r="F30" s="30">
        <f>'[4]Storage Data'!L30</f>
        <v>0</v>
      </c>
      <c r="G30" s="30">
        <f t="shared" si="0"/>
        <v>0</v>
      </c>
      <c r="H30">
        <v>50</v>
      </c>
      <c r="I30">
        <v>50</v>
      </c>
    </row>
    <row r="31" spans="2:18">
      <c r="B31" t="s">
        <v>228</v>
      </c>
      <c r="C31" t="s">
        <v>337</v>
      </c>
      <c r="D31" t="s">
        <v>337</v>
      </c>
      <c r="E31">
        <v>0.98</v>
      </c>
      <c r="F31" s="30">
        <f>'[4]Storage Data'!L31</f>
        <v>161.46</v>
      </c>
      <c r="G31" s="30">
        <f t="shared" si="0"/>
        <v>161.46</v>
      </c>
      <c r="H31">
        <v>50</v>
      </c>
      <c r="I31">
        <v>50</v>
      </c>
    </row>
    <row r="32" spans="2:18">
      <c r="B32" t="s">
        <v>229</v>
      </c>
      <c r="C32" t="s">
        <v>337</v>
      </c>
      <c r="D32" t="s">
        <v>337</v>
      </c>
      <c r="E32">
        <v>0.98</v>
      </c>
      <c r="F32" s="30">
        <f>'[4]Storage Data'!L32</f>
        <v>0</v>
      </c>
      <c r="G32" s="30">
        <f t="shared" si="0"/>
        <v>0</v>
      </c>
      <c r="H32">
        <v>50</v>
      </c>
      <c r="I32">
        <v>50</v>
      </c>
    </row>
    <row r="33" spans="2:9">
      <c r="B33" t="s">
        <v>230</v>
      </c>
      <c r="C33" t="s">
        <v>337</v>
      </c>
      <c r="D33" t="s">
        <v>337</v>
      </c>
      <c r="E33">
        <v>0.98</v>
      </c>
      <c r="F33" s="30">
        <f>'[4]Storage Data'!L33</f>
        <v>477.94499999999999</v>
      </c>
      <c r="G33" s="30">
        <f t="shared" si="0"/>
        <v>477.94499999999999</v>
      </c>
      <c r="H33">
        <v>50</v>
      </c>
      <c r="I33">
        <v>50</v>
      </c>
    </row>
    <row r="34" spans="2:9">
      <c r="B34" t="s">
        <v>231</v>
      </c>
      <c r="C34" t="s">
        <v>337</v>
      </c>
      <c r="D34" t="s">
        <v>337</v>
      </c>
      <c r="E34">
        <v>0.98</v>
      </c>
      <c r="F34" s="30">
        <f>'[4]Storage Data'!L34</f>
        <v>0</v>
      </c>
      <c r="G34" s="30">
        <f t="shared" si="0"/>
        <v>0</v>
      </c>
      <c r="H34">
        <v>50</v>
      </c>
      <c r="I34">
        <v>50</v>
      </c>
    </row>
    <row r="35" spans="2:9">
      <c r="B35" t="s">
        <v>232</v>
      </c>
      <c r="C35" t="s">
        <v>337</v>
      </c>
      <c r="D35" t="s">
        <v>337</v>
      </c>
      <c r="E35">
        <v>0.98</v>
      </c>
      <c r="F35" s="30">
        <f>'[4]Storage Data'!L35</f>
        <v>145.08000000000001</v>
      </c>
      <c r="G35" s="30">
        <f t="shared" si="0"/>
        <v>145.08000000000001</v>
      </c>
      <c r="H35">
        <v>50</v>
      </c>
      <c r="I35">
        <v>50</v>
      </c>
    </row>
    <row r="36" spans="2:9">
      <c r="B36" t="s">
        <v>233</v>
      </c>
      <c r="C36" t="s">
        <v>337</v>
      </c>
      <c r="D36" t="s">
        <v>337</v>
      </c>
      <c r="E36">
        <v>0.98</v>
      </c>
      <c r="F36" s="30">
        <f>'[4]Storage Data'!L36</f>
        <v>0</v>
      </c>
      <c r="G36" s="30">
        <f t="shared" si="0"/>
        <v>0</v>
      </c>
      <c r="H36">
        <v>50</v>
      </c>
      <c r="I36">
        <v>50</v>
      </c>
    </row>
    <row r="37" spans="2:9">
      <c r="B37" t="s">
        <v>234</v>
      </c>
      <c r="C37" t="s">
        <v>337</v>
      </c>
      <c r="D37" t="s">
        <v>337</v>
      </c>
      <c r="E37">
        <v>0.98</v>
      </c>
      <c r="F37" s="30">
        <f>'[4]Storage Data'!L37</f>
        <v>0</v>
      </c>
      <c r="G37" s="30">
        <f t="shared" si="0"/>
        <v>0</v>
      </c>
      <c r="H37">
        <v>50</v>
      </c>
      <c r="I37">
        <v>50</v>
      </c>
    </row>
    <row r="38" spans="2:9">
      <c r="B38" t="s">
        <v>235</v>
      </c>
      <c r="C38" t="s">
        <v>337</v>
      </c>
      <c r="D38" t="s">
        <v>337</v>
      </c>
      <c r="E38">
        <v>0.98</v>
      </c>
      <c r="F38" s="30">
        <f>'[4]Storage Data'!L38</f>
        <v>559.06500000000005</v>
      </c>
      <c r="G38" s="30">
        <f t="shared" si="0"/>
        <v>559.06500000000005</v>
      </c>
      <c r="H38">
        <v>50</v>
      </c>
      <c r="I38">
        <v>50</v>
      </c>
    </row>
    <row r="39" spans="2:9">
      <c r="B39" t="s">
        <v>236</v>
      </c>
      <c r="C39" t="s">
        <v>337</v>
      </c>
      <c r="D39" t="s">
        <v>337</v>
      </c>
      <c r="E39">
        <v>0.98</v>
      </c>
      <c r="F39" s="30">
        <f>'[4]Storage Data'!L39</f>
        <v>0</v>
      </c>
      <c r="G39" s="30">
        <f t="shared" si="0"/>
        <v>0</v>
      </c>
      <c r="H39">
        <v>50</v>
      </c>
      <c r="I39">
        <v>50</v>
      </c>
    </row>
    <row r="40" spans="2:9">
      <c r="B40" t="s">
        <v>237</v>
      </c>
      <c r="C40" t="s">
        <v>337</v>
      </c>
      <c r="D40" t="s">
        <v>337</v>
      </c>
      <c r="E40">
        <v>0.98</v>
      </c>
      <c r="F40" s="30">
        <f>'[4]Storage Data'!L40</f>
        <v>0</v>
      </c>
      <c r="G40" s="30">
        <f t="shared" si="0"/>
        <v>0</v>
      </c>
      <c r="H40">
        <v>50</v>
      </c>
      <c r="I40">
        <v>50</v>
      </c>
    </row>
    <row r="41" spans="2:9">
      <c r="B41" t="s">
        <v>238</v>
      </c>
      <c r="C41" t="s">
        <v>337</v>
      </c>
      <c r="D41" t="s">
        <v>337</v>
      </c>
      <c r="E41">
        <v>0.98</v>
      </c>
      <c r="F41" s="30">
        <f>'[4]Storage Data'!L41</f>
        <v>0</v>
      </c>
      <c r="G41" s="30">
        <f t="shared" si="0"/>
        <v>0</v>
      </c>
      <c r="H41">
        <v>50</v>
      </c>
      <c r="I41">
        <v>50</v>
      </c>
    </row>
    <row r="42" spans="2:9">
      <c r="B42" t="s">
        <v>239</v>
      </c>
      <c r="C42" t="s">
        <v>337</v>
      </c>
      <c r="D42" t="s">
        <v>337</v>
      </c>
      <c r="E42">
        <v>0.98</v>
      </c>
      <c r="F42" s="30">
        <f>'[4]Storage Data'!L42</f>
        <v>0</v>
      </c>
      <c r="G42" s="30">
        <f t="shared" si="0"/>
        <v>0</v>
      </c>
      <c r="H42">
        <v>50</v>
      </c>
      <c r="I42">
        <v>50</v>
      </c>
    </row>
    <row r="43" spans="2:9">
      <c r="B43" t="s">
        <v>240</v>
      </c>
      <c r="C43" t="s">
        <v>337</v>
      </c>
      <c r="D43" t="s">
        <v>337</v>
      </c>
      <c r="E43">
        <v>0.98</v>
      </c>
      <c r="F43" s="30">
        <f>'[4]Storage Data'!L43</f>
        <v>198.042</v>
      </c>
      <c r="G43" s="30">
        <f t="shared" si="0"/>
        <v>198.042</v>
      </c>
      <c r="H43">
        <v>50</v>
      </c>
      <c r="I43">
        <v>50</v>
      </c>
    </row>
    <row r="44" spans="2:9">
      <c r="B44" t="s">
        <v>241</v>
      </c>
      <c r="C44" t="s">
        <v>337</v>
      </c>
      <c r="D44" t="s">
        <v>337</v>
      </c>
      <c r="E44">
        <v>0.98</v>
      </c>
      <c r="F44" s="30">
        <f>'[4]Storage Data'!L44</f>
        <v>0</v>
      </c>
      <c r="G44" s="30">
        <f t="shared" si="0"/>
        <v>0</v>
      </c>
      <c r="H44">
        <v>50</v>
      </c>
      <c r="I44">
        <v>50</v>
      </c>
    </row>
    <row r="45" spans="2:9">
      <c r="B45" t="s">
        <v>242</v>
      </c>
      <c r="C45" t="s">
        <v>337</v>
      </c>
      <c r="D45" t="s">
        <v>337</v>
      </c>
      <c r="E45">
        <v>0.98</v>
      </c>
      <c r="F45" s="30">
        <f>'[4]Storage Data'!L45</f>
        <v>61.424999999999997</v>
      </c>
      <c r="G45" s="30">
        <f t="shared" si="0"/>
        <v>61.424999999999997</v>
      </c>
      <c r="H45">
        <v>50</v>
      </c>
      <c r="I45">
        <v>50</v>
      </c>
    </row>
    <row r="46" spans="2:9">
      <c r="B46" t="s">
        <v>243</v>
      </c>
      <c r="C46" t="s">
        <v>337</v>
      </c>
      <c r="D46" t="s">
        <v>337</v>
      </c>
      <c r="E46">
        <v>0.98</v>
      </c>
      <c r="F46" s="30">
        <f>'[4]Storage Data'!L46</f>
        <v>5.85</v>
      </c>
      <c r="G46" s="30">
        <f t="shared" si="0"/>
        <v>5.85</v>
      </c>
      <c r="H46">
        <v>50</v>
      </c>
      <c r="I46">
        <v>50</v>
      </c>
    </row>
    <row r="47" spans="2:9">
      <c r="B47" t="s">
        <v>244</v>
      </c>
      <c r="C47" t="s">
        <v>337</v>
      </c>
      <c r="D47" t="s">
        <v>337</v>
      </c>
      <c r="E47">
        <v>0.98</v>
      </c>
      <c r="F47" s="30">
        <f>'[4]Storage Data'!L47</f>
        <v>105.066</v>
      </c>
      <c r="G47" s="30">
        <f t="shared" si="0"/>
        <v>105.066</v>
      </c>
      <c r="H47">
        <v>50</v>
      </c>
      <c r="I47">
        <v>50</v>
      </c>
    </row>
    <row r="48" spans="2:9">
      <c r="B48" t="s">
        <v>245</v>
      </c>
      <c r="C48" t="s">
        <v>337</v>
      </c>
      <c r="D48" t="s">
        <v>337</v>
      </c>
      <c r="E48">
        <v>0.98</v>
      </c>
      <c r="F48" s="30">
        <f>'[4]Storage Data'!L48</f>
        <v>0</v>
      </c>
      <c r="G48" s="30">
        <f t="shared" si="0"/>
        <v>0</v>
      </c>
      <c r="H48">
        <v>50</v>
      </c>
      <c r="I48">
        <v>50</v>
      </c>
    </row>
    <row r="49" spans="2:10">
      <c r="B49" t="s">
        <v>246</v>
      </c>
      <c r="C49" t="s">
        <v>337</v>
      </c>
      <c r="D49" t="s">
        <v>337</v>
      </c>
      <c r="E49">
        <v>0.98</v>
      </c>
      <c r="F49" s="30">
        <f>'[4]Storage Data'!L49</f>
        <v>0</v>
      </c>
      <c r="G49" s="30">
        <f t="shared" si="0"/>
        <v>0</v>
      </c>
      <c r="H49">
        <v>50</v>
      </c>
      <c r="I49">
        <v>50</v>
      </c>
    </row>
    <row r="50" spans="2:10">
      <c r="B50" t="s">
        <v>247</v>
      </c>
      <c r="C50" t="s">
        <v>337</v>
      </c>
      <c r="D50" t="s">
        <v>337</v>
      </c>
      <c r="E50">
        <v>0.98</v>
      </c>
      <c r="F50" s="30">
        <f>'[4]Storage Data'!L50</f>
        <v>107.25</v>
      </c>
      <c r="G50" s="30">
        <f t="shared" si="0"/>
        <v>107.25</v>
      </c>
      <c r="H50">
        <v>50</v>
      </c>
      <c r="I50">
        <v>50</v>
      </c>
    </row>
    <row r="51" spans="2:10">
      <c r="B51" t="s">
        <v>248</v>
      </c>
      <c r="C51" t="s">
        <v>337</v>
      </c>
      <c r="D51" t="s">
        <v>337</v>
      </c>
      <c r="E51">
        <v>0.98</v>
      </c>
      <c r="F51" s="30">
        <f>'[4]Storage Data'!L51</f>
        <v>168.10170000000002</v>
      </c>
      <c r="G51" s="30">
        <f t="shared" si="0"/>
        <v>168.10170000000002</v>
      </c>
      <c r="H51">
        <v>50</v>
      </c>
      <c r="I51">
        <v>50</v>
      </c>
    </row>
    <row r="53" spans="2:10" ht="13.8" thickBot="1">
      <c r="F53" s="30"/>
      <c r="G53" s="30"/>
    </row>
    <row r="54" spans="2:10">
      <c r="B54" s="65"/>
      <c r="C54" s="66"/>
      <c r="D54" s="66" t="s">
        <v>12</v>
      </c>
      <c r="E54" s="67"/>
    </row>
    <row r="55" spans="2:10" ht="15" thickBot="1">
      <c r="B55" s="68" t="s">
        <v>1</v>
      </c>
      <c r="C55" s="64" t="s">
        <v>3</v>
      </c>
      <c r="D55" s="64" t="s">
        <v>4</v>
      </c>
      <c r="E55" s="69" t="s">
        <v>15</v>
      </c>
    </row>
    <row r="56" spans="2:10">
      <c r="B56" s="70" t="s">
        <v>336</v>
      </c>
      <c r="C56" s="33" t="s">
        <v>150</v>
      </c>
      <c r="D56" s="33" t="s">
        <v>337</v>
      </c>
      <c r="E56" s="71">
        <v>1</v>
      </c>
    </row>
    <row r="57" spans="2:10" ht="13.8" thickBot="1">
      <c r="B57" s="72" t="s">
        <v>338</v>
      </c>
      <c r="C57" s="31" t="s">
        <v>337</v>
      </c>
      <c r="D57" s="31" t="s">
        <v>150</v>
      </c>
      <c r="E57" s="73">
        <v>1</v>
      </c>
    </row>
    <row r="62" spans="2:10">
      <c r="B62" s="48" t="s">
        <v>249</v>
      </c>
      <c r="C62" s="48"/>
      <c r="D62" s="48"/>
      <c r="E62" s="48"/>
      <c r="F62" s="48"/>
      <c r="G62" s="48"/>
      <c r="H62" s="48"/>
      <c r="I62" s="48"/>
      <c r="J62" s="48"/>
    </row>
    <row r="63" spans="2:10">
      <c r="B63" s="48"/>
      <c r="C63" s="48" t="s">
        <v>5</v>
      </c>
      <c r="D63" s="48"/>
      <c r="E63" s="48"/>
      <c r="F63" s="48"/>
      <c r="G63" s="48"/>
      <c r="H63" s="48"/>
      <c r="I63" s="48"/>
      <c r="J63" s="48"/>
    </row>
    <row r="64" spans="2:10">
      <c r="B64" s="48"/>
      <c r="C64" s="48" t="s">
        <v>0</v>
      </c>
      <c r="D64" s="48" t="s">
        <v>1</v>
      </c>
      <c r="E64" s="48" t="s">
        <v>2</v>
      </c>
      <c r="F64" s="48" t="s">
        <v>6</v>
      </c>
      <c r="G64" s="48" t="s">
        <v>7</v>
      </c>
      <c r="H64" s="48" t="s">
        <v>8</v>
      </c>
      <c r="I64" s="48" t="s">
        <v>9</v>
      </c>
      <c r="J64" s="48" t="s">
        <v>10</v>
      </c>
    </row>
    <row r="65" spans="2:10">
      <c r="B65" s="48"/>
      <c r="C65" s="48" t="s">
        <v>276</v>
      </c>
      <c r="D65" s="48" t="str">
        <f t="shared" ref="D65:D76" si="1">B6</f>
        <v>LNGSTOR-BE</v>
      </c>
      <c r="E65" s="48" t="s">
        <v>257</v>
      </c>
      <c r="F65" s="48" t="s">
        <v>11</v>
      </c>
      <c r="G65" s="48" t="s">
        <v>77</v>
      </c>
      <c r="H65" s="48" t="s">
        <v>256</v>
      </c>
      <c r="I65" s="48"/>
      <c r="J65" s="48"/>
    </row>
    <row r="66" spans="2:10">
      <c r="B66" s="48"/>
      <c r="C66" s="48"/>
      <c r="D66" s="48" t="str">
        <f t="shared" si="1"/>
        <v>LNGSTOR_A-FR</v>
      </c>
      <c r="E66" s="48" t="s">
        <v>257</v>
      </c>
      <c r="F66" s="48" t="s">
        <v>11</v>
      </c>
      <c r="G66" s="48" t="s">
        <v>77</v>
      </c>
      <c r="H66" s="48" t="s">
        <v>256</v>
      </c>
      <c r="I66" s="48"/>
      <c r="J66" s="48"/>
    </row>
    <row r="67" spans="2:10">
      <c r="B67" s="48"/>
      <c r="C67" s="48"/>
      <c r="D67" s="48" t="str">
        <f t="shared" si="1"/>
        <v>LNGSTOR_M-FR</v>
      </c>
      <c r="E67" s="48" t="s">
        <v>257</v>
      </c>
      <c r="F67" s="48" t="s">
        <v>11</v>
      </c>
      <c r="G67" s="48" t="s">
        <v>77</v>
      </c>
      <c r="H67" s="48" t="s">
        <v>256</v>
      </c>
      <c r="I67" s="48"/>
      <c r="J67" s="48"/>
    </row>
    <row r="68" spans="2:10">
      <c r="B68" s="48"/>
      <c r="C68" s="48"/>
      <c r="D68" s="48" t="str">
        <f t="shared" si="1"/>
        <v>LNGSTOR_W-IT</v>
      </c>
      <c r="E68" s="48" t="s">
        <v>257</v>
      </c>
      <c r="F68" s="48" t="s">
        <v>11</v>
      </c>
      <c r="G68" s="48" t="s">
        <v>77</v>
      </c>
      <c r="H68" s="48" t="s">
        <v>256</v>
      </c>
      <c r="I68" s="48"/>
      <c r="J68" s="48"/>
    </row>
    <row r="69" spans="2:10">
      <c r="B69" s="48"/>
      <c r="C69" s="48"/>
      <c r="D69" s="48" t="str">
        <f t="shared" si="1"/>
        <v>LNGSTOR_E-IT</v>
      </c>
      <c r="E69" s="48" t="s">
        <v>257</v>
      </c>
      <c r="F69" s="48" t="s">
        <v>11</v>
      </c>
      <c r="G69" s="48" t="s">
        <v>77</v>
      </c>
      <c r="H69" s="48" t="s">
        <v>256</v>
      </c>
      <c r="I69" s="48"/>
      <c r="J69" s="48"/>
    </row>
    <row r="70" spans="2:10">
      <c r="B70" s="48"/>
      <c r="C70" s="48"/>
      <c r="D70" s="48" t="str">
        <f t="shared" si="1"/>
        <v>LNGSTOR-GR</v>
      </c>
      <c r="E70" s="48" t="s">
        <v>257</v>
      </c>
      <c r="F70" s="48" t="s">
        <v>11</v>
      </c>
      <c r="G70" s="48" t="s">
        <v>77</v>
      </c>
      <c r="H70" s="48" t="s">
        <v>256</v>
      </c>
      <c r="I70" s="48"/>
      <c r="J70" s="48"/>
    </row>
    <row r="71" spans="2:10">
      <c r="B71" s="48"/>
      <c r="C71" s="48"/>
      <c r="D71" s="48" t="str">
        <f t="shared" si="1"/>
        <v>LNGSTOR-PT</v>
      </c>
      <c r="E71" s="48" t="s">
        <v>257</v>
      </c>
      <c r="F71" s="48" t="s">
        <v>11</v>
      </c>
      <c r="G71" s="48" t="s">
        <v>77</v>
      </c>
      <c r="H71" s="48" t="s">
        <v>256</v>
      </c>
      <c r="I71" s="48"/>
      <c r="J71" s="48"/>
    </row>
    <row r="72" spans="2:10">
      <c r="B72" s="48"/>
      <c r="C72" s="48"/>
      <c r="D72" s="48" t="str">
        <f t="shared" si="1"/>
        <v>LNGSTOR_M-ES</v>
      </c>
      <c r="E72" s="48" t="s">
        <v>257</v>
      </c>
      <c r="F72" s="48" t="s">
        <v>11</v>
      </c>
      <c r="G72" s="48" t="s">
        <v>77</v>
      </c>
      <c r="H72" s="48" t="s">
        <v>256</v>
      </c>
      <c r="I72" s="48"/>
      <c r="J72" s="48"/>
    </row>
    <row r="73" spans="2:10">
      <c r="B73" s="48"/>
      <c r="C73" s="48"/>
      <c r="D73" s="48" t="str">
        <f t="shared" si="1"/>
        <v>LNGSTOR_A-ES</v>
      </c>
      <c r="E73" s="48" t="s">
        <v>257</v>
      </c>
      <c r="F73" s="48" t="s">
        <v>11</v>
      </c>
      <c r="G73" s="48" t="s">
        <v>77</v>
      </c>
      <c r="H73" s="48" t="s">
        <v>256</v>
      </c>
      <c r="I73" s="48"/>
      <c r="J73" s="48"/>
    </row>
    <row r="74" spans="2:10">
      <c r="B74" s="48"/>
      <c r="C74" s="48"/>
      <c r="D74" s="48" t="str">
        <f t="shared" si="1"/>
        <v>LNGSTOR_W-UK</v>
      </c>
      <c r="E74" s="48" t="s">
        <v>257</v>
      </c>
      <c r="F74" s="48" t="s">
        <v>11</v>
      </c>
      <c r="G74" s="48" t="s">
        <v>77</v>
      </c>
      <c r="H74" s="48" t="s">
        <v>256</v>
      </c>
      <c r="I74" s="48"/>
      <c r="J74" s="48"/>
    </row>
    <row r="75" spans="2:10">
      <c r="B75" s="48"/>
      <c r="C75" s="48"/>
      <c r="D75" s="48" t="str">
        <f t="shared" si="1"/>
        <v>LNGSTOR_E-UK</v>
      </c>
      <c r="E75" s="48" t="s">
        <v>257</v>
      </c>
      <c r="F75" s="48" t="s">
        <v>11</v>
      </c>
      <c r="G75" s="48" t="s">
        <v>77</v>
      </c>
      <c r="H75" s="48" t="s">
        <v>256</v>
      </c>
      <c r="I75" s="48"/>
      <c r="J75" s="48"/>
    </row>
    <row r="76" spans="2:10">
      <c r="B76" s="48"/>
      <c r="C76" s="48"/>
      <c r="D76" s="48" t="str">
        <f t="shared" si="1"/>
        <v>LNGSTOR-NL</v>
      </c>
      <c r="E76" s="48" t="s">
        <v>257</v>
      </c>
      <c r="F76" s="48" t="s">
        <v>11</v>
      </c>
      <c r="G76" s="48" t="s">
        <v>77</v>
      </c>
      <c r="H76" s="48" t="s">
        <v>256</v>
      </c>
      <c r="I76" s="48"/>
      <c r="J76" s="48"/>
    </row>
    <row r="77" spans="2:10">
      <c r="B77" s="48"/>
      <c r="C77" s="48"/>
      <c r="D77" s="48" t="str">
        <f>B22</f>
        <v>NGASTOR-AT</v>
      </c>
      <c r="E77" s="48" t="s">
        <v>258</v>
      </c>
      <c r="F77" s="48" t="s">
        <v>11</v>
      </c>
      <c r="G77" s="48" t="s">
        <v>77</v>
      </c>
      <c r="H77" s="48" t="s">
        <v>256</v>
      </c>
      <c r="I77" s="48"/>
      <c r="J77" s="48"/>
    </row>
    <row r="78" spans="2:10">
      <c r="B78" s="48"/>
      <c r="C78" s="48"/>
      <c r="D78" s="48" t="str">
        <f t="shared" ref="D78:D106" si="2">B23</f>
        <v>NGASTOR-BE</v>
      </c>
      <c r="E78" s="48" t="s">
        <v>258</v>
      </c>
      <c r="F78" s="48" t="s">
        <v>11</v>
      </c>
      <c r="G78" s="48" t="s">
        <v>77</v>
      </c>
      <c r="H78" s="48" t="s">
        <v>256</v>
      </c>
      <c r="I78" s="48"/>
      <c r="J78" s="48"/>
    </row>
    <row r="79" spans="2:10">
      <c r="B79" s="48"/>
      <c r="C79" s="48"/>
      <c r="D79" s="48" t="str">
        <f t="shared" si="2"/>
        <v>NGASTOR-BG</v>
      </c>
      <c r="E79" s="48" t="s">
        <v>258</v>
      </c>
      <c r="F79" s="48" t="s">
        <v>11</v>
      </c>
      <c r="G79" s="48" t="s">
        <v>77</v>
      </c>
      <c r="H79" s="48" t="s">
        <v>256</v>
      </c>
      <c r="I79" s="48"/>
      <c r="J79" s="48"/>
    </row>
    <row r="80" spans="2:10">
      <c r="B80" s="48"/>
      <c r="C80" s="48"/>
      <c r="D80" s="48" t="str">
        <f t="shared" si="2"/>
        <v>NGASTOR-CH</v>
      </c>
      <c r="E80" s="48" t="s">
        <v>258</v>
      </c>
      <c r="F80" s="48" t="s">
        <v>11</v>
      </c>
      <c r="G80" s="48" t="s">
        <v>77</v>
      </c>
      <c r="H80" s="48" t="s">
        <v>256</v>
      </c>
      <c r="I80" s="48"/>
      <c r="J80" s="48"/>
    </row>
    <row r="81" spans="2:10">
      <c r="B81" s="48"/>
      <c r="C81" s="48"/>
      <c r="D81" s="48" t="str">
        <f t="shared" si="2"/>
        <v>NGASTOR-CY</v>
      </c>
      <c r="E81" s="48" t="s">
        <v>258</v>
      </c>
      <c r="F81" s="48" t="s">
        <v>11</v>
      </c>
      <c r="G81" s="48" t="s">
        <v>77</v>
      </c>
      <c r="H81" s="48" t="s">
        <v>256</v>
      </c>
      <c r="I81" s="48"/>
      <c r="J81" s="48"/>
    </row>
    <row r="82" spans="2:10">
      <c r="B82" s="48"/>
      <c r="C82" s="48"/>
      <c r="D82" s="48" t="str">
        <f t="shared" si="2"/>
        <v>NGASTOR-CZ</v>
      </c>
      <c r="E82" s="48" t="s">
        <v>258</v>
      </c>
      <c r="F82" s="48" t="s">
        <v>11</v>
      </c>
      <c r="G82" s="48" t="s">
        <v>77</v>
      </c>
      <c r="H82" s="48" t="s">
        <v>256</v>
      </c>
      <c r="I82" s="48"/>
      <c r="J82" s="48"/>
    </row>
    <row r="83" spans="2:10">
      <c r="B83" s="48"/>
      <c r="C83" s="48"/>
      <c r="D83" s="48" t="str">
        <f t="shared" si="2"/>
        <v>NGASTOR-DE</v>
      </c>
      <c r="E83" s="48" t="s">
        <v>258</v>
      </c>
      <c r="F83" s="48" t="s">
        <v>11</v>
      </c>
      <c r="G83" s="48" t="s">
        <v>77</v>
      </c>
      <c r="H83" s="48" t="s">
        <v>256</v>
      </c>
      <c r="I83" s="48"/>
      <c r="J83" s="48"/>
    </row>
    <row r="84" spans="2:10">
      <c r="B84" s="48"/>
      <c r="C84" s="48"/>
      <c r="D84" s="48" t="str">
        <f t="shared" si="2"/>
        <v>NGASTOR-DK</v>
      </c>
      <c r="E84" s="48" t="s">
        <v>258</v>
      </c>
      <c r="F84" s="48" t="s">
        <v>11</v>
      </c>
      <c r="G84" s="48" t="s">
        <v>77</v>
      </c>
      <c r="H84" s="48" t="s">
        <v>256</v>
      </c>
      <c r="I84" s="48"/>
      <c r="J84" s="48"/>
    </row>
    <row r="85" spans="2:10">
      <c r="B85" s="48"/>
      <c r="C85" s="48"/>
      <c r="D85" s="48" t="str">
        <f t="shared" si="2"/>
        <v>NGASTOR-EE</v>
      </c>
      <c r="E85" s="48" t="s">
        <v>258</v>
      </c>
      <c r="F85" s="48" t="s">
        <v>11</v>
      </c>
      <c r="G85" s="48" t="s">
        <v>77</v>
      </c>
      <c r="H85" s="48" t="s">
        <v>256</v>
      </c>
      <c r="I85" s="48"/>
      <c r="J85" s="48"/>
    </row>
    <row r="86" spans="2:10">
      <c r="B86" s="48"/>
      <c r="C86" s="48"/>
      <c r="D86" s="48" t="str">
        <f t="shared" si="2"/>
        <v>NGASTOR-ES</v>
      </c>
      <c r="E86" s="48" t="s">
        <v>258</v>
      </c>
      <c r="F86" s="48" t="s">
        <v>11</v>
      </c>
      <c r="G86" s="48" t="s">
        <v>77</v>
      </c>
      <c r="H86" s="48" t="s">
        <v>256</v>
      </c>
      <c r="I86" s="48"/>
      <c r="J86" s="48"/>
    </row>
    <row r="87" spans="2:10">
      <c r="B87" s="48"/>
      <c r="C87" s="48"/>
      <c r="D87" s="48" t="str">
        <f t="shared" si="2"/>
        <v>NGASTOR-FI</v>
      </c>
      <c r="E87" s="48" t="s">
        <v>258</v>
      </c>
      <c r="F87" s="48" t="s">
        <v>11</v>
      </c>
      <c r="G87" s="48" t="s">
        <v>77</v>
      </c>
      <c r="H87" s="48" t="s">
        <v>256</v>
      </c>
      <c r="I87" s="48"/>
      <c r="J87" s="48"/>
    </row>
    <row r="88" spans="2:10">
      <c r="B88" s="48"/>
      <c r="C88" s="48"/>
      <c r="D88" s="48" t="str">
        <f t="shared" si="2"/>
        <v>NGASTOR-FR</v>
      </c>
      <c r="E88" s="48" t="s">
        <v>258</v>
      </c>
      <c r="F88" s="48" t="s">
        <v>11</v>
      </c>
      <c r="G88" s="48" t="s">
        <v>77</v>
      </c>
      <c r="H88" s="48" t="s">
        <v>256</v>
      </c>
      <c r="I88" s="48"/>
      <c r="J88" s="48"/>
    </row>
    <row r="89" spans="2:10">
      <c r="B89" s="48"/>
      <c r="C89" s="48"/>
      <c r="D89" s="48" t="str">
        <f t="shared" si="2"/>
        <v>NGASTOR-GR</v>
      </c>
      <c r="E89" s="48" t="s">
        <v>258</v>
      </c>
      <c r="F89" s="48" t="s">
        <v>11</v>
      </c>
      <c r="G89" s="48" t="s">
        <v>77</v>
      </c>
      <c r="H89" s="48" t="s">
        <v>256</v>
      </c>
      <c r="I89" s="48"/>
      <c r="J89" s="48"/>
    </row>
    <row r="90" spans="2:10">
      <c r="B90" s="48"/>
      <c r="C90" s="48"/>
      <c r="D90" s="48" t="str">
        <f t="shared" si="2"/>
        <v>NGASTOR-HU</v>
      </c>
      <c r="E90" s="48" t="s">
        <v>258</v>
      </c>
      <c r="F90" s="48" t="s">
        <v>11</v>
      </c>
      <c r="G90" s="48" t="s">
        <v>77</v>
      </c>
      <c r="H90" s="48" t="s">
        <v>256</v>
      </c>
      <c r="I90" s="48"/>
      <c r="J90" s="48"/>
    </row>
    <row r="91" spans="2:10">
      <c r="B91" s="48"/>
      <c r="C91" s="48"/>
      <c r="D91" s="48" t="str">
        <f t="shared" si="2"/>
        <v>NGASTOR-IE</v>
      </c>
      <c r="E91" s="48" t="s">
        <v>258</v>
      </c>
      <c r="F91" s="48" t="s">
        <v>11</v>
      </c>
      <c r="G91" s="48" t="s">
        <v>77</v>
      </c>
      <c r="H91" s="48" t="s">
        <v>256</v>
      </c>
      <c r="I91" s="48"/>
      <c r="J91" s="48"/>
    </row>
    <row r="92" spans="2:10">
      <c r="B92" s="48"/>
      <c r="C92" s="48"/>
      <c r="D92" s="48" t="str">
        <f t="shared" si="2"/>
        <v>NGASTOR-IS</v>
      </c>
      <c r="E92" s="48" t="s">
        <v>258</v>
      </c>
      <c r="F92" s="48" t="s">
        <v>11</v>
      </c>
      <c r="G92" s="48" t="s">
        <v>77</v>
      </c>
      <c r="H92" s="48" t="s">
        <v>256</v>
      </c>
      <c r="I92" s="48"/>
      <c r="J92" s="48"/>
    </row>
    <row r="93" spans="2:10">
      <c r="B93" s="48"/>
      <c r="C93" s="48"/>
      <c r="D93" s="48" t="str">
        <f t="shared" si="2"/>
        <v>NGASTOR-IT</v>
      </c>
      <c r="E93" s="48" t="s">
        <v>258</v>
      </c>
      <c r="F93" s="48" t="s">
        <v>11</v>
      </c>
      <c r="G93" s="48" t="s">
        <v>77</v>
      </c>
      <c r="H93" s="48" t="s">
        <v>256</v>
      </c>
      <c r="I93" s="48"/>
      <c r="J93" s="48"/>
    </row>
    <row r="94" spans="2:10">
      <c r="B94" s="48"/>
      <c r="C94" s="48"/>
      <c r="D94" s="48" t="str">
        <f t="shared" si="2"/>
        <v>NGASTOR-LT</v>
      </c>
      <c r="E94" s="48" t="s">
        <v>258</v>
      </c>
      <c r="F94" s="48" t="s">
        <v>11</v>
      </c>
      <c r="G94" s="48" t="s">
        <v>77</v>
      </c>
      <c r="H94" s="48" t="s">
        <v>256</v>
      </c>
      <c r="I94" s="48"/>
      <c r="J94" s="48"/>
    </row>
    <row r="95" spans="2:10">
      <c r="B95" s="48"/>
      <c r="C95" s="48"/>
      <c r="D95" s="48" t="str">
        <f t="shared" si="2"/>
        <v>NGASTOR-LU</v>
      </c>
      <c r="E95" s="48" t="s">
        <v>258</v>
      </c>
      <c r="F95" s="48" t="s">
        <v>11</v>
      </c>
      <c r="G95" s="48" t="s">
        <v>77</v>
      </c>
      <c r="H95" s="48" t="s">
        <v>256</v>
      </c>
      <c r="I95" s="48"/>
      <c r="J95" s="48"/>
    </row>
    <row r="96" spans="2:10">
      <c r="B96" s="48"/>
      <c r="C96" s="48"/>
      <c r="D96" s="48" t="str">
        <f t="shared" si="2"/>
        <v>NGASTOR-LV</v>
      </c>
      <c r="E96" s="48" t="s">
        <v>258</v>
      </c>
      <c r="F96" s="48" t="s">
        <v>11</v>
      </c>
      <c r="G96" s="48" t="s">
        <v>77</v>
      </c>
      <c r="H96" s="48" t="s">
        <v>256</v>
      </c>
      <c r="I96" s="48"/>
      <c r="J96" s="48"/>
    </row>
    <row r="97" spans="2:10">
      <c r="B97" s="48"/>
      <c r="C97" s="48"/>
      <c r="D97" s="48" t="str">
        <f t="shared" si="2"/>
        <v>NGASTOR-MT</v>
      </c>
      <c r="E97" s="48" t="s">
        <v>258</v>
      </c>
      <c r="F97" s="48" t="s">
        <v>11</v>
      </c>
      <c r="G97" s="48" t="s">
        <v>77</v>
      </c>
      <c r="H97" s="48" t="s">
        <v>256</v>
      </c>
      <c r="I97" s="48"/>
      <c r="J97" s="48"/>
    </row>
    <row r="98" spans="2:10">
      <c r="B98" s="48"/>
      <c r="C98" s="48"/>
      <c r="D98" s="48" t="str">
        <f t="shared" si="2"/>
        <v>NGASTOR-NL</v>
      </c>
      <c r="E98" s="48" t="s">
        <v>258</v>
      </c>
      <c r="F98" s="48" t="s">
        <v>11</v>
      </c>
      <c r="G98" s="48" t="s">
        <v>77</v>
      </c>
      <c r="H98" s="48" t="s">
        <v>256</v>
      </c>
      <c r="I98" s="48"/>
      <c r="J98" s="48"/>
    </row>
    <row r="99" spans="2:10">
      <c r="B99" s="48"/>
      <c r="C99" s="48"/>
      <c r="D99" s="48" t="str">
        <f t="shared" si="2"/>
        <v>NGASTOR-NO</v>
      </c>
      <c r="E99" s="48" t="s">
        <v>258</v>
      </c>
      <c r="F99" s="48" t="s">
        <v>11</v>
      </c>
      <c r="G99" s="48" t="s">
        <v>77</v>
      </c>
      <c r="H99" s="48" t="s">
        <v>256</v>
      </c>
      <c r="I99" s="48"/>
      <c r="J99" s="48"/>
    </row>
    <row r="100" spans="2:10">
      <c r="B100" s="48"/>
      <c r="C100" s="48"/>
      <c r="D100" s="48" t="str">
        <f t="shared" si="2"/>
        <v>NGASTOR-PL</v>
      </c>
      <c r="E100" s="48" t="s">
        <v>258</v>
      </c>
      <c r="F100" s="48" t="s">
        <v>11</v>
      </c>
      <c r="G100" s="48" t="s">
        <v>77</v>
      </c>
      <c r="H100" s="48" t="s">
        <v>256</v>
      </c>
      <c r="I100" s="48"/>
      <c r="J100" s="48"/>
    </row>
    <row r="101" spans="2:10">
      <c r="B101" s="48"/>
      <c r="C101" s="48"/>
      <c r="D101" s="48" t="str">
        <f t="shared" si="2"/>
        <v>NGASTOR-PT</v>
      </c>
      <c r="E101" s="48" t="s">
        <v>258</v>
      </c>
      <c r="F101" s="48" t="s">
        <v>11</v>
      </c>
      <c r="G101" s="48" t="s">
        <v>77</v>
      </c>
      <c r="H101" s="48" t="s">
        <v>256</v>
      </c>
      <c r="I101" s="48"/>
      <c r="J101" s="48"/>
    </row>
    <row r="102" spans="2:10">
      <c r="B102" s="48"/>
      <c r="C102" s="48"/>
      <c r="D102" s="48" t="str">
        <f t="shared" si="2"/>
        <v>NGASTOR-RO</v>
      </c>
      <c r="E102" s="48" t="s">
        <v>258</v>
      </c>
      <c r="F102" s="48" t="s">
        <v>11</v>
      </c>
      <c r="G102" s="48" t="s">
        <v>77</v>
      </c>
      <c r="H102" s="48" t="s">
        <v>256</v>
      </c>
      <c r="I102" s="48"/>
      <c r="J102" s="48"/>
    </row>
    <row r="103" spans="2:10">
      <c r="B103" s="48"/>
      <c r="C103" s="48"/>
      <c r="D103" s="48" t="str">
        <f t="shared" si="2"/>
        <v>NGASTOR-SE</v>
      </c>
      <c r="E103" s="48" t="s">
        <v>258</v>
      </c>
      <c r="F103" s="48" t="s">
        <v>11</v>
      </c>
      <c r="G103" s="48" t="s">
        <v>77</v>
      </c>
      <c r="H103" s="48" t="s">
        <v>256</v>
      </c>
      <c r="I103" s="48"/>
      <c r="J103" s="48"/>
    </row>
    <row r="104" spans="2:10">
      <c r="B104" s="48"/>
      <c r="C104" s="48"/>
      <c r="D104" s="48" t="str">
        <f t="shared" si="2"/>
        <v>NGASTOR-SI</v>
      </c>
      <c r="E104" s="48" t="s">
        <v>258</v>
      </c>
      <c r="F104" s="48" t="s">
        <v>11</v>
      </c>
      <c r="G104" s="48" t="s">
        <v>77</v>
      </c>
      <c r="H104" s="48" t="s">
        <v>256</v>
      </c>
      <c r="I104" s="48"/>
      <c r="J104" s="48"/>
    </row>
    <row r="105" spans="2:10">
      <c r="B105" s="48"/>
      <c r="C105" s="48"/>
      <c r="D105" s="48" t="str">
        <f t="shared" si="2"/>
        <v>NGASTOR-SK</v>
      </c>
      <c r="E105" s="48" t="s">
        <v>258</v>
      </c>
      <c r="F105" s="48" t="s">
        <v>11</v>
      </c>
      <c r="G105" s="48" t="s">
        <v>77</v>
      </c>
      <c r="H105" s="48" t="s">
        <v>256</v>
      </c>
      <c r="I105" s="48"/>
      <c r="J105" s="48"/>
    </row>
    <row r="106" spans="2:10">
      <c r="B106" s="48"/>
      <c r="C106" s="48"/>
      <c r="D106" s="48" t="str">
        <f t="shared" si="2"/>
        <v>NGASTOR-UK</v>
      </c>
      <c r="E106" s="48" t="s">
        <v>258</v>
      </c>
      <c r="F106" s="48" t="s">
        <v>11</v>
      </c>
      <c r="G106" s="48" t="s">
        <v>77</v>
      </c>
      <c r="H106" s="48" t="s">
        <v>256</v>
      </c>
      <c r="I106" s="48"/>
      <c r="J106" s="48"/>
    </row>
    <row r="107" spans="2:10">
      <c r="C107" s="48" t="s">
        <v>36</v>
      </c>
      <c r="D107" s="48" t="str">
        <f>B56</f>
        <v>NGASTOSTOR</v>
      </c>
      <c r="E107" s="48" t="s">
        <v>339</v>
      </c>
      <c r="F107" s="48" t="s">
        <v>11</v>
      </c>
      <c r="G107" s="48" t="s">
        <v>77</v>
      </c>
      <c r="H107" s="48" t="s">
        <v>256</v>
      </c>
    </row>
    <row r="108" spans="2:10">
      <c r="C108" s="48"/>
      <c r="D108" s="48" t="str">
        <f>B57</f>
        <v>NGASFRSTOR</v>
      </c>
      <c r="E108" s="48" t="s">
        <v>340</v>
      </c>
      <c r="F108" s="48" t="s">
        <v>11</v>
      </c>
      <c r="G108" s="48" t="s">
        <v>77</v>
      </c>
      <c r="H108" s="48" t="s">
        <v>256</v>
      </c>
    </row>
  </sheetData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"/>
  <sheetViews>
    <sheetView workbookViewId="0">
      <selection activeCell="B23" sqref="B23"/>
    </sheetView>
  </sheetViews>
  <sheetFormatPr defaultColWidth="9.109375" defaultRowHeight="14.4"/>
  <cols>
    <col min="1" max="1" width="9.109375" style="35"/>
    <col min="2" max="2" width="17" style="35" bestFit="1" customWidth="1"/>
    <col min="3" max="3" width="13.6640625" style="35" customWidth="1"/>
    <col min="4" max="4" width="63.5546875" style="35" bestFit="1" customWidth="1"/>
    <col min="5" max="5" width="11.5546875" style="35" customWidth="1"/>
    <col min="6" max="7" width="9.109375" style="35"/>
    <col min="8" max="8" width="10.88671875" style="35" bestFit="1" customWidth="1"/>
    <col min="9" max="16384" width="9.109375" style="35"/>
  </cols>
  <sheetData>
    <row r="1" spans="1:20">
      <c r="A1" s="34" t="s">
        <v>261</v>
      </c>
    </row>
    <row r="3" spans="1:20">
      <c r="D3" s="36" t="s">
        <v>12</v>
      </c>
    </row>
    <row r="4" spans="1:20" s="37" customFormat="1" ht="26.25" customHeight="1">
      <c r="B4" s="38" t="s">
        <v>1</v>
      </c>
      <c r="C4" s="38" t="s">
        <v>4</v>
      </c>
      <c r="D4" s="38" t="s">
        <v>3</v>
      </c>
      <c r="E4" s="38" t="s">
        <v>272</v>
      </c>
    </row>
    <row r="5" spans="1:20" s="37" customFormat="1" ht="13.8" thickBot="1">
      <c r="B5" s="39" t="s">
        <v>262</v>
      </c>
      <c r="C5" s="40"/>
      <c r="D5" s="40"/>
      <c r="E5" s="40"/>
    </row>
    <row r="6" spans="1:20">
      <c r="B6" s="35" t="s">
        <v>265</v>
      </c>
      <c r="C6" s="35" t="str">
        <f>$C$25</f>
        <v>DUMBioFuelConstr</v>
      </c>
      <c r="D6" s="41"/>
      <c r="G6" s="42"/>
      <c r="H6" s="42"/>
      <c r="I6" s="42"/>
    </row>
    <row r="7" spans="1:20">
      <c r="B7" s="35" t="s">
        <v>266</v>
      </c>
      <c r="C7" s="35" t="str">
        <f>$C$25</f>
        <v>DUMBioFuelConstr</v>
      </c>
      <c r="D7" s="41"/>
      <c r="G7" s="42"/>
      <c r="H7" s="42"/>
      <c r="I7" s="42"/>
    </row>
    <row r="8" spans="1:20">
      <c r="B8" s="35" t="s">
        <v>267</v>
      </c>
      <c r="C8" s="35" t="str">
        <f>$C$25</f>
        <v>DUMBioFuelConstr</v>
      </c>
      <c r="D8" s="41"/>
      <c r="G8" s="42"/>
      <c r="H8" s="42"/>
      <c r="I8" s="42"/>
    </row>
    <row r="9" spans="1:20">
      <c r="B9" s="35" t="s">
        <v>269</v>
      </c>
      <c r="C9" s="35" t="str">
        <f>$C$25</f>
        <v>DUMBioFuelConstr</v>
      </c>
      <c r="M9" s="43"/>
      <c r="N9" s="43"/>
      <c r="O9" s="43"/>
      <c r="P9" s="43"/>
      <c r="Q9" s="43"/>
    </row>
    <row r="10" spans="1:20">
      <c r="B10" s="35" t="str">
        <f>C20</f>
        <v>EXPENVZ</v>
      </c>
      <c r="D10" s="35" t="s">
        <v>43</v>
      </c>
      <c r="E10" s="35">
        <v>1.5</v>
      </c>
      <c r="M10" s="43"/>
      <c r="N10" s="43"/>
      <c r="O10" s="43"/>
      <c r="P10" s="43"/>
      <c r="Q10" s="43"/>
    </row>
    <row r="11" spans="1:20">
      <c r="D11" s="35" t="s">
        <v>49</v>
      </c>
      <c r="P11" s="43"/>
      <c r="Q11" s="43"/>
      <c r="R11" s="43"/>
      <c r="S11" s="43"/>
      <c r="T11" s="43"/>
    </row>
    <row r="12" spans="1:20">
      <c r="P12" s="43"/>
      <c r="Q12" s="43"/>
      <c r="R12" s="43"/>
      <c r="S12" s="43"/>
      <c r="T12" s="43"/>
    </row>
    <row r="13" spans="1:20">
      <c r="P13" s="43"/>
      <c r="Q13" s="43"/>
      <c r="R13" s="43"/>
      <c r="S13" s="43"/>
      <c r="T13" s="43"/>
    </row>
    <row r="14" spans="1:20">
      <c r="B14" s="58" t="s">
        <v>5</v>
      </c>
      <c r="C14" s="59"/>
      <c r="D14" s="59"/>
      <c r="E14" s="59"/>
      <c r="F14" s="59"/>
      <c r="G14" s="59"/>
      <c r="H14" s="59"/>
      <c r="I14" s="59"/>
      <c r="P14" s="43"/>
      <c r="Q14" s="43"/>
      <c r="R14" s="43"/>
      <c r="S14" s="43"/>
      <c r="T14" s="43"/>
    </row>
    <row r="15" spans="1:20">
      <c r="B15" s="60" t="s">
        <v>0</v>
      </c>
      <c r="C15" s="61" t="s">
        <v>1</v>
      </c>
      <c r="D15" s="61" t="s">
        <v>2</v>
      </c>
      <c r="E15" s="61" t="s">
        <v>6</v>
      </c>
      <c r="F15" s="61" t="s">
        <v>7</v>
      </c>
      <c r="G15" s="61" t="s">
        <v>8</v>
      </c>
      <c r="H15" s="61" t="s">
        <v>9</v>
      </c>
      <c r="I15" s="62" t="s">
        <v>10</v>
      </c>
      <c r="P15" s="43"/>
      <c r="Q15" s="43"/>
      <c r="R15" s="43"/>
      <c r="S15" s="43"/>
      <c r="T15" s="43"/>
    </row>
    <row r="16" spans="1:20">
      <c r="B16" s="59" t="s">
        <v>74</v>
      </c>
      <c r="C16" s="59" t="str">
        <f>B6</f>
        <v>DUMELCR</v>
      </c>
      <c r="D16" s="59" t="s">
        <v>268</v>
      </c>
      <c r="E16" s="59" t="s">
        <v>11</v>
      </c>
      <c r="F16" s="59"/>
      <c r="G16" s="59"/>
      <c r="H16" s="59"/>
      <c r="I16" s="59"/>
    </row>
    <row r="17" spans="2:20">
      <c r="B17" s="59"/>
      <c r="C17" s="59" t="str">
        <f>B7</f>
        <v>DUMBIO1</v>
      </c>
      <c r="D17" s="59" t="s">
        <v>274</v>
      </c>
      <c r="E17" s="59" t="s">
        <v>11</v>
      </c>
      <c r="F17" s="59"/>
      <c r="G17" s="59"/>
      <c r="H17" s="59"/>
      <c r="I17" s="59"/>
    </row>
    <row r="18" spans="2:20">
      <c r="B18" s="59"/>
      <c r="C18" s="59" t="str">
        <f>B8</f>
        <v>DUMBIO2</v>
      </c>
      <c r="D18" s="59" t="s">
        <v>273</v>
      </c>
      <c r="E18" s="59" t="s">
        <v>11</v>
      </c>
      <c r="F18" s="59"/>
      <c r="G18" s="59"/>
      <c r="H18" s="59"/>
      <c r="I18" s="59"/>
    </row>
    <row r="19" spans="2:20" ht="15.75" customHeight="1">
      <c r="B19" s="59"/>
      <c r="C19" s="59" t="str">
        <f>B9</f>
        <v>DUMELCNR</v>
      </c>
      <c r="D19" s="59" t="s">
        <v>270</v>
      </c>
      <c r="E19" s="59" t="s">
        <v>11</v>
      </c>
      <c r="F19" s="59"/>
      <c r="G19" s="59"/>
      <c r="H19" s="59"/>
      <c r="I19" s="59"/>
    </row>
    <row r="20" spans="2:20" ht="15.75" customHeight="1">
      <c r="B20" s="59" t="s">
        <v>54</v>
      </c>
      <c r="C20" s="59" t="s">
        <v>271</v>
      </c>
      <c r="D20" s="59" t="s">
        <v>275</v>
      </c>
      <c r="E20" s="59" t="s">
        <v>48</v>
      </c>
      <c r="F20" s="59"/>
      <c r="G20" s="59"/>
      <c r="H20" s="59"/>
      <c r="I20" s="59"/>
    </row>
    <row r="21" spans="2:20" ht="15.75" customHeight="1"/>
    <row r="22" spans="2:20" ht="15.75" customHeight="1"/>
    <row r="23" spans="2:20">
      <c r="B23" s="58" t="s">
        <v>335</v>
      </c>
      <c r="C23" s="59"/>
      <c r="D23" s="59"/>
      <c r="E23" s="59"/>
      <c r="F23" s="59"/>
      <c r="G23" s="59"/>
      <c r="H23" s="59"/>
      <c r="I23" s="59"/>
      <c r="P23" s="43"/>
      <c r="Q23" s="43"/>
      <c r="R23" s="43"/>
      <c r="S23" s="43"/>
      <c r="T23" s="43"/>
    </row>
    <row r="24" spans="2:20">
      <c r="B24" s="60" t="s">
        <v>23</v>
      </c>
      <c r="C24" s="61" t="s">
        <v>24</v>
      </c>
      <c r="D24" s="61" t="s">
        <v>25</v>
      </c>
      <c r="E24" s="61" t="s">
        <v>26</v>
      </c>
      <c r="F24" s="61" t="s">
        <v>27</v>
      </c>
      <c r="G24" s="61" t="s">
        <v>28</v>
      </c>
      <c r="H24" s="61" t="s">
        <v>29</v>
      </c>
      <c r="I24" s="62" t="s">
        <v>30</v>
      </c>
      <c r="P24" s="43"/>
      <c r="Q24" s="43"/>
      <c r="R24" s="43"/>
      <c r="S24" s="43"/>
      <c r="T24" s="43"/>
    </row>
    <row r="25" spans="2:20">
      <c r="B25" s="59" t="s">
        <v>31</v>
      </c>
      <c r="C25" s="59" t="s">
        <v>263</v>
      </c>
      <c r="D25" s="59" t="s">
        <v>264</v>
      </c>
      <c r="E25" s="59" t="s">
        <v>11</v>
      </c>
      <c r="F25" s="59"/>
      <c r="G25" s="59"/>
      <c r="H25" s="59"/>
      <c r="I25" s="59"/>
    </row>
  </sheetData>
  <phoneticPr fontId="3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1"/>
  <sheetViews>
    <sheetView zoomScale="75" workbookViewId="0">
      <selection activeCell="L22" sqref="L22"/>
    </sheetView>
  </sheetViews>
  <sheetFormatPr defaultRowHeight="13.2"/>
  <cols>
    <col min="5" max="5" width="16.5546875" bestFit="1" customWidth="1"/>
    <col min="6" max="6" width="17.44140625" bestFit="1" customWidth="1"/>
    <col min="7" max="7" width="19.88671875" bestFit="1" customWidth="1"/>
    <col min="9" max="9" width="21.44140625" customWidth="1"/>
  </cols>
  <sheetData>
    <row r="1" spans="1:23">
      <c r="B1" s="25" t="s">
        <v>86</v>
      </c>
    </row>
    <row r="2" spans="1:23">
      <c r="N2" t="s">
        <v>204</v>
      </c>
    </row>
    <row r="3" spans="1:23">
      <c r="A3" s="26" t="s">
        <v>87</v>
      </c>
      <c r="B3" s="26" t="s">
        <v>88</v>
      </c>
      <c r="C3" s="26" t="s">
        <v>89</v>
      </c>
      <c r="D3" s="26" t="s">
        <v>90</v>
      </c>
      <c r="E3" s="26" t="s">
        <v>91</v>
      </c>
      <c r="F3" s="26" t="s">
        <v>92</v>
      </c>
      <c r="G3" s="26" t="s">
        <v>93</v>
      </c>
      <c r="H3" s="26" t="s">
        <v>94</v>
      </c>
      <c r="I3" s="26" t="s">
        <v>95</v>
      </c>
      <c r="J3" s="26" t="s">
        <v>96</v>
      </c>
      <c r="K3" s="26" t="s">
        <v>97</v>
      </c>
      <c r="L3" s="26" t="s">
        <v>98</v>
      </c>
      <c r="M3" s="13" t="s">
        <v>99</v>
      </c>
      <c r="N3" s="26">
        <v>2006</v>
      </c>
      <c r="O3" s="26">
        <v>2007</v>
      </c>
      <c r="P3" s="26">
        <v>2009</v>
      </c>
      <c r="Q3" s="26">
        <v>2010</v>
      </c>
      <c r="R3" s="26">
        <v>2011</v>
      </c>
      <c r="S3" s="26">
        <v>2012</v>
      </c>
      <c r="T3" s="26">
        <v>2013</v>
      </c>
      <c r="U3" s="26">
        <v>2014</v>
      </c>
      <c r="V3" s="26">
        <v>2015</v>
      </c>
      <c r="W3" s="26">
        <v>2016</v>
      </c>
    </row>
    <row r="4" spans="1:23">
      <c r="B4" t="s">
        <v>100</v>
      </c>
      <c r="C4" t="s">
        <v>100</v>
      </c>
      <c r="D4" s="27" t="s">
        <v>101</v>
      </c>
      <c r="E4" t="s">
        <v>102</v>
      </c>
      <c r="F4" t="s">
        <v>103</v>
      </c>
      <c r="G4" t="s">
        <v>103</v>
      </c>
      <c r="H4" t="s">
        <v>11</v>
      </c>
      <c r="I4">
        <v>8.8919999999999995</v>
      </c>
      <c r="J4">
        <v>50</v>
      </c>
      <c r="L4">
        <v>8.6708782360956285</v>
      </c>
      <c r="M4">
        <v>1</v>
      </c>
    </row>
    <row r="5" spans="1:23">
      <c r="B5" t="s">
        <v>100</v>
      </c>
      <c r="C5" t="s">
        <v>100</v>
      </c>
      <c r="D5" s="27" t="s">
        <v>104</v>
      </c>
      <c r="E5" t="s">
        <v>105</v>
      </c>
      <c r="F5" t="s">
        <v>106</v>
      </c>
      <c r="G5" t="s">
        <v>107</v>
      </c>
      <c r="H5" t="s">
        <v>11</v>
      </c>
      <c r="I5">
        <v>8.4239999999999995</v>
      </c>
      <c r="J5">
        <v>50</v>
      </c>
      <c r="L5">
        <v>8.6708782360956285</v>
      </c>
      <c r="M5">
        <v>1</v>
      </c>
    </row>
    <row r="6" spans="1:23">
      <c r="B6" t="s">
        <v>100</v>
      </c>
      <c r="C6" t="s">
        <v>100</v>
      </c>
      <c r="D6" s="27" t="s">
        <v>108</v>
      </c>
      <c r="E6" t="s">
        <v>109</v>
      </c>
      <c r="F6" t="s">
        <v>110</v>
      </c>
      <c r="G6" t="s">
        <v>111</v>
      </c>
      <c r="H6" t="s">
        <v>11</v>
      </c>
      <c r="I6">
        <v>3.51</v>
      </c>
      <c r="J6">
        <v>50</v>
      </c>
      <c r="L6">
        <v>8.6708782360956285</v>
      </c>
      <c r="M6">
        <v>1</v>
      </c>
      <c r="P6">
        <v>7.7219999999999995</v>
      </c>
    </row>
    <row r="7" spans="1:23">
      <c r="B7" t="s">
        <v>100</v>
      </c>
      <c r="C7" t="s">
        <v>100</v>
      </c>
      <c r="D7" s="27" t="s">
        <v>112</v>
      </c>
      <c r="E7" t="s">
        <v>113</v>
      </c>
      <c r="F7" t="s">
        <v>114</v>
      </c>
      <c r="G7" t="s">
        <v>115</v>
      </c>
      <c r="H7" t="s">
        <v>11</v>
      </c>
      <c r="I7">
        <v>2.34</v>
      </c>
      <c r="J7">
        <v>50</v>
      </c>
      <c r="L7">
        <v>8.6708782360956285</v>
      </c>
      <c r="M7">
        <v>1</v>
      </c>
      <c r="R7">
        <v>3.2058</v>
      </c>
      <c r="U7">
        <v>0.93599999999999994</v>
      </c>
    </row>
    <row r="8" spans="1:23">
      <c r="B8" t="s">
        <v>100</v>
      </c>
      <c r="C8" t="s">
        <v>100</v>
      </c>
      <c r="D8" s="27" t="s">
        <v>116</v>
      </c>
      <c r="E8" t="s">
        <v>117</v>
      </c>
      <c r="F8" t="s">
        <v>114</v>
      </c>
      <c r="G8" t="s">
        <v>118</v>
      </c>
      <c r="H8" t="s">
        <v>11</v>
      </c>
      <c r="I8">
        <v>0</v>
      </c>
      <c r="J8">
        <v>50</v>
      </c>
      <c r="L8">
        <v>8.6708782360956285</v>
      </c>
      <c r="M8">
        <v>1</v>
      </c>
      <c r="Q8">
        <v>7.4879999999999995</v>
      </c>
      <c r="S8">
        <v>7.4880000000000013</v>
      </c>
    </row>
    <row r="9" spans="1:23">
      <c r="B9" t="s">
        <v>100</v>
      </c>
      <c r="C9" t="s">
        <v>100</v>
      </c>
      <c r="D9" s="27" t="s">
        <v>119</v>
      </c>
      <c r="E9" t="s">
        <v>120</v>
      </c>
      <c r="F9" t="s">
        <v>121</v>
      </c>
      <c r="G9" t="s">
        <v>121</v>
      </c>
      <c r="H9" t="s">
        <v>11</v>
      </c>
      <c r="I9">
        <v>3.0419999999999998</v>
      </c>
      <c r="J9">
        <v>50</v>
      </c>
      <c r="L9">
        <v>8.6708782360956285</v>
      </c>
      <c r="M9">
        <v>1</v>
      </c>
    </row>
    <row r="10" spans="1:23">
      <c r="B10" t="s">
        <v>100</v>
      </c>
      <c r="C10" t="s">
        <v>100</v>
      </c>
      <c r="D10" s="27" t="s">
        <v>122</v>
      </c>
      <c r="E10" t="s">
        <v>123</v>
      </c>
      <c r="F10" t="s">
        <v>124</v>
      </c>
      <c r="G10" t="s">
        <v>124</v>
      </c>
      <c r="H10" t="s">
        <v>11</v>
      </c>
      <c r="I10">
        <v>5.6160000000000005</v>
      </c>
      <c r="J10">
        <v>50</v>
      </c>
      <c r="L10">
        <v>8.6708782360956285</v>
      </c>
      <c r="M10">
        <v>1</v>
      </c>
      <c r="S10">
        <v>3.51</v>
      </c>
    </row>
    <row r="11" spans="1:23">
      <c r="B11" t="s">
        <v>100</v>
      </c>
      <c r="C11" t="s">
        <v>100</v>
      </c>
      <c r="D11" s="27" t="s">
        <v>125</v>
      </c>
      <c r="E11" t="s">
        <v>126</v>
      </c>
      <c r="F11" t="s">
        <v>127</v>
      </c>
      <c r="G11" t="s">
        <v>128</v>
      </c>
      <c r="H11" t="s">
        <v>11</v>
      </c>
      <c r="I11">
        <v>22.861799999999999</v>
      </c>
      <c r="J11">
        <v>50</v>
      </c>
      <c r="L11">
        <v>8.6708782360956285</v>
      </c>
      <c r="M11">
        <v>1</v>
      </c>
      <c r="N11">
        <v>7.02</v>
      </c>
      <c r="P11">
        <v>3.2759999999999962</v>
      </c>
      <c r="U11">
        <v>14.110199999999992</v>
      </c>
    </row>
    <row r="12" spans="1:23">
      <c r="B12" t="s">
        <v>100</v>
      </c>
      <c r="C12" t="s">
        <v>100</v>
      </c>
      <c r="D12" s="27" t="s">
        <v>129</v>
      </c>
      <c r="E12" t="s">
        <v>130</v>
      </c>
      <c r="F12" t="s">
        <v>127</v>
      </c>
      <c r="G12" t="s">
        <v>131</v>
      </c>
      <c r="H12" t="s">
        <v>11</v>
      </c>
      <c r="I12">
        <v>17.783999999999999</v>
      </c>
      <c r="J12">
        <v>50</v>
      </c>
      <c r="L12">
        <v>8.6708782360956285</v>
      </c>
      <c r="M12">
        <v>1</v>
      </c>
      <c r="O12">
        <v>7.02</v>
      </c>
      <c r="R12">
        <v>10.541700000000002</v>
      </c>
      <c r="S12">
        <v>3.51</v>
      </c>
      <c r="V12">
        <v>21.048299999999998</v>
      </c>
      <c r="W12">
        <v>7.02</v>
      </c>
    </row>
    <row r="13" spans="1:23">
      <c r="B13" t="s">
        <v>100</v>
      </c>
      <c r="C13" t="s">
        <v>100</v>
      </c>
      <c r="D13" s="27" t="s">
        <v>132</v>
      </c>
      <c r="E13" t="s">
        <v>133</v>
      </c>
      <c r="F13" t="s">
        <v>134</v>
      </c>
      <c r="G13" t="s">
        <v>135</v>
      </c>
      <c r="H13" t="s">
        <v>11</v>
      </c>
      <c r="I13">
        <v>0</v>
      </c>
      <c r="J13">
        <v>50</v>
      </c>
      <c r="L13">
        <v>8.6708782360956285</v>
      </c>
      <c r="M13">
        <v>1</v>
      </c>
      <c r="P13">
        <v>30.770999999999997</v>
      </c>
    </row>
    <row r="14" spans="1:23">
      <c r="B14" t="s">
        <v>100</v>
      </c>
      <c r="C14" t="s">
        <v>100</v>
      </c>
      <c r="D14" s="27" t="s">
        <v>136</v>
      </c>
      <c r="E14" t="s">
        <v>137</v>
      </c>
      <c r="F14" t="s">
        <v>134</v>
      </c>
      <c r="G14" t="s">
        <v>138</v>
      </c>
      <c r="H14" t="s">
        <v>11</v>
      </c>
      <c r="I14">
        <v>18.72</v>
      </c>
      <c r="J14">
        <v>50</v>
      </c>
      <c r="L14">
        <v>8.6708782360956285</v>
      </c>
      <c r="M14">
        <v>1</v>
      </c>
      <c r="Q14">
        <v>4.68</v>
      </c>
    </row>
    <row r="15" spans="1:23">
      <c r="A15" s="28"/>
      <c r="B15" s="28" t="s">
        <v>100</v>
      </c>
      <c r="C15" s="28" t="s">
        <v>100</v>
      </c>
      <c r="D15" s="29" t="s">
        <v>139</v>
      </c>
      <c r="E15" s="28" t="s">
        <v>140</v>
      </c>
      <c r="F15" s="28" t="s">
        <v>141</v>
      </c>
      <c r="G15" s="28" t="s">
        <v>141</v>
      </c>
      <c r="H15" s="28" t="s">
        <v>11</v>
      </c>
      <c r="I15" s="28">
        <v>0</v>
      </c>
      <c r="J15" s="28">
        <v>50</v>
      </c>
      <c r="K15" s="28"/>
      <c r="L15" s="28">
        <v>8.6708782360956285</v>
      </c>
      <c r="M15" s="28">
        <v>1</v>
      </c>
      <c r="N15" s="28"/>
      <c r="O15" s="28"/>
      <c r="P15" s="28"/>
      <c r="Q15" s="28"/>
      <c r="R15" s="28">
        <v>12.635999999999999</v>
      </c>
      <c r="S15" s="28"/>
      <c r="T15" s="28"/>
      <c r="U15" s="28">
        <v>4.2119999999999997</v>
      </c>
      <c r="V15" s="28"/>
      <c r="W15" s="28"/>
    </row>
    <row r="19" spans="1:15">
      <c r="A19" s="18"/>
      <c r="B19" s="25" t="s">
        <v>142</v>
      </c>
    </row>
    <row r="21" spans="1:15">
      <c r="A21" s="26" t="s">
        <v>87</v>
      </c>
      <c r="B21" s="26" t="s">
        <v>88</v>
      </c>
      <c r="C21" s="26" t="s">
        <v>89</v>
      </c>
      <c r="D21" s="26" t="s">
        <v>90</v>
      </c>
      <c r="E21" s="26" t="s">
        <v>91</v>
      </c>
      <c r="F21" s="26" t="s">
        <v>92</v>
      </c>
      <c r="G21" s="26" t="s">
        <v>93</v>
      </c>
      <c r="H21" s="26" t="s">
        <v>94</v>
      </c>
      <c r="I21" s="13" t="s">
        <v>143</v>
      </c>
      <c r="J21" s="26" t="s">
        <v>144</v>
      </c>
      <c r="K21" s="26" t="s">
        <v>145</v>
      </c>
      <c r="L21" s="26" t="s">
        <v>146</v>
      </c>
      <c r="M21" s="26" t="s">
        <v>147</v>
      </c>
      <c r="N21" s="26" t="s">
        <v>148</v>
      </c>
      <c r="O21" s="26" t="s">
        <v>149</v>
      </c>
    </row>
    <row r="22" spans="1:15">
      <c r="A22" t="s">
        <v>150</v>
      </c>
      <c r="B22" t="s">
        <v>151</v>
      </c>
      <c r="C22" t="s">
        <v>151</v>
      </c>
      <c r="D22" t="s">
        <v>150</v>
      </c>
      <c r="E22" t="s">
        <v>152</v>
      </c>
      <c r="F22" t="s">
        <v>153</v>
      </c>
      <c r="G22" t="s">
        <v>153</v>
      </c>
      <c r="H22" t="s">
        <v>11</v>
      </c>
      <c r="I22" t="s">
        <v>11</v>
      </c>
      <c r="J22" s="30">
        <v>109.98</v>
      </c>
      <c r="K22" s="30">
        <v>159.9</v>
      </c>
      <c r="L22" s="30">
        <v>164.97</v>
      </c>
      <c r="M22" s="30">
        <v>469.755</v>
      </c>
      <c r="N22" s="30">
        <v>683.28</v>
      </c>
      <c r="O22" s="30">
        <v>695.80680000000007</v>
      </c>
    </row>
    <row r="23" spans="1:15">
      <c r="A23" t="s">
        <v>150</v>
      </c>
      <c r="B23" t="s">
        <v>151</v>
      </c>
      <c r="C23" t="s">
        <v>151</v>
      </c>
      <c r="D23" t="s">
        <v>150</v>
      </c>
      <c r="E23" t="s">
        <v>154</v>
      </c>
      <c r="F23" t="s">
        <v>103</v>
      </c>
      <c r="G23" t="s">
        <v>103</v>
      </c>
      <c r="H23" t="s">
        <v>11</v>
      </c>
      <c r="I23" t="s">
        <v>11</v>
      </c>
      <c r="J23" s="30">
        <v>24.765000000000001</v>
      </c>
      <c r="K23" s="30">
        <v>26.52</v>
      </c>
      <c r="L23" s="30">
        <v>26.675999999999998</v>
      </c>
      <c r="M23" s="30">
        <v>256.23</v>
      </c>
      <c r="N23" s="30">
        <v>341.64</v>
      </c>
      <c r="O23" s="30">
        <v>324.55799999999999</v>
      </c>
    </row>
    <row r="24" spans="1:15">
      <c r="A24" t="s">
        <v>150</v>
      </c>
      <c r="B24" t="s">
        <v>151</v>
      </c>
      <c r="C24" t="s">
        <v>151</v>
      </c>
      <c r="D24" t="s">
        <v>150</v>
      </c>
      <c r="E24" t="s">
        <v>155</v>
      </c>
      <c r="F24" t="s">
        <v>156</v>
      </c>
      <c r="G24" t="s">
        <v>156</v>
      </c>
      <c r="H24" t="s">
        <v>11</v>
      </c>
      <c r="I24" t="s">
        <v>11</v>
      </c>
      <c r="J24" s="30">
        <v>0</v>
      </c>
      <c r="K24" s="30">
        <v>39</v>
      </c>
      <c r="L24" s="30">
        <v>13.65</v>
      </c>
      <c r="M24" s="30">
        <v>0</v>
      </c>
      <c r="N24" s="30">
        <v>113.88</v>
      </c>
      <c r="O24" s="30">
        <v>46.97549999999999</v>
      </c>
    </row>
    <row r="25" spans="1:15">
      <c r="A25" t="s">
        <v>150</v>
      </c>
      <c r="B25" t="s">
        <v>151</v>
      </c>
      <c r="C25" t="s">
        <v>151</v>
      </c>
      <c r="D25" t="s">
        <v>150</v>
      </c>
      <c r="E25" t="s">
        <v>157</v>
      </c>
      <c r="F25" t="s">
        <v>158</v>
      </c>
      <c r="G25" t="s">
        <v>158</v>
      </c>
      <c r="H25" t="s">
        <v>11</v>
      </c>
      <c r="I25" t="s">
        <v>11</v>
      </c>
      <c r="J25" s="30">
        <v>2.8079999999999998</v>
      </c>
      <c r="K25" s="30">
        <v>2.8079999999999998</v>
      </c>
      <c r="L25" s="30">
        <v>0</v>
      </c>
      <c r="M25" s="30">
        <v>28.47</v>
      </c>
      <c r="N25" s="30">
        <v>28.47</v>
      </c>
      <c r="O25" s="30">
        <v>0</v>
      </c>
    </row>
    <row r="26" spans="1:15">
      <c r="A26" t="s">
        <v>150</v>
      </c>
      <c r="B26" t="s">
        <v>151</v>
      </c>
      <c r="C26" t="s">
        <v>151</v>
      </c>
      <c r="D26" t="s">
        <v>150</v>
      </c>
      <c r="E26" t="s">
        <v>159</v>
      </c>
      <c r="F26" t="s">
        <v>160</v>
      </c>
      <c r="G26" t="s">
        <v>160</v>
      </c>
      <c r="H26" t="s">
        <v>11</v>
      </c>
      <c r="I26" t="s">
        <v>11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</row>
    <row r="27" spans="1:15">
      <c r="A27" t="s">
        <v>150</v>
      </c>
      <c r="B27" t="s">
        <v>151</v>
      </c>
      <c r="C27" t="s">
        <v>151</v>
      </c>
      <c r="D27" t="s">
        <v>150</v>
      </c>
      <c r="E27" t="s">
        <v>161</v>
      </c>
      <c r="F27" t="s">
        <v>162</v>
      </c>
      <c r="G27" t="s">
        <v>162</v>
      </c>
      <c r="H27" t="s">
        <v>11</v>
      </c>
      <c r="I27" t="s">
        <v>11</v>
      </c>
      <c r="J27" s="30">
        <v>131.66399999999999</v>
      </c>
      <c r="K27" s="30">
        <v>131.66399999999999</v>
      </c>
      <c r="L27" s="30">
        <v>120.003</v>
      </c>
      <c r="M27" s="30">
        <v>782.92499999999995</v>
      </c>
      <c r="N27" s="30">
        <v>782.92499999999995</v>
      </c>
      <c r="O27" s="30">
        <v>721.71450000000016</v>
      </c>
    </row>
    <row r="28" spans="1:15">
      <c r="A28" t="s">
        <v>150</v>
      </c>
      <c r="B28" t="s">
        <v>151</v>
      </c>
      <c r="C28" t="s">
        <v>151</v>
      </c>
      <c r="D28" t="s">
        <v>150</v>
      </c>
      <c r="E28" t="s">
        <v>163</v>
      </c>
      <c r="F28" t="s">
        <v>164</v>
      </c>
      <c r="G28" t="s">
        <v>164</v>
      </c>
      <c r="H28" t="s">
        <v>11</v>
      </c>
      <c r="I28" t="s">
        <v>11</v>
      </c>
      <c r="J28" s="30">
        <v>743.65200000000004</v>
      </c>
      <c r="K28" s="30">
        <v>776.80200000000002</v>
      </c>
      <c r="L28" s="30">
        <v>764.21280000000002</v>
      </c>
      <c r="M28" s="30">
        <v>6775.86</v>
      </c>
      <c r="N28" s="30">
        <v>6690.45</v>
      </c>
      <c r="O28" s="30">
        <v>4673.0657999999994</v>
      </c>
    </row>
    <row r="29" spans="1:15">
      <c r="A29" t="s">
        <v>150</v>
      </c>
      <c r="B29" t="s">
        <v>151</v>
      </c>
      <c r="C29" t="s">
        <v>151</v>
      </c>
      <c r="D29" t="s">
        <v>150</v>
      </c>
      <c r="E29" t="s">
        <v>165</v>
      </c>
      <c r="F29" t="s">
        <v>166</v>
      </c>
      <c r="G29" t="s">
        <v>166</v>
      </c>
      <c r="H29" t="s">
        <v>11</v>
      </c>
      <c r="I29" t="s">
        <v>11</v>
      </c>
      <c r="J29" s="30">
        <v>29.64</v>
      </c>
      <c r="K29" s="30">
        <v>34.359000000000002</v>
      </c>
      <c r="L29" s="30">
        <v>39.039000000000001</v>
      </c>
      <c r="M29" s="30">
        <v>256.23</v>
      </c>
      <c r="N29" s="30">
        <v>313.17</v>
      </c>
      <c r="O29" s="30">
        <v>223.48949999999999</v>
      </c>
    </row>
    <row r="30" spans="1:15">
      <c r="A30" t="s">
        <v>150</v>
      </c>
      <c r="B30" t="s">
        <v>151</v>
      </c>
      <c r="C30" t="s">
        <v>151</v>
      </c>
      <c r="D30" t="s">
        <v>150</v>
      </c>
      <c r="E30" t="s">
        <v>167</v>
      </c>
      <c r="F30" t="s">
        <v>168</v>
      </c>
      <c r="G30" t="s">
        <v>168</v>
      </c>
      <c r="H30" t="s">
        <v>11</v>
      </c>
      <c r="I30" t="s">
        <v>11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</row>
    <row r="31" spans="1:15">
      <c r="A31" t="s">
        <v>150</v>
      </c>
      <c r="B31" t="s">
        <v>151</v>
      </c>
      <c r="C31" t="s">
        <v>151</v>
      </c>
      <c r="D31" t="s">
        <v>150</v>
      </c>
      <c r="E31" t="s">
        <v>169</v>
      </c>
      <c r="F31" t="s">
        <v>127</v>
      </c>
      <c r="G31" t="s">
        <v>127</v>
      </c>
      <c r="H31" t="s">
        <v>11</v>
      </c>
      <c r="I31" t="s">
        <v>11</v>
      </c>
      <c r="J31" s="30">
        <v>58.5</v>
      </c>
      <c r="K31" s="30">
        <v>64.700999999999993</v>
      </c>
      <c r="L31" s="30">
        <v>161.46</v>
      </c>
      <c r="M31" s="30">
        <v>170.82</v>
      </c>
      <c r="N31" s="30">
        <v>185.05500000000001</v>
      </c>
      <c r="O31" s="30">
        <v>2454.114</v>
      </c>
    </row>
    <row r="32" spans="1:15">
      <c r="A32" t="s">
        <v>150</v>
      </c>
      <c r="B32" t="s">
        <v>151</v>
      </c>
      <c r="C32" t="s">
        <v>151</v>
      </c>
      <c r="D32" t="s">
        <v>150</v>
      </c>
      <c r="E32" t="s">
        <v>170</v>
      </c>
      <c r="F32" t="s">
        <v>171</v>
      </c>
      <c r="G32" t="s">
        <v>171</v>
      </c>
      <c r="H32" t="s">
        <v>11</v>
      </c>
      <c r="I32" t="s">
        <v>11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</row>
    <row r="33" spans="1:15">
      <c r="A33" t="s">
        <v>150</v>
      </c>
      <c r="B33" t="s">
        <v>151</v>
      </c>
      <c r="C33" t="s">
        <v>151</v>
      </c>
      <c r="D33" t="s">
        <v>150</v>
      </c>
      <c r="E33" t="s">
        <v>172</v>
      </c>
      <c r="F33" t="s">
        <v>106</v>
      </c>
      <c r="G33" t="s">
        <v>106</v>
      </c>
      <c r="H33" t="s">
        <v>11</v>
      </c>
      <c r="I33" t="s">
        <v>11</v>
      </c>
      <c r="J33" s="30">
        <v>456.3</v>
      </c>
      <c r="K33" s="30">
        <v>456.3</v>
      </c>
      <c r="L33" s="30">
        <v>477.94499999999999</v>
      </c>
      <c r="M33" s="30">
        <v>2847</v>
      </c>
      <c r="N33" s="30">
        <v>2847</v>
      </c>
      <c r="O33" s="30">
        <v>3779.3924999999999</v>
      </c>
    </row>
    <row r="34" spans="1:15">
      <c r="A34" t="s">
        <v>150</v>
      </c>
      <c r="B34" t="s">
        <v>151</v>
      </c>
      <c r="C34" t="s">
        <v>151</v>
      </c>
      <c r="D34" t="s">
        <v>150</v>
      </c>
      <c r="E34" t="s">
        <v>173</v>
      </c>
      <c r="F34" t="s">
        <v>121</v>
      </c>
      <c r="G34" t="s">
        <v>121</v>
      </c>
      <c r="H34" t="s">
        <v>11</v>
      </c>
      <c r="I34" t="s">
        <v>11</v>
      </c>
      <c r="J34" s="30">
        <v>2.9249999999999998</v>
      </c>
      <c r="K34" s="30">
        <v>2.9249999999999998</v>
      </c>
      <c r="L34" s="30">
        <v>0</v>
      </c>
      <c r="M34" s="30">
        <v>71.174999999999997</v>
      </c>
      <c r="N34" s="30">
        <v>71.174999999999997</v>
      </c>
      <c r="O34" s="30">
        <v>0</v>
      </c>
    </row>
    <row r="35" spans="1:15">
      <c r="A35" t="s">
        <v>150</v>
      </c>
      <c r="B35" t="s">
        <v>151</v>
      </c>
      <c r="C35" t="s">
        <v>151</v>
      </c>
      <c r="D35" t="s">
        <v>150</v>
      </c>
      <c r="E35" t="s">
        <v>174</v>
      </c>
      <c r="F35" t="s">
        <v>175</v>
      </c>
      <c r="G35" t="s">
        <v>175</v>
      </c>
      <c r="H35" t="s">
        <v>11</v>
      </c>
      <c r="I35" t="s">
        <v>11</v>
      </c>
      <c r="J35" s="30">
        <v>132.6</v>
      </c>
      <c r="K35" s="30">
        <v>145.08000000000001</v>
      </c>
      <c r="L35" s="30">
        <v>145.08000000000001</v>
      </c>
      <c r="M35" s="30">
        <v>683.28</v>
      </c>
      <c r="N35" s="30">
        <v>725.98500000000001</v>
      </c>
      <c r="O35" s="30">
        <v>725.98500000000001</v>
      </c>
    </row>
    <row r="36" spans="1:15">
      <c r="A36" t="s">
        <v>150</v>
      </c>
      <c r="B36" t="s">
        <v>151</v>
      </c>
      <c r="C36" t="s">
        <v>151</v>
      </c>
      <c r="D36" t="s">
        <v>150</v>
      </c>
      <c r="E36" t="s">
        <v>176</v>
      </c>
      <c r="F36" t="s">
        <v>177</v>
      </c>
      <c r="G36" t="s">
        <v>177</v>
      </c>
      <c r="H36" t="s">
        <v>11</v>
      </c>
      <c r="I36" t="s">
        <v>11</v>
      </c>
      <c r="J36" s="30">
        <v>7.8</v>
      </c>
      <c r="K36" s="30">
        <v>7.7220000000000004</v>
      </c>
      <c r="L36" s="30">
        <v>0</v>
      </c>
      <c r="M36" s="30">
        <v>56.94</v>
      </c>
      <c r="N36" s="30">
        <v>42.704999999999998</v>
      </c>
      <c r="O36" s="30">
        <v>0</v>
      </c>
    </row>
    <row r="37" spans="1:15">
      <c r="A37" t="s">
        <v>150</v>
      </c>
      <c r="B37" t="s">
        <v>151</v>
      </c>
      <c r="C37" t="s">
        <v>151</v>
      </c>
      <c r="D37" t="s">
        <v>150</v>
      </c>
      <c r="E37" t="s">
        <v>178</v>
      </c>
      <c r="F37" t="s">
        <v>179</v>
      </c>
      <c r="G37" t="s">
        <v>179</v>
      </c>
      <c r="H37" t="s">
        <v>11</v>
      </c>
      <c r="I37" t="s">
        <v>11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</row>
    <row r="38" spans="1:15">
      <c r="A38" t="s">
        <v>150</v>
      </c>
      <c r="B38" t="s">
        <v>151</v>
      </c>
      <c r="C38" t="s">
        <v>151</v>
      </c>
      <c r="D38" t="s">
        <v>150</v>
      </c>
      <c r="E38" t="s">
        <v>180</v>
      </c>
      <c r="F38" t="s">
        <v>114</v>
      </c>
      <c r="G38" t="s">
        <v>114</v>
      </c>
      <c r="H38" t="s">
        <v>11</v>
      </c>
      <c r="I38" t="s">
        <v>11</v>
      </c>
      <c r="J38" s="30">
        <v>491.4</v>
      </c>
      <c r="K38" s="30">
        <v>522.6</v>
      </c>
      <c r="L38" s="30">
        <v>559.06500000000005</v>
      </c>
      <c r="M38" s="30">
        <v>3658.395</v>
      </c>
      <c r="N38" s="30">
        <v>2163.7199999999998</v>
      </c>
      <c r="O38" s="30">
        <v>3601.4550000000004</v>
      </c>
    </row>
    <row r="39" spans="1:15">
      <c r="A39" t="s">
        <v>150</v>
      </c>
      <c r="B39" t="s">
        <v>151</v>
      </c>
      <c r="C39" t="s">
        <v>151</v>
      </c>
      <c r="D39" t="s">
        <v>150</v>
      </c>
      <c r="E39" t="s">
        <v>181</v>
      </c>
      <c r="F39" t="s">
        <v>182</v>
      </c>
      <c r="G39" t="s">
        <v>182</v>
      </c>
      <c r="H39" t="s">
        <v>11</v>
      </c>
      <c r="I39" t="s">
        <v>11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</row>
    <row r="40" spans="1:15">
      <c r="A40" t="s">
        <v>150</v>
      </c>
      <c r="B40" t="s">
        <v>151</v>
      </c>
      <c r="C40" t="s">
        <v>151</v>
      </c>
      <c r="D40" t="s">
        <v>150</v>
      </c>
      <c r="E40" t="s">
        <v>183</v>
      </c>
      <c r="F40" t="s">
        <v>184</v>
      </c>
      <c r="G40" t="s">
        <v>184</v>
      </c>
      <c r="H40" t="s">
        <v>11</v>
      </c>
      <c r="I40" t="s">
        <v>11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</row>
    <row r="41" spans="1:15">
      <c r="A41" t="s">
        <v>150</v>
      </c>
      <c r="B41" t="s">
        <v>151</v>
      </c>
      <c r="C41" t="s">
        <v>151</v>
      </c>
      <c r="D41" t="s">
        <v>150</v>
      </c>
      <c r="E41" t="s">
        <v>185</v>
      </c>
      <c r="F41" t="s">
        <v>186</v>
      </c>
      <c r="G41" t="s">
        <v>186</v>
      </c>
      <c r="H41" t="s">
        <v>11</v>
      </c>
      <c r="I41" t="s">
        <v>11</v>
      </c>
      <c r="J41" s="30">
        <v>90.284999999999997</v>
      </c>
      <c r="K41" s="30">
        <v>90.674999999999997</v>
      </c>
      <c r="L41" s="30">
        <v>0</v>
      </c>
      <c r="M41" s="30">
        <v>341.64</v>
      </c>
      <c r="N41" s="30">
        <v>355.875</v>
      </c>
      <c r="O41" s="30">
        <v>0</v>
      </c>
    </row>
    <row r="42" spans="1:15">
      <c r="A42" t="s">
        <v>150</v>
      </c>
      <c r="B42" t="s">
        <v>151</v>
      </c>
      <c r="C42" t="s">
        <v>151</v>
      </c>
      <c r="D42" t="s">
        <v>150</v>
      </c>
      <c r="E42" t="s">
        <v>187</v>
      </c>
      <c r="F42" t="s">
        <v>188</v>
      </c>
      <c r="G42" t="s">
        <v>188</v>
      </c>
      <c r="H42" t="s">
        <v>11</v>
      </c>
      <c r="I42" t="s">
        <v>11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</row>
    <row r="43" spans="1:15">
      <c r="A43" t="s">
        <v>150</v>
      </c>
      <c r="B43" t="s">
        <v>151</v>
      </c>
      <c r="C43" t="s">
        <v>151</v>
      </c>
      <c r="D43" t="s">
        <v>150</v>
      </c>
      <c r="E43" t="s">
        <v>189</v>
      </c>
      <c r="F43" t="s">
        <v>141</v>
      </c>
      <c r="G43" t="s">
        <v>141</v>
      </c>
      <c r="H43" t="s">
        <v>11</v>
      </c>
      <c r="I43" t="s">
        <v>11</v>
      </c>
      <c r="J43" s="30">
        <v>136.5</v>
      </c>
      <c r="K43" s="30">
        <v>117</v>
      </c>
      <c r="L43" s="30">
        <v>198.042</v>
      </c>
      <c r="M43" s="30">
        <v>2035.605</v>
      </c>
      <c r="N43" s="30">
        <v>1992.9</v>
      </c>
      <c r="O43" s="30">
        <v>2519.5949999999998</v>
      </c>
    </row>
    <row r="44" spans="1:15">
      <c r="A44" t="s">
        <v>150</v>
      </c>
      <c r="B44" t="s">
        <v>151</v>
      </c>
      <c r="C44" t="s">
        <v>151</v>
      </c>
      <c r="D44" t="s">
        <v>150</v>
      </c>
      <c r="E44" t="s">
        <v>190</v>
      </c>
      <c r="F44" t="s">
        <v>191</v>
      </c>
      <c r="G44" t="s">
        <v>191</v>
      </c>
      <c r="H44" t="s">
        <v>11</v>
      </c>
      <c r="I44" t="s">
        <v>11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</row>
    <row r="45" spans="1:15">
      <c r="A45" t="s">
        <v>150</v>
      </c>
      <c r="B45" t="s">
        <v>151</v>
      </c>
      <c r="C45" t="s">
        <v>151</v>
      </c>
      <c r="D45" t="s">
        <v>150</v>
      </c>
      <c r="E45" t="s">
        <v>192</v>
      </c>
      <c r="F45" t="s">
        <v>193</v>
      </c>
      <c r="G45" t="s">
        <v>193</v>
      </c>
      <c r="H45" t="s">
        <v>11</v>
      </c>
      <c r="I45" t="s">
        <v>11</v>
      </c>
      <c r="J45" s="30">
        <v>63.258000000000003</v>
      </c>
      <c r="K45" s="30">
        <v>64.739999999999995</v>
      </c>
      <c r="L45" s="30">
        <v>61.424999999999997</v>
      </c>
      <c r="M45" s="30">
        <v>483.99</v>
      </c>
      <c r="N45" s="30">
        <v>483.99</v>
      </c>
      <c r="O45" s="30">
        <v>481.14299999999992</v>
      </c>
    </row>
    <row r="46" spans="1:15">
      <c r="A46" t="s">
        <v>150</v>
      </c>
      <c r="B46" t="s">
        <v>151</v>
      </c>
      <c r="C46" t="s">
        <v>151</v>
      </c>
      <c r="D46" t="s">
        <v>150</v>
      </c>
      <c r="E46" t="s">
        <v>194</v>
      </c>
      <c r="F46" t="s">
        <v>124</v>
      </c>
      <c r="G46" t="s">
        <v>124</v>
      </c>
      <c r="H46" t="s">
        <v>11</v>
      </c>
      <c r="I46" t="s">
        <v>11</v>
      </c>
      <c r="J46" s="30">
        <v>3.51</v>
      </c>
      <c r="K46" s="30">
        <v>3.51</v>
      </c>
      <c r="L46" s="30">
        <v>5.85</v>
      </c>
      <c r="M46" s="30">
        <v>99.644999999999996</v>
      </c>
      <c r="N46" s="30">
        <v>99.644999999999996</v>
      </c>
      <c r="O46" s="30">
        <v>99.644999999999996</v>
      </c>
    </row>
    <row r="47" spans="1:15">
      <c r="A47" t="s">
        <v>150</v>
      </c>
      <c r="B47" t="s">
        <v>151</v>
      </c>
      <c r="C47" t="s">
        <v>151</v>
      </c>
      <c r="D47" t="s">
        <v>150</v>
      </c>
      <c r="E47" t="s">
        <v>195</v>
      </c>
      <c r="F47" t="s">
        <v>196</v>
      </c>
      <c r="G47" t="s">
        <v>196</v>
      </c>
      <c r="H47" t="s">
        <v>11</v>
      </c>
      <c r="I47" t="s">
        <v>11</v>
      </c>
      <c r="J47" s="30">
        <v>0</v>
      </c>
      <c r="K47" s="30">
        <v>111.15</v>
      </c>
      <c r="L47" s="30">
        <v>105.066</v>
      </c>
      <c r="M47" s="30">
        <v>0</v>
      </c>
      <c r="N47" s="30">
        <v>569.4</v>
      </c>
      <c r="O47" s="30">
        <v>43.701449999999994</v>
      </c>
    </row>
    <row r="48" spans="1:15">
      <c r="A48" t="s">
        <v>150</v>
      </c>
      <c r="B48" t="s">
        <v>151</v>
      </c>
      <c r="C48" t="s">
        <v>151</v>
      </c>
      <c r="D48" t="s">
        <v>150</v>
      </c>
      <c r="E48" t="s">
        <v>197</v>
      </c>
      <c r="F48" t="s">
        <v>198</v>
      </c>
      <c r="G48" t="s">
        <v>198</v>
      </c>
      <c r="H48" t="s">
        <v>11</v>
      </c>
      <c r="I48" t="s">
        <v>11</v>
      </c>
      <c r="J48" s="30">
        <v>0.39</v>
      </c>
      <c r="K48" s="30">
        <v>0.39</v>
      </c>
      <c r="L48" s="30">
        <v>0</v>
      </c>
      <c r="M48" s="30">
        <v>14.234999999999999</v>
      </c>
      <c r="N48" s="30">
        <v>14.234999999999999</v>
      </c>
      <c r="O48" s="30">
        <v>0</v>
      </c>
    </row>
    <row r="49" spans="1:15">
      <c r="A49" t="s">
        <v>150</v>
      </c>
      <c r="B49" t="s">
        <v>151</v>
      </c>
      <c r="C49" t="s">
        <v>151</v>
      </c>
      <c r="D49" t="s">
        <v>150</v>
      </c>
      <c r="E49" t="s">
        <v>199</v>
      </c>
      <c r="F49" t="s">
        <v>200</v>
      </c>
      <c r="G49" t="s">
        <v>200</v>
      </c>
      <c r="H49" t="s">
        <v>11</v>
      </c>
      <c r="I49" t="s">
        <v>11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</row>
    <row r="50" spans="1:15">
      <c r="A50" t="s">
        <v>150</v>
      </c>
      <c r="B50" t="s">
        <v>151</v>
      </c>
      <c r="C50" t="s">
        <v>151</v>
      </c>
      <c r="D50" t="s">
        <v>150</v>
      </c>
      <c r="E50" t="s">
        <v>201</v>
      </c>
      <c r="F50" t="s">
        <v>202</v>
      </c>
      <c r="G50" t="s">
        <v>202</v>
      </c>
      <c r="H50" t="s">
        <v>11</v>
      </c>
      <c r="I50" t="s">
        <v>11</v>
      </c>
      <c r="J50" s="30">
        <v>80.379000000000005</v>
      </c>
      <c r="K50" s="30">
        <v>50.7</v>
      </c>
      <c r="L50" s="30">
        <v>107.25</v>
      </c>
      <c r="M50" s="30">
        <v>327.40499999999997</v>
      </c>
      <c r="N50" s="30">
        <v>313.17</v>
      </c>
      <c r="O50" s="30">
        <v>488.97225000000003</v>
      </c>
    </row>
    <row r="51" spans="1:15" ht="13.8" thickBot="1">
      <c r="A51" s="31" t="s">
        <v>150</v>
      </c>
      <c r="B51" s="31" t="s">
        <v>151</v>
      </c>
      <c r="C51" s="31" t="s">
        <v>151</v>
      </c>
      <c r="D51" s="31" t="s">
        <v>150</v>
      </c>
      <c r="E51" s="31" t="s">
        <v>203</v>
      </c>
      <c r="F51" s="31" t="s">
        <v>134</v>
      </c>
      <c r="G51" s="31" t="s">
        <v>134</v>
      </c>
      <c r="H51" s="31" t="s">
        <v>11</v>
      </c>
      <c r="I51" s="31" t="s">
        <v>11</v>
      </c>
      <c r="J51" s="32">
        <v>164.11199999999999</v>
      </c>
      <c r="K51" s="32">
        <v>170.196</v>
      </c>
      <c r="L51" s="32">
        <v>168.10170000000002</v>
      </c>
      <c r="M51" s="32">
        <v>1765.14</v>
      </c>
      <c r="N51" s="32">
        <v>1807.845</v>
      </c>
      <c r="O51" s="32">
        <v>1365.9905999999999</v>
      </c>
    </row>
  </sheetData>
  <phoneticPr fontId="3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2:M89"/>
  <sheetViews>
    <sheetView topLeftCell="A31" workbookViewId="0">
      <selection activeCell="A69" sqref="A69:XFD69"/>
    </sheetView>
  </sheetViews>
  <sheetFormatPr defaultRowHeight="13.2"/>
  <cols>
    <col min="2" max="2" width="16.33203125" bestFit="1" customWidth="1"/>
    <col min="3" max="3" width="13.33203125" customWidth="1"/>
    <col min="4" max="4" width="2.6640625" customWidth="1"/>
    <col min="6" max="6" width="17.44140625" bestFit="1" customWidth="1"/>
    <col min="7" max="7" width="44.44140625" bestFit="1" customWidth="1"/>
    <col min="8" max="8" width="17.44140625" bestFit="1" customWidth="1"/>
    <col min="9" max="9" width="47.109375" customWidth="1"/>
    <col min="13" max="13" width="10.5546875" customWidth="1"/>
  </cols>
  <sheetData>
    <row r="2" spans="2:13">
      <c r="B2" s="21" t="s">
        <v>42</v>
      </c>
      <c r="E2" s="47" t="s">
        <v>5</v>
      </c>
      <c r="F2" s="48"/>
      <c r="G2" s="48"/>
      <c r="H2" s="48"/>
      <c r="I2" s="48"/>
      <c r="J2" s="48"/>
      <c r="K2" s="48"/>
      <c r="L2" s="48"/>
    </row>
    <row r="3" spans="2:13" ht="13.8" thickBot="1">
      <c r="B3" s="22" t="s">
        <v>24</v>
      </c>
      <c r="C3" s="23" t="s">
        <v>43</v>
      </c>
      <c r="E3" s="49" t="s">
        <v>0</v>
      </c>
      <c r="F3" s="50" t="s">
        <v>1</v>
      </c>
      <c r="G3" s="50" t="s">
        <v>2</v>
      </c>
      <c r="H3" s="50" t="s">
        <v>6</v>
      </c>
      <c r="I3" s="50" t="s">
        <v>7</v>
      </c>
      <c r="J3" s="50" t="s">
        <v>8</v>
      </c>
      <c r="K3" s="50" t="s">
        <v>9</v>
      </c>
      <c r="L3" s="51" t="s">
        <v>10</v>
      </c>
    </row>
    <row r="4" spans="2:13">
      <c r="B4" s="24" t="s">
        <v>44</v>
      </c>
      <c r="C4" s="19">
        <v>1</v>
      </c>
      <c r="E4" s="48" t="s">
        <v>36</v>
      </c>
      <c r="F4" s="48" t="s">
        <v>65</v>
      </c>
      <c r="G4" s="48" t="s">
        <v>66</v>
      </c>
      <c r="H4" s="48" t="s">
        <v>11</v>
      </c>
      <c r="I4" s="48" t="s">
        <v>11</v>
      </c>
      <c r="J4" s="48"/>
      <c r="K4" s="48"/>
      <c r="L4" s="48"/>
    </row>
    <row r="5" spans="2:13">
      <c r="B5" s="20" t="s">
        <v>45</v>
      </c>
      <c r="C5" s="19">
        <v>1</v>
      </c>
      <c r="E5" s="48" t="s">
        <v>36</v>
      </c>
      <c r="F5" s="48" t="s">
        <v>69</v>
      </c>
      <c r="G5" s="48" t="s">
        <v>70</v>
      </c>
      <c r="H5" s="48" t="s">
        <v>11</v>
      </c>
      <c r="I5" s="48" t="s">
        <v>11</v>
      </c>
      <c r="J5" s="48"/>
      <c r="K5" s="48"/>
      <c r="L5" s="48"/>
    </row>
    <row r="6" spans="2:13">
      <c r="B6" s="20" t="s">
        <v>46</v>
      </c>
      <c r="C6" s="19">
        <v>1</v>
      </c>
      <c r="E6" s="48" t="s">
        <v>74</v>
      </c>
      <c r="F6" s="48" t="s">
        <v>75</v>
      </c>
      <c r="G6" s="48" t="s">
        <v>76</v>
      </c>
      <c r="H6" s="48" t="s">
        <v>11</v>
      </c>
      <c r="I6" s="48" t="s">
        <v>11</v>
      </c>
      <c r="J6" s="48"/>
      <c r="K6" s="48"/>
      <c r="L6" s="48"/>
    </row>
    <row r="7" spans="2:13">
      <c r="B7" s="20" t="s">
        <v>325</v>
      </c>
      <c r="C7" s="19">
        <v>1</v>
      </c>
    </row>
    <row r="8" spans="2:13">
      <c r="B8" s="20" t="s">
        <v>341</v>
      </c>
      <c r="C8" s="19">
        <v>1</v>
      </c>
    </row>
    <row r="9" spans="2:13">
      <c r="B9" s="20" t="s">
        <v>50</v>
      </c>
      <c r="C9" s="19">
        <v>1</v>
      </c>
    </row>
    <row r="10" spans="2:13">
      <c r="B10" s="20" t="s">
        <v>342</v>
      </c>
      <c r="C10" s="19">
        <v>1</v>
      </c>
    </row>
    <row r="11" spans="2:13">
      <c r="B11" s="20" t="s">
        <v>343</v>
      </c>
      <c r="C11" s="19">
        <v>1</v>
      </c>
    </row>
    <row r="12" spans="2:13">
      <c r="B12" s="20" t="s">
        <v>51</v>
      </c>
      <c r="C12" s="19">
        <v>1</v>
      </c>
    </row>
    <row r="13" spans="2:13">
      <c r="B13" s="20" t="s">
        <v>52</v>
      </c>
      <c r="C13" s="19">
        <v>1</v>
      </c>
    </row>
    <row r="14" spans="2:13">
      <c r="B14" t="s">
        <v>68</v>
      </c>
      <c r="C14" s="19">
        <v>1</v>
      </c>
    </row>
    <row r="15" spans="2:13">
      <c r="G15" s="1"/>
      <c r="I15" s="1" t="s">
        <v>12</v>
      </c>
    </row>
    <row r="16" spans="2:13" ht="13.8" thickBot="1">
      <c r="B16" s="20" t="s">
        <v>332</v>
      </c>
      <c r="C16" s="19">
        <v>-1</v>
      </c>
      <c r="G16" s="5" t="s">
        <v>1</v>
      </c>
      <c r="H16" s="6" t="s">
        <v>3</v>
      </c>
      <c r="I16" s="6" t="s">
        <v>4</v>
      </c>
      <c r="J16" s="6" t="s">
        <v>55</v>
      </c>
      <c r="K16" s="6" t="s">
        <v>56</v>
      </c>
      <c r="L16" s="6" t="s">
        <v>15</v>
      </c>
      <c r="M16" s="6" t="s">
        <v>19</v>
      </c>
    </row>
    <row r="17" spans="2:13">
      <c r="G17" t="s">
        <v>65</v>
      </c>
      <c r="I17" t="s">
        <v>67</v>
      </c>
      <c r="K17">
        <v>2008</v>
      </c>
    </row>
    <row r="18" spans="2:13">
      <c r="G18" t="str">
        <f>F5</f>
        <v>SUP2INDHTH</v>
      </c>
      <c r="H18" t="s">
        <v>71</v>
      </c>
      <c r="I18" t="s">
        <v>73</v>
      </c>
      <c r="K18">
        <v>2100</v>
      </c>
      <c r="L18">
        <v>1</v>
      </c>
      <c r="M18">
        <v>0.1</v>
      </c>
    </row>
    <row r="19" spans="2:13">
      <c r="H19" t="s">
        <v>72</v>
      </c>
    </row>
    <row r="20" spans="2:13">
      <c r="G20" t="str">
        <f>F6</f>
        <v>IMPINDGASY</v>
      </c>
      <c r="I20" t="s">
        <v>59</v>
      </c>
      <c r="J20">
        <v>20</v>
      </c>
    </row>
    <row r="21" spans="2:13">
      <c r="C21" s="19"/>
    </row>
    <row r="22" spans="2:13">
      <c r="B22" s="21" t="s">
        <v>42</v>
      </c>
    </row>
    <row r="23" spans="2:13" ht="13.8" thickBot="1">
      <c r="B23" s="22" t="s">
        <v>24</v>
      </c>
      <c r="C23" s="23" t="s">
        <v>47</v>
      </c>
    </row>
    <row r="24" spans="2:13" ht="13.8" thickBot="1">
      <c r="B24" s="24" t="s">
        <v>50</v>
      </c>
      <c r="C24" s="19">
        <v>1</v>
      </c>
    </row>
    <row r="25" spans="2:13">
      <c r="B25" s="24" t="s">
        <v>333</v>
      </c>
      <c r="C25">
        <v>1</v>
      </c>
      <c r="E25" s="55" t="s">
        <v>335</v>
      </c>
      <c r="F25" s="48"/>
      <c r="G25" s="48"/>
      <c r="H25" s="48"/>
      <c r="I25" s="48"/>
      <c r="J25" s="48"/>
      <c r="K25" s="48"/>
      <c r="L25" s="48"/>
    </row>
    <row r="26" spans="2:13" ht="13.8" thickBot="1">
      <c r="E26" s="56" t="s">
        <v>23</v>
      </c>
      <c r="F26" s="56" t="s">
        <v>24</v>
      </c>
      <c r="G26" s="56" t="s">
        <v>25</v>
      </c>
      <c r="H26" s="56" t="s">
        <v>26</v>
      </c>
      <c r="I26" s="57" t="s">
        <v>27</v>
      </c>
      <c r="J26" s="57" t="s">
        <v>28</v>
      </c>
      <c r="K26" s="57" t="s">
        <v>29</v>
      </c>
      <c r="L26" s="57" t="s">
        <v>30</v>
      </c>
    </row>
    <row r="27" spans="2:13">
      <c r="E27" s="48" t="s">
        <v>40</v>
      </c>
      <c r="F27" s="48" t="s">
        <v>67</v>
      </c>
      <c r="G27" s="48" t="s">
        <v>66</v>
      </c>
      <c r="H27" s="48" t="s">
        <v>11</v>
      </c>
      <c r="I27" s="48"/>
      <c r="J27" s="48"/>
      <c r="K27" s="48"/>
      <c r="L27" s="48"/>
    </row>
    <row r="28" spans="2:13">
      <c r="E28" s="48" t="s">
        <v>31</v>
      </c>
      <c r="F28" s="48" t="s">
        <v>84</v>
      </c>
      <c r="G28" s="48" t="s">
        <v>85</v>
      </c>
      <c r="H28" s="48" t="s">
        <v>11</v>
      </c>
      <c r="I28" s="48"/>
      <c r="J28" s="48"/>
      <c r="K28" s="48"/>
      <c r="L28" s="48"/>
    </row>
    <row r="30" spans="2:13">
      <c r="B30" s="21" t="s">
        <v>42</v>
      </c>
    </row>
    <row r="31" spans="2:13" ht="13.8" thickBot="1">
      <c r="B31" s="22" t="s">
        <v>24</v>
      </c>
      <c r="C31" s="23" t="s">
        <v>334</v>
      </c>
    </row>
    <row r="32" spans="2:13">
      <c r="B32" s="24" t="s">
        <v>43</v>
      </c>
      <c r="C32" s="19">
        <v>1</v>
      </c>
    </row>
    <row r="33" spans="2:3">
      <c r="B33" s="20" t="s">
        <v>325</v>
      </c>
      <c r="C33">
        <v>-1</v>
      </c>
    </row>
    <row r="36" spans="2:3">
      <c r="B36" t="s">
        <v>345</v>
      </c>
    </row>
    <row r="37" spans="2:3">
      <c r="B37" s="21" t="s">
        <v>42</v>
      </c>
    </row>
    <row r="38" spans="2:3" ht="13.8" thickBot="1">
      <c r="B38" s="22" t="s">
        <v>24</v>
      </c>
      <c r="C38" s="23" t="s">
        <v>344</v>
      </c>
    </row>
    <row r="39" spans="2:3">
      <c r="B39" s="24" t="s">
        <v>356</v>
      </c>
      <c r="C39" s="19">
        <v>1</v>
      </c>
    </row>
    <row r="40" spans="2:3">
      <c r="B40" s="20" t="s">
        <v>357</v>
      </c>
      <c r="C40" s="19">
        <v>1</v>
      </c>
    </row>
    <row r="41" spans="2:3">
      <c r="B41" s="20" t="s">
        <v>358</v>
      </c>
      <c r="C41" s="19">
        <v>1</v>
      </c>
    </row>
    <row r="42" spans="2:3">
      <c r="B42" s="20" t="s">
        <v>359</v>
      </c>
      <c r="C42" s="19">
        <v>1</v>
      </c>
    </row>
    <row r="45" spans="2:3">
      <c r="B45" t="s">
        <v>347</v>
      </c>
    </row>
    <row r="46" spans="2:3">
      <c r="B46" s="21" t="s">
        <v>42</v>
      </c>
    </row>
    <row r="47" spans="2:3" ht="13.8" thickBot="1">
      <c r="B47" s="22" t="s">
        <v>24</v>
      </c>
      <c r="C47" s="23" t="s">
        <v>346</v>
      </c>
    </row>
    <row r="48" spans="2:3">
      <c r="B48" s="24" t="s">
        <v>360</v>
      </c>
      <c r="C48" s="19">
        <v>1</v>
      </c>
    </row>
    <row r="49" spans="2:3">
      <c r="B49" s="20" t="s">
        <v>362</v>
      </c>
      <c r="C49" s="19">
        <v>1</v>
      </c>
    </row>
    <row r="50" spans="2:3">
      <c r="B50" s="20" t="s">
        <v>365</v>
      </c>
      <c r="C50" s="19">
        <v>1</v>
      </c>
    </row>
    <row r="51" spans="2:3">
      <c r="B51" s="20" t="s">
        <v>368</v>
      </c>
      <c r="C51" s="19">
        <v>1</v>
      </c>
    </row>
    <row r="52" spans="2:3">
      <c r="B52" s="20" t="s">
        <v>371</v>
      </c>
      <c r="C52" s="19">
        <v>1</v>
      </c>
    </row>
    <row r="55" spans="2:3">
      <c r="B55" t="s">
        <v>349</v>
      </c>
    </row>
    <row r="56" spans="2:3">
      <c r="B56" s="21" t="s">
        <v>42</v>
      </c>
    </row>
    <row r="57" spans="2:3">
      <c r="B57" s="22" t="s">
        <v>24</v>
      </c>
      <c r="C57" s="23" t="s">
        <v>348</v>
      </c>
    </row>
    <row r="58" spans="2:3">
      <c r="B58" s="20" t="s">
        <v>361</v>
      </c>
      <c r="C58" s="19">
        <v>1</v>
      </c>
    </row>
    <row r="59" spans="2:3">
      <c r="B59" s="20" t="s">
        <v>363</v>
      </c>
      <c r="C59" s="19">
        <v>1</v>
      </c>
    </row>
    <row r="60" spans="2:3">
      <c r="B60" s="20" t="s">
        <v>366</v>
      </c>
      <c r="C60" s="19">
        <v>1</v>
      </c>
    </row>
    <row r="61" spans="2:3">
      <c r="B61" s="20" t="s">
        <v>369</v>
      </c>
      <c r="C61" s="19">
        <v>1</v>
      </c>
    </row>
    <row r="62" spans="2:3">
      <c r="B62" s="20" t="s">
        <v>59</v>
      </c>
      <c r="C62" s="19">
        <v>1</v>
      </c>
    </row>
    <row r="63" spans="2:3">
      <c r="B63" s="20" t="s">
        <v>373</v>
      </c>
      <c r="C63" s="19">
        <v>1</v>
      </c>
    </row>
    <row r="66" spans="2:5">
      <c r="B66" t="s">
        <v>351</v>
      </c>
    </row>
    <row r="67" spans="2:5">
      <c r="B67" s="21" t="s">
        <v>42</v>
      </c>
    </row>
    <row r="68" spans="2:5">
      <c r="B68" s="22" t="s">
        <v>24</v>
      </c>
      <c r="C68" s="23" t="s">
        <v>350</v>
      </c>
    </row>
    <row r="69" spans="2:5">
      <c r="B69" s="20" t="s">
        <v>364</v>
      </c>
      <c r="C69" s="19">
        <v>1</v>
      </c>
    </row>
    <row r="70" spans="2:5">
      <c r="B70" s="20" t="s">
        <v>374</v>
      </c>
      <c r="C70" s="19">
        <v>1</v>
      </c>
    </row>
    <row r="71" spans="2:5">
      <c r="B71" s="20" t="s">
        <v>375</v>
      </c>
      <c r="C71" s="19">
        <v>1</v>
      </c>
    </row>
    <row r="72" spans="2:5">
      <c r="B72" s="20" t="s">
        <v>376</v>
      </c>
      <c r="C72" s="19">
        <v>1</v>
      </c>
    </row>
    <row r="73" spans="2:5">
      <c r="B73" s="20" t="s">
        <v>370</v>
      </c>
      <c r="C73" s="19">
        <v>1</v>
      </c>
    </row>
    <row r="74" spans="2:5">
      <c r="B74" s="20" t="s">
        <v>372</v>
      </c>
      <c r="C74" s="19">
        <v>1</v>
      </c>
    </row>
    <row r="76" spans="2:5">
      <c r="B76" s="20" t="s">
        <v>367</v>
      </c>
      <c r="C76" s="19">
        <v>1</v>
      </c>
      <c r="E76" t="s">
        <v>377</v>
      </c>
    </row>
    <row r="78" spans="2:5">
      <c r="B78" t="s">
        <v>353</v>
      </c>
    </row>
    <row r="79" spans="2:5">
      <c r="B79" s="21" t="s">
        <v>42</v>
      </c>
    </row>
    <row r="80" spans="2:5">
      <c r="B80" s="22" t="s">
        <v>24</v>
      </c>
      <c r="C80" s="23" t="s">
        <v>352</v>
      </c>
    </row>
    <row r="81" spans="2:3">
      <c r="B81" s="20" t="s">
        <v>21</v>
      </c>
      <c r="C81" s="19">
        <v>1</v>
      </c>
    </row>
    <row r="82" spans="2:3">
      <c r="B82" s="20" t="s">
        <v>20</v>
      </c>
      <c r="C82" s="19">
        <v>1</v>
      </c>
    </row>
    <row r="85" spans="2:3">
      <c r="B85" t="s">
        <v>355</v>
      </c>
    </row>
    <row r="86" spans="2:3">
      <c r="B86" s="21" t="s">
        <v>42</v>
      </c>
    </row>
    <row r="87" spans="2:3">
      <c r="B87" s="22" t="s">
        <v>24</v>
      </c>
      <c r="C87" s="23" t="s">
        <v>354</v>
      </c>
    </row>
    <row r="88" spans="2:3">
      <c r="B88" s="20" t="s">
        <v>13</v>
      </c>
      <c r="C88" s="19">
        <v>1</v>
      </c>
    </row>
    <row r="89" spans="2:3">
      <c r="B89" s="20" t="s">
        <v>14</v>
      </c>
      <c r="C89" s="19">
        <v>1</v>
      </c>
    </row>
  </sheetData>
  <phoneticPr fontId="3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61"/>
  <sheetViews>
    <sheetView workbookViewId="0">
      <selection activeCell="C12" sqref="C12"/>
    </sheetView>
  </sheetViews>
  <sheetFormatPr defaultRowHeight="13.2"/>
  <cols>
    <col min="2" max="2" width="20.109375" bestFit="1" customWidth="1"/>
    <col min="3" max="3" width="23.6640625" bestFit="1" customWidth="1"/>
    <col min="4" max="4" width="37" bestFit="1" customWidth="1"/>
    <col min="5" max="5" width="6.44140625" bestFit="1" customWidth="1"/>
    <col min="6" max="6" width="8" bestFit="1" customWidth="1"/>
    <col min="7" max="7" width="6.6640625" bestFit="1" customWidth="1"/>
    <col min="8" max="8" width="10.88671875" bestFit="1" customWidth="1"/>
    <col min="9" max="9" width="8" bestFit="1" customWidth="1"/>
  </cols>
  <sheetData>
    <row r="2" spans="2:9">
      <c r="B2" s="1"/>
      <c r="D2" s="1" t="s">
        <v>12</v>
      </c>
      <c r="I2" s="44"/>
    </row>
    <row r="3" spans="2:9" ht="13.8" thickBot="1">
      <c r="B3" s="5" t="s">
        <v>1</v>
      </c>
      <c r="C3" s="6" t="s">
        <v>3</v>
      </c>
      <c r="D3" s="6" t="s">
        <v>4</v>
      </c>
      <c r="E3" s="6" t="s">
        <v>55</v>
      </c>
      <c r="F3" s="6" t="s">
        <v>56</v>
      </c>
      <c r="G3" s="6" t="s">
        <v>15</v>
      </c>
      <c r="H3" s="6" t="s">
        <v>19</v>
      </c>
      <c r="I3" s="44"/>
    </row>
    <row r="4" spans="2:9">
      <c r="B4" t="s">
        <v>278</v>
      </c>
      <c r="C4" t="s">
        <v>279</v>
      </c>
      <c r="E4">
        <v>1</v>
      </c>
      <c r="F4">
        <v>2005</v>
      </c>
      <c r="I4" s="44"/>
    </row>
    <row r="5" spans="2:9">
      <c r="B5" t="s">
        <v>319</v>
      </c>
      <c r="C5" t="s">
        <v>317</v>
      </c>
      <c r="E5">
        <v>1</v>
      </c>
      <c r="F5">
        <v>2005</v>
      </c>
      <c r="I5" s="44"/>
    </row>
    <row r="6" spans="2:9">
      <c r="B6" t="s">
        <v>320</v>
      </c>
      <c r="C6" t="s">
        <v>318</v>
      </c>
      <c r="E6">
        <v>1</v>
      </c>
      <c r="F6">
        <v>2005</v>
      </c>
      <c r="I6" s="44"/>
    </row>
    <row r="7" spans="2:9">
      <c r="B7" t="s">
        <v>280</v>
      </c>
      <c r="C7" t="s">
        <v>281</v>
      </c>
      <c r="E7">
        <v>1</v>
      </c>
      <c r="F7">
        <v>2005</v>
      </c>
      <c r="I7" s="44"/>
    </row>
    <row r="8" spans="2:9">
      <c r="B8" t="s">
        <v>282</v>
      </c>
      <c r="C8" t="s">
        <v>283</v>
      </c>
      <c r="E8">
        <v>1</v>
      </c>
      <c r="F8">
        <v>2005</v>
      </c>
      <c r="I8" s="44"/>
    </row>
    <row r="9" spans="2:9">
      <c r="B9" t="s">
        <v>284</v>
      </c>
      <c r="C9" t="s">
        <v>285</v>
      </c>
      <c r="E9">
        <v>1</v>
      </c>
      <c r="F9">
        <v>2005</v>
      </c>
      <c r="I9" s="44"/>
    </row>
    <row r="10" spans="2:9">
      <c r="B10" t="s">
        <v>286</v>
      </c>
      <c r="C10" t="s">
        <v>287</v>
      </c>
      <c r="E10">
        <v>1</v>
      </c>
      <c r="F10">
        <v>2005</v>
      </c>
      <c r="I10" s="44"/>
    </row>
    <row r="11" spans="2:9">
      <c r="B11" t="s">
        <v>288</v>
      </c>
      <c r="C11" t="s">
        <v>289</v>
      </c>
      <c r="E11">
        <v>1</v>
      </c>
      <c r="F11">
        <v>2005</v>
      </c>
      <c r="I11" s="44"/>
    </row>
    <row r="12" spans="2:9">
      <c r="B12" t="s">
        <v>290</v>
      </c>
      <c r="C12" t="s">
        <v>291</v>
      </c>
      <c r="E12">
        <v>1</v>
      </c>
      <c r="F12">
        <v>2005</v>
      </c>
      <c r="I12" s="44"/>
    </row>
    <row r="13" spans="2:9">
      <c r="B13" t="s">
        <v>321</v>
      </c>
      <c r="C13" t="s">
        <v>323</v>
      </c>
      <c r="E13">
        <v>1</v>
      </c>
      <c r="F13">
        <v>2005</v>
      </c>
      <c r="I13" s="44"/>
    </row>
    <row r="14" spans="2:9">
      <c r="B14" t="s">
        <v>292</v>
      </c>
      <c r="C14" t="s">
        <v>293</v>
      </c>
      <c r="E14">
        <v>1</v>
      </c>
      <c r="F14">
        <v>2005</v>
      </c>
      <c r="I14" s="44"/>
    </row>
    <row r="15" spans="2:9">
      <c r="B15" t="s">
        <v>322</v>
      </c>
      <c r="C15" t="s">
        <v>324</v>
      </c>
      <c r="E15">
        <v>1</v>
      </c>
      <c r="F15">
        <v>2005</v>
      </c>
      <c r="I15" s="44"/>
    </row>
    <row r="16" spans="2:9">
      <c r="B16" t="s">
        <v>294</v>
      </c>
      <c r="C16" t="s">
        <v>295</v>
      </c>
      <c r="E16">
        <v>1</v>
      </c>
      <c r="F16">
        <v>2005</v>
      </c>
      <c r="I16" s="44"/>
    </row>
    <row r="17" spans="2:9">
      <c r="C17" s="19"/>
      <c r="D17" s="45"/>
      <c r="G17" s="19"/>
      <c r="H17" s="19"/>
      <c r="I17" s="44"/>
    </row>
    <row r="18" spans="2:9">
      <c r="B18" s="19"/>
      <c r="C18" s="19"/>
      <c r="D18" s="45"/>
      <c r="E18" s="44"/>
      <c r="F18" s="19"/>
      <c r="G18" s="19"/>
      <c r="H18" s="19"/>
      <c r="I18" s="44"/>
    </row>
    <row r="19" spans="2:9">
      <c r="B19" s="47" t="s">
        <v>5</v>
      </c>
      <c r="C19" s="48"/>
      <c r="D19" s="48"/>
      <c r="E19" s="48"/>
      <c r="F19" s="48"/>
      <c r="G19" s="48"/>
      <c r="H19" s="48"/>
      <c r="I19" s="48"/>
    </row>
    <row r="20" spans="2:9">
      <c r="B20" s="49" t="s">
        <v>0</v>
      </c>
      <c r="C20" s="50" t="s">
        <v>1</v>
      </c>
      <c r="D20" s="50" t="s">
        <v>2</v>
      </c>
      <c r="E20" s="50" t="s">
        <v>6</v>
      </c>
      <c r="F20" s="50" t="s">
        <v>7</v>
      </c>
      <c r="G20" s="50" t="s">
        <v>8</v>
      </c>
      <c r="H20" s="50" t="s">
        <v>9</v>
      </c>
      <c r="I20" s="51" t="s">
        <v>10</v>
      </c>
    </row>
    <row r="21" spans="2:9">
      <c r="B21" s="48" t="s">
        <v>54</v>
      </c>
      <c r="C21" s="48" t="s">
        <v>278</v>
      </c>
      <c r="D21" s="48" t="s">
        <v>296</v>
      </c>
      <c r="E21" s="48" t="s">
        <v>53</v>
      </c>
      <c r="F21" s="48" t="s">
        <v>53</v>
      </c>
      <c r="G21" s="48"/>
      <c r="H21" s="48"/>
      <c r="I21" s="48"/>
    </row>
    <row r="22" spans="2:9">
      <c r="B22" s="48" t="s">
        <v>54</v>
      </c>
      <c r="C22" s="48" t="s">
        <v>319</v>
      </c>
      <c r="D22" s="48" t="s">
        <v>296</v>
      </c>
      <c r="E22" s="48" t="s">
        <v>53</v>
      </c>
      <c r="F22" s="48" t="s">
        <v>53</v>
      </c>
      <c r="G22" s="48"/>
      <c r="H22" s="48"/>
      <c r="I22" s="48"/>
    </row>
    <row r="23" spans="2:9">
      <c r="B23" s="48" t="s">
        <v>54</v>
      </c>
      <c r="C23" s="48" t="s">
        <v>320</v>
      </c>
      <c r="D23" s="48" t="s">
        <v>296</v>
      </c>
      <c r="E23" s="48" t="s">
        <v>53</v>
      </c>
      <c r="F23" s="48" t="s">
        <v>53</v>
      </c>
      <c r="G23" s="48"/>
      <c r="H23" s="48"/>
      <c r="I23" s="48"/>
    </row>
    <row r="24" spans="2:9">
      <c r="B24" s="48" t="s">
        <v>54</v>
      </c>
      <c r="C24" s="48" t="s">
        <v>280</v>
      </c>
      <c r="D24" s="48" t="s">
        <v>296</v>
      </c>
      <c r="E24" s="48" t="s">
        <v>53</v>
      </c>
      <c r="F24" s="48" t="s">
        <v>53</v>
      </c>
      <c r="G24" s="48"/>
      <c r="H24" s="48"/>
      <c r="I24" s="48"/>
    </row>
    <row r="25" spans="2:9">
      <c r="B25" s="48" t="s">
        <v>54</v>
      </c>
      <c r="C25" s="48" t="s">
        <v>282</v>
      </c>
      <c r="D25" s="48" t="s">
        <v>296</v>
      </c>
      <c r="E25" s="48" t="s">
        <v>53</v>
      </c>
      <c r="F25" s="48" t="s">
        <v>53</v>
      </c>
      <c r="G25" s="48"/>
      <c r="H25" s="48"/>
      <c r="I25" s="48"/>
    </row>
    <row r="26" spans="2:9">
      <c r="B26" s="48" t="s">
        <v>54</v>
      </c>
      <c r="C26" s="48" t="s">
        <v>284</v>
      </c>
      <c r="D26" s="48" t="s">
        <v>296</v>
      </c>
      <c r="E26" s="48" t="s">
        <v>53</v>
      </c>
      <c r="F26" s="48" t="s">
        <v>53</v>
      </c>
      <c r="G26" s="48"/>
      <c r="H26" s="48"/>
      <c r="I26" s="48"/>
    </row>
    <row r="27" spans="2:9">
      <c r="B27" s="48" t="s">
        <v>54</v>
      </c>
      <c r="C27" s="48" t="s">
        <v>286</v>
      </c>
      <c r="D27" s="48" t="s">
        <v>296</v>
      </c>
      <c r="E27" s="48" t="s">
        <v>53</v>
      </c>
      <c r="F27" s="48" t="s">
        <v>53</v>
      </c>
      <c r="G27" s="48"/>
      <c r="H27" s="48"/>
      <c r="I27" s="48"/>
    </row>
    <row r="28" spans="2:9">
      <c r="B28" s="48" t="s">
        <v>54</v>
      </c>
      <c r="C28" s="48" t="s">
        <v>288</v>
      </c>
      <c r="D28" s="48" t="s">
        <v>296</v>
      </c>
      <c r="E28" s="48" t="s">
        <v>53</v>
      </c>
      <c r="F28" s="48" t="s">
        <v>53</v>
      </c>
      <c r="G28" s="48"/>
      <c r="H28" s="48"/>
      <c r="I28" s="48"/>
    </row>
    <row r="29" spans="2:9">
      <c r="B29" s="48" t="s">
        <v>54</v>
      </c>
      <c r="C29" s="48" t="s">
        <v>290</v>
      </c>
      <c r="D29" s="48" t="s">
        <v>296</v>
      </c>
      <c r="E29" s="48" t="s">
        <v>53</v>
      </c>
      <c r="F29" s="48" t="s">
        <v>53</v>
      </c>
      <c r="G29" s="48"/>
      <c r="H29" s="48"/>
      <c r="I29" s="48"/>
    </row>
    <row r="30" spans="2:9">
      <c r="B30" s="48" t="s">
        <v>54</v>
      </c>
      <c r="C30" s="48" t="s">
        <v>321</v>
      </c>
      <c r="D30" s="48" t="s">
        <v>296</v>
      </c>
      <c r="E30" s="48" t="s">
        <v>53</v>
      </c>
      <c r="F30" s="48" t="s">
        <v>53</v>
      </c>
      <c r="G30" s="48"/>
      <c r="H30" s="48"/>
      <c r="I30" s="48"/>
    </row>
    <row r="31" spans="2:9">
      <c r="B31" s="48" t="s">
        <v>54</v>
      </c>
      <c r="C31" s="48" t="s">
        <v>292</v>
      </c>
      <c r="D31" s="48" t="s">
        <v>296</v>
      </c>
      <c r="E31" s="48" t="s">
        <v>53</v>
      </c>
      <c r="F31" s="48" t="s">
        <v>53</v>
      </c>
      <c r="G31" s="48"/>
      <c r="H31" s="48"/>
      <c r="I31" s="48"/>
    </row>
    <row r="32" spans="2:9">
      <c r="B32" s="48" t="s">
        <v>54</v>
      </c>
      <c r="C32" s="48" t="s">
        <v>322</v>
      </c>
      <c r="D32" s="48" t="s">
        <v>296</v>
      </c>
      <c r="E32" s="48" t="s">
        <v>53</v>
      </c>
      <c r="F32" s="48" t="s">
        <v>53</v>
      </c>
      <c r="G32" s="48"/>
      <c r="H32" s="48"/>
      <c r="I32" s="48"/>
    </row>
    <row r="33" spans="2:9">
      <c r="B33" s="48" t="s">
        <v>54</v>
      </c>
      <c r="C33" s="48" t="s">
        <v>294</v>
      </c>
      <c r="D33" s="48" t="s">
        <v>296</v>
      </c>
      <c r="E33" s="48" t="s">
        <v>53</v>
      </c>
      <c r="F33" s="48" t="s">
        <v>53</v>
      </c>
      <c r="G33" s="63"/>
      <c r="H33" s="63"/>
      <c r="I33" s="63"/>
    </row>
    <row r="36" spans="2:9">
      <c r="B36" s="1"/>
      <c r="D36" s="1" t="s">
        <v>12</v>
      </c>
      <c r="I36" s="44"/>
    </row>
    <row r="37" spans="2:9" ht="13.8" thickBot="1">
      <c r="B37" s="5" t="s">
        <v>1</v>
      </c>
      <c r="C37" s="6" t="s">
        <v>3</v>
      </c>
      <c r="D37" s="6" t="s">
        <v>4</v>
      </c>
      <c r="E37" s="6" t="s">
        <v>55</v>
      </c>
      <c r="F37" s="6" t="s">
        <v>56</v>
      </c>
      <c r="G37" s="6" t="s">
        <v>15</v>
      </c>
      <c r="H37" s="6" t="s">
        <v>19</v>
      </c>
      <c r="I37" s="44"/>
    </row>
    <row r="38" spans="2:9">
      <c r="B38" t="s">
        <v>297</v>
      </c>
      <c r="C38" t="s">
        <v>298</v>
      </c>
      <c r="E38">
        <v>1</v>
      </c>
      <c r="F38">
        <v>2005</v>
      </c>
      <c r="I38" s="44"/>
    </row>
    <row r="39" spans="2:9">
      <c r="B39" t="s">
        <v>299</v>
      </c>
      <c r="C39" t="s">
        <v>300</v>
      </c>
      <c r="E39">
        <v>1</v>
      </c>
      <c r="F39">
        <v>2005</v>
      </c>
      <c r="I39" s="44"/>
    </row>
    <row r="40" spans="2:9">
      <c r="B40" t="s">
        <v>301</v>
      </c>
      <c r="C40" t="s">
        <v>302</v>
      </c>
      <c r="E40">
        <v>1</v>
      </c>
      <c r="F40">
        <v>2005</v>
      </c>
      <c r="I40" s="44"/>
    </row>
    <row r="41" spans="2:9">
      <c r="B41" t="s">
        <v>303</v>
      </c>
      <c r="C41" t="s">
        <v>304</v>
      </c>
      <c r="E41">
        <v>1</v>
      </c>
      <c r="F41">
        <v>2005</v>
      </c>
      <c r="I41" s="44"/>
    </row>
    <row r="42" spans="2:9">
      <c r="B42" t="s">
        <v>305</v>
      </c>
      <c r="C42" t="s">
        <v>306</v>
      </c>
      <c r="E42">
        <v>1</v>
      </c>
      <c r="F42">
        <v>2005</v>
      </c>
      <c r="I42" s="44"/>
    </row>
    <row r="43" spans="2:9">
      <c r="B43" t="s">
        <v>307</v>
      </c>
      <c r="C43" t="s">
        <v>308</v>
      </c>
      <c r="E43">
        <v>1</v>
      </c>
      <c r="F43">
        <v>2005</v>
      </c>
      <c r="I43" s="44"/>
    </row>
    <row r="44" spans="2:9">
      <c r="B44" t="s">
        <v>309</v>
      </c>
      <c r="C44" t="s">
        <v>310</v>
      </c>
      <c r="E44">
        <v>1</v>
      </c>
      <c r="F44">
        <v>2005</v>
      </c>
      <c r="I44" s="44"/>
    </row>
    <row r="45" spans="2:9">
      <c r="B45" t="s">
        <v>311</v>
      </c>
      <c r="C45" t="s">
        <v>312</v>
      </c>
      <c r="E45">
        <v>1</v>
      </c>
      <c r="F45">
        <v>2005</v>
      </c>
      <c r="I45" s="44"/>
    </row>
    <row r="46" spans="2:9">
      <c r="B46" t="s">
        <v>313</v>
      </c>
      <c r="C46" t="s">
        <v>314</v>
      </c>
      <c r="E46">
        <v>1</v>
      </c>
      <c r="F46">
        <v>2005</v>
      </c>
      <c r="I46" s="44"/>
    </row>
    <row r="47" spans="2:9">
      <c r="B47" t="s">
        <v>315</v>
      </c>
      <c r="C47" t="s">
        <v>316</v>
      </c>
      <c r="E47">
        <v>1</v>
      </c>
      <c r="F47">
        <v>2005</v>
      </c>
      <c r="I47" s="44"/>
    </row>
    <row r="48" spans="2:9">
      <c r="B48" s="19"/>
      <c r="C48" s="19"/>
      <c r="D48" s="45"/>
      <c r="E48" s="44"/>
      <c r="F48" s="19"/>
      <c r="G48" s="19"/>
      <c r="H48" s="19"/>
      <c r="I48" s="44"/>
    </row>
    <row r="49" spans="2:9">
      <c r="B49" s="19"/>
      <c r="C49" s="19"/>
      <c r="D49" s="45"/>
      <c r="E49" s="44"/>
      <c r="F49" s="19"/>
      <c r="G49" s="19"/>
      <c r="H49" s="19"/>
      <c r="I49" s="44"/>
    </row>
    <row r="50" spans="2:9">
      <c r="B50" s="47" t="s">
        <v>5</v>
      </c>
      <c r="C50" s="48"/>
      <c r="D50" s="48"/>
      <c r="E50" s="48"/>
      <c r="F50" s="48"/>
      <c r="G50" s="48"/>
      <c r="H50" s="48"/>
      <c r="I50" s="48"/>
    </row>
    <row r="51" spans="2:9">
      <c r="B51" s="49" t="s">
        <v>0</v>
      </c>
      <c r="C51" s="50" t="s">
        <v>1</v>
      </c>
      <c r="D51" s="50" t="s">
        <v>2</v>
      </c>
      <c r="E51" s="50" t="s">
        <v>6</v>
      </c>
      <c r="F51" s="50" t="s">
        <v>7</v>
      </c>
      <c r="G51" s="50" t="s">
        <v>8</v>
      </c>
      <c r="H51" s="50" t="s">
        <v>9</v>
      </c>
      <c r="I51" s="51" t="s">
        <v>10</v>
      </c>
    </row>
    <row r="52" spans="2:9">
      <c r="B52" s="48" t="s">
        <v>54</v>
      </c>
      <c r="C52" s="48" t="s">
        <v>297</v>
      </c>
      <c r="D52" s="48" t="s">
        <v>296</v>
      </c>
      <c r="E52" s="48" t="s">
        <v>53</v>
      </c>
      <c r="F52" s="48" t="s">
        <v>53</v>
      </c>
      <c r="G52" s="48"/>
      <c r="H52" s="48"/>
      <c r="I52" s="48"/>
    </row>
    <row r="53" spans="2:9">
      <c r="B53" s="48" t="s">
        <v>54</v>
      </c>
      <c r="C53" s="48" t="s">
        <v>299</v>
      </c>
      <c r="D53" s="48" t="s">
        <v>296</v>
      </c>
      <c r="E53" s="48" t="s">
        <v>53</v>
      </c>
      <c r="F53" s="48" t="s">
        <v>53</v>
      </c>
      <c r="G53" s="48"/>
      <c r="H53" s="48"/>
      <c r="I53" s="48"/>
    </row>
    <row r="54" spans="2:9">
      <c r="B54" s="48" t="s">
        <v>54</v>
      </c>
      <c r="C54" s="48" t="s">
        <v>301</v>
      </c>
      <c r="D54" s="48" t="s">
        <v>296</v>
      </c>
      <c r="E54" s="48" t="s">
        <v>53</v>
      </c>
      <c r="F54" s="48" t="s">
        <v>53</v>
      </c>
      <c r="G54" s="48"/>
      <c r="H54" s="48"/>
      <c r="I54" s="48"/>
    </row>
    <row r="55" spans="2:9">
      <c r="B55" s="48" t="s">
        <v>54</v>
      </c>
      <c r="C55" s="48" t="s">
        <v>303</v>
      </c>
      <c r="D55" s="48" t="s">
        <v>296</v>
      </c>
      <c r="E55" s="48" t="s">
        <v>53</v>
      </c>
      <c r="F55" s="48" t="s">
        <v>53</v>
      </c>
      <c r="G55" s="48"/>
      <c r="H55" s="48"/>
      <c r="I55" s="48"/>
    </row>
    <row r="56" spans="2:9">
      <c r="B56" s="48" t="s">
        <v>54</v>
      </c>
      <c r="C56" s="48" t="s">
        <v>305</v>
      </c>
      <c r="D56" s="48" t="s">
        <v>296</v>
      </c>
      <c r="E56" s="48" t="s">
        <v>53</v>
      </c>
      <c r="F56" s="48" t="s">
        <v>53</v>
      </c>
      <c r="G56" s="48"/>
      <c r="H56" s="48"/>
      <c r="I56" s="48"/>
    </row>
    <row r="57" spans="2:9">
      <c r="B57" s="48" t="s">
        <v>54</v>
      </c>
      <c r="C57" s="48" t="s">
        <v>307</v>
      </c>
      <c r="D57" s="48" t="s">
        <v>296</v>
      </c>
      <c r="E57" s="48" t="s">
        <v>53</v>
      </c>
      <c r="F57" s="48" t="s">
        <v>53</v>
      </c>
      <c r="G57" s="48"/>
      <c r="H57" s="48"/>
      <c r="I57" s="48"/>
    </row>
    <row r="58" spans="2:9">
      <c r="B58" s="48" t="s">
        <v>54</v>
      </c>
      <c r="C58" s="48" t="s">
        <v>309</v>
      </c>
      <c r="D58" s="48" t="s">
        <v>296</v>
      </c>
      <c r="E58" s="48" t="s">
        <v>53</v>
      </c>
      <c r="F58" s="48" t="s">
        <v>53</v>
      </c>
      <c r="G58" s="48"/>
      <c r="H58" s="48"/>
      <c r="I58" s="48"/>
    </row>
    <row r="59" spans="2:9">
      <c r="B59" s="48" t="s">
        <v>54</v>
      </c>
      <c r="C59" s="48" t="s">
        <v>311</v>
      </c>
      <c r="D59" s="48" t="s">
        <v>296</v>
      </c>
      <c r="E59" s="48" t="s">
        <v>53</v>
      </c>
      <c r="F59" s="48" t="s">
        <v>53</v>
      </c>
      <c r="G59" s="48"/>
      <c r="H59" s="48"/>
      <c r="I59" s="48"/>
    </row>
    <row r="60" spans="2:9">
      <c r="B60" s="48" t="s">
        <v>54</v>
      </c>
      <c r="C60" s="48" t="s">
        <v>313</v>
      </c>
      <c r="D60" s="48" t="s">
        <v>296</v>
      </c>
      <c r="E60" s="48" t="s">
        <v>53</v>
      </c>
      <c r="F60" s="48" t="s">
        <v>53</v>
      </c>
      <c r="G60" s="48"/>
      <c r="H60" s="48"/>
      <c r="I60" s="48"/>
    </row>
    <row r="61" spans="2:9">
      <c r="B61" s="48" t="s">
        <v>54</v>
      </c>
      <c r="C61" s="48" t="s">
        <v>315</v>
      </c>
      <c r="D61" s="48" t="s">
        <v>296</v>
      </c>
      <c r="E61" s="48" t="s">
        <v>53</v>
      </c>
      <c r="F61" s="48" t="s">
        <v>53</v>
      </c>
      <c r="G61" s="63"/>
      <c r="H61" s="63"/>
      <c r="I61" s="63"/>
    </row>
  </sheetData>
  <phoneticPr fontId="3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2"/>
  <sheetViews>
    <sheetView workbookViewId="0">
      <selection activeCell="F11" sqref="F11"/>
    </sheetView>
  </sheetViews>
  <sheetFormatPr defaultRowHeight="13.2"/>
  <sheetData>
    <row r="2" spans="2:9">
      <c r="B2" s="47" t="s">
        <v>378</v>
      </c>
      <c r="C2" s="48"/>
      <c r="D2" s="48"/>
      <c r="E2" s="48"/>
      <c r="F2" s="48"/>
      <c r="G2" s="48"/>
      <c r="H2" s="48"/>
      <c r="I2" s="48"/>
    </row>
    <row r="3" spans="2:9">
      <c r="B3" s="49" t="s">
        <v>0</v>
      </c>
      <c r="C3" s="50" t="s">
        <v>1</v>
      </c>
      <c r="D3" s="50" t="s">
        <v>2</v>
      </c>
      <c r="E3" s="50" t="s">
        <v>6</v>
      </c>
      <c r="F3" s="50" t="s">
        <v>7</v>
      </c>
      <c r="G3" s="50" t="s">
        <v>8</v>
      </c>
      <c r="H3" s="50" t="s">
        <v>9</v>
      </c>
      <c r="I3" s="51" t="s">
        <v>10</v>
      </c>
    </row>
    <row r="4" spans="2:9">
      <c r="B4" s="48" t="s">
        <v>36</v>
      </c>
      <c r="C4" s="48" t="s">
        <v>326</v>
      </c>
      <c r="D4" s="48" t="s">
        <v>327</v>
      </c>
      <c r="E4" s="48" t="s">
        <v>328</v>
      </c>
      <c r="F4" s="48" t="s">
        <v>48</v>
      </c>
      <c r="G4" s="48"/>
      <c r="H4" s="48"/>
      <c r="I4" s="48"/>
    </row>
    <row r="7" spans="2:9">
      <c r="E7" s="46" t="s">
        <v>379</v>
      </c>
    </row>
    <row r="8" spans="2:9">
      <c r="C8" t="s">
        <v>1</v>
      </c>
      <c r="D8" t="s">
        <v>4</v>
      </c>
      <c r="E8" t="s">
        <v>329</v>
      </c>
      <c r="F8">
        <v>2020</v>
      </c>
      <c r="H8" s="46" t="s">
        <v>330</v>
      </c>
    </row>
    <row r="9" spans="2:9">
      <c r="C9" t="s">
        <v>326</v>
      </c>
      <c r="D9" t="s">
        <v>332</v>
      </c>
      <c r="E9" t="s">
        <v>209</v>
      </c>
      <c r="F9">
        <v>0.25</v>
      </c>
    </row>
    <row r="10" spans="2:9">
      <c r="E10" t="s">
        <v>331</v>
      </c>
      <c r="F10">
        <v>1.7500000000000002E-2</v>
      </c>
    </row>
    <row r="11" spans="2:9">
      <c r="E11" t="s">
        <v>208</v>
      </c>
      <c r="F11">
        <v>25</v>
      </c>
    </row>
    <row r="12" spans="2:9">
      <c r="E12" t="s">
        <v>56</v>
      </c>
      <c r="F12">
        <v>2020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SUP_Fdstk</vt:lpstr>
      <vt:lpstr>SUP_GasStorage</vt:lpstr>
      <vt:lpstr>TRA_Biofuel</vt:lpstr>
      <vt:lpstr>Storage Data</vt:lpstr>
      <vt:lpstr>SUP</vt:lpstr>
      <vt:lpstr>SUP_Feedin-Subs</vt:lpstr>
      <vt:lpstr>IND_CCS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ndaaa65</dc:creator>
  <cp:lastModifiedBy>Johanna Markkanen</cp:lastModifiedBy>
  <cp:lastPrinted>2007-12-04T08:13:14Z</cp:lastPrinted>
  <dcterms:created xsi:type="dcterms:W3CDTF">2006-04-22T13:50:13Z</dcterms:created>
  <dcterms:modified xsi:type="dcterms:W3CDTF">2025-08-04T10:40:10Z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819591701030731</vt:r8>
  </property>
</Properties>
</file>